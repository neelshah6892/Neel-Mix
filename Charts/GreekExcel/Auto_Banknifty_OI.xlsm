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macrosheets/sheet1.xml" ContentType="application/vnd.ms-excel.macro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Administrator\Desktop\GreekExcel\"/>
    </mc:Choice>
  </mc:AlternateContent>
  <bookViews>
    <workbookView xWindow="-105" yWindow="-105" windowWidth="23250" windowHeight="12570" tabRatio="844" firstSheet="2" activeTab="5"/>
  </bookViews>
  <sheets>
    <sheet name="Help" sheetId="1" r:id="rId1"/>
    <sheet name="MarketWatch" sheetId="17" r:id="rId2"/>
    <sheet name="Sheet3" sheetId="27" r:id="rId3"/>
    <sheet name="TimeStamp" sheetId="36" state="hidden" r:id="rId4"/>
    <sheet name="Data_Banknifty" sheetId="28" r:id="rId5"/>
    <sheet name="MAIN OI BankNifty" sheetId="31" r:id="rId6"/>
    <sheet name="Dashbord" sheetId="37" r:id="rId7"/>
    <sheet name="BankNifty_2" sheetId="29" r:id="rId8"/>
    <sheet name="Call_Bank" sheetId="32" r:id="rId9"/>
    <sheet name="Put_Bank" sheetId="33" r:id="rId10"/>
    <sheet name="IV" sheetId="34" r:id="rId11"/>
    <sheet name="PCR" sheetId="35" r:id="rId12"/>
    <sheet name="Sheet6" sheetId="23" state="hidden" r:id="rId13"/>
    <sheet name="Macro1" sheetId="20" state="hidden" r:id="rId14"/>
    <sheet name="__meta_data" sheetId="3" state="hidden" r:id="rId15"/>
    <sheet name="Sheet2" sheetId="26" state="hidden" r:id="rId16"/>
  </sheets>
  <functionGroups builtInGroupCount="18"/>
  <externalReferences>
    <externalReference r:id="rId17"/>
    <externalReference r:id="rId18"/>
  </externalReferences>
  <definedNames>
    <definedName name="_xlnm._FilterDatabase" localSheetId="7" hidden="1">BankNifty_2!$A$1:$O$1232</definedName>
    <definedName name="_xlnm._FilterDatabase" localSheetId="8" hidden="1">Call_Bank!#REF!</definedName>
    <definedName name="_xlnm._FilterDatabase" localSheetId="10" hidden="1">IV!$A$1:$B$441</definedName>
    <definedName name="_xlnm._FilterDatabase" localSheetId="1" hidden="1">MarketWatch!$A$2:$AK$189</definedName>
    <definedName name="_xlnm._FilterDatabase" localSheetId="11" hidden="1">PCR!$A$1:$D$441</definedName>
    <definedName name="_xlnm._FilterDatabase" localSheetId="9" hidden="1">Put_Bank!$A$1:$F$441</definedName>
    <definedName name="_xlnm._FilterDatabase" localSheetId="12" hidden="1">Sheet6!$A$2:$Q$217</definedName>
    <definedName name="call_oi_data">Call_Bank!#REF!</definedName>
    <definedName name="Full_OI_Data">BankNifty_2!$A$1:$O$600</definedName>
    <definedName name="iv_data">IV!$A$1:$E$11</definedName>
    <definedName name="LovStrikePrice">#REF!</definedName>
    <definedName name="pcr_data">PCR!$A$1:$G$11</definedName>
    <definedName name="Put_oi_data">Put_Bank!$A$1:$F$11</definedName>
    <definedName name="Slicer_strike">#N/A</definedName>
    <definedName name="Slicer_strike1">#N/A</definedName>
  </definedNames>
  <calcPr calcId="152511"/>
  <pivotCaches>
    <pivotCache cacheId="484"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677" i="29" l="1"/>
  <c r="A2676" i="29"/>
  <c r="A2675" i="29"/>
  <c r="A2674" i="29"/>
  <c r="A2673" i="29"/>
  <c r="A2672" i="29"/>
  <c r="A2671" i="29"/>
  <c r="A2670" i="29"/>
  <c r="A2669" i="29"/>
  <c r="A2668" i="29"/>
  <c r="A2667" i="29"/>
  <c r="A2666" i="29"/>
  <c r="A2665" i="29"/>
  <c r="A2664" i="29"/>
  <c r="A2663" i="29"/>
  <c r="A2662" i="29"/>
  <c r="A2661" i="29"/>
  <c r="A2660" i="29"/>
  <c r="A2659" i="29"/>
  <c r="A2658" i="29"/>
  <c r="A2657" i="29"/>
  <c r="A2656" i="29"/>
  <c r="A2655" i="29"/>
  <c r="A2654" i="29"/>
  <c r="A2653" i="29"/>
  <c r="A2652" i="29"/>
  <c r="A2651" i="29"/>
  <c r="A2650" i="29"/>
  <c r="A2649" i="29"/>
  <c r="A2648" i="29"/>
  <c r="A2647" i="29"/>
  <c r="A2646" i="29"/>
  <c r="A2645" i="29"/>
  <c r="A2644" i="29"/>
  <c r="A2643" i="29"/>
  <c r="A2642" i="29"/>
  <c r="A2641" i="29"/>
  <c r="A2640" i="29"/>
  <c r="A2639" i="29"/>
  <c r="A2638" i="29"/>
  <c r="A2637" i="29"/>
  <c r="A2636" i="29"/>
  <c r="A2635" i="29"/>
  <c r="A2634" i="29"/>
  <c r="A2633" i="29"/>
  <c r="A2632" i="29"/>
  <c r="A2631" i="29"/>
  <c r="A2630" i="29"/>
  <c r="A2629" i="29"/>
  <c r="A2628" i="29"/>
  <c r="A2627" i="29"/>
  <c r="A2626" i="29"/>
  <c r="A2625" i="29"/>
  <c r="A2624" i="29"/>
  <c r="A2623" i="29"/>
  <c r="A2622" i="29"/>
  <c r="A2621" i="29"/>
  <c r="A2620" i="29"/>
  <c r="A2619" i="29"/>
  <c r="A2618" i="29"/>
  <c r="A2617" i="29"/>
  <c r="A2616" i="29"/>
  <c r="A2615" i="29"/>
  <c r="A2614" i="29"/>
  <c r="A2613" i="29"/>
  <c r="A2612" i="29"/>
  <c r="A2611" i="29"/>
  <c r="A2610" i="29"/>
  <c r="A2609" i="29"/>
  <c r="A2608" i="29"/>
  <c r="A2607" i="29"/>
  <c r="A2606" i="29"/>
  <c r="A2605" i="29"/>
  <c r="A2604" i="29"/>
  <c r="A2603" i="29"/>
  <c r="A2602" i="29"/>
  <c r="A2601" i="29"/>
  <c r="A2600" i="29"/>
  <c r="A2599" i="29"/>
  <c r="A2598" i="29"/>
  <c r="A2597" i="29"/>
  <c r="A2596" i="29"/>
  <c r="A2595" i="29"/>
  <c r="A2594" i="29"/>
  <c r="A2593" i="29"/>
  <c r="A2592" i="29"/>
  <c r="A2591" i="29"/>
  <c r="A2590" i="29"/>
  <c r="A2589" i="29"/>
  <c r="A2588" i="29"/>
  <c r="A2587" i="29"/>
  <c r="A2586" i="29"/>
  <c r="A2585" i="29"/>
  <c r="A2584" i="29"/>
  <c r="A2583" i="29"/>
  <c r="A2582" i="29"/>
  <c r="A2581" i="29"/>
  <c r="A2580" i="29"/>
  <c r="A2579" i="29"/>
  <c r="A2578" i="29"/>
  <c r="A2577" i="29"/>
  <c r="A2576" i="29"/>
  <c r="A2575" i="29"/>
  <c r="A2574" i="29"/>
  <c r="A2573" i="29"/>
  <c r="A2572" i="29"/>
  <c r="A2571" i="29"/>
  <c r="A2570" i="29"/>
  <c r="A2569" i="29"/>
  <c r="A2568" i="29"/>
  <c r="A2567" i="29"/>
  <c r="A2566" i="29"/>
  <c r="A2565" i="29"/>
  <c r="A2564" i="29"/>
  <c r="A2563" i="29"/>
  <c r="A2562" i="29"/>
  <c r="A2561" i="29"/>
  <c r="A2560" i="29"/>
  <c r="A2559" i="29"/>
  <c r="A2558" i="29"/>
  <c r="A2557" i="29"/>
  <c r="A2556" i="29"/>
  <c r="A2555" i="29"/>
  <c r="A2554" i="29"/>
  <c r="A2553" i="29"/>
  <c r="A2552" i="29"/>
  <c r="A2551" i="29"/>
  <c r="A2550" i="29"/>
  <c r="A2549" i="29"/>
  <c r="A2548" i="29"/>
  <c r="A2547" i="29"/>
  <c r="A2546" i="29"/>
  <c r="A2545" i="29"/>
  <c r="A2544" i="29"/>
  <c r="A2543" i="29"/>
  <c r="A2542" i="29"/>
  <c r="A2541" i="29"/>
  <c r="A2540" i="29"/>
  <c r="A2539" i="29"/>
  <c r="A2538" i="29"/>
  <c r="A2537" i="29"/>
  <c r="A2536" i="29"/>
  <c r="A2535" i="29"/>
  <c r="A2534" i="29"/>
  <c r="A2533" i="29"/>
  <c r="A2532" i="29"/>
  <c r="A2531" i="29"/>
  <c r="A2530" i="29"/>
  <c r="A2529" i="29"/>
  <c r="A2528" i="29"/>
  <c r="A2527" i="29"/>
  <c r="A2526" i="29"/>
  <c r="A2525" i="29"/>
  <c r="A2524" i="29"/>
  <c r="A2523" i="29"/>
  <c r="A2522" i="29"/>
  <c r="A2521" i="29"/>
  <c r="A2520" i="29"/>
  <c r="A2519" i="29"/>
  <c r="A2518" i="29"/>
  <c r="A2517" i="29"/>
  <c r="A2516" i="29"/>
  <c r="A2515" i="29"/>
  <c r="A2514" i="29"/>
  <c r="A2513" i="29"/>
  <c r="A2512" i="29"/>
  <c r="A2511" i="29"/>
  <c r="A2510" i="29"/>
  <c r="A2509" i="29"/>
  <c r="A2508" i="29"/>
  <c r="A2507" i="29"/>
  <c r="A2506" i="29"/>
  <c r="A2505" i="29"/>
  <c r="A2504" i="29"/>
  <c r="A2503" i="29"/>
  <c r="A2502" i="29"/>
  <c r="A2501" i="29"/>
  <c r="A2500" i="29"/>
  <c r="A2499" i="29"/>
  <c r="A2498" i="29"/>
  <c r="A2497" i="29"/>
  <c r="A2496" i="29"/>
  <c r="A2495" i="29"/>
  <c r="A2494" i="29"/>
  <c r="A2493" i="29"/>
  <c r="A2492" i="29"/>
  <c r="A2491" i="29"/>
  <c r="A2490" i="29"/>
  <c r="A2489" i="29"/>
  <c r="A2488" i="29"/>
  <c r="A2487" i="29"/>
  <c r="A2486" i="29"/>
  <c r="A2485" i="29"/>
  <c r="A2484" i="29"/>
  <c r="A2483" i="29"/>
  <c r="A2482" i="29"/>
  <c r="A2481" i="29"/>
  <c r="A2480" i="29"/>
  <c r="A2479" i="29"/>
  <c r="A2478" i="29"/>
  <c r="A2477" i="29"/>
  <c r="A2476" i="29"/>
  <c r="A2475" i="29"/>
  <c r="A2474" i="29"/>
  <c r="A2473" i="29"/>
  <c r="A2472" i="29"/>
  <c r="A2471" i="29"/>
  <c r="A2470" i="29"/>
  <c r="A2469" i="29"/>
  <c r="A2468" i="29"/>
  <c r="A2467" i="29"/>
  <c r="A2466" i="29"/>
  <c r="A2465" i="29"/>
  <c r="A2464" i="29"/>
  <c r="A2463" i="29"/>
  <c r="A2462" i="29"/>
  <c r="A2461" i="29"/>
  <c r="A2460" i="29"/>
  <c r="A2459" i="29"/>
  <c r="A2458" i="29"/>
  <c r="A2457" i="29"/>
  <c r="A2456" i="29"/>
  <c r="A2455" i="29"/>
  <c r="A2454" i="29"/>
  <c r="A2453" i="29"/>
  <c r="A2452" i="29"/>
  <c r="A2451" i="29"/>
  <c r="A2450" i="29"/>
  <c r="A2449" i="29"/>
  <c r="A2448" i="29"/>
  <c r="A2447" i="29"/>
  <c r="A2446" i="29"/>
  <c r="A2445" i="29"/>
  <c r="A2444" i="29"/>
  <c r="A2443" i="29"/>
  <c r="A2442" i="29"/>
  <c r="A2441" i="29"/>
  <c r="A2440" i="29"/>
  <c r="A2439" i="29"/>
  <c r="A2438" i="29"/>
  <c r="A2437" i="29"/>
  <c r="A2436" i="29"/>
  <c r="A2435" i="29"/>
  <c r="A2434" i="29"/>
  <c r="A2433" i="29"/>
  <c r="A2432" i="29"/>
  <c r="A2431" i="29"/>
  <c r="A2430" i="29"/>
  <c r="A2429" i="29"/>
  <c r="A2428" i="29"/>
  <c r="A2427" i="29"/>
  <c r="A2426" i="29"/>
  <c r="A2425" i="29"/>
  <c r="A2424" i="29"/>
  <c r="A2423" i="29"/>
  <c r="A2422" i="29"/>
  <c r="A2421" i="29"/>
  <c r="A2420" i="29"/>
  <c r="A2419" i="29"/>
  <c r="A2418" i="29"/>
  <c r="A2417" i="29"/>
  <c r="A2416" i="29"/>
  <c r="A2415" i="29"/>
  <c r="A2414" i="29"/>
  <c r="A2413" i="29"/>
  <c r="A2412" i="29"/>
  <c r="A2411" i="29"/>
  <c r="A2410" i="29"/>
  <c r="A2409" i="29"/>
  <c r="A2408" i="29"/>
  <c r="A2407" i="29"/>
  <c r="A2406" i="29"/>
  <c r="A2405" i="29"/>
  <c r="A2404" i="29"/>
  <c r="A2403" i="29"/>
  <c r="A2402" i="29"/>
  <c r="A2401" i="29"/>
  <c r="A2400" i="29"/>
  <c r="A2399" i="29"/>
  <c r="A2398" i="29"/>
  <c r="A2397" i="29"/>
  <c r="A2396" i="29"/>
  <c r="A2395" i="29"/>
  <c r="A2394" i="29"/>
  <c r="A2393" i="29"/>
  <c r="A2392" i="29"/>
  <c r="A2391" i="29"/>
  <c r="A2390" i="29"/>
  <c r="A2389" i="29"/>
  <c r="A2388" i="29"/>
  <c r="A2387" i="29"/>
  <c r="A2386" i="29"/>
  <c r="A2385" i="29"/>
  <c r="A2384" i="29"/>
  <c r="A2383" i="29"/>
  <c r="A2382" i="29"/>
  <c r="A2381" i="29"/>
  <c r="A2380" i="29"/>
  <c r="A2379" i="29"/>
  <c r="A2378" i="29"/>
  <c r="A2377" i="29"/>
  <c r="A2376" i="29"/>
  <c r="A2375" i="29"/>
  <c r="A2374" i="29"/>
  <c r="A2373" i="29"/>
  <c r="A2372" i="29"/>
  <c r="A2371" i="29"/>
  <c r="A2370" i="29"/>
  <c r="A2369" i="29"/>
  <c r="A2368" i="29"/>
  <c r="A2367" i="29"/>
  <c r="A2366" i="29"/>
  <c r="A2365" i="29"/>
  <c r="A2364" i="29"/>
  <c r="A2363" i="29"/>
  <c r="A2362" i="29"/>
  <c r="A2361" i="29"/>
  <c r="A2360" i="29"/>
  <c r="A2359" i="29"/>
  <c r="A2358" i="29"/>
  <c r="A2357" i="29"/>
  <c r="A2356" i="29"/>
  <c r="A2355" i="29"/>
  <c r="A2354" i="29"/>
  <c r="A2353" i="29"/>
  <c r="A2352" i="29"/>
  <c r="A2351" i="29"/>
  <c r="A2350" i="29"/>
  <c r="A2349" i="29"/>
  <c r="A2348" i="29"/>
  <c r="A2347" i="29"/>
  <c r="A2346" i="29"/>
  <c r="A2345" i="29"/>
  <c r="A2344" i="29"/>
  <c r="A2343" i="29"/>
  <c r="A2342" i="29"/>
  <c r="A2341" i="29"/>
  <c r="A2340" i="29"/>
  <c r="A2339" i="29"/>
  <c r="A2338" i="29"/>
  <c r="A2337" i="29"/>
  <c r="A2336" i="29"/>
  <c r="A2335" i="29"/>
  <c r="A2334" i="29"/>
  <c r="A2333" i="29"/>
  <c r="A2332" i="29"/>
  <c r="A2331" i="29"/>
  <c r="A2330" i="29"/>
  <c r="A2329" i="29"/>
  <c r="A2328" i="29"/>
  <c r="A2327" i="29"/>
  <c r="A2326" i="29"/>
  <c r="A2325" i="29"/>
  <c r="A2324" i="29"/>
  <c r="A2323" i="29"/>
  <c r="A2322" i="29"/>
  <c r="A2321" i="29"/>
  <c r="A2320" i="29"/>
  <c r="A2319" i="29"/>
  <c r="A2318" i="29"/>
  <c r="A2317" i="29"/>
  <c r="A2316" i="29"/>
  <c r="A2315" i="29"/>
  <c r="A2314" i="29"/>
  <c r="A2313" i="29"/>
  <c r="A2312" i="29"/>
  <c r="A2311" i="29"/>
  <c r="A2310" i="29"/>
  <c r="A2309" i="29"/>
  <c r="A2308" i="29"/>
  <c r="A2307" i="29"/>
  <c r="A2306" i="29"/>
  <c r="A2305" i="29"/>
  <c r="A2304" i="29"/>
  <c r="A2303" i="29"/>
  <c r="A2302" i="29"/>
  <c r="A2301" i="29"/>
  <c r="A2300" i="29"/>
  <c r="A2299" i="29"/>
  <c r="A2298" i="29"/>
  <c r="A2297" i="29"/>
  <c r="A2296" i="29"/>
  <c r="A2295" i="29"/>
  <c r="A2294" i="29"/>
  <c r="A2293" i="29"/>
  <c r="A2292" i="29"/>
  <c r="A2291" i="29"/>
  <c r="A2290" i="29"/>
  <c r="A2289" i="29"/>
  <c r="A2288" i="29"/>
  <c r="A2287" i="29"/>
  <c r="A2286" i="29"/>
  <c r="A2285" i="29"/>
  <c r="A2284" i="29"/>
  <c r="A2283" i="29"/>
  <c r="A2282" i="29"/>
  <c r="A2281" i="29"/>
  <c r="A2280" i="29"/>
  <c r="A2279" i="29"/>
  <c r="A2278" i="29"/>
  <c r="A2277" i="29"/>
  <c r="A2276" i="29"/>
  <c r="A2275" i="29"/>
  <c r="A2274" i="29"/>
  <c r="A2273" i="29"/>
  <c r="A2272" i="29"/>
  <c r="A2271" i="29"/>
  <c r="A2270" i="29"/>
  <c r="A2269" i="29"/>
  <c r="A2268" i="29"/>
  <c r="A2267" i="29"/>
  <c r="A2266" i="29"/>
  <c r="A2265" i="29"/>
  <c r="A2264" i="29"/>
  <c r="A2263" i="29"/>
  <c r="A2262" i="29"/>
  <c r="A2261" i="29"/>
  <c r="A2260" i="29"/>
  <c r="A2259" i="29"/>
  <c r="A2258" i="29"/>
  <c r="A2257" i="29"/>
  <c r="A2256" i="29"/>
  <c r="A2255" i="29"/>
  <c r="A2254" i="29"/>
  <c r="A2253" i="29"/>
  <c r="A2252" i="29"/>
  <c r="A2251" i="29"/>
  <c r="A2250" i="29"/>
  <c r="A2249" i="29"/>
  <c r="A2248" i="29"/>
  <c r="A2247" i="29"/>
  <c r="A2246" i="29"/>
  <c r="A2245" i="29"/>
  <c r="A2244" i="29"/>
  <c r="A2243" i="29"/>
  <c r="A2242" i="29"/>
  <c r="A2241" i="29"/>
  <c r="A2240" i="29"/>
  <c r="A2239" i="29"/>
  <c r="A2238" i="29"/>
  <c r="A2237" i="29"/>
  <c r="A2236" i="29"/>
  <c r="A2235" i="29"/>
  <c r="A2234" i="29"/>
  <c r="A2233" i="29"/>
  <c r="A2232" i="29"/>
  <c r="A2231" i="29"/>
  <c r="A2230" i="29"/>
  <c r="A2229" i="29"/>
  <c r="A2228" i="29"/>
  <c r="A2227" i="29"/>
  <c r="A2226" i="29"/>
  <c r="A2225" i="29"/>
  <c r="A2224" i="29"/>
  <c r="A2223" i="29"/>
  <c r="A2222" i="29"/>
  <c r="A2221" i="29"/>
  <c r="A2220" i="29"/>
  <c r="A2219" i="29"/>
  <c r="A2218" i="29"/>
  <c r="A2217" i="29"/>
  <c r="A2216" i="29"/>
  <c r="A2215" i="29"/>
  <c r="A2214" i="29"/>
  <c r="A2213" i="29"/>
  <c r="A2212" i="29"/>
  <c r="A2211" i="29"/>
  <c r="A2210" i="29"/>
  <c r="A2209" i="29"/>
  <c r="A2208" i="29"/>
  <c r="A2207" i="29"/>
  <c r="A2206" i="29"/>
  <c r="A2205" i="29"/>
  <c r="A2204" i="29"/>
  <c r="A2203" i="29"/>
  <c r="A2202" i="29"/>
  <c r="A2201" i="29"/>
  <c r="A2200" i="29"/>
  <c r="A2199" i="29"/>
  <c r="A2198" i="29"/>
  <c r="A2197" i="29"/>
  <c r="A2196" i="29"/>
  <c r="A2195" i="29"/>
  <c r="A2194" i="29"/>
  <c r="A2193" i="29"/>
  <c r="A2192" i="29"/>
  <c r="A2191" i="29"/>
  <c r="A2190" i="29"/>
  <c r="A2189" i="29"/>
  <c r="A2188" i="29"/>
  <c r="A2187" i="29"/>
  <c r="A2186" i="29"/>
  <c r="A2185" i="29"/>
  <c r="A2184" i="29"/>
  <c r="A2183" i="29"/>
  <c r="A2182" i="29"/>
  <c r="A2181" i="29"/>
  <c r="A2180" i="29"/>
  <c r="A2179" i="29"/>
  <c r="A2178" i="29"/>
  <c r="A2177" i="29"/>
  <c r="A2176" i="29"/>
  <c r="A2175" i="29"/>
  <c r="A2174" i="29"/>
  <c r="A2173" i="29"/>
  <c r="A2172" i="29"/>
  <c r="A2171" i="29"/>
  <c r="A2170" i="29"/>
  <c r="A2169" i="29"/>
  <c r="A2168" i="29"/>
  <c r="A2167" i="29"/>
  <c r="A2166" i="29"/>
  <c r="A2165" i="29"/>
  <c r="A2164" i="29"/>
  <c r="A2163" i="29"/>
  <c r="A2162" i="29"/>
  <c r="A2161" i="29"/>
  <c r="A2160" i="29"/>
  <c r="A2159" i="29"/>
  <c r="A2158" i="29"/>
  <c r="A2157" i="29"/>
  <c r="A2156" i="29"/>
  <c r="A2155" i="29"/>
  <c r="A2154" i="29"/>
  <c r="A2153" i="29"/>
  <c r="A2152" i="29"/>
  <c r="A2151" i="29"/>
  <c r="A2150" i="29"/>
  <c r="A2149" i="29"/>
  <c r="A2148" i="29"/>
  <c r="A2147" i="29"/>
  <c r="A2146" i="29"/>
  <c r="A2145" i="29"/>
  <c r="A2144" i="29"/>
  <c r="A2143" i="29"/>
  <c r="A2142" i="29"/>
  <c r="A2141" i="29"/>
  <c r="A2140" i="29"/>
  <c r="A2139" i="29"/>
  <c r="A2138" i="29"/>
  <c r="A2137" i="29"/>
  <c r="A2136" i="29"/>
  <c r="A2135" i="29"/>
  <c r="A2134" i="29"/>
  <c r="A2133" i="29"/>
  <c r="A2132" i="29"/>
  <c r="A2131" i="29"/>
  <c r="A2130" i="29"/>
  <c r="A2129" i="29"/>
  <c r="A2128" i="29"/>
  <c r="A2127" i="29"/>
  <c r="A2126" i="29"/>
  <c r="A2125" i="29"/>
  <c r="A2124" i="29"/>
  <c r="A2123" i="29"/>
  <c r="A2122" i="29"/>
  <c r="A2121" i="29"/>
  <c r="A2120" i="29"/>
  <c r="A2119" i="29"/>
  <c r="A2118" i="29"/>
  <c r="A2117" i="29"/>
  <c r="A2116" i="29"/>
  <c r="A2115" i="29"/>
  <c r="A2114" i="29"/>
  <c r="A2113" i="29"/>
  <c r="A2112" i="29"/>
  <c r="A2111" i="29"/>
  <c r="A2110" i="29"/>
  <c r="A2109" i="29"/>
  <c r="A2108" i="29"/>
  <c r="A2107" i="29"/>
  <c r="A2106" i="29"/>
  <c r="A2105" i="29"/>
  <c r="A2104" i="29"/>
  <c r="A2103" i="29"/>
  <c r="A2102" i="29"/>
  <c r="A2101" i="29"/>
  <c r="A2100" i="29"/>
  <c r="A2099" i="29"/>
  <c r="A2098" i="29"/>
  <c r="A2097" i="29"/>
  <c r="A2096" i="29"/>
  <c r="A2095" i="29"/>
  <c r="A2094" i="29"/>
  <c r="A2093" i="29"/>
  <c r="A2092" i="29"/>
  <c r="A2091" i="29"/>
  <c r="A2090" i="29"/>
  <c r="A2089" i="29"/>
  <c r="A2088" i="29"/>
  <c r="A2087" i="29"/>
  <c r="A2086" i="29"/>
  <c r="A2085" i="29"/>
  <c r="A2084" i="29"/>
  <c r="A2083" i="29"/>
  <c r="A2082" i="29"/>
  <c r="A2081" i="29"/>
  <c r="A2080" i="29"/>
  <c r="A2079" i="29"/>
  <c r="A2078" i="29"/>
  <c r="A2077" i="29"/>
  <c r="A2076" i="29"/>
  <c r="A2075" i="29"/>
  <c r="A2074" i="29"/>
  <c r="A2073" i="29"/>
  <c r="A2072" i="29"/>
  <c r="A2071" i="29"/>
  <c r="A2070" i="29"/>
  <c r="A2069" i="29"/>
  <c r="A2068" i="29"/>
  <c r="A2067" i="29"/>
  <c r="A2066" i="29"/>
  <c r="A2065" i="29"/>
  <c r="A2064" i="29"/>
  <c r="A2063" i="29"/>
  <c r="A2062" i="29"/>
  <c r="A2061" i="29"/>
  <c r="A2060" i="29"/>
  <c r="A2059" i="29"/>
  <c r="A2058" i="29"/>
  <c r="A2057" i="29"/>
  <c r="A2056" i="29"/>
  <c r="A2055" i="29"/>
  <c r="A2054" i="29"/>
  <c r="A2053" i="29"/>
  <c r="A2052" i="29"/>
  <c r="A2051" i="29"/>
  <c r="A2050" i="29"/>
  <c r="A2049" i="29"/>
  <c r="A2048" i="29"/>
  <c r="A2047" i="29"/>
  <c r="A2046" i="29"/>
  <c r="A2045" i="29"/>
  <c r="A2044" i="29"/>
  <c r="A2043" i="29"/>
  <c r="A2042" i="29"/>
  <c r="A2041" i="29"/>
  <c r="A2040" i="29"/>
  <c r="A2039" i="29"/>
  <c r="A2038" i="29"/>
  <c r="A2037" i="29"/>
  <c r="A2036" i="29"/>
  <c r="A2035" i="29"/>
  <c r="A2034" i="29"/>
  <c r="A2033" i="29"/>
  <c r="A2032" i="29"/>
  <c r="A2031" i="29"/>
  <c r="A2030" i="29"/>
  <c r="A2029" i="29"/>
  <c r="A2028" i="29"/>
  <c r="A2027" i="29"/>
  <c r="A2026" i="29"/>
  <c r="A2025" i="29"/>
  <c r="A2024" i="29"/>
  <c r="A2023" i="29"/>
  <c r="A2022" i="29"/>
  <c r="A2021" i="29"/>
  <c r="A2020" i="29"/>
  <c r="A2019" i="29"/>
  <c r="A2018" i="29"/>
  <c r="A2017" i="29"/>
  <c r="A2016" i="29"/>
  <c r="A2015" i="29"/>
  <c r="A2014" i="29"/>
  <c r="A2013" i="29"/>
  <c r="A2012" i="29"/>
  <c r="A2011" i="29"/>
  <c r="A2010" i="29"/>
  <c r="A2009" i="29"/>
  <c r="A2008" i="29"/>
  <c r="A2007" i="29"/>
  <c r="A2006" i="29"/>
  <c r="A2005" i="29"/>
  <c r="A2004" i="29"/>
  <c r="A2003" i="29"/>
  <c r="A2002" i="29"/>
  <c r="A2001" i="29"/>
  <c r="A2000" i="29"/>
  <c r="A1999" i="29"/>
  <c r="A1998" i="29"/>
  <c r="A1997" i="29"/>
  <c r="A1996" i="29"/>
  <c r="A1995" i="29"/>
  <c r="A1994" i="29"/>
  <c r="A1993" i="29"/>
  <c r="A1992" i="29"/>
  <c r="A1991" i="29"/>
  <c r="A1990" i="29"/>
  <c r="A1989" i="29"/>
  <c r="A1988" i="29"/>
  <c r="A1987" i="29"/>
  <c r="A1986" i="29"/>
  <c r="A1985" i="29"/>
  <c r="A1984" i="29"/>
  <c r="A1983" i="29"/>
  <c r="A1982" i="29"/>
  <c r="A1981" i="29"/>
  <c r="A1980" i="29"/>
  <c r="A1979" i="29"/>
  <c r="A1978" i="29"/>
  <c r="A1977" i="29"/>
  <c r="A1976" i="29"/>
  <c r="A1975" i="29"/>
  <c r="A1974" i="29"/>
  <c r="A1973" i="29"/>
  <c r="A1972" i="29"/>
  <c r="A1971" i="29"/>
  <c r="A1970" i="29"/>
  <c r="A1969" i="29"/>
  <c r="A1968" i="29"/>
  <c r="A1967" i="29"/>
  <c r="A1966" i="29"/>
  <c r="A1965" i="29"/>
  <c r="A1964" i="29"/>
  <c r="A1963" i="29"/>
  <c r="A1962" i="29"/>
  <c r="A1961" i="29"/>
  <c r="A1960" i="29"/>
  <c r="A1959" i="29"/>
  <c r="A1958" i="29"/>
  <c r="A1957" i="29"/>
  <c r="A1956" i="29"/>
  <c r="A1955" i="29"/>
  <c r="A1954" i="29"/>
  <c r="A1953" i="29"/>
  <c r="A1952" i="29"/>
  <c r="A1951" i="29"/>
  <c r="A1950" i="29"/>
  <c r="A1949" i="29"/>
  <c r="A1948" i="29"/>
  <c r="A1947" i="29"/>
  <c r="A1946" i="29"/>
  <c r="A1945" i="29"/>
  <c r="A1944" i="29"/>
  <c r="A1943" i="29"/>
  <c r="A1942" i="29"/>
  <c r="A1941" i="29"/>
  <c r="A1940" i="29"/>
  <c r="A1939" i="29"/>
  <c r="A1938" i="29"/>
  <c r="A1937" i="29"/>
  <c r="A1936" i="29"/>
  <c r="A1935" i="29"/>
  <c r="A1934" i="29"/>
  <c r="A1933" i="29"/>
  <c r="A1932" i="29"/>
  <c r="A1931" i="29"/>
  <c r="A1930" i="29"/>
  <c r="A1929" i="29"/>
  <c r="A1928" i="29"/>
  <c r="A1927" i="29"/>
  <c r="A1926" i="29"/>
  <c r="A1925" i="29"/>
  <c r="A1924" i="29"/>
  <c r="A1923" i="29"/>
  <c r="A1922" i="29"/>
  <c r="A1921" i="29"/>
  <c r="A1920" i="29"/>
  <c r="A1919" i="29"/>
  <c r="A1918" i="29"/>
  <c r="A1917" i="29"/>
  <c r="A1916" i="29"/>
  <c r="A1915" i="29"/>
  <c r="A1914" i="29"/>
  <c r="A1913" i="29"/>
  <c r="A1912" i="29"/>
  <c r="A1911" i="29"/>
  <c r="A1910" i="29"/>
  <c r="A1909" i="29"/>
  <c r="A1908" i="29"/>
  <c r="A1907" i="29"/>
  <c r="A1906" i="29"/>
  <c r="A1905" i="29"/>
  <c r="A1904" i="29"/>
  <c r="A1903" i="29"/>
  <c r="A1902" i="29"/>
  <c r="A1901" i="29"/>
  <c r="A1900" i="29"/>
  <c r="A1899" i="29"/>
  <c r="A1898" i="29"/>
  <c r="A1897" i="29"/>
  <c r="A1896" i="29"/>
  <c r="A1895" i="29"/>
  <c r="A1894" i="29"/>
  <c r="A1893" i="29"/>
  <c r="A1892" i="29"/>
  <c r="A1891" i="29"/>
  <c r="A1890" i="29"/>
  <c r="A1889" i="29"/>
  <c r="A1888" i="29"/>
  <c r="A1887" i="29"/>
  <c r="A1886" i="29"/>
  <c r="A1885" i="29"/>
  <c r="A1884" i="29"/>
  <c r="A1883" i="29"/>
  <c r="A1882" i="29"/>
  <c r="A1881" i="29"/>
  <c r="A1880" i="29"/>
  <c r="A1879" i="29"/>
  <c r="A1878" i="29"/>
  <c r="A1877" i="29"/>
  <c r="A1876" i="29"/>
  <c r="A1875" i="29"/>
  <c r="A1874" i="29"/>
  <c r="A1873" i="29"/>
  <c r="A1872" i="29"/>
  <c r="A1871" i="29"/>
  <c r="A1870" i="29"/>
  <c r="A1869" i="29"/>
  <c r="A1868" i="29"/>
  <c r="A1867" i="29"/>
  <c r="A1866" i="29"/>
  <c r="A1865" i="29"/>
  <c r="A1864" i="29"/>
  <c r="A1863" i="29"/>
  <c r="A1862" i="29"/>
  <c r="A1861" i="29"/>
  <c r="A1860" i="29"/>
  <c r="A1859" i="29"/>
  <c r="A1858" i="29"/>
  <c r="A1857" i="29"/>
  <c r="A1856" i="29"/>
  <c r="A1855" i="29"/>
  <c r="A1854" i="29"/>
  <c r="A1853" i="29"/>
  <c r="A1852" i="29"/>
  <c r="A1851" i="29"/>
  <c r="A1850" i="29"/>
  <c r="A1849" i="29"/>
  <c r="A1848" i="29"/>
  <c r="A1847" i="29"/>
  <c r="A1846" i="29"/>
  <c r="A1845" i="29"/>
  <c r="A1844" i="29"/>
  <c r="A1843" i="29"/>
  <c r="A1842" i="29"/>
  <c r="A1841" i="29"/>
  <c r="A1840" i="29"/>
  <c r="A1839" i="29"/>
  <c r="A1838" i="29"/>
  <c r="A1837" i="29"/>
  <c r="A1836" i="29"/>
  <c r="A1835" i="29"/>
  <c r="A1834" i="29"/>
  <c r="A1833" i="29"/>
  <c r="A1832" i="29"/>
  <c r="A1831" i="29"/>
  <c r="A1830" i="29"/>
  <c r="A1829" i="29"/>
  <c r="A1828" i="29"/>
  <c r="A1827" i="29"/>
  <c r="A1826" i="29"/>
  <c r="A1825" i="29"/>
  <c r="A1824" i="29"/>
  <c r="A1823" i="29"/>
  <c r="A1822" i="29"/>
  <c r="A1821" i="29"/>
  <c r="A1820" i="29"/>
  <c r="A1819" i="29"/>
  <c r="A1818" i="29"/>
  <c r="A1817" i="29"/>
  <c r="A1816" i="29"/>
  <c r="A1815" i="29"/>
  <c r="A1814" i="29"/>
  <c r="A1813" i="29"/>
  <c r="A1812" i="29"/>
  <c r="A1811" i="29"/>
  <c r="A1810" i="29"/>
  <c r="A1809" i="29"/>
  <c r="A1808" i="29"/>
  <c r="A1807" i="29"/>
  <c r="A1806" i="29"/>
  <c r="A1805" i="29"/>
  <c r="A1804" i="29"/>
  <c r="A1803" i="29"/>
  <c r="A1802" i="29"/>
  <c r="A1801" i="29"/>
  <c r="A1800" i="29"/>
  <c r="A1799" i="29"/>
  <c r="A1798" i="29"/>
  <c r="A1797" i="29"/>
  <c r="A1796" i="29"/>
  <c r="A1795" i="29"/>
  <c r="A1794" i="29"/>
  <c r="A1793" i="29"/>
  <c r="A1792" i="29"/>
  <c r="A1791" i="29"/>
  <c r="A1790" i="29"/>
  <c r="A1789" i="29"/>
  <c r="A1788" i="29"/>
  <c r="A1787" i="29"/>
  <c r="A1786" i="29"/>
  <c r="A1785" i="29"/>
  <c r="A1784" i="29"/>
  <c r="A1783" i="29"/>
  <c r="A1782" i="29"/>
  <c r="A1781" i="29"/>
  <c r="A1780" i="29"/>
  <c r="A1779" i="29"/>
  <c r="A1778" i="29"/>
  <c r="A1777" i="29"/>
  <c r="A1776" i="29"/>
  <c r="A1775" i="29"/>
  <c r="A1774" i="29"/>
  <c r="A1773" i="29"/>
  <c r="A1772" i="29"/>
  <c r="A1771" i="29"/>
  <c r="A1770" i="29"/>
  <c r="A1769" i="29"/>
  <c r="A1768" i="29"/>
  <c r="A1767" i="29"/>
  <c r="A1766" i="29"/>
  <c r="A1765" i="29"/>
  <c r="A1764" i="29"/>
  <c r="A1763" i="29"/>
  <c r="A1762" i="29"/>
  <c r="A1761" i="29"/>
  <c r="A1760" i="29"/>
  <c r="A1759" i="29"/>
  <c r="A1758" i="29"/>
  <c r="A1757" i="29"/>
  <c r="A1756" i="29"/>
  <c r="A1755" i="29"/>
  <c r="A1754" i="29"/>
  <c r="A1753" i="29"/>
  <c r="A1752" i="29"/>
  <c r="A1751" i="29"/>
  <c r="A1750" i="29"/>
  <c r="A1749" i="29"/>
  <c r="A1748" i="29"/>
  <c r="A1747" i="29"/>
  <c r="A1746" i="29"/>
  <c r="A1745" i="29"/>
  <c r="A1744" i="29"/>
  <c r="A1743" i="29"/>
  <c r="A1742" i="29"/>
  <c r="A1741" i="29"/>
  <c r="A1740" i="29"/>
  <c r="A1739" i="29"/>
  <c r="A1738" i="29"/>
  <c r="A1737" i="29"/>
  <c r="A1736" i="29"/>
  <c r="A1735" i="29"/>
  <c r="A1734" i="29"/>
  <c r="A1733" i="29"/>
  <c r="A1732" i="29"/>
  <c r="A1731" i="29"/>
  <c r="A1730" i="29"/>
  <c r="A1729" i="29"/>
  <c r="A1728" i="29"/>
  <c r="A1727" i="29"/>
  <c r="A1726" i="29"/>
  <c r="A1725" i="29"/>
  <c r="A1724" i="29"/>
  <c r="A1723" i="29"/>
  <c r="A1722" i="29"/>
  <c r="A1721" i="29"/>
  <c r="A1720" i="29"/>
  <c r="A1719" i="29"/>
  <c r="A1718" i="29"/>
  <c r="A1717" i="29"/>
  <c r="A1716" i="29"/>
  <c r="A1715" i="29"/>
  <c r="A1714" i="29"/>
  <c r="A1713" i="29"/>
  <c r="A1712" i="29"/>
  <c r="A1711" i="29"/>
  <c r="A1710" i="29"/>
  <c r="A1709" i="29"/>
  <c r="A1708" i="29"/>
  <c r="A1707" i="29"/>
  <c r="A1706" i="29"/>
  <c r="A1705" i="29"/>
  <c r="A1704" i="29"/>
  <c r="A1703" i="29"/>
  <c r="A1702" i="29"/>
  <c r="A1701" i="29"/>
  <c r="A1700" i="29"/>
  <c r="A1699" i="29"/>
  <c r="A1698" i="29"/>
  <c r="A1697" i="29"/>
  <c r="A1696" i="29"/>
  <c r="A1695" i="29"/>
  <c r="A1694" i="29"/>
  <c r="A1693" i="29"/>
  <c r="A1692" i="29"/>
  <c r="A1691" i="29"/>
  <c r="A1690" i="29"/>
  <c r="A1689" i="29"/>
  <c r="A1688" i="29"/>
  <c r="A1687" i="29"/>
  <c r="A1686" i="29"/>
  <c r="A1685" i="29"/>
  <c r="A1684" i="29"/>
  <c r="A1683" i="29"/>
  <c r="A1682" i="29"/>
  <c r="A1681" i="29"/>
  <c r="A1680" i="29"/>
  <c r="A1679" i="29"/>
  <c r="A1678" i="29"/>
  <c r="A1677" i="29"/>
  <c r="A1676" i="29"/>
  <c r="A1675" i="29"/>
  <c r="A1674" i="29"/>
  <c r="A1673" i="29"/>
  <c r="A1672" i="29"/>
  <c r="A1671" i="29"/>
  <c r="A1670" i="29"/>
  <c r="A1669" i="29"/>
  <c r="A1668" i="29"/>
  <c r="A1667" i="29"/>
  <c r="A1666" i="29"/>
  <c r="A1665" i="29"/>
  <c r="A1664" i="29"/>
  <c r="A1663" i="29"/>
  <c r="A1662" i="29"/>
  <c r="A1661" i="29"/>
  <c r="A1660" i="29"/>
  <c r="A1659" i="29"/>
  <c r="A1658" i="29"/>
  <c r="A1657" i="29"/>
  <c r="A1656" i="29"/>
  <c r="A1655" i="29"/>
  <c r="A1654" i="29"/>
  <c r="A1653" i="29"/>
  <c r="A1652" i="29"/>
  <c r="A1651" i="29"/>
  <c r="A1650" i="29"/>
  <c r="A1649" i="29"/>
  <c r="A1648" i="29"/>
  <c r="A1647" i="29"/>
  <c r="A1646" i="29"/>
  <c r="A1645" i="29"/>
  <c r="A1644" i="29"/>
  <c r="A1643" i="29"/>
  <c r="A1642" i="29"/>
  <c r="A1641" i="29"/>
  <c r="A1640" i="29"/>
  <c r="A1639" i="29"/>
  <c r="A1638" i="29"/>
  <c r="A1637" i="29"/>
  <c r="A1636" i="29"/>
  <c r="A1635" i="29"/>
  <c r="A1634" i="29"/>
  <c r="A1633" i="29"/>
  <c r="A1632" i="29"/>
  <c r="A1631" i="29"/>
  <c r="A1630" i="29"/>
  <c r="A1629" i="29"/>
  <c r="A1628" i="29"/>
  <c r="A1627" i="29"/>
  <c r="A1626" i="29"/>
  <c r="A1625" i="29"/>
  <c r="A1624" i="29"/>
  <c r="A1623" i="29"/>
  <c r="A1622" i="29"/>
  <c r="A1621" i="29"/>
  <c r="A1620" i="29"/>
  <c r="A1619" i="29"/>
  <c r="A1618" i="29"/>
  <c r="A1617" i="29"/>
  <c r="A1616" i="29"/>
  <c r="A1615" i="29"/>
  <c r="A1614" i="29"/>
  <c r="A1613" i="29"/>
  <c r="A1612" i="29"/>
  <c r="A1611" i="29"/>
  <c r="A1610" i="29"/>
  <c r="A1609" i="29"/>
  <c r="A1608" i="29"/>
  <c r="A1607" i="29"/>
  <c r="A1606" i="29"/>
  <c r="A1605" i="29"/>
  <c r="A1604" i="29"/>
  <c r="A1603" i="29"/>
  <c r="A1602" i="29"/>
  <c r="A1601" i="29"/>
  <c r="A1600" i="29"/>
  <c r="A1599" i="29"/>
  <c r="A1598" i="29"/>
  <c r="A1597" i="29"/>
  <c r="A1596" i="29"/>
  <c r="A1595" i="29"/>
  <c r="A1594" i="29"/>
  <c r="A1593" i="29"/>
  <c r="A1592" i="29"/>
  <c r="A1591" i="29"/>
  <c r="A1590" i="29"/>
  <c r="A1589" i="29"/>
  <c r="A1588" i="29"/>
  <c r="A1587" i="29"/>
  <c r="A1586" i="29"/>
  <c r="A1585" i="29"/>
  <c r="A1584" i="29"/>
  <c r="A1583" i="29"/>
  <c r="A1582" i="29"/>
  <c r="A1581" i="29"/>
  <c r="A1580" i="29"/>
  <c r="A1579" i="29"/>
  <c r="A1578" i="29"/>
  <c r="A1577" i="29"/>
  <c r="A1576" i="29"/>
  <c r="A1575" i="29"/>
  <c r="A1574" i="29"/>
  <c r="A1573" i="29"/>
  <c r="A1572" i="29"/>
  <c r="A1571" i="29"/>
  <c r="A1570" i="29"/>
  <c r="A1569" i="29"/>
  <c r="A1568" i="29"/>
  <c r="A1567" i="29"/>
  <c r="A1566" i="29"/>
  <c r="A1565" i="29"/>
  <c r="A1564" i="29"/>
  <c r="A1563" i="29"/>
  <c r="A1562" i="29"/>
  <c r="A1561" i="29"/>
  <c r="A1560" i="29"/>
  <c r="A1559" i="29"/>
  <c r="A1558" i="29"/>
  <c r="A1557" i="29"/>
  <c r="A1556" i="29"/>
  <c r="A1555" i="29"/>
  <c r="A1554" i="29"/>
  <c r="A1553" i="29"/>
  <c r="A1552" i="29"/>
  <c r="A1551" i="29"/>
  <c r="A1550" i="29"/>
  <c r="A1549" i="29"/>
  <c r="A1548" i="29"/>
  <c r="A1547" i="29"/>
  <c r="A1546" i="29"/>
  <c r="A1545" i="29"/>
  <c r="A1544" i="29"/>
  <c r="A1543" i="29"/>
  <c r="A1542" i="29"/>
  <c r="A1541" i="29"/>
  <c r="A1540" i="29"/>
  <c r="A1539" i="29"/>
  <c r="A1538" i="29"/>
  <c r="A1537" i="29"/>
  <c r="A1536" i="29"/>
  <c r="A1535" i="29"/>
  <c r="A1534" i="29"/>
  <c r="A1533" i="29"/>
  <c r="A1532" i="29"/>
  <c r="A1531" i="29"/>
  <c r="A1530" i="29"/>
  <c r="A1529" i="29"/>
  <c r="A1528" i="29"/>
  <c r="A1527" i="29"/>
  <c r="A1526" i="29"/>
  <c r="A1525" i="29"/>
  <c r="A1524" i="29"/>
  <c r="A1523" i="29"/>
  <c r="A1522" i="29"/>
  <c r="A1521" i="29"/>
  <c r="A1520" i="29"/>
  <c r="A1519" i="29"/>
  <c r="A1518" i="29"/>
  <c r="A1517" i="29"/>
  <c r="A1516" i="29"/>
  <c r="A1515" i="29"/>
  <c r="A1514" i="29"/>
  <c r="A1513" i="29"/>
  <c r="A1512" i="29"/>
  <c r="A1511" i="29"/>
  <c r="A1510" i="29"/>
  <c r="A1509" i="29"/>
  <c r="A1508" i="29"/>
  <c r="A1507" i="29"/>
  <c r="A1506" i="29"/>
  <c r="A1505" i="29"/>
  <c r="A1504" i="29"/>
  <c r="A1503" i="29"/>
  <c r="A1502" i="29"/>
  <c r="A1501" i="29"/>
  <c r="A1500" i="29"/>
  <c r="A1499" i="29"/>
  <c r="A1498" i="29"/>
  <c r="A1497" i="29"/>
  <c r="A1496" i="29"/>
  <c r="A1495" i="29"/>
  <c r="A1494" i="29"/>
  <c r="A1493" i="29"/>
  <c r="A1492" i="29"/>
  <c r="A1491" i="29"/>
  <c r="A1490" i="29"/>
  <c r="A1489" i="29"/>
  <c r="A1488" i="29"/>
  <c r="A1487" i="29"/>
  <c r="A1486" i="29"/>
  <c r="A1485" i="29"/>
  <c r="A1484" i="29"/>
  <c r="A1483" i="29"/>
  <c r="A1482" i="29"/>
  <c r="A1481" i="29"/>
  <c r="A1480" i="29"/>
  <c r="A1479" i="29"/>
  <c r="A1478" i="29"/>
  <c r="A1477" i="29"/>
  <c r="A1476" i="29"/>
  <c r="A1475" i="29"/>
  <c r="A1474" i="29"/>
  <c r="A1473" i="29"/>
  <c r="A1472" i="29"/>
  <c r="A1471" i="29"/>
  <c r="A1470" i="29"/>
  <c r="A1469" i="29"/>
  <c r="A1468" i="29"/>
  <c r="A1467" i="29"/>
  <c r="A1466" i="29"/>
  <c r="A1465" i="29"/>
  <c r="A1464" i="29"/>
  <c r="A1463" i="29"/>
  <c r="A1462" i="29"/>
  <c r="A1461" i="29"/>
  <c r="A1460" i="29"/>
  <c r="A1459" i="29"/>
  <c r="A1458" i="29"/>
  <c r="A1457" i="29"/>
  <c r="A1456" i="29"/>
  <c r="A1455" i="29"/>
  <c r="A1454" i="29"/>
  <c r="A1453" i="29"/>
  <c r="A1452" i="29"/>
  <c r="A1451" i="29"/>
  <c r="A1450" i="29"/>
  <c r="A1449" i="29"/>
  <c r="A1448" i="29"/>
  <c r="A1447" i="29"/>
  <c r="A1446" i="29"/>
  <c r="A1445" i="29"/>
  <c r="A1444" i="29"/>
  <c r="A1443" i="29"/>
  <c r="A1442" i="29"/>
  <c r="A1441" i="29"/>
  <c r="A1440" i="29"/>
  <c r="A1439" i="29"/>
  <c r="A1438" i="29"/>
  <c r="A1437" i="29"/>
  <c r="A1436" i="29"/>
  <c r="A1435" i="29"/>
  <c r="A1434" i="29"/>
  <c r="A1433" i="29"/>
  <c r="A1432" i="29"/>
  <c r="A1431" i="29"/>
  <c r="A1430" i="29"/>
  <c r="A1429" i="29"/>
  <c r="A1428" i="29"/>
  <c r="A1427" i="29"/>
  <c r="A1426" i="29"/>
  <c r="A1425" i="29"/>
  <c r="A1424" i="29"/>
  <c r="A1423" i="29"/>
  <c r="A1422" i="29"/>
  <c r="A1421" i="29"/>
  <c r="A1420" i="29"/>
  <c r="A1419" i="29"/>
  <c r="A1418" i="29"/>
  <c r="A1417" i="29"/>
  <c r="A1416" i="29"/>
  <c r="A1415" i="29"/>
  <c r="A1414" i="29"/>
  <c r="A1413" i="29"/>
  <c r="A1412" i="29"/>
  <c r="A1411" i="29"/>
  <c r="A1410" i="29"/>
  <c r="A1409" i="29"/>
  <c r="A1408" i="29"/>
  <c r="A1407" i="29"/>
  <c r="A1406" i="29"/>
  <c r="A1405" i="29"/>
  <c r="A1404" i="29"/>
  <c r="A1403" i="29"/>
  <c r="A1402" i="29"/>
  <c r="A1401" i="29"/>
  <c r="A1400" i="29"/>
  <c r="A1399" i="29"/>
  <c r="A1398" i="29"/>
  <c r="A1397" i="29"/>
  <c r="A1396" i="29"/>
  <c r="A1395" i="29"/>
  <c r="A1394" i="29"/>
  <c r="A1393" i="29"/>
  <c r="A1392" i="29"/>
  <c r="A1391" i="29"/>
  <c r="A1390" i="29"/>
  <c r="A1389" i="29"/>
  <c r="A1388" i="29"/>
  <c r="A1387" i="29"/>
  <c r="A1386" i="29"/>
  <c r="A1385" i="29"/>
  <c r="A1384" i="29"/>
  <c r="A1383" i="29"/>
  <c r="A1382" i="29"/>
  <c r="A1381" i="29"/>
  <c r="A1380" i="29"/>
  <c r="A1379" i="29"/>
  <c r="A1378" i="29"/>
  <c r="A1377" i="29"/>
  <c r="A1376" i="29"/>
  <c r="A1375" i="29"/>
  <c r="A1374" i="29"/>
  <c r="A1373" i="29"/>
  <c r="A1372" i="29"/>
  <c r="A1371" i="29"/>
  <c r="A1370" i="29"/>
  <c r="A1369" i="29"/>
  <c r="A1368" i="29"/>
  <c r="A1367" i="29"/>
  <c r="A1366" i="29"/>
  <c r="A1365" i="29"/>
  <c r="A1364" i="29"/>
  <c r="A1363" i="29"/>
  <c r="A1362" i="29"/>
  <c r="A1361" i="29"/>
  <c r="A1360" i="29"/>
  <c r="A1359" i="29"/>
  <c r="A1358" i="29"/>
  <c r="A1357" i="29"/>
  <c r="A1356" i="29"/>
  <c r="A1355" i="29"/>
  <c r="A1354" i="29"/>
  <c r="A1353" i="29"/>
  <c r="A1352" i="29"/>
  <c r="A1351" i="29"/>
  <c r="A1350" i="29"/>
  <c r="A1349" i="29"/>
  <c r="A1348" i="29"/>
  <c r="A1347" i="29"/>
  <c r="A1346" i="29"/>
  <c r="A1345" i="29"/>
  <c r="A1344" i="29"/>
  <c r="A1343" i="29"/>
  <c r="A1342" i="29"/>
  <c r="A1341" i="29"/>
  <c r="A1340" i="29"/>
  <c r="A1339" i="29"/>
  <c r="A1338" i="29"/>
  <c r="A1337" i="29"/>
  <c r="A1336" i="29"/>
  <c r="A1335" i="29"/>
  <c r="A1334" i="29"/>
  <c r="A1333" i="29"/>
  <c r="A1332" i="29"/>
  <c r="A1331" i="29"/>
  <c r="A1330" i="29"/>
  <c r="A1329" i="29"/>
  <c r="A1328" i="29"/>
  <c r="A1327" i="29"/>
  <c r="A1326" i="29"/>
  <c r="A1325" i="29"/>
  <c r="A1324" i="29"/>
  <c r="A1323" i="29"/>
  <c r="A1322" i="29"/>
  <c r="A1321" i="29"/>
  <c r="A1320" i="29"/>
  <c r="A1319" i="29"/>
  <c r="A1318" i="29"/>
  <c r="A1317" i="29"/>
  <c r="A1316" i="29"/>
  <c r="A1315" i="29"/>
  <c r="A1314" i="29"/>
  <c r="A1313" i="29"/>
  <c r="A1312" i="29"/>
  <c r="A1311" i="29"/>
  <c r="A1310" i="29"/>
  <c r="A1309" i="29"/>
  <c r="A1308" i="29"/>
  <c r="A1307" i="29"/>
  <c r="A1306" i="29"/>
  <c r="A1305" i="29"/>
  <c r="A1304" i="29"/>
  <c r="A1303" i="29"/>
  <c r="A1302" i="29"/>
  <c r="A1301" i="29"/>
  <c r="A1300" i="29"/>
  <c r="A1299" i="29"/>
  <c r="A1298" i="29"/>
  <c r="A1297" i="29"/>
  <c r="A1296" i="29"/>
  <c r="A1295" i="29"/>
  <c r="A1294" i="29"/>
  <c r="A1293" i="29"/>
  <c r="A1292" i="29"/>
  <c r="A1291" i="29"/>
  <c r="A1290" i="29"/>
  <c r="A1289" i="29"/>
  <c r="A1288" i="29"/>
  <c r="A1287" i="29"/>
  <c r="A1286" i="29"/>
  <c r="A1285" i="29"/>
  <c r="A1284" i="29"/>
  <c r="A1283" i="29"/>
  <c r="A1282" i="29"/>
  <c r="A1281" i="29"/>
  <c r="A1280" i="29"/>
  <c r="A1279" i="29"/>
  <c r="A1278" i="29"/>
  <c r="A1277" i="29"/>
  <c r="A1276" i="29"/>
  <c r="A1275" i="29"/>
  <c r="A1274" i="29"/>
  <c r="A1273" i="29"/>
  <c r="A1272" i="29"/>
  <c r="A1271" i="29"/>
  <c r="A1270" i="29"/>
  <c r="A1269" i="29"/>
  <c r="A1268" i="29"/>
  <c r="A1267" i="29"/>
  <c r="A1266" i="29"/>
  <c r="A1265" i="29"/>
  <c r="A1264" i="29"/>
  <c r="A1263" i="29"/>
  <c r="A1262" i="29"/>
  <c r="A1261" i="29"/>
  <c r="A1260" i="29"/>
  <c r="A1259" i="29"/>
  <c r="A1258" i="29"/>
  <c r="A1257" i="29"/>
  <c r="A1256" i="29"/>
  <c r="A1255" i="29"/>
  <c r="A1254" i="29"/>
  <c r="A1253" i="29"/>
  <c r="A1252" i="29"/>
  <c r="A1251" i="29"/>
  <c r="A1250" i="29"/>
  <c r="A1249" i="29"/>
  <c r="A1248" i="29"/>
  <c r="A1247" i="29"/>
  <c r="A1246" i="29"/>
  <c r="A1245" i="29"/>
  <c r="A1244" i="29"/>
  <c r="A1243" i="29"/>
  <c r="A1242" i="29"/>
  <c r="A1241" i="29"/>
  <c r="A1240" i="29"/>
  <c r="A1239" i="29"/>
  <c r="A1238" i="29"/>
  <c r="A1237" i="29"/>
  <c r="A1236" i="29"/>
  <c r="A1235" i="29"/>
  <c r="A1234" i="29"/>
  <c r="A1233" i="29"/>
  <c r="A1232" i="29"/>
  <c r="A1231" i="29"/>
  <c r="A1230" i="29"/>
  <c r="A1229" i="29"/>
  <c r="A1228" i="29"/>
  <c r="A1227" i="29"/>
  <c r="A1226" i="29"/>
  <c r="A1225" i="29"/>
  <c r="A1224" i="29"/>
  <c r="A1223" i="29"/>
  <c r="A1222" i="29"/>
  <c r="A1221" i="29"/>
  <c r="A1220" i="29"/>
  <c r="A1219" i="29"/>
  <c r="A1218" i="29"/>
  <c r="A1217" i="29"/>
  <c r="A1216" i="29"/>
  <c r="A1215" i="29"/>
  <c r="A1214" i="29"/>
  <c r="A1213" i="29"/>
  <c r="A1212" i="29"/>
  <c r="A1211" i="29"/>
  <c r="A1210" i="29"/>
  <c r="A1209" i="29"/>
  <c r="A1208" i="29"/>
  <c r="A1207" i="29"/>
  <c r="A1206" i="29"/>
  <c r="A1205" i="29"/>
  <c r="A1204" i="29"/>
  <c r="A1203" i="29"/>
  <c r="A1202" i="29"/>
  <c r="A1201" i="29"/>
  <c r="A1200" i="29"/>
  <c r="A1199" i="29"/>
  <c r="A1198" i="29"/>
  <c r="A1197" i="29"/>
  <c r="A1196" i="29"/>
  <c r="A1195" i="29"/>
  <c r="A1194" i="29"/>
  <c r="A1193" i="29"/>
  <c r="A1192" i="29"/>
  <c r="A1191" i="29"/>
  <c r="A1190" i="29"/>
  <c r="A1189" i="29"/>
  <c r="A1188" i="29"/>
  <c r="A1187" i="29"/>
  <c r="A1186" i="29"/>
  <c r="A1185" i="29"/>
  <c r="A1184" i="29"/>
  <c r="A1183" i="29"/>
  <c r="A1182" i="29"/>
  <c r="A1181" i="29"/>
  <c r="A1180" i="29"/>
  <c r="A1179" i="29"/>
  <c r="A1178" i="29"/>
  <c r="A1177" i="29"/>
  <c r="A1176" i="29"/>
  <c r="A1175" i="29"/>
  <c r="A1174" i="29"/>
  <c r="A1173" i="29"/>
  <c r="A1172" i="29"/>
  <c r="A1171" i="29"/>
  <c r="A1170" i="29"/>
  <c r="A1169" i="29"/>
  <c r="A1168" i="29"/>
  <c r="A1167" i="29"/>
  <c r="A1166" i="29"/>
  <c r="A1165" i="29"/>
  <c r="A1164" i="29"/>
  <c r="A1163" i="29"/>
  <c r="A1162" i="29"/>
  <c r="A1161" i="29"/>
  <c r="A1160" i="29"/>
  <c r="A1159" i="29"/>
  <c r="A1158" i="29"/>
  <c r="A1157" i="29"/>
  <c r="A1156" i="29"/>
  <c r="A1155" i="29"/>
  <c r="A1154" i="29"/>
  <c r="A1153" i="29"/>
  <c r="A1152" i="29"/>
  <c r="A1151" i="29"/>
  <c r="A1150" i="29"/>
  <c r="A1149" i="29"/>
  <c r="A1148" i="29"/>
  <c r="A1147" i="29"/>
  <c r="A1146" i="29"/>
  <c r="A1145" i="29"/>
  <c r="A1144" i="29"/>
  <c r="A1143" i="29"/>
  <c r="A1142" i="29"/>
  <c r="A1141" i="29"/>
  <c r="A1140" i="29"/>
  <c r="A1139" i="29"/>
  <c r="A1138" i="29"/>
  <c r="A1137" i="29"/>
  <c r="A1136" i="29"/>
  <c r="A1135" i="29"/>
  <c r="A1134" i="29"/>
  <c r="A1133" i="29"/>
  <c r="A1132" i="29"/>
  <c r="A1131" i="29"/>
  <c r="A1130" i="29"/>
  <c r="A1129" i="29"/>
  <c r="A1128" i="29"/>
  <c r="A1127" i="29"/>
  <c r="A1126" i="29"/>
  <c r="A1125" i="29"/>
  <c r="A1124" i="29"/>
  <c r="A1123" i="29"/>
  <c r="A1122" i="29"/>
  <c r="A1121" i="29"/>
  <c r="A1120" i="29"/>
  <c r="A1119" i="29"/>
  <c r="A1118" i="29"/>
  <c r="A1117" i="29"/>
  <c r="A1116" i="29"/>
  <c r="A1115" i="29"/>
  <c r="A1114" i="29"/>
  <c r="A1113" i="29"/>
  <c r="A1112" i="29"/>
  <c r="A1111" i="29"/>
  <c r="A1110" i="29"/>
  <c r="A1109" i="29"/>
  <c r="A1108" i="29"/>
  <c r="A1107" i="29"/>
  <c r="A1106" i="29"/>
  <c r="A1105" i="29"/>
  <c r="A1104" i="29"/>
  <c r="A1103" i="29"/>
  <c r="A1102" i="29"/>
  <c r="A1101" i="29"/>
  <c r="A1100" i="29"/>
  <c r="A1099" i="29"/>
  <c r="A1098" i="29"/>
  <c r="A1097" i="29"/>
  <c r="A1096" i="29"/>
  <c r="A1095" i="29"/>
  <c r="A1094" i="29"/>
  <c r="A1093" i="29"/>
  <c r="A1092" i="29"/>
  <c r="A1091" i="29"/>
  <c r="A1090" i="29"/>
  <c r="A1089" i="29"/>
  <c r="A1088" i="29"/>
  <c r="A1087" i="29"/>
  <c r="A1086" i="29"/>
  <c r="A1085" i="29"/>
  <c r="A1084" i="29"/>
  <c r="A1083" i="29"/>
  <c r="A1082" i="29"/>
  <c r="A1081" i="29"/>
  <c r="A1080" i="29"/>
  <c r="A1079" i="29"/>
  <c r="A1078" i="29"/>
  <c r="A1077" i="29"/>
  <c r="A1076" i="29"/>
  <c r="A1075" i="29"/>
  <c r="A1074" i="29"/>
  <c r="A1073" i="29"/>
  <c r="A1072" i="29"/>
  <c r="A1071" i="29"/>
  <c r="A1070" i="29"/>
  <c r="A1069" i="29"/>
  <c r="A1068" i="29"/>
  <c r="A1067" i="29"/>
  <c r="A1066" i="29"/>
  <c r="A1065" i="29"/>
  <c r="A1064" i="29"/>
  <c r="A1063" i="29"/>
  <c r="A1062" i="29"/>
  <c r="A1061" i="29"/>
  <c r="A1060" i="29"/>
  <c r="A1059" i="29"/>
  <c r="A1058" i="29"/>
  <c r="A1057" i="29"/>
  <c r="A1056" i="29"/>
  <c r="A1055" i="29"/>
  <c r="A1054" i="29"/>
  <c r="A1053" i="29"/>
  <c r="A1052" i="29"/>
  <c r="A1051" i="29"/>
  <c r="A1050" i="29"/>
  <c r="A1049" i="29"/>
  <c r="A1048" i="29"/>
  <c r="A1047" i="29"/>
  <c r="A1046" i="29"/>
  <c r="A1045" i="29"/>
  <c r="A1044" i="29"/>
  <c r="A1043" i="29"/>
  <c r="A1042" i="29"/>
  <c r="A1041" i="29"/>
  <c r="A1040" i="29"/>
  <c r="A1039" i="29"/>
  <c r="A1038" i="29"/>
  <c r="A1037" i="29"/>
  <c r="A1036" i="29"/>
  <c r="A1035" i="29"/>
  <c r="A1034" i="29"/>
  <c r="A1033" i="29"/>
  <c r="A1032" i="29"/>
  <c r="A1031" i="29"/>
  <c r="A1030" i="29"/>
  <c r="A1029" i="29"/>
  <c r="A1028" i="29"/>
  <c r="A1027" i="29"/>
  <c r="A1026" i="29"/>
  <c r="A1025" i="29"/>
  <c r="A1024" i="29"/>
  <c r="A1023" i="29"/>
  <c r="A1022" i="29"/>
  <c r="A1021" i="29"/>
  <c r="A1020" i="29"/>
  <c r="A1019" i="29"/>
  <c r="A1018" i="29"/>
  <c r="A1017" i="29"/>
  <c r="A1016" i="29"/>
  <c r="A1015" i="29"/>
  <c r="A1014" i="29"/>
  <c r="A1013" i="29"/>
  <c r="A1012" i="29"/>
  <c r="A1011" i="29"/>
  <c r="A1010" i="29"/>
  <c r="A1009" i="29"/>
  <c r="A1008" i="29"/>
  <c r="A1007" i="29"/>
  <c r="A1006" i="29"/>
  <c r="A1005" i="29"/>
  <c r="A1004" i="29"/>
  <c r="A1003" i="29"/>
  <c r="A1002" i="29"/>
  <c r="A1001" i="29"/>
  <c r="A1000" i="29"/>
  <c r="A999" i="29"/>
  <c r="A998" i="29"/>
  <c r="A997" i="29"/>
  <c r="A996" i="29"/>
  <c r="A995" i="29"/>
  <c r="A994" i="29"/>
  <c r="A993" i="29"/>
  <c r="A992" i="29"/>
  <c r="A991" i="29"/>
  <c r="A990" i="29"/>
  <c r="A989" i="29"/>
  <c r="A988" i="29"/>
  <c r="A987" i="29"/>
  <c r="A986" i="29"/>
  <c r="A985" i="29"/>
  <c r="A984" i="29"/>
  <c r="A983" i="29"/>
  <c r="A982" i="29"/>
  <c r="A981" i="29"/>
  <c r="A980" i="29"/>
  <c r="A979" i="29"/>
  <c r="A978" i="29"/>
  <c r="A977" i="29"/>
  <c r="A976" i="29"/>
  <c r="A975" i="29"/>
  <c r="A974" i="29"/>
  <c r="A973" i="29"/>
  <c r="A972" i="29"/>
  <c r="A971" i="29"/>
  <c r="A970" i="29"/>
  <c r="A969" i="29"/>
  <c r="A968" i="29"/>
  <c r="A967" i="29"/>
  <c r="A966" i="29"/>
  <c r="A965" i="29"/>
  <c r="A964" i="29"/>
  <c r="A963" i="29"/>
  <c r="A962" i="29"/>
  <c r="A961" i="29"/>
  <c r="A960" i="29"/>
  <c r="A959" i="29"/>
  <c r="A958" i="29"/>
  <c r="A957" i="29"/>
  <c r="A956" i="29"/>
  <c r="A955" i="29"/>
  <c r="A954" i="29"/>
  <c r="A953" i="29"/>
  <c r="A952" i="29"/>
  <c r="A951" i="29"/>
  <c r="A950" i="29"/>
  <c r="A949" i="29"/>
  <c r="A948" i="29"/>
  <c r="A947" i="29"/>
  <c r="A946" i="29"/>
  <c r="A945" i="29"/>
  <c r="A944" i="29"/>
  <c r="A943" i="29"/>
  <c r="A942" i="29"/>
  <c r="A941" i="29"/>
  <c r="A940" i="29"/>
  <c r="A939" i="29"/>
  <c r="A938" i="29"/>
  <c r="A937" i="29"/>
  <c r="A936" i="29"/>
  <c r="A935" i="29"/>
  <c r="A934" i="29"/>
  <c r="A933" i="29"/>
  <c r="A932" i="29"/>
  <c r="A931" i="29"/>
  <c r="A930" i="29"/>
  <c r="A929" i="29"/>
  <c r="A928" i="29"/>
  <c r="A927" i="29"/>
  <c r="A926" i="29"/>
  <c r="A925" i="29"/>
  <c r="A924" i="29"/>
  <c r="A923" i="29"/>
  <c r="A922" i="29"/>
  <c r="A921" i="29"/>
  <c r="A920" i="29"/>
  <c r="A919" i="29"/>
  <c r="A918" i="29"/>
  <c r="A917" i="29"/>
  <c r="A916" i="29"/>
  <c r="A915" i="29"/>
  <c r="A914" i="29"/>
  <c r="A913" i="29"/>
  <c r="A912" i="29"/>
  <c r="A911" i="29"/>
  <c r="A910" i="29"/>
  <c r="A909" i="29"/>
  <c r="A908" i="29"/>
  <c r="A907" i="29"/>
  <c r="A906" i="29"/>
  <c r="A905" i="29"/>
  <c r="A904" i="29"/>
  <c r="A903" i="29"/>
  <c r="A902" i="29"/>
  <c r="A901" i="29"/>
  <c r="A900" i="29"/>
  <c r="A899" i="29"/>
  <c r="A898" i="29"/>
  <c r="A897" i="29"/>
  <c r="A896" i="29"/>
  <c r="A895" i="29"/>
  <c r="A894" i="29"/>
  <c r="A893" i="29"/>
  <c r="A892" i="29"/>
  <c r="A891" i="29"/>
  <c r="A890" i="29"/>
  <c r="A889" i="29"/>
  <c r="A888" i="29"/>
  <c r="A887" i="29"/>
  <c r="A886" i="29"/>
  <c r="A885" i="29"/>
  <c r="A884" i="29"/>
  <c r="A883" i="29"/>
  <c r="A882" i="29"/>
  <c r="A881" i="29"/>
  <c r="A880" i="29"/>
  <c r="A879" i="29"/>
  <c r="A878" i="29"/>
  <c r="A877" i="29"/>
  <c r="A876" i="29"/>
  <c r="A875" i="29"/>
  <c r="A874" i="29"/>
  <c r="A873" i="29"/>
  <c r="A872" i="29"/>
  <c r="A871" i="29"/>
  <c r="A870" i="29"/>
  <c r="A869" i="29"/>
  <c r="A868" i="29"/>
  <c r="A867" i="29"/>
  <c r="A866" i="29"/>
  <c r="A865" i="29"/>
  <c r="A864" i="29"/>
  <c r="A863" i="29"/>
  <c r="A862" i="29"/>
  <c r="A861" i="29"/>
  <c r="A860" i="29"/>
  <c r="A859" i="29"/>
  <c r="A858" i="29"/>
  <c r="A857" i="29"/>
  <c r="A856" i="29"/>
  <c r="A855" i="29"/>
  <c r="A854" i="29"/>
  <c r="A853" i="29"/>
  <c r="A852" i="29"/>
  <c r="A851" i="29"/>
  <c r="A850" i="29"/>
  <c r="A849" i="29"/>
  <c r="A848" i="29"/>
  <c r="A847" i="29"/>
  <c r="A846" i="29"/>
  <c r="A845" i="29"/>
  <c r="A844" i="29"/>
  <c r="A843" i="29"/>
  <c r="A842" i="29"/>
  <c r="A841" i="29"/>
  <c r="A840" i="29"/>
  <c r="A839" i="29"/>
  <c r="A838" i="29"/>
  <c r="A837" i="29"/>
  <c r="A836" i="29"/>
  <c r="A835" i="29"/>
  <c r="A834" i="29"/>
  <c r="A833" i="29"/>
  <c r="A832" i="29"/>
  <c r="A831" i="29"/>
  <c r="A830" i="29"/>
  <c r="A829" i="29"/>
  <c r="A828" i="29"/>
  <c r="A827" i="29"/>
  <c r="A826" i="29"/>
  <c r="A825" i="29"/>
  <c r="A824" i="29"/>
  <c r="A823" i="29"/>
  <c r="A822" i="29"/>
  <c r="A821" i="29"/>
  <c r="A820" i="29"/>
  <c r="A819" i="29"/>
  <c r="A818" i="29"/>
  <c r="A817" i="29"/>
  <c r="A816" i="29"/>
  <c r="A815" i="29"/>
  <c r="A814" i="29"/>
  <c r="A813" i="29"/>
  <c r="A812" i="29"/>
  <c r="A811" i="29"/>
  <c r="A810" i="29"/>
  <c r="A809" i="29"/>
  <c r="A808" i="29"/>
  <c r="A807" i="29"/>
  <c r="A806" i="29"/>
  <c r="A805" i="29"/>
  <c r="A804" i="29"/>
  <c r="A803" i="29"/>
  <c r="A802" i="29"/>
  <c r="A801" i="29"/>
  <c r="A800" i="29"/>
  <c r="A799" i="29"/>
  <c r="A798" i="29"/>
  <c r="A797" i="29"/>
  <c r="A796" i="29"/>
  <c r="A795" i="29"/>
  <c r="A794" i="29"/>
  <c r="A793" i="29"/>
  <c r="A792" i="29"/>
  <c r="A791" i="29"/>
  <c r="A790" i="29"/>
  <c r="A789" i="29"/>
  <c r="A788" i="29"/>
  <c r="A787" i="29"/>
  <c r="A786" i="29"/>
  <c r="A785" i="29"/>
  <c r="A784" i="29"/>
  <c r="A783" i="29"/>
  <c r="A782" i="29"/>
  <c r="A781" i="29"/>
  <c r="A780" i="29"/>
  <c r="A779" i="29"/>
  <c r="A778" i="29"/>
  <c r="A777" i="29"/>
  <c r="A776" i="29"/>
  <c r="A775" i="29"/>
  <c r="A774" i="29"/>
  <c r="A773" i="29"/>
  <c r="A772" i="29"/>
  <c r="A771" i="29"/>
  <c r="A770" i="29"/>
  <c r="A769" i="29"/>
  <c r="A768" i="29"/>
  <c r="A767" i="29"/>
  <c r="A766" i="29"/>
  <c r="A765" i="29"/>
  <c r="A764" i="29"/>
  <c r="A763" i="29"/>
  <c r="A762" i="29"/>
  <c r="A761" i="29"/>
  <c r="A760" i="29"/>
  <c r="A759" i="29"/>
  <c r="A758" i="29"/>
  <c r="A757" i="29"/>
  <c r="A756" i="29"/>
  <c r="A755" i="29"/>
  <c r="A754" i="29"/>
  <c r="A753" i="29"/>
  <c r="A752" i="29"/>
  <c r="A751" i="29"/>
  <c r="A750" i="29"/>
  <c r="A749" i="29"/>
  <c r="A748" i="29"/>
  <c r="A747" i="29"/>
  <c r="A746" i="29"/>
  <c r="A745" i="29"/>
  <c r="A744" i="29"/>
  <c r="A743" i="29"/>
  <c r="A742" i="29"/>
  <c r="A741" i="29"/>
  <c r="A740" i="29"/>
  <c r="A739" i="29"/>
  <c r="A738" i="29"/>
  <c r="A737" i="29"/>
  <c r="A736" i="29"/>
  <c r="A735" i="29"/>
  <c r="A734" i="29"/>
  <c r="A733" i="29"/>
  <c r="A732" i="29"/>
  <c r="A731" i="29"/>
  <c r="A730" i="29"/>
  <c r="A729" i="29"/>
  <c r="A728" i="29"/>
  <c r="A727" i="29"/>
  <c r="A726" i="29"/>
  <c r="A725" i="29"/>
  <c r="A724" i="29"/>
  <c r="A723" i="29"/>
  <c r="A722" i="29"/>
  <c r="A721" i="29"/>
  <c r="A720" i="29"/>
  <c r="A719" i="29"/>
  <c r="A718" i="29"/>
  <c r="A717" i="29"/>
  <c r="A716" i="29"/>
  <c r="A715" i="29"/>
  <c r="A714" i="29"/>
  <c r="A713" i="29"/>
  <c r="A712" i="29"/>
  <c r="A711" i="29"/>
  <c r="A710" i="29"/>
  <c r="A709" i="29"/>
  <c r="A708" i="29"/>
  <c r="A707" i="29"/>
  <c r="A706" i="29"/>
  <c r="A705" i="29"/>
  <c r="A704" i="29"/>
  <c r="A703" i="29"/>
  <c r="A702" i="29"/>
  <c r="A701" i="29"/>
  <c r="A700" i="29"/>
  <c r="A699" i="29"/>
  <c r="A698" i="29"/>
  <c r="A697" i="29"/>
  <c r="A696" i="29"/>
  <c r="A695" i="29"/>
  <c r="A694" i="29"/>
  <c r="A693" i="29"/>
  <c r="A692" i="29"/>
  <c r="A691" i="29"/>
  <c r="A690" i="29"/>
  <c r="A689" i="29"/>
  <c r="A688" i="29"/>
  <c r="A687" i="29"/>
  <c r="A686" i="29"/>
  <c r="A685" i="29"/>
  <c r="A684" i="29"/>
  <c r="A683" i="29"/>
  <c r="A682" i="29"/>
  <c r="A681" i="29"/>
  <c r="A680" i="29"/>
  <c r="A679" i="29"/>
  <c r="A678" i="29"/>
  <c r="A677" i="29"/>
  <c r="A676" i="29"/>
  <c r="A675" i="29"/>
  <c r="A674" i="29"/>
  <c r="A673" i="29"/>
  <c r="A672" i="29"/>
  <c r="A671" i="29"/>
  <c r="A670" i="29"/>
  <c r="A669" i="29"/>
  <c r="A668" i="29"/>
  <c r="A667" i="29"/>
  <c r="A666" i="29"/>
  <c r="A665" i="29"/>
  <c r="A664" i="29"/>
  <c r="A663" i="29"/>
  <c r="A662" i="29"/>
  <c r="A661" i="29"/>
  <c r="A660" i="29"/>
  <c r="A659" i="29"/>
  <c r="A658" i="29"/>
  <c r="A657" i="29"/>
  <c r="A656" i="29"/>
  <c r="A655" i="29"/>
  <c r="A654" i="29"/>
  <c r="A653" i="29"/>
  <c r="A652" i="29"/>
  <c r="A651" i="29"/>
  <c r="A650" i="29"/>
  <c r="A649" i="29"/>
  <c r="A648" i="29"/>
  <c r="A647" i="29"/>
  <c r="A646" i="29"/>
  <c r="A645" i="29"/>
  <c r="A644" i="29"/>
  <c r="A643" i="29"/>
  <c r="A642" i="29"/>
  <c r="A641" i="29"/>
  <c r="A640" i="29"/>
  <c r="A639" i="29"/>
  <c r="A638" i="29"/>
  <c r="A637" i="29"/>
  <c r="A636" i="29"/>
  <c r="A635" i="29"/>
  <c r="A634" i="29"/>
  <c r="A633" i="29"/>
  <c r="A632" i="29"/>
  <c r="A631" i="29"/>
  <c r="A630" i="29"/>
  <c r="A629" i="29"/>
  <c r="A628" i="29"/>
  <c r="A627" i="29"/>
  <c r="A626" i="29"/>
  <c r="A625" i="29"/>
  <c r="A624" i="29"/>
  <c r="A623" i="29"/>
  <c r="A622" i="29"/>
  <c r="A621" i="29"/>
  <c r="A620" i="29"/>
  <c r="A619" i="29"/>
  <c r="A618" i="29"/>
  <c r="A617" i="29"/>
  <c r="A616" i="29"/>
  <c r="A615" i="29"/>
  <c r="A614" i="29"/>
  <c r="A613" i="29"/>
  <c r="A612" i="29"/>
  <c r="A611" i="29"/>
  <c r="A610" i="29"/>
  <c r="A609" i="29"/>
  <c r="A608" i="29"/>
  <c r="A607" i="29"/>
  <c r="A606" i="29"/>
  <c r="A605" i="29"/>
  <c r="A604" i="29"/>
  <c r="A603" i="29"/>
  <c r="A602" i="29"/>
  <c r="A601" i="29"/>
  <c r="A600" i="29"/>
  <c r="A599" i="29"/>
  <c r="A598" i="29"/>
  <c r="A597" i="29"/>
  <c r="A596" i="29"/>
  <c r="A595" i="29"/>
  <c r="A594" i="29"/>
  <c r="A593" i="29"/>
  <c r="A592" i="29"/>
  <c r="A591" i="29"/>
  <c r="A590" i="29"/>
  <c r="A589" i="29"/>
  <c r="A588" i="29"/>
  <c r="A587" i="29"/>
  <c r="A586" i="29"/>
  <c r="A585" i="29"/>
  <c r="A584" i="29"/>
  <c r="A583" i="29"/>
  <c r="A582" i="29"/>
  <c r="A581" i="29"/>
  <c r="A580" i="29"/>
  <c r="A579" i="29"/>
  <c r="A578" i="29"/>
  <c r="A577" i="29"/>
  <c r="A576" i="29"/>
  <c r="A575" i="29"/>
  <c r="A574" i="29"/>
  <c r="A573" i="29"/>
  <c r="A572" i="29"/>
  <c r="A571" i="29"/>
  <c r="A570" i="29"/>
  <c r="A569" i="29"/>
  <c r="A568" i="29"/>
  <c r="A567" i="29"/>
  <c r="A566" i="29"/>
  <c r="A565" i="29"/>
  <c r="A564" i="29"/>
  <c r="A563" i="29"/>
  <c r="A562" i="29"/>
  <c r="A561" i="29"/>
  <c r="A560" i="29"/>
  <c r="A559" i="29"/>
  <c r="A558" i="29"/>
  <c r="A557" i="29"/>
  <c r="A556" i="29"/>
  <c r="A555" i="29"/>
  <c r="A554" i="29"/>
  <c r="A553" i="29"/>
  <c r="A552" i="29"/>
  <c r="A551" i="29"/>
  <c r="A550" i="29"/>
  <c r="A549" i="29"/>
  <c r="A548" i="29"/>
  <c r="A547" i="29"/>
  <c r="A546" i="29"/>
  <c r="A545" i="29"/>
  <c r="A544" i="29"/>
  <c r="A543" i="29"/>
  <c r="A542" i="29"/>
  <c r="A541" i="29"/>
  <c r="A540" i="29"/>
  <c r="A539" i="29"/>
  <c r="A538" i="29"/>
  <c r="A537" i="29"/>
  <c r="A536" i="29"/>
  <c r="A535" i="29"/>
  <c r="A534" i="29"/>
  <c r="A533" i="29"/>
  <c r="A532" i="29"/>
  <c r="A531" i="29"/>
  <c r="A530" i="29"/>
  <c r="A529" i="29"/>
  <c r="A528" i="29"/>
  <c r="A527" i="29"/>
  <c r="A526" i="29"/>
  <c r="A525" i="29"/>
  <c r="A524" i="29"/>
  <c r="A523" i="29"/>
  <c r="A522" i="29"/>
  <c r="A521" i="29"/>
  <c r="A520" i="29"/>
  <c r="A519" i="29"/>
  <c r="A518" i="29"/>
  <c r="A517" i="29"/>
  <c r="A516" i="29"/>
  <c r="A515" i="29"/>
  <c r="A514" i="29"/>
  <c r="A513" i="29"/>
  <c r="A512" i="29"/>
  <c r="A511" i="29"/>
  <c r="A510" i="29"/>
  <c r="A509" i="29"/>
  <c r="A508" i="29"/>
  <c r="A507" i="29"/>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A7" i="29"/>
  <c r="A6" i="29"/>
  <c r="A5" i="29"/>
  <c r="A4" i="29"/>
  <c r="A3" i="29"/>
  <c r="A2" i="29"/>
  <c r="R1" i="29"/>
  <c r="C23" i="31"/>
  <c r="C22" i="31"/>
  <c r="C21" i="31"/>
  <c r="C20" i="31"/>
  <c r="C19" i="31"/>
  <c r="C18" i="31"/>
  <c r="C17" i="31"/>
  <c r="C16" i="31"/>
  <c r="C15" i="31"/>
  <c r="C14" i="31"/>
  <c r="C13" i="31"/>
  <c r="C12" i="31"/>
  <c r="C11" i="31"/>
  <c r="C10" i="31"/>
  <c r="C9" i="31"/>
  <c r="C8" i="31"/>
  <c r="C7" i="31"/>
  <c r="S6" i="31"/>
  <c r="D5" i="31"/>
  <c r="R3" i="31"/>
  <c r="L3" i="31"/>
  <c r="J3" i="31"/>
  <c r="J5" i="36"/>
  <c r="J4" i="36"/>
  <c r="Q90" i="27"/>
  <c r="P90" i="27"/>
  <c r="B90" i="27"/>
  <c r="A90" i="27"/>
  <c r="Q89" i="27"/>
  <c r="P89" i="27"/>
  <c r="B89" i="27"/>
  <c r="A89" i="27"/>
  <c r="Q88" i="27"/>
  <c r="P88" i="27"/>
  <c r="B88" i="27"/>
  <c r="A88" i="27"/>
  <c r="Q87" i="27"/>
  <c r="P87" i="27"/>
  <c r="B87" i="27"/>
  <c r="A87" i="27"/>
  <c r="Q86" i="27"/>
  <c r="P86" i="27"/>
  <c r="B86" i="27"/>
  <c r="A86" i="27"/>
  <c r="Q85" i="27"/>
  <c r="P85" i="27"/>
  <c r="B85" i="27"/>
  <c r="A85" i="27"/>
  <c r="Q84" i="27"/>
  <c r="P84" i="27"/>
  <c r="B84" i="27"/>
  <c r="A84" i="27"/>
  <c r="Q83" i="27"/>
  <c r="P83" i="27"/>
  <c r="B83" i="27"/>
  <c r="A83" i="27"/>
  <c r="Q82" i="27"/>
  <c r="P82" i="27"/>
  <c r="B82" i="27"/>
  <c r="A82" i="27"/>
  <c r="Q81" i="27"/>
  <c r="P81" i="27"/>
  <c r="B81" i="27"/>
  <c r="A81" i="27"/>
  <c r="Q80" i="27"/>
  <c r="P80" i="27"/>
  <c r="B80" i="27"/>
  <c r="A80" i="27"/>
  <c r="Q79" i="27"/>
  <c r="P79" i="27"/>
  <c r="B79" i="27"/>
  <c r="A79" i="27"/>
  <c r="Q78" i="27"/>
  <c r="P78" i="27"/>
  <c r="B78" i="27"/>
  <c r="A78" i="27"/>
  <c r="Q77" i="27"/>
  <c r="P77" i="27"/>
  <c r="B77" i="27"/>
  <c r="A77" i="27"/>
  <c r="Q76" i="27"/>
  <c r="P76" i="27"/>
  <c r="B76" i="27"/>
  <c r="A76" i="27"/>
  <c r="Q75" i="27"/>
  <c r="P75" i="27"/>
  <c r="B75" i="27"/>
  <c r="A75" i="27"/>
  <c r="Q74" i="27"/>
  <c r="P74" i="27"/>
  <c r="B74" i="27"/>
  <c r="A74" i="27"/>
  <c r="Q73" i="27"/>
  <c r="P73" i="27"/>
  <c r="B73" i="27"/>
  <c r="A73" i="27"/>
  <c r="Q72" i="27"/>
  <c r="P72" i="27"/>
  <c r="B72" i="27"/>
  <c r="A72" i="27"/>
  <c r="Q71" i="27"/>
  <c r="P71" i="27"/>
  <c r="B71" i="27"/>
  <c r="A71" i="27"/>
  <c r="Q70" i="27"/>
  <c r="P70" i="27"/>
  <c r="B70" i="27"/>
  <c r="A70" i="27"/>
  <c r="Q69" i="27"/>
  <c r="P69" i="27"/>
  <c r="B69" i="27"/>
  <c r="A69" i="27"/>
  <c r="Q68" i="27"/>
  <c r="P68" i="27"/>
  <c r="B68" i="27"/>
  <c r="A68" i="27"/>
  <c r="Q67" i="27"/>
  <c r="P67" i="27"/>
  <c r="B67" i="27"/>
  <c r="A67" i="27"/>
  <c r="Q66" i="27"/>
  <c r="P66" i="27"/>
  <c r="B66" i="27"/>
  <c r="A66" i="27"/>
  <c r="Q65" i="27"/>
  <c r="P65" i="27"/>
  <c r="B65" i="27"/>
  <c r="A65" i="27"/>
  <c r="Q64" i="27"/>
  <c r="P64" i="27"/>
  <c r="B64" i="27"/>
  <c r="A64" i="27"/>
  <c r="Q63" i="27"/>
  <c r="P63" i="27"/>
  <c r="B63" i="27"/>
  <c r="A63" i="27"/>
  <c r="Q62" i="27"/>
  <c r="P62" i="27"/>
  <c r="B62" i="27"/>
  <c r="A62" i="27"/>
  <c r="Q61" i="27"/>
  <c r="P61" i="27"/>
  <c r="B61" i="27"/>
  <c r="A61" i="27"/>
  <c r="Q60" i="27"/>
  <c r="P60" i="27"/>
  <c r="B60" i="27"/>
  <c r="A60" i="27"/>
  <c r="Q59" i="27"/>
  <c r="P59" i="27"/>
  <c r="B59" i="27"/>
  <c r="A59" i="27"/>
  <c r="Q58" i="27"/>
  <c r="P58" i="27"/>
  <c r="B58" i="27"/>
  <c r="A58" i="27"/>
  <c r="Q57" i="27"/>
  <c r="P57" i="27"/>
  <c r="B57" i="27"/>
  <c r="A57" i="27"/>
  <c r="Q56" i="27"/>
  <c r="P56" i="27"/>
  <c r="B56" i="27"/>
  <c r="A56" i="27"/>
  <c r="Q55" i="27"/>
  <c r="P55" i="27"/>
  <c r="B55" i="27"/>
  <c r="A55" i="27"/>
  <c r="Q54" i="27"/>
  <c r="P54" i="27"/>
  <c r="B54" i="27"/>
  <c r="A54" i="27"/>
  <c r="Q53" i="27"/>
  <c r="P53" i="27"/>
  <c r="B53" i="27"/>
  <c r="A53" i="27"/>
  <c r="Q52" i="27"/>
  <c r="P52" i="27"/>
  <c r="B52" i="27"/>
  <c r="A52" i="27"/>
  <c r="Q51" i="27"/>
  <c r="P51" i="27"/>
  <c r="B51" i="27"/>
  <c r="A51" i="27"/>
  <c r="Q50" i="27"/>
  <c r="P50" i="27"/>
  <c r="B50" i="27"/>
  <c r="A50" i="27"/>
  <c r="Q49" i="27"/>
  <c r="P49" i="27"/>
  <c r="B49" i="27"/>
  <c r="A49" i="27"/>
  <c r="Q48" i="27"/>
  <c r="P48" i="27"/>
  <c r="B48" i="27"/>
  <c r="A48" i="27"/>
  <c r="Q47" i="27"/>
  <c r="P47" i="27"/>
  <c r="B47" i="27"/>
  <c r="A47" i="27"/>
  <c r="Q46" i="27"/>
  <c r="P46" i="27"/>
  <c r="B46" i="27"/>
  <c r="A46" i="27"/>
  <c r="Q45" i="27"/>
  <c r="P45" i="27"/>
  <c r="B45" i="27"/>
  <c r="A45" i="27"/>
  <c r="Q44" i="27"/>
  <c r="P44" i="27"/>
  <c r="B44" i="27"/>
  <c r="A44" i="27"/>
  <c r="Q43" i="27"/>
  <c r="P43" i="27"/>
  <c r="B43" i="27"/>
  <c r="A43" i="27"/>
  <c r="Q42" i="27"/>
  <c r="P42" i="27"/>
  <c r="B42" i="27"/>
  <c r="A42" i="27"/>
  <c r="Q41" i="27"/>
  <c r="P41" i="27"/>
  <c r="B41" i="27"/>
  <c r="A41" i="27"/>
  <c r="Q40" i="27"/>
  <c r="P40" i="27"/>
  <c r="B40" i="27"/>
  <c r="A40" i="27"/>
  <c r="Q39" i="27"/>
  <c r="P39" i="27"/>
  <c r="B39" i="27"/>
  <c r="A39" i="27"/>
  <c r="Q38" i="27"/>
  <c r="P38" i="27"/>
  <c r="B38" i="27"/>
  <c r="A38" i="27"/>
  <c r="Q37" i="27"/>
  <c r="P37" i="27"/>
  <c r="B37" i="27"/>
  <c r="A37" i="27"/>
  <c r="Q36" i="27"/>
  <c r="P36" i="27"/>
  <c r="B36" i="27"/>
  <c r="A36" i="27"/>
  <c r="Q35" i="27"/>
  <c r="P35" i="27"/>
  <c r="B35" i="27"/>
  <c r="A35" i="27"/>
  <c r="Q34" i="27"/>
  <c r="P34" i="27"/>
  <c r="B34" i="27"/>
  <c r="A34" i="27"/>
  <c r="Q33" i="27"/>
  <c r="P33" i="27"/>
  <c r="B33" i="27"/>
  <c r="A33" i="27"/>
  <c r="Q32" i="27"/>
  <c r="P32" i="27"/>
  <c r="B32" i="27"/>
  <c r="A32" i="27"/>
  <c r="Q31" i="27"/>
  <c r="P31" i="27"/>
  <c r="B31" i="27"/>
  <c r="A31" i="27"/>
  <c r="Q30" i="27"/>
  <c r="P30" i="27"/>
  <c r="B30" i="27"/>
  <c r="A30" i="27"/>
  <c r="Q29" i="27"/>
  <c r="P29" i="27"/>
  <c r="B29" i="27"/>
  <c r="A29" i="27"/>
  <c r="Q28" i="27"/>
  <c r="P28" i="27"/>
  <c r="B28" i="27"/>
  <c r="A28" i="27"/>
  <c r="Q27" i="27"/>
  <c r="P27" i="27"/>
  <c r="B27" i="27"/>
  <c r="A27" i="27"/>
  <c r="Q26" i="27"/>
  <c r="P26" i="27"/>
  <c r="B26" i="27"/>
  <c r="A26" i="27"/>
  <c r="Q25" i="27"/>
  <c r="P25" i="27"/>
  <c r="B25" i="27"/>
  <c r="A25" i="27"/>
  <c r="Q24" i="27"/>
  <c r="P24" i="27"/>
  <c r="B24" i="27"/>
  <c r="A24" i="27"/>
  <c r="Q23" i="27"/>
  <c r="P23" i="27"/>
  <c r="B23" i="27"/>
  <c r="A23" i="27"/>
  <c r="Q22" i="27"/>
  <c r="P22" i="27"/>
  <c r="B22" i="27"/>
  <c r="A22" i="27"/>
  <c r="Q21" i="27"/>
  <c r="P21" i="27"/>
  <c r="B21" i="27"/>
  <c r="A21" i="27"/>
  <c r="Q20" i="27"/>
  <c r="P20" i="27"/>
  <c r="B20" i="27"/>
  <c r="A20" i="27"/>
  <c r="Q19" i="27"/>
  <c r="P19" i="27"/>
  <c r="B19" i="27"/>
  <c r="A19" i="27"/>
  <c r="Q18" i="27"/>
  <c r="P18" i="27"/>
  <c r="B18" i="27"/>
  <c r="A18" i="27"/>
  <c r="Q17" i="27"/>
  <c r="P17" i="27"/>
  <c r="B17" i="27"/>
  <c r="A17" i="27"/>
  <c r="Q16" i="27"/>
  <c r="P16" i="27"/>
  <c r="B16" i="27"/>
  <c r="A16" i="27"/>
  <c r="Q15" i="27"/>
  <c r="P15" i="27"/>
  <c r="B15" i="27"/>
  <c r="A15" i="27"/>
  <c r="Q14" i="27"/>
  <c r="P14" i="27"/>
  <c r="B14" i="27"/>
  <c r="A14" i="27"/>
  <c r="Q13" i="27"/>
  <c r="P13" i="27"/>
  <c r="B13" i="27"/>
  <c r="A13" i="27"/>
  <c r="Q12" i="27"/>
  <c r="P12" i="27"/>
  <c r="B12" i="27"/>
  <c r="A12" i="27"/>
  <c r="Q11" i="27"/>
  <c r="P11" i="27"/>
  <c r="B11" i="27"/>
  <c r="A11" i="27"/>
  <c r="Q10" i="27"/>
  <c r="P10" i="27"/>
  <c r="B10" i="27"/>
  <c r="A10" i="27"/>
  <c r="Q9" i="27"/>
  <c r="P9" i="27"/>
  <c r="B9" i="27"/>
  <c r="A9" i="27"/>
  <c r="Q8" i="27"/>
  <c r="P8" i="27"/>
  <c r="B8" i="27"/>
  <c r="A8" i="27"/>
  <c r="Q7" i="27"/>
  <c r="P7" i="27"/>
  <c r="B7" i="27"/>
  <c r="A7" i="27"/>
  <c r="Q6" i="27"/>
  <c r="P6" i="27"/>
  <c r="B6" i="27"/>
  <c r="A6" i="27"/>
  <c r="Q5" i="27"/>
  <c r="P5" i="27"/>
  <c r="B5" i="27"/>
  <c r="A5" i="27"/>
  <c r="Q4" i="27"/>
  <c r="P4" i="27"/>
  <c r="B4" i="27"/>
  <c r="A4" i="27"/>
  <c r="H5" i="36"/>
  <c r="H4" i="36"/>
  <c r="Q1" i="27"/>
  <c r="R2" i="27" s="1"/>
  <c r="S2" i="27" s="1"/>
  <c r="E19" i="3"/>
  <c r="E15" i="3"/>
  <c r="E11" i="3"/>
  <c r="E18" i="3"/>
  <c r="F14" i="3"/>
  <c r="F17" i="3"/>
  <c r="F13" i="3"/>
  <c r="E16" i="3"/>
  <c r="E12" i="3"/>
  <c r="E7" i="3"/>
  <c r="U20" i="31" l="1"/>
  <c r="U19" i="31"/>
  <c r="U18" i="31"/>
  <c r="U17" i="31"/>
  <c r="U16" i="31"/>
  <c r="U15" i="31"/>
  <c r="U14" i="31"/>
  <c r="U13" i="31"/>
  <c r="U12" i="31"/>
  <c r="U11" i="31"/>
  <c r="U10" i="31"/>
  <c r="U9" i="31"/>
  <c r="U8" i="31"/>
  <c r="U7" i="31"/>
  <c r="M5" i="31"/>
  <c r="U22" i="31"/>
  <c r="L5" i="31"/>
  <c r="L15" i="31" s="1"/>
  <c r="U21" i="31"/>
  <c r="J3" i="36"/>
  <c r="G87" i="27"/>
  <c r="G81" i="27"/>
  <c r="G73" i="27"/>
  <c r="M81" i="27"/>
  <c r="M65" i="27"/>
  <c r="M49" i="27"/>
  <c r="M33" i="27"/>
  <c r="M17" i="27"/>
  <c r="T180" i="17"/>
  <c r="C90" i="27"/>
  <c r="C78" i="27"/>
  <c r="M84" i="27"/>
  <c r="M63" i="27"/>
  <c r="M42" i="27"/>
  <c r="M20" i="27"/>
  <c r="L180" i="17"/>
  <c r="T176" i="17"/>
  <c r="S173" i="17"/>
  <c r="R170" i="17"/>
  <c r="Q167" i="17"/>
  <c r="P164" i="17"/>
  <c r="O161" i="17"/>
  <c r="N158" i="17"/>
  <c r="M155" i="17"/>
  <c r="L152" i="17"/>
  <c r="K149" i="17"/>
  <c r="E75" i="27"/>
  <c r="E59" i="27"/>
  <c r="E43" i="27"/>
  <c r="E27" i="27"/>
  <c r="E11" i="27"/>
  <c r="V179" i="17"/>
  <c r="U176" i="17"/>
  <c r="T173" i="17"/>
  <c r="S170" i="17"/>
  <c r="R167" i="17"/>
  <c r="Q164" i="17"/>
  <c r="P161" i="17"/>
  <c r="O158" i="17"/>
  <c r="N155" i="17"/>
  <c r="M152" i="17"/>
  <c r="O90" i="27"/>
  <c r="O82" i="27"/>
  <c r="O74" i="27"/>
  <c r="O66" i="27"/>
  <c r="O58" i="27"/>
  <c r="O50" i="27"/>
  <c r="O42" i="27"/>
  <c r="O34" i="27"/>
  <c r="O26" i="27"/>
  <c r="G56" i="27"/>
  <c r="G24" i="27"/>
  <c r="C8" i="27"/>
  <c r="C42" i="27"/>
  <c r="K15" i="27"/>
  <c r="C69" i="27"/>
  <c r="C84" i="27"/>
  <c r="M88" i="27"/>
  <c r="M60" i="27"/>
  <c r="M32" i="27"/>
  <c r="AB180" i="17"/>
  <c r="L176" i="17"/>
  <c r="L172" i="17"/>
  <c r="AC167" i="17"/>
  <c r="AC163" i="17"/>
  <c r="AC159" i="17"/>
  <c r="Y155" i="17"/>
  <c r="Y151" i="17"/>
  <c r="E84" i="27"/>
  <c r="E62" i="27"/>
  <c r="E41" i="27"/>
  <c r="E20" i="27"/>
  <c r="M180" i="17"/>
  <c r="M176" i="17"/>
  <c r="M172" i="17"/>
  <c r="AD167" i="17"/>
  <c r="AD163" i="17"/>
  <c r="AD159" i="17"/>
  <c r="Z155" i="17"/>
  <c r="Z151" i="17"/>
  <c r="K87" i="27"/>
  <c r="K76" i="27"/>
  <c r="O65" i="27"/>
  <c r="K55" i="27"/>
  <c r="K44" i="27"/>
  <c r="O33" i="27"/>
  <c r="K23" i="27"/>
  <c r="C31" i="27"/>
  <c r="C70" i="27"/>
  <c r="G27" i="27"/>
  <c r="AD180" i="17"/>
  <c r="G30" i="27"/>
  <c r="C13" i="27"/>
  <c r="C52" i="27"/>
  <c r="K18" i="27"/>
  <c r="J180" i="17"/>
  <c r="AC173" i="17"/>
  <c r="AA167" i="17"/>
  <c r="Y161" i="17"/>
  <c r="W155" i="17"/>
  <c r="U149" i="17"/>
  <c r="O146" i="17"/>
  <c r="N143" i="17"/>
  <c r="M140" i="17"/>
  <c r="L137" i="17"/>
  <c r="K134" i="17"/>
  <c r="J131" i="17"/>
  <c r="X179" i="17"/>
  <c r="T171" i="17"/>
  <c r="S163" i="17"/>
  <c r="P155" i="17"/>
  <c r="L148" i="17"/>
  <c r="K144" i="17"/>
  <c r="J140" i="17"/>
  <c r="AC135" i="17"/>
  <c r="AB131" i="17"/>
  <c r="AD127" i="17"/>
  <c r="AC124" i="17"/>
  <c r="AB121" i="17"/>
  <c r="AA118" i="17"/>
  <c r="Z115" i="17"/>
  <c r="Y112" i="17"/>
  <c r="X109" i="17"/>
  <c r="AA179" i="17"/>
  <c r="X171" i="17"/>
  <c r="T163" i="17"/>
  <c r="S155" i="17"/>
  <c r="G85" i="27"/>
  <c r="G88" i="27"/>
  <c r="G79" i="27"/>
  <c r="G71" i="27"/>
  <c r="M77" i="27"/>
  <c r="M61" i="27"/>
  <c r="M45" i="27"/>
  <c r="M29" i="27"/>
  <c r="M13" i="27"/>
  <c r="Y179" i="17"/>
  <c r="G86" i="27"/>
  <c r="C75" i="27"/>
  <c r="M79" i="27"/>
  <c r="M58" i="27"/>
  <c r="M36" i="27"/>
  <c r="M15" i="27"/>
  <c r="M179" i="17"/>
  <c r="Y175" i="17"/>
  <c r="X172" i="17"/>
  <c r="W169" i="17"/>
  <c r="V166" i="17"/>
  <c r="U163" i="17"/>
  <c r="T160" i="17"/>
  <c r="S157" i="17"/>
  <c r="R154" i="17"/>
  <c r="Q151" i="17"/>
  <c r="E87" i="27"/>
  <c r="E71" i="27"/>
  <c r="E55" i="27"/>
  <c r="E39" i="27"/>
  <c r="E23" i="27"/>
  <c r="E7" i="27"/>
  <c r="AA178" i="17"/>
  <c r="Z175" i="17"/>
  <c r="Y172" i="17"/>
  <c r="X169" i="17"/>
  <c r="W166" i="17"/>
  <c r="V163" i="17"/>
  <c r="U160" i="17"/>
  <c r="T157" i="17"/>
  <c r="S154" i="17"/>
  <c r="R151" i="17"/>
  <c r="O88" i="27"/>
  <c r="O80" i="27"/>
  <c r="O72" i="27"/>
  <c r="O64" i="27"/>
  <c r="O56" i="27"/>
  <c r="O48" i="27"/>
  <c r="O40" i="27"/>
  <c r="O32" i="27"/>
  <c r="O24" i="27"/>
  <c r="G48" i="27"/>
  <c r="C20" i="27"/>
  <c r="C66" i="27"/>
  <c r="C34" i="27"/>
  <c r="K11" i="27"/>
  <c r="G58" i="27"/>
  <c r="C80" i="27"/>
  <c r="M82" i="27"/>
  <c r="M54" i="27"/>
  <c r="M24" i="27"/>
  <c r="U179" i="17"/>
  <c r="M175" i="17"/>
  <c r="AD170" i="17"/>
  <c r="AD166" i="17"/>
  <c r="AD162" i="17"/>
  <c r="Z158" i="17"/>
  <c r="Z154" i="17"/>
  <c r="Z150" i="17"/>
  <c r="E78" i="27"/>
  <c r="E57" i="27"/>
  <c r="E36" i="27"/>
  <c r="E14" i="27"/>
  <c r="N179" i="17"/>
  <c r="N175" i="17"/>
  <c r="J171" i="17"/>
  <c r="J167" i="17"/>
  <c r="J163" i="17"/>
  <c r="AA158" i="17"/>
  <c r="AA154" i="17"/>
  <c r="AA150" i="17"/>
  <c r="K84" i="27"/>
  <c r="O73" i="27"/>
  <c r="K63" i="27"/>
  <c r="K52" i="27"/>
  <c r="O41" i="27"/>
  <c r="K31" i="27"/>
  <c r="C63" i="27"/>
  <c r="C22" i="27"/>
  <c r="G59" i="27"/>
  <c r="O18" i="27"/>
  <c r="G66" i="27"/>
  <c r="C25" i="27"/>
  <c r="G10" i="27"/>
  <c r="G41" i="27"/>
  <c r="O15" i="27"/>
  <c r="T178" i="17"/>
  <c r="R172" i="17"/>
  <c r="P166" i="17"/>
  <c r="N160" i="17"/>
  <c r="L154" i="17"/>
  <c r="U148" i="17"/>
  <c r="T145" i="17"/>
  <c r="S142" i="17"/>
  <c r="R139" i="17"/>
  <c r="Q136" i="17"/>
  <c r="P133" i="17"/>
  <c r="O130" i="17"/>
  <c r="V177" i="17"/>
  <c r="U169" i="17"/>
  <c r="R161" i="17"/>
  <c r="N153" i="17"/>
  <c r="L147" i="17"/>
  <c r="K143" i="17"/>
  <c r="AD138" i="17"/>
  <c r="AC134" i="17"/>
  <c r="AB130" i="17"/>
  <c r="C86" i="27"/>
  <c r="G77" i="27"/>
  <c r="M89" i="27"/>
  <c r="M73" i="27"/>
  <c r="M57" i="27"/>
  <c r="M41" i="27"/>
  <c r="M25" i="27"/>
  <c r="M9" i="27"/>
  <c r="AD178" i="17"/>
  <c r="C83" i="27"/>
  <c r="G72" i="27"/>
  <c r="M74" i="27"/>
  <c r="M52" i="27"/>
  <c r="M31" i="27"/>
  <c r="M10" i="27"/>
  <c r="J178" i="17"/>
  <c r="AD174" i="17"/>
  <c r="AC171" i="17"/>
  <c r="AB168" i="17"/>
  <c r="AA165" i="17"/>
  <c r="Z162" i="17"/>
  <c r="Y159" i="17"/>
  <c r="X156" i="17"/>
  <c r="W153" i="17"/>
  <c r="V150" i="17"/>
  <c r="E83" i="27"/>
  <c r="E67" i="27"/>
  <c r="E51" i="27"/>
  <c r="E35" i="27"/>
  <c r="E19" i="27"/>
  <c r="K4" i="27"/>
  <c r="K178" i="17"/>
  <c r="J175" i="17"/>
  <c r="AD171" i="17"/>
  <c r="AC168" i="17"/>
  <c r="AB165" i="17"/>
  <c r="AA162" i="17"/>
  <c r="Z159" i="17"/>
  <c r="Y156" i="17"/>
  <c r="X153" i="17"/>
  <c r="W150" i="17"/>
  <c r="O86" i="27"/>
  <c r="O78" i="27"/>
  <c r="O70" i="27"/>
  <c r="O62" i="27"/>
  <c r="O54" i="27"/>
  <c r="O46" i="27"/>
  <c r="O38" i="27"/>
  <c r="O30" i="27"/>
  <c r="O22" i="27"/>
  <c r="G40" i="27"/>
  <c r="C16" i="27"/>
  <c r="C58" i="27"/>
  <c r="C26" i="27"/>
  <c r="K7" i="27"/>
  <c r="C53" i="27"/>
  <c r="G76" i="27"/>
  <c r="M75" i="27"/>
  <c r="M46" i="27"/>
  <c r="M18" i="27"/>
  <c r="R178" i="17"/>
  <c r="J174" i="17"/>
  <c r="J170" i="17"/>
  <c r="J166" i="17"/>
  <c r="AA161" i="17"/>
  <c r="AA157" i="17"/>
  <c r="AA153" i="17"/>
  <c r="W149" i="17"/>
  <c r="E73" i="27"/>
  <c r="E52" i="27"/>
  <c r="E30" i="27"/>
  <c r="E9" i="27"/>
  <c r="O178" i="17"/>
  <c r="K174" i="17"/>
  <c r="K170" i="17"/>
  <c r="K166" i="17"/>
  <c r="AB161" i="17"/>
  <c r="AB157" i="17"/>
  <c r="AB153" i="17"/>
  <c r="X149" i="17"/>
  <c r="O81" i="27"/>
  <c r="K71" i="27"/>
  <c r="K60" i="27"/>
  <c r="O49" i="27"/>
  <c r="K39" i="27"/>
  <c r="K28" i="27"/>
  <c r="G52" i="27"/>
  <c r="G17" i="27"/>
  <c r="G47" i="27"/>
  <c r="K13" i="27"/>
  <c r="G46" i="27"/>
  <c r="C21" i="27"/>
  <c r="C68" i="27"/>
  <c r="C36" i="27"/>
  <c r="K10" i="27"/>
  <c r="AD176" i="17"/>
  <c r="AB170" i="17"/>
  <c r="Z164" i="17"/>
  <c r="X158" i="17"/>
  <c r="V152" i="17"/>
  <c r="Z147" i="17"/>
  <c r="Y144" i="17"/>
  <c r="X141" i="17"/>
  <c r="W138" i="17"/>
  <c r="V135" i="17"/>
  <c r="U132" i="17"/>
  <c r="T129" i="17"/>
  <c r="W175" i="17"/>
  <c r="T167" i="17"/>
  <c r="P159" i="17"/>
  <c r="O151" i="17"/>
  <c r="L146" i="17"/>
  <c r="G89" i="27"/>
  <c r="G83" i="27"/>
  <c r="G75" i="27"/>
  <c r="M85" i="27"/>
  <c r="M69" i="27"/>
  <c r="M53" i="27"/>
  <c r="M37" i="27"/>
  <c r="M21" i="27"/>
  <c r="M5" i="27"/>
  <c r="N178" i="17"/>
  <c r="G80" i="27"/>
  <c r="M90" i="27"/>
  <c r="M68" i="27"/>
  <c r="M47" i="27"/>
  <c r="M26" i="27"/>
  <c r="E4" i="27"/>
  <c r="O177" i="17"/>
  <c r="N174" i="17"/>
  <c r="M171" i="17"/>
  <c r="L168" i="17"/>
  <c r="K165" i="17"/>
  <c r="J162" i="17"/>
  <c r="AD158" i="17"/>
  <c r="AC155" i="17"/>
  <c r="AB152" i="17"/>
  <c r="AA149" i="17"/>
  <c r="E79" i="27"/>
  <c r="E63" i="27"/>
  <c r="E47" i="27"/>
  <c r="E31" i="27"/>
  <c r="E15" i="27"/>
  <c r="Q180" i="17"/>
  <c r="P177" i="17"/>
  <c r="O174" i="17"/>
  <c r="N171" i="17"/>
  <c r="M168" i="17"/>
  <c r="L165" i="17"/>
  <c r="K162" i="17"/>
  <c r="J159" i="17"/>
  <c r="AD155" i="17"/>
  <c r="AC152" i="17"/>
  <c r="AB149" i="17"/>
  <c r="O84" i="27"/>
  <c r="O76" i="27"/>
  <c r="O68" i="27"/>
  <c r="O60" i="27"/>
  <c r="O52" i="27"/>
  <c r="O44" i="27"/>
  <c r="O36" i="27"/>
  <c r="O28" i="27"/>
  <c r="G64" i="27"/>
  <c r="G32" i="27"/>
  <c r="C12" i="27"/>
  <c r="C50" i="27"/>
  <c r="K19" i="27"/>
  <c r="G4" i="27"/>
  <c r="C88" i="27"/>
  <c r="C73" i="27"/>
  <c r="M67" i="27"/>
  <c r="M39" i="27"/>
  <c r="M11" i="27"/>
  <c r="K177" i="17"/>
  <c r="K173" i="17"/>
  <c r="K169" i="17"/>
  <c r="AB164" i="17"/>
  <c r="AB160" i="17"/>
  <c r="AB156" i="17"/>
  <c r="X152" i="17"/>
  <c r="E89" i="27"/>
  <c r="E68" i="27"/>
  <c r="E46" i="27"/>
  <c r="E25" i="27"/>
  <c r="O4" i="27"/>
  <c r="L177" i="17"/>
  <c r="L173" i="17"/>
  <c r="L169" i="17"/>
  <c r="AC164" i="17"/>
  <c r="AC160" i="17"/>
  <c r="AC156" i="17"/>
  <c r="Y152" i="17"/>
  <c r="O89" i="27"/>
  <c r="K79" i="27"/>
  <c r="K68" i="27"/>
  <c r="O57" i="27"/>
  <c r="K47" i="27"/>
  <c r="K36" i="27"/>
  <c r="O25" i="27"/>
  <c r="C43" i="27"/>
  <c r="G11" i="27"/>
  <c r="C38" i="27"/>
  <c r="O8" i="27"/>
  <c r="C41" i="27"/>
  <c r="G18" i="27"/>
  <c r="G57" i="27"/>
  <c r="G25" i="27"/>
  <c r="O7" i="27"/>
  <c r="S175" i="17"/>
  <c r="Q169" i="17"/>
  <c r="O163" i="17"/>
  <c r="M157" i="17"/>
  <c r="K151" i="17"/>
  <c r="J147" i="17"/>
  <c r="AD143" i="17"/>
  <c r="AC140" i="17"/>
  <c r="AB137" i="17"/>
  <c r="AA134" i="17"/>
  <c r="Z131" i="17"/>
  <c r="Y128" i="17"/>
  <c r="V173" i="17"/>
  <c r="R165" i="17"/>
  <c r="Q157" i="17"/>
  <c r="N149" i="17"/>
  <c r="K145" i="17"/>
  <c r="J141" i="17"/>
  <c r="AD136" i="17"/>
  <c r="AB132" i="17"/>
  <c r="AA128" i="17"/>
  <c r="X125" i="17"/>
  <c r="W122" i="17"/>
  <c r="J142" i="17"/>
  <c r="N127" i="17"/>
  <c r="L121" i="17"/>
  <c r="P117" i="17"/>
  <c r="T113" i="17"/>
  <c r="AC108" i="17"/>
  <c r="X175" i="17"/>
  <c r="V165" i="17"/>
  <c r="R153" i="17"/>
  <c r="M147" i="17"/>
  <c r="L143" i="17"/>
  <c r="K139" i="17"/>
  <c r="AB175" i="17"/>
  <c r="X167" i="17"/>
  <c r="W159" i="17"/>
  <c r="T151" i="17"/>
  <c r="N146" i="17"/>
  <c r="M142" i="17"/>
  <c r="L138" i="17"/>
  <c r="U178" i="17"/>
  <c r="Q170" i="17"/>
  <c r="P162" i="17"/>
  <c r="M154" i="17"/>
  <c r="U147" i="17"/>
  <c r="T143" i="17"/>
  <c r="S139" i="17"/>
  <c r="Q135" i="17"/>
  <c r="P131" i="17"/>
  <c r="U127" i="17"/>
  <c r="T124" i="17"/>
  <c r="S121" i="17"/>
  <c r="R118" i="17"/>
  <c r="Q115" i="17"/>
  <c r="P112" i="17"/>
  <c r="O109" i="17"/>
  <c r="P135" i="17"/>
  <c r="T127" i="17"/>
  <c r="R121" i="17"/>
  <c r="P115" i="17"/>
  <c r="N109" i="17"/>
  <c r="J105" i="17"/>
  <c r="AD101" i="17"/>
  <c r="AC98" i="17"/>
  <c r="AB95" i="17"/>
  <c r="AA92" i="17"/>
  <c r="Z89" i="17"/>
  <c r="Y86" i="17"/>
  <c r="X83" i="17"/>
  <c r="W80" i="17"/>
  <c r="V77" i="17"/>
  <c r="M87" i="27"/>
  <c r="X180" i="17"/>
  <c r="V170" i="17"/>
  <c r="U155" i="17"/>
  <c r="E54" i="27"/>
  <c r="T177" i="17"/>
  <c r="S162" i="17"/>
  <c r="G74" i="27"/>
  <c r="M62" i="27"/>
  <c r="M23" i="27"/>
  <c r="W177" i="17"/>
  <c r="P172" i="17"/>
  <c r="Z166" i="17"/>
  <c r="S161" i="17"/>
  <c r="L156" i="17"/>
  <c r="R150" i="17"/>
  <c r="E70" i="27"/>
  <c r="E42" i="27"/>
  <c r="E13" i="27"/>
  <c r="X177" i="17"/>
  <c r="Q172" i="17"/>
  <c r="AA166" i="17"/>
  <c r="T161" i="17"/>
  <c r="M156" i="17"/>
  <c r="S150" i="17"/>
  <c r="K80" i="27"/>
  <c r="K66" i="27"/>
  <c r="O51" i="27"/>
  <c r="O37" i="27"/>
  <c r="O23" i="27"/>
  <c r="G21" i="27"/>
  <c r="G43" i="27"/>
  <c r="R4" i="27"/>
  <c r="L39" i="27"/>
  <c r="C17" i="27"/>
  <c r="C56" i="27"/>
  <c r="O21" i="27"/>
  <c r="X174" i="17"/>
  <c r="X166" i="17"/>
  <c r="P158" i="17"/>
  <c r="P150" i="17"/>
  <c r="X145" i="17"/>
  <c r="T141" i="17"/>
  <c r="T137" i="17"/>
  <c r="T133" i="17"/>
  <c r="P129" i="17"/>
  <c r="V172" i="17"/>
  <c r="AC161" i="17"/>
  <c r="Y150" i="17"/>
  <c r="V144" i="17"/>
  <c r="O139" i="17"/>
  <c r="W133" i="17"/>
  <c r="Q128" i="17"/>
  <c r="Q124" i="17"/>
  <c r="M120" i="17"/>
  <c r="M116" i="17"/>
  <c r="M112" i="17"/>
  <c r="AD107" i="17"/>
  <c r="W172" i="17"/>
  <c r="AD161" i="17"/>
  <c r="AB150" i="17"/>
  <c r="W144" i="17"/>
  <c r="P139" i="17"/>
  <c r="Q173" i="17"/>
  <c r="X162" i="17"/>
  <c r="J152" i="17"/>
  <c r="AD144" i="17"/>
  <c r="W139" i="17"/>
  <c r="K179" i="17"/>
  <c r="AB167" i="17"/>
  <c r="N157" i="17"/>
  <c r="AA147" i="17"/>
  <c r="N142" i="17"/>
  <c r="AB136" i="17"/>
  <c r="U131" i="17"/>
  <c r="V126" i="17"/>
  <c r="V122" i="17"/>
  <c r="AD137" i="17"/>
  <c r="S126" i="17"/>
  <c r="Q120" i="17"/>
  <c r="U116" i="17"/>
  <c r="AD111" i="17"/>
  <c r="M108" i="17"/>
  <c r="Y173" i="17"/>
  <c r="U161" i="17"/>
  <c r="P151" i="17"/>
  <c r="M146" i="17"/>
  <c r="L142" i="17"/>
  <c r="J138" i="17"/>
  <c r="Z173" i="17"/>
  <c r="Y165" i="17"/>
  <c r="V157" i="17"/>
  <c r="R149" i="17"/>
  <c r="N145" i="17"/>
  <c r="M141" i="17"/>
  <c r="K137" i="17"/>
  <c r="S176" i="17"/>
  <c r="R168" i="17"/>
  <c r="O160" i="17"/>
  <c r="K152" i="17"/>
  <c r="U146" i="17"/>
  <c r="T142" i="17"/>
  <c r="R138" i="17"/>
  <c r="Q134" i="17"/>
  <c r="P130" i="17"/>
  <c r="Z126" i="17"/>
  <c r="Y123" i="17"/>
  <c r="X120" i="17"/>
  <c r="W117" i="17"/>
  <c r="V114" i="17"/>
  <c r="U111" i="17"/>
  <c r="T108" i="17"/>
  <c r="O133" i="17"/>
  <c r="AD125" i="17"/>
  <c r="AB119" i="17"/>
  <c r="Z113" i="17"/>
  <c r="X107" i="17"/>
  <c r="O104" i="17"/>
  <c r="N101" i="17"/>
  <c r="M98" i="17"/>
  <c r="L95" i="17"/>
  <c r="K92" i="17"/>
  <c r="J89" i="17"/>
  <c r="AD85" i="17"/>
  <c r="AC82" i="17"/>
  <c r="AB79" i="17"/>
  <c r="AA76" i="17"/>
  <c r="M59" i="27"/>
  <c r="S177" i="17"/>
  <c r="Y167" i="17"/>
  <c r="U151" i="17"/>
  <c r="E40" i="27"/>
  <c r="W174" i="17"/>
  <c r="G90" i="27"/>
  <c r="G70" i="27"/>
  <c r="M51" i="27"/>
  <c r="M14" i="27"/>
  <c r="P176" i="17"/>
  <c r="Z170" i="17"/>
  <c r="S165" i="17"/>
  <c r="L160" i="17"/>
  <c r="V154" i="17"/>
  <c r="O149" i="17"/>
  <c r="E64" i="27"/>
  <c r="E34" i="27"/>
  <c r="E6" i="27"/>
  <c r="Q176" i="17"/>
  <c r="AA170" i="17"/>
  <c r="T165" i="17"/>
  <c r="M160" i="17"/>
  <c r="W154" i="17"/>
  <c r="P149" i="17"/>
  <c r="K77" i="27"/>
  <c r="K62" i="27"/>
  <c r="K48" i="27"/>
  <c r="K34" i="27"/>
  <c r="G60" i="27"/>
  <c r="C14" i="27"/>
  <c r="C30" i="27"/>
  <c r="C65" i="27"/>
  <c r="C33" i="27"/>
  <c r="L13" i="27"/>
  <c r="G49" i="27"/>
  <c r="O17" i="27"/>
  <c r="Z180" i="17"/>
  <c r="Z172" i="17"/>
  <c r="R164" i="17"/>
  <c r="R156" i="17"/>
  <c r="Y148" i="17"/>
  <c r="U144" i="17"/>
  <c r="U140" i="17"/>
  <c r="U136" i="17"/>
  <c r="Q132" i="17"/>
  <c r="C5" i="27"/>
  <c r="AD169" i="17"/>
  <c r="AB158" i="17"/>
  <c r="W148" i="17"/>
  <c r="P143" i="17"/>
  <c r="Y137" i="17"/>
  <c r="R132" i="17"/>
  <c r="R127" i="17"/>
  <c r="N123" i="17"/>
  <c r="N119" i="17"/>
  <c r="N115" i="17"/>
  <c r="J111" i="17"/>
  <c r="G5" i="27"/>
  <c r="M170" i="17"/>
  <c r="AC158" i="17"/>
  <c r="X148" i="17"/>
  <c r="Q143" i="17"/>
  <c r="Z137" i="17"/>
  <c r="Y170" i="17"/>
  <c r="K160" i="17"/>
  <c r="J149" i="17"/>
  <c r="X143" i="17"/>
  <c r="Q138" i="17"/>
  <c r="J176" i="17"/>
  <c r="Q165" i="17"/>
  <c r="X154" i="17"/>
  <c r="P146" i="17"/>
  <c r="AD140" i="17"/>
  <c r="W135" i="17"/>
  <c r="J130" i="17"/>
  <c r="W125" i="17"/>
  <c r="AC133" i="17"/>
  <c r="M124" i="17"/>
  <c r="V119" i="17"/>
  <c r="J115" i="17"/>
  <c r="N111" i="17"/>
  <c r="R107" i="17"/>
  <c r="V169" i="17"/>
  <c r="T159" i="17"/>
  <c r="Q149" i="17"/>
  <c r="M145" i="17"/>
  <c r="K141" i="17"/>
  <c r="AB179" i="17"/>
  <c r="AA171" i="17"/>
  <c r="X163" i="17"/>
  <c r="T155" i="17"/>
  <c r="O148" i="17"/>
  <c r="N144" i="17"/>
  <c r="L140" i="17"/>
  <c r="K136" i="17"/>
  <c r="T174" i="17"/>
  <c r="Q166" i="17"/>
  <c r="M158" i="17"/>
  <c r="L150" i="17"/>
  <c r="U145" i="17"/>
  <c r="S141" i="17"/>
  <c r="R137" i="17"/>
  <c r="Q133" i="17"/>
  <c r="O129" i="17"/>
  <c r="J126" i="17"/>
  <c r="AD122" i="17"/>
  <c r="AC119" i="17"/>
  <c r="AB116" i="17"/>
  <c r="AA113" i="17"/>
  <c r="Z110" i="17"/>
  <c r="Y107" i="17"/>
  <c r="O131" i="17"/>
  <c r="S124" i="17"/>
  <c r="Q118" i="17"/>
  <c r="O112" i="17"/>
  <c r="U106" i="17"/>
  <c r="T103" i="17"/>
  <c r="S100" i="17"/>
  <c r="R97" i="17"/>
  <c r="Q94" i="17"/>
  <c r="P91" i="17"/>
  <c r="O88" i="17"/>
  <c r="N85" i="17"/>
  <c r="M82" i="17"/>
  <c r="L79" i="17"/>
  <c r="K76" i="17"/>
  <c r="M40" i="27"/>
  <c r="AC175" i="17"/>
  <c r="Y163" i="17"/>
  <c r="E82" i="27"/>
  <c r="E26" i="27"/>
  <c r="Z171" i="17"/>
  <c r="G84" i="27"/>
  <c r="M80" i="27"/>
  <c r="M43" i="27"/>
  <c r="M6" i="27"/>
  <c r="Z174" i="17"/>
  <c r="S169" i="17"/>
  <c r="L164" i="17"/>
  <c r="V158" i="17"/>
  <c r="O153" i="17"/>
  <c r="E85" i="27"/>
  <c r="E56" i="27"/>
  <c r="E28" i="27"/>
  <c r="U180" i="17"/>
  <c r="AA174" i="17"/>
  <c r="T169" i="17"/>
  <c r="M164" i="17"/>
  <c r="W158" i="17"/>
  <c r="P153" i="17"/>
  <c r="O87" i="27"/>
  <c r="K73" i="27"/>
  <c r="K59" i="27"/>
  <c r="K45" i="27"/>
  <c r="K30" i="27"/>
  <c r="C47" i="27"/>
  <c r="G7" i="27"/>
  <c r="F7" i="27" s="1"/>
  <c r="K17" i="27"/>
  <c r="L55" i="27"/>
  <c r="G26" i="27"/>
  <c r="G6" i="27"/>
  <c r="L34" i="27"/>
  <c r="K14" i="27"/>
  <c r="AB178" i="17"/>
  <c r="T170" i="17"/>
  <c r="T162" i="17"/>
  <c r="T154" i="17"/>
  <c r="V147" i="17"/>
  <c r="V143" i="17"/>
  <c r="V139" i="17"/>
  <c r="R135" i="17"/>
  <c r="R131" i="17"/>
  <c r="M178" i="17"/>
  <c r="AC166" i="17"/>
  <c r="O156" i="17"/>
  <c r="Q147" i="17"/>
  <c r="Z141" i="17"/>
  <c r="S136" i="17"/>
  <c r="L131" i="17"/>
  <c r="O126" i="17"/>
  <c r="O122" i="17"/>
  <c r="O118" i="17"/>
  <c r="K114" i="17"/>
  <c r="K110" i="17"/>
  <c r="P178" i="17"/>
  <c r="L167" i="17"/>
  <c r="S156" i="17"/>
  <c r="S147" i="17"/>
  <c r="AA141" i="17"/>
  <c r="AC178" i="17"/>
  <c r="O168" i="17"/>
  <c r="J157" i="17"/>
  <c r="Y147" i="17"/>
  <c r="R142" i="17"/>
  <c r="AA136" i="17"/>
  <c r="R173" i="17"/>
  <c r="Y162" i="17"/>
  <c r="W151" i="17"/>
  <c r="J145" i="17"/>
  <c r="X139" i="17"/>
  <c r="L134" i="17"/>
  <c r="Z128" i="17"/>
  <c r="X124" i="17"/>
  <c r="AA129" i="17"/>
  <c r="R123" i="17"/>
  <c r="K118" i="17"/>
  <c r="O114" i="17"/>
  <c r="S110" i="17"/>
  <c r="Z177" i="17"/>
  <c r="W167" i="17"/>
  <c r="R157" i="17"/>
  <c r="N148" i="17"/>
  <c r="L144" i="17"/>
  <c r="K140" i="17"/>
  <c r="AC177" i="17"/>
  <c r="Z169" i="17"/>
  <c r="V161" i="17"/>
  <c r="U153" i="17"/>
  <c r="O147" i="17"/>
  <c r="M143" i="17"/>
  <c r="L139" i="17"/>
  <c r="AA180" i="17"/>
  <c r="S172" i="17"/>
  <c r="O164" i="17"/>
  <c r="N156" i="17"/>
  <c r="V148" i="17"/>
  <c r="T144" i="17"/>
  <c r="S140" i="17"/>
  <c r="R136" i="17"/>
  <c r="P132" i="17"/>
  <c r="P128" i="17"/>
  <c r="O125" i="17"/>
  <c r="N122" i="17"/>
  <c r="M119" i="17"/>
  <c r="L116" i="17"/>
  <c r="K113" i="17"/>
  <c r="J110" i="17"/>
  <c r="AD106" i="17"/>
  <c r="N129" i="17"/>
  <c r="AC122" i="17"/>
  <c r="AA116" i="17"/>
  <c r="Y110" i="17"/>
  <c r="Z105" i="17"/>
  <c r="Y102" i="17"/>
  <c r="X99" i="17"/>
  <c r="W96" i="17"/>
  <c r="V93" i="17"/>
  <c r="U90" i="17"/>
  <c r="T87" i="17"/>
  <c r="S84" i="17"/>
  <c r="R81" i="17"/>
  <c r="Q78" i="17"/>
  <c r="G82" i="27"/>
  <c r="M22" i="27"/>
  <c r="O173" i="17"/>
  <c r="U159" i="17"/>
  <c r="E69" i="27"/>
  <c r="E5" i="27"/>
  <c r="S166" i="17"/>
  <c r="C79" i="27"/>
  <c r="M71" i="27"/>
  <c r="M34" i="27"/>
  <c r="Q179" i="17"/>
  <c r="W173" i="17"/>
  <c r="P168" i="17"/>
  <c r="V162" i="17"/>
  <c r="O157" i="17"/>
  <c r="AC151" i="17"/>
  <c r="E77" i="27"/>
  <c r="E49" i="27"/>
  <c r="E21" i="27"/>
  <c r="J179" i="17"/>
  <c r="X173" i="17"/>
  <c r="Q168" i="17"/>
  <c r="W162" i="17"/>
  <c r="P157" i="17"/>
  <c r="AD151" i="17"/>
  <c r="O83" i="27"/>
  <c r="O69" i="27"/>
  <c r="O55" i="27"/>
  <c r="K41" i="27"/>
  <c r="K27" i="27"/>
  <c r="C35" i="27"/>
  <c r="G55" i="27"/>
  <c r="O10" i="27"/>
  <c r="L47" i="27"/>
  <c r="G20" i="27"/>
  <c r="C64" i="27"/>
  <c r="C28" i="27"/>
  <c r="F11" i="27"/>
  <c r="V176" i="17"/>
  <c r="V168" i="17"/>
  <c r="V160" i="17"/>
  <c r="N152" i="17"/>
  <c r="W146" i="17"/>
  <c r="W142" i="17"/>
  <c r="S138" i="17"/>
  <c r="S134" i="17"/>
  <c r="S130" i="17"/>
  <c r="L175" i="17"/>
  <c r="S164" i="17"/>
  <c r="Z153" i="17"/>
  <c r="AA145" i="17"/>
  <c r="T140" i="17"/>
  <c r="M135" i="17"/>
  <c r="V129" i="17"/>
  <c r="P125" i="17"/>
  <c r="P121" i="17"/>
  <c r="L117" i="17"/>
  <c r="L113" i="17"/>
  <c r="L109" i="17"/>
  <c r="O175" i="17"/>
  <c r="V164" i="17"/>
  <c r="AC153" i="17"/>
  <c r="AC145" i="17"/>
  <c r="V140" i="17"/>
  <c r="R176" i="17"/>
  <c r="N165" i="17"/>
  <c r="U154" i="17"/>
  <c r="T146" i="17"/>
  <c r="AB140" i="17"/>
  <c r="C6" i="27"/>
  <c r="AC170" i="17"/>
  <c r="X159" i="17"/>
  <c r="L149" i="17"/>
  <c r="Y143" i="17"/>
  <c r="M138" i="17"/>
  <c r="AA132" i="17"/>
  <c r="Y127" i="17"/>
  <c r="U123" i="17"/>
  <c r="W121" i="17"/>
  <c r="S117" i="17"/>
  <c r="S113" i="17"/>
  <c r="S109" i="17"/>
  <c r="Z132" i="17"/>
  <c r="X123" i="17"/>
  <c r="X115" i="17"/>
  <c r="P107" i="17"/>
  <c r="L103" i="17"/>
  <c r="L99" i="17"/>
  <c r="AC94" i="17"/>
  <c r="AC90" i="17"/>
  <c r="AC86" i="17"/>
  <c r="Y82" i="17"/>
  <c r="Y78" i="17"/>
  <c r="AC74" i="17"/>
  <c r="AB71" i="17"/>
  <c r="AA68" i="17"/>
  <c r="Z65" i="17"/>
  <c r="Y62" i="17"/>
  <c r="X59" i="17"/>
  <c r="W56" i="17"/>
  <c r="V53" i="17"/>
  <c r="AD134" i="17"/>
  <c r="O127" i="17"/>
  <c r="M121" i="17"/>
  <c r="K115" i="17"/>
  <c r="AD108" i="17"/>
  <c r="AB104" i="17"/>
  <c r="AA101" i="17"/>
  <c r="Z98" i="17"/>
  <c r="Y95" i="17"/>
  <c r="X92" i="17"/>
  <c r="W89" i="17"/>
  <c r="V86" i="17"/>
  <c r="U83" i="17"/>
  <c r="T80" i="17"/>
  <c r="S77" i="17"/>
  <c r="R74" i="17"/>
  <c r="K135" i="17"/>
  <c r="P127" i="17"/>
  <c r="N121" i="17"/>
  <c r="L115" i="17"/>
  <c r="J109" i="17"/>
  <c r="AC104" i="17"/>
  <c r="AB101" i="17"/>
  <c r="AA98" i="17"/>
  <c r="Z95" i="17"/>
  <c r="Y92" i="17"/>
  <c r="X89" i="17"/>
  <c r="W86" i="17"/>
  <c r="V83" i="17"/>
  <c r="U80" i="17"/>
  <c r="T77" i="17"/>
  <c r="S74" i="17"/>
  <c r="O135" i="17"/>
  <c r="S127" i="17"/>
  <c r="Q121" i="17"/>
  <c r="O115" i="17"/>
  <c r="M109" i="17"/>
  <c r="AD104" i="17"/>
  <c r="AC101" i="17"/>
  <c r="AB98" i="17"/>
  <c r="AA95" i="17"/>
  <c r="Z92" i="17"/>
  <c r="Y89" i="17"/>
  <c r="X86" i="17"/>
  <c r="W83" i="17"/>
  <c r="V80" i="17"/>
  <c r="U77" i="17"/>
  <c r="T74" i="17"/>
  <c r="S71" i="17"/>
  <c r="R68" i="17"/>
  <c r="Q65" i="17"/>
  <c r="P62" i="17"/>
  <c r="O59" i="17"/>
  <c r="N56" i="17"/>
  <c r="M53" i="17"/>
  <c r="X69" i="17"/>
  <c r="V63" i="17"/>
  <c r="T57" i="17"/>
  <c r="R51" i="17"/>
  <c r="O48" i="17"/>
  <c r="N45" i="17"/>
  <c r="M42" i="17"/>
  <c r="L39" i="17"/>
  <c r="T120" i="17"/>
  <c r="T116" i="17"/>
  <c r="T112" i="17"/>
  <c r="P108" i="17"/>
  <c r="N130" i="17"/>
  <c r="Z121" i="17"/>
  <c r="R113" i="17"/>
  <c r="M106" i="17"/>
  <c r="M102" i="17"/>
  <c r="AD97" i="17"/>
  <c r="AD93" i="17"/>
  <c r="AD89" i="17"/>
  <c r="Z85" i="17"/>
  <c r="Z81" i="17"/>
  <c r="Z77" i="17"/>
  <c r="M74" i="17"/>
  <c r="L71" i="17"/>
  <c r="K68" i="17"/>
  <c r="J65" i="17"/>
  <c r="AD61" i="17"/>
  <c r="AC58" i="17"/>
  <c r="AB55" i="17"/>
  <c r="AA52" i="17"/>
  <c r="AD132" i="17"/>
  <c r="Y125" i="17"/>
  <c r="W119" i="17"/>
  <c r="U113" i="17"/>
  <c r="S107" i="17"/>
  <c r="L104" i="17"/>
  <c r="K101" i="17"/>
  <c r="J98" i="17"/>
  <c r="AD94" i="17"/>
  <c r="AC91" i="17"/>
  <c r="AB88" i="17"/>
  <c r="AA85" i="17"/>
  <c r="Z82" i="17"/>
  <c r="Y79" i="17"/>
  <c r="X76" i="17"/>
  <c r="W73" i="17"/>
  <c r="J133" i="17"/>
  <c r="Z125" i="17"/>
  <c r="X119" i="17"/>
  <c r="V113" i="17"/>
  <c r="T107" i="17"/>
  <c r="M104" i="17"/>
  <c r="L101" i="17"/>
  <c r="K98" i="17"/>
  <c r="J95" i="17"/>
  <c r="AD91" i="17"/>
  <c r="AC88" i="17"/>
  <c r="AB85" i="17"/>
  <c r="AA82" i="17"/>
  <c r="Z79" i="17"/>
  <c r="Y76" i="17"/>
  <c r="X73" i="17"/>
  <c r="N133" i="17"/>
  <c r="AC125" i="17"/>
  <c r="AA119" i="17"/>
  <c r="Y113" i="17"/>
  <c r="W107" i="17"/>
  <c r="N104" i="17"/>
  <c r="M101" i="17"/>
  <c r="L98" i="17"/>
  <c r="K95" i="17"/>
  <c r="J92" i="17"/>
  <c r="AD88" i="17"/>
  <c r="AC85" i="17"/>
  <c r="AB82" i="17"/>
  <c r="AA79" i="17"/>
  <c r="Z76" i="17"/>
  <c r="Y73" i="17"/>
  <c r="X70" i="17"/>
  <c r="W67" i="17"/>
  <c r="V64" i="17"/>
  <c r="U61" i="17"/>
  <c r="T58" i="17"/>
  <c r="S55" i="17"/>
  <c r="R52" i="17"/>
  <c r="M68" i="17"/>
  <c r="K62" i="17"/>
  <c r="AD55" i="17"/>
  <c r="U50" i="17"/>
  <c r="T47" i="17"/>
  <c r="U119" i="17"/>
  <c r="U115" i="17"/>
  <c r="Q111" i="17"/>
  <c r="Q107" i="17"/>
  <c r="AB127" i="17"/>
  <c r="T119" i="17"/>
  <c r="T111" i="17"/>
  <c r="N105" i="17"/>
  <c r="J101" i="17"/>
  <c r="J97" i="17"/>
  <c r="J93" i="17"/>
  <c r="AA88" i="17"/>
  <c r="AA84" i="17"/>
  <c r="AA80" i="17"/>
  <c r="W76" i="17"/>
  <c r="R73" i="17"/>
  <c r="Q70" i="17"/>
  <c r="P67" i="17"/>
  <c r="O64" i="17"/>
  <c r="N61" i="17"/>
  <c r="M58" i="17"/>
  <c r="L55" i="17"/>
  <c r="K52" i="17"/>
  <c r="AC130" i="17"/>
  <c r="N124" i="17"/>
  <c r="L118" i="17"/>
  <c r="J112" i="17"/>
  <c r="R106" i="17"/>
  <c r="Q103" i="17"/>
  <c r="P100" i="17"/>
  <c r="O97" i="17"/>
  <c r="N94" i="17"/>
  <c r="M91" i="17"/>
  <c r="L88" i="17"/>
  <c r="K85" i="17"/>
  <c r="J82" i="17"/>
  <c r="AD78" i="17"/>
  <c r="AC75" i="17"/>
  <c r="AB72" i="17"/>
  <c r="AD130" i="17"/>
  <c r="O124" i="17"/>
  <c r="M118" i="17"/>
  <c r="K112" i="17"/>
  <c r="S106" i="17"/>
  <c r="R103" i="17"/>
  <c r="Q100" i="17"/>
  <c r="P97" i="17"/>
  <c r="O94" i="17"/>
  <c r="N91" i="17"/>
  <c r="M88" i="17"/>
  <c r="L85" i="17"/>
  <c r="K82" i="17"/>
  <c r="J79" i="17"/>
  <c r="AD75" i="17"/>
  <c r="AC72" i="17"/>
  <c r="M131" i="17"/>
  <c r="R124" i="17"/>
  <c r="P118" i="17"/>
  <c r="N112" i="17"/>
  <c r="T106" i="17"/>
  <c r="S103" i="17"/>
  <c r="R100" i="17"/>
  <c r="Q97" i="17"/>
  <c r="P94" i="17"/>
  <c r="O91" i="17"/>
  <c r="N88" i="17"/>
  <c r="M85" i="17"/>
  <c r="L82" i="17"/>
  <c r="K79" i="17"/>
  <c r="J76" i="17"/>
  <c r="AD72" i="17"/>
  <c r="AC69" i="17"/>
  <c r="AB66" i="17"/>
  <c r="AA63" i="17"/>
  <c r="Z60" i="17"/>
  <c r="Y57" i="17"/>
  <c r="X54" i="17"/>
  <c r="W51" i="17"/>
  <c r="W66" i="17"/>
  <c r="U60" i="17"/>
  <c r="S54" i="17"/>
  <c r="V118" i="17"/>
  <c r="R114" i="17"/>
  <c r="R110" i="17"/>
  <c r="J136" i="17"/>
  <c r="V125" i="17"/>
  <c r="V117" i="17"/>
  <c r="V109" i="17"/>
  <c r="K104" i="17"/>
  <c r="K100" i="17"/>
  <c r="K96" i="17"/>
  <c r="AB91" i="17"/>
  <c r="AB87" i="17"/>
  <c r="AB83" i="17"/>
  <c r="X79" i="17"/>
  <c r="X75" i="17"/>
  <c r="W72" i="17"/>
  <c r="V69" i="17"/>
  <c r="U66" i="17"/>
  <c r="T63" i="17"/>
  <c r="S60" i="17"/>
  <c r="R57" i="17"/>
  <c r="Q54" i="17"/>
  <c r="P51" i="17"/>
  <c r="AB128" i="17"/>
  <c r="X122" i="17"/>
  <c r="V116" i="17"/>
  <c r="T110" i="17"/>
  <c r="W105" i="17"/>
  <c r="V102" i="17"/>
  <c r="U99" i="17"/>
  <c r="T96" i="17"/>
  <c r="S93" i="17"/>
  <c r="R90" i="17"/>
  <c r="Q87" i="17"/>
  <c r="P84" i="17"/>
  <c r="O81" i="17"/>
  <c r="N78" i="17"/>
  <c r="M75" i="17"/>
  <c r="L72" i="17"/>
  <c r="AD128" i="17"/>
  <c r="Y122" i="17"/>
  <c r="W116" i="17"/>
  <c r="U110" i="17"/>
  <c r="X105" i="17"/>
  <c r="W102" i="17"/>
  <c r="V99" i="17"/>
  <c r="U96" i="17"/>
  <c r="T93" i="17"/>
  <c r="S90" i="17"/>
  <c r="R87" i="17"/>
  <c r="Q84" i="17"/>
  <c r="P81" i="17"/>
  <c r="O78" i="17"/>
  <c r="N75" i="17"/>
  <c r="M72" i="17"/>
  <c r="M129" i="17"/>
  <c r="AB122" i="17"/>
  <c r="Z116" i="17"/>
  <c r="X110" i="17"/>
  <c r="Y105" i="17"/>
  <c r="X102" i="17"/>
  <c r="W99" i="17"/>
  <c r="V96" i="17"/>
  <c r="U93" i="17"/>
  <c r="T90" i="17"/>
  <c r="S87" i="17"/>
  <c r="R84" i="17"/>
  <c r="Q81" i="17"/>
  <c r="P78" i="17"/>
  <c r="O75" i="17"/>
  <c r="N72" i="17"/>
  <c r="M69" i="17"/>
  <c r="L66" i="17"/>
  <c r="K63" i="17"/>
  <c r="J60" i="17"/>
  <c r="AD56" i="17"/>
  <c r="AC53" i="17"/>
  <c r="N71" i="17"/>
  <c r="L65" i="17"/>
  <c r="J59" i="17"/>
  <c r="AC52" i="17"/>
  <c r="J49" i="17"/>
  <c r="AD45" i="17"/>
  <c r="AC42" i="17"/>
  <c r="AB39" i="17"/>
  <c r="AA36" i="17"/>
  <c r="Z33" i="17"/>
  <c r="Y30" i="17"/>
  <c r="X27" i="17"/>
  <c r="W24" i="17"/>
  <c r="V21" i="17"/>
  <c r="U18" i="17"/>
  <c r="T15" i="17"/>
  <c r="S12" i="17"/>
  <c r="R9" i="17"/>
  <c r="Q6" i="17"/>
  <c r="U15" i="17"/>
  <c r="Q7" i="17"/>
  <c r="K69" i="17"/>
  <c r="AD62" i="17"/>
  <c r="AB56" i="17"/>
  <c r="AD50" i="17"/>
  <c r="AC47" i="17"/>
  <c r="AB44" i="17"/>
  <c r="AA41" i="17"/>
  <c r="Z38" i="17"/>
  <c r="Y35" i="17"/>
  <c r="X32" i="17"/>
  <c r="W29" i="17"/>
  <c r="V26" i="17"/>
  <c r="U23" i="17"/>
  <c r="T20" i="17"/>
  <c r="K17" i="17"/>
  <c r="P8" i="17"/>
  <c r="T69" i="17"/>
  <c r="R63" i="17"/>
  <c r="P57" i="17"/>
  <c r="N51" i="17"/>
  <c r="M48" i="17"/>
  <c r="L45" i="17"/>
  <c r="K42" i="17"/>
  <c r="J39" i="17"/>
  <c r="AD35" i="17"/>
  <c r="AC32" i="17"/>
  <c r="AB29" i="17"/>
  <c r="AA26" i="17"/>
  <c r="Z23" i="17"/>
  <c r="Z49" i="17"/>
  <c r="R41" i="17"/>
  <c r="K36" i="17"/>
  <c r="O32" i="17"/>
  <c r="S28" i="17"/>
  <c r="AB23" i="17"/>
  <c r="K20" i="17"/>
  <c r="O16" i="17"/>
  <c r="X11" i="17"/>
  <c r="AB7" i="17"/>
  <c r="K4" i="17"/>
  <c r="AB4" i="17"/>
  <c r="J66" i="17"/>
  <c r="R58" i="17"/>
  <c r="N50" i="17"/>
  <c r="R46" i="17"/>
  <c r="V42" i="17"/>
  <c r="J38" i="17"/>
  <c r="N34" i="17"/>
  <c r="R30" i="17"/>
  <c r="AA25" i="17"/>
  <c r="J22" i="17"/>
  <c r="AA17" i="17"/>
  <c r="AA5" i="17"/>
  <c r="S66" i="17"/>
  <c r="AA58" i="17"/>
  <c r="S50" i="17"/>
  <c r="W46" i="17"/>
  <c r="AA42" i="17"/>
  <c r="O38" i="17"/>
  <c r="S34" i="17"/>
  <c r="W30" i="17"/>
  <c r="K26" i="17"/>
  <c r="O22" i="17"/>
  <c r="N19" i="17"/>
  <c r="M16" i="17"/>
  <c r="L13" i="17"/>
  <c r="K10" i="17"/>
  <c r="S6" i="17"/>
  <c r="Y67" i="17"/>
  <c r="W61" i="17"/>
  <c r="U55" i="17"/>
  <c r="P50" i="17"/>
  <c r="O47" i="17"/>
  <c r="N44" i="17"/>
  <c r="M41" i="17"/>
  <c r="L38" i="17"/>
  <c r="K35" i="17"/>
  <c r="J32" i="17"/>
  <c r="AD28" i="17"/>
  <c r="AC25" i="17"/>
  <c r="AB22" i="17"/>
  <c r="AA19" i="17"/>
  <c r="Z16" i="17"/>
  <c r="Y13" i="17"/>
  <c r="X10" i="17"/>
  <c r="W7" i="17"/>
  <c r="V4" i="17"/>
  <c r="O9" i="17"/>
  <c r="F47" i="27"/>
  <c r="L80" i="27"/>
  <c r="C74" i="27"/>
  <c r="M30" i="27"/>
  <c r="Y171" i="17"/>
  <c r="R162" i="17"/>
  <c r="N154" i="17"/>
  <c r="E76" i="27"/>
  <c r="E18" i="27"/>
  <c r="AD175" i="17"/>
  <c r="Z167" i="17"/>
  <c r="C87" i="27"/>
  <c r="M48" i="27"/>
  <c r="U175" i="17"/>
  <c r="X164" i="17"/>
  <c r="J154" i="17"/>
  <c r="E60" i="27"/>
  <c r="AC180" i="17"/>
  <c r="O170" i="17"/>
  <c r="V159" i="17"/>
  <c r="U152" i="17"/>
  <c r="K81" i="27"/>
  <c r="O61" i="27"/>
  <c r="K43" i="27"/>
  <c r="K24" i="27"/>
  <c r="G13" i="27"/>
  <c r="O14" i="27"/>
  <c r="G42" i="27"/>
  <c r="G12" i="27"/>
  <c r="G37" i="27"/>
  <c r="O179" i="17"/>
  <c r="N168" i="17"/>
  <c r="U157" i="17"/>
  <c r="AD147" i="17"/>
  <c r="O142" i="17"/>
  <c r="AC136" i="17"/>
  <c r="V131" i="17"/>
  <c r="U174" i="17"/>
  <c r="R160" i="17"/>
  <c r="W147" i="17"/>
  <c r="O140" i="17"/>
  <c r="M133" i="17"/>
  <c r="W126" i="17"/>
  <c r="AC120" i="17"/>
  <c r="V115" i="17"/>
  <c r="O110" i="17"/>
  <c r="Y174" i="17"/>
  <c r="S160" i="17"/>
  <c r="X147" i="17"/>
  <c r="P140" i="17"/>
  <c r="O172" i="17"/>
  <c r="L158" i="17"/>
  <c r="AD145" i="17"/>
  <c r="AB138" i="17"/>
  <c r="AD173" i="17"/>
  <c r="O159" i="17"/>
  <c r="K147" i="17"/>
  <c r="AC139" i="17"/>
  <c r="V132" i="17"/>
  <c r="N126" i="17"/>
  <c r="AB120" i="17"/>
  <c r="M115" i="17"/>
  <c r="AA109" i="17"/>
  <c r="Y130" i="17"/>
  <c r="L119" i="17"/>
  <c r="J83" i="17"/>
  <c r="AC117" i="17"/>
  <c r="P102" i="17"/>
  <c r="N92" i="17"/>
  <c r="K83" i="17"/>
  <c r="M55" i="27"/>
  <c r="X176" i="17"/>
  <c r="W165" i="17"/>
  <c r="AD154" i="17"/>
  <c r="E65" i="27"/>
  <c r="E8" i="27"/>
  <c r="R171" i="17"/>
  <c r="Q160" i="17"/>
  <c r="L153" i="17"/>
  <c r="K82" i="27"/>
  <c r="O63" i="27"/>
  <c r="O43" i="27"/>
  <c r="K25" i="27"/>
  <c r="G15" i="27"/>
  <c r="Y46" i="17"/>
  <c r="W40" i="17"/>
  <c r="P35" i="17"/>
  <c r="T31" i="17"/>
  <c r="AC26" i="17"/>
  <c r="L23" i="17"/>
  <c r="P19" i="17"/>
  <c r="Y14" i="17"/>
  <c r="AC10" i="17"/>
  <c r="L7" i="17"/>
  <c r="W13" i="17"/>
  <c r="U4" i="17"/>
  <c r="T64" i="17"/>
  <c r="Q55" i="17"/>
  <c r="S49" i="17"/>
  <c r="W45" i="17"/>
  <c r="K41" i="17"/>
  <c r="O37" i="17"/>
  <c r="S33" i="17"/>
  <c r="AB28" i="17"/>
  <c r="K25" i="17"/>
  <c r="O21" i="17"/>
  <c r="L16" i="17"/>
  <c r="T5" i="17"/>
  <c r="AC64" i="17"/>
  <c r="Z55" i="17"/>
  <c r="X49" i="17"/>
  <c r="AB45" i="17"/>
  <c r="P41" i="17"/>
  <c r="T37" i="17"/>
  <c r="X33" i="17"/>
  <c r="L29" i="17"/>
  <c r="P25" i="17"/>
  <c r="T21" i="17"/>
  <c r="S18" i="17"/>
  <c r="R15" i="17"/>
  <c r="Q12" i="17"/>
  <c r="P9" i="17"/>
  <c r="M4" i="17"/>
  <c r="N66" i="17"/>
  <c r="L60" i="17"/>
  <c r="J54" i="17"/>
  <c r="U49" i="17"/>
  <c r="T46" i="17"/>
  <c r="S43" i="17"/>
  <c r="R40" i="17"/>
  <c r="Q37" i="17"/>
  <c r="P34" i="17"/>
  <c r="O31" i="17"/>
  <c r="N28" i="17"/>
  <c r="M25" i="17"/>
  <c r="L22" i="17"/>
  <c r="K19" i="17"/>
  <c r="J16" i="17"/>
  <c r="AD12" i="17"/>
  <c r="AC9" i="17"/>
  <c r="AB6" i="17"/>
  <c r="Y19" i="17"/>
  <c r="AD6" i="17"/>
  <c r="F55" i="27"/>
  <c r="L84" i="27"/>
  <c r="M78" i="27"/>
  <c r="M12" i="27"/>
  <c r="O169" i="17"/>
  <c r="K161" i="17"/>
  <c r="K153" i="17"/>
  <c r="E61" i="27"/>
  <c r="E12" i="27"/>
  <c r="P173" i="17"/>
  <c r="P165" i="17"/>
  <c r="C77" i="27"/>
  <c r="M28" i="27"/>
  <c r="AB172" i="17"/>
  <c r="N162" i="17"/>
  <c r="M151" i="17"/>
  <c r="E45" i="27"/>
  <c r="S178" i="17"/>
  <c r="V167" i="17"/>
  <c r="K158" i="17"/>
  <c r="J151" i="17"/>
  <c r="O75" i="27"/>
  <c r="K57" i="27"/>
  <c r="K38" i="27"/>
  <c r="C59" i="27"/>
  <c r="G63" i="27"/>
  <c r="K5" i="27"/>
  <c r="L31" i="27"/>
  <c r="G8" i="27"/>
  <c r="O19" i="27"/>
  <c r="N176" i="17"/>
  <c r="U165" i="17"/>
  <c r="AB154" i="17"/>
  <c r="S146" i="17"/>
  <c r="L141" i="17"/>
  <c r="Z135" i="17"/>
  <c r="K130" i="17"/>
  <c r="K171" i="17"/>
  <c r="AA156" i="17"/>
  <c r="V145" i="17"/>
  <c r="T138" i="17"/>
  <c r="Q131" i="17"/>
  <c r="L125" i="17"/>
  <c r="Z119" i="17"/>
  <c r="S114" i="17"/>
  <c r="Y108" i="17"/>
  <c r="L171" i="17"/>
  <c r="AD156" i="17"/>
  <c r="W145" i="17"/>
  <c r="U138" i="17"/>
  <c r="Z168" i="17"/>
  <c r="AD153" i="17"/>
  <c r="S144" i="17"/>
  <c r="Q137" i="17"/>
  <c r="AC169" i="17"/>
  <c r="X155" i="17"/>
  <c r="O145" i="17"/>
  <c r="AC137" i="17"/>
  <c r="Z130" i="17"/>
  <c r="AB124" i="17"/>
  <c r="Q119" i="17"/>
  <c r="J114" i="17"/>
  <c r="X108" i="17"/>
  <c r="L127" i="17"/>
  <c r="S116" i="17"/>
  <c r="Y72" i="17"/>
  <c r="AA111" i="17"/>
  <c r="N100" i="17"/>
  <c r="L90" i="17"/>
  <c r="C81" i="27"/>
  <c r="M35" i="27"/>
  <c r="AA173" i="17"/>
  <c r="M163" i="17"/>
  <c r="P152" i="17"/>
  <c r="E50" i="27"/>
  <c r="R179" i="17"/>
  <c r="U168" i="17"/>
  <c r="S158" i="17"/>
  <c r="N151" i="17"/>
  <c r="O77" i="27"/>
  <c r="K58" i="27"/>
  <c r="O39" i="27"/>
  <c r="C67" i="27"/>
  <c r="G67" i="27"/>
  <c r="S44" i="17"/>
  <c r="Q38" i="17"/>
  <c r="U34" i="17"/>
  <c r="AD29" i="17"/>
  <c r="M26" i="17"/>
  <c r="Q22" i="17"/>
  <c r="Z17" i="17"/>
  <c r="AD13" i="17"/>
  <c r="M10" i="17"/>
  <c r="V5" i="17"/>
  <c r="Y11" i="17"/>
  <c r="V70" i="17"/>
  <c r="S61" i="17"/>
  <c r="AA53" i="17"/>
  <c r="X48" i="17"/>
  <c r="L44" i="17"/>
  <c r="P40" i="17"/>
  <c r="T36" i="17"/>
  <c r="AC31" i="17"/>
  <c r="L28" i="17"/>
  <c r="P24" i="17"/>
  <c r="Q19" i="17"/>
  <c r="N14" i="17"/>
  <c r="J71" i="17"/>
  <c r="AB61" i="17"/>
  <c r="O54" i="17"/>
  <c r="AC48" i="17"/>
  <c r="Q44" i="17"/>
  <c r="U40" i="17"/>
  <c r="Y36" i="17"/>
  <c r="M32" i="17"/>
  <c r="Q28" i="17"/>
  <c r="U24" i="17"/>
  <c r="Y20" i="17"/>
  <c r="X17" i="17"/>
  <c r="W14" i="17"/>
  <c r="V11" i="17"/>
  <c r="U8" i="17"/>
  <c r="Z70" i="17"/>
  <c r="X64" i="17"/>
  <c r="V58" i="17"/>
  <c r="T52" i="17"/>
  <c r="Z48" i="17"/>
  <c r="Y45" i="17"/>
  <c r="X42" i="17"/>
  <c r="W39" i="17"/>
  <c r="V36" i="17"/>
  <c r="U33" i="17"/>
  <c r="T30" i="17"/>
  <c r="S27" i="17"/>
  <c r="R24" i="17"/>
  <c r="Q21" i="17"/>
  <c r="P18" i="17"/>
  <c r="O15" i="17"/>
  <c r="N12" i="17"/>
  <c r="M9" i="17"/>
  <c r="L6" i="17"/>
  <c r="K13" i="17"/>
  <c r="O5" i="17"/>
  <c r="L41" i="27"/>
  <c r="C89" i="27"/>
  <c r="M70" i="27"/>
  <c r="Z178" i="17"/>
  <c r="R166" i="17"/>
  <c r="R158" i="17"/>
  <c r="N150" i="17"/>
  <c r="E48" i="27"/>
  <c r="AD179" i="17"/>
  <c r="W170" i="17"/>
  <c r="Z163" i="17"/>
  <c r="M86" i="27"/>
  <c r="M8" i="27"/>
  <c r="N170" i="17"/>
  <c r="Q159" i="17"/>
  <c r="E88" i="27"/>
  <c r="E32" i="27"/>
  <c r="V175" i="17"/>
  <c r="Y164" i="17"/>
  <c r="Q156" i="17"/>
  <c r="K90" i="27"/>
  <c r="O71" i="27"/>
  <c r="K53" i="27"/>
  <c r="K33" i="27"/>
  <c r="C39" i="27"/>
  <c r="C46" i="27"/>
  <c r="G62" i="27"/>
  <c r="G22" i="27"/>
  <c r="G65" i="27"/>
  <c r="O9" i="27"/>
  <c r="U173" i="17"/>
  <c r="AB162" i="17"/>
  <c r="AA151" i="17"/>
  <c r="L145" i="17"/>
  <c r="Z139" i="17"/>
  <c r="O134" i="17"/>
  <c r="AC128" i="17"/>
  <c r="J168" i="17"/>
  <c r="Z152" i="17"/>
  <c r="AA143" i="17"/>
  <c r="X136" i="17"/>
  <c r="Q129" i="17"/>
  <c r="Z123" i="17"/>
  <c r="S118" i="17"/>
  <c r="AC112" i="17"/>
  <c r="V107" i="17"/>
  <c r="K168" i="17"/>
  <c r="AA152" i="17"/>
  <c r="AB143" i="17"/>
  <c r="S179" i="17"/>
  <c r="W164" i="17"/>
  <c r="T150" i="17"/>
  <c r="X142" i="17"/>
  <c r="M4" i="27"/>
  <c r="AB166" i="17"/>
  <c r="W152" i="17"/>
  <c r="O143" i="17"/>
  <c r="L136" i="17"/>
  <c r="J129" i="17"/>
  <c r="Q123" i="17"/>
  <c r="J118" i="17"/>
  <c r="X112" i="17"/>
  <c r="M107" i="17"/>
  <c r="AA124" i="17"/>
  <c r="M114" i="17"/>
  <c r="X130" i="17"/>
  <c r="J108" i="17"/>
  <c r="M97" i="17"/>
  <c r="X43" i="17"/>
  <c r="V37" i="17"/>
  <c r="J33" i="17"/>
  <c r="N29" i="17"/>
  <c r="R25" i="17"/>
  <c r="AA20" i="17"/>
  <c r="J17" i="17"/>
  <c r="N13" i="17"/>
  <c r="W8" i="17"/>
  <c r="AA4" i="17"/>
  <c r="S9" i="17"/>
  <c r="U67" i="17"/>
  <c r="AC59" i="17"/>
  <c r="P52" i="17"/>
  <c r="M47" i="17"/>
  <c r="Q43" i="17"/>
  <c r="U39" i="17"/>
  <c r="AD34" i="17"/>
  <c r="M31" i="17"/>
  <c r="Q27" i="17"/>
  <c r="Z22" i="17"/>
  <c r="V18" i="17"/>
  <c r="AD10" i="17"/>
  <c r="AD67" i="17"/>
  <c r="Q60" i="17"/>
  <c r="Y52" i="17"/>
  <c r="R47" i="17"/>
  <c r="V43" i="17"/>
  <c r="Z39" i="17"/>
  <c r="N35" i="17"/>
  <c r="R31" i="17"/>
  <c r="V27" i="17"/>
  <c r="J23" i="17"/>
  <c r="AD19" i="17"/>
  <c r="AC16" i="17"/>
  <c r="AB13" i="17"/>
  <c r="AA10" i="17"/>
  <c r="Z7" i="17"/>
  <c r="O69" i="17"/>
  <c r="M63" i="17"/>
  <c r="K57" i="17"/>
  <c r="K51" i="17"/>
  <c r="J48" i="17"/>
  <c r="AD44" i="17"/>
  <c r="AC41" i="17"/>
  <c r="AB38" i="17"/>
  <c r="AA35" i="17"/>
  <c r="Z32" i="17"/>
  <c r="Y29" i="17"/>
  <c r="X26" i="17"/>
  <c r="W23" i="17"/>
  <c r="V20" i="17"/>
  <c r="U17" i="17"/>
  <c r="T14" i="17"/>
  <c r="S11" i="17"/>
  <c r="R8" i="17"/>
  <c r="Q5" i="17"/>
  <c r="M11" i="17"/>
  <c r="O6" i="17"/>
  <c r="L76" i="27"/>
  <c r="G78" i="27"/>
  <c r="M50" i="27"/>
  <c r="V174" i="17"/>
  <c r="O165" i="17"/>
  <c r="K157" i="17"/>
  <c r="E90" i="27"/>
  <c r="E33" i="27"/>
  <c r="W178" i="17"/>
  <c r="P169" i="17"/>
  <c r="L161" i="17"/>
  <c r="M66" i="27"/>
  <c r="V178" i="17"/>
  <c r="U167" i="17"/>
  <c r="T156" i="17"/>
  <c r="E74" i="27"/>
  <c r="E17" i="27"/>
  <c r="AC172" i="17"/>
  <c r="O162" i="17"/>
  <c r="O154" i="17"/>
  <c r="O85" i="27"/>
  <c r="K67" i="27"/>
  <c r="O47" i="27"/>
  <c r="K29" i="27"/>
  <c r="C23" i="27"/>
  <c r="G23" i="27"/>
  <c r="G50" i="27"/>
  <c r="L17" i="27"/>
  <c r="G45" i="27"/>
  <c r="O5" i="27"/>
  <c r="O171" i="17"/>
  <c r="AA159" i="17"/>
  <c r="M149" i="17"/>
  <c r="Z143" i="17"/>
  <c r="O138" i="17"/>
  <c r="AC132" i="17"/>
  <c r="X178" i="17"/>
  <c r="AB163" i="17"/>
  <c r="Y149" i="17"/>
  <c r="P142" i="17"/>
  <c r="X134" i="17"/>
  <c r="Z127" i="17"/>
  <c r="S122" i="17"/>
  <c r="AC116" i="17"/>
  <c r="V111" i="17"/>
  <c r="Y178" i="17"/>
  <c r="K164" i="17"/>
  <c r="Z149" i="17"/>
  <c r="Q142" i="17"/>
  <c r="P175" i="17"/>
  <c r="M161" i="17"/>
  <c r="J148" i="17"/>
  <c r="W140" i="17"/>
  <c r="U177" i="17"/>
  <c r="P163" i="17"/>
  <c r="AA148" i="17"/>
  <c r="Y141" i="17"/>
  <c r="V134" i="17"/>
  <c r="Q127" i="17"/>
  <c r="J122" i="17"/>
  <c r="X116" i="17"/>
  <c r="M111" i="17"/>
  <c r="P134" i="17"/>
  <c r="M122" i="17"/>
  <c r="Z74" i="17"/>
  <c r="J124" i="17"/>
  <c r="R104" i="17"/>
  <c r="O95" i="17"/>
  <c r="AD84" i="17"/>
  <c r="M72" i="27"/>
  <c r="AC179" i="17"/>
  <c r="T168" i="17"/>
  <c r="W157" i="17"/>
  <c r="E80" i="27"/>
  <c r="E22" i="27"/>
  <c r="AB173" i="17"/>
  <c r="N163" i="17"/>
  <c r="J155" i="17"/>
  <c r="K86" i="27"/>
  <c r="O67" i="27"/>
  <c r="K49" i="27"/>
  <c r="O29" i="27"/>
  <c r="C27" i="27"/>
  <c r="G31" i="27"/>
  <c r="G54" i="27"/>
  <c r="C19" i="27"/>
  <c r="L58" i="27"/>
  <c r="K20" i="27"/>
  <c r="W179" i="17"/>
  <c r="AD168" i="17"/>
  <c r="AC157" i="17"/>
  <c r="M148" i="17"/>
  <c r="AA142" i="17"/>
  <c r="P137" i="17"/>
  <c r="AD131" i="17"/>
  <c r="K176" i="17"/>
  <c r="AA160" i="17"/>
  <c r="AB147" i="17"/>
  <c r="Z140" i="17"/>
  <c r="R133" i="17"/>
  <c r="AA126" i="17"/>
  <c r="T121" i="17"/>
  <c r="AD115" i="17"/>
  <c r="W110" i="17"/>
  <c r="O176" i="17"/>
  <c r="J161" i="17"/>
  <c r="AC147" i="17"/>
  <c r="AA140" i="17"/>
  <c r="AA172" i="17"/>
  <c r="U158" i="17"/>
  <c r="Y146" i="17"/>
  <c r="Q139" i="17"/>
  <c r="AC174" i="17"/>
  <c r="Z160" i="17"/>
  <c r="P147" i="17"/>
  <c r="N140" i="17"/>
  <c r="K133" i="17"/>
  <c r="R126" i="17"/>
  <c r="K121" i="17"/>
  <c r="Y115" i="17"/>
  <c r="N110" i="17"/>
  <c r="Y131" i="17"/>
  <c r="O120" i="17"/>
  <c r="AA108" i="17"/>
  <c r="U102" i="17"/>
  <c r="N97" i="17"/>
  <c r="X91" i="17"/>
  <c r="Q86" i="17"/>
  <c r="J81" i="17"/>
  <c r="T75" i="17"/>
  <c r="T71" i="17"/>
  <c r="T67" i="17"/>
  <c r="P63" i="17"/>
  <c r="P59" i="17"/>
  <c r="P55" i="17"/>
  <c r="O137" i="17"/>
  <c r="T126" i="17"/>
  <c r="T118" i="17"/>
  <c r="L110" i="17"/>
  <c r="T104" i="17"/>
  <c r="T100" i="17"/>
  <c r="P96" i="17"/>
  <c r="P92" i="17"/>
  <c r="P88" i="17"/>
  <c r="L84" i="17"/>
  <c r="L80" i="17"/>
  <c r="L76" i="17"/>
  <c r="J88" i="17"/>
  <c r="P160" i="17"/>
  <c r="X165" i="17"/>
  <c r="O53" i="27"/>
  <c r="O16" i="27"/>
  <c r="G34" i="27"/>
  <c r="L66" i="27"/>
  <c r="K16" i="27"/>
  <c r="P174" i="17"/>
  <c r="AD160" i="17"/>
  <c r="AA146" i="17"/>
  <c r="AD139" i="17"/>
  <c r="L133" i="17"/>
  <c r="K172" i="17"/>
  <c r="P154" i="17"/>
  <c r="U142" i="17"/>
  <c r="W131" i="17"/>
  <c r="AD123" i="17"/>
  <c r="T117" i="17"/>
  <c r="P109" i="17"/>
  <c r="W168" i="17"/>
  <c r="Q150" i="17"/>
  <c r="Z138" i="17"/>
  <c r="M166" i="17"/>
  <c r="T148" i="17"/>
  <c r="V137" i="17"/>
  <c r="P167" i="17"/>
  <c r="V149" i="17"/>
  <c r="X138" i="17"/>
  <c r="U129" i="17"/>
  <c r="R122" i="17"/>
  <c r="N114" i="17"/>
  <c r="U107" i="17"/>
  <c r="U122" i="17"/>
  <c r="Y106" i="17"/>
  <c r="AB99" i="17"/>
  <c r="N93" i="17"/>
  <c r="J85" i="17"/>
  <c r="M78" i="17"/>
  <c r="S72" i="17"/>
  <c r="Q66" i="17"/>
  <c r="R61" i="17"/>
  <c r="O56" i="17"/>
  <c r="AD133" i="17"/>
  <c r="P122" i="17"/>
  <c r="R112" i="17"/>
  <c r="U103" i="17"/>
  <c r="R98" i="17"/>
  <c r="O93" i="17"/>
  <c r="M87" i="17"/>
  <c r="N82" i="17"/>
  <c r="K77" i="17"/>
  <c r="U137" i="17"/>
  <c r="U126" i="17"/>
  <c r="U118" i="17"/>
  <c r="M110" i="17"/>
  <c r="U104" i="17"/>
  <c r="U100" i="17"/>
  <c r="Q96" i="17"/>
  <c r="Q92" i="17"/>
  <c r="Q88" i="17"/>
  <c r="M84" i="17"/>
  <c r="M80" i="17"/>
  <c r="M76" i="17"/>
  <c r="AD71" i="17"/>
  <c r="X126" i="17"/>
  <c r="X118" i="17"/>
  <c r="P110" i="17"/>
  <c r="V104" i="17"/>
  <c r="V100" i="17"/>
  <c r="R96" i="17"/>
  <c r="R92" i="17"/>
  <c r="R88" i="17"/>
  <c r="N84" i="17"/>
  <c r="N80" i="17"/>
  <c r="N76" i="17"/>
  <c r="J72" i="17"/>
  <c r="J68" i="17"/>
  <c r="J64" i="17"/>
  <c r="AA59" i="17"/>
  <c r="AA55" i="17"/>
  <c r="AA51" i="17"/>
  <c r="Y64" i="17"/>
  <c r="Y56" i="17"/>
  <c r="AD49" i="17"/>
  <c r="Z45" i="17"/>
  <c r="Z41" i="17"/>
  <c r="Z37" i="17"/>
  <c r="V33" i="17"/>
  <c r="V29" i="17"/>
  <c r="V25" i="17"/>
  <c r="R21" i="17"/>
  <c r="R17" i="17"/>
  <c r="R13" i="17"/>
  <c r="N9" i="17"/>
  <c r="N5" i="17"/>
  <c r="J10" i="17"/>
  <c r="X68" i="17"/>
  <c r="X60" i="17"/>
  <c r="X52" i="17"/>
  <c r="Y47" i="17"/>
  <c r="Y43" i="17"/>
  <c r="Y39" i="17"/>
  <c r="U35" i="17"/>
  <c r="U31" i="17"/>
  <c r="U27" i="17"/>
  <c r="Q23" i="17"/>
  <c r="AD18" i="17"/>
  <c r="AC11" i="17"/>
  <c r="L69" i="17"/>
  <c r="L61" i="17"/>
  <c r="L53" i="17"/>
  <c r="AD47" i="17"/>
  <c r="AD43" i="17"/>
  <c r="AD39" i="17"/>
  <c r="Z35" i="17"/>
  <c r="Z31" i="17"/>
  <c r="Z27" i="17"/>
  <c r="V23" i="17"/>
  <c r="V19" i="17"/>
  <c r="V15" i="17"/>
  <c r="R11" i="17"/>
  <c r="AA6" i="17"/>
  <c r="V66" i="17"/>
  <c r="N58" i="17"/>
  <c r="X50" i="17"/>
  <c r="X46" i="17"/>
  <c r="T42" i="17"/>
  <c r="T38" i="17"/>
  <c r="T34" i="17"/>
  <c r="P30" i="17"/>
  <c r="P26" i="17"/>
  <c r="P22" i="17"/>
  <c r="L18" i="17"/>
  <c r="L14" i="17"/>
  <c r="L10" i="17"/>
  <c r="AC5" i="17"/>
  <c r="R10" i="17"/>
  <c r="L28" i="27"/>
  <c r="L20" i="27"/>
  <c r="F64" i="27"/>
  <c r="L79" i="27"/>
  <c r="F90" i="27"/>
  <c r="AA104" i="17"/>
  <c r="T99" i="17"/>
  <c r="M94" i="17"/>
  <c r="W88" i="17"/>
  <c r="P83" i="17"/>
  <c r="AD77" i="17"/>
  <c r="N73" i="17"/>
  <c r="N69" i="17"/>
  <c r="N65" i="17"/>
  <c r="J61" i="17"/>
  <c r="J57" i="17"/>
  <c r="J53" i="17"/>
  <c r="R130" i="17"/>
  <c r="AC121" i="17"/>
  <c r="AC113" i="17"/>
  <c r="N106" i="17"/>
  <c r="N102" i="17"/>
  <c r="N98" i="17"/>
  <c r="J94" i="17"/>
  <c r="J90" i="17"/>
  <c r="J86" i="17"/>
  <c r="AA81" i="17"/>
  <c r="AA77" i="17"/>
  <c r="X72" i="17"/>
  <c r="K128" i="17"/>
  <c r="C71" i="27"/>
  <c r="S149" i="17"/>
  <c r="U156" i="17"/>
  <c r="K35" i="27"/>
  <c r="O6" i="27"/>
  <c r="L23" i="27"/>
  <c r="C48" i="27"/>
  <c r="O11" i="27"/>
  <c r="W171" i="17"/>
  <c r="O155" i="17"/>
  <c r="P145" i="17"/>
  <c r="AA138" i="17"/>
  <c r="W130" i="17"/>
  <c r="S168" i="17"/>
  <c r="M150" i="17"/>
  <c r="Y138" i="17"/>
  <c r="L130" i="17"/>
  <c r="AA122" i="17"/>
  <c r="W114" i="17"/>
  <c r="Z107" i="17"/>
  <c r="J165" i="17"/>
  <c r="R146" i="17"/>
  <c r="W180" i="17"/>
  <c r="M162" i="17"/>
  <c r="X144" i="17"/>
  <c r="AA135" i="17"/>
  <c r="AA163" i="17"/>
  <c r="Z145" i="17"/>
  <c r="W136" i="17"/>
  <c r="AC127" i="17"/>
  <c r="Y119" i="17"/>
  <c r="AB112" i="17"/>
  <c r="Z134" i="17"/>
  <c r="N117" i="17"/>
  <c r="R105" i="17"/>
  <c r="U98" i="17"/>
  <c r="Q90" i="17"/>
  <c r="T83" i="17"/>
  <c r="J77" i="17"/>
  <c r="U70" i="17"/>
  <c r="R65" i="17"/>
  <c r="O60" i="17"/>
  <c r="M54" i="17"/>
  <c r="S131" i="17"/>
  <c r="R120" i="17"/>
  <c r="N108" i="17"/>
  <c r="R102" i="17"/>
  <c r="S97" i="17"/>
  <c r="Q91" i="17"/>
  <c r="N86" i="17"/>
  <c r="K81" i="17"/>
  <c r="AD74" i="17"/>
  <c r="J134" i="17"/>
  <c r="W124" i="17"/>
  <c r="O116" i="17"/>
  <c r="O108" i="17"/>
  <c r="V103" i="17"/>
  <c r="R99" i="17"/>
  <c r="R95" i="17"/>
  <c r="R91" i="17"/>
  <c r="N87" i="17"/>
  <c r="N83" i="17"/>
  <c r="N79" i="17"/>
  <c r="J75" i="17"/>
  <c r="N134" i="17"/>
  <c r="Z124" i="17"/>
  <c r="R116" i="17"/>
  <c r="R108" i="17"/>
  <c r="W103" i="17"/>
  <c r="S99" i="17"/>
  <c r="S95" i="17"/>
  <c r="S91" i="17"/>
  <c r="O87" i="17"/>
  <c r="O83" i="17"/>
  <c r="O79" i="17"/>
  <c r="K75" i="17"/>
  <c r="K71" i="17"/>
  <c r="K67" i="17"/>
  <c r="AB62" i="17"/>
  <c r="AB58" i="17"/>
  <c r="AB54" i="17"/>
  <c r="AA70" i="17"/>
  <c r="AA62" i="17"/>
  <c r="AA54" i="17"/>
  <c r="AA48" i="17"/>
  <c r="AA44" i="17"/>
  <c r="AA40" i="17"/>
  <c r="W36" i="17"/>
  <c r="W32" i="17"/>
  <c r="W28" i="17"/>
  <c r="S24" i="17"/>
  <c r="S20" i="17"/>
  <c r="S16" i="17"/>
  <c r="O12" i="17"/>
  <c r="O8" i="17"/>
  <c r="O4" i="17"/>
  <c r="Z6" i="17"/>
  <c r="Z66" i="17"/>
  <c r="Z58" i="17"/>
  <c r="Z50" i="17"/>
  <c r="Z46" i="17"/>
  <c r="Z42" i="17"/>
  <c r="V38" i="17"/>
  <c r="V34" i="17"/>
  <c r="V30" i="17"/>
  <c r="R26" i="17"/>
  <c r="R22" i="17"/>
  <c r="J18" i="17"/>
  <c r="Y7" i="17"/>
  <c r="N67" i="17"/>
  <c r="N59" i="17"/>
  <c r="J51" i="17"/>
  <c r="J47" i="17"/>
  <c r="J43" i="17"/>
  <c r="AA38" i="17"/>
  <c r="AA34" i="17"/>
  <c r="AA30" i="17"/>
  <c r="W26" i="17"/>
  <c r="W22" i="17"/>
  <c r="W18" i="17"/>
  <c r="S14" i="17"/>
  <c r="S10" i="17"/>
  <c r="AC4" i="17"/>
  <c r="P64" i="17"/>
  <c r="P56" i="17"/>
  <c r="Y49" i="17"/>
  <c r="U45" i="17"/>
  <c r="U41" i="17"/>
  <c r="U37" i="17"/>
  <c r="Q33" i="17"/>
  <c r="Q29" i="17"/>
  <c r="Q25" i="17"/>
  <c r="M21" i="17"/>
  <c r="M17" i="17"/>
  <c r="M13" i="17"/>
  <c r="AD8" i="17"/>
  <c r="AD4" i="17"/>
  <c r="U7" i="17"/>
  <c r="F32" i="27"/>
  <c r="L71" i="27"/>
  <c r="F82" i="27"/>
  <c r="L111" i="17"/>
  <c r="X103" i="17"/>
  <c r="Q98" i="17"/>
  <c r="W92" i="17"/>
  <c r="P87" i="17"/>
  <c r="AD81" i="17"/>
  <c r="S76" i="17"/>
  <c r="O72" i="17"/>
  <c r="O68" i="17"/>
  <c r="K64" i="17"/>
  <c r="K60" i="17"/>
  <c r="K56" i="17"/>
  <c r="AB51" i="17"/>
  <c r="J128" i="17"/>
  <c r="J120" i="17"/>
  <c r="W111" i="17"/>
  <c r="O105" i="17"/>
  <c r="O101" i="17"/>
  <c r="K97" i="17"/>
  <c r="K93" i="17"/>
  <c r="K89" i="17"/>
  <c r="AB84" i="17"/>
  <c r="AB80" i="17"/>
  <c r="AB76" i="17"/>
  <c r="T136" i="17"/>
  <c r="M16" i="27"/>
  <c r="E37" i="27"/>
  <c r="T149" i="17"/>
  <c r="G44" i="27"/>
  <c r="L67" i="27"/>
  <c r="G14" i="27"/>
  <c r="L38" i="27"/>
  <c r="K6" i="27"/>
  <c r="AC165" i="17"/>
  <c r="AD152" i="17"/>
  <c r="M144" i="17"/>
  <c r="AD135" i="17"/>
  <c r="L129" i="17"/>
  <c r="AD164" i="17"/>
  <c r="Q146" i="17"/>
  <c r="N137" i="17"/>
  <c r="M128" i="17"/>
  <c r="AD119" i="17"/>
  <c r="P113" i="17"/>
  <c r="P179" i="17"/>
  <c r="AD157" i="17"/>
  <c r="R144" i="17"/>
  <c r="AA176" i="17"/>
  <c r="K155" i="17"/>
  <c r="AC142" i="17"/>
  <c r="AD177" i="17"/>
  <c r="W156" i="17"/>
  <c r="J144" i="17"/>
  <c r="AB134" i="17"/>
  <c r="K125" i="17"/>
  <c r="N118" i="17"/>
  <c r="Y111" i="17"/>
  <c r="O128" i="17"/>
  <c r="U114" i="17"/>
  <c r="AB103" i="17"/>
  <c r="X95" i="17"/>
  <c r="N89" i="17"/>
  <c r="Q82" i="17"/>
  <c r="U74" i="17"/>
  <c r="R69" i="17"/>
  <c r="S64" i="17"/>
  <c r="Q58" i="17"/>
  <c r="N53" i="17"/>
  <c r="R128" i="17"/>
  <c r="N116" i="17"/>
  <c r="V106" i="17"/>
  <c r="S101" i="17"/>
  <c r="Q95" i="17"/>
  <c r="N90" i="17"/>
  <c r="O85" i="17"/>
  <c r="M79" i="17"/>
  <c r="J74" i="17"/>
  <c r="T131" i="17"/>
  <c r="Q122" i="17"/>
  <c r="Q114" i="17"/>
  <c r="W106" i="17"/>
  <c r="S102" i="17"/>
  <c r="S98" i="17"/>
  <c r="S94" i="17"/>
  <c r="O90" i="17"/>
  <c r="O86" i="17"/>
  <c r="O82" i="17"/>
  <c r="K78" i="17"/>
  <c r="K74" i="17"/>
  <c r="X131" i="17"/>
  <c r="T122" i="17"/>
  <c r="T114" i="17"/>
  <c r="X106" i="17"/>
  <c r="T102" i="17"/>
  <c r="T98" i="17"/>
  <c r="T94" i="17"/>
  <c r="P90" i="17"/>
  <c r="P86" i="17"/>
  <c r="P82" i="17"/>
  <c r="L78" i="17"/>
  <c r="L74" i="17"/>
  <c r="L70" i="17"/>
  <c r="AC65" i="17"/>
  <c r="AC61" i="17"/>
  <c r="AC57" i="17"/>
  <c r="Y53" i="17"/>
  <c r="AC68" i="17"/>
  <c r="AC60" i="17"/>
  <c r="U52" i="17"/>
  <c r="AB47" i="17"/>
  <c r="AB43" i="17"/>
  <c r="X39" i="17"/>
  <c r="X35" i="17"/>
  <c r="X31" i="17"/>
  <c r="T27" i="17"/>
  <c r="T23" i="17"/>
  <c r="T19" i="17"/>
  <c r="P15" i="17"/>
  <c r="P11" i="17"/>
  <c r="P7" i="17"/>
  <c r="AD14" i="17"/>
  <c r="V7" i="17"/>
  <c r="AB64" i="17"/>
  <c r="T56" i="17"/>
  <c r="AA49" i="17"/>
  <c r="AA45" i="17"/>
  <c r="W41" i="17"/>
  <c r="W37" i="17"/>
  <c r="W33" i="17"/>
  <c r="S29" i="17"/>
  <c r="S25" i="17"/>
  <c r="S21" i="17"/>
  <c r="AB16" i="17"/>
  <c r="T4" i="17"/>
  <c r="P65" i="17"/>
  <c r="AC56" i="17"/>
  <c r="K50" i="17"/>
  <c r="K46" i="17"/>
  <c r="AB41" i="17"/>
  <c r="AB37" i="17"/>
  <c r="AB33" i="17"/>
  <c r="X29" i="17"/>
  <c r="X25" i="17"/>
  <c r="X21" i="17"/>
  <c r="T17" i="17"/>
  <c r="T13" i="17"/>
  <c r="T9" i="17"/>
  <c r="R70" i="17"/>
  <c r="R62" i="17"/>
  <c r="R54" i="17"/>
  <c r="V48" i="17"/>
  <c r="V44" i="17"/>
  <c r="V40" i="17"/>
  <c r="R36" i="17"/>
  <c r="R32" i="17"/>
  <c r="R28" i="17"/>
  <c r="N24" i="17"/>
  <c r="N20" i="17"/>
  <c r="N16" i="17"/>
  <c r="J12" i="17"/>
  <c r="J8" i="17"/>
  <c r="J4" i="17"/>
  <c r="X4" i="17"/>
  <c r="L60" i="27"/>
  <c r="F44" i="27"/>
  <c r="F74" i="27"/>
  <c r="F85" i="27"/>
  <c r="S108" i="17"/>
  <c r="Q102" i="17"/>
  <c r="AA96" i="17"/>
  <c r="T91" i="17"/>
  <c r="M86" i="17"/>
  <c r="S80" i="17"/>
  <c r="P75" i="17"/>
  <c r="P71" i="17"/>
  <c r="L67" i="17"/>
  <c r="L63" i="17"/>
  <c r="L59" i="17"/>
  <c r="AC54" i="17"/>
  <c r="O136" i="17"/>
  <c r="L126" i="17"/>
  <c r="Y117" i="17"/>
  <c r="Y109" i="17"/>
  <c r="P104" i="17"/>
  <c r="L100" i="17"/>
  <c r="L96" i="17"/>
  <c r="L92" i="17"/>
  <c r="AC87" i="17"/>
  <c r="AC83" i="17"/>
  <c r="AC79" i="17"/>
  <c r="Y75" i="17"/>
  <c r="U133" i="17"/>
  <c r="Q171" i="17"/>
  <c r="Y176" i="17"/>
  <c r="K72" i="27"/>
  <c r="G51" i="27"/>
  <c r="F51" i="27" s="1"/>
  <c r="L43" i="27"/>
  <c r="C9" i="27"/>
  <c r="G29" i="27"/>
  <c r="Q177" i="17"/>
  <c r="W163" i="17"/>
  <c r="AC149" i="17"/>
  <c r="P141" i="17"/>
  <c r="W134" i="17"/>
  <c r="L179" i="17"/>
  <c r="Z157" i="17"/>
  <c r="P144" i="17"/>
  <c r="S135" i="17"/>
  <c r="T125" i="17"/>
  <c r="W118" i="17"/>
  <c r="Z111" i="17"/>
  <c r="N172" i="17"/>
  <c r="Q154" i="17"/>
  <c r="V142" i="17"/>
  <c r="N169" i="17"/>
  <c r="AC150" i="17"/>
  <c r="R141" i="17"/>
  <c r="S171" i="17"/>
  <c r="M153" i="17"/>
  <c r="AD141" i="17"/>
  <c r="K131" i="17"/>
  <c r="AC123" i="17"/>
  <c r="K117" i="17"/>
  <c r="AB108" i="17"/>
  <c r="N125" i="17"/>
  <c r="AB111" i="17"/>
  <c r="R101" i="17"/>
  <c r="U94" i="17"/>
  <c r="X87" i="17"/>
  <c r="T79" i="17"/>
  <c r="V73" i="17"/>
  <c r="S68" i="17"/>
  <c r="Q62" i="17"/>
  <c r="N57" i="17"/>
  <c r="O52" i="17"/>
  <c r="V124" i="17"/>
  <c r="P114" i="17"/>
  <c r="S105" i="17"/>
  <c r="Q99" i="17"/>
  <c r="R94" i="17"/>
  <c r="O89" i="17"/>
  <c r="M83" i="17"/>
  <c r="J78" i="17"/>
  <c r="K73" i="17"/>
  <c r="S128" i="17"/>
  <c r="S120" i="17"/>
  <c r="S112" i="17"/>
  <c r="T105" i="17"/>
  <c r="T101" i="17"/>
  <c r="T97" i="17"/>
  <c r="P93" i="17"/>
  <c r="P89" i="17"/>
  <c r="P85" i="17"/>
  <c r="L81" i="17"/>
  <c r="L77" i="17"/>
  <c r="L73" i="17"/>
  <c r="W128" i="17"/>
  <c r="V120" i="17"/>
  <c r="V112" i="17"/>
  <c r="U105" i="17"/>
  <c r="U101" i="17"/>
  <c r="U97" i="17"/>
  <c r="Q93" i="17"/>
  <c r="Q89" i="17"/>
  <c r="Q85" i="17"/>
  <c r="M81" i="17"/>
  <c r="M77" i="17"/>
  <c r="M73" i="17"/>
  <c r="AD68" i="17"/>
  <c r="AD64" i="17"/>
  <c r="AD60" i="17"/>
  <c r="Z56" i="17"/>
  <c r="Z52" i="17"/>
  <c r="J67" i="17"/>
  <c r="W58" i="17"/>
  <c r="AC50" i="17"/>
  <c r="AC46" i="17"/>
  <c r="Y42" i="17"/>
  <c r="Y38" i="17"/>
  <c r="Y34" i="17"/>
  <c r="U30" i="17"/>
  <c r="U26" i="17"/>
  <c r="U22" i="17"/>
  <c r="Q18" i="17"/>
  <c r="Q14" i="17"/>
  <c r="Q10" i="17"/>
  <c r="M6" i="17"/>
  <c r="AB12" i="17"/>
  <c r="AD70" i="17"/>
  <c r="V62" i="17"/>
  <c r="V54" i="17"/>
  <c r="AB48" i="17"/>
  <c r="X44" i="17"/>
  <c r="X40" i="17"/>
  <c r="X36" i="17"/>
  <c r="T32" i="17"/>
  <c r="T28" i="17"/>
  <c r="T24" i="17"/>
  <c r="P20" i="17"/>
  <c r="Q15" i="17"/>
  <c r="R71" i="17"/>
  <c r="J63" i="17"/>
  <c r="J55" i="17"/>
  <c r="L49" i="17"/>
  <c r="AC44" i="17"/>
  <c r="AC40" i="17"/>
  <c r="AC36" i="17"/>
  <c r="Y32" i="17"/>
  <c r="Y28" i="17"/>
  <c r="Y24" i="17"/>
  <c r="U20" i="17"/>
  <c r="U16" i="17"/>
  <c r="U12" i="17"/>
  <c r="Q8" i="17"/>
  <c r="T68" i="17"/>
  <c r="T60" i="17"/>
  <c r="L52" i="17"/>
  <c r="W47" i="17"/>
  <c r="W43" i="17"/>
  <c r="S39" i="17"/>
  <c r="S35" i="17"/>
  <c r="S31" i="17"/>
  <c r="O27" i="17"/>
  <c r="O23" i="17"/>
  <c r="O19" i="17"/>
  <c r="K15" i="17"/>
  <c r="K11" i="17"/>
  <c r="K7" i="17"/>
  <c r="T12" i="17"/>
  <c r="L5" i="17"/>
  <c r="L10" i="27"/>
  <c r="L53" i="27"/>
  <c r="F77" i="27"/>
  <c r="L87" i="27"/>
  <c r="Q106" i="17"/>
  <c r="AA100" i="17"/>
  <c r="T95" i="17"/>
  <c r="M90" i="17"/>
  <c r="W84" i="17"/>
  <c r="P79" i="17"/>
  <c r="Q74" i="17"/>
  <c r="M70" i="17"/>
  <c r="M66" i="17"/>
  <c r="M62" i="17"/>
  <c r="AD57" i="17"/>
  <c r="AD53" i="17"/>
  <c r="S133" i="17"/>
  <c r="AA123" i="17"/>
  <c r="AA115" i="17"/>
  <c r="AA107" i="17"/>
  <c r="M103" i="17"/>
  <c r="M99" i="17"/>
  <c r="M95" i="17"/>
  <c r="AD90" i="17"/>
  <c r="AD86" i="17"/>
  <c r="AD82" i="17"/>
  <c r="Z78" i="17"/>
  <c r="AA73" i="17"/>
  <c r="T130" i="17"/>
  <c r="AD121" i="17"/>
  <c r="AD113" i="17"/>
  <c r="O106" i="17"/>
  <c r="O102" i="17"/>
  <c r="O98" i="17"/>
  <c r="K94" i="17"/>
  <c r="K90" i="17"/>
  <c r="K86" i="17"/>
  <c r="AC80" i="17"/>
  <c r="AC76" i="17"/>
  <c r="Z136" i="17"/>
  <c r="L122" i="17"/>
  <c r="AC109" i="17"/>
  <c r="Q101" i="17"/>
  <c r="L94" i="17"/>
  <c r="K87" i="17"/>
  <c r="J80" i="17"/>
  <c r="AA177" i="17"/>
  <c r="P156" i="17"/>
  <c r="E16" i="27"/>
  <c r="X161" i="17"/>
  <c r="K85" i="27"/>
  <c r="K46" i="27"/>
  <c r="G19" i="27"/>
  <c r="C49" i="27"/>
  <c r="G53" i="27"/>
  <c r="M173" i="17"/>
  <c r="S151" i="17"/>
  <c r="N139" i="17"/>
  <c r="U128" i="17"/>
  <c r="O152" i="17"/>
  <c r="N136" i="17"/>
  <c r="V123" i="17"/>
  <c r="U112" i="17"/>
  <c r="U166" i="17"/>
  <c r="W143" i="17"/>
  <c r="N164" i="17"/>
  <c r="AC141" i="17"/>
  <c r="Z165" i="17"/>
  <c r="AD142" i="17"/>
  <c r="T128" i="17"/>
  <c r="AA117" i="17"/>
  <c r="Z106" i="17"/>
  <c r="J113" i="17"/>
  <c r="P99" i="17"/>
  <c r="S88" i="17"/>
  <c r="R77" i="17"/>
  <c r="J69" i="17"/>
  <c r="AA60" i="17"/>
  <c r="W52" i="17"/>
  <c r="U121" i="17"/>
  <c r="J106" i="17"/>
  <c r="AA97" i="17"/>
  <c r="AA89" i="17"/>
  <c r="W81" i="17"/>
  <c r="S73" i="17"/>
  <c r="V121" i="17"/>
  <c r="K106" i="17"/>
  <c r="AB97" i="17"/>
  <c r="AB89" i="17"/>
  <c r="X81" i="17"/>
  <c r="T73" i="17"/>
  <c r="Y121" i="17"/>
  <c r="L106" i="17"/>
  <c r="AC97" i="17"/>
  <c r="AC89" i="17"/>
  <c r="Y81" i="17"/>
  <c r="AA75" i="17"/>
  <c r="T70" i="17"/>
  <c r="M65" i="17"/>
  <c r="W59" i="17"/>
  <c r="P54" i="17"/>
  <c r="R67" i="17"/>
  <c r="Q56" i="17"/>
  <c r="S48" i="17"/>
  <c r="L43" i="17"/>
  <c r="R37" i="17"/>
  <c r="K32" i="17"/>
  <c r="Y26" i="17"/>
  <c r="N21" i="17"/>
  <c r="AB15" i="17"/>
  <c r="U10" i="17"/>
  <c r="J5" i="17"/>
  <c r="S5" i="17"/>
  <c r="Q63" i="17"/>
  <c r="AC51" i="17"/>
  <c r="N46" i="17"/>
  <c r="AB40" i="17"/>
  <c r="M126" i="17"/>
  <c r="AB115" i="17"/>
  <c r="P105" i="17"/>
  <c r="M100" i="17"/>
  <c r="N95" i="17"/>
  <c r="L89" i="17"/>
  <c r="AD83" i="17"/>
  <c r="AB77" i="17"/>
  <c r="Y133" i="17"/>
  <c r="J116" i="17"/>
  <c r="O103" i="17"/>
  <c r="M93" i="17"/>
  <c r="J84" i="17"/>
  <c r="M27" i="27"/>
  <c r="AD150" i="17"/>
  <c r="U172" i="17"/>
  <c r="O150" i="17"/>
  <c r="K37" i="27"/>
  <c r="K21" i="27"/>
  <c r="C7" i="27"/>
  <c r="S167" i="17"/>
  <c r="AC144" i="17"/>
  <c r="N131" i="17"/>
  <c r="AB146" i="17"/>
  <c r="K129" i="17"/>
  <c r="R115" i="17"/>
  <c r="J160" i="17"/>
  <c r="Q178" i="17"/>
  <c r="Y145" i="17"/>
  <c r="Y158" i="17"/>
  <c r="AB135" i="17"/>
  <c r="P120" i="17"/>
  <c r="Y129" i="17"/>
  <c r="W104" i="17"/>
  <c r="L91" i="17"/>
  <c r="L75" i="17"/>
  <c r="AA64" i="17"/>
  <c r="Y54" i="17"/>
  <c r="Q117" i="17"/>
  <c r="J102" i="17"/>
  <c r="Y91" i="17"/>
  <c r="U79" i="17"/>
  <c r="AD129" i="17"/>
  <c r="R109" i="17"/>
  <c r="AD95" i="17"/>
  <c r="X85" i="17"/>
  <c r="V75" i="17"/>
  <c r="U117" i="17"/>
  <c r="L102" i="17"/>
  <c r="AA91" i="17"/>
  <c r="R80" i="17"/>
  <c r="Q73" i="17"/>
  <c r="T66" i="17"/>
  <c r="P58" i="17"/>
  <c r="S51" i="17"/>
  <c r="R59" i="17"/>
  <c r="L47" i="17"/>
  <c r="O40" i="17"/>
  <c r="R33" i="17"/>
  <c r="N25" i="17"/>
  <c r="Y18" i="17"/>
  <c r="AB11" i="17"/>
  <c r="X16" i="17"/>
  <c r="P68" i="17"/>
  <c r="AD54" i="17"/>
  <c r="K45" i="17"/>
  <c r="N38" i="17"/>
  <c r="AB32" i="17"/>
  <c r="M27" i="17"/>
  <c r="AA21" i="17"/>
  <c r="Y15" i="17"/>
  <c r="Y68" i="17"/>
  <c r="K58" i="17"/>
  <c r="P49" i="17"/>
  <c r="Z43" i="17"/>
  <c r="S38" i="17"/>
  <c r="L33" i="17"/>
  <c r="R27" i="17"/>
  <c r="K22" i="17"/>
  <c r="Y16" i="17"/>
  <c r="N11" i="17"/>
  <c r="U71" i="17"/>
  <c r="AB60" i="17"/>
  <c r="T50" i="17"/>
  <c r="M45" i="17"/>
  <c r="AA39" i="17"/>
  <c r="L34" i="17"/>
  <c r="Z28" i="17"/>
  <c r="S23" i="17"/>
  <c r="AC17" i="17"/>
  <c r="V12" i="17"/>
  <c r="O7" i="17"/>
  <c r="AA9" i="17"/>
  <c r="F59" i="27"/>
  <c r="F71" i="27"/>
  <c r="L85" i="27"/>
  <c r="K54" i="27"/>
  <c r="Y180" i="17"/>
  <c r="Q152" i="17"/>
  <c r="G38" i="27"/>
  <c r="K146" i="17"/>
  <c r="N138" i="17"/>
  <c r="K163" i="17"/>
  <c r="L155" i="17"/>
  <c r="Z133" i="17"/>
  <c r="K72" i="17"/>
  <c r="M56" i="27"/>
  <c r="N166" i="17"/>
  <c r="E66" i="27"/>
  <c r="V171" i="17"/>
  <c r="T153" i="17"/>
  <c r="K26" i="27"/>
  <c r="O20" i="27"/>
  <c r="C15" i="27"/>
  <c r="K8" i="27"/>
  <c r="Q161" i="17"/>
  <c r="Q144" i="17"/>
  <c r="AA130" i="17"/>
  <c r="Q158" i="17"/>
  <c r="T139" i="17"/>
  <c r="AB125" i="17"/>
  <c r="AA114" i="17"/>
  <c r="N173" i="17"/>
  <c r="X146" i="17"/>
  <c r="P170" i="17"/>
  <c r="T179" i="17"/>
  <c r="M7" i="27"/>
  <c r="K89" i="27"/>
  <c r="G61" i="27"/>
  <c r="AB148" i="17"/>
  <c r="AD148" i="17"/>
  <c r="Z161" i="17"/>
  <c r="J121" i="17"/>
  <c r="AC78" i="17"/>
  <c r="E58" i="27"/>
  <c r="L21" i="27"/>
  <c r="U170" i="17"/>
  <c r="AB155" i="17"/>
  <c r="Z144" i="17"/>
  <c r="Q110" i="17"/>
  <c r="AD65" i="17"/>
  <c r="M38" i="27"/>
  <c r="Q163" i="17"/>
  <c r="E53" i="27"/>
  <c r="Y168" i="17"/>
  <c r="V151" i="17"/>
  <c r="O59" i="27"/>
  <c r="G68" i="27"/>
  <c r="K9" i="27"/>
  <c r="C11" i="27"/>
  <c r="K12" i="27"/>
  <c r="J164" i="17"/>
  <c r="AB145" i="17"/>
  <c r="J135" i="17"/>
  <c r="J169" i="17"/>
  <c r="AA144" i="17"/>
  <c r="Q130" i="17"/>
  <c r="J119" i="17"/>
  <c r="Q108" i="17"/>
  <c r="AC154" i="17"/>
  <c r="L5" i="27"/>
  <c r="S152" i="17"/>
  <c r="P136" i="17"/>
  <c r="V153" i="17"/>
  <c r="M137" i="17"/>
  <c r="L124" i="17"/>
  <c r="O113" i="17"/>
  <c r="Q126" i="17"/>
  <c r="V105" i="17"/>
  <c r="Y94" i="17"/>
  <c r="K84" i="17"/>
  <c r="Z73" i="17"/>
  <c r="V65" i="17"/>
  <c r="V57" i="17"/>
  <c r="AC131" i="17"/>
  <c r="X114" i="17"/>
  <c r="Z102" i="17"/>
  <c r="V94" i="17"/>
  <c r="R86" i="17"/>
  <c r="R78" i="17"/>
  <c r="J132" i="17"/>
  <c r="Y114" i="17"/>
  <c r="AA102" i="17"/>
  <c r="W94" i="17"/>
  <c r="S86" i="17"/>
  <c r="S78" i="17"/>
  <c r="N132" i="17"/>
  <c r="AB114" i="17"/>
  <c r="AB102" i="17"/>
  <c r="X94" i="17"/>
  <c r="T86" i="17"/>
  <c r="AB78" i="17"/>
  <c r="U73" i="17"/>
  <c r="N68" i="17"/>
  <c r="X62" i="17"/>
  <c r="Q57" i="17"/>
  <c r="J52" i="17"/>
  <c r="S62" i="17"/>
  <c r="Z51" i="17"/>
  <c r="M46" i="17"/>
  <c r="S40" i="17"/>
  <c r="L35" i="17"/>
  <c r="Z29" i="17"/>
  <c r="O24" i="17"/>
  <c r="AC18" i="17"/>
  <c r="V13" i="17"/>
  <c r="K8" i="17"/>
  <c r="J14" i="17"/>
  <c r="S69" i="17"/>
  <c r="J58" i="17"/>
  <c r="O49" i="17"/>
  <c r="AC43" i="17"/>
  <c r="R38" i="17"/>
  <c r="K33" i="17"/>
  <c r="Y27" i="17"/>
  <c r="N22" i="17"/>
  <c r="P16" i="17"/>
  <c r="AB69" i="17"/>
  <c r="S58" i="17"/>
  <c r="T49" i="17"/>
  <c r="M44" i="17"/>
  <c r="W38" i="17"/>
  <c r="P33" i="17"/>
  <c r="AD27" i="17"/>
  <c r="S22" i="17"/>
  <c r="L17" i="17"/>
  <c r="Z11" i="17"/>
  <c r="AC71" i="17"/>
  <c r="O61" i="17"/>
  <c r="AB50" i="17"/>
  <c r="Q45" i="17"/>
  <c r="J40" i="17"/>
  <c r="X34" i="17"/>
  <c r="M29" i="17"/>
  <c r="AA23" i="17"/>
  <c r="T18" i="17"/>
  <c r="Z12" i="17"/>
  <c r="S7" i="17"/>
  <c r="V10" i="17"/>
  <c r="F43" i="27"/>
  <c r="L37" i="27"/>
  <c r="L73" i="27"/>
  <c r="F88" i="27"/>
  <c r="AA137" i="17"/>
  <c r="Y142" i="17"/>
  <c r="L128" i="17"/>
  <c r="O117" i="17"/>
  <c r="J137" i="17"/>
  <c r="W112" i="17"/>
  <c r="Y98" i="17"/>
  <c r="K88" i="17"/>
  <c r="N77" i="17"/>
  <c r="W68" i="17"/>
  <c r="W60" i="17"/>
  <c r="S52" i="17"/>
  <c r="AB123" i="17"/>
  <c r="X111" i="17"/>
  <c r="Q104" i="17"/>
  <c r="N99" i="17"/>
  <c r="L93" i="17"/>
  <c r="AD87" i="17"/>
  <c r="AB81" i="17"/>
  <c r="Z75" i="17"/>
  <c r="N128" i="17"/>
  <c r="L114" i="17"/>
  <c r="O99" i="17"/>
  <c r="K91" i="17"/>
  <c r="AC81" i="17"/>
  <c r="T172" i="17"/>
  <c r="E72" i="27"/>
  <c r="N167" i="17"/>
  <c r="K75" i="27"/>
  <c r="O27" i="27"/>
  <c r="V180" i="17"/>
  <c r="G33" i="27"/>
  <c r="L162" i="17"/>
  <c r="K142" i="17"/>
  <c r="L174" i="17"/>
  <c r="U143" i="17"/>
  <c r="K126" i="17"/>
  <c r="AB109" i="17"/>
  <c r="R152" i="17"/>
  <c r="P171" i="17"/>
  <c r="V138" i="17"/>
  <c r="L151" i="17"/>
  <c r="K132" i="17"/>
  <c r="AD114" i="17"/>
  <c r="K124" i="17"/>
  <c r="Z101" i="17"/>
  <c r="V85" i="17"/>
  <c r="J73" i="17"/>
  <c r="AC62" i="17"/>
  <c r="T135" i="17"/>
  <c r="M113" i="17"/>
  <c r="AC99" i="17"/>
  <c r="Y87" i="17"/>
  <c r="W77" i="17"/>
  <c r="R125" i="17"/>
  <c r="AD103" i="17"/>
  <c r="AB93" i="17"/>
  <c r="Z83" i="17"/>
  <c r="Y135" i="17"/>
  <c r="Q113" i="17"/>
  <c r="J100" i="17"/>
  <c r="AA87" i="17"/>
  <c r="X78" i="17"/>
  <c r="AA71" i="17"/>
  <c r="W63" i="17"/>
  <c r="M57" i="17"/>
  <c r="K70" i="17"/>
  <c r="X53" i="17"/>
  <c r="V45" i="17"/>
  <c r="AC38" i="17"/>
  <c r="AC30" i="17"/>
  <c r="K24" i="17"/>
  <c r="N17" i="17"/>
  <c r="J9" i="17"/>
  <c r="O13" i="17"/>
  <c r="W65" i="17"/>
  <c r="R50" i="17"/>
  <c r="U43" i="17"/>
  <c r="AB36" i="17"/>
  <c r="Q31" i="17"/>
  <c r="J26" i="17"/>
  <c r="X20" i="17"/>
  <c r="N10" i="17"/>
  <c r="K66" i="17"/>
  <c r="R55" i="17"/>
  <c r="Z47" i="17"/>
  <c r="S42" i="17"/>
  <c r="L37" i="17"/>
  <c r="V31" i="17"/>
  <c r="O26" i="17"/>
  <c r="AC20" i="17"/>
  <c r="N15" i="17"/>
  <c r="AB9" i="17"/>
  <c r="AB68" i="17"/>
  <c r="AA57" i="17"/>
  <c r="M49" i="17"/>
  <c r="AA43" i="17"/>
  <c r="P38" i="17"/>
  <c r="AD32" i="17"/>
  <c r="W27" i="17"/>
  <c r="AC21" i="17"/>
  <c r="V16" i="17"/>
  <c r="O11" i="17"/>
  <c r="Y5" i="17"/>
  <c r="N6" i="17"/>
  <c r="F40" i="27"/>
  <c r="F75" i="27"/>
  <c r="F89" i="27"/>
  <c r="O35" i="27"/>
  <c r="R175" i="17"/>
  <c r="K70" i="27"/>
  <c r="C24" i="27"/>
  <c r="N135" i="17"/>
  <c r="V127" i="17"/>
  <c r="V141" i="17"/>
  <c r="N141" i="17"/>
  <c r="P103" i="17"/>
  <c r="Z61" i="17"/>
  <c r="M19" i="27"/>
  <c r="X160" i="17"/>
  <c r="E38" i="27"/>
  <c r="O166" i="17"/>
  <c r="K83" i="27"/>
  <c r="C51" i="27"/>
  <c r="N180" i="17"/>
  <c r="G69" i="27"/>
  <c r="Y177" i="17"/>
  <c r="J156" i="17"/>
  <c r="AB141" i="17"/>
  <c r="O180" i="17"/>
  <c r="X151" i="17"/>
  <c r="X135" i="17"/>
  <c r="J123" i="17"/>
  <c r="Q112" i="17"/>
  <c r="L166" i="17"/>
  <c r="AB142" i="17"/>
  <c r="K156" i="17"/>
  <c r="AA164" i="17"/>
  <c r="T164" i="17"/>
  <c r="K51" i="27"/>
  <c r="C4" i="27"/>
  <c r="R134" i="17"/>
  <c r="AB174" i="17"/>
  <c r="W137" i="17"/>
  <c r="AD105" i="17"/>
  <c r="AB67" i="17"/>
  <c r="O79" i="27"/>
  <c r="O13" i="27"/>
  <c r="U141" i="17"/>
  <c r="O167" i="17"/>
  <c r="M127" i="17"/>
  <c r="P95" i="17"/>
  <c r="Z57" i="17"/>
  <c r="P180" i="17"/>
  <c r="J158" i="17"/>
  <c r="E24" i="27"/>
  <c r="R163" i="17"/>
  <c r="K88" i="27"/>
  <c r="K50" i="27"/>
  <c r="G28" i="27"/>
  <c r="C57" i="27"/>
  <c r="C60" i="27"/>
  <c r="R180" i="17"/>
  <c r="K159" i="17"/>
  <c r="J143" i="17"/>
  <c r="M132" i="17"/>
  <c r="Q162" i="17"/>
  <c r="O141" i="17"/>
  <c r="J127" i="17"/>
  <c r="Q116" i="17"/>
  <c r="Z176" i="17"/>
  <c r="S148" i="17"/>
  <c r="Q174" i="17"/>
  <c r="AD146" i="17"/>
  <c r="T175" i="17"/>
  <c r="K148" i="17"/>
  <c r="V133" i="17"/>
  <c r="O121" i="17"/>
  <c r="V110" i="17"/>
  <c r="W120" i="17"/>
  <c r="AC102" i="17"/>
  <c r="O92" i="17"/>
  <c r="N81" i="17"/>
  <c r="X71" i="17"/>
  <c r="X63" i="17"/>
  <c r="T55" i="17"/>
  <c r="AB126" i="17"/>
  <c r="AB110" i="17"/>
  <c r="X100" i="17"/>
  <c r="T92" i="17"/>
  <c r="T84" i="17"/>
  <c r="P76" i="17"/>
  <c r="AC126" i="17"/>
  <c r="AC110" i="17"/>
  <c r="Y100" i="17"/>
  <c r="U92" i="17"/>
  <c r="U84" i="17"/>
  <c r="Q76" i="17"/>
  <c r="K127" i="17"/>
  <c r="K111" i="17"/>
  <c r="Z100" i="17"/>
  <c r="V92" i="17"/>
  <c r="V84" i="17"/>
  <c r="Y77" i="17"/>
  <c r="R72" i="17"/>
  <c r="X66" i="17"/>
  <c r="Q61" i="17"/>
  <c r="J56" i="17"/>
  <c r="S70" i="17"/>
  <c r="Z59" i="17"/>
  <c r="M50" i="17"/>
  <c r="W44" i="17"/>
  <c r="P39" i="17"/>
  <c r="AD33" i="17"/>
  <c r="O28" i="17"/>
  <c r="AC22" i="17"/>
  <c r="V17" i="17"/>
  <c r="K12" i="17"/>
  <c r="Y6" i="17"/>
  <c r="Z10" i="17"/>
  <c r="R66" i="17"/>
  <c r="Y55" i="17"/>
  <c r="L48" i="17"/>
  <c r="R42" i="17"/>
  <c r="K37" i="17"/>
  <c r="Y31" i="17"/>
  <c r="N26" i="17"/>
  <c r="AB20" i="17"/>
  <c r="X12" i="17"/>
  <c r="AA66" i="17"/>
  <c r="M56" i="17"/>
  <c r="Q48" i="17"/>
  <c r="W42" i="17"/>
  <c r="P37" i="17"/>
  <c r="AD31" i="17"/>
  <c r="S26" i="17"/>
  <c r="L21" i="17"/>
  <c r="Z15" i="17"/>
  <c r="O10" i="17"/>
  <c r="W69" i="17"/>
  <c r="AD58" i="17"/>
  <c r="Q49" i="17"/>
  <c r="J44" i="17"/>
  <c r="X38" i="17"/>
  <c r="M33" i="17"/>
  <c r="AA27" i="17"/>
  <c r="T22" i="17"/>
  <c r="AD16" i="17"/>
  <c r="W11" i="17"/>
  <c r="P6" i="17"/>
  <c r="K120" i="17"/>
  <c r="Z109" i="17"/>
  <c r="N103" i="17"/>
  <c r="L97" i="17"/>
  <c r="M92" i="17"/>
  <c r="J87" i="17"/>
  <c r="AD79" i="17"/>
  <c r="AA74" i="17"/>
  <c r="P126" i="17"/>
  <c r="P106" i="17"/>
  <c r="P98" i="17"/>
  <c r="M89" i="17"/>
  <c r="C76" i="27"/>
  <c r="M167" i="17"/>
  <c r="E44" i="27"/>
  <c r="X157" i="17"/>
  <c r="K65" i="27"/>
  <c r="C55" i="27"/>
  <c r="C29" i="27"/>
  <c r="F19" i="27"/>
  <c r="Z156" i="17"/>
  <c r="Y136" i="17"/>
  <c r="T166" i="17"/>
  <c r="Y139" i="17"/>
  <c r="Y120" i="17"/>
  <c r="N107" i="17"/>
  <c r="AC146" i="17"/>
  <c r="V156" i="17"/>
  <c r="K180" i="17"/>
  <c r="Z146" i="17"/>
  <c r="AA125" i="17"/>
  <c r="L112" i="17"/>
  <c r="Y118" i="17"/>
  <c r="S96" i="17"/>
  <c r="L83" i="17"/>
  <c r="AC70" i="17"/>
  <c r="Y58" i="17"/>
  <c r="AC129" i="17"/>
  <c r="Q109" i="17"/>
  <c r="AC95" i="17"/>
  <c r="W85" i="17"/>
  <c r="U75" i="17"/>
  <c r="R117" i="17"/>
  <c r="K102" i="17"/>
  <c r="Z91" i="17"/>
  <c r="V79" i="17"/>
  <c r="M130" i="17"/>
  <c r="U109" i="17"/>
  <c r="J96" i="17"/>
  <c r="Y85" i="17"/>
  <c r="Q77" i="17"/>
  <c r="Q69" i="17"/>
  <c r="T62" i="17"/>
  <c r="W55" i="17"/>
  <c r="Q64" i="17"/>
  <c r="L51" i="17"/>
  <c r="O44" i="17"/>
  <c r="O36" i="17"/>
  <c r="R29" i="17"/>
  <c r="Y22" i="17"/>
  <c r="U14" i="17"/>
  <c r="X7" i="17"/>
  <c r="K9" i="17"/>
  <c r="P60" i="17"/>
  <c r="K49" i="17"/>
  <c r="N42" i="17"/>
  <c r="Q35" i="17"/>
  <c r="J30" i="17"/>
  <c r="X24" i="17"/>
  <c r="Z18" i="17"/>
  <c r="V6" i="17"/>
  <c r="Z63" i="17"/>
  <c r="Q52" i="17"/>
  <c r="S46" i="17"/>
  <c r="L41" i="17"/>
  <c r="V35" i="17"/>
  <c r="O30" i="17"/>
  <c r="AC24" i="17"/>
  <c r="R19" i="17"/>
  <c r="K14" i="17"/>
  <c r="Y8" i="17"/>
  <c r="AA65" i="17"/>
  <c r="M55" i="17"/>
  <c r="AA47" i="17"/>
  <c r="P42" i="17"/>
  <c r="AD36" i="17"/>
  <c r="W31" i="17"/>
  <c r="L26" i="17"/>
  <c r="Z20" i="17"/>
  <c r="S15" i="17"/>
  <c r="Y9" i="17"/>
  <c r="R4" i="17"/>
  <c r="X5" i="17"/>
  <c r="F56" i="27"/>
  <c r="F78" i="27"/>
  <c r="K150" i="17"/>
  <c r="C85" i="27"/>
  <c r="AB169" i="17"/>
  <c r="K42" i="27"/>
  <c r="L170" i="17"/>
  <c r="AB129" i="17"/>
  <c r="Y116" i="17"/>
  <c r="W160" i="17"/>
  <c r="U130" i="17"/>
  <c r="S92" i="17"/>
  <c r="Z53" i="17"/>
  <c r="AB176" i="17"/>
  <c r="Q155" i="17"/>
  <c r="E10" i="27"/>
  <c r="Y160" i="17"/>
  <c r="K64" i="27"/>
  <c r="C18" i="27"/>
  <c r="C45" i="27"/>
  <c r="C32" i="27"/>
  <c r="J172" i="17"/>
  <c r="X150" i="17"/>
  <c r="J139" i="17"/>
  <c r="J173" i="17"/>
  <c r="V146" i="17"/>
  <c r="L132" i="17"/>
  <c r="U120" i="17"/>
  <c r="T109" i="17"/>
  <c r="T158" i="17"/>
  <c r="U139" i="17"/>
  <c r="Z148" i="17"/>
  <c r="J146" i="17"/>
  <c r="E86" i="27"/>
  <c r="G36" i="27"/>
  <c r="Y140" i="17"/>
  <c r="R119" i="17"/>
  <c r="T147" i="17"/>
  <c r="AA121" i="17"/>
  <c r="Z97" i="17"/>
  <c r="AB59" i="17"/>
  <c r="K22" i="27"/>
  <c r="S159" i="17"/>
  <c r="Y124" i="17"/>
  <c r="AC143" i="17"/>
  <c r="W113" i="17"/>
  <c r="O84" i="17"/>
  <c r="C82" i="27"/>
  <c r="R174" i="17"/>
  <c r="T152" i="17"/>
  <c r="Z179" i="17"/>
  <c r="N159" i="17"/>
  <c r="K78" i="27"/>
  <c r="K40" i="27"/>
  <c r="G9" i="27"/>
  <c r="C37" i="27"/>
  <c r="C40" i="27"/>
  <c r="K175" i="17"/>
  <c r="Q153" i="17"/>
  <c r="Q140" i="17"/>
  <c r="X129" i="17"/>
  <c r="Y154" i="17"/>
  <c r="S137" i="17"/>
  <c r="U124" i="17"/>
  <c r="X113" i="17"/>
  <c r="M169" i="17"/>
  <c r="AB144" i="17"/>
  <c r="Y166" i="17"/>
  <c r="S143" i="17"/>
  <c r="AA168" i="17"/>
  <c r="O144" i="17"/>
  <c r="Z129" i="17"/>
  <c r="Z118" i="17"/>
  <c r="AC107" i="17"/>
  <c r="AC114" i="17"/>
  <c r="O100" i="17"/>
  <c r="R89" i="17"/>
  <c r="U78" i="17"/>
  <c r="Z69" i="17"/>
  <c r="V61" i="17"/>
  <c r="R53" i="17"/>
  <c r="K123" i="17"/>
  <c r="AA106" i="17"/>
  <c r="V98" i="17"/>
  <c r="V90" i="17"/>
  <c r="R82" i="17"/>
  <c r="N74" i="17"/>
  <c r="L123" i="17"/>
  <c r="AB106" i="17"/>
  <c r="W98" i="17"/>
  <c r="W90" i="17"/>
  <c r="S82" i="17"/>
  <c r="O74" i="17"/>
  <c r="O123" i="17"/>
  <c r="AC106" i="17"/>
  <c r="X98" i="17"/>
  <c r="X90" i="17"/>
  <c r="T82" i="17"/>
  <c r="R76" i="17"/>
  <c r="AB70" i="17"/>
  <c r="U65" i="17"/>
  <c r="N60" i="17"/>
  <c r="T54" i="17"/>
  <c r="Z67" i="17"/>
  <c r="L57" i="17"/>
  <c r="W48" i="17"/>
  <c r="P43" i="17"/>
  <c r="AD37" i="17"/>
  <c r="S32" i="17"/>
  <c r="L27" i="17"/>
  <c r="Z21" i="17"/>
  <c r="K16" i="17"/>
  <c r="Y10" i="17"/>
  <c r="R5" i="17"/>
  <c r="J6" i="17"/>
  <c r="Y63" i="17"/>
  <c r="K53" i="17"/>
  <c r="V46" i="17"/>
  <c r="O41" i="17"/>
  <c r="AC35" i="17"/>
  <c r="N30" i="17"/>
  <c r="AB24" i="17"/>
  <c r="M19" i="17"/>
  <c r="M7" i="17"/>
  <c r="M64" i="17"/>
  <c r="T53" i="17"/>
  <c r="AA46" i="17"/>
  <c r="T41" i="17"/>
  <c r="M36" i="17"/>
  <c r="S30" i="17"/>
  <c r="L25" i="17"/>
  <c r="Z19" i="17"/>
  <c r="O14" i="17"/>
  <c r="AC8" i="17"/>
  <c r="AD66" i="17"/>
  <c r="Z117" i="17"/>
  <c r="AB107" i="17"/>
  <c r="P101" i="17"/>
  <c r="M96" i="17"/>
  <c r="J91" i="17"/>
  <c r="AC84" i="17"/>
  <c r="AA78" i="17"/>
  <c r="AB73" i="17"/>
  <c r="N120" i="17"/>
  <c r="Q105" i="17"/>
  <c r="N96" i="17"/>
  <c r="L86" i="17"/>
  <c r="M64" i="27"/>
  <c r="W161" i="17"/>
  <c r="AB177" i="17"/>
  <c r="K154" i="17"/>
  <c r="K56" i="27"/>
  <c r="C62" i="27"/>
  <c r="G16" i="27"/>
  <c r="L178" i="17"/>
  <c r="R147" i="17"/>
  <c r="AB133" i="17"/>
  <c r="AB159" i="17"/>
  <c r="W132" i="17"/>
  <c r="AB117" i="17"/>
  <c r="M174" i="17"/>
  <c r="AA139" i="17"/>
  <c r="AD149" i="17"/>
  <c r="AD172" i="17"/>
  <c r="M139" i="17"/>
  <c r="M123" i="17"/>
  <c r="W109" i="17"/>
  <c r="K108" i="17"/>
  <c r="Z93" i="17"/>
  <c r="O80" i="17"/>
  <c r="AC66" i="17"/>
  <c r="AA56" i="17"/>
  <c r="Q125" i="17"/>
  <c r="AC103" i="17"/>
  <c r="AA93" i="17"/>
  <c r="Y83" i="17"/>
  <c r="U135" i="17"/>
  <c r="N113" i="17"/>
  <c r="AD99" i="17"/>
  <c r="Z87" i="17"/>
  <c r="X77" i="17"/>
  <c r="U125" i="17"/>
  <c r="J104" i="17"/>
  <c r="AC93" i="17"/>
  <c r="AA83" i="17"/>
  <c r="X74" i="17"/>
  <c r="AA67" i="17"/>
  <c r="M61" i="17"/>
  <c r="AD52" i="17"/>
  <c r="X61" i="17"/>
  <c r="V49" i="17"/>
  <c r="V41" i="17"/>
  <c r="AC34" i="17"/>
  <c r="K28" i="17"/>
  <c r="AB19" i="17"/>
  <c r="J13" i="17"/>
  <c r="U6" i="17"/>
  <c r="Q71" i="17"/>
  <c r="W57" i="17"/>
  <c r="U47" i="17"/>
  <c r="Q39" i="17"/>
  <c r="J34" i="17"/>
  <c r="X28" i="17"/>
  <c r="M23" i="17"/>
  <c r="S17" i="17"/>
  <c r="Z71" i="17"/>
  <c r="Y60" i="17"/>
  <c r="W50" i="17"/>
  <c r="P45" i="17"/>
  <c r="V39" i="17"/>
  <c r="O34" i="17"/>
  <c r="AC28" i="17"/>
  <c r="R23" i="17"/>
  <c r="K18" i="17"/>
  <c r="Y12" i="17"/>
  <c r="W6" i="17"/>
  <c r="U63" i="17"/>
  <c r="AB52" i="17"/>
  <c r="P46" i="17"/>
  <c r="AD40" i="17"/>
  <c r="W35" i="17"/>
  <c r="L30" i="17"/>
  <c r="Z24" i="17"/>
  <c r="S19" i="17"/>
  <c r="AC13" i="17"/>
  <c r="V8" i="17"/>
  <c r="AA13" i="17"/>
  <c r="L44" i="27"/>
  <c r="F65" i="27"/>
  <c r="L81" i="27"/>
  <c r="K74" i="27"/>
  <c r="M159" i="17"/>
  <c r="R159" i="17"/>
  <c r="C10" i="27"/>
  <c r="Y153" i="17"/>
  <c r="AA155" i="17"/>
  <c r="N177" i="17"/>
  <c r="V136" i="17"/>
  <c r="AD118" i="17"/>
  <c r="V81" i="17"/>
  <c r="C72" i="27"/>
  <c r="U171" i="17"/>
  <c r="J150" i="17"/>
  <c r="AC176" i="17"/>
  <c r="L157" i="17"/>
  <c r="O45" i="27"/>
  <c r="C54" i="27"/>
  <c r="L27" i="27"/>
  <c r="F17" i="27"/>
  <c r="K167" i="17"/>
  <c r="N147" i="17"/>
  <c r="M136" i="17"/>
  <c r="AD165" i="17"/>
  <c r="Z142" i="17"/>
  <c r="V128" i="17"/>
  <c r="X117" i="17"/>
  <c r="S180" i="17"/>
  <c r="AB151" i="17"/>
  <c r="R177" i="17"/>
  <c r="W141" i="17"/>
  <c r="L14" i="27"/>
  <c r="U164" i="17"/>
  <c r="C61" i="27"/>
  <c r="M177" i="17"/>
  <c r="U108" i="17"/>
  <c r="R140" i="17"/>
  <c r="AD110" i="17"/>
  <c r="V89" i="17"/>
  <c r="M44" i="27"/>
  <c r="G39" i="27"/>
  <c r="R143" i="17"/>
  <c r="R111" i="17"/>
  <c r="R169" i="17"/>
  <c r="Y126" i="17"/>
  <c r="AD73" i="17"/>
  <c r="M76" i="27"/>
  <c r="X168" i="17"/>
  <c r="E81" i="27"/>
  <c r="S174" i="17"/>
  <c r="R155" i="17"/>
  <c r="K69" i="27"/>
  <c r="O31" i="27"/>
  <c r="G35" i="27"/>
  <c r="L19" i="27"/>
  <c r="L22" i="27"/>
  <c r="Y169" i="17"/>
  <c r="Q148" i="17"/>
  <c r="X137" i="17"/>
  <c r="W176" i="17"/>
  <c r="R148" i="17"/>
  <c r="M134" i="17"/>
  <c r="X121" i="17"/>
  <c r="AA110" i="17"/>
  <c r="U162" i="17"/>
  <c r="Q141" i="17"/>
  <c r="L159" i="17"/>
  <c r="AB139" i="17"/>
  <c r="N161" i="17"/>
  <c r="X140" i="17"/>
  <c r="AD126" i="17"/>
  <c r="AC115" i="17"/>
  <c r="O132" i="17"/>
  <c r="AD109" i="17"/>
  <c r="V97" i="17"/>
  <c r="U86" i="17"/>
  <c r="AB75" i="17"/>
  <c r="X67" i="17"/>
  <c r="T59" i="17"/>
  <c r="T51" i="17"/>
  <c r="AB118" i="17"/>
  <c r="X104" i="17"/>
  <c r="X96" i="17"/>
  <c r="T88" i="17"/>
  <c r="P80" i="17"/>
  <c r="P72" i="17"/>
  <c r="AC118" i="17"/>
  <c r="Y104" i="17"/>
  <c r="Y96" i="17"/>
  <c r="U88" i="17"/>
  <c r="Q80" i="17"/>
  <c r="Q72" i="17"/>
  <c r="K119" i="17"/>
  <c r="Z104" i="17"/>
  <c r="Z96" i="17"/>
  <c r="V88" i="17"/>
  <c r="Z80" i="17"/>
  <c r="AB74" i="17"/>
  <c r="U69" i="17"/>
  <c r="N64" i="17"/>
  <c r="X58" i="17"/>
  <c r="Q53" i="17"/>
  <c r="T65" i="17"/>
  <c r="K54" i="17"/>
  <c r="P47" i="17"/>
  <c r="AD41" i="17"/>
  <c r="S36" i="17"/>
  <c r="L31" i="17"/>
  <c r="Z25" i="17"/>
  <c r="O20" i="17"/>
  <c r="AC14" i="17"/>
  <c r="V9" i="17"/>
  <c r="L20" i="17"/>
  <c r="Y71" i="17"/>
  <c r="K61" i="17"/>
  <c r="V50" i="17"/>
  <c r="O45" i="17"/>
  <c r="AC39" i="17"/>
  <c r="R34" i="17"/>
  <c r="K29" i="17"/>
  <c r="Y23" i="17"/>
  <c r="W17" i="17"/>
  <c r="Q4" i="17"/>
  <c r="T61" i="17"/>
  <c r="AA50" i="17"/>
  <c r="T45" i="17"/>
  <c r="M40" i="17"/>
  <c r="W34" i="17"/>
  <c r="P29" i="17"/>
  <c r="AD23" i="17"/>
  <c r="O18" i="17"/>
  <c r="AC12" i="17"/>
  <c r="R7" i="17"/>
  <c r="AC63" i="17"/>
  <c r="O53" i="17"/>
  <c r="AB46" i="17"/>
  <c r="Q41" i="17"/>
  <c r="J36" i="17"/>
  <c r="X30" i="17"/>
  <c r="AD24" i="17"/>
  <c r="W19" i="17"/>
  <c r="P14" i="17"/>
  <c r="Z8" i="17"/>
  <c r="R14" i="17"/>
  <c r="F27" i="27"/>
  <c r="F24" i="27"/>
  <c r="F70" i="27"/>
  <c r="F84" i="27"/>
  <c r="S145" i="17"/>
  <c r="U150" i="17"/>
  <c r="AA131" i="17"/>
  <c r="L120" i="17"/>
  <c r="K109" i="17"/>
  <c r="AD117" i="17"/>
  <c r="V101" i="17"/>
  <c r="Y90" i="17"/>
  <c r="K80" i="17"/>
  <c r="Y70" i="17"/>
  <c r="U62" i="17"/>
  <c r="U54" i="17"/>
  <c r="AD124" i="17"/>
  <c r="V108" i="17"/>
  <c r="Y99" i="17"/>
  <c r="U91" i="17"/>
  <c r="Q83" i="17"/>
  <c r="Q75" i="17"/>
  <c r="J125" i="17"/>
  <c r="W108" i="17"/>
  <c r="Z99" i="17"/>
  <c r="V91" i="17"/>
  <c r="R83" i="17"/>
  <c r="R75" i="17"/>
  <c r="M125" i="17"/>
  <c r="Z108" i="17"/>
  <c r="AA99" i="17"/>
  <c r="W91" i="17"/>
  <c r="S83" i="17"/>
  <c r="AD76" i="17"/>
  <c r="W71" i="17"/>
  <c r="P66" i="17"/>
  <c r="V60" i="17"/>
  <c r="O55" i="17"/>
  <c r="P69" i="17"/>
  <c r="O58" i="17"/>
  <c r="R49" i="17"/>
  <c r="K44" i="17"/>
  <c r="U38" i="17"/>
  <c r="N33" i="17"/>
  <c r="AB27" i="17"/>
  <c r="M22" i="17"/>
  <c r="AA16" i="17"/>
  <c r="T11" i="17"/>
  <c r="AD5" i="17"/>
  <c r="T8" i="17"/>
  <c r="O65" i="17"/>
  <c r="N54" i="17"/>
  <c r="Q47" i="17"/>
  <c r="J42" i="17"/>
  <c r="P36" i="17"/>
  <c r="AD30" i="17"/>
  <c r="W25" i="17"/>
  <c r="AC19" i="17"/>
  <c r="W9" i="17"/>
  <c r="X65" i="17"/>
  <c r="W54" i="17"/>
  <c r="V47" i="17"/>
  <c r="O42" i="17"/>
  <c r="U36" i="17"/>
  <c r="N31" i="17"/>
  <c r="AB25" i="17"/>
  <c r="Q20" i="17"/>
  <c r="J15" i="17"/>
  <c r="X9" i="17"/>
  <c r="L68" i="17"/>
  <c r="S57" i="17"/>
  <c r="AD48" i="17"/>
  <c r="O43" i="17"/>
  <c r="AC37" i="17"/>
  <c r="V32" i="17"/>
  <c r="K27" i="17"/>
  <c r="Y21" i="17"/>
  <c r="R16" i="17"/>
  <c r="AB10" i="17"/>
  <c r="U5" i="17"/>
  <c r="W5" i="17"/>
  <c r="L64" i="27"/>
  <c r="F66" i="27"/>
  <c r="F83" i="27"/>
  <c r="Q175" i="17"/>
  <c r="V155" i="17"/>
  <c r="L11" i="27"/>
  <c r="AC148" i="17"/>
  <c r="Q145" i="17"/>
  <c r="X170" i="17"/>
  <c r="J177" i="17"/>
  <c r="P116" i="17"/>
  <c r="L87" i="17"/>
  <c r="X55" i="17"/>
  <c r="AB96" i="17"/>
  <c r="P119" i="17"/>
  <c r="Y80" i="17"/>
  <c r="AD96" i="17"/>
  <c r="Y69" i="17"/>
  <c r="AB65" i="17"/>
  <c r="J37" i="17"/>
  <c r="L15" i="17"/>
  <c r="M51" i="17"/>
  <c r="X45" i="17"/>
  <c r="Q9" i="17"/>
  <c r="Q13" i="17"/>
  <c r="AD102" i="17"/>
  <c r="T132" i="17"/>
  <c r="AA86" i="17"/>
  <c r="K103" i="17"/>
  <c r="AC73" i="17"/>
  <c r="N52" i="17"/>
  <c r="J41" i="17"/>
  <c r="L19" i="17"/>
  <c r="AA69" i="17"/>
  <c r="AD38" i="17"/>
  <c r="V59" i="17"/>
  <c r="F36" i="27"/>
  <c r="AB92" i="17"/>
  <c r="P111" i="17"/>
  <c r="U76" i="17"/>
  <c r="AD92" i="17"/>
  <c r="O67" i="17"/>
  <c r="M60" i="17"/>
  <c r="M34" i="17"/>
  <c r="W12" i="17"/>
  <c r="L56" i="17"/>
  <c r="L32" i="17"/>
  <c r="V67" i="17"/>
  <c r="X37" i="17"/>
  <c r="AD15" i="17"/>
  <c r="AC49" i="17"/>
  <c r="J28" i="17"/>
  <c r="T6" i="17"/>
  <c r="F76" i="27"/>
  <c r="O29" i="17"/>
  <c r="M24" i="17"/>
  <c r="J20" i="17"/>
  <c r="AB49" i="17"/>
  <c r="AB34" i="17"/>
  <c r="S123" i="17"/>
  <c r="V82" i="17"/>
  <c r="J99" i="17"/>
  <c r="W123" i="17"/>
  <c r="X82" i="17"/>
  <c r="R60" i="17"/>
  <c r="N49" i="17"/>
  <c r="P27" i="17"/>
  <c r="Z5" i="17"/>
  <c r="AD46" i="17"/>
  <c r="O25" i="17"/>
  <c r="AB53" i="17"/>
  <c r="J31" i="17"/>
  <c r="L9" i="17"/>
  <c r="AC55" i="17"/>
  <c r="AA31" i="17"/>
  <c r="P10" i="17"/>
  <c r="L56" i="27"/>
  <c r="L77" i="27"/>
  <c r="AB171" i="17"/>
  <c r="S125" i="17"/>
  <c r="X128" i="17"/>
  <c r="O96" i="17"/>
  <c r="Y74" i="17"/>
  <c r="U58" i="17"/>
  <c r="Z120" i="17"/>
  <c r="Y103" i="17"/>
  <c r="W93" i="17"/>
  <c r="S81" i="17"/>
  <c r="U134" i="17"/>
  <c r="AA112" i="17"/>
  <c r="X97" i="17"/>
  <c r="V87" i="17"/>
  <c r="P77" i="17"/>
  <c r="AD120" i="17"/>
  <c r="AA103" i="17"/>
  <c r="Y93" i="17"/>
  <c r="U81" i="17"/>
  <c r="P74" i="17"/>
  <c r="S67" i="17"/>
  <c r="S59" i="17"/>
  <c r="V52" i="17"/>
  <c r="P61" i="17"/>
  <c r="K48" i="17"/>
  <c r="N41" i="17"/>
  <c r="Q34" i="17"/>
  <c r="Q26" i="17"/>
  <c r="X19" i="17"/>
  <c r="AA12" i="17"/>
  <c r="W4" i="17"/>
  <c r="N70" i="17"/>
  <c r="J46" i="17"/>
  <c r="M39" i="17"/>
  <c r="P32" i="17"/>
  <c r="L24" i="17"/>
  <c r="O17" i="17"/>
  <c r="AD51" i="17"/>
  <c r="K30" i="17"/>
  <c r="Z62" i="17"/>
  <c r="V28" i="17"/>
  <c r="Y4" i="17"/>
  <c r="K32" i="27"/>
  <c r="AB86" i="17"/>
  <c r="U56" i="17"/>
  <c r="Q51" i="17"/>
  <c r="AA32" i="17"/>
  <c r="T10" i="17"/>
  <c r="J62" i="17"/>
  <c r="L63" i="27"/>
  <c r="J153" i="17"/>
  <c r="AA18" i="17"/>
  <c r="T115" i="17"/>
  <c r="N63" i="17"/>
  <c r="O33" i="17"/>
  <c r="P5" i="17"/>
  <c r="S111" i="17"/>
  <c r="Q50" i="17"/>
  <c r="M67" i="17"/>
  <c r="P21" i="17"/>
  <c r="Q17" i="17"/>
  <c r="K47" i="17"/>
  <c r="X18" i="17"/>
  <c r="L107" i="17"/>
  <c r="AB57" i="17"/>
  <c r="L64" i="17"/>
  <c r="M20" i="17"/>
  <c r="R48" i="17"/>
  <c r="AC23" i="17"/>
  <c r="U44" i="17"/>
  <c r="L30" i="27"/>
  <c r="AD100" i="17"/>
  <c r="N43" i="17"/>
  <c r="W10" i="17"/>
  <c r="V51" i="17"/>
  <c r="Z90" i="17"/>
  <c r="W16" i="17"/>
  <c r="AA14" i="17"/>
  <c r="L4" i="17"/>
  <c r="M28" i="17"/>
  <c r="N48" i="17"/>
  <c r="T26" i="17"/>
  <c r="Z4" i="17"/>
  <c r="L6" i="27"/>
  <c r="F81" i="27"/>
  <c r="Y157" i="17"/>
  <c r="Z122" i="17"/>
  <c r="P123" i="17"/>
  <c r="R93" i="17"/>
  <c r="AA72" i="17"/>
  <c r="S56" i="17"/>
  <c r="AD116" i="17"/>
  <c r="W101" i="17"/>
  <c r="S89" i="17"/>
  <c r="Q79" i="17"/>
  <c r="S129" i="17"/>
  <c r="AB105" i="17"/>
  <c r="V95" i="17"/>
  <c r="T85" i="17"/>
  <c r="P73" i="17"/>
  <c r="M117" i="17"/>
  <c r="Y101" i="17"/>
  <c r="U89" i="17"/>
  <c r="W79" i="17"/>
  <c r="Z72" i="17"/>
  <c r="Z64" i="17"/>
  <c r="L58" i="17"/>
  <c r="O51" i="17"/>
  <c r="V55" i="17"/>
  <c r="U46" i="17"/>
  <c r="K40" i="17"/>
  <c r="AB31" i="17"/>
  <c r="J25" i="17"/>
  <c r="M18" i="17"/>
  <c r="AD9" i="17"/>
  <c r="AC15" i="17"/>
  <c r="AC67" i="17"/>
  <c r="U51" i="17"/>
  <c r="T44" i="17"/>
  <c r="AA37" i="17"/>
  <c r="AA29" i="17"/>
  <c r="AD22" i="17"/>
  <c r="Z14" i="17"/>
  <c r="W62" i="17"/>
  <c r="O50" i="17"/>
  <c r="R43" i="17"/>
  <c r="R35" i="17"/>
  <c r="U28" i="17"/>
  <c r="AB21" i="17"/>
  <c r="X13" i="17"/>
  <c r="K6" i="17"/>
  <c r="Y59" i="17"/>
  <c r="S47" i="17"/>
  <c r="Z40" i="17"/>
  <c r="AC33" i="17"/>
  <c r="Y25" i="17"/>
  <c r="AB18" i="17"/>
  <c r="R12" i="17"/>
  <c r="N4" i="17"/>
  <c r="F35" i="27"/>
  <c r="F60" i="27"/>
  <c r="F86" i="27"/>
  <c r="S153" i="17"/>
  <c r="O12" i="27"/>
  <c r="K122" i="17"/>
  <c r="L108" i="17"/>
  <c r="AD69" i="17"/>
  <c r="L105" i="17"/>
  <c r="S75" i="17"/>
  <c r="AD25" i="17"/>
  <c r="S115" i="17"/>
  <c r="M30" i="17"/>
  <c r="AC100" i="17"/>
  <c r="U48" i="17"/>
  <c r="J7" i="17"/>
  <c r="O107" i="17"/>
  <c r="N47" i="17"/>
  <c r="M5" i="17"/>
  <c r="F21" i="27"/>
  <c r="AD17" i="17"/>
  <c r="AA11" i="17"/>
  <c r="T33" i="17"/>
  <c r="AA90" i="17"/>
  <c r="Y65" i="17"/>
  <c r="U19" i="17"/>
  <c r="K43" i="17"/>
  <c r="O62" i="17"/>
  <c r="J24" i="17"/>
  <c r="L7" i="27"/>
  <c r="AB42" i="17"/>
  <c r="AD20" i="17"/>
  <c r="R6" i="17"/>
  <c r="F52" i="27"/>
  <c r="X133" i="17"/>
  <c r="AC138" i="17"/>
  <c r="Z114" i="17"/>
  <c r="J107" i="17"/>
  <c r="R85" i="17"/>
  <c r="Y66" i="17"/>
  <c r="T134" i="17"/>
  <c r="Z112" i="17"/>
  <c r="W97" i="17"/>
  <c r="U87" i="17"/>
  <c r="O77" i="17"/>
  <c r="AA120" i="17"/>
  <c r="Z103" i="17"/>
  <c r="X93" i="17"/>
  <c r="T81" i="17"/>
  <c r="Y134" i="17"/>
  <c r="AD112" i="17"/>
  <c r="Y97" i="17"/>
  <c r="W87" i="17"/>
  <c r="T78" i="17"/>
  <c r="P70" i="17"/>
  <c r="S63" i="17"/>
  <c r="V56" i="17"/>
  <c r="O66" i="17"/>
  <c r="P53" i="17"/>
  <c r="R45" i="17"/>
  <c r="N37" i="17"/>
  <c r="Q30" i="17"/>
  <c r="X23" i="17"/>
  <c r="X15" i="17"/>
  <c r="AA8" i="17"/>
  <c r="P12" i="17"/>
  <c r="N62" i="17"/>
  <c r="J50" i="17"/>
  <c r="M43" i="17"/>
  <c r="M35" i="17"/>
  <c r="P28" i="17"/>
  <c r="W21" i="17"/>
  <c r="K5" i="17"/>
  <c r="AD59" i="17"/>
  <c r="Y48" i="17"/>
  <c r="Y40" i="17"/>
  <c r="K34" i="17"/>
  <c r="N27" i="17"/>
  <c r="J19" i="17"/>
  <c r="M12" i="17"/>
  <c r="M71" i="17"/>
  <c r="Z54" i="17"/>
  <c r="L46" i="17"/>
  <c r="O39" i="17"/>
  <c r="K31" i="17"/>
  <c r="V24" i="17"/>
  <c r="Y17" i="17"/>
  <c r="U9" i="17"/>
  <c r="L12" i="17"/>
  <c r="L48" i="27"/>
  <c r="F72" i="27"/>
  <c r="L89" i="27"/>
  <c r="E29" i="27"/>
  <c r="C44" i="27"/>
  <c r="Y132" i="17"/>
  <c r="AB113" i="17"/>
  <c r="P148" i="17"/>
  <c r="K116" i="17"/>
  <c r="AB63" i="17"/>
  <c r="X88" i="17"/>
  <c r="AC96" i="17"/>
  <c r="M105" i="17"/>
  <c r="R64" i="17"/>
  <c r="X47" i="17"/>
  <c r="W20" i="17"/>
  <c r="L40" i="17"/>
  <c r="W53" i="17"/>
  <c r="N40" i="17"/>
  <c r="Z94" i="17"/>
  <c r="J103" i="17"/>
  <c r="W115" i="17"/>
  <c r="V68" i="17"/>
  <c r="M52" i="17"/>
  <c r="AA24" i="17"/>
  <c r="M59" i="17"/>
  <c r="AC27" i="17"/>
  <c r="U29" i="17"/>
  <c r="X84" i="17"/>
  <c r="Y61" i="17"/>
  <c r="J45" i="17"/>
  <c r="K21" i="17"/>
  <c r="L68" i="27"/>
  <c r="T43" i="17"/>
  <c r="L24" i="27"/>
  <c r="M37" i="17"/>
  <c r="W15" i="17"/>
  <c r="N7" i="17"/>
  <c r="L69" i="27"/>
  <c r="L163" i="17"/>
  <c r="L135" i="17"/>
  <c r="AC111" i="17"/>
  <c r="S104" i="17"/>
  <c r="U82" i="17"/>
  <c r="W64" i="17"/>
  <c r="R129" i="17"/>
  <c r="AA105" i="17"/>
  <c r="U95" i="17"/>
  <c r="S85" i="17"/>
  <c r="O73" i="17"/>
  <c r="J117" i="17"/>
  <c r="X101" i="17"/>
  <c r="T89" i="17"/>
  <c r="R79" i="17"/>
  <c r="W129" i="17"/>
  <c r="AC105" i="17"/>
  <c r="W95" i="17"/>
  <c r="U85" i="17"/>
  <c r="W75" i="17"/>
  <c r="Z68" i="17"/>
  <c r="L62" i="17"/>
  <c r="L54" i="17"/>
  <c r="AD63" i="17"/>
  <c r="Y50" i="17"/>
  <c r="U42" i="17"/>
  <c r="AB35" i="17"/>
  <c r="J29" i="17"/>
  <c r="J21" i="17"/>
  <c r="M14" i="17"/>
  <c r="T7" i="17"/>
  <c r="P4" i="17"/>
  <c r="U59" i="17"/>
  <c r="T48" i="17"/>
  <c r="T40" i="17"/>
  <c r="AA33" i="17"/>
  <c r="AD26" i="17"/>
  <c r="R18" i="17"/>
  <c r="W70" i="17"/>
  <c r="X57" i="17"/>
  <c r="O46" i="17"/>
  <c r="R39" i="17"/>
  <c r="U32" i="17"/>
  <c r="Q24" i="17"/>
  <c r="AB17" i="17"/>
  <c r="J11" i="17"/>
  <c r="S65" i="17"/>
  <c r="Y51" i="17"/>
  <c r="Z44" i="17"/>
  <c r="Z36" i="17"/>
  <c r="AC29" i="17"/>
  <c r="K23" i="17"/>
  <c r="AB14" i="17"/>
  <c r="N8" i="17"/>
  <c r="X8" i="17"/>
  <c r="L29" i="27"/>
  <c r="L75" i="27"/>
  <c r="M83" i="27"/>
  <c r="K61" i="27"/>
  <c r="AA175" i="17"/>
  <c r="AC162" i="17"/>
  <c r="R145" i="17"/>
  <c r="AA133" i="17"/>
  <c r="W100" i="17"/>
  <c r="X51" i="17"/>
  <c r="X80" i="17"/>
  <c r="Y88" i="17"/>
  <c r="Z88" i="17"/>
  <c r="K59" i="17"/>
  <c r="Q42" i="17"/>
  <c r="Z9" i="17"/>
  <c r="Z34" i="17"/>
  <c r="U25" i="17"/>
  <c r="L36" i="27"/>
  <c r="Z86" i="17"/>
  <c r="AA94" i="17"/>
  <c r="AB94" i="17"/>
  <c r="O63" i="17"/>
  <c r="Q46" i="17"/>
  <c r="Z13" i="17"/>
  <c r="W49" i="17"/>
  <c r="V22" i="17"/>
  <c r="W127" i="17"/>
  <c r="T76" i="17"/>
  <c r="Y84" i="17"/>
  <c r="Z84" i="17"/>
  <c r="R56" i="17"/>
  <c r="T39" i="17"/>
  <c r="AC6" i="17"/>
  <c r="AD42" i="17"/>
  <c r="S13" i="17"/>
  <c r="Q32" i="17"/>
  <c r="J70" i="17"/>
  <c r="Y33" i="17"/>
  <c r="L8" i="17"/>
  <c r="F80" i="27"/>
  <c r="J35" i="17"/>
  <c r="M15" i="17"/>
  <c r="AD11" i="17"/>
  <c r="F73" i="27"/>
  <c r="V74" i="17"/>
  <c r="W82" i="17"/>
  <c r="AB90" i="17"/>
  <c r="K55" i="17"/>
  <c r="M38" i="17"/>
  <c r="L11" i="17"/>
  <c r="S41" i="17"/>
  <c r="AB8" i="17"/>
  <c r="Q36" i="17"/>
  <c r="Q67" i="17"/>
  <c r="Y37" i="17"/>
  <c r="AA15" i="17"/>
  <c r="L61" i="27"/>
  <c r="Q40" i="17"/>
  <c r="Y41" i="17"/>
  <c r="L83" i="27"/>
  <c r="P17" i="17"/>
  <c r="U11" i="17"/>
  <c r="L62" i="27"/>
  <c r="L15" i="27"/>
  <c r="O57" i="17"/>
  <c r="Q68" i="17"/>
  <c r="Y44" i="17"/>
  <c r="K38" i="17"/>
  <c r="N23" i="17"/>
  <c r="Q16" i="17"/>
  <c r="M8" i="17"/>
  <c r="L50" i="17"/>
  <c r="L42" i="17"/>
  <c r="O35" i="17"/>
  <c r="R20" i="17"/>
  <c r="U13" i="17"/>
  <c r="X6" i="17"/>
  <c r="L45" i="27"/>
  <c r="F79" i="27"/>
  <c r="AA169" i="17"/>
  <c r="M165" i="17"/>
  <c r="V130" i="17"/>
  <c r="P138" i="17"/>
  <c r="P124" i="17"/>
  <c r="O76" i="17"/>
  <c r="O119" i="17"/>
  <c r="T72" i="17"/>
  <c r="U72" i="17"/>
  <c r="AD80" i="17"/>
  <c r="U53" i="17"/>
  <c r="P31" i="17"/>
  <c r="AB5" i="17"/>
  <c r="N18" i="17"/>
  <c r="F69" i="27"/>
  <c r="S132" i="17"/>
  <c r="V78" i="17"/>
  <c r="W78" i="17"/>
  <c r="U57" i="17"/>
  <c r="T35" i="17"/>
  <c r="S8" i="17"/>
  <c r="P44" i="17"/>
  <c r="N39" i="17"/>
  <c r="O111" i="17"/>
  <c r="X127" i="17"/>
  <c r="AA127" i="17"/>
  <c r="AC77" i="17"/>
  <c r="V71" i="17"/>
  <c r="AA28" i="17"/>
  <c r="Q11" i="17"/>
  <c r="S37" i="17"/>
  <c r="J27" i="17"/>
  <c r="Q59" i="17"/>
  <c r="X22" i="17"/>
  <c r="L52" i="27"/>
  <c r="S4" i="17"/>
  <c r="AD7" i="17"/>
  <c r="L18" i="27"/>
  <c r="K107" i="17"/>
  <c r="T123" i="17"/>
  <c r="W74" i="17"/>
  <c r="V76" i="17"/>
  <c r="U68" i="17"/>
  <c r="AC7" i="17"/>
  <c r="L36" i="17"/>
  <c r="U64" i="17"/>
  <c r="T25" i="17"/>
  <c r="X56" i="17"/>
  <c r="N32" i="17"/>
  <c r="S45" i="17"/>
  <c r="T29" i="17"/>
  <c r="AB30" i="17"/>
  <c r="O70" i="17"/>
  <c r="F87" i="27"/>
  <c r="L4" i="27"/>
  <c r="K138" i="17"/>
  <c r="K105" i="17"/>
  <c r="S119" i="17"/>
  <c r="N55" i="17"/>
  <c r="AA61" i="17"/>
  <c r="AA22" i="17"/>
  <c r="X132" i="17"/>
  <c r="S79" i="17"/>
  <c r="V14" i="17"/>
  <c r="AB100" i="17"/>
  <c r="V72" i="17"/>
  <c r="P23" i="17"/>
  <c r="Z26" i="17"/>
  <c r="R44" i="17"/>
  <c r="F48" i="27"/>
  <c r="T16" i="17"/>
  <c r="AD98" i="17"/>
  <c r="O71" i="17"/>
  <c r="AD21" i="17"/>
  <c r="Z30" i="17"/>
  <c r="AB26" i="17"/>
  <c r="P13" i="17"/>
  <c r="X14" i="17"/>
  <c r="AC45" i="17"/>
  <c r="AC92" i="17"/>
  <c r="P48" i="17"/>
  <c r="K39" i="17"/>
  <c r="N36" i="17"/>
  <c r="AA7" i="17"/>
  <c r="K99" i="17"/>
  <c r="S53" i="17"/>
  <c r="X41" i="17"/>
  <c r="U21" i="17"/>
  <c r="K65" i="17"/>
  <c r="L59" i="27"/>
  <c r="F54" i="27"/>
  <c r="F57" i="27"/>
  <c r="F37" i="27"/>
  <c r="F10" i="27"/>
  <c r="F42" i="27"/>
  <c r="F4" i="27"/>
  <c r="F8" i="27"/>
  <c r="F30" i="27"/>
  <c r="F5" i="27"/>
  <c r="F25" i="27"/>
  <c r="F6" i="27"/>
  <c r="F16" i="27"/>
  <c r="F29" i="27"/>
  <c r="F18" i="27"/>
  <c r="F41" i="27"/>
  <c r="F12" i="27"/>
  <c r="F46" i="27"/>
  <c r="F22" i="27"/>
  <c r="F58" i="27"/>
  <c r="F33" i="27"/>
  <c r="F49" i="27"/>
  <c r="F50" i="27"/>
  <c r="F61" i="27"/>
  <c r="F62" i="27"/>
  <c r="F38" i="27"/>
  <c r="F14" i="27"/>
  <c r="F53" i="27"/>
  <c r="F20" i="27"/>
  <c r="F26" i="27"/>
  <c r="F45" i="27"/>
  <c r="F34" i="27"/>
  <c r="D44" i="27" l="1"/>
  <c r="N12" i="27"/>
  <c r="N31" i="27"/>
  <c r="D61" i="27"/>
  <c r="D54" i="27"/>
  <c r="N45" i="27"/>
  <c r="D72" i="27"/>
  <c r="D10" i="27"/>
  <c r="D62" i="27"/>
  <c r="D40" i="27"/>
  <c r="D37" i="27"/>
  <c r="D82" i="27"/>
  <c r="D32" i="27"/>
  <c r="D45" i="27"/>
  <c r="D18" i="27"/>
  <c r="D85" i="27"/>
  <c r="D29" i="27"/>
  <c r="D55" i="27"/>
  <c r="D76" i="27"/>
  <c r="D60" i="27"/>
  <c r="D57" i="27"/>
  <c r="N13" i="27"/>
  <c r="N79" i="27"/>
  <c r="D4" i="27"/>
  <c r="D51" i="27"/>
  <c r="D24" i="27"/>
  <c r="N35" i="27"/>
  <c r="N27" i="27"/>
  <c r="D11" i="27"/>
  <c r="N59" i="27"/>
  <c r="D15" i="27"/>
  <c r="N20" i="27"/>
  <c r="D7" i="27"/>
  <c r="D49" i="27"/>
  <c r="D9" i="27"/>
  <c r="N11" i="27"/>
  <c r="D48" i="27"/>
  <c r="N6" i="27"/>
  <c r="D71" i="27"/>
  <c r="N16" i="27"/>
  <c r="N53" i="27"/>
  <c r="D19" i="27"/>
  <c r="D27" i="27"/>
  <c r="N29" i="27"/>
  <c r="N67" i="27"/>
  <c r="N5" i="27"/>
  <c r="D23" i="27"/>
  <c r="N47" i="27"/>
  <c r="N85" i="27"/>
  <c r="N9" i="27"/>
  <c r="D46" i="27"/>
  <c r="D39" i="27"/>
  <c r="N71" i="27"/>
  <c r="D89" i="27"/>
  <c r="D67" i="27"/>
  <c r="N39" i="27"/>
  <c r="N77" i="27"/>
  <c r="D81" i="27"/>
  <c r="N19" i="27"/>
  <c r="D59" i="27"/>
  <c r="N75" i="27"/>
  <c r="D77" i="27"/>
  <c r="N43" i="27"/>
  <c r="N63" i="27"/>
  <c r="N14" i="27"/>
  <c r="N61" i="27"/>
  <c r="D87" i="27"/>
  <c r="D74" i="27"/>
  <c r="D6" i="27"/>
  <c r="D28" i="27"/>
  <c r="D64" i="27"/>
  <c r="N10" i="27"/>
  <c r="D35" i="27"/>
  <c r="N55" i="27"/>
  <c r="N69" i="27"/>
  <c r="N83" i="27"/>
  <c r="D79" i="27"/>
  <c r="D47" i="27"/>
  <c r="N87" i="27"/>
  <c r="D5" i="27"/>
  <c r="N17" i="27"/>
  <c r="D33" i="27"/>
  <c r="D65" i="27"/>
  <c r="D30" i="27"/>
  <c r="D14" i="27"/>
  <c r="N21" i="27"/>
  <c r="D56" i="27"/>
  <c r="D17" i="27"/>
  <c r="H7" i="36"/>
  <c r="J6" i="36" s="1"/>
  <c r="N23" i="27"/>
  <c r="N37" i="27"/>
  <c r="N51" i="27"/>
  <c r="N7" i="27"/>
  <c r="D41" i="27"/>
  <c r="N8" i="27"/>
  <c r="D38" i="27"/>
  <c r="D43" i="27"/>
  <c r="N25" i="27"/>
  <c r="N57" i="27"/>
  <c r="N89" i="27"/>
  <c r="N4" i="27"/>
  <c r="D73" i="27"/>
  <c r="D88" i="27"/>
  <c r="D50" i="27"/>
  <c r="D12" i="27"/>
  <c r="N28" i="27"/>
  <c r="N36" i="27"/>
  <c r="N44" i="27"/>
  <c r="N52" i="27"/>
  <c r="N60" i="27"/>
  <c r="N68" i="27"/>
  <c r="N76" i="27"/>
  <c r="N84" i="27"/>
  <c r="D36" i="27"/>
  <c r="D68" i="27"/>
  <c r="D21" i="27"/>
  <c r="N49" i="27"/>
  <c r="N81" i="27"/>
  <c r="D53" i="27"/>
  <c r="D26" i="27"/>
  <c r="D58" i="27"/>
  <c r="D16" i="27"/>
  <c r="N22" i="27"/>
  <c r="N30" i="27"/>
  <c r="N38" i="27"/>
  <c r="N46" i="27"/>
  <c r="N54" i="27"/>
  <c r="N62" i="27"/>
  <c r="N70" i="27"/>
  <c r="N78" i="27"/>
  <c r="N86" i="27"/>
  <c r="D83" i="27"/>
  <c r="D86" i="27"/>
  <c r="N15" i="27"/>
  <c r="D25" i="27"/>
  <c r="N18" i="27"/>
  <c r="D22" i="27"/>
  <c r="D63" i="27"/>
  <c r="N41" i="27"/>
  <c r="N73" i="27"/>
  <c r="D80" i="27"/>
  <c r="D34" i="27"/>
  <c r="D66" i="27"/>
  <c r="D20" i="27"/>
  <c r="N24" i="27"/>
  <c r="N32" i="27"/>
  <c r="N40" i="27"/>
  <c r="N48" i="27"/>
  <c r="N56" i="27"/>
  <c r="N64" i="27"/>
  <c r="N72" i="27"/>
  <c r="N80" i="27"/>
  <c r="N88" i="27"/>
  <c r="D75" i="27"/>
  <c r="D52" i="27"/>
  <c r="D13" i="27"/>
  <c r="D70" i="27"/>
  <c r="D31" i="27"/>
  <c r="N33" i="27"/>
  <c r="N65" i="27"/>
  <c r="D84" i="27"/>
  <c r="D69" i="27"/>
  <c r="D42" i="27"/>
  <c r="D8" i="27"/>
  <c r="N26" i="27"/>
  <c r="N34" i="27"/>
  <c r="N42" i="27"/>
  <c r="N50" i="27"/>
  <c r="N58" i="27"/>
  <c r="N66" i="27"/>
  <c r="N74" i="27"/>
  <c r="N82" i="27"/>
  <c r="N90" i="27"/>
  <c r="D78" i="27"/>
  <c r="D90" i="27"/>
  <c r="L16" i="31"/>
  <c r="B15" i="31"/>
  <c r="A15" i="31"/>
  <c r="L14" i="31"/>
  <c r="J61" i="27"/>
  <c r="J32" i="27"/>
  <c r="F39" i="27"/>
  <c r="J74" i="27"/>
  <c r="L40" i="27"/>
  <c r="J42" i="27"/>
  <c r="L65" i="27"/>
  <c r="J50" i="27"/>
  <c r="H69" i="27"/>
  <c r="L70" i="27"/>
  <c r="H68" i="27"/>
  <c r="L8" i="27"/>
  <c r="L26" i="27"/>
  <c r="J54" i="27"/>
  <c r="H53" i="27"/>
  <c r="J46" i="27"/>
  <c r="H51" i="27"/>
  <c r="H14" i="27"/>
  <c r="L16" i="27"/>
  <c r="F31" i="27"/>
  <c r="L49" i="27"/>
  <c r="J86" i="27"/>
  <c r="F23" i="27"/>
  <c r="J53" i="27"/>
  <c r="H63" i="27"/>
  <c r="J57" i="27"/>
  <c r="H15" i="27"/>
  <c r="H12" i="27"/>
  <c r="H13" i="27"/>
  <c r="J81" i="27"/>
  <c r="H55" i="27"/>
  <c r="H82" i="27"/>
  <c r="J17" i="27"/>
  <c r="J45" i="27"/>
  <c r="H84" i="27"/>
  <c r="H49" i="27"/>
  <c r="J62" i="27"/>
  <c r="H43" i="27"/>
  <c r="J19" i="27"/>
  <c r="H64" i="27"/>
  <c r="H89" i="27"/>
  <c r="H17" i="27"/>
  <c r="H76" i="27"/>
  <c r="J4" i="27"/>
  <c r="J52" i="27"/>
  <c r="H88" i="27"/>
  <c r="H87" i="27"/>
  <c r="H66" i="27"/>
  <c r="H58" i="27"/>
  <c r="H86" i="27"/>
  <c r="J23" i="27"/>
  <c r="H40" i="27"/>
  <c r="H48" i="27"/>
  <c r="H27" i="27"/>
  <c r="H56" i="27"/>
  <c r="H35" i="27"/>
  <c r="H39" i="27"/>
  <c r="H16" i="27"/>
  <c r="J40" i="27"/>
  <c r="J22" i="27"/>
  <c r="J65" i="27"/>
  <c r="F28" i="27"/>
  <c r="L88" i="27"/>
  <c r="J70" i="27"/>
  <c r="J75" i="27"/>
  <c r="L9" i="27"/>
  <c r="J8" i="27"/>
  <c r="J26" i="27"/>
  <c r="J85" i="27"/>
  <c r="L72" i="27"/>
  <c r="H44" i="27"/>
  <c r="L35" i="27"/>
  <c r="J16" i="27"/>
  <c r="J20" i="27"/>
  <c r="H31" i="27"/>
  <c r="J49" i="27"/>
  <c r="H23" i="27"/>
  <c r="J67" i="27"/>
  <c r="H65" i="27"/>
  <c r="F67" i="27"/>
  <c r="J58" i="27"/>
  <c r="H8" i="27"/>
  <c r="L25" i="27"/>
  <c r="L82" i="27"/>
  <c r="H42" i="27"/>
  <c r="J24" i="27"/>
  <c r="J14" i="27"/>
  <c r="H7" i="27"/>
  <c r="J59" i="27"/>
  <c r="H5" i="27"/>
  <c r="H60" i="27"/>
  <c r="J77" i="27"/>
  <c r="H21" i="27"/>
  <c r="J66" i="27"/>
  <c r="H25" i="27"/>
  <c r="J68" i="27"/>
  <c r="H80" i="27"/>
  <c r="J10" i="27"/>
  <c r="H46" i="27"/>
  <c r="J60" i="27"/>
  <c r="J63" i="27"/>
  <c r="H30" i="27"/>
  <c r="H24" i="27"/>
  <c r="J11" i="27"/>
  <c r="J18" i="27"/>
  <c r="H73" i="27"/>
  <c r="F9" i="27"/>
  <c r="L78" i="27"/>
  <c r="H36" i="27"/>
  <c r="J64" i="27"/>
  <c r="H28" i="27"/>
  <c r="J88" i="27"/>
  <c r="L51" i="27"/>
  <c r="J83" i="27"/>
  <c r="L12" i="27"/>
  <c r="J9" i="27"/>
  <c r="H61" i="27"/>
  <c r="H38" i="27"/>
  <c r="J21" i="27"/>
  <c r="H19" i="27"/>
  <c r="H29" i="27"/>
  <c r="J72" i="27"/>
  <c r="J35" i="27"/>
  <c r="H34" i="27"/>
  <c r="H45" i="27"/>
  <c r="H22" i="27"/>
  <c r="L33" i="27"/>
  <c r="L90" i="27"/>
  <c r="H67" i="27"/>
  <c r="J5" i="27"/>
  <c r="J38" i="27"/>
  <c r="J25" i="27"/>
  <c r="J82" i="27"/>
  <c r="J43" i="27"/>
  <c r="H20" i="27"/>
  <c r="J27" i="27"/>
  <c r="H6" i="27"/>
  <c r="J73" i="27"/>
  <c r="J34" i="27"/>
  <c r="H70" i="27"/>
  <c r="J80" i="27"/>
  <c r="H57" i="27"/>
  <c r="J36" i="27"/>
  <c r="J79" i="27"/>
  <c r="H75" i="27"/>
  <c r="J13" i="27"/>
  <c r="J28" i="27"/>
  <c r="J71" i="27"/>
  <c r="J7" i="27"/>
  <c r="H41" i="27"/>
  <c r="J15" i="27"/>
  <c r="L32" i="27"/>
  <c r="J69" i="27"/>
  <c r="L74" i="27"/>
  <c r="J56" i="27"/>
  <c r="H9" i="27"/>
  <c r="J78" i="27"/>
  <c r="L42" i="27"/>
  <c r="L50" i="27"/>
  <c r="J51" i="27"/>
  <c r="H33" i="27"/>
  <c r="J12" i="27"/>
  <c r="F68" i="27"/>
  <c r="J89" i="27"/>
  <c r="L54" i="27"/>
  <c r="J37" i="27"/>
  <c r="L46" i="27"/>
  <c r="J6" i="27"/>
  <c r="H54" i="27"/>
  <c r="L86" i="27"/>
  <c r="H50" i="27"/>
  <c r="J29" i="27"/>
  <c r="H78" i="27"/>
  <c r="H62" i="27"/>
  <c r="J33" i="27"/>
  <c r="J90" i="27"/>
  <c r="F63" i="27"/>
  <c r="L57" i="27"/>
  <c r="F15" i="27"/>
  <c r="H37" i="27"/>
  <c r="F13" i="27"/>
  <c r="J41" i="27"/>
  <c r="H26" i="27"/>
  <c r="J30" i="27"/>
  <c r="J48" i="27"/>
  <c r="H90" i="27"/>
  <c r="H74" i="27"/>
  <c r="H18" i="27"/>
  <c r="H11" i="27"/>
  <c r="J47" i="27"/>
  <c r="H4" i="27"/>
  <c r="H32" i="27"/>
  <c r="H83" i="27"/>
  <c r="H47" i="27"/>
  <c r="J39" i="27"/>
  <c r="H77" i="27"/>
  <c r="H10" i="27"/>
  <c r="H59" i="27"/>
  <c r="J84" i="27"/>
  <c r="H79" i="27"/>
  <c r="J44" i="27"/>
  <c r="J87" i="27"/>
  <c r="H81" i="27"/>
  <c r="J55" i="27"/>
  <c r="H52" i="27"/>
  <c r="H72" i="27"/>
  <c r="H85" i="27"/>
  <c r="J31" i="27"/>
  <c r="H71" i="27"/>
  <c r="J76" i="27"/>
  <c r="I15" i="31" l="1"/>
  <c r="K15" i="31"/>
  <c r="F15" i="31"/>
  <c r="J15" i="31"/>
  <c r="G15" i="31"/>
  <c r="H15" i="31"/>
  <c r="E15" i="31" s="1"/>
  <c r="A14" i="31"/>
  <c r="H14" i="31" s="1"/>
  <c r="L13" i="31"/>
  <c r="B14" i="31"/>
  <c r="Q15" i="31"/>
  <c r="M15" i="31"/>
  <c r="P15" i="31"/>
  <c r="S15" i="31" s="1"/>
  <c r="R15" i="31"/>
  <c r="O15" i="31"/>
  <c r="N15" i="31"/>
  <c r="A16" i="31"/>
  <c r="L17" i="31"/>
  <c r="B16" i="31"/>
  <c r="T15" i="31" l="1"/>
  <c r="Q16" i="31"/>
  <c r="M16" i="31"/>
  <c r="R16" i="31"/>
  <c r="O16" i="31"/>
  <c r="N16" i="31"/>
  <c r="P16" i="31"/>
  <c r="S16" i="31" s="1"/>
  <c r="B17" i="31"/>
  <c r="L18" i="31"/>
  <c r="A17" i="31"/>
  <c r="Q14" i="31"/>
  <c r="M14" i="31"/>
  <c r="O14" i="31"/>
  <c r="P14" i="31"/>
  <c r="S14" i="31" s="1"/>
  <c r="R14" i="31"/>
  <c r="N14" i="31"/>
  <c r="I16" i="31"/>
  <c r="G16" i="31"/>
  <c r="K16" i="31"/>
  <c r="F16" i="31"/>
  <c r="J16" i="31"/>
  <c r="H16" i="31"/>
  <c r="E16" i="31" s="1"/>
  <c r="B13" i="31"/>
  <c r="L12" i="31"/>
  <c r="A13" i="31"/>
  <c r="D15" i="31"/>
  <c r="I14" i="31"/>
  <c r="J14" i="31"/>
  <c r="E14" i="31"/>
  <c r="G14" i="31"/>
  <c r="K14" i="31"/>
  <c r="F14" i="31"/>
  <c r="T16" i="31" l="1"/>
  <c r="I13" i="31"/>
  <c r="H13" i="31"/>
  <c r="E13" i="31" s="1"/>
  <c r="G13" i="31"/>
  <c r="J13" i="31"/>
  <c r="F13" i="31"/>
  <c r="K13" i="31"/>
  <c r="D16" i="31"/>
  <c r="L19" i="31"/>
  <c r="B18" i="31"/>
  <c r="A18" i="31"/>
  <c r="D14" i="31"/>
  <c r="A12" i="31"/>
  <c r="L11" i="31"/>
  <c r="B12" i="31"/>
  <c r="T14" i="31"/>
  <c r="Q17" i="31"/>
  <c r="M17" i="31"/>
  <c r="N17" i="31"/>
  <c r="O17" i="31"/>
  <c r="P17" i="31"/>
  <c r="S17" i="31" s="1"/>
  <c r="R17" i="31"/>
  <c r="Q13" i="31"/>
  <c r="M13" i="31"/>
  <c r="N13" i="31"/>
  <c r="O13" i="31"/>
  <c r="R13" i="31"/>
  <c r="P13" i="31"/>
  <c r="S13" i="31" s="1"/>
  <c r="I17" i="31"/>
  <c r="H17" i="31"/>
  <c r="E17" i="31" s="1"/>
  <c r="F17" i="31"/>
  <c r="K17" i="31"/>
  <c r="G17" i="31"/>
  <c r="J17" i="31"/>
  <c r="D17" i="31" l="1"/>
  <c r="D13" i="31"/>
  <c r="T13" i="31"/>
  <c r="I12" i="31"/>
  <c r="G12" i="31"/>
  <c r="F12" i="31"/>
  <c r="J12" i="31"/>
  <c r="K12" i="31"/>
  <c r="H12" i="31"/>
  <c r="E12" i="31" s="1"/>
  <c r="L20" i="31"/>
  <c r="A19" i="31"/>
  <c r="B19" i="31"/>
  <c r="T17" i="31"/>
  <c r="Q12" i="31"/>
  <c r="M12" i="31"/>
  <c r="R12" i="31"/>
  <c r="N12" i="31"/>
  <c r="O12" i="31"/>
  <c r="P12" i="31"/>
  <c r="S12" i="31" s="1"/>
  <c r="I18" i="31"/>
  <c r="J18" i="31"/>
  <c r="G18" i="31"/>
  <c r="F18" i="31"/>
  <c r="H18" i="31"/>
  <c r="E18" i="31" s="1"/>
  <c r="K18" i="31"/>
  <c r="A11" i="31"/>
  <c r="L10" i="31"/>
  <c r="B11" i="31"/>
  <c r="Q18" i="31"/>
  <c r="M18" i="31"/>
  <c r="O18" i="31"/>
  <c r="N18" i="31"/>
  <c r="R18" i="31"/>
  <c r="P18" i="31"/>
  <c r="S18" i="31" s="1"/>
  <c r="T18" i="31" l="1"/>
  <c r="D18" i="31"/>
  <c r="T12" i="31"/>
  <c r="I11" i="31"/>
  <c r="K11" i="31"/>
  <c r="F11" i="31"/>
  <c r="J11" i="31"/>
  <c r="H11" i="31"/>
  <c r="E11" i="31" s="1"/>
  <c r="G11" i="31"/>
  <c r="A20" i="31"/>
  <c r="L21" i="31"/>
  <c r="B20" i="31"/>
  <c r="Q11" i="31"/>
  <c r="M11" i="31"/>
  <c r="P11" i="31"/>
  <c r="S11" i="31" s="1"/>
  <c r="R11" i="31"/>
  <c r="N11" i="31"/>
  <c r="O11" i="31"/>
  <c r="Q19" i="31"/>
  <c r="M19" i="31"/>
  <c r="P19" i="31"/>
  <c r="S19" i="31" s="1"/>
  <c r="O19" i="31"/>
  <c r="N19" i="31"/>
  <c r="R19" i="31"/>
  <c r="B10" i="31"/>
  <c r="A10" i="31"/>
  <c r="L9" i="31"/>
  <c r="I19" i="31"/>
  <c r="K19" i="31"/>
  <c r="F19" i="31"/>
  <c r="H19" i="31"/>
  <c r="E19" i="31" s="1"/>
  <c r="J19" i="31"/>
  <c r="G19" i="31"/>
  <c r="D12" i="31"/>
  <c r="D19" i="31" l="1"/>
  <c r="T19" i="31"/>
  <c r="T11" i="31"/>
  <c r="B9" i="31"/>
  <c r="L8" i="31"/>
  <c r="A9" i="31"/>
  <c r="A21" i="31"/>
  <c r="B21" i="31"/>
  <c r="L22" i="31"/>
  <c r="D11" i="31"/>
  <c r="I10" i="31"/>
  <c r="J10" i="31"/>
  <c r="K10" i="31"/>
  <c r="F10" i="31"/>
  <c r="H10" i="31"/>
  <c r="E10" i="31" s="1"/>
  <c r="G10" i="31"/>
  <c r="I20" i="31"/>
  <c r="G20" i="31"/>
  <c r="J20" i="31"/>
  <c r="K20" i="31"/>
  <c r="F20" i="31"/>
  <c r="H20" i="31"/>
  <c r="E20" i="31" s="1"/>
  <c r="Q10" i="31"/>
  <c r="M10" i="31"/>
  <c r="O10" i="31"/>
  <c r="R10" i="31"/>
  <c r="P10" i="31"/>
  <c r="S10" i="31" s="1"/>
  <c r="N10" i="31"/>
  <c r="Q20" i="31"/>
  <c r="M20" i="31"/>
  <c r="R20" i="31"/>
  <c r="P20" i="31"/>
  <c r="S20" i="31" s="1"/>
  <c r="O20" i="31"/>
  <c r="N20" i="31"/>
  <c r="T10" i="31" l="1"/>
  <c r="D10" i="31"/>
  <c r="R21" i="31"/>
  <c r="N21" i="31"/>
  <c r="O21" i="31"/>
  <c r="M21" i="31"/>
  <c r="P21" i="31"/>
  <c r="S21" i="31" s="1"/>
  <c r="Q21" i="31"/>
  <c r="Q9" i="31"/>
  <c r="M9" i="31"/>
  <c r="N9" i="31"/>
  <c r="P9" i="31"/>
  <c r="S9" i="31" s="1"/>
  <c r="O9" i="31"/>
  <c r="R9" i="31"/>
  <c r="D20" i="31"/>
  <c r="J21" i="31"/>
  <c r="F21" i="31"/>
  <c r="I21" i="31"/>
  <c r="K21" i="31"/>
  <c r="H21" i="31"/>
  <c r="E21" i="31" s="1"/>
  <c r="G21" i="31"/>
  <c r="I9" i="31"/>
  <c r="H9" i="31"/>
  <c r="E9" i="31" s="1"/>
  <c r="J9" i="31"/>
  <c r="K9" i="31"/>
  <c r="G9" i="31"/>
  <c r="F9" i="31"/>
  <c r="T20" i="31"/>
  <c r="A22" i="31"/>
  <c r="B22" i="31"/>
  <c r="A8" i="31"/>
  <c r="L7" i="31"/>
  <c r="B8" i="31"/>
  <c r="T9" i="31" l="1"/>
  <c r="R22" i="31"/>
  <c r="N22" i="31"/>
  <c r="P22" i="31"/>
  <c r="S22" i="31" s="1"/>
  <c r="M22" i="31"/>
  <c r="O22" i="31"/>
  <c r="Q22" i="31"/>
  <c r="Q8" i="31"/>
  <c r="M8" i="31"/>
  <c r="R8" i="31"/>
  <c r="O8" i="31"/>
  <c r="N8" i="31"/>
  <c r="P8" i="31"/>
  <c r="S8" i="31" s="1"/>
  <c r="J22" i="31"/>
  <c r="F22" i="31"/>
  <c r="K22" i="31"/>
  <c r="G22" i="31"/>
  <c r="I22" i="31"/>
  <c r="H22" i="31"/>
  <c r="E22" i="31" s="1"/>
  <c r="A7" i="31"/>
  <c r="B7" i="31"/>
  <c r="D9" i="31"/>
  <c r="D21" i="31"/>
  <c r="T21" i="31"/>
  <c r="I8" i="31"/>
  <c r="G8" i="31"/>
  <c r="H8" i="31"/>
  <c r="E8" i="31" s="1"/>
  <c r="F8" i="31"/>
  <c r="J8" i="31"/>
  <c r="K8" i="31"/>
  <c r="T8" i="31" l="1"/>
  <c r="D22" i="31"/>
  <c r="D8" i="31"/>
  <c r="Q7" i="31"/>
  <c r="Q23" i="31" s="1"/>
  <c r="M7" i="31"/>
  <c r="P7" i="31"/>
  <c r="S7" i="31" s="1"/>
  <c r="N7" i="31"/>
  <c r="O7" i="31"/>
  <c r="R7" i="31"/>
  <c r="I7" i="31"/>
  <c r="K7" i="31"/>
  <c r="F7" i="31"/>
  <c r="G7" i="31"/>
  <c r="G23" i="31" s="1"/>
  <c r="J7" i="31"/>
  <c r="H7" i="31"/>
  <c r="E7" i="31" s="1"/>
  <c r="T22" i="31"/>
  <c r="T7" i="31" l="1"/>
  <c r="D23" i="31"/>
  <c r="D7" i="31"/>
</calcChain>
</file>

<file path=xl/sharedStrings.xml><?xml version="1.0" encoding="utf-8"?>
<sst xmlns="http://schemas.openxmlformats.org/spreadsheetml/2006/main" count="10299" uniqueCount="610">
  <si>
    <t>GreekToken</t>
  </si>
  <si>
    <t>Token</t>
  </si>
  <si>
    <t>Buy Qty</t>
  </si>
  <si>
    <t>Buy Price</t>
  </si>
  <si>
    <t>Sell Qty</t>
  </si>
  <si>
    <t>Sell Price</t>
  </si>
  <si>
    <t>ATP</t>
  </si>
  <si>
    <t>Best Buy Price</t>
  </si>
  <si>
    <t>Best Buy Qty</t>
  </si>
  <si>
    <t>Best Sell Price</t>
  </si>
  <si>
    <t>Best Sell Qty</t>
  </si>
  <si>
    <t>Open Price</t>
  </si>
  <si>
    <t>Close Price</t>
  </si>
  <si>
    <t>High Price</t>
  </si>
  <si>
    <t>Low Price</t>
  </si>
  <si>
    <t>DPR High</t>
  </si>
  <si>
    <t>DPR Low</t>
  </si>
  <si>
    <t>Last Traded Qty</t>
  </si>
  <si>
    <t>Last Traded Price</t>
  </si>
  <si>
    <t>Last Trade Time</t>
  </si>
  <si>
    <t>Lot Size</t>
  </si>
  <si>
    <t>Exchange</t>
  </si>
  <si>
    <t>NSEFO</t>
  </si>
  <si>
    <t>Sr. No.</t>
  </si>
  <si>
    <t>Description</t>
  </si>
  <si>
    <t>Other Short Cut</t>
  </si>
  <si>
    <t>For Broadcast settings</t>
  </si>
  <si>
    <t>CTRL + SHIFT + B</t>
  </si>
  <si>
    <t>For Adding Script to work sheet</t>
  </si>
  <si>
    <t>CTRL + SHIFT + L</t>
  </si>
  <si>
    <t>Double Click on Cell</t>
  </si>
  <si>
    <t>Don’t add any scrip to this worksheet</t>
  </si>
  <si>
    <t>Version</t>
  </si>
  <si>
    <t>LicenseServer</t>
  </si>
  <si>
    <t>Total Traded Qty</t>
  </si>
  <si>
    <t>Column TotalTradeQuantity added to column list next to ATP</t>
  </si>
  <si>
    <t>License Validation is Introduced</t>
  </si>
  <si>
    <t>Whats New 02/11/2011</t>
  </si>
  <si>
    <t>Scrip Description is modified to
properly display instrument, symbol
expiry and other details separated
by SPACE</t>
  </si>
  <si>
    <r>
      <t xml:space="preserve">Ex:
</t>
    </r>
    <r>
      <rPr>
        <b/>
        <sz val="10"/>
        <rFont val="Arial"/>
        <family val="2"/>
      </rPr>
      <t>OPTIDX BANKNIFTY 25OCT2011 CE 7100</t>
    </r>
  </si>
  <si>
    <t>NSEEQ</t>
  </si>
  <si>
    <t>Added NSE Equity segment to 
GreekExcel</t>
  </si>
  <si>
    <t>Whats New 28/11/2011</t>
  </si>
  <si>
    <t>For Boradcast settings see above.</t>
  </si>
  <si>
    <t>Whats New 02/12/2011</t>
  </si>
  <si>
    <t>Improved Updation Rate to
reflect market broadcast</t>
  </si>
  <si>
    <t>NSECD</t>
  </si>
  <si>
    <t>Whats New 12/12/2011</t>
  </si>
  <si>
    <t>Added NSE Currency Segment
to GreekExcel</t>
  </si>
  <si>
    <t>Broadcast setting added in 
Broadcast Settinhg form</t>
  </si>
  <si>
    <t>Whats New 20/12/2011</t>
  </si>
  <si>
    <t>Added new Check box to add all
corresponding strike price in OPTION
segment include CALL/PUT</t>
  </si>
  <si>
    <t>See Select Script Dialog Box</t>
  </si>
  <si>
    <t>Symbol</t>
  </si>
  <si>
    <t>Expiry</t>
  </si>
  <si>
    <t>Strike Price</t>
  </si>
  <si>
    <t>Option Type</t>
  </si>
  <si>
    <t>Instrument</t>
  </si>
  <si>
    <t>HATP</t>
  </si>
  <si>
    <t>Gamma</t>
  </si>
  <si>
    <t>Theta</t>
  </si>
  <si>
    <t>Delta</t>
  </si>
  <si>
    <t>Vega</t>
  </si>
  <si>
    <t>Ask IV</t>
  </si>
  <si>
    <t>Bid IV</t>
  </si>
  <si>
    <t>LTP IV</t>
  </si>
  <si>
    <t>BSE</t>
  </si>
  <si>
    <t>233.1.2.3</t>
  </si>
  <si>
    <t>Open Interest</t>
  </si>
  <si>
    <t>Whats New 07/08/2012</t>
  </si>
  <si>
    <t>Scrip description column is split into instrument, symbol, expiry, strike price, and option type columns.</t>
  </si>
  <si>
    <t>MarketWatch.</t>
  </si>
  <si>
    <t>Added check box and combo box for 'Expiry 2' for Spread Orders.</t>
  </si>
  <si>
    <t>Select Scrip Dialog Box.</t>
  </si>
  <si>
    <t>Added new check box to display all symbols for selected instrument and expiry(FUTURE) and to display all symbols for selected series(EQUITY).</t>
  </si>
  <si>
    <t>Added a new check box to display all Equity and expiry(Current Expiry) pair (Only for 'Equity' segment).</t>
  </si>
  <si>
    <t>Added a new combo box to load all series.</t>
  </si>
  <si>
    <t>Added a new combo box  to load and display strike pices greater than selected stike price.</t>
  </si>
  <si>
    <t>Added new check box to display strike prices greater than and equal to strike price selected in combo box for  both Option Types ('CE' and 'PE') .</t>
  </si>
  <si>
    <t>Whats New 20/08/2012</t>
  </si>
  <si>
    <t>Added BSE exchange along with segments.</t>
  </si>
  <si>
    <t>Selection of current, near and far expiry is allowed for Equity-Expiry pair (Segment : EQUITY)</t>
  </si>
  <si>
    <t>Broadcast setting is provided for BSE.</t>
  </si>
  <si>
    <t>Broadcast Settings Dialog Box.</t>
  </si>
  <si>
    <t>MCXSXFO</t>
  </si>
  <si>
    <t>233.1.2.5</t>
  </si>
  <si>
    <t>MCXSXEQ</t>
  </si>
  <si>
    <t>MCXSXCD</t>
  </si>
  <si>
    <t>233.1.2.7</t>
  </si>
  <si>
    <t>233.1.2.8</t>
  </si>
  <si>
    <t>235.1.2.5</t>
  </si>
  <si>
    <t>Whats New 28/07/2014</t>
  </si>
  <si>
    <t>Added BSE_EQ, BSE_FO, BSE_CD exchange along with segments.</t>
  </si>
  <si>
    <t>NSE</t>
  </si>
  <si>
    <t>1.3.0 stable(07/09/2012)</t>
  </si>
  <si>
    <t>1.3.0 stable(07/09/2016)</t>
  </si>
  <si>
    <t>Whats New 07/09/2016</t>
  </si>
  <si>
    <t>Show Equity Open Interest</t>
  </si>
  <si>
    <t>NIfty 50</t>
  </si>
  <si>
    <t>Nifty Bank</t>
  </si>
  <si>
    <t>India VIX</t>
  </si>
  <si>
    <t>172.16.2.55</t>
  </si>
  <si>
    <t>BANKNIFTY</t>
  </si>
  <si>
    <t>bankbaroda</t>
  </si>
  <si>
    <t>sbin</t>
  </si>
  <si>
    <t>ALBK</t>
  </si>
  <si>
    <t>CANBK</t>
  </si>
  <si>
    <t>IDFC</t>
  </si>
  <si>
    <t>IDFCFIRSTB</t>
  </si>
  <si>
    <t>HDFCBANK</t>
  </si>
  <si>
    <t>HDFC</t>
  </si>
  <si>
    <t>INDUSINDBK</t>
  </si>
  <si>
    <t>KOTAKBANK</t>
  </si>
  <si>
    <t>NIFTY</t>
  </si>
  <si>
    <t>GAIL</t>
  </si>
  <si>
    <t>PETRONET</t>
  </si>
  <si>
    <t>VEDL</t>
  </si>
  <si>
    <t>HINDALCO</t>
  </si>
  <si>
    <t>JSWSTEEL</t>
  </si>
  <si>
    <t>TATASTEEL</t>
  </si>
  <si>
    <t>PFC</t>
  </si>
  <si>
    <t>RECLTD</t>
  </si>
  <si>
    <t>AMBUJACEM</t>
  </si>
  <si>
    <t>INDIACEM</t>
  </si>
  <si>
    <t>AUROPHARMA</t>
  </si>
  <si>
    <t>LUPIN</t>
  </si>
  <si>
    <t>SUNPHARMA</t>
  </si>
  <si>
    <t>SBIN</t>
  </si>
  <si>
    <t>ICICIBANK</t>
  </si>
  <si>
    <t>AXISBANK</t>
  </si>
  <si>
    <t>HCLTECH</t>
  </si>
  <si>
    <t>INFY</t>
  </si>
  <si>
    <t>ACC</t>
  </si>
  <si>
    <t>ULTRACEMCO</t>
  </si>
  <si>
    <t>TCS</t>
  </si>
  <si>
    <t>DABUR</t>
  </si>
  <si>
    <t>HINDUNILVR</t>
  </si>
  <si>
    <t>PTC</t>
  </si>
  <si>
    <t>TORNTPOWER</t>
  </si>
  <si>
    <t>TATAPOWER</t>
  </si>
  <si>
    <t>BAJAJ-AUTO</t>
  </si>
  <si>
    <t>HEROMOTOCO</t>
  </si>
  <si>
    <t>PNB</t>
  </si>
  <si>
    <t>BANKBARODA</t>
  </si>
  <si>
    <t>OIL</t>
  </si>
  <si>
    <t>ONGC</t>
  </si>
  <si>
    <t>BHARTIARTL</t>
  </si>
  <si>
    <t>IDEA</t>
  </si>
  <si>
    <t>ESCORTS</t>
  </si>
  <si>
    <t>ASHOKLEY</t>
  </si>
  <si>
    <t>TATAMOTORS</t>
  </si>
  <si>
    <t>TATAMTRDVR</t>
  </si>
  <si>
    <t>BAJAJFINSV</t>
  </si>
  <si>
    <t>NIITTECH</t>
  </si>
  <si>
    <t>DLF</t>
  </si>
  <si>
    <t>IRB</t>
  </si>
  <si>
    <t>TORNTPHARM</t>
  </si>
  <si>
    <t>WOCKPHARMA</t>
  </si>
  <si>
    <t>ARVIND</t>
  </si>
  <si>
    <t>RAYMOND</t>
  </si>
  <si>
    <t>IBULHSGFIN</t>
  </si>
  <si>
    <t>DHFL</t>
  </si>
  <si>
    <t>MARUTI</t>
  </si>
  <si>
    <t>AJANTPHARM</t>
  </si>
  <si>
    <t>M&amp;M</t>
  </si>
  <si>
    <t>TECHM</t>
  </si>
  <si>
    <t>MINDTREE</t>
  </si>
  <si>
    <t>HINDPETRO</t>
  </si>
  <si>
    <t>BPCL</t>
  </si>
  <si>
    <t>NTPC</t>
  </si>
  <si>
    <t>POWERGRID</t>
  </si>
  <si>
    <t>CIPLA</t>
  </si>
  <si>
    <t>DATEWISE SORTED</t>
  </si>
  <si>
    <t>SECTORWISE SORTED</t>
  </si>
  <si>
    <t>Purpose</t>
  </si>
  <si>
    <t>BoardMeetingDate</t>
  </si>
  <si>
    <t>F&amp;O</t>
  </si>
  <si>
    <t>IV</t>
  </si>
  <si>
    <t>SECTOR</t>
  </si>
  <si>
    <t>PRE-POST MRK</t>
  </si>
  <si>
    <t>TIME</t>
  </si>
  <si>
    <t>TATAELXSI</t>
  </si>
  <si>
    <t>Financial Results</t>
  </si>
  <si>
    <t>IT</t>
  </si>
  <si>
    <t>DURING</t>
  </si>
  <si>
    <t>TVSMOTOR</t>
  </si>
  <si>
    <t>BANKS (PVT)</t>
  </si>
  <si>
    <t>Financial Results/Dividend</t>
  </si>
  <si>
    <t>POST-MARKET</t>
  </si>
  <si>
    <t>KTKBANK</t>
  </si>
  <si>
    <t>TV18BRDCST</t>
  </si>
  <si>
    <t>BEML</t>
  </si>
  <si>
    <t>ZEEL</t>
  </si>
  <si>
    <t>EXIDEIND</t>
  </si>
  <si>
    <t>DCBBANK</t>
  </si>
  <si>
    <t>FEDERALBNK</t>
  </si>
  <si>
    <t>EICHERMOT</t>
  </si>
  <si>
    <t>BOSCHLTD</t>
  </si>
  <si>
    <t>RELIANCE</t>
  </si>
  <si>
    <t>CEATLTD</t>
  </si>
  <si>
    <t>KAJARIACER</t>
  </si>
  <si>
    <t>APOLLOTYRE</t>
  </si>
  <si>
    <t>WIPRO</t>
  </si>
  <si>
    <t>MRF</t>
  </si>
  <si>
    <t>BALKRISIND</t>
  </si>
  <si>
    <t>SOUTHBANK</t>
  </si>
  <si>
    <t>AMARAJABAT</t>
  </si>
  <si>
    <t>MOTHERSUMI</t>
  </si>
  <si>
    <t>HINDZINC</t>
  </si>
  <si>
    <t>BHARATFORG</t>
  </si>
  <si>
    <t>UNIONBANK</t>
  </si>
  <si>
    <t>L&amp;TFH</t>
  </si>
  <si>
    <t>JUSTDIAL</t>
  </si>
  <si>
    <t>INDIANB</t>
  </si>
  <si>
    <t>ASIANPAINT</t>
  </si>
  <si>
    <t>BANKINDIA</t>
  </si>
  <si>
    <t>SHREECEM</t>
  </si>
  <si>
    <t xml:space="preserve">CEMENT </t>
  </si>
  <si>
    <t>ORIENTBANK</t>
  </si>
  <si>
    <t>HAVELLS</t>
  </si>
  <si>
    <t>ICICIPRULI</t>
  </si>
  <si>
    <t>ITC</t>
  </si>
  <si>
    <t>SYNDIBANK</t>
  </si>
  <si>
    <t>INDIGO</t>
  </si>
  <si>
    <t>UJJIVAN</t>
  </si>
  <si>
    <t>CANFINHOME</t>
  </si>
  <si>
    <t>MCDOWELL-N</t>
  </si>
  <si>
    <t>INFRATEL</t>
  </si>
  <si>
    <t>PIDILITIND</t>
  </si>
  <si>
    <t>YESBANK</t>
  </si>
  <si>
    <t>PVR</t>
  </si>
  <si>
    <t>RBLBANK</t>
  </si>
  <si>
    <t>COLPAL</t>
  </si>
  <si>
    <t>RPOWER</t>
  </si>
  <si>
    <t>IDBI</t>
  </si>
  <si>
    <t>BIOCON</t>
  </si>
  <si>
    <t>GSFC</t>
  </si>
  <si>
    <t>RAMCOCEM</t>
  </si>
  <si>
    <t>M&amp;MFIN</t>
  </si>
  <si>
    <t>LT</t>
  </si>
  <si>
    <t>UPL</t>
  </si>
  <si>
    <t>CENTURYTEX</t>
  </si>
  <si>
    <t>TATACHEM</t>
  </si>
  <si>
    <t>GRASIM</t>
  </si>
  <si>
    <t>VOLTAS</t>
  </si>
  <si>
    <t>PEL</t>
  </si>
  <si>
    <t>BEL</t>
  </si>
  <si>
    <t>SIEMENS</t>
  </si>
  <si>
    <t>CHENNPETRO</t>
  </si>
  <si>
    <t>SRTRANSFIN</t>
  </si>
  <si>
    <t>STAR</t>
  </si>
  <si>
    <t>GODREJCP</t>
  </si>
  <si>
    <t>BAJFINANCE</t>
  </si>
  <si>
    <t>BHARATFIN</t>
  </si>
  <si>
    <t>CHOLAFIN</t>
  </si>
  <si>
    <t>LICHSGFIN</t>
  </si>
  <si>
    <t>EQUITAS</t>
  </si>
  <si>
    <t>MGL</t>
  </si>
  <si>
    <t>MANAPPURAM</t>
  </si>
  <si>
    <t>MUTHOOTFIN</t>
  </si>
  <si>
    <t>IOC</t>
  </si>
  <si>
    <t>JUBLFOOD</t>
  </si>
  <si>
    <t>RELCAPITAL</t>
  </si>
  <si>
    <t>IFCI</t>
  </si>
  <si>
    <t>HEXAWARE</t>
  </si>
  <si>
    <t>BHEL</t>
  </si>
  <si>
    <t>CUMMINSIND</t>
  </si>
  <si>
    <t>NCC</t>
  </si>
  <si>
    <t>CASTROLIND</t>
  </si>
  <si>
    <t>ENGINERSIN</t>
  </si>
  <si>
    <t>TATACOMM</t>
  </si>
  <si>
    <t>VGUARD</t>
  </si>
  <si>
    <t>NMDC</t>
  </si>
  <si>
    <t>OFSS</t>
  </si>
  <si>
    <t>BERGEPAINT</t>
  </si>
  <si>
    <t>DRREDDY</t>
  </si>
  <si>
    <t>DISHTV</t>
  </si>
  <si>
    <t>TITAN</t>
  </si>
  <si>
    <t>SUNTV</t>
  </si>
  <si>
    <t>DIVISLAB</t>
  </si>
  <si>
    <t>JINDALSTEL</t>
  </si>
  <si>
    <t>GODFRYPHLP</t>
  </si>
  <si>
    <t>SAIL</t>
  </si>
  <si>
    <t>NATIONALUM</t>
  </si>
  <si>
    <t>COALINDIA</t>
  </si>
  <si>
    <t>SRF</t>
  </si>
  <si>
    <t>MRPL</t>
  </si>
  <si>
    <t>MARICO</t>
  </si>
  <si>
    <t>CESC</t>
  </si>
  <si>
    <t>IGL</t>
  </si>
  <si>
    <t>TATAGLOBAL</t>
  </si>
  <si>
    <t>RELINFRA</t>
  </si>
  <si>
    <t>ADANIPORTS</t>
  </si>
  <si>
    <t>ADANIPOWER</t>
  </si>
  <si>
    <t>BRITANNIA</t>
  </si>
  <si>
    <t>APOLLOHOSP</t>
  </si>
  <si>
    <t>ADANIENT</t>
  </si>
  <si>
    <t>PCJEWELLER</t>
  </si>
  <si>
    <t>MFSL</t>
  </si>
  <si>
    <t>BATAINDIA</t>
  </si>
  <si>
    <t>JISLJALEQS</t>
  </si>
  <si>
    <t>CADILAHC</t>
  </si>
  <si>
    <t>CONCOR</t>
  </si>
  <si>
    <t>REPCOHOME</t>
  </si>
  <si>
    <t>SUZLON</t>
  </si>
  <si>
    <t>GODREJIND</t>
  </si>
  <si>
    <t>UBL</t>
  </si>
  <si>
    <t>NHPC</t>
  </si>
  <si>
    <t>KSCL</t>
  </si>
  <si>
    <t>PAGEIND</t>
  </si>
  <si>
    <t>INFIBEAM</t>
  </si>
  <si>
    <t>GLENMARK</t>
  </si>
  <si>
    <t>NBCC</t>
  </si>
  <si>
    <t>GMRINFRA</t>
  </si>
  <si>
    <t>MCX</t>
  </si>
  <si>
    <t>NESTLEIND</t>
  </si>
  <si>
    <t>AUTO</t>
  </si>
  <si>
    <t>Financial Results/Dividend/Other business matters</t>
  </si>
  <si>
    <t>FINANCE</t>
  </si>
  <si>
    <t>OTHERS</t>
  </si>
  <si>
    <t>PHARMA</t>
  </si>
  <si>
    <t>AUTO ANCILLIARY</t>
  </si>
  <si>
    <t>METALS</t>
  </si>
  <si>
    <t>FMCG</t>
  </si>
  <si>
    <t>Financial Results/Dividend/Fund Raising</t>
  </si>
  <si>
    <t>MEDIA &amp; ENT</t>
  </si>
  <si>
    <t>TELECOMM</t>
  </si>
  <si>
    <t>Financial Results/Buyback</t>
  </si>
  <si>
    <t>BANKS (PSU)</t>
  </si>
  <si>
    <t>OIL &amp; GAS</t>
  </si>
  <si>
    <t>POWER</t>
  </si>
  <si>
    <t>TEXTILES</t>
  </si>
  <si>
    <t>CHEMICALS</t>
  </si>
  <si>
    <t>Financial Results/Stock Split</t>
  </si>
  <si>
    <t>Financial Results/Dividend/Fund Raising/Other business matters</t>
  </si>
  <si>
    <t>DIVERSIFIED</t>
  </si>
  <si>
    <t>Financial Results/Other business matters</t>
  </si>
  <si>
    <t>HEAVY ENGG</t>
  </si>
  <si>
    <t>Financial Results/Fund Raising/Other business matters</t>
  </si>
  <si>
    <t>ELECTRICAL</t>
  </si>
  <si>
    <t>Financial Results/Dividend/Bonus</t>
  </si>
  <si>
    <t>BSOFT</t>
  </si>
  <si>
    <t>REALTY</t>
  </si>
  <si>
    <t>Financial Results/Fund Raising</t>
  </si>
  <si>
    <t>MINING</t>
  </si>
  <si>
    <t>OPTIDX</t>
  </si>
  <si>
    <t>CE</t>
  </si>
  <si>
    <t>PE</t>
  </si>
  <si>
    <t>CALLS OI</t>
  </si>
  <si>
    <t>CALL Chng in OI</t>
  </si>
  <si>
    <t>CALLS Volume</t>
  </si>
  <si>
    <t>CALLS IV</t>
  </si>
  <si>
    <t>CALLS LTP</t>
  </si>
  <si>
    <t>CALLS Net Chng</t>
  </si>
  <si>
    <t>PUTS Net Chng</t>
  </si>
  <si>
    <t>PUTS LTP</t>
  </si>
  <si>
    <t>PUTS IV</t>
  </si>
  <si>
    <t>PUTS Volume</t>
  </si>
  <si>
    <t>PUTS OI</t>
  </si>
  <si>
    <t>PUTS Chng in OI</t>
  </si>
  <si>
    <t>RefreshedDate</t>
  </si>
  <si>
    <t>RefreshTime</t>
  </si>
  <si>
    <t>Prv Call Chng OI</t>
  </si>
  <si>
    <t>Prv Put Chng OI</t>
  </si>
  <si>
    <t>CE26800</t>
  </si>
  <si>
    <t>PE26800</t>
  </si>
  <si>
    <t>CE26900</t>
  </si>
  <si>
    <t>PE26900</t>
  </si>
  <si>
    <t>CE27000</t>
  </si>
  <si>
    <t>PE27000</t>
  </si>
  <si>
    <t>CE27100</t>
  </si>
  <si>
    <t>PE27100</t>
  </si>
  <si>
    <t>CE27200</t>
  </si>
  <si>
    <t>PE27200</t>
  </si>
  <si>
    <t>CE27300</t>
  </si>
  <si>
    <t>PE27300</t>
  </si>
  <si>
    <t>CE27400</t>
  </si>
  <si>
    <t>PE27400</t>
  </si>
  <si>
    <t>CE27500</t>
  </si>
  <si>
    <t>PE27500</t>
  </si>
  <si>
    <t>CE27600</t>
  </si>
  <si>
    <t>PE27600</t>
  </si>
  <si>
    <t>CE27700</t>
  </si>
  <si>
    <t>PE27700</t>
  </si>
  <si>
    <t>CE27800</t>
  </si>
  <si>
    <t>PE27800</t>
  </si>
  <si>
    <t>CE27900</t>
  </si>
  <si>
    <t>PE27900</t>
  </si>
  <si>
    <t>CE28000</t>
  </si>
  <si>
    <t>PE28000</t>
  </si>
  <si>
    <t>CE28100</t>
  </si>
  <si>
    <t>PE28100</t>
  </si>
  <si>
    <t>CE28200</t>
  </si>
  <si>
    <t>PE28200</t>
  </si>
  <si>
    <t>CE28300</t>
  </si>
  <si>
    <t>PE28300</t>
  </si>
  <si>
    <t>CE28400</t>
  </si>
  <si>
    <t>PE28400</t>
  </si>
  <si>
    <t>CE28500</t>
  </si>
  <si>
    <t>PE28500</t>
  </si>
  <si>
    <t>CE28600</t>
  </si>
  <si>
    <t>PE28600</t>
  </si>
  <si>
    <t>CE28700</t>
  </si>
  <si>
    <t>PE28700</t>
  </si>
  <si>
    <t>CE28800</t>
  </si>
  <si>
    <t>PE28800</t>
  </si>
  <si>
    <t>CE28900</t>
  </si>
  <si>
    <t>PE28900</t>
  </si>
  <si>
    <t>CE29000</t>
  </si>
  <si>
    <t>PE29000</t>
  </si>
  <si>
    <t>CE29100</t>
  </si>
  <si>
    <t>PE29100</t>
  </si>
  <si>
    <t>CE29200</t>
  </si>
  <si>
    <t>PE29200</t>
  </si>
  <si>
    <t>CE29300</t>
  </si>
  <si>
    <t>PE29300</t>
  </si>
  <si>
    <t>CE29400</t>
  </si>
  <si>
    <t>PE29400</t>
  </si>
  <si>
    <t>CE29500</t>
  </si>
  <si>
    <t>PE29500</t>
  </si>
  <si>
    <t>CE29600</t>
  </si>
  <si>
    <t>PE29600</t>
  </si>
  <si>
    <t>CE29700</t>
  </si>
  <si>
    <t>PE29700</t>
  </si>
  <si>
    <t>CE29800</t>
  </si>
  <si>
    <t>PE29800</t>
  </si>
  <si>
    <t>CE29900</t>
  </si>
  <si>
    <t>PE29900</t>
  </si>
  <si>
    <t>CE30000</t>
  </si>
  <si>
    <t>PE30000</t>
  </si>
  <si>
    <t>CE30100</t>
  </si>
  <si>
    <t>PE30100</t>
  </si>
  <si>
    <t>CE30200</t>
  </si>
  <si>
    <t>PE30200</t>
  </si>
  <si>
    <t>CE30300</t>
  </si>
  <si>
    <t>PE30300</t>
  </si>
  <si>
    <t>CE30400</t>
  </si>
  <si>
    <t>PE30400</t>
  </si>
  <si>
    <t>CE30500</t>
  </si>
  <si>
    <t>PE30500</t>
  </si>
  <si>
    <t>CE30600</t>
  </si>
  <si>
    <t>PE30600</t>
  </si>
  <si>
    <t>CE30700</t>
  </si>
  <si>
    <t>PE30700</t>
  </si>
  <si>
    <t>CE30800</t>
  </si>
  <si>
    <t>PE30800</t>
  </si>
  <si>
    <t>CE30900</t>
  </si>
  <si>
    <t>PE30900</t>
  </si>
  <si>
    <t>CE31000</t>
  </si>
  <si>
    <t>PE31000</t>
  </si>
  <si>
    <t>CE31100</t>
  </si>
  <si>
    <t>PE31100</t>
  </si>
  <si>
    <t>CE31200</t>
  </si>
  <si>
    <t>PE31200</t>
  </si>
  <si>
    <t>CE31300</t>
  </si>
  <si>
    <t>PE31300</t>
  </si>
  <si>
    <t>CE31400</t>
  </si>
  <si>
    <t>PE31400</t>
  </si>
  <si>
    <t>CE31500</t>
  </si>
  <si>
    <t>PE31500</t>
  </si>
  <si>
    <t>CE31600</t>
  </si>
  <si>
    <t>PE31600</t>
  </si>
  <si>
    <t>CE31700</t>
  </si>
  <si>
    <t>PE31700</t>
  </si>
  <si>
    <t>CE31800</t>
  </si>
  <si>
    <t>PE31800</t>
  </si>
  <si>
    <t>CE31900</t>
  </si>
  <si>
    <t>PE31900</t>
  </si>
  <si>
    <t>CE32000</t>
  </si>
  <si>
    <t>PE32000</t>
  </si>
  <si>
    <t>CE32100</t>
  </si>
  <si>
    <t>PE32100</t>
  </si>
  <si>
    <t>CE32200</t>
  </si>
  <si>
    <t>PE32200</t>
  </si>
  <si>
    <t>CE32300</t>
  </si>
  <si>
    <t>PE32300</t>
  </si>
  <si>
    <t>CE32400</t>
  </si>
  <si>
    <t>PE32400</t>
  </si>
  <si>
    <t>CE32500</t>
  </si>
  <si>
    <t>PE32500</t>
  </si>
  <si>
    <t>CE32600</t>
  </si>
  <si>
    <t>PE32600</t>
  </si>
  <si>
    <t>CE32700</t>
  </si>
  <si>
    <t>PE32700</t>
  </si>
  <si>
    <t>CE32800</t>
  </si>
  <si>
    <t>PE32800</t>
  </si>
  <si>
    <t>CE32900</t>
  </si>
  <si>
    <t>PE32900</t>
  </si>
  <si>
    <t>CE33000</t>
  </si>
  <si>
    <t>PE33000</t>
  </si>
  <si>
    <t>CE33100</t>
  </si>
  <si>
    <t>PE33100</t>
  </si>
  <si>
    <t>CE33200</t>
  </si>
  <si>
    <t>PE33200</t>
  </si>
  <si>
    <t>CE33300</t>
  </si>
  <si>
    <t>PE33300</t>
  </si>
  <si>
    <t>CE33400</t>
  </si>
  <si>
    <t>PE33400</t>
  </si>
  <si>
    <t>CE33500</t>
  </si>
  <si>
    <t>PE33500</t>
  </si>
  <si>
    <t>CE33600</t>
  </si>
  <si>
    <t>PE33600</t>
  </si>
  <si>
    <t>CE33700</t>
  </si>
  <si>
    <t>PE33700</t>
  </si>
  <si>
    <t>CE33800</t>
  </si>
  <si>
    <t>PE33800</t>
  </si>
  <si>
    <t>CE33900</t>
  </si>
  <si>
    <t>PE33900</t>
  </si>
  <si>
    <t>CE34000</t>
  </si>
  <si>
    <t>PE34000</t>
  </si>
  <si>
    <t>CE34100</t>
  </si>
  <si>
    <t>PE34100</t>
  </si>
  <si>
    <t>CE34200</t>
  </si>
  <si>
    <t>PE34200</t>
  </si>
  <si>
    <t>CE34300</t>
  </si>
  <si>
    <t>PE34300</t>
  </si>
  <si>
    <t>CE34400</t>
  </si>
  <si>
    <t>PE34400</t>
  </si>
  <si>
    <t>CE34500</t>
  </si>
  <si>
    <t>PE34500</t>
  </si>
  <si>
    <t>CE34600</t>
  </si>
  <si>
    <t>PE34600</t>
  </si>
  <si>
    <t>CE34700</t>
  </si>
  <si>
    <t>PE34700</t>
  </si>
  <si>
    <t>CE34800</t>
  </si>
  <si>
    <t>PE34800</t>
  </si>
  <si>
    <t>CE34900</t>
  </si>
  <si>
    <t>PE34900</t>
  </si>
  <si>
    <t>CE35000</t>
  </si>
  <si>
    <t>PE35000</t>
  </si>
  <si>
    <t>CE35100</t>
  </si>
  <si>
    <t>PE35100</t>
  </si>
  <si>
    <t>CE35200</t>
  </si>
  <si>
    <t>PE35200</t>
  </si>
  <si>
    <t>CE35300</t>
  </si>
  <si>
    <t>PE35300</t>
  </si>
  <si>
    <t>CE35400</t>
  </si>
  <si>
    <t>PE35400</t>
  </si>
  <si>
    <t>Time</t>
  </si>
  <si>
    <t>Interpretation</t>
  </si>
  <si>
    <t>OI change_up or down</t>
  </si>
  <si>
    <t>Call Volume</t>
  </si>
  <si>
    <t>Call Net OI</t>
  </si>
  <si>
    <t>Call change in OI</t>
  </si>
  <si>
    <t>Call IV</t>
  </si>
  <si>
    <t>Call Price change</t>
  </si>
  <si>
    <t>Call LTP</t>
  </si>
  <si>
    <t>strike</t>
  </si>
  <si>
    <t>Put LTP</t>
  </si>
  <si>
    <t>Put Price Change</t>
  </si>
  <si>
    <t>Put IV</t>
  </si>
  <si>
    <t>Put Change in OI</t>
  </si>
  <si>
    <t>Put Net OI</t>
  </si>
  <si>
    <t>Put Volume</t>
  </si>
  <si>
    <t>BankNifty</t>
  </si>
  <si>
    <t>PCR</t>
  </si>
  <si>
    <t>Options Open Interest Analysis Simplified</t>
  </si>
  <si>
    <t>Todays Date</t>
  </si>
  <si>
    <t>OI change</t>
  </si>
  <si>
    <t>Row Labels</t>
  </si>
  <si>
    <t>Grand Total</t>
  </si>
  <si>
    <t>102045041 10</t>
  </si>
  <si>
    <t>Long Liquidation</t>
  </si>
  <si>
    <t>DOWN</t>
  </si>
  <si>
    <t>UP</t>
  </si>
  <si>
    <t>Long Buildup</t>
  </si>
  <si>
    <t>Short Buildup</t>
  </si>
  <si>
    <t>Short covering</t>
  </si>
  <si>
    <t xml:space="preserve"> Call change in OI</t>
  </si>
  <si>
    <t xml:space="preserve"> Call LTP</t>
  </si>
  <si>
    <t xml:space="preserve"> Put Change in OI</t>
  </si>
  <si>
    <t xml:space="preserve"> Put LTP</t>
  </si>
  <si>
    <t xml:space="preserve"> Put IV</t>
  </si>
  <si>
    <t xml:space="preserve"> Call IV</t>
  </si>
  <si>
    <t>undefined</t>
  </si>
  <si>
    <t>Values</t>
  </si>
  <si>
    <t>error</t>
  </si>
  <si>
    <t>z</t>
  </si>
  <si>
    <t>(blank)</t>
  </si>
  <si>
    <t>(All)</t>
  </si>
  <si>
    <t>09:15</t>
  </si>
  <si>
    <t>09:18</t>
  </si>
  <si>
    <t>09:21</t>
  </si>
  <si>
    <t>09:24</t>
  </si>
  <si>
    <t>09:27</t>
  </si>
  <si>
    <t>09:30</t>
  </si>
  <si>
    <t>09:33</t>
  </si>
  <si>
    <t>09:37</t>
  </si>
  <si>
    <t>09:40</t>
  </si>
  <si>
    <t>09:43</t>
  </si>
  <si>
    <t>09:46</t>
  </si>
  <si>
    <t>09:49</t>
  </si>
  <si>
    <t>09:52</t>
  </si>
  <si>
    <t>09:55</t>
  </si>
  <si>
    <t>09:58</t>
  </si>
  <si>
    <t>10:01</t>
  </si>
  <si>
    <t>10:04</t>
  </si>
  <si>
    <t>10:07</t>
  </si>
  <si>
    <t>10:10</t>
  </si>
  <si>
    <t>10:14</t>
  </si>
  <si>
    <t>10:17</t>
  </si>
  <si>
    <t>10:20</t>
  </si>
  <si>
    <t>10:23</t>
  </si>
  <si>
    <t>10:26</t>
  </si>
  <si>
    <t>10:29</t>
  </si>
  <si>
    <t>10:32</t>
  </si>
  <si>
    <t>10:35</t>
  </si>
  <si>
    <t>10:38</t>
  </si>
  <si>
    <t>10:41</t>
  </si>
  <si>
    <t>10:44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</si>
</sst>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dd\ mmmm\ \,\ yyyy\,dddd"/>
    <numFmt numFmtId="165" formatCode="[$-409]h:mm\ AM/PM;@"/>
    <numFmt numFmtId="166" formatCode="[$-F800]dddd\,\ mmmm\ dd\,\ yyyy"/>
    <numFmt numFmtId="167" formatCode="dd\ mmmm\ \,\ yyyy\,dddd\."/>
    <numFmt numFmtId="168" formatCode="[$-409]d/mmm/yy;@"/>
    <numFmt numFmtId="169" formatCode="[$-14009]hh:mm;@"/>
    <numFmt numFmtId="170" formatCode="mmm\ dd\,\ yyyy"/>
    <numFmt numFmtId="171" formatCode="\ h:mm:ss"/>
  </numFmts>
  <fonts count="28"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b/>
      <sz val="10"/>
      <name val="Arial"/>
      <family val="2"/>
    </font>
    <font>
      <b/>
      <sz val="10"/>
      <color indexed="10"/>
      <name val="Arial"/>
      <family val="2"/>
    </font>
    <font>
      <b/>
      <sz val="10"/>
      <color indexed="12"/>
      <name val="Arial"/>
      <family val="2"/>
    </font>
    <font>
      <sz val="10"/>
      <name val="Arial"/>
      <family val="2"/>
    </font>
    <font>
      <sz val="10"/>
      <color indexed="8"/>
      <name val="Arial"/>
      <family val="2"/>
    </font>
    <font>
      <b/>
      <sz val="10"/>
      <color indexed="8"/>
      <name val="Arial"/>
      <family val="2"/>
    </font>
    <font>
      <sz val="9"/>
      <name val="Arial"/>
      <family val="2"/>
    </font>
    <font>
      <i/>
      <sz val="10"/>
      <name val="Arial"/>
      <family val="2"/>
    </font>
    <font>
      <b/>
      <sz val="11"/>
      <color theme="1"/>
      <name val="Calibri"/>
      <family val="2"/>
      <scheme val="minor"/>
    </font>
    <font>
      <sz val="11"/>
      <color rgb="FFFF0000"/>
      <name val="Calibri"/>
      <family val="2"/>
      <scheme val="minor"/>
    </font>
    <font>
      <b/>
      <sz val="10"/>
      <color theme="1"/>
      <name val="Calibri"/>
      <family val="2"/>
      <scheme val="minor"/>
    </font>
    <font>
      <b/>
      <sz val="11"/>
      <color rgb="FFFF0000"/>
      <name val="Calibri"/>
      <family val="2"/>
      <scheme val="minor"/>
    </font>
    <font>
      <sz val="11"/>
      <name val="Calibri"/>
      <family val="2"/>
      <scheme val="minor"/>
    </font>
    <font>
      <b/>
      <sz val="11"/>
      <name val="Calibri"/>
      <family val="2"/>
      <scheme val="minor"/>
    </font>
    <font>
      <b/>
      <sz val="11"/>
      <color theme="0"/>
      <name val="Calibri"/>
      <family val="2"/>
      <scheme val="minor"/>
    </font>
    <font>
      <sz val="11"/>
      <color theme="0"/>
      <name val="Calibri"/>
      <family val="2"/>
      <scheme val="minor"/>
    </font>
    <font>
      <b/>
      <sz val="12"/>
      <color rgb="FF0070C0"/>
      <name val="Calibri"/>
      <family val="2"/>
      <scheme val="minor"/>
    </font>
    <font>
      <sz val="24"/>
      <color theme="0"/>
      <name val="Calibri"/>
      <family val="2"/>
      <scheme val="minor"/>
    </font>
    <font>
      <b/>
      <sz val="10"/>
      <color theme="0"/>
      <name val="Calibri"/>
      <family val="2"/>
      <scheme val="minor"/>
    </font>
    <font>
      <sz val="10"/>
      <color theme="1"/>
      <name val="Calibri"/>
      <family val="2"/>
      <scheme val="minor"/>
    </font>
    <font>
      <sz val="11"/>
      <color rgb="FF000000"/>
      <name val="Calibri"/>
      <family val="2"/>
    </font>
  </fonts>
  <fills count="15">
    <fill>
      <patternFill patternType="none"/>
    </fill>
    <fill>
      <patternFill patternType="gray125"/>
    </fill>
    <fill>
      <patternFill patternType="solid">
        <fgColor indexed="44"/>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0"/>
        <bgColor indexed="64"/>
      </patternFill>
    </fill>
    <fill>
      <patternFill patternType="solid">
        <fgColor theme="2"/>
        <bgColor indexed="64"/>
      </patternFill>
    </fill>
    <fill>
      <patternFill patternType="solid">
        <fgColor theme="8" tint="0.59999389629810485"/>
        <bgColor indexed="64"/>
      </patternFill>
    </fill>
    <fill>
      <patternFill patternType="solid">
        <fgColor theme="1"/>
        <bgColor indexed="64"/>
      </patternFill>
    </fill>
    <fill>
      <gradientFill degree="90">
        <stop position="0">
          <color theme="3" tint="0.40000610370189521"/>
        </stop>
        <stop position="0.5">
          <color theme="3" tint="0.59999389629810485"/>
        </stop>
        <stop position="1">
          <color theme="3" tint="0.40000610370189521"/>
        </stop>
      </gradientFill>
    </fill>
    <fill>
      <gradientFill>
        <stop position="0">
          <color theme="3" tint="0.59999389629810485"/>
        </stop>
        <stop position="0.5">
          <color theme="0"/>
        </stop>
        <stop position="1">
          <color theme="3" tint="0.59999389629810485"/>
        </stop>
      </gradientFill>
    </fill>
    <fill>
      <patternFill patternType="solid">
        <fgColor theme="4" tint="-0.499984740745262"/>
        <bgColor indexed="64"/>
      </patternFill>
    </fill>
    <fill>
      <patternFill patternType="solid">
        <fgColor theme="3" tint="0.39997558519241921"/>
        <bgColor indexed="64"/>
      </patternFill>
    </fill>
    <fill>
      <gradientFill>
        <stop position="0">
          <color theme="4" tint="0.40000610370189521"/>
        </stop>
        <stop position="0.5">
          <color theme="0"/>
        </stop>
        <stop position="1">
          <color theme="4" tint="0.40000610370189521"/>
        </stop>
      </gradientFill>
    </fill>
    <fill>
      <patternFill patternType="solid">
        <fgColor theme="9"/>
        <bgColor theme="9"/>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030A0"/>
      </left>
      <right style="thin">
        <color rgb="FF7030A0"/>
      </right>
      <top style="thin">
        <color rgb="FF7030A0"/>
      </top>
      <bottom style="thin">
        <color rgb="FF7030A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theme="0"/>
      </right>
      <top/>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style="thin">
        <color rgb="FF002060"/>
      </top>
      <bottom style="thin">
        <color rgb="FF002060"/>
      </bottom>
      <diagonal/>
    </border>
    <border>
      <left/>
      <right style="thin">
        <color theme="1"/>
      </right>
      <top/>
      <bottom/>
      <diagonal/>
    </border>
    <border>
      <left style="thin">
        <color theme="1"/>
      </left>
      <right/>
      <top/>
      <bottom/>
      <diagonal/>
    </border>
    <border>
      <left/>
      <right/>
      <top style="thin">
        <color theme="9" tint="0.39997558519241921"/>
      </top>
      <bottom style="thin">
        <color theme="9" tint="0.39997558519241921"/>
      </bottom>
      <diagonal/>
    </border>
  </borders>
  <cellStyleXfs count="2">
    <xf numFmtId="0" fontId="0" fillId="0" borderId="0"/>
    <xf numFmtId="0" fontId="2" fillId="0" borderId="0"/>
  </cellStyleXfs>
  <cellXfs count="125">
    <xf numFmtId="0" fontId="0" fillId="0" borderId="0" xfId="0"/>
    <xf numFmtId="0" fontId="4" fillId="2" borderId="1" xfId="0" applyFont="1" applyFill="1" applyBorder="1" applyAlignment="1">
      <alignment horizontal="center" vertical="center" wrapText="1"/>
    </xf>
    <xf numFmtId="0" fontId="0" fillId="0" borderId="0" xfId="0" applyAlignment="1">
      <alignment wrapText="1"/>
    </xf>
    <xf numFmtId="0" fontId="6" fillId="0" borderId="0" xfId="0" applyFont="1"/>
    <xf numFmtId="0" fontId="0" fillId="0" borderId="0" xfId="0" applyAlignment="1">
      <alignment vertical="center"/>
    </xf>
    <xf numFmtId="0" fontId="7" fillId="0" borderId="0" xfId="0" applyFont="1" applyAlignment="1">
      <alignment vertical="center"/>
    </xf>
    <xf numFmtId="0" fontId="9"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14" fontId="7" fillId="0" borderId="0" xfId="0" applyNumberFormat="1" applyFont="1" applyAlignment="1">
      <alignment vertical="center"/>
    </xf>
    <xf numFmtId="0" fontId="6" fillId="0" borderId="0" xfId="0" applyFont="1" applyAlignment="1">
      <alignment vertical="center" wrapText="1"/>
    </xf>
    <xf numFmtId="0" fontId="3" fillId="0" borderId="0" xfId="0" applyFont="1" applyAlignment="1">
      <alignment vertical="center"/>
    </xf>
    <xf numFmtId="0" fontId="4" fillId="0" borderId="0" xfId="0" applyFont="1" applyAlignment="1">
      <alignment vertical="center"/>
    </xf>
    <xf numFmtId="0" fontId="10" fillId="0" borderId="0" xfId="0" applyFont="1" applyAlignment="1">
      <alignment vertical="center"/>
    </xf>
    <xf numFmtId="0" fontId="0" fillId="0" borderId="0" xfId="0" applyAlignment="1"/>
    <xf numFmtId="15" fontId="0" fillId="0" borderId="0" xfId="0" applyNumberFormat="1"/>
    <xf numFmtId="0" fontId="11" fillId="0" borderId="0" xfId="0" applyFont="1" applyAlignment="1">
      <alignment vertical="center" wrapText="1"/>
    </xf>
    <xf numFmtId="0" fontId="12" fillId="0" borderId="0" xfId="0" applyFont="1" applyAlignment="1">
      <alignment vertical="center"/>
    </xf>
    <xf numFmtId="0" fontId="6" fillId="4" borderId="0" xfId="0" applyFont="1" applyFill="1"/>
    <xf numFmtId="0" fontId="4" fillId="4" borderId="0" xfId="0" applyFont="1" applyFill="1"/>
    <xf numFmtId="0" fontId="15" fillId="0" borderId="1" xfId="0" applyFont="1" applyBorder="1"/>
    <xf numFmtId="164" fontId="15" fillId="0" borderId="1" xfId="0" applyNumberFormat="1" applyFont="1" applyBorder="1"/>
    <xf numFmtId="0" fontId="15" fillId="0" borderId="1" xfId="0" applyFont="1" applyFill="1" applyBorder="1" applyAlignment="1">
      <alignment horizontal="left"/>
    </xf>
    <xf numFmtId="0" fontId="17" fillId="0" borderId="1" xfId="0" applyFont="1" applyBorder="1" applyAlignment="1">
      <alignment horizontal="center"/>
    </xf>
    <xf numFmtId="0" fontId="17" fillId="0" borderId="1" xfId="0" applyFont="1" applyBorder="1" applyAlignment="1">
      <alignment horizontal="center" vertical="center"/>
    </xf>
    <xf numFmtId="0" fontId="16" fillId="0" borderId="0" xfId="0" applyFont="1"/>
    <xf numFmtId="0" fontId="18" fillId="0" borderId="1" xfId="0" applyFont="1" applyBorder="1" applyAlignment="1">
      <alignment horizontal="left"/>
    </xf>
    <xf numFmtId="164" fontId="18" fillId="0" borderId="1" xfId="0" applyNumberFormat="1" applyFont="1" applyBorder="1" applyAlignment="1">
      <alignment horizontal="left"/>
    </xf>
    <xf numFmtId="0" fontId="18" fillId="5" borderId="1" xfId="0" applyFont="1" applyFill="1" applyBorder="1" applyAlignment="1">
      <alignment horizontal="left"/>
    </xf>
    <xf numFmtId="0" fontId="18" fillId="6" borderId="1" xfId="0" applyFont="1" applyFill="1" applyBorder="1" applyAlignment="1">
      <alignment horizontal="center"/>
    </xf>
    <xf numFmtId="165" fontId="18" fillId="6" borderId="1" xfId="0" applyNumberFormat="1" applyFont="1" applyFill="1" applyBorder="1" applyAlignment="1">
      <alignment horizontal="center" vertical="center"/>
    </xf>
    <xf numFmtId="0" fontId="19" fillId="0" borderId="1" xfId="0" applyFont="1" applyBorder="1" applyAlignment="1">
      <alignment horizontal="left"/>
    </xf>
    <xf numFmtId="164" fontId="19" fillId="0" borderId="1" xfId="0" applyNumberFormat="1" applyFont="1" applyBorder="1" applyAlignment="1">
      <alignment horizontal="left"/>
    </xf>
    <xf numFmtId="0" fontId="19" fillId="0" borderId="0" xfId="0" applyFont="1"/>
    <xf numFmtId="166" fontId="19" fillId="0" borderId="0" xfId="0" applyNumberFormat="1" applyFont="1"/>
    <xf numFmtId="167" fontId="19" fillId="0" borderId="0" xfId="0" applyNumberFormat="1" applyFont="1" applyAlignment="1">
      <alignment horizontal="left"/>
    </xf>
    <xf numFmtId="0" fontId="18" fillId="0" borderId="0" xfId="0" applyFont="1"/>
    <xf numFmtId="0" fontId="6" fillId="5" borderId="0" xfId="0" applyFont="1" applyFill="1"/>
    <xf numFmtId="0" fontId="6" fillId="5" borderId="0" xfId="0" applyFont="1" applyFill="1" applyBorder="1"/>
    <xf numFmtId="0" fontId="13" fillId="5" borderId="0" xfId="0" applyFont="1" applyFill="1"/>
    <xf numFmtId="0" fontId="4" fillId="5" borderId="0" xfId="0" applyFont="1" applyFill="1"/>
    <xf numFmtId="0" fontId="14" fillId="5" borderId="0" xfId="0" applyFont="1" applyFill="1"/>
    <xf numFmtId="14" fontId="0" fillId="0" borderId="0" xfId="0" applyNumberFormat="1"/>
    <xf numFmtId="22" fontId="0" fillId="0" borderId="0" xfId="0" applyNumberFormat="1"/>
    <xf numFmtId="0" fontId="0" fillId="7" borderId="0" xfId="0" applyFill="1"/>
    <xf numFmtId="0" fontId="19" fillId="8" borderId="0" xfId="1" applyFont="1" applyFill="1" applyProtection="1">
      <protection locked="0"/>
    </xf>
    <xf numFmtId="0" fontId="22" fillId="8" borderId="0" xfId="1" applyFont="1" applyFill="1" applyAlignment="1" applyProtection="1">
      <alignment horizontal="center" vertical="center" wrapText="1"/>
      <protection locked="0"/>
    </xf>
    <xf numFmtId="0" fontId="15" fillId="9" borderId="8" xfId="1" applyFont="1" applyFill="1" applyBorder="1" applyAlignment="1" applyProtection="1">
      <alignment horizontal="center" vertical="center" wrapText="1"/>
      <protection locked="0"/>
    </xf>
    <xf numFmtId="0" fontId="15" fillId="9" borderId="9" xfId="1" applyFont="1" applyFill="1" applyBorder="1" applyAlignment="1" applyProtection="1">
      <alignment horizontal="center" vertical="center" wrapText="1"/>
      <protection locked="0"/>
    </xf>
    <xf numFmtId="0" fontId="15" fillId="9" borderId="1" xfId="1" applyFont="1" applyFill="1" applyBorder="1" applyAlignment="1" applyProtection="1">
      <alignment horizontal="center" vertical="center" wrapText="1"/>
      <protection locked="0"/>
    </xf>
    <xf numFmtId="0" fontId="15" fillId="9" borderId="8" xfId="1" applyFont="1" applyFill="1" applyBorder="1" applyAlignment="1" applyProtection="1">
      <alignment horizontal="center" vertical="center"/>
      <protection locked="0"/>
    </xf>
    <xf numFmtId="0" fontId="2" fillId="0" borderId="0" xfId="1" applyProtection="1">
      <protection locked="0"/>
    </xf>
    <xf numFmtId="20" fontId="22" fillId="8" borderId="0" xfId="1" applyNumberFormat="1" applyFont="1" applyFill="1" applyProtection="1">
      <protection locked="0"/>
    </xf>
    <xf numFmtId="0" fontId="15" fillId="0" borderId="10" xfId="1" applyFont="1" applyBorder="1" applyAlignment="1" applyProtection="1">
      <alignment horizontal="center" vertical="center"/>
      <protection locked="0"/>
    </xf>
    <xf numFmtId="0" fontId="2" fillId="0" borderId="11" xfId="1" applyBorder="1" applyAlignment="1" applyProtection="1">
      <alignment horizontal="center" vertical="center"/>
      <protection locked="0"/>
    </xf>
    <xf numFmtId="0" fontId="2" fillId="0" borderId="1" xfId="1" applyBorder="1" applyProtection="1">
      <protection locked="0"/>
    </xf>
    <xf numFmtId="0" fontId="15" fillId="10" borderId="1" xfId="1" applyFont="1" applyFill="1" applyBorder="1" applyAlignment="1" applyProtection="1">
      <alignment horizontal="center" vertical="center"/>
      <protection locked="0"/>
    </xf>
    <xf numFmtId="0" fontId="2" fillId="0" borderId="12" xfId="1" applyBorder="1" applyAlignment="1" applyProtection="1">
      <alignment horizontal="center" vertical="center"/>
      <protection locked="0"/>
    </xf>
    <xf numFmtId="0" fontId="2" fillId="0" borderId="10" xfId="1" applyBorder="1" applyAlignment="1" applyProtection="1">
      <alignment horizontal="center" vertical="center"/>
      <protection locked="0"/>
    </xf>
    <xf numFmtId="0" fontId="23" fillId="10" borderId="1" xfId="1" applyFont="1" applyFill="1" applyBorder="1" applyAlignment="1" applyProtection="1">
      <alignment horizontal="center" vertical="center"/>
      <protection locked="0"/>
    </xf>
    <xf numFmtId="2" fontId="2" fillId="0" borderId="0" xfId="1" applyNumberFormat="1" applyBorder="1" applyAlignment="1" applyProtection="1">
      <alignment horizontal="center" vertical="center"/>
      <protection locked="0"/>
    </xf>
    <xf numFmtId="0" fontId="2" fillId="0" borderId="0" xfId="1" applyBorder="1" applyProtection="1">
      <protection locked="0"/>
    </xf>
    <xf numFmtId="0" fontId="15" fillId="0" borderId="0" xfId="1" applyFont="1" applyFill="1" applyBorder="1" applyProtection="1">
      <protection locked="0"/>
    </xf>
    <xf numFmtId="0" fontId="2" fillId="0" borderId="0" xfId="1" applyFont="1" applyFill="1" applyBorder="1" applyAlignment="1" applyProtection="1">
      <alignment horizontal="center" vertical="center"/>
      <protection locked="0"/>
    </xf>
    <xf numFmtId="0" fontId="2" fillId="0" borderId="0" xfId="1" applyBorder="1" applyAlignment="1" applyProtection="1">
      <alignment horizontal="center" vertical="center"/>
      <protection locked="0"/>
    </xf>
    <xf numFmtId="0" fontId="15" fillId="10" borderId="0" xfId="1" applyFont="1" applyFill="1" applyBorder="1" applyAlignment="1" applyProtection="1">
      <alignment horizontal="center" vertical="center"/>
      <protection locked="0"/>
    </xf>
    <xf numFmtId="0" fontId="2" fillId="0" borderId="0" xfId="1"/>
    <xf numFmtId="0" fontId="2" fillId="8" borderId="0" xfId="1" applyFill="1"/>
    <xf numFmtId="0" fontId="22" fillId="8" borderId="0" xfId="1" applyFont="1" applyFill="1"/>
    <xf numFmtId="22" fontId="21" fillId="8" borderId="0" xfId="1" applyNumberFormat="1" applyFont="1" applyFill="1" applyAlignment="1">
      <alignment horizontal="center" vertical="center"/>
    </xf>
    <xf numFmtId="0" fontId="15" fillId="3" borderId="14" xfId="1" applyFont="1" applyFill="1" applyBorder="1" applyAlignment="1">
      <alignment horizontal="center" vertical="center"/>
    </xf>
    <xf numFmtId="0" fontId="15" fillId="3" borderId="15" xfId="1" applyFont="1" applyFill="1" applyBorder="1" applyAlignment="1">
      <alignment horizontal="center" vertical="center"/>
    </xf>
    <xf numFmtId="20" fontId="15" fillId="3" borderId="14" xfId="1" applyNumberFormat="1" applyFont="1" applyFill="1" applyBorder="1" applyAlignment="1">
      <alignment horizontal="left" vertical="top"/>
    </xf>
    <xf numFmtId="0" fontId="2" fillId="3" borderId="16" xfId="1" applyFill="1" applyBorder="1" applyAlignment="1">
      <alignment horizontal="left" vertical="center"/>
    </xf>
    <xf numFmtId="0" fontId="15" fillId="3" borderId="15" xfId="1" applyFont="1" applyFill="1" applyBorder="1" applyAlignment="1">
      <alignment horizontal="left" vertical="top"/>
    </xf>
    <xf numFmtId="168" fontId="21" fillId="8" borderId="0" xfId="1" applyNumberFormat="1" applyFont="1" applyFill="1" applyAlignment="1">
      <alignment horizontal="center" vertical="center"/>
    </xf>
    <xf numFmtId="2" fontId="21" fillId="8" borderId="0" xfId="1" applyNumberFormat="1" applyFont="1" applyFill="1" applyBorder="1" applyAlignment="1">
      <alignment horizontal="center" vertical="center"/>
    </xf>
    <xf numFmtId="0" fontId="2" fillId="12" borderId="0" xfId="1" applyFill="1"/>
    <xf numFmtId="0" fontId="2" fillId="8" borderId="0" xfId="1" applyFill="1" applyAlignment="1">
      <alignment horizontal="center" vertical="center" wrapText="1"/>
    </xf>
    <xf numFmtId="0" fontId="22" fillId="8" borderId="0" xfId="1" applyFont="1" applyFill="1" applyAlignment="1">
      <alignment horizontal="center" vertical="center" wrapText="1"/>
    </xf>
    <xf numFmtId="0" fontId="15" fillId="9" borderId="8" xfId="1" applyFont="1" applyFill="1" applyBorder="1" applyAlignment="1">
      <alignment horizontal="center" vertical="center" wrapText="1"/>
    </xf>
    <xf numFmtId="0" fontId="15" fillId="9" borderId="9" xfId="1" applyFont="1" applyFill="1" applyBorder="1" applyAlignment="1">
      <alignment horizontal="center" vertical="center" wrapText="1"/>
    </xf>
    <xf numFmtId="0" fontId="15" fillId="9" borderId="1" xfId="1" applyFont="1" applyFill="1" applyBorder="1" applyAlignment="1">
      <alignment horizontal="center" vertical="center" wrapText="1"/>
    </xf>
    <xf numFmtId="0" fontId="15" fillId="9" borderId="8" xfId="1" applyFont="1" applyFill="1" applyBorder="1" applyAlignment="1">
      <alignment horizontal="center" vertical="center"/>
    </xf>
    <xf numFmtId="0" fontId="2" fillId="5" borderId="0" xfId="1" applyFill="1"/>
    <xf numFmtId="20" fontId="22" fillId="8" borderId="0" xfId="1" applyNumberFormat="1" applyFont="1" applyFill="1"/>
    <xf numFmtId="0" fontId="15" fillId="0" borderId="10" xfId="1" applyFont="1" applyBorder="1" applyAlignment="1">
      <alignment horizontal="center" vertical="center"/>
    </xf>
    <xf numFmtId="0" fontId="2" fillId="0" borderId="11" xfId="1" applyBorder="1" applyAlignment="1">
      <alignment horizontal="center" vertical="center"/>
    </xf>
    <xf numFmtId="0" fontId="2" fillId="0" borderId="1" xfId="1" applyBorder="1"/>
    <xf numFmtId="0" fontId="15" fillId="10" borderId="1" xfId="1" applyFont="1" applyFill="1" applyBorder="1" applyAlignment="1">
      <alignment horizontal="center" vertical="center"/>
    </xf>
    <xf numFmtId="0" fontId="2" fillId="0" borderId="12" xfId="1" applyBorder="1" applyAlignment="1">
      <alignment horizontal="center" vertical="center"/>
    </xf>
    <xf numFmtId="0" fontId="2" fillId="0" borderId="10" xfId="1" applyBorder="1" applyAlignment="1">
      <alignment horizontal="center" vertical="center"/>
    </xf>
    <xf numFmtId="0" fontId="23" fillId="10" borderId="1" xfId="1" applyFont="1" applyFill="1" applyBorder="1" applyAlignment="1">
      <alignment horizontal="center" vertical="center"/>
    </xf>
    <xf numFmtId="2" fontId="2" fillId="0" borderId="0" xfId="1" applyNumberFormat="1" applyBorder="1" applyAlignment="1">
      <alignment horizontal="center" vertical="center"/>
    </xf>
    <xf numFmtId="0" fontId="2" fillId="0" borderId="0" xfId="1" applyBorder="1"/>
    <xf numFmtId="0" fontId="15" fillId="0" borderId="0" xfId="1" applyFont="1" applyFill="1" applyBorder="1"/>
    <xf numFmtId="0" fontId="2" fillId="0" borderId="0" xfId="1" applyFont="1" applyFill="1" applyBorder="1" applyAlignment="1">
      <alignment horizontal="center" vertical="center"/>
    </xf>
    <xf numFmtId="0" fontId="2" fillId="0" borderId="0" xfId="1" applyBorder="1" applyAlignment="1">
      <alignment horizontal="center" vertical="center"/>
    </xf>
    <xf numFmtId="0" fontId="15" fillId="10" borderId="0" xfId="1" applyFont="1" applyFill="1" applyBorder="1" applyAlignment="1">
      <alignment horizontal="center" vertical="center"/>
    </xf>
    <xf numFmtId="0" fontId="22" fillId="0" borderId="0" xfId="1" applyFont="1"/>
    <xf numFmtId="0" fontId="26" fillId="0" borderId="0" xfId="1" applyFont="1"/>
    <xf numFmtId="169" fontId="2" fillId="0" borderId="0" xfId="1" applyNumberFormat="1"/>
    <xf numFmtId="0" fontId="2" fillId="0" borderId="0" xfId="1" applyNumberFormat="1"/>
    <xf numFmtId="169" fontId="2" fillId="0" borderId="0" xfId="1" applyNumberFormat="1" applyAlignment="1">
      <alignment horizontal="left"/>
    </xf>
    <xf numFmtId="169" fontId="26" fillId="0" borderId="0" xfId="1" applyNumberFormat="1" applyFont="1"/>
    <xf numFmtId="0" fontId="25" fillId="14" borderId="19" xfId="1"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70" fontId="0" fillId="0" borderId="0" xfId="0" applyNumberFormat="1"/>
    <xf numFmtId="171" fontId="0" fillId="0" borderId="0" xfId="0" applyNumberFormat="1"/>
    <xf numFmtId="14" fontId="3" fillId="0" borderId="0" xfId="0" applyNumberFormat="1" applyFont="1"/>
    <xf numFmtId="0" fontId="1" fillId="0" borderId="1" xfId="1" applyFont="1" applyBorder="1" applyProtection="1">
      <protection locked="0"/>
    </xf>
    <xf numFmtId="0" fontId="24" fillId="11" borderId="0" xfId="1" applyFont="1" applyFill="1" applyBorder="1" applyAlignment="1">
      <alignment horizontal="center"/>
    </xf>
    <xf numFmtId="0" fontId="24" fillId="11" borderId="13" xfId="1" applyFont="1" applyFill="1" applyBorder="1" applyAlignment="1">
      <alignment horizontal="center"/>
    </xf>
    <xf numFmtId="0" fontId="15" fillId="10" borderId="0" xfId="1" applyFont="1" applyFill="1" applyBorder="1" applyAlignment="1">
      <alignment horizontal="center" vertical="center"/>
    </xf>
    <xf numFmtId="0" fontId="15" fillId="10" borderId="17" xfId="1" applyFont="1" applyFill="1" applyBorder="1" applyAlignment="1">
      <alignment horizontal="center" vertical="center"/>
    </xf>
    <xf numFmtId="3" fontId="15" fillId="13" borderId="18" xfId="1" applyNumberFormat="1" applyFont="1" applyFill="1" applyBorder="1" applyAlignment="1">
      <alignment horizontal="center"/>
    </xf>
    <xf numFmtId="3" fontId="15" fillId="13" borderId="0" xfId="1" applyNumberFormat="1" applyFont="1" applyFill="1" applyBorder="1" applyAlignment="1">
      <alignment horizontal="center"/>
    </xf>
    <xf numFmtId="0" fontId="20" fillId="0" borderId="5" xfId="0" applyFont="1" applyBorder="1" applyAlignment="1">
      <alignment horizontal="center"/>
    </xf>
    <xf numFmtId="0" fontId="20" fillId="0" borderId="6" xfId="0" applyFont="1" applyBorder="1" applyAlignment="1">
      <alignment horizontal="center"/>
    </xf>
    <xf numFmtId="0" fontId="20" fillId="0" borderId="7" xfId="0" applyFont="1" applyBorder="1" applyAlignment="1">
      <alignment horizontal="center"/>
    </xf>
    <xf numFmtId="0" fontId="20" fillId="0" borderId="2" xfId="0" applyFont="1" applyBorder="1" applyAlignment="1">
      <alignment horizontal="center"/>
    </xf>
    <xf numFmtId="0" fontId="20" fillId="0" borderId="3" xfId="0" applyFont="1" applyBorder="1" applyAlignment="1">
      <alignment horizontal="center"/>
    </xf>
    <xf numFmtId="0" fontId="20" fillId="0" borderId="4" xfId="0" applyFont="1" applyBorder="1" applyAlignment="1">
      <alignment horizontal="center"/>
    </xf>
  </cellXfs>
  <cellStyles count="2">
    <cellStyle name="Normal" xfId="0" builtinId="0"/>
    <cellStyle name="Normal 2" xfId="1"/>
  </cellStyles>
  <dxfs count="6570">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theme="6" tint="-0.25098422193060094"/>
          </stop>
          <stop position="0.5">
            <color theme="0"/>
          </stop>
          <stop position="1">
            <color theme="6" tint="-0.25098422193060094"/>
          </stop>
        </gradientFill>
      </fill>
    </dxf>
    <dxf>
      <fill>
        <gradientFill degree="90">
          <stop position="0">
            <color theme="9" tint="0.40000610370189521"/>
          </stop>
          <stop position="0.5">
            <color theme="0"/>
          </stop>
          <stop position="1">
            <color theme="9" tint="0.40000610370189521"/>
          </stop>
        </gradientFill>
      </fill>
    </dxf>
    <dxf>
      <fill>
        <gradientFill degree="90">
          <stop position="0">
            <color theme="7" tint="0.40000610370189521"/>
          </stop>
          <stop position="0.5">
            <color theme="0"/>
          </stop>
          <stop position="1">
            <color theme="7" tint="0.40000610370189521"/>
          </stop>
        </gradientFill>
      </fill>
    </dxf>
    <dxf>
      <fill>
        <gradientFill degree="90">
          <stop position="0">
            <color rgb="FFFF0000"/>
          </stop>
          <stop position="0.5">
            <color theme="0"/>
          </stop>
          <stop position="1">
            <color rgb="FFFF0000"/>
          </stop>
        </gradient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patternFill>
          <bgColor rgb="FF00B050"/>
        </patternFill>
      </fill>
    </dxf>
    <dxf>
      <fill>
        <gradientFill degree="90">
          <stop position="0">
            <color rgb="FF00B0F0"/>
          </stop>
          <stop position="0.5">
            <color theme="4" tint="0.40000610370189521"/>
          </stop>
          <stop position="1">
            <color rgb="FF00B0F0"/>
          </stop>
        </gradientFill>
      </fill>
    </dxf>
    <dxf>
      <fill>
        <gradientFill degree="45">
          <stop position="0">
            <color theme="2" tint="-0.49803155613879818"/>
          </stop>
          <stop position="0.5">
            <color theme="2" tint="-0.25098422193060094"/>
          </stop>
          <stop position="1">
            <color theme="2" tint="-0.49803155613879818"/>
          </stop>
        </gradientFill>
      </fill>
    </dxf>
    <dxf>
      <fill>
        <gradientFill degree="45">
          <stop position="0">
            <color rgb="FF00B0F0"/>
          </stop>
          <stop position="0.5">
            <color theme="4" tint="0.80001220740379042"/>
          </stop>
          <stop position="1">
            <color rgb="FF00B0F0"/>
          </stop>
        </gradientFill>
      </fill>
    </dxf>
    <dxf>
      <fill>
        <patternFill>
          <bgColor rgb="FF00B050"/>
        </patternFill>
      </fill>
    </dxf>
    <dxf>
      <fill>
        <gradientFill degree="90">
          <stop position="0">
            <color theme="0"/>
          </stop>
          <stop position="0.5">
            <color rgb="FF00B050"/>
          </stop>
          <stop position="1">
            <color theme="0"/>
          </stop>
        </gradientFill>
      </fill>
    </dxf>
    <dxf>
      <fill>
        <gradientFill degree="90">
          <stop position="0">
            <color theme="0"/>
          </stop>
          <stop position="0.5">
            <color rgb="FFFF3300"/>
          </stop>
          <stop position="1">
            <color theme="0"/>
          </stop>
        </gradientFill>
      </fill>
    </dxf>
    <dxf>
      <border diagonalUp="0" diagonalDown="0">
        <left style="hair">
          <color auto="1"/>
        </left>
        <right style="hair">
          <color auto="1"/>
        </right>
        <top style="hair">
          <color auto="1"/>
        </top>
        <bottom style="hair">
          <color auto="1"/>
        </bottom>
        <vertical/>
        <horizontal/>
      </border>
    </dxf>
  </dxfs>
  <tableStyles count="4" defaultTableStyle="TableStyleMedium9" defaultPivotStyle="PivotStyleLight16">
    <tableStyle name="Slicer Style 1" pivot="0" table="0" count="0"/>
    <tableStyle name="Slicer Style 2" pivot="0" table="0" count="0"/>
    <tableStyle name="Slicer Style 3" pivot="0" table="0" count="0"/>
    <tableStyle name="Slicer Style 4" pivot="0" table="0" count="1">
      <tableStyleElement type="wholeTable" dxfId="6569"/>
    </tableStyle>
  </tableStyles>
  <extLst>
    <ext xmlns:x14="http://schemas.microsoft.com/office/spreadsheetml/2009/9/main" uri="{EB79DEF2-80B8-43e5-95BD-54CBDDF9020C}">
      <x14:slicerStyles defaultSlicerStyle="Slicer Style 1">
        <x14:slicerStyle name="Slicer Style 1"/>
        <x14:slicerStyle name="Slicer Style 2"/>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greekserver.rtdfunctions">
      <tp t="e">
        <v>#N/A</v>
        <stp/>
        <stp>S MCXSXEQ 233.1.2.3 8810 1</stp>
        <tr r="F17" s="3"/>
      </tp>
      <tp t="e">
        <v>#N/A</v>
        <stp/>
        <stp>S MCXSXFO 233.1.2.3 5000 1</stp>
        <tr r="E18" s="3"/>
      </tp>
      <tp t="e">
        <v>#N/A</v>
        <stp/>
        <stp>S MCXSXCD 233.1.2.3 8810 1</stp>
        <tr r="E19" s="3"/>
      </tp>
      <tp t="e">
        <v>#N/A</v>
        <stp/>
        <stp>S BSEEQ 233.1.2.7 5448 1</stp>
        <tr r="F14" s="3"/>
      </tp>
      <tp>
        <v>0</v>
        <stp/>
        <stp>102036239 4</stp>
        <tr r="K14" s="17"/>
      </tp>
      <tp>
        <v>0</v>
        <stp/>
        <stp>102036239 5</stp>
        <tr r="J14" s="17"/>
      </tp>
      <tp>
        <v>25</v>
        <stp/>
        <stp>102036239 6</stp>
        <tr r="M14" s="17"/>
      </tp>
      <tp>
        <v>20</v>
        <stp/>
        <stp>102036239 7</stp>
        <tr r="L14" s="17"/>
      </tp>
      <tp>
        <v>0</v>
        <stp/>
        <stp>102036239 8</stp>
        <tr r="N14" s="17"/>
      </tp>
      <tp>
        <v>1980</v>
        <stp/>
        <stp>102039589 7</stp>
        <tr r="L72" s="17"/>
      </tp>
      <tp>
        <v>0</v>
        <stp/>
        <stp>102039789 5</stp>
        <tr r="J40" s="17"/>
      </tp>
      <tp>
        <v>100</v>
        <stp/>
        <stp>102039599 7</stp>
        <tr r="L178" s="17"/>
      </tp>
      <tp>
        <v>0</v>
        <stp/>
        <stp>102039799 5</stp>
        <tr r="J44" s="17"/>
      </tp>
      <tp>
        <v>20</v>
        <stp/>
        <stp>102039529 7</stp>
        <tr r="L50" s="17"/>
      </tp>
      <tp>
        <v>40</v>
        <stp/>
        <stp>102039629 4</stp>
        <tr r="K80" s="17"/>
      </tp>
      <tp>
        <v>1480</v>
        <stp/>
        <stp>102039729 5</stp>
        <tr r="J114" s="17"/>
      </tp>
      <tp>
        <v>100</v>
        <stp/>
        <stp>102039739 5</stp>
        <tr r="J122" s="17"/>
      </tp>
      <tp>
        <v>40</v>
        <stp/>
        <stp>102039609 4</stp>
        <tr r="K78" s="17"/>
      </tp>
      <tp>
        <v>20</v>
        <stp/>
        <stp>102039519 7</stp>
        <tr r="L48" s="17"/>
      </tp>
      <tp>
        <v>40</v>
        <stp/>
        <stp>102039719 5</stp>
        <tr r="J108" s="17"/>
      </tp>
      <tp>
        <v>6465</v>
        <stp/>
        <stp>102039679 4</stp>
        <tr r="K98" s="17"/>
      </tp>
      <tp>
        <v>900</v>
        <stp/>
        <stp>102039559 7</stp>
        <tr r="L60" s="17"/>
      </tp>
      <tp>
        <v>100</v>
        <stp/>
        <stp>102039759 5</stp>
        <tr r="J128" s="17"/>
      </tp>
      <tp>
        <v>45</v>
        <stp/>
        <stp>102039589 6</stp>
        <tr r="M72" s="17"/>
      </tp>
      <tp>
        <v>0</v>
        <stp/>
        <stp>102039789 4</stp>
        <tr r="K40" s="17"/>
      </tp>
      <tp>
        <v>405075</v>
        <stp/>
        <stp>102039599 6</stp>
        <tr r="M178" s="17"/>
      </tp>
      <tp>
        <v>0</v>
        <stp/>
        <stp>102039799 4</stp>
        <tr r="K44" s="17"/>
      </tp>
      <tp>
        <v>50</v>
        <stp/>
        <stp>102039529 6</stp>
        <tr r="M50" s="17"/>
      </tp>
      <tp>
        <v>800</v>
        <stp/>
        <stp>102039629 5</stp>
        <tr r="J80" s="17"/>
      </tp>
      <tp>
        <v>78140</v>
        <stp/>
        <stp>102039729 4</stp>
        <tr r="K114" s="17"/>
      </tp>
      <tp>
        <v>117940</v>
        <stp/>
        <stp>102039739 4</stp>
        <tr r="K122" s="17"/>
      </tp>
      <tp>
        <v>20</v>
        <stp/>
        <stp>102039609 5</stp>
        <tr r="J78" s="17"/>
      </tp>
      <tp>
        <v>45</v>
        <stp/>
        <stp>102039519 6</stp>
        <tr r="M48" s="17"/>
      </tp>
      <tp>
        <v>48995</v>
        <stp/>
        <stp>102039719 4</stp>
        <tr r="K108" s="17"/>
      </tp>
      <tp>
        <v>40</v>
        <stp/>
        <stp>102039679 5</stp>
        <tr r="J98" s="17"/>
      </tp>
      <tp>
        <v>55</v>
        <stp/>
        <stp>102039559 6</stp>
        <tr r="M60" s="17"/>
      </tp>
      <tp>
        <v>143195</v>
        <stp/>
        <stp>102039759 4</stp>
        <tr r="K128" s="17"/>
      </tp>
      <tp>
        <v>4740</v>
        <stp/>
        <stp>102039589 5</stp>
        <tr r="J72" s="17"/>
      </tp>
      <tp>
        <v>20</v>
        <stp/>
        <stp>102039789 7</stp>
        <tr r="L40" s="17"/>
      </tp>
      <tp>
        <v>100</v>
        <stp/>
        <stp>102039599 5</stp>
        <tr r="J178" s="17"/>
      </tp>
      <tp>
        <v>20</v>
        <stp/>
        <stp>102039799 7</stp>
        <tr r="L44" s="17"/>
      </tp>
      <tp>
        <v>220</v>
        <stp/>
        <stp>102039529 5</stp>
        <tr r="J50" s="17"/>
      </tp>
      <tp>
        <v>45</v>
        <stp/>
        <stp>102039629 6</stp>
        <tr r="M80" s="17"/>
      </tp>
      <tp>
        <v>400</v>
        <stp/>
        <stp>102039729 7</stp>
        <tr r="L114" s="17"/>
      </tp>
      <tp>
        <v>0</v>
        <stp/>
        <stp>102039829 8</stp>
        <tr r="N158" s="17"/>
      </tp>
      <tp>
        <v>200</v>
        <stp/>
        <stp>102039739 7</stp>
        <tr r="L122" s="17"/>
      </tp>
      <tp>
        <v>50</v>
        <stp/>
        <stp>102039609 6</stp>
        <tr r="M78" s="17"/>
      </tp>
      <tp>
        <v>40</v>
        <stp/>
        <stp>102039519 5</stp>
        <tr r="J48" s="17"/>
      </tp>
      <tp>
        <v>40</v>
        <stp/>
        <stp>102039719 7</stp>
        <tr r="L108" s="17"/>
      </tp>
      <tp>
        <v>6495</v>
        <stp/>
        <stp>102039679 6</stp>
        <tr r="M98" s="17"/>
      </tp>
      <tp>
        <v>20</v>
        <stp/>
        <stp>102039559 5</stp>
        <tr r="J60" s="17"/>
      </tp>
      <tp>
        <v>100</v>
        <stp/>
        <stp>102039759 7</stp>
        <tr r="L128" s="17"/>
      </tp>
      <tp>
        <v>35</v>
        <stp/>
        <stp>102039589 4</stp>
        <tr r="K72" s="17"/>
      </tp>
      <tp>
        <v>50</v>
        <stp/>
        <stp>102039789 6</stp>
        <tr r="M40" s="17"/>
      </tp>
      <tp>
        <v>392205</v>
        <stp/>
        <stp>102039599 4</stp>
        <tr r="K178" s="17"/>
      </tp>
      <tp>
        <v>50</v>
        <stp/>
        <stp>102039799 6</stp>
        <tr r="M44" s="17"/>
      </tp>
      <tp>
        <v>15</v>
        <stp/>
        <stp>102039529 4</stp>
        <tr r="K50" s="17"/>
      </tp>
      <tp>
        <v>3080</v>
        <stp/>
        <stp>102039629 7</stp>
        <tr r="L80" s="17"/>
      </tp>
      <tp>
        <v>79585</v>
        <stp/>
        <stp>102039729 6</stp>
        <tr r="M114" s="17"/>
      </tp>
      <tp>
        <v>120065</v>
        <stp/>
        <stp>102039739 6</stp>
        <tr r="M122" s="17"/>
      </tp>
      <tp>
        <v>2460</v>
        <stp/>
        <stp>102039609 7</stp>
        <tr r="L78" s="17"/>
      </tp>
      <tp>
        <v>15</v>
        <stp/>
        <stp>102039519 4</stp>
        <tr r="K48" s="17"/>
      </tp>
      <tp>
        <v>49200</v>
        <stp/>
        <stp>102039719 6</stp>
        <tr r="M108" s="17"/>
      </tp>
      <tp>
        <v>80</v>
        <stp/>
        <stp>102039679 7</stp>
        <tr r="L98" s="17"/>
      </tp>
      <tp>
        <v>30</v>
        <stp/>
        <stp>102039559 4</stp>
        <tr r="K60" s="17"/>
      </tp>
      <tp>
        <v>155075</v>
        <stp/>
        <stp>102039759 6</stp>
        <tr r="M128" s="17"/>
      </tp>
      <tp>
        <v>40</v>
        <stp/>
        <stp>102039629 8</stp>
        <tr r="N80" s="17"/>
      </tp>
      <tp>
        <v>305075</v>
        <stp/>
        <stp>102039829 6</stp>
        <tr r="M158" s="17"/>
      </tp>
      <tp>
        <v>37</v>
        <stp/>
        <stp>102039609 8</stp>
        <tr r="N78" s="17"/>
      </tp>
      <tp>
        <v>5213</v>
        <stp/>
        <stp>102039679 8</stp>
        <tr r="N98" s="17"/>
      </tp>
      <tp>
        <v>0</v>
        <stp/>
        <stp>102039789 8</stp>
        <tr r="N40" s="17"/>
      </tp>
      <tp>
        <v>0</v>
        <stp/>
        <stp>102039799 8</stp>
        <tr r="N44" s="17"/>
      </tp>
      <tp>
        <v>75491</v>
        <stp/>
        <stp>102039729 8</stp>
        <tr r="N114" s="17"/>
      </tp>
      <tp>
        <v>100</v>
        <stp/>
        <stp>102039829 7</stp>
        <tr r="L158" s="17"/>
      </tp>
      <tp>
        <v>117925</v>
        <stp/>
        <stp>102039739 8</stp>
        <tr r="N122" s="17"/>
      </tp>
      <tp>
        <v>40647</v>
        <stp/>
        <stp>102039719 8</stp>
        <tr r="N108" s="17"/>
      </tp>
      <tp>
        <v>0</v>
        <stp/>
        <stp>102039759 8</stp>
        <tr r="N128" s="17"/>
      </tp>
      <tp>
        <v>288295</v>
        <stp/>
        <stp>102039829 4</stp>
        <tr r="K158" s="17"/>
      </tp>
      <tp>
        <v>38</v>
        <stp/>
        <stp>102039589 8</stp>
        <tr r="N72" s="17"/>
      </tp>
      <tp>
        <v>0</v>
        <stp/>
        <stp>102039599 8</stp>
        <tr r="N178" s="17"/>
      </tp>
      <tp>
        <v>15</v>
        <stp/>
        <stp>102039529 8</stp>
        <tr r="N50" s="17"/>
      </tp>
      <tp>
        <v>100</v>
        <stp/>
        <stp>102039829 5</stp>
        <tr r="J158" s="17"/>
      </tp>
      <tp>
        <v>0</v>
        <stp/>
        <stp>102039519 8</stp>
        <tr r="N48" s="17"/>
      </tp>
      <tp>
        <v>15</v>
        <stp/>
        <stp>102039559 8</stp>
        <tr r="N60" s="17"/>
      </tp>
      <tp t="e">
        <v>#N/A</v>
        <stp/>
        <stp>S NSEEQ 233.1.2.5 6789 0</stp>
        <tr r="E12" s="3"/>
      </tp>
      <tp>
        <v>414805</v>
        <stp/>
        <stp>102036238 4</stp>
        <tr r="K13" s="17"/>
      </tp>
      <tp>
        <v>100</v>
        <stp/>
        <stp>102036238 5</stp>
        <tr r="J13" s="17"/>
      </tp>
      <tp>
        <v>426345</v>
        <stp/>
        <stp>102036238 6</stp>
        <tr r="M13" s="17"/>
      </tp>
      <tp>
        <v>100</v>
        <stp/>
        <stp>102036238 7</stp>
        <tr r="L13" s="17"/>
      </tp>
      <tp>
        <v>0</v>
        <stp/>
        <stp>102036238 8</stp>
        <tr r="N13" s="17"/>
      </tp>
      <tp>
        <v>20</v>
        <stp/>
        <stp>102039588 7</stp>
        <tr r="L71" s="17"/>
      </tp>
      <tp>
        <v>100</v>
        <stp/>
        <stp>102039788 5</stp>
        <tr r="J39" s="17"/>
      </tp>
      <tp>
        <v>100</v>
        <stp/>
        <stp>102039798 5</stp>
        <tr r="J43" s="17"/>
      </tp>
      <tp>
        <v>100</v>
        <stp/>
        <stp>102039528 7</stp>
        <tr r="L49" s="17"/>
      </tp>
      <tp>
        <v>90320</v>
        <stp/>
        <stp>102039628 4</stp>
        <tr r="K79" s="17"/>
      </tp>
      <tp>
        <v>6000</v>
        <stp/>
        <stp>102039728 5</stp>
        <tr r="J113" s="17"/>
      </tp>
      <tp>
        <v>60540</v>
        <stp/>
        <stp>102039638 4</stp>
        <tr r="K85" s="17"/>
      </tp>
      <tp>
        <v>960</v>
        <stp/>
        <stp>102039738 5</stp>
        <tr r="J121" s="17"/>
      </tp>
      <tp>
        <v>100380</v>
        <stp/>
        <stp>102039608 4</stp>
        <tr r="K77" s="17"/>
      </tp>
      <tp>
        <v>100</v>
        <stp/>
        <stp>102039518 7</stp>
        <tr r="L47" s="17"/>
      </tp>
      <tp>
        <v>18060</v>
        <stp/>
        <stp>102039718 5</stp>
        <tr r="J107" s="17"/>
      </tp>
      <tp>
        <v>7400</v>
        <stp/>
        <stp>102039678 4</stp>
        <tr r="K97" s="17"/>
      </tp>
      <tp>
        <v>0</v>
        <stp/>
        <stp>102039778 5</stp>
        <tr r="J139" s="17"/>
      </tp>
      <tp>
        <v>100</v>
        <stp/>
        <stp>102039558 7</stp>
        <tr r="L59" s="17"/>
      </tp>
      <tp>
        <v>420</v>
        <stp/>
        <stp>102039758 5</stp>
        <tr r="J127" s="17"/>
      </tp>
      <tp>
        <v>132020</v>
        <stp/>
        <stp>102039588 6</stp>
        <tr r="M71" s="17"/>
      </tp>
      <tp>
        <v>284810</v>
        <stp/>
        <stp>102039788 4</stp>
        <tr r="K39" s="17"/>
      </tp>
      <tp>
        <v>264805</v>
        <stp/>
        <stp>102039798 4</stp>
        <tr r="K43" s="17"/>
      </tp>
      <tp>
        <v>246345</v>
        <stp/>
        <stp>102039528 6</stp>
        <tr r="M49" s="17"/>
      </tp>
      <tp>
        <v>900</v>
        <stp/>
        <stp>102039628 5</stp>
        <tr r="J79" s="17"/>
      </tp>
      <tp>
        <v>40</v>
        <stp/>
        <stp>102039728 4</stp>
        <tr r="K113" s="17"/>
      </tp>
      <tp>
        <v>20</v>
        <stp/>
        <stp>102039638 5</stp>
        <tr r="J85" s="17"/>
      </tp>
      <tp>
        <v>30</v>
        <stp/>
        <stp>102039738 4</stp>
        <tr r="K121" s="17"/>
      </tp>
      <tp>
        <v>200</v>
        <stp/>
        <stp>102039608 5</stp>
        <tr r="J77" s="17"/>
      </tp>
      <tp>
        <v>256345</v>
        <stp/>
        <stp>102039518 6</stp>
        <tr r="M47" s="17"/>
      </tp>
      <tp>
        <v>135</v>
        <stp/>
        <stp>102039718 4</stp>
        <tr r="K107" s="17"/>
      </tp>
      <tp>
        <v>3540</v>
        <stp/>
        <stp>102039678 5</stp>
        <tr r="J97" s="17"/>
      </tp>
      <tp>
        <v>0</v>
        <stp/>
        <stp>102039778 4</stp>
        <tr r="K139" s="17"/>
      </tp>
      <tp>
        <v>196345</v>
        <stp/>
        <stp>102039558 6</stp>
        <tr r="M59" s="17"/>
      </tp>
      <tp>
        <v>15</v>
        <stp/>
        <stp>102039758 4</stp>
        <tr r="K127" s="17"/>
      </tp>
      <tp>
        <v>80</v>
        <stp/>
        <stp>102039588 5</stp>
        <tr r="J71" s="17"/>
      </tp>
      <tp>
        <v>100</v>
        <stp/>
        <stp>102039788 7</stp>
        <tr r="L39" s="17"/>
      </tp>
      <tp>
        <v>100</v>
        <stp/>
        <stp>102039798 7</stp>
        <tr r="L43" s="17"/>
      </tp>
      <tp>
        <v>100</v>
        <stp/>
        <stp>102039528 5</stp>
        <tr r="J49" s="17"/>
      </tp>
      <tp>
        <v>91840</v>
        <stp/>
        <stp>102039628 6</stp>
        <tr r="M79" s="17"/>
      </tp>
      <tp>
        <v>2580</v>
        <stp/>
        <stp>102039728 7</stp>
        <tr r="L113" s="17"/>
      </tp>
      <tp>
        <v>0</v>
        <stp/>
        <stp>102039828 8</stp>
        <tr r="N157" s="17"/>
      </tp>
      <tp>
        <v>61820</v>
        <stp/>
        <stp>102039638 6</stp>
        <tr r="M85" s="17"/>
      </tp>
      <tp>
        <v>200</v>
        <stp/>
        <stp>102039738 7</stp>
        <tr r="L121" s="17"/>
      </tp>
      <tp>
        <v>102150</v>
        <stp/>
        <stp>102039608 6</stp>
        <tr r="M77" s="17"/>
      </tp>
      <tp>
        <v>100</v>
        <stp/>
        <stp>102039518 5</stp>
        <tr r="J47" s="17"/>
      </tp>
      <tp>
        <v>21520</v>
        <stp/>
        <stp>102039718 7</stp>
        <tr r="L107" s="17"/>
      </tp>
      <tp>
        <v>7440</v>
        <stp/>
        <stp>102039678 6</stp>
        <tr r="M97" s="17"/>
      </tp>
      <tp>
        <v>20</v>
        <stp/>
        <stp>102039778 7</stp>
        <tr r="L139" s="17"/>
      </tp>
      <tp>
        <v>100</v>
        <stp/>
        <stp>102039558 5</stp>
        <tr r="J59" s="17"/>
      </tp>
      <tp>
        <v>20</v>
        <stp/>
        <stp>102039758 7</stp>
        <tr r="L127" s="17"/>
      </tp>
      <tp>
        <v>130600</v>
        <stp/>
        <stp>102039588 4</stp>
        <tr r="K71" s="17"/>
      </tp>
      <tp>
        <v>296345</v>
        <stp/>
        <stp>102039788 6</stp>
        <tr r="M39" s="17"/>
      </tp>
      <tp>
        <v>276345</v>
        <stp/>
        <stp>102039798 6</stp>
        <tr r="M43" s="17"/>
      </tp>
      <tp>
        <v>234805</v>
        <stp/>
        <stp>102039528 4</stp>
        <tr r="K49" s="17"/>
      </tp>
      <tp>
        <v>40</v>
        <stp/>
        <stp>102039628 7</stp>
        <tr r="L79" s="17"/>
      </tp>
      <tp>
        <v>45</v>
        <stp/>
        <stp>102039728 6</stp>
        <tr r="M113" s="17"/>
      </tp>
      <tp>
        <v>20</v>
        <stp/>
        <stp>102039638 7</stp>
        <tr r="L85" s="17"/>
      </tp>
      <tp>
        <v>35</v>
        <stp/>
        <stp>102039738 6</stp>
        <tr r="M121" s="17"/>
      </tp>
      <tp>
        <v>20</v>
        <stp/>
        <stp>102039608 7</stp>
        <tr r="L77" s="17"/>
      </tp>
      <tp>
        <v>244805</v>
        <stp/>
        <stp>102039518 4</stp>
        <tr r="K47" s="17"/>
      </tp>
      <tp>
        <v>140</v>
        <stp/>
        <stp>102039718 6</stp>
        <tr r="M107" s="17"/>
      </tp>
      <tp>
        <v>340</v>
        <stp/>
        <stp>102039678 7</stp>
        <tr r="L97" s="17"/>
      </tp>
      <tp>
        <v>40</v>
        <stp/>
        <stp>102039778 6</stp>
        <tr r="M139" s="17"/>
      </tp>
      <tp>
        <v>184810</v>
        <stp/>
        <stp>102039558 4</stp>
        <tr r="K59" s="17"/>
      </tp>
      <tp>
        <v>30</v>
        <stp/>
        <stp>102039758 6</stp>
        <tr r="M127" s="17"/>
      </tp>
      <tp>
        <v>95263</v>
        <stp/>
        <stp>102039628 8</stp>
        <tr r="N79" s="17"/>
      </tp>
      <tp>
        <v>50</v>
        <stp/>
        <stp>102039828 6</stp>
        <tr r="M157" s="17"/>
      </tp>
      <tp>
        <v>65396</v>
        <stp/>
        <stp>102039638 8</stp>
        <tr r="N85" s="17"/>
      </tp>
      <tp>
        <v>100707</v>
        <stp/>
        <stp>102039608 8</stp>
        <tr r="N77" s="17"/>
      </tp>
      <tp>
        <v>9507</v>
        <stp/>
        <stp>102039678 8</stp>
        <tr r="N97" s="17"/>
      </tp>
      <tp>
        <v>0</v>
        <stp/>
        <stp>102039788 8</stp>
        <tr r="N39" s="17"/>
      </tp>
      <tp>
        <v>0</v>
        <stp/>
        <stp>102039798 8</stp>
        <tr r="N43" s="17"/>
      </tp>
      <tp>
        <v>67</v>
        <stp/>
        <stp>102039728 8</stp>
        <tr r="N113" s="17"/>
      </tp>
      <tp>
        <v>20</v>
        <stp/>
        <stp>102039828 7</stp>
        <tr r="L157" s="17"/>
      </tp>
      <tp>
        <v>28</v>
        <stp/>
        <stp>102039738 8</stp>
        <tr r="N121" s="17"/>
      </tp>
      <tp>
        <v>294</v>
        <stp/>
        <stp>102039718 8</stp>
        <tr r="N107" s="17"/>
      </tp>
      <tp>
        <v>0</v>
        <stp/>
        <stp>102039778 8</stp>
        <tr r="N139" s="17"/>
      </tp>
      <tp>
        <v>33</v>
        <stp/>
        <stp>102039758 8</stp>
        <tr r="N127" s="17"/>
      </tp>
      <tp>
        <v>0</v>
        <stp/>
        <stp>102039828 4</stp>
        <tr r="K157" s="17"/>
      </tp>
      <tp>
        <v>135300</v>
        <stp/>
        <stp>102039588 8</stp>
        <tr r="N71" s="17"/>
      </tp>
      <tp>
        <v>0</v>
        <stp/>
        <stp>102039528 8</stp>
        <tr r="N49" s="17"/>
      </tp>
      <tp>
        <v>0</v>
        <stp/>
        <stp>102039828 5</stp>
        <tr r="J157" s="17"/>
      </tp>
      <tp>
        <v>0</v>
        <stp/>
        <stp>102039518 8</stp>
        <tr r="N47" s="17"/>
      </tp>
      <tp>
        <v>0</v>
        <stp/>
        <stp>102039558 8</stp>
        <tr r="N59" s="17"/>
      </tp>
      <tp t="e">
        <v>#N/A</v>
        <stp/>
        <stp>S BSEFO 233.1.2.8 5449 1</stp>
        <tr r="E15" s="3"/>
      </tp>
      <tp>
        <v>0</v>
        <stp/>
        <stp>102040998 8</stp>
        <tr r="N174" s="17"/>
      </tp>
      <tp>
        <v>100</v>
        <stp/>
        <stp>102040998 7</stp>
        <tr r="L174" s="17"/>
      </tp>
      <tp>
        <v>385075</v>
        <stp/>
        <stp>102040998 6</stp>
        <tr r="M174" s="17"/>
      </tp>
      <tp>
        <v>100</v>
        <stp/>
        <stp>102040998 5</stp>
        <tr r="J174" s="17"/>
      </tp>
      <tp>
        <v>372190</v>
        <stp/>
        <stp>102040998 4</stp>
        <tr r="K174" s="17"/>
      </tp>
      <tp>
        <v>382205</v>
        <stp/>
        <stp>102041288 4</stp>
        <tr r="K176" s="17"/>
      </tp>
      <tp>
        <v>100</v>
        <stp/>
        <stp>102041288 5</stp>
        <tr r="J176" s="17"/>
      </tp>
      <tp>
        <v>395075</v>
        <stp/>
        <stp>102041288 6</stp>
        <tr r="M176" s="17"/>
      </tp>
      <tp>
        <v>100</v>
        <stp/>
        <stp>102041288 7</stp>
        <tr r="L176" s="17"/>
      </tp>
      <tp>
        <v>0</v>
        <stp/>
        <stp>102041288 8</stp>
        <tr r="N176" s="17"/>
      </tp>
      <tp>
        <v>0</v>
        <stp/>
        <stp>102056799 5</stp>
        <tr r="J24" s="17"/>
      </tp>
      <tp>
        <v>100</v>
        <stp/>
        <stp>102046538 7</stp>
        <tr r="L29" s="17"/>
      </tp>
      <tp>
        <v>0</v>
        <stp/>
        <stp>102056799 4</stp>
        <tr r="K24" s="17"/>
      </tp>
      <tp>
        <v>346345</v>
        <stp/>
        <stp>102046538 6</stp>
        <tr r="M29" s="17"/>
      </tp>
      <tp>
        <v>20</v>
        <stp/>
        <stp>102056799 7</stp>
        <tr r="L24" s="17"/>
      </tp>
      <tp>
        <v>100</v>
        <stp/>
        <stp>102046538 5</stp>
        <tr r="J29" s="17"/>
      </tp>
      <tp>
        <v>50</v>
        <stp/>
        <stp>102056799 6</stp>
        <tr r="M24" s="17"/>
      </tp>
      <tp>
        <v>334805</v>
        <stp/>
        <stp>102046538 4</stp>
        <tr r="K29" s="17"/>
      </tp>
      <tp>
        <v>0</v>
        <stp/>
        <stp>102056799 8</stp>
        <tr r="N24" s="17"/>
      </tp>
      <tp>
        <v>0</v>
        <stp/>
        <stp>102046538 8</stp>
        <tr r="N29" s="17"/>
      </tp>
      <tp>
        <v>20</v>
        <stp/>
        <stp>102046539 7</stp>
        <tr r="L30" s="17"/>
      </tp>
      <tp>
        <v>50</v>
        <stp/>
        <stp>102046539 6</stp>
        <tr r="M30" s="17"/>
      </tp>
      <tp>
        <v>0</v>
        <stp/>
        <stp>102046539 5</stp>
        <tr r="J30" s="17"/>
      </tp>
      <tp>
        <v>0</v>
        <stp/>
        <stp>102046539 4</stp>
        <tr r="K30" s="17"/>
      </tp>
      <tp>
        <v>0</v>
        <stp/>
        <stp>102046539 8</stp>
        <tr r="N30" s="17"/>
      </tp>
      <tp t="e">
        <v>#N/A</v>
        <stp/>
        <stp>S NSECD 233.1.2.5 6796 0</stp>
        <tr r="F13" s="3"/>
      </tp>
      <tp>
        <v>15</v>
        <stp/>
        <stp>102036231 4</stp>
        <tr r="K10" s="17"/>
      </tp>
      <tp>
        <v>0</v>
        <stp/>
        <stp>102036241 4</stp>
        <tr r="K16" s="17"/>
      </tp>
      <tp>
        <v>500</v>
        <stp/>
        <stp>102036231 5</stp>
        <tr r="J10" s="17"/>
      </tp>
      <tp>
        <v>0</v>
        <stp/>
        <stp>102036241 5</stp>
        <tr r="J16" s="17"/>
      </tp>
      <tp>
        <v>30</v>
        <stp/>
        <stp>102036231 6</stp>
        <tr r="M10" s="17"/>
      </tp>
      <tp>
        <v>50</v>
        <stp/>
        <stp>102036241 6</stp>
        <tr r="M16" s="17"/>
      </tp>
      <tp>
        <v>20</v>
        <stp/>
        <stp>102036231 7</stp>
        <tr r="L10" s="17"/>
      </tp>
      <tp>
        <v>20</v>
        <stp/>
        <stp>102036241 7</stp>
        <tr r="L16" s="17"/>
      </tp>
      <tp>
        <v>1780</v>
        <stp/>
        <stp>102046546 7</stp>
        <tr r="L32" s="17"/>
      </tp>
      <tp>
        <v>15</v>
        <stp/>
        <stp>102046546 6</stp>
        <tr r="M32" s="17"/>
      </tp>
      <tp>
        <v>0</v>
        <stp/>
        <stp>102046896 8</stp>
        <tr r="N26" s="17"/>
      </tp>
      <tp>
        <v>0</v>
        <stp/>
        <stp>102046546 5</stp>
        <tr r="J32" s="17"/>
      </tp>
      <tp>
        <v>0</v>
        <stp/>
        <stp>102046546 4</stp>
        <tr r="K32" s="17"/>
      </tp>
      <tp>
        <v>50</v>
        <stp/>
        <stp>102046896 6</stp>
        <tr r="M26" s="17"/>
      </tp>
      <tp>
        <v>20</v>
        <stp/>
        <stp>102046896 7</stp>
        <tr r="L26" s="17"/>
      </tp>
      <tp>
        <v>0</v>
        <stp/>
        <stp>102046896 4</stp>
        <tr r="K26" s="17"/>
      </tp>
      <tp>
        <v>0</v>
        <stp/>
        <stp>102046896 5</stp>
        <tr r="J26" s="17"/>
      </tp>
      <tp>
        <v>16</v>
        <stp/>
        <stp>102046546 8</stp>
        <tr r="N32" s="17"/>
      </tp>
      <tp>
        <v>25</v>
        <stp/>
        <stp>102036231 8</stp>
        <tr r="N10" s="17"/>
      </tp>
      <tp>
        <v>0</v>
        <stp/>
        <stp>102036241 8</stp>
        <tr r="N16" s="17"/>
      </tp>
      <tp>
        <v>100</v>
        <stp/>
        <stp>102039781 5</stp>
        <tr r="J140" s="17"/>
      </tp>
      <tp>
        <v>100</v>
        <stp/>
        <stp>102039791 5</stp>
        <tr r="J144" s="17"/>
      </tp>
      <tp>
        <v>20</v>
        <stp/>
        <stp>102039721 5</stp>
        <tr r="J110" s="17"/>
      </tp>
      <tp>
        <v>4360</v>
        <stp/>
        <stp>102039731 5</stp>
        <tr r="J115" s="17"/>
      </tp>
      <tp>
        <v>20</v>
        <stp/>
        <stp>102039511 7</stp>
        <tr r="L46" s="17"/>
      </tp>
      <tp>
        <v>80</v>
        <stp/>
        <stp>102039561 7</stp>
        <tr r="L62" s="17"/>
      </tp>
      <tp>
        <v>100</v>
        <stp/>
        <stp>102039761 5</stp>
        <tr r="J130" s="17"/>
      </tp>
      <tp>
        <v>3800</v>
        <stp/>
        <stp>102039571 7</stp>
        <tr r="L64" s="17"/>
      </tp>
      <tp>
        <v>435</v>
        <stp/>
        <stp>102039671 4</stp>
        <tr r="K92" s="17"/>
      </tp>
      <tp>
        <v>0</v>
        <stp/>
        <stp>102039771 5</stp>
        <tr r="J135" s="17"/>
      </tp>
      <tp>
        <v>20</v>
        <stp/>
        <stp>102039741 5</stp>
        <tr r="J124" s="17"/>
      </tp>
      <tp>
        <v>20</v>
        <stp/>
        <stp>102039551 7</stp>
        <tr r="L56" s="17"/>
      </tp>
      <tp>
        <v>203190</v>
        <stp/>
        <stp>102039781 4</stp>
        <tr r="K140" s="17"/>
      </tp>
      <tp>
        <v>223090</v>
        <stp/>
        <stp>102039791 4</stp>
        <tr r="K144" s="17"/>
      </tp>
      <tp>
        <v>58990</v>
        <stp/>
        <stp>102039721 4</stp>
        <tr r="K110" s="17"/>
      </tp>
      <tp>
        <v>40</v>
        <stp/>
        <stp>102039731 4</stp>
        <tr r="K115" s="17"/>
      </tp>
      <tp>
        <v>50</v>
        <stp/>
        <stp>102039511 6</stp>
        <tr r="M46" s="17"/>
      </tp>
      <tp>
        <v>40</v>
        <stp/>
        <stp>102039561 6</stp>
        <tr r="M62" s="17"/>
      </tp>
      <tp>
        <v>153575</v>
        <stp/>
        <stp>102039761 4</stp>
        <tr r="K130" s="17"/>
      </tp>
      <tp>
        <v>50</v>
        <stp/>
        <stp>102039571 6</stp>
        <tr r="M64" s="17"/>
      </tp>
      <tp>
        <v>1780</v>
        <stp/>
        <stp>102039671 5</stp>
        <tr r="J92" s="17"/>
      </tp>
      <tp>
        <v>0</v>
        <stp/>
        <stp>102039771 4</stp>
        <tr r="K135" s="17"/>
      </tp>
      <tp>
        <v>127870</v>
        <stp/>
        <stp>102039741 4</stp>
        <tr r="K124" s="17"/>
      </tp>
      <tp>
        <v>50</v>
        <stp/>
        <stp>102039551 6</stp>
        <tr r="M56" s="17"/>
      </tp>
      <tp>
        <v>100</v>
        <stp/>
        <stp>102039781 7</stp>
        <tr r="L140" s="17"/>
      </tp>
      <tp>
        <v>100</v>
        <stp/>
        <stp>102039791 7</stp>
        <tr r="L144" s="17"/>
      </tp>
      <tp>
        <v>180</v>
        <stp/>
        <stp>102039721 7</stp>
        <tr r="L110" s="17"/>
      </tp>
      <tp>
        <v>0</v>
        <stp/>
        <stp>102039821 8</stp>
        <tr r="N154" s="17"/>
      </tp>
      <tp>
        <v>6280</v>
        <stp/>
        <stp>102039731 7</stp>
        <tr r="L115" s="17"/>
      </tp>
      <tp>
        <v>0</v>
        <stp/>
        <stp>102039511 5</stp>
        <tr r="J46" s="17"/>
      </tp>
      <tp>
        <v>15</v>
        <stp/>
        <stp>102039811 8</stp>
        <tr r="N151" s="17"/>
      </tp>
      <tp>
        <v>100</v>
        <stp/>
        <stp>102039561 5</stp>
        <tr r="J62" s="17"/>
      </tp>
      <tp>
        <v>100</v>
        <stp/>
        <stp>102039761 7</stp>
        <tr r="L130" s="17"/>
      </tp>
      <tp>
        <v>2320</v>
        <stp/>
        <stp>102039571 5</stp>
        <tr r="J64" s="17"/>
      </tp>
      <tp>
        <v>440</v>
        <stp/>
        <stp>102039671 6</stp>
        <tr r="M92" s="17"/>
      </tp>
      <tp>
        <v>200</v>
        <stp/>
        <stp>102039771 7</stp>
        <tr r="L135" s="17"/>
      </tp>
      <tp>
        <v>400</v>
        <stp/>
        <stp>102039741 7</stp>
        <tr r="L124" s="17"/>
      </tp>
      <tp>
        <v>0</v>
        <stp/>
        <stp>102039551 5</stp>
        <tr r="J56" s="17"/>
      </tp>
      <tp>
        <v>0</v>
        <stp/>
        <stp>102039851 8</stp>
        <tr r="N164" s="17"/>
      </tp>
      <tp>
        <v>215060</v>
        <stp/>
        <stp>102039781 6</stp>
        <tr r="M140" s="17"/>
      </tp>
      <tp>
        <v>235075</v>
        <stp/>
        <stp>102039791 6</stp>
        <tr r="M144" s="17"/>
      </tp>
      <tp>
        <v>59290</v>
        <stp/>
        <stp>102039721 6</stp>
        <tr r="M110" s="17"/>
      </tp>
      <tp>
        <v>45</v>
        <stp/>
        <stp>102039731 6</stp>
        <tr r="M115" s="17"/>
      </tp>
      <tp>
        <v>0</v>
        <stp/>
        <stp>102039511 4</stp>
        <tr r="K46" s="17"/>
      </tp>
      <tp>
        <v>30</v>
        <stp/>
        <stp>102039561 4</stp>
        <tr r="K62" s="17"/>
      </tp>
      <tp>
        <v>165015</v>
        <stp/>
        <stp>102039761 6</stp>
        <tr r="M130" s="17"/>
      </tp>
      <tp>
        <v>40</v>
        <stp/>
        <stp>102039571 4</stp>
        <tr r="K64" s="17"/>
      </tp>
      <tp>
        <v>140</v>
        <stp/>
        <stp>102039671 7</stp>
        <tr r="L92" s="17"/>
      </tp>
      <tp>
        <v>35</v>
        <stp/>
        <stp>102039771 6</stp>
        <tr r="M135" s="17"/>
      </tp>
      <tp>
        <v>130130</v>
        <stp/>
        <stp>102039741 6</stp>
        <tr r="M124" s="17"/>
      </tp>
      <tp>
        <v>0</v>
        <stp/>
        <stp>102039551 4</stp>
        <tr r="K56" s="17"/>
      </tp>
      <tp>
        <v>285075</v>
        <stp/>
        <stp>102039821 6</stp>
        <tr r="M154" s="17"/>
      </tp>
      <tp>
        <v>25</v>
        <stp/>
        <stp>102039811 6</stp>
        <tr r="M151" s="17"/>
      </tp>
      <tp>
        <v>427</v>
        <stp/>
        <stp>102039671 8</stp>
        <tr r="N92" s="17"/>
      </tp>
      <tp>
        <v>335080</v>
        <stp/>
        <stp>102039851 6</stp>
        <tr r="M164" s="17"/>
      </tp>
      <tp>
        <v>0</v>
        <stp/>
        <stp>102039781 8</stp>
        <tr r="N140" s="17"/>
      </tp>
      <tp>
        <v>0</v>
        <stp/>
        <stp>102039791 8</stp>
        <tr r="N144" s="17"/>
      </tp>
      <tp>
        <v>52247</v>
        <stp/>
        <stp>102039721 8</stp>
        <tr r="N110" s="17"/>
      </tp>
      <tp>
        <v>100</v>
        <stp/>
        <stp>102039821 7</stp>
        <tr r="L154" s="17"/>
      </tp>
      <tp>
        <v>48</v>
        <stp/>
        <stp>102039731 8</stp>
        <tr r="N115" s="17"/>
      </tp>
      <tp>
        <v>100</v>
        <stp/>
        <stp>102039811 7</stp>
        <tr r="L151" s="17"/>
      </tp>
      <tp>
        <v>0</v>
        <stp/>
        <stp>102039761 8</stp>
        <tr r="N130" s="17"/>
      </tp>
      <tp>
        <v>0</v>
        <stp/>
        <stp>102039771 8</stp>
        <tr r="N135" s="17"/>
      </tp>
      <tp>
        <v>0</v>
        <stp/>
        <stp>102039741 8</stp>
        <tr r="N124" s="17"/>
      </tp>
      <tp>
        <v>500</v>
        <stp/>
        <stp>102039851 7</stp>
        <tr r="L164" s="17"/>
      </tp>
      <tp>
        <v>272205</v>
        <stp/>
        <stp>102039821 4</stp>
        <tr r="K154" s="17"/>
      </tp>
      <tp>
        <v>0</v>
        <stp/>
        <stp>102039811 4</stp>
        <tr r="K151" s="17"/>
      </tp>
      <tp>
        <v>322210</v>
        <stp/>
        <stp>102039851 4</stp>
        <tr r="K164" s="17"/>
      </tp>
      <tp>
        <v>100</v>
        <stp/>
        <stp>102039821 5</stp>
        <tr r="J154" s="17"/>
      </tp>
      <tp>
        <v>5</v>
        <stp/>
        <stp>102039511 8</stp>
        <tr r="N46" s="17"/>
      </tp>
      <tp>
        <v>0</v>
        <stp/>
        <stp>102039811 5</stp>
        <tr r="J151" s="17"/>
      </tp>
      <tp>
        <v>38</v>
        <stp/>
        <stp>102039561 8</stp>
        <tr r="N62" s="17"/>
      </tp>
      <tp>
        <v>37</v>
        <stp/>
        <stp>102039571 8</stp>
        <tr r="N64" s="17"/>
      </tp>
      <tp>
        <v>32</v>
        <stp/>
        <stp>102039551 8</stp>
        <tr r="N56" s="17"/>
      </tp>
      <tp>
        <v>100</v>
        <stp/>
        <stp>102039851 5</stp>
        <tr r="J164" s="17"/>
      </tp>
      <tp>
        <v>0</v>
        <stp/>
        <stp>102040997 8</stp>
        <tr r="N173" s="17"/>
      </tp>
      <tp>
        <v>120</v>
        <stp/>
        <stp>102040997 7</stp>
        <tr r="L173" s="17"/>
      </tp>
      <tp>
        <v>45</v>
        <stp/>
        <stp>102040997 6</stp>
        <tr r="M173" s="17"/>
      </tp>
      <tp>
        <v>0</v>
        <stp/>
        <stp>102040997 5</stp>
        <tr r="J173" s="17"/>
      </tp>
      <tp>
        <v>0</v>
        <stp/>
        <stp>102040997 4</stp>
        <tr r="K173" s="17"/>
      </tp>
      <tp>
        <v>5</v>
        <stp/>
        <stp>102041287 4</stp>
        <tr r="K175" s="17"/>
      </tp>
      <tp>
        <v>2260</v>
        <stp/>
        <stp>102041287 5</stp>
        <tr r="J175" s="17"/>
      </tp>
      <tp>
        <v>15</v>
        <stp/>
        <stp>102041287 6</stp>
        <tr r="M175" s="17"/>
      </tp>
      <tp>
        <v>160</v>
        <stp/>
        <stp>102041287 7</stp>
        <tr r="L175" s="17"/>
      </tp>
      <tp>
        <v>21</v>
        <stp/>
        <stp>102041287 8</stp>
        <tr r="N175" s="17"/>
      </tp>
      <tp>
        <v>434805</v>
        <stp/>
        <stp>102036230 4</stp>
        <tr r="K6" s="17"/>
        <tr r="K9" s="17"/>
      </tp>
      <tp>
        <v>404805</v>
        <stp/>
        <stp>102036240 4</stp>
        <tr r="K15" s="17"/>
      </tp>
      <tp>
        <v>100</v>
        <stp/>
        <stp>102036230 5</stp>
        <tr r="J6" s="17"/>
        <tr r="J9" s="17"/>
      </tp>
      <tp>
        <v>100</v>
        <stp/>
        <stp>102036240 5</stp>
        <tr r="J15" s="17"/>
      </tp>
      <tp>
        <v>446345</v>
        <stp/>
        <stp>102036230 6</stp>
        <tr r="M6" s="17"/>
        <tr r="M9" s="17"/>
      </tp>
      <tp>
        <v>416345</v>
        <stp/>
        <stp>102036240 6</stp>
        <tr r="M15" s="17"/>
      </tp>
      <tp>
        <v>100</v>
        <stp/>
        <stp>102036230 7</stp>
        <tr r="L9" s="17"/>
        <tr r="L6" s="17"/>
      </tp>
      <tp>
        <v>100</v>
        <stp/>
        <stp>102036240 7</stp>
        <tr r="L15" s="17"/>
      </tp>
      <tp>
        <v>0</v>
        <stp/>
        <stp>102036230 8</stp>
        <tr r="N6" s="17"/>
        <tr r="N9" s="17"/>
      </tp>
      <tp>
        <v>0</v>
        <stp/>
        <stp>102036240 8</stp>
        <tr r="N15" s="17"/>
      </tp>
      <tp>
        <v>0</v>
        <stp/>
        <stp>102039790 5</stp>
        <tr r="J143" s="17"/>
      </tp>
      <tp>
        <v>398940</v>
        <stp/>
        <stp>102039720 5</stp>
        <tr r="J109" s="17"/>
      </tp>
      <tp>
        <v>20</v>
        <stp/>
        <stp>102039530 7</stp>
        <tr r="L51" s="17"/>
      </tp>
      <tp>
        <v>100</v>
        <stp/>
        <stp>102039510 7</stp>
        <tr r="L45" s="17"/>
      </tp>
      <tp>
        <v>20</v>
        <stp/>
        <stp>102039560 7</stp>
        <tr r="L61" s="17"/>
      </tp>
      <tp>
        <v>1500</v>
        <stp/>
        <stp>102039760 5</stp>
        <tr r="J129" s="17"/>
      </tp>
      <tp>
        <v>100</v>
        <stp/>
        <stp>102039570 7</stp>
        <tr r="L63" s="17"/>
      </tp>
      <tp>
        <v>31285</v>
        <stp/>
        <stp>102039670 4</stp>
        <tr r="K91" s="17"/>
      </tp>
      <tp>
        <v>1440</v>
        <stp/>
        <stp>102039740 5</stp>
        <tr r="J123" s="17"/>
      </tp>
      <tp>
        <v>100</v>
        <stp/>
        <stp>102039550 7</stp>
        <tr r="L55" s="17"/>
      </tp>
      <tp>
        <v>0</v>
        <stp/>
        <stp>102039790 4</stp>
        <tr r="K143" s="17"/>
      </tp>
      <tp>
        <v>90</v>
        <stp/>
        <stp>102039720 4</stp>
        <tr r="K109" s="17"/>
      </tp>
      <tp>
        <v>233800</v>
        <stp/>
        <stp>102039530 6</stp>
        <tr r="M51" s="17"/>
      </tp>
      <tp>
        <v>266345</v>
        <stp/>
        <stp>102039510 6</stp>
        <tr r="M45" s="17"/>
      </tp>
      <tp>
        <v>181940</v>
        <stp/>
        <stp>102039560 6</stp>
        <tr r="M61" s="17"/>
      </tp>
      <tp>
        <v>10</v>
        <stp/>
        <stp>102039760 4</stp>
        <tr r="K129" s="17"/>
      </tp>
      <tp>
        <v>176345</v>
        <stp/>
        <stp>102039570 6</stp>
        <tr r="M63" s="17"/>
      </tp>
      <tp>
        <v>80</v>
        <stp/>
        <stp>102039670 5</stp>
        <tr r="J91" s="17"/>
      </tp>
      <tp>
        <v>30</v>
        <stp/>
        <stp>102039740 4</stp>
        <tr r="K123" s="17"/>
      </tp>
      <tp>
        <v>216345</v>
        <stp/>
        <stp>102039550 6</stp>
        <tr r="M55" s="17"/>
      </tp>
      <tp>
        <v>20</v>
        <stp/>
        <stp>102039790 7</stp>
        <tr r="L143" s="17"/>
      </tp>
      <tp>
        <v>21080</v>
        <stp/>
        <stp>102039720 7</stp>
        <tr r="L109" s="17"/>
      </tp>
      <tp>
        <v>0</v>
        <stp/>
        <stp>102039820 8</stp>
        <tr r="N153" s="17"/>
      </tp>
      <tp>
        <v>80</v>
        <stp/>
        <stp>102039530 5</stp>
        <tr r="J51" s="17"/>
      </tp>
      <tp>
        <v>100</v>
        <stp/>
        <stp>102039510 5</stp>
        <tr r="J45" s="17"/>
      </tp>
      <tp>
        <v>160</v>
        <stp/>
        <stp>102039560 5</stp>
        <tr r="J61" s="17"/>
      </tp>
      <tp>
        <v>300</v>
        <stp/>
        <stp>102039760 7</stp>
        <tr r="L129" s="17"/>
      </tp>
      <tp>
        <v>500</v>
        <stp/>
        <stp>102039570 5</stp>
        <tr r="J63" s="17"/>
      </tp>
      <tp>
        <v>31480</v>
        <stp/>
        <stp>102039670 6</stp>
        <tr r="M91" s="17"/>
      </tp>
      <tp>
        <v>400</v>
        <stp/>
        <stp>102039740 7</stp>
        <tr r="L123" s="17"/>
      </tp>
      <tp>
        <v>100</v>
        <stp/>
        <stp>102039550 5</stp>
        <tr r="J55" s="17"/>
      </tp>
      <tp>
        <v>30</v>
        <stp/>
        <stp>102039850 8</stp>
        <tr r="N163" s="17"/>
      </tp>
      <tp>
        <v>50</v>
        <stp/>
        <stp>102039790 6</stp>
        <tr r="M143" s="17"/>
      </tp>
      <tp>
        <v>95</v>
        <stp/>
        <stp>102039720 6</stp>
        <tr r="M109" s="17"/>
      </tp>
      <tp>
        <v>226755</v>
        <stp/>
        <stp>102039530 4</stp>
        <tr r="K51" s="17"/>
      </tp>
      <tp>
        <v>254805</v>
        <stp/>
        <stp>102039510 4</stp>
        <tr r="K45" s="17"/>
      </tp>
      <tp>
        <v>179990</v>
        <stp/>
        <stp>102039560 4</stp>
        <tr r="K61" s="17"/>
      </tp>
      <tp>
        <v>15</v>
        <stp/>
        <stp>102039760 6</stp>
        <tr r="M129" s="17"/>
      </tp>
      <tp>
        <v>165805</v>
        <stp/>
        <stp>102039570 4</stp>
        <tr r="K63" s="17"/>
      </tp>
      <tp>
        <v>60</v>
        <stp/>
        <stp>102039670 7</stp>
        <tr r="L91" s="17"/>
      </tp>
      <tp>
        <v>35</v>
        <stp/>
        <stp>102039740 6</stp>
        <tr r="M123" s="17"/>
      </tp>
      <tp>
        <v>204810</v>
        <stp/>
        <stp>102039550 4</stp>
        <tr r="K55" s="17"/>
      </tp>
      <tp>
        <v>50</v>
        <stp/>
        <stp>102039820 6</stp>
        <tr r="M153" s="17"/>
      </tp>
      <tp>
        <v>35332</v>
        <stp/>
        <stp>102039670 8</stp>
        <tr r="N91" s="17"/>
      </tp>
      <tp>
        <v>50</v>
        <stp/>
        <stp>102039850 6</stp>
        <tr r="M163" s="17"/>
      </tp>
      <tp>
        <v>0</v>
        <stp/>
        <stp>102039790 8</stp>
        <tr r="N143" s="17"/>
      </tp>
      <tp>
        <v>104</v>
        <stp/>
        <stp>102039720 8</stp>
        <tr r="N109" s="17"/>
      </tp>
      <tp>
        <v>20</v>
        <stp/>
        <stp>102039820 7</stp>
        <tr r="L153" s="17"/>
      </tp>
      <tp>
        <v>8</v>
        <stp/>
        <stp>102039760 8</stp>
        <tr r="N129" s="17"/>
      </tp>
      <tp>
        <v>32</v>
        <stp/>
        <stp>102039740 8</stp>
        <tr r="N123" s="17"/>
      </tp>
      <tp>
        <v>20</v>
        <stp/>
        <stp>102039850 7</stp>
        <tr r="L163" s="17"/>
      </tp>
      <tp>
        <v>0</v>
        <stp/>
        <stp>102039820 4</stp>
        <tr r="K153" s="17"/>
      </tp>
      <tp>
        <v>10</v>
        <stp/>
        <stp>102039850 4</stp>
        <tr r="K163" s="17"/>
      </tp>
      <tp>
        <v>0</v>
        <stp/>
        <stp>102039820 5</stp>
        <tr r="J153" s="17"/>
      </tp>
      <tp>
        <v>0</v>
        <stp/>
        <stp>102039530 8</stp>
        <tr r="N51" s="17"/>
      </tp>
      <tp>
        <v>0</v>
        <stp/>
        <stp>102039510 8</stp>
        <tr r="N45" s="17"/>
      </tp>
      <tp>
        <v>187995</v>
        <stp/>
        <stp>102039560 8</stp>
        <tr r="N61" s="17"/>
      </tp>
      <tp>
        <v>0</v>
        <stp/>
        <stp>102039570 8</stp>
        <tr r="N63" s="17"/>
      </tp>
      <tp>
        <v>0</v>
        <stp/>
        <stp>102039550 8</stp>
        <tr r="N55" s="17"/>
      </tp>
      <tp>
        <v>20</v>
        <stp/>
        <stp>102039850 5</stp>
        <tr r="J163" s="17"/>
      </tp>
      <tp>
        <v>0</v>
        <stp/>
        <stp>102036233 4</stp>
        <tr r="K12" s="17"/>
      </tp>
      <tp>
        <v>5</v>
        <stp/>
        <stp>102036243 4</stp>
        <tr r="K18" s="17"/>
      </tp>
      <tp>
        <v>0</v>
        <stp/>
        <stp>102036233 5</stp>
        <tr r="J12" s="17"/>
      </tp>
      <tp>
        <v>20</v>
        <stp/>
        <stp>102036243 5</stp>
        <tr r="J18" s="17"/>
      </tp>
      <tp>
        <v>60</v>
        <stp/>
        <stp>102036233 6</stp>
        <tr r="M12" s="17"/>
      </tp>
      <tp>
        <v>50</v>
        <stp/>
        <stp>102036243 6</stp>
        <tr r="M18" s="17"/>
      </tp>
      <tp>
        <v>500</v>
        <stp/>
        <stp>102036233 7</stp>
        <tr r="L12" s="17"/>
      </tp>
      <tp>
        <v>20</v>
        <stp/>
        <stp>102036243 7</stp>
        <tr r="L18" s="17"/>
      </tp>
      <tp>
        <v>0</v>
        <stp/>
        <stp>102036233 8</stp>
        <tr r="N12" s="17"/>
      </tp>
      <tp>
        <v>0</v>
        <stp/>
        <stp>102036243 8</stp>
        <tr r="N18" s="17"/>
      </tp>
      <tp>
        <v>20</v>
        <stp/>
        <stp>102039583 7</stp>
        <tr r="L68" s="17"/>
      </tp>
      <tp>
        <v>0</v>
        <stp/>
        <stp>102039783 5</stp>
        <tr r="J36" s="17"/>
      </tp>
      <tp>
        <v>1240</v>
        <stp/>
        <stp>102039593 7</stp>
        <tr r="L74" s="17"/>
      </tp>
      <tp>
        <v>100</v>
        <stp/>
        <stp>102039533 7</stp>
        <tr r="L53" s="17"/>
      </tp>
      <tp>
        <v>1080</v>
        <stp/>
        <stp>102039733 5</stp>
        <tr r="J116" s="17"/>
      </tp>
      <tp>
        <v>105</v>
        <stp/>
        <stp>102039663 4</stp>
        <tr r="K88" s="17"/>
      </tp>
      <tp>
        <v>20</v>
        <stp/>
        <stp>102039763 5</stp>
        <tr r="J132" s="17"/>
      </tp>
      <tp>
        <v>1070</v>
        <stp/>
        <stp>102039673 4</stp>
        <tr r="K94" s="17"/>
      </tp>
      <tp>
        <v>20</v>
        <stp/>
        <stp>102039773 5</stp>
        <tr r="J136" s="17"/>
      </tp>
      <tp>
        <v>70</v>
        <stp/>
        <stp>102039643 4</stp>
        <tr r="K86" s="17"/>
      </tp>
      <tp>
        <v>100</v>
        <stp/>
        <stp>102039553 7</stp>
        <tr r="L57" s="17"/>
      </tp>
      <tp>
        <v>35</v>
        <stp/>
        <stp>102039583 6</stp>
        <tr r="M68" s="17"/>
      </tp>
      <tp>
        <v>0</v>
        <stp/>
        <stp>102039783 4</stp>
        <tr r="K36" s="17"/>
      </tp>
      <tp>
        <v>55</v>
        <stp/>
        <stp>102039593 6</stp>
        <tr r="M74" s="17"/>
      </tp>
      <tp>
        <v>226345</v>
        <stp/>
        <stp>102039533 6</stp>
        <tr r="M53" s="17"/>
      </tp>
      <tp>
        <v>88040</v>
        <stp/>
        <stp>102039733 4</stp>
        <tr r="K116" s="17"/>
      </tp>
      <tp>
        <v>1960</v>
        <stp/>
        <stp>102039663 5</stp>
        <tr r="J88" s="17"/>
      </tp>
      <tp>
        <v>167495</v>
        <stp/>
        <stp>102039763 4</stp>
        <tr r="K132" s="17"/>
      </tp>
      <tp>
        <v>240</v>
        <stp/>
        <stp>102039673 5</stp>
        <tr r="J94" s="17"/>
      </tp>
      <tp>
        <v>187310</v>
        <stp/>
        <stp>102039773 4</stp>
        <tr r="K136" s="17"/>
      </tp>
      <tp>
        <v>1360</v>
        <stp/>
        <stp>102039643 5</stp>
        <tr r="J86" s="17"/>
      </tp>
      <tp>
        <v>206345</v>
        <stp/>
        <stp>102039553 6</stp>
        <tr r="M57" s="17"/>
      </tp>
      <tp>
        <v>540</v>
        <stp/>
        <stp>102039583 5</stp>
        <tr r="J68" s="17"/>
      </tp>
      <tp>
        <v>20</v>
        <stp/>
        <stp>102039783 7</stp>
        <tr r="L36" s="17"/>
      </tp>
      <tp>
        <v>700</v>
        <stp/>
        <stp>102039593 5</stp>
        <tr r="J74" s="17"/>
      </tp>
      <tp>
        <v>100</v>
        <stp/>
        <stp>102039533 5</stp>
        <tr r="J53" s="17"/>
      </tp>
      <tp>
        <v>1080</v>
        <stp/>
        <stp>102039733 7</stp>
        <tr r="L116" s="17"/>
      </tp>
      <tp>
        <v>0</v>
        <stp/>
        <stp>102039803 8</stp>
        <tr r="N147" s="17"/>
      </tp>
      <tp>
        <v>110</v>
        <stp/>
        <stp>102039663 6</stp>
        <tr r="M88" s="17"/>
      </tp>
      <tp>
        <v>40</v>
        <stp/>
        <stp>102039763 7</stp>
        <tr r="L132" s="17"/>
      </tp>
      <tp>
        <v>1075</v>
        <stp/>
        <stp>102039673 6</stp>
        <tr r="M94" s="17"/>
      </tp>
      <tp>
        <v>20</v>
        <stp/>
        <stp>102039773 7</stp>
        <tr r="L136" s="17"/>
      </tp>
      <tp>
        <v>75</v>
        <stp/>
        <stp>102039643 6</stp>
        <tr r="M86" s="17"/>
      </tp>
      <tp>
        <v>100</v>
        <stp/>
        <stp>102039553 5</stp>
        <tr r="J57" s="17"/>
      </tp>
      <tp>
        <v>25</v>
        <stp/>
        <stp>102039583 4</stp>
        <tr r="K68" s="17"/>
      </tp>
      <tp>
        <v>50</v>
        <stp/>
        <stp>102039783 6</stp>
        <tr r="M36" s="17"/>
      </tp>
      <tp>
        <v>45</v>
        <stp/>
        <stp>102039593 4</stp>
        <tr r="K74" s="17"/>
      </tp>
      <tp>
        <v>214805</v>
        <stp/>
        <stp>102039533 4</stp>
        <tr r="K53" s="17"/>
      </tp>
      <tp>
        <v>90140</v>
        <stp/>
        <stp>102039733 6</stp>
        <tr r="M116" s="17"/>
      </tp>
      <tp>
        <v>720</v>
        <stp/>
        <stp>102039663 7</stp>
        <tr r="L88" s="17"/>
      </tp>
      <tp>
        <v>170110</v>
        <stp/>
        <stp>102039763 6</stp>
        <tr r="M132" s="17"/>
      </tp>
      <tp>
        <v>80</v>
        <stp/>
        <stp>102039673 7</stp>
        <tr r="L94" s="17"/>
      </tp>
      <tp>
        <v>193245</v>
        <stp/>
        <stp>102039773 6</stp>
        <tr r="M136" s="17"/>
      </tp>
      <tp>
        <v>4700</v>
        <stp/>
        <stp>102039643 7</stp>
        <tr r="L86" s="17"/>
      </tp>
      <tp>
        <v>194805</v>
        <stp/>
        <stp>102039553 4</stp>
        <tr r="K57" s="17"/>
      </tp>
      <tp>
        <v>50</v>
        <stp/>
        <stp>102039803 6</stp>
        <tr r="M147" s="17"/>
      </tp>
      <tp>
        <v>123</v>
        <stp/>
        <stp>102039663 8</stp>
        <tr r="N88" s="17"/>
      </tp>
      <tp>
        <v>944</v>
        <stp/>
        <stp>102039673 8</stp>
        <tr r="N94" s="17"/>
      </tp>
      <tp>
        <v>88</v>
        <stp/>
        <stp>102039643 8</stp>
        <tr r="N86" s="17"/>
      </tp>
      <tp>
        <v>0</v>
        <stp/>
        <stp>102039783 8</stp>
        <tr r="N36" s="17"/>
      </tp>
      <tp>
        <v>85431</v>
        <stp/>
        <stp>102039733 8</stp>
        <tr r="N116" s="17"/>
      </tp>
      <tp>
        <v>20</v>
        <stp/>
        <stp>102039803 7</stp>
        <tr r="L147" s="17"/>
      </tp>
      <tp>
        <v>159025</v>
        <stp/>
        <stp>102039763 8</stp>
        <tr r="N132" s="17"/>
      </tp>
      <tp>
        <v>0</v>
        <stp/>
        <stp>102039773 8</stp>
        <tr r="N136" s="17"/>
      </tp>
      <tp>
        <v>0</v>
        <stp/>
        <stp>102039803 4</stp>
        <tr r="K147" s="17"/>
      </tp>
      <tp>
        <v>27</v>
        <stp/>
        <stp>102039583 8</stp>
        <tr r="N68" s="17"/>
      </tp>
      <tp>
        <v>45</v>
        <stp/>
        <stp>102039593 8</stp>
        <tr r="N74" s="17"/>
      </tp>
      <tp>
        <v>0</v>
        <stp/>
        <stp>102039533 8</stp>
        <tr r="N53" s="17"/>
      </tp>
      <tp>
        <v>0</v>
        <stp/>
        <stp>102039803 5</stp>
        <tr r="J147" s="17"/>
      </tp>
      <tp>
        <v>0</v>
        <stp/>
        <stp>102039553 8</stp>
        <tr r="N57" s="17"/>
      </tp>
      <tp t="e">
        <v>#N/A</v>
        <stp/>
        <stp>S NSEFO 233.1.2.5 6790 0</stp>
        <tr r="E11" s="3"/>
      </tp>
      <tp>
        <v>424805</v>
        <stp/>
        <stp>102036232 4</stp>
        <tr r="K11" s="17"/>
      </tp>
      <tp>
        <v>394805</v>
        <stp/>
        <stp>102036242 4</stp>
        <tr r="K17" s="17"/>
      </tp>
      <tp>
        <v>100</v>
        <stp/>
        <stp>102036232 5</stp>
        <tr r="J11" s="17"/>
      </tp>
      <tp>
        <v>100</v>
        <stp/>
        <stp>102036242 5</stp>
        <tr r="J17" s="17"/>
      </tp>
      <tp>
        <v>436345</v>
        <stp/>
        <stp>102036232 6</stp>
        <tr r="M11" s="17"/>
      </tp>
      <tp>
        <v>406345</v>
        <stp/>
        <stp>102036242 6</stp>
        <tr r="M17" s="17"/>
      </tp>
      <tp>
        <v>100</v>
        <stp/>
        <stp>102036232 7</stp>
        <tr r="L11" s="17"/>
      </tp>
      <tp>
        <v>100</v>
        <stp/>
        <stp>102036242 7</stp>
        <tr r="L17" s="17"/>
      </tp>
      <tp>
        <v>100</v>
        <stp/>
        <stp>102056784 5</stp>
        <tr r="J23" s="17"/>
      </tp>
      <tp>
        <v>364805</v>
        <stp/>
        <stp>102056784 4</stp>
        <tr r="K23" s="17"/>
      </tp>
      <tp>
        <v>100</v>
        <stp/>
        <stp>102056784 7</stp>
        <tr r="L23" s="17"/>
      </tp>
      <tp>
        <v>376345</v>
        <stp/>
        <stp>102056784 6</stp>
        <tr r="M23" s="17"/>
      </tp>
      <tp>
        <v>0</v>
        <stp/>
        <stp>102056784 8</stp>
        <tr r="N23" s="17"/>
      </tp>
      <tp>
        <v>0</v>
        <stp/>
        <stp>102036232 8</stp>
        <tr r="N11" s="17"/>
      </tp>
      <tp>
        <v>0</v>
        <stp/>
        <stp>102036242 8</stp>
        <tr r="N17" s="17"/>
      </tp>
      <tp>
        <v>40</v>
        <stp/>
        <stp>102039582 7</stp>
        <tr r="L67" s="17"/>
      </tp>
      <tp>
        <v>100</v>
        <stp/>
        <stp>102039782 5</stp>
        <tr r="J35" s="17"/>
      </tp>
      <tp>
        <v>60</v>
        <stp/>
        <stp>102039592 7</stp>
        <tr r="L73" s="17"/>
      </tp>
      <tp>
        <v>900</v>
        <stp/>
        <stp>102039532 7</stp>
        <tr r="L52" s="17"/>
      </tp>
      <tp>
        <v>80810</v>
        <stp/>
        <stp>102039632 4</stp>
        <tr r="K81" s="17"/>
      </tp>
      <tp>
        <v>50860</v>
        <stp/>
        <stp>102039662 4</stp>
        <tr r="K87" s="17"/>
      </tp>
      <tp>
        <v>20</v>
        <stp/>
        <stp>102039762 5</stp>
        <tr r="J131" s="17"/>
      </tp>
      <tp>
        <v>20</v>
        <stp/>
        <stp>102039572 7</stp>
        <tr r="L65" s="17"/>
      </tp>
      <tp>
        <v>21950</v>
        <stp/>
        <stp>102039672 4</stp>
        <tr r="K93" s="17"/>
      </tp>
      <tp>
        <v>151850</v>
        <stp/>
        <stp>102039582 6</stp>
        <tr r="M67" s="17"/>
      </tp>
      <tp>
        <v>304805</v>
        <stp/>
        <stp>102039782 4</stp>
        <tr r="K35" s="17"/>
      </tp>
      <tp>
        <v>122640</v>
        <stp/>
        <stp>102039592 6</stp>
        <tr r="M73" s="17"/>
      </tp>
      <tp>
        <v>30</v>
        <stp/>
        <stp>102039532 6</stp>
        <tr r="M52" s="17"/>
      </tp>
      <tp>
        <v>160</v>
        <stp/>
        <stp>102039632 5</stp>
        <tr r="J81" s="17"/>
      </tp>
      <tp>
        <v>80</v>
        <stp/>
        <stp>102039662 5</stp>
        <tr r="J87" s="17"/>
      </tp>
      <tp>
        <v>10</v>
        <stp/>
        <stp>102039762 4</stp>
        <tr r="K131" s="17"/>
      </tp>
      <tp>
        <v>162625</v>
        <stp/>
        <stp>102039572 6</stp>
        <tr r="M65" s="17"/>
      </tp>
      <tp>
        <v>20</v>
        <stp/>
        <stp>102039672 5</stp>
        <tr r="J93" s="17"/>
      </tp>
      <tp>
        <v>300</v>
        <stp/>
        <stp>102039582 5</stp>
        <tr r="J67" s="17"/>
      </tp>
      <tp>
        <v>100</v>
        <stp/>
        <stp>102039782 7</stp>
        <tr r="L35" s="17"/>
      </tp>
      <tp>
        <v>140</v>
        <stp/>
        <stp>102039592 5</stp>
        <tr r="J73" s="17"/>
      </tp>
      <tp>
        <v>1340</v>
        <stp/>
        <stp>102039532 5</stp>
        <tr r="J52" s="17"/>
      </tp>
      <tp>
        <v>81290</v>
        <stp/>
        <stp>102039632 6</stp>
        <tr r="M81" s="17"/>
      </tp>
      <tp>
        <v>0</v>
        <stp/>
        <stp>102039812 8</stp>
        <tr r="N152" s="17"/>
      </tp>
      <tp>
        <v>51200</v>
        <stp/>
        <stp>102039662 6</stp>
        <tr r="M87" s="17"/>
      </tp>
      <tp>
        <v>1500</v>
        <stp/>
        <stp>102039762 7</stp>
        <tr r="L131" s="17"/>
      </tp>
      <tp>
        <v>200</v>
        <stp/>
        <stp>102039572 5</stp>
        <tr r="J65" s="17"/>
      </tp>
      <tp>
        <v>22090</v>
        <stp/>
        <stp>102039672 6</stp>
        <tr r="M93" s="17"/>
      </tp>
      <tp>
        <v>149940</v>
        <stp/>
        <stp>102039582 4</stp>
        <tr r="K67" s="17"/>
      </tp>
      <tp>
        <v>316345</v>
        <stp/>
        <stp>102039782 6</stp>
        <tr r="M35" s="17"/>
      </tp>
      <tp>
        <v>119995</v>
        <stp/>
        <stp>102039592 4</stp>
        <tr r="K73" s="17"/>
      </tp>
      <tp>
        <v>20</v>
        <stp/>
        <stp>102039532 4</stp>
        <tr r="K52" s="17"/>
      </tp>
      <tp>
        <v>20</v>
        <stp/>
        <stp>102039632 7</stp>
        <tr r="L81" s="17"/>
      </tp>
      <tp>
        <v>40</v>
        <stp/>
        <stp>102039662 7</stp>
        <tr r="L87" s="17"/>
      </tp>
      <tp>
        <v>15</v>
        <stp/>
        <stp>102039762 6</stp>
        <tr r="M131" s="17"/>
      </tp>
      <tp>
        <v>159710</v>
        <stp/>
        <stp>102039572 4</stp>
        <tr r="K65" s="17"/>
      </tp>
      <tp>
        <v>20</v>
        <stp/>
        <stp>102039672 7</stp>
        <tr r="L93" s="17"/>
      </tp>
      <tp>
        <v>87649</v>
        <stp/>
        <stp>102039632 8</stp>
        <tr r="N81" s="17"/>
      </tp>
      <tp>
        <v>275075</v>
        <stp/>
        <stp>102039812 6</stp>
        <tr r="M152" s="17"/>
      </tp>
      <tp>
        <v>54192</v>
        <stp/>
        <stp>102039662 8</stp>
        <tr r="N87" s="17"/>
      </tp>
      <tp>
        <v>24437</v>
        <stp/>
        <stp>102039672 8</stp>
        <tr r="N93" s="17"/>
      </tp>
      <tp>
        <v>0</v>
        <stp/>
        <stp>102039782 8</stp>
        <tr r="N35" s="17"/>
      </tp>
      <tp>
        <v>100</v>
        <stp/>
        <stp>102039812 7</stp>
        <tr r="L152" s="17"/>
      </tp>
      <tp>
        <v>9</v>
        <stp/>
        <stp>102039762 8</stp>
        <tr r="N131" s="17"/>
      </tp>
      <tp>
        <v>262205</v>
        <stp/>
        <stp>102039812 4</stp>
        <tr r="K152" s="17"/>
      </tp>
      <tp>
        <v>161501</v>
        <stp/>
        <stp>102039582 8</stp>
        <tr r="N67" s="17"/>
      </tp>
      <tp>
        <v>127969</v>
        <stp/>
        <stp>102039592 8</stp>
        <tr r="N73" s="17"/>
      </tp>
      <tp>
        <v>25</v>
        <stp/>
        <stp>102039532 8</stp>
        <tr r="N52" s="17"/>
      </tp>
      <tp>
        <v>100</v>
        <stp/>
        <stp>102039812 5</stp>
        <tr r="J152" s="17"/>
      </tp>
      <tp>
        <v>0</v>
        <stp/>
        <stp>102039572 8</stp>
        <tr r="N65" s="17"/>
      </tp>
      <tp t="e">
        <v>#N/A</v>
        <stp/>
        <stp>S BSECD 235.1.2.5 5012 1</stp>
        <tr r="E16" s="3"/>
      </tp>
      <tp>
        <v>326345</v>
        <stp/>
        <stp>102042442 6</stp>
        <tr r="M33" s="17"/>
      </tp>
      <tp>
        <v>100</v>
        <stp/>
        <stp>102042442 7</stp>
        <tr r="L33" s="17"/>
      </tp>
      <tp>
        <v>314805</v>
        <stp/>
        <stp>102042442 4</stp>
        <tr r="K33" s="17"/>
      </tp>
      <tp>
        <v>100</v>
        <stp/>
        <stp>102042442 5</stp>
        <tr r="J33" s="17"/>
      </tp>
      <tp>
        <v>0</v>
        <stp/>
        <stp>102042442 8</stp>
        <tr r="N33" s="17"/>
      </tp>
      <tp>
        <v>5</v>
        <stp/>
        <stp>102036225 4</stp>
        <tr r="K5" s="17"/>
        <tr r="K8" s="17"/>
      </tp>
      <tp>
        <v>0</v>
        <stp/>
        <stp>102036255 4</stp>
        <tr r="K20" s="17"/>
      </tp>
      <tp>
        <v>500</v>
        <stp/>
        <stp>102036225 5</stp>
        <tr r="J5" s="17"/>
        <tr r="J8" s="17"/>
      </tp>
      <tp>
        <v>0</v>
        <stp/>
        <stp>102036255 5</stp>
        <tr r="J20" s="17"/>
      </tp>
      <tp>
        <v>20</v>
        <stp/>
        <stp>102036225 6</stp>
        <tr r="M8" s="17"/>
        <tr r="M5" s="17"/>
      </tp>
      <tp>
        <v>50</v>
        <stp/>
        <stp>102036255 6</stp>
        <tr r="M20" s="17"/>
      </tp>
      <tp>
        <v>120</v>
        <stp/>
        <stp>102036225 7</stp>
        <tr r="L8" s="17"/>
        <tr r="L5" s="17"/>
      </tp>
      <tp>
        <v>20</v>
        <stp/>
        <stp>102036255 7</stp>
        <tr r="L20" s="17"/>
      </tp>
      <tp>
        <v>27</v>
        <stp/>
        <stp>102036225 8</stp>
        <tr r="N8" s="17"/>
        <tr r="N5" s="17"/>
      </tp>
      <tp>
        <v>0</v>
        <stp/>
        <stp>102036255 8</stp>
        <tr r="N20" s="17"/>
      </tp>
      <tp>
        <v>20</v>
        <stp/>
        <stp>102039585 7</stp>
        <tr r="L70" s="17"/>
      </tp>
      <tp>
        <v>12525</v>
        <stp/>
        <stp>102039685 4</stp>
        <tr r="K100" s="17"/>
      </tp>
      <tp>
        <v>0</v>
        <stp/>
        <stp>102039785 5</stp>
        <tr r="J38" s="17"/>
      </tp>
      <tp>
        <v>60</v>
        <stp/>
        <stp>102039595 7</stp>
        <tr r="L76" s="17"/>
      </tp>
      <tp>
        <v>100</v>
        <stp/>
        <stp>102039795 5</stp>
        <tr r="J146" s="17"/>
      </tp>
      <tp>
        <v>900</v>
        <stp/>
        <stp>102039535 7</stp>
        <tr r="L54" s="17"/>
      </tp>
      <tp>
        <v>40</v>
        <stp/>
        <stp>102039635 4</stp>
        <tr r="K82" s="17"/>
      </tp>
      <tp>
        <v>1000</v>
        <stp/>
        <stp>102039735 5</stp>
        <tr r="J118" s="17"/>
      </tp>
      <tp>
        <v>20</v>
        <stp/>
        <stp>102039705 5</stp>
        <tr r="J104" s="17"/>
      </tp>
      <tp>
        <v>200</v>
        <stp/>
        <stp>102039665 4</stp>
        <tr r="K90" s="17"/>
      </tp>
      <tp>
        <v>2800</v>
        <stp/>
        <stp>102039675 4</stp>
        <tr r="K96" s="17"/>
      </tp>
      <tp>
        <v>20</v>
        <stp/>
        <stp>102039755 5</stp>
        <tr r="J126" s="17"/>
      </tp>
      <tp>
        <v>45</v>
        <stp/>
        <stp>102039585 6</stp>
        <tr r="M70" s="17"/>
      </tp>
      <tp>
        <v>20</v>
        <stp/>
        <stp>102039685 5</stp>
        <tr r="J100" s="17"/>
      </tp>
      <tp>
        <v>0</v>
        <stp/>
        <stp>102039785 4</stp>
        <tr r="K38" s="17"/>
      </tp>
      <tp>
        <v>50</v>
        <stp/>
        <stp>102039595 6</stp>
        <tr r="M76" s="17"/>
      </tp>
      <tp>
        <v>233190</v>
        <stp/>
        <stp>102039795 4</stp>
        <tr r="K146" s="17"/>
      </tp>
      <tp>
        <v>45</v>
        <stp/>
        <stp>102039535 6</stp>
        <tr r="M54" s="17"/>
      </tp>
      <tp>
        <v>1220</v>
        <stp/>
        <stp>102039635 5</stp>
        <tr r="J82" s="17"/>
      </tp>
      <tp>
        <v>98130</v>
        <stp/>
        <stp>102039735 4</stp>
        <tr r="K118" s="17"/>
      </tp>
      <tp>
        <v>29625</v>
        <stp/>
        <stp>102039705 4</stp>
        <tr r="K104" s="17"/>
      </tp>
      <tp>
        <v>720</v>
        <stp/>
        <stp>102039665 5</stp>
        <tr r="J90" s="17"/>
      </tp>
      <tp>
        <v>120</v>
        <stp/>
        <stp>102039675 5</stp>
        <tr r="J96" s="17"/>
      </tp>
      <tp>
        <v>137620</v>
        <stp/>
        <stp>102039755 4</stp>
        <tr r="K126" s="17"/>
      </tp>
      <tp>
        <v>120</v>
        <stp/>
        <stp>102039585 5</stp>
        <tr r="J70" s="17"/>
      </tp>
      <tp>
        <v>12590</v>
        <stp/>
        <stp>102039685 6</stp>
        <tr r="M100" s="17"/>
      </tp>
      <tp>
        <v>20</v>
        <stp/>
        <stp>102039785 7</stp>
        <tr r="L38" s="17"/>
      </tp>
      <tp>
        <v>1000</v>
        <stp/>
        <stp>102039595 5</stp>
        <tr r="J76" s="17"/>
      </tp>
      <tp>
        <v>100</v>
        <stp/>
        <stp>102039795 7</stp>
        <tr r="L146" s="17"/>
      </tp>
      <tp>
        <v>300</v>
        <stp/>
        <stp>102039535 5</stp>
        <tr r="J54" s="17"/>
      </tp>
      <tp>
        <v>45</v>
        <stp/>
        <stp>102039635 6</stp>
        <tr r="M82" s="17"/>
      </tp>
      <tp>
        <v>440</v>
        <stp/>
        <stp>102039735 7</stp>
        <tr r="L118" s="17"/>
      </tp>
      <tp>
        <v>20</v>
        <stp/>
        <stp>102039705 7</stp>
        <tr r="L104" s="17"/>
      </tp>
      <tp>
        <v>205</v>
        <stp/>
        <stp>102039665 6</stp>
        <tr r="M90" s="17"/>
      </tp>
      <tp>
        <v>2810</v>
        <stp/>
        <stp>102039675 6</stp>
        <tr r="M96" s="17"/>
      </tp>
      <tp>
        <v>80</v>
        <stp/>
        <stp>102039755 7</stp>
        <tr r="L126" s="17"/>
      </tp>
      <tp>
        <v>0</v>
        <stp/>
        <stp>102039855 8</stp>
        <tr r="N166" s="17"/>
      </tp>
      <tp>
        <v>40</v>
        <stp/>
        <stp>102039585 4</stp>
        <tr r="K70" s="17"/>
      </tp>
      <tp>
        <v>40</v>
        <stp/>
        <stp>102039685 7</stp>
        <tr r="L100" s="17"/>
      </tp>
      <tp>
        <v>50</v>
        <stp/>
        <stp>102039785 6</stp>
        <tr r="M38" s="17"/>
      </tp>
      <tp>
        <v>45</v>
        <stp/>
        <stp>102039595 4</stp>
        <tr r="K76" s="17"/>
      </tp>
      <tp>
        <v>245075</v>
        <stp/>
        <stp>102039795 6</stp>
        <tr r="M146" s="17"/>
      </tp>
      <tp>
        <v>10</v>
        <stp/>
        <stp>102039535 4</stp>
        <tr r="K54" s="17"/>
      </tp>
      <tp>
        <v>3160</v>
        <stp/>
        <stp>102039635 7</stp>
        <tr r="L82" s="17"/>
      </tp>
      <tp>
        <v>100075</v>
        <stp/>
        <stp>102039735 6</stp>
        <tr r="M118" s="17"/>
      </tp>
      <tp>
        <v>29735</v>
        <stp/>
        <stp>102039705 6</stp>
        <tr r="M104" s="17"/>
      </tp>
      <tp>
        <v>4100</v>
        <stp/>
        <stp>102039665 7</stp>
        <tr r="L90" s="17"/>
      </tp>
      <tp>
        <v>40</v>
        <stp/>
        <stp>102039675 7</stp>
        <tr r="L96" s="17"/>
      </tp>
      <tp>
        <v>140120</v>
        <stp/>
        <stp>102039755 6</stp>
        <tr r="M126" s="17"/>
      </tp>
      <tp>
        <v>9559</v>
        <stp/>
        <stp>102039685 8</stp>
        <tr r="N100" s="17"/>
      </tp>
      <tp>
        <v>53</v>
        <stp/>
        <stp>102039635 8</stp>
        <tr r="N82" s="17"/>
      </tp>
      <tp>
        <v>217</v>
        <stp/>
        <stp>102039665 8</stp>
        <tr r="N90" s="17"/>
      </tp>
      <tp>
        <v>2397</v>
        <stp/>
        <stp>102039675 8</stp>
        <tr r="N96" s="17"/>
      </tp>
      <tp>
        <v>345075</v>
        <stp/>
        <stp>102039855 6</stp>
        <tr r="M166" s="17"/>
      </tp>
      <tp>
        <v>0</v>
        <stp/>
        <stp>102039785 8</stp>
        <tr r="N38" s="17"/>
      </tp>
      <tp>
        <v>0</v>
        <stp/>
        <stp>102039795 8</stp>
        <tr r="N146" s="17"/>
      </tp>
      <tp>
        <v>88762</v>
        <stp/>
        <stp>102039735 8</stp>
        <tr r="N118" s="17"/>
      </tp>
      <tp>
        <v>23307</v>
        <stp/>
        <stp>102039705 8</stp>
        <tr r="N104" s="17"/>
      </tp>
      <tp>
        <v>0</v>
        <stp/>
        <stp>102039755 8</stp>
        <tr r="N126" s="17"/>
      </tp>
      <tp>
        <v>100</v>
        <stp/>
        <stp>102039855 7</stp>
        <tr r="L166" s="17"/>
      </tp>
      <tp>
        <v>332210</v>
        <stp/>
        <stp>102039855 4</stp>
        <tr r="K166" s="17"/>
      </tp>
      <tp>
        <v>43</v>
        <stp/>
        <stp>102039585 8</stp>
        <tr r="N70" s="17"/>
      </tp>
      <tp>
        <v>46</v>
        <stp/>
        <stp>102039595 8</stp>
        <tr r="N76" s="17"/>
      </tp>
      <tp>
        <v>32</v>
        <stp/>
        <stp>102039535 8</stp>
        <tr r="N54" s="17"/>
      </tp>
      <tp>
        <v>100</v>
        <stp/>
        <stp>102039855 5</stp>
        <tr r="J166" s="17"/>
      </tp>
      <tp>
        <v>50</v>
        <stp/>
        <stp>102042443 6</stp>
        <tr r="M34" s="17"/>
      </tp>
      <tp>
        <v>20</v>
        <stp/>
        <stp>102042443 7</stp>
        <tr r="L34" s="17"/>
      </tp>
      <tp>
        <v>5</v>
        <stp/>
        <stp>102042443 4</stp>
        <tr r="K34" s="17"/>
      </tp>
      <tp>
        <v>20</v>
        <stp/>
        <stp>102042443 5</stp>
        <tr r="J34" s="17"/>
      </tp>
      <tp>
        <v>0</v>
        <stp/>
        <stp>102042443 8</stp>
        <tr r="N34" s="17"/>
      </tp>
      <tp>
        <v>449120</v>
        <stp/>
        <stp>102036224 4</stp>
        <tr r="K7" s="17"/>
        <tr r="K4" s="17"/>
      </tp>
      <tp>
        <v>384805</v>
        <stp/>
        <stp>102036254 4</stp>
        <tr r="K19" s="17"/>
      </tp>
      <tp>
        <v>40</v>
        <stp/>
        <stp>102036224 5</stp>
        <tr r="J7" s="17"/>
        <tr r="J4" s="17"/>
      </tp>
      <tp>
        <v>100</v>
        <stp/>
        <stp>102036254 5</stp>
        <tr r="J19" s="17"/>
      </tp>
      <tp>
        <v>452865</v>
        <stp/>
        <stp>102036224 6</stp>
        <tr r="M7" s="17"/>
        <tr r="M4" s="17"/>
      </tp>
      <tp>
        <v>396345</v>
        <stp/>
        <stp>102036254 6</stp>
        <tr r="M19" s="17"/>
      </tp>
      <tp>
        <v>20</v>
        <stp/>
        <stp>102036224 7</stp>
        <tr r="L4" s="17"/>
        <tr r="L7" s="17"/>
      </tp>
      <tp>
        <v>100</v>
        <stp/>
        <stp>102036254 7</stp>
        <tr r="L19" s="17"/>
      </tp>
      <tp>
        <v>0</v>
        <stp/>
        <stp>102036224 8</stp>
        <tr r="N7" s="17"/>
        <tr r="N4" s="17"/>
      </tp>
      <tp>
        <v>0</v>
        <stp/>
        <stp>102036254 8</stp>
        <tr r="N19" s="17"/>
      </tp>
      <tp>
        <v>100</v>
        <stp/>
        <stp>102039584 7</stp>
        <tr r="L69" s="17"/>
      </tp>
      <tp>
        <v>3440</v>
        <stp/>
        <stp>102039684 4</stp>
        <tr r="K99" s="17"/>
      </tp>
      <tp>
        <v>500</v>
        <stp/>
        <stp>102039784 5</stp>
        <tr r="J37" s="17"/>
      </tp>
      <tp>
        <v>20</v>
        <stp/>
        <stp>102039594 7</stp>
        <tr r="L75" s="17"/>
      </tp>
      <tp>
        <v>0</v>
        <stp/>
        <stp>102039794 5</stp>
        <tr r="J145" s="17"/>
      </tp>
      <tp>
        <v>7200</v>
        <stp/>
        <stp>102039734 5</stp>
        <tr r="J117" s="17"/>
      </tp>
      <tp>
        <v>2680</v>
        <stp/>
        <stp>102039704 5</stp>
        <tr r="J103" s="17"/>
      </tp>
      <tp>
        <v>41055</v>
        <stp/>
        <stp>102039664 4</stp>
        <tr r="K89" s="17"/>
      </tp>
      <tp>
        <v>120</v>
        <stp/>
        <stp>102039574 7</stp>
        <tr r="L66" s="17"/>
      </tp>
      <tp>
        <v>13715</v>
        <stp/>
        <stp>102039674 4</stp>
        <tr r="K95" s="17"/>
      </tp>
      <tp>
        <v>900</v>
        <stp/>
        <stp>102039554 7</stp>
        <tr r="L58" s="17"/>
      </tp>
      <tp>
        <v>2100</v>
        <stp/>
        <stp>102039754 5</stp>
        <tr r="J125" s="17"/>
      </tp>
      <tp>
        <v>146345</v>
        <stp/>
        <stp>102039584 6</stp>
        <tr r="M69" s="17"/>
      </tp>
      <tp>
        <v>200</v>
        <stp/>
        <stp>102039684 5</stp>
        <tr r="J99" s="17"/>
      </tp>
      <tp>
        <v>294800</v>
        <stp/>
        <stp>102039784 4</stp>
        <tr r="K37" s="17"/>
      </tp>
      <tp>
        <v>111150</v>
        <stp/>
        <stp>102039594 6</stp>
        <tr r="M75" s="17"/>
      </tp>
      <tp>
        <v>0</v>
        <stp/>
        <stp>102039794 4</stp>
        <tr r="K145" s="17"/>
      </tp>
      <tp>
        <v>30</v>
        <stp/>
        <stp>102039734 4</stp>
        <tr r="K117" s="17"/>
      </tp>
      <tp>
        <v>580</v>
        <stp/>
        <stp>102039704 4</stp>
        <tr r="K103" s="17"/>
      </tp>
      <tp>
        <v>80</v>
        <stp/>
        <stp>102039664 5</stp>
        <tr r="J89" s="17"/>
      </tp>
      <tp>
        <v>35</v>
        <stp/>
        <stp>102039574 6</stp>
        <tr r="M66" s="17"/>
      </tp>
      <tp>
        <v>40</v>
        <stp/>
        <stp>102039674 5</stp>
        <tr r="J95" s="17"/>
      </tp>
      <tp>
        <v>45</v>
        <stp/>
        <stp>102039554 6</stp>
        <tr r="M58" s="17"/>
      </tp>
      <tp>
        <v>5</v>
        <stp/>
        <stp>102039754 4</stp>
        <tr r="K125" s="17"/>
      </tp>
      <tp>
        <v>500</v>
        <stp/>
        <stp>102039584 5</stp>
        <tr r="J69" s="17"/>
      </tp>
      <tp>
        <v>3460</v>
        <stp/>
        <stp>102039684 6</stp>
        <tr r="M99" s="17"/>
      </tp>
      <tp>
        <v>100</v>
        <stp/>
        <stp>102039784 7</stp>
        <tr r="L37" s="17"/>
      </tp>
      <tp>
        <v>480</v>
        <stp/>
        <stp>102039594 5</stp>
        <tr r="J75" s="17"/>
      </tp>
      <tp>
        <v>20</v>
        <stp/>
        <stp>102039794 7</stp>
        <tr r="L145" s="17"/>
      </tp>
      <tp>
        <v>1120</v>
        <stp/>
        <stp>102039734 7</stp>
        <tr r="L117" s="17"/>
      </tp>
      <tp>
        <v>520</v>
        <stp/>
        <stp>102039704 7</stp>
        <tr r="L103" s="17"/>
      </tp>
      <tp>
        <v>0</v>
        <stp/>
        <stp>102039804 8</stp>
        <tr r="N148" s="17"/>
      </tp>
      <tp>
        <v>41355</v>
        <stp/>
        <stp>102039664 6</stp>
        <tr r="M89" s="17"/>
      </tp>
      <tp>
        <v>120</v>
        <stp/>
        <stp>102039574 5</stp>
        <tr r="J66" s="17"/>
      </tp>
      <tp>
        <v>13810</v>
        <stp/>
        <stp>102039674 6</stp>
        <tr r="M95" s="17"/>
      </tp>
      <tp>
        <v>480</v>
        <stp/>
        <stp>102039554 5</stp>
        <tr r="J58" s="17"/>
      </tp>
      <tp>
        <v>420</v>
        <stp/>
        <stp>102039754 7</stp>
        <tr r="L125" s="17"/>
      </tp>
      <tp>
        <v>30</v>
        <stp/>
        <stp>102039854 8</stp>
        <tr r="N165" s="17"/>
      </tp>
      <tp>
        <v>135800</v>
        <stp/>
        <stp>102039584 4</stp>
        <tr r="K69" s="17"/>
      </tp>
      <tp>
        <v>480</v>
        <stp/>
        <stp>102039684 7</stp>
        <tr r="L99" s="17"/>
      </tp>
      <tp>
        <v>306345</v>
        <stp/>
        <stp>102039784 6</stp>
        <tr r="M37" s="17"/>
      </tp>
      <tp>
        <v>110225</v>
        <stp/>
        <stp>102039594 4</stp>
        <tr r="K75" s="17"/>
      </tp>
      <tp>
        <v>50</v>
        <stp/>
        <stp>102039794 6</stp>
        <tr r="M145" s="17"/>
      </tp>
      <tp>
        <v>35</v>
        <stp/>
        <stp>102039734 6</stp>
        <tr r="M117" s="17"/>
      </tp>
      <tp>
        <v>585</v>
        <stp/>
        <stp>102039704 6</stp>
        <tr r="M103" s="17"/>
      </tp>
      <tp>
        <v>80</v>
        <stp/>
        <stp>102039664 7</stp>
        <tr r="L89" s="17"/>
      </tp>
      <tp>
        <v>25</v>
        <stp/>
        <stp>102039574 4</stp>
        <tr r="K66" s="17"/>
      </tp>
      <tp>
        <v>140</v>
        <stp/>
        <stp>102039674 7</stp>
        <tr r="L95" s="17"/>
      </tp>
      <tp>
        <v>25</v>
        <stp/>
        <stp>102039554 4</stp>
        <tr r="K58" s="17"/>
      </tp>
      <tp>
        <v>25</v>
        <stp/>
        <stp>102039754 6</stp>
        <tr r="M125" s="17"/>
      </tp>
      <tp>
        <v>5534</v>
        <stp/>
        <stp>102039684 8</stp>
        <tr r="N99" s="17"/>
      </tp>
      <tp>
        <v>255075</v>
        <stp/>
        <stp>102039804 6</stp>
        <tr r="M148" s="17"/>
      </tp>
      <tp>
        <v>44350</v>
        <stp/>
        <stp>102039664 8</stp>
        <tr r="N89" s="17"/>
      </tp>
      <tp>
        <v>16991</v>
        <stp/>
        <stp>102039674 8</stp>
        <tr r="N95" s="17"/>
      </tp>
      <tp>
        <v>20</v>
        <stp/>
        <stp>102039854 6</stp>
        <tr r="M165" s="17"/>
      </tp>
      <tp>
        <v>0</v>
        <stp/>
        <stp>102039784 8</stp>
        <tr r="N37" s="17"/>
      </tp>
      <tp>
        <v>0</v>
        <stp/>
        <stp>102039794 8</stp>
        <tr r="N145" s="17"/>
      </tp>
      <tp>
        <v>43</v>
        <stp/>
        <stp>102039734 8</stp>
        <tr r="N117" s="17"/>
      </tp>
      <tp>
        <v>1439</v>
        <stp/>
        <stp>102039704 8</stp>
        <tr r="N103" s="17"/>
      </tp>
      <tp>
        <v>100</v>
        <stp/>
        <stp>102039804 7</stp>
        <tr r="L148" s="17"/>
      </tp>
      <tp>
        <v>23</v>
        <stp/>
        <stp>102039754 8</stp>
        <tr r="N125" s="17"/>
      </tp>
      <tp>
        <v>20</v>
        <stp/>
        <stp>102039854 7</stp>
        <tr r="L165" s="17"/>
      </tp>
      <tp>
        <v>243010</v>
        <stp/>
        <stp>102039804 4</stp>
        <tr r="K148" s="17"/>
      </tp>
      <tp>
        <v>5</v>
        <stp/>
        <stp>102039854 4</stp>
        <tr r="K165" s="17"/>
      </tp>
      <tp>
        <v>153000</v>
        <stp/>
        <stp>102039584 8</stp>
        <tr r="N69" s="17"/>
      </tp>
      <tp>
        <v>111562</v>
        <stp/>
        <stp>102039594 8</stp>
        <tr r="N75" s="17"/>
      </tp>
      <tp>
        <v>100</v>
        <stp/>
        <stp>102039804 5</stp>
        <tr r="J148" s="17"/>
      </tp>
      <tp>
        <v>25</v>
        <stp/>
        <stp>102039574 8</stp>
        <tr r="N66" s="17"/>
      </tp>
      <tp>
        <v>30</v>
        <stp/>
        <stp>102039554 8</stp>
        <tr r="N58" s="17"/>
      </tp>
      <tp>
        <v>60</v>
        <stp/>
        <stp>102039854 5</stp>
        <tr r="J165" s="17"/>
      </tp>
      <tp>
        <v>365075</v>
        <stp/>
        <stp>102035027 6</stp>
        <tr r="M170" s="17"/>
      </tp>
      <tp>
        <v>355075</v>
        <stp/>
        <stp>102035017 6</stp>
        <tr r="M168" s="17"/>
      </tp>
      <tp>
        <v>372180</v>
        <stp/>
        <stp>102035047 6</stp>
        <tr r="M172" s="17"/>
      </tp>
      <tp>
        <v>100</v>
        <stp/>
        <stp>102035027 7</stp>
        <tr r="L170" s="17"/>
      </tp>
      <tp>
        <v>100</v>
        <stp/>
        <stp>102035017 7</stp>
        <tr r="L168" s="17"/>
      </tp>
      <tp>
        <v>20</v>
        <stp/>
        <stp>102035047 7</stp>
        <tr r="L172" s="17"/>
      </tp>
      <tp>
        <v>352195</v>
        <stp/>
        <stp>102035027 4</stp>
        <tr r="K170" s="17"/>
      </tp>
      <tp>
        <v>342205</v>
        <stp/>
        <stp>102035017 4</stp>
        <tr r="K168" s="17"/>
      </tp>
      <tp>
        <v>362195</v>
        <stp/>
        <stp>102035047 4</stp>
        <tr r="K172" s="17"/>
      </tp>
      <tp>
        <v>100</v>
        <stp/>
        <stp>102035027 5</stp>
        <tr r="J170" s="17"/>
      </tp>
      <tp>
        <v>100</v>
        <stp/>
        <stp>102035017 5</stp>
        <tr r="J168" s="17"/>
      </tp>
      <tp>
        <v>100</v>
        <stp/>
        <stp>102035047 5</stp>
        <tr r="J172" s="17"/>
      </tp>
      <tp>
        <v>0</v>
        <stp/>
        <stp>102035027 8</stp>
        <tr r="N170" s="17"/>
      </tp>
      <tp>
        <v>0</v>
        <stp/>
        <stp>102035017 8</stp>
        <tr r="N168" s="17"/>
      </tp>
      <tp>
        <v>0</v>
        <stp/>
        <stp>102035047 8</stp>
        <tr r="N172" s="17"/>
      </tp>
      <tp>
        <v>0</v>
        <stp/>
        <stp>102036257 4</stp>
        <tr r="K22" s="17"/>
      </tp>
      <tp>
        <v>0</v>
        <stp/>
        <stp>102036257 5</stp>
        <tr r="J22" s="17"/>
      </tp>
      <tp>
        <v>30</v>
        <stp/>
        <stp>102036257 6</stp>
        <tr r="M22" s="17"/>
      </tp>
      <tp>
        <v>20</v>
        <stp/>
        <stp>102036257 7</stp>
        <tr r="L22" s="17"/>
      </tp>
      <tp>
        <v>0</v>
        <stp/>
        <stp>102046900 8</stp>
        <tr r="N27" s="17"/>
      </tp>
      <tp>
        <v>100</v>
        <stp/>
        <stp>102046900 7</stp>
        <tr r="L27" s="17"/>
      </tp>
      <tp>
        <v>356345</v>
        <stp/>
        <stp>102046900 6</stp>
        <tr r="M27" s="17"/>
      </tp>
      <tp>
        <v>100</v>
        <stp/>
        <stp>102046900 5</stp>
        <tr r="J27" s="17"/>
      </tp>
      <tp>
        <v>344805</v>
        <stp/>
        <stp>102046900 4</stp>
        <tr r="K27" s="17"/>
      </tp>
      <tp>
        <v>0</v>
        <stp/>
        <stp>102036257 8</stp>
        <tr r="N22" s="17"/>
      </tp>
      <tp>
        <v>100</v>
        <stp/>
        <stp>102039787 5</stp>
        <tr r="J142" s="17"/>
      </tp>
      <tp>
        <v>20</v>
        <stp/>
        <stp>102039597 7</stp>
        <tr r="L177" s="17"/>
      </tp>
      <tp>
        <v>20520</v>
        <stp/>
        <stp>102039697 4</stp>
        <tr r="K102" s="17"/>
      </tp>
      <tp>
        <v>20</v>
        <stp/>
        <stp>102039797 5</stp>
        <tr r="J42" s="17"/>
      </tp>
      <tp>
        <v>20</v>
        <stp/>
        <stp>102039727 5</stp>
        <tr r="J112" s="17"/>
      </tp>
      <tp>
        <v>55</v>
        <stp/>
        <stp>102039637 4</stp>
        <tr r="K84" s="17"/>
      </tp>
      <tp>
        <v>820</v>
        <stp/>
        <stp>102039737 5</stp>
        <tr r="J120" s="17"/>
      </tp>
      <tp>
        <v>60</v>
        <stp/>
        <stp>102039717 5</stp>
        <tr r="J106" s="17"/>
      </tp>
      <tp>
        <v>100</v>
        <stp/>
        <stp>102039767 5</stp>
        <tr r="J134" s="17"/>
      </tp>
      <tp>
        <v>100</v>
        <stp/>
        <stp>102039777 5</stp>
        <tr r="J138" s="17"/>
      </tp>
      <tp>
        <v>401925</v>
        <stp/>
        <stp>102039647 4</stp>
        <tr r="K180" s="17"/>
      </tp>
      <tp>
        <v>213035</v>
        <stp/>
        <stp>102039787 4</stp>
        <tr r="K142" s="17"/>
      </tp>
      <tp>
        <v>30</v>
        <stp/>
        <stp>102039597 6</stp>
        <tr r="M177" s="17"/>
      </tp>
      <tp>
        <v>40</v>
        <stp/>
        <stp>102039697 5</stp>
        <tr r="J102" s="17"/>
      </tp>
      <tp>
        <v>20</v>
        <stp/>
        <stp>102039797 4</stp>
        <tr r="K42" s="17"/>
      </tp>
      <tp>
        <v>68900</v>
        <stp/>
        <stp>102039727 4</stp>
        <tr r="K112" s="17"/>
      </tp>
      <tp>
        <v>6400</v>
        <stp/>
        <stp>102039637 5</stp>
        <tr r="J84" s="17"/>
      </tp>
      <tp>
        <v>107950</v>
        <stp/>
        <stp>102039737 4</stp>
        <tr r="K120" s="17"/>
      </tp>
      <tp>
        <v>39240</v>
        <stp/>
        <stp>102039717 4</stp>
        <tr r="K106" s="17"/>
      </tp>
      <tp>
        <v>173185</v>
        <stp/>
        <stp>102039767 4</stp>
        <tr r="K134" s="17"/>
      </tp>
      <tp>
        <v>193705</v>
        <stp/>
        <stp>102039777 4</stp>
        <tr r="K138" s="17"/>
      </tp>
      <tp>
        <v>100</v>
        <stp/>
        <stp>102039647 5</stp>
        <tr r="J180" s="17"/>
      </tp>
      <tp>
        <v>100</v>
        <stp/>
        <stp>102039787 7</stp>
        <tr r="L142" s="17"/>
      </tp>
      <tp>
        <v>0</v>
        <stp/>
        <stp>102039597 5</stp>
        <tr r="J177" s="17"/>
      </tp>
      <tp>
        <v>20600</v>
        <stp/>
        <stp>102039697 6</stp>
        <tr r="M102" s="17"/>
      </tp>
      <tp>
        <v>800</v>
        <stp/>
        <stp>102039797 7</stp>
        <tr r="L42" s="17"/>
      </tp>
      <tp>
        <v>20</v>
        <stp/>
        <stp>102039727 7</stp>
        <tr r="L112" s="17"/>
      </tp>
      <tp>
        <v>0</v>
        <stp/>
        <stp>102039827 8</stp>
        <tr r="N156" s="17"/>
      </tp>
      <tp>
        <v>60</v>
        <stp/>
        <stp>102039637 6</stp>
        <tr r="M84" s="17"/>
      </tp>
      <tp>
        <v>400</v>
        <stp/>
        <stp>102039737 7</stp>
        <tr r="L120" s="17"/>
      </tp>
      <tp>
        <v>0</v>
        <stp/>
        <stp>102039837 8</stp>
        <tr r="N160" s="17"/>
      </tp>
      <tp>
        <v>0</v>
        <stp/>
        <stp>102039807 8</stp>
        <tr r="N150" s="17"/>
      </tp>
      <tp>
        <v>80</v>
        <stp/>
        <stp>102039717 7</stp>
        <tr r="L106" s="17"/>
      </tp>
      <tp>
        <v>100</v>
        <stp/>
        <stp>102039767 7</stp>
        <tr r="L134" s="17"/>
      </tp>
      <tp>
        <v>100</v>
        <stp/>
        <stp>102039777 7</stp>
        <tr r="L138" s="17"/>
      </tp>
      <tp>
        <v>415075</v>
        <stp/>
        <stp>102039647 6</stp>
        <tr r="M180" s="17"/>
      </tp>
      <tp>
        <v>0</v>
        <stp/>
        <stp>102039847 8</stp>
        <tr r="N162" s="17"/>
      </tp>
      <tp>
        <v>225075</v>
        <stp/>
        <stp>102039787 6</stp>
        <tr r="M142" s="17"/>
      </tp>
      <tp>
        <v>0</v>
        <stp/>
        <stp>102039597 4</stp>
        <tr r="K177" s="17"/>
      </tp>
      <tp>
        <v>540</v>
        <stp/>
        <stp>102039697 7</stp>
        <tr r="L102" s="17"/>
      </tp>
      <tp>
        <v>25</v>
        <stp/>
        <stp>102039797 6</stp>
        <tr r="M42" s="17"/>
      </tp>
      <tp>
        <v>69170</v>
        <stp/>
        <stp>102039727 6</stp>
        <tr r="M112" s="17"/>
      </tp>
      <tp>
        <v>1900</v>
        <stp/>
        <stp>102039637 7</stp>
        <tr r="L84" s="17"/>
      </tp>
      <tp>
        <v>109715</v>
        <stp/>
        <stp>102039737 6</stp>
        <tr r="M120" s="17"/>
      </tp>
      <tp>
        <v>39405</v>
        <stp/>
        <stp>102039717 6</stp>
        <tr r="M106" s="17"/>
      </tp>
      <tp>
        <v>185075</v>
        <stp/>
        <stp>102039767 6</stp>
        <tr r="M134" s="17"/>
      </tp>
      <tp>
        <v>205060</v>
        <stp/>
        <stp>102039777 6</stp>
        <tr r="M138" s="17"/>
      </tp>
      <tp>
        <v>100</v>
        <stp/>
        <stp>102039647 7</stp>
        <tr r="L180" s="17"/>
      </tp>
      <tp>
        <v>15629</v>
        <stp/>
        <stp>102039697 8</stp>
        <tr r="N102" s="17"/>
      </tp>
      <tp>
        <v>295075</v>
        <stp/>
        <stp>102039827 6</stp>
        <tr r="M156" s="17"/>
      </tp>
      <tp>
        <v>69</v>
        <stp/>
        <stp>102039637 8</stp>
        <tr r="N84" s="17"/>
      </tp>
      <tp>
        <v>315075</v>
        <stp/>
        <stp>102039837 6</stp>
        <tr r="M160" s="17"/>
      </tp>
      <tp>
        <v>265075</v>
        <stp/>
        <stp>102039807 6</stp>
        <tr r="M150" s="17"/>
      </tp>
      <tp>
        <v>0</v>
        <stp/>
        <stp>102039647 8</stp>
        <tr r="N180" s="17"/>
      </tp>
      <tp>
        <v>325075</v>
        <stp/>
        <stp>102039847 6</stp>
        <tr r="M162" s="17"/>
      </tp>
      <tp>
        <v>0</v>
        <stp/>
        <stp>102039787 8</stp>
        <tr r="N142" s="17"/>
      </tp>
      <tp>
        <v>24</v>
        <stp/>
        <stp>102039797 8</stp>
        <tr r="N42" s="17"/>
      </tp>
      <tp>
        <v>61956</v>
        <stp/>
        <stp>102039727 8</stp>
        <tr r="N112" s="17"/>
      </tp>
      <tp>
        <v>100</v>
        <stp/>
        <stp>102039827 7</stp>
        <tr r="L156" s="17"/>
      </tp>
      <tp>
        <v>99040</v>
        <stp/>
        <stp>102039737 8</stp>
        <tr r="N120" s="17"/>
      </tp>
      <tp>
        <v>100</v>
        <stp/>
        <stp>102039837 7</stp>
        <tr r="L160" s="17"/>
      </tp>
      <tp>
        <v>100</v>
        <stp/>
        <stp>102039807 7</stp>
        <tr r="L150" s="17"/>
      </tp>
      <tp>
        <v>31440</v>
        <stp/>
        <stp>102039717 8</stp>
        <tr r="N106" s="17"/>
      </tp>
      <tp>
        <v>0</v>
        <stp/>
        <stp>102039767 8</stp>
        <tr r="N134" s="17"/>
      </tp>
      <tp>
        <v>0</v>
        <stp/>
        <stp>102039777 8</stp>
        <tr r="N138" s="17"/>
      </tp>
      <tp>
        <v>100</v>
        <stp/>
        <stp>102039847 7</stp>
        <tr r="L162" s="17"/>
      </tp>
      <tp>
        <v>282205</v>
        <stp/>
        <stp>102039827 4</stp>
        <tr r="K156" s="17"/>
      </tp>
      <tp>
        <v>301925</v>
        <stp/>
        <stp>102039837 4</stp>
        <tr r="K160" s="17"/>
      </tp>
      <tp>
        <v>253035</v>
        <stp/>
        <stp>102039807 4</stp>
        <tr r="K150" s="17"/>
      </tp>
      <tp>
        <v>312200</v>
        <stp/>
        <stp>102039847 4</stp>
        <tr r="K162" s="17"/>
      </tp>
      <tp>
        <v>0</v>
        <stp/>
        <stp>102039597 8</stp>
        <tr r="N177" s="17"/>
      </tp>
      <tp>
        <v>100</v>
        <stp/>
        <stp>102039827 5</stp>
        <tr r="J156" s="17"/>
      </tp>
      <tp>
        <v>200</v>
        <stp/>
        <stp>102039837 5</stp>
        <tr r="J160" s="17"/>
      </tp>
      <tp>
        <v>100</v>
        <stp/>
        <stp>102039807 5</stp>
        <tr r="J150" s="17"/>
      </tp>
      <tp>
        <v>100</v>
        <stp/>
        <stp>102039847 5</stp>
        <tr r="J162" s="17"/>
      </tp>
      <tp>
        <v>40</v>
        <stp/>
        <stp>102035026 6</stp>
        <tr r="M169" s="17"/>
      </tp>
      <tp>
        <v>20</v>
        <stp/>
        <stp>102035016 6</stp>
        <tr r="M167" s="17"/>
      </tp>
      <tp>
        <v>35</v>
        <stp/>
        <stp>102035046 6</stp>
        <tr r="M171" s="17"/>
      </tp>
      <tp>
        <v>60</v>
        <stp/>
        <stp>102035026 7</stp>
        <tr r="L169" s="17"/>
      </tp>
      <tp>
        <v>20</v>
        <stp/>
        <stp>102035016 7</stp>
        <tr r="L167" s="17"/>
      </tp>
      <tp>
        <v>2000</v>
        <stp/>
        <stp>102035046 7</stp>
        <tr r="L171" s="17"/>
      </tp>
      <tp>
        <v>0</v>
        <stp/>
        <stp>102035026 4</stp>
        <tr r="K169" s="17"/>
      </tp>
      <tp>
        <v>10</v>
        <stp/>
        <stp>102035016 4</stp>
        <tr r="K167" s="17"/>
      </tp>
      <tp>
        <v>0</v>
        <stp/>
        <stp>102035046 4</stp>
        <tr r="K171" s="17"/>
      </tp>
      <tp>
        <v>0</v>
        <stp/>
        <stp>102035026 5</stp>
        <tr r="J169" s="17"/>
      </tp>
      <tp>
        <v>40</v>
        <stp/>
        <stp>102035016 5</stp>
        <tr r="J167" s="17"/>
      </tp>
      <tp>
        <v>0</v>
        <stp/>
        <stp>102035046 5</stp>
        <tr r="J171" s="17"/>
      </tp>
      <tp>
        <v>0</v>
        <stp/>
        <stp>102035026 8</stp>
        <tr r="N169" s="17"/>
      </tp>
      <tp>
        <v>30</v>
        <stp/>
        <stp>102035016 8</stp>
        <tr r="N167" s="17"/>
      </tp>
      <tp>
        <v>40</v>
        <stp/>
        <stp>102035046 8</stp>
        <tr r="N171" s="17"/>
      </tp>
      <tp>
        <v>374805</v>
        <stp/>
        <stp>102036256 4</stp>
        <tr r="K21" s="17"/>
      </tp>
      <tp>
        <v>100</v>
        <stp/>
        <stp>102036256 5</stp>
        <tr r="J21" s="17"/>
      </tp>
      <tp>
        <v>386345</v>
        <stp/>
        <stp>102036256 6</stp>
        <tr r="M21" s="17"/>
      </tp>
      <tp>
        <v>100</v>
        <stp/>
        <stp>102036256 7</stp>
        <tr r="L21" s="17"/>
      </tp>
      <tp>
        <v>20</v>
        <stp/>
        <stp>102046541 7</stp>
        <tr r="L31" s="17"/>
      </tp>
      <tp>
        <v>332690</v>
        <stp/>
        <stp>102046541 6</stp>
        <tr r="M31" s="17"/>
      </tp>
      <tp>
        <v>0</v>
        <stp/>
        <stp>102046891 8</stp>
        <tr r="N25" s="17"/>
      </tp>
      <tp>
        <v>20</v>
        <stp/>
        <stp>102046541 5</stp>
        <tr r="J31" s="17"/>
      </tp>
      <tp>
        <v>0</v>
        <stp/>
        <stp>102046901 8</stp>
        <tr r="N28" s="17"/>
      </tp>
      <tp>
        <v>326755</v>
        <stp/>
        <stp>102046541 4</stp>
        <tr r="K31" s="17"/>
      </tp>
      <tp>
        <v>366345</v>
        <stp/>
        <stp>102046891 6</stp>
        <tr r="M25" s="17"/>
      </tp>
      <tp>
        <v>20</v>
        <stp/>
        <stp>102046901 7</stp>
        <tr r="L28" s="17"/>
      </tp>
      <tp>
        <v>100</v>
        <stp/>
        <stp>102046891 7</stp>
        <tr r="L25" s="17"/>
      </tp>
      <tp>
        <v>50</v>
        <stp/>
        <stp>102046901 6</stp>
        <tr r="M28" s="17"/>
      </tp>
      <tp>
        <v>354805</v>
        <stp/>
        <stp>102046891 4</stp>
        <tr r="K25" s="17"/>
      </tp>
      <tp>
        <v>0</v>
        <stp/>
        <stp>102046901 5</stp>
        <tr r="J28" s="17"/>
      </tp>
      <tp>
        <v>100</v>
        <stp/>
        <stp>102046891 5</stp>
        <tr r="J25" s="17"/>
      </tp>
      <tp>
        <v>0</v>
        <stp/>
        <stp>102046901 4</stp>
        <tr r="K28" s="17"/>
      </tp>
      <tp>
        <v>0</v>
        <stp/>
        <stp>102046541 8</stp>
        <tr r="N31" s="17"/>
      </tp>
      <tp>
        <v>0</v>
        <stp/>
        <stp>102036256 8</stp>
        <tr r="N21" s="17"/>
      </tp>
      <tp>
        <v>600</v>
        <stp/>
        <stp>102039786 5</stp>
        <tr r="J141" s="17"/>
      </tp>
      <tp>
        <v>1475</v>
        <stp/>
        <stp>102039696 4</stp>
        <tr r="K101" s="17"/>
      </tp>
      <tp>
        <v>100</v>
        <stp/>
        <stp>102039796 5</stp>
        <tr r="J41" s="17"/>
      </tp>
      <tp>
        <v>319120</v>
        <stp/>
        <stp>102039726 5</stp>
        <tr r="J111" s="17"/>
      </tp>
      <tp>
        <v>70765</v>
        <stp/>
        <stp>102039636 4</stp>
        <tr r="K83" s="17"/>
      </tp>
      <tp>
        <v>800</v>
        <stp/>
        <stp>102039736 5</stp>
        <tr r="J119" s="17"/>
      </tp>
      <tp>
        <v>7460</v>
        <stp/>
        <stp>102039716 5</stp>
        <tr r="J105" s="17"/>
      </tp>
      <tp>
        <v>1400</v>
        <stp/>
        <stp>102039766 5</stp>
        <tr r="J133" s="17"/>
      </tp>
      <tp>
        <v>0</v>
        <stp/>
        <stp>102039776 5</stp>
        <tr r="J137" s="17"/>
      </tp>
      <tp>
        <v>0</v>
        <stp/>
        <stp>102039646 4</stp>
        <tr r="K179" s="17"/>
      </tp>
      <tp>
        <v>5</v>
        <stp/>
        <stp>102039786 4</stp>
        <tr r="K141" s="17"/>
      </tp>
      <tp>
        <v>240</v>
        <stp/>
        <stp>102039696 5</stp>
        <tr r="J101" s="17"/>
      </tp>
      <tp>
        <v>274810</v>
        <stp/>
        <stp>102039796 4</stp>
        <tr r="K41" s="17"/>
      </tp>
      <tp>
        <v>55</v>
        <stp/>
        <stp>102039726 4</stp>
        <tr r="K111" s="17"/>
      </tp>
      <tp>
        <v>100</v>
        <stp/>
        <stp>102039636 5</stp>
        <tr r="J83" s="17"/>
      </tp>
      <tp>
        <v>30</v>
        <stp/>
        <stp>102039736 4</stp>
        <tr r="K119" s="17"/>
      </tp>
      <tp>
        <v>270</v>
        <stp/>
        <stp>102039716 4</stp>
        <tr r="K105" s="17"/>
      </tp>
      <tp>
        <v>10</v>
        <stp/>
        <stp>102039766 4</stp>
        <tr r="K133" s="17"/>
      </tp>
      <tp>
        <v>0</v>
        <stp/>
        <stp>102039776 4</stp>
        <tr r="K137" s="17"/>
      </tp>
      <tp>
        <v>0</v>
        <stp/>
        <stp>102039646 5</stp>
        <tr r="J179" s="17"/>
      </tp>
      <tp>
        <v>380</v>
        <stp/>
        <stp>102039786 7</stp>
        <tr r="L141" s="17"/>
      </tp>
      <tp>
        <v>1485</v>
        <stp/>
        <stp>102039696 6</stp>
        <tr r="M101" s="17"/>
      </tp>
      <tp>
        <v>100</v>
        <stp/>
        <stp>102039796 7</stp>
        <tr r="L41" s="17"/>
      </tp>
      <tp>
        <v>3600</v>
        <stp/>
        <stp>102039726 7</stp>
        <tr r="L111" s="17"/>
      </tp>
      <tp>
        <v>0</v>
        <stp/>
        <stp>102039826 8</stp>
        <tr r="N155" s="17"/>
      </tp>
      <tp>
        <v>71200</v>
        <stp/>
        <stp>102039636 6</stp>
        <tr r="M83" s="17"/>
      </tp>
      <tp>
        <v>160</v>
        <stp/>
        <stp>102039736 7</stp>
        <tr r="L119" s="17"/>
      </tp>
      <tp>
        <v>0</v>
        <stp/>
        <stp>102039836 8</stp>
        <tr r="N159" s="17"/>
      </tp>
      <tp>
        <v>0</v>
        <stp/>
        <stp>102039806 8</stp>
        <tr r="N149" s="17"/>
      </tp>
      <tp>
        <v>4580</v>
        <stp/>
        <stp>102039716 7</stp>
        <tr r="L105" s="17"/>
      </tp>
      <tp>
        <v>40</v>
        <stp/>
        <stp>102039766 7</stp>
        <tr r="L133" s="17"/>
      </tp>
      <tp>
        <v>20</v>
        <stp/>
        <stp>102039776 7</stp>
        <tr r="L137" s="17"/>
      </tp>
      <tp>
        <v>10</v>
        <stp/>
        <stp>102039646 6</stp>
        <tr r="M179" s="17"/>
      </tp>
      <tp>
        <v>27</v>
        <stp/>
        <stp>102039846 8</stp>
        <tr r="N161" s="17"/>
      </tp>
      <tp>
        <v>15</v>
        <stp/>
        <stp>102039786 6</stp>
        <tr r="M141" s="17"/>
      </tp>
      <tp>
        <v>620</v>
        <stp/>
        <stp>102039696 7</stp>
        <tr r="L101" s="17"/>
      </tp>
      <tp>
        <v>286345</v>
        <stp/>
        <stp>102039796 6</stp>
        <tr r="M41" s="17"/>
      </tp>
      <tp>
        <v>60</v>
        <stp/>
        <stp>102039726 6</stp>
        <tr r="M111" s="17"/>
      </tp>
      <tp>
        <v>40</v>
        <stp/>
        <stp>102039636 7</stp>
        <tr r="L83" s="17"/>
      </tp>
      <tp>
        <v>35</v>
        <stp/>
        <stp>102039736 6</stp>
        <tr r="M119" s="17"/>
      </tp>
      <tp>
        <v>275</v>
        <stp/>
        <stp>102039716 6</stp>
        <tr r="M105" s="17"/>
      </tp>
      <tp>
        <v>20</v>
        <stp/>
        <stp>102039766 6</stp>
        <tr r="M133" s="17"/>
      </tp>
      <tp>
        <v>50</v>
        <stp/>
        <stp>102039776 6</stp>
        <tr r="M137" s="17"/>
      </tp>
      <tp>
        <v>460</v>
        <stp/>
        <stp>102039646 7</stp>
        <tr r="L179" s="17"/>
      </tp>
      <tp>
        <v>3159</v>
        <stp/>
        <stp>102039696 8</stp>
        <tr r="N101" s="17"/>
      </tp>
      <tp>
        <v>50</v>
        <stp/>
        <stp>102039826 6</stp>
        <tr r="M155" s="17"/>
      </tp>
      <tp>
        <v>75476</v>
        <stp/>
        <stp>102039636 8</stp>
        <tr r="N83" s="17"/>
      </tp>
      <tp>
        <v>50</v>
        <stp/>
        <stp>102039836 6</stp>
        <tr r="M159" s="17"/>
      </tp>
      <tp>
        <v>50</v>
        <stp/>
        <stp>102039806 6</stp>
        <tr r="M149" s="17"/>
      </tp>
      <tp>
        <v>0</v>
        <stp/>
        <stp>102039646 8</stp>
        <tr r="N179" s="17"/>
      </tp>
      <tp>
        <v>35</v>
        <stp/>
        <stp>102039846 6</stp>
        <tr r="M161" s="17"/>
      </tp>
      <tp>
        <v>0</v>
        <stp/>
        <stp>102039786 8</stp>
        <tr r="N141" s="17"/>
      </tp>
      <tp>
        <v>0</v>
        <stp/>
        <stp>102039796 8</stp>
        <tr r="N41" s="17"/>
      </tp>
      <tp>
        <v>90</v>
        <stp/>
        <stp>102039726 8</stp>
        <tr r="N111" s="17"/>
      </tp>
      <tp>
        <v>20</v>
        <stp/>
        <stp>102039826 7</stp>
        <tr r="L155" s="17"/>
      </tp>
      <tp>
        <v>34</v>
        <stp/>
        <stp>102039736 8</stp>
        <tr r="N119" s="17"/>
      </tp>
      <tp>
        <v>20</v>
        <stp/>
        <stp>102039836 7</stp>
        <tr r="L159" s="17"/>
      </tp>
      <tp>
        <v>20</v>
        <stp/>
        <stp>102039806 7</stp>
        <tr r="L149" s="17"/>
      </tp>
      <tp>
        <v>701</v>
        <stp/>
        <stp>102039716 8</stp>
        <tr r="N105" s="17"/>
      </tp>
      <tp>
        <v>60</v>
        <stp/>
        <stp>102039766 8</stp>
        <tr r="N133" s="17"/>
      </tp>
      <tp>
        <v>0</v>
        <stp/>
        <stp>102039776 8</stp>
        <tr r="N137" s="17"/>
      </tp>
      <tp>
        <v>2000</v>
        <stp/>
        <stp>102039846 7</stp>
        <tr r="L161" s="17"/>
      </tp>
      <tp>
        <v>0</v>
        <stp/>
        <stp>102039826 4</stp>
        <tr r="K155" s="17"/>
      </tp>
      <tp>
        <v>0</v>
        <stp/>
        <stp>102039836 4</stp>
        <tr r="K159" s="17"/>
      </tp>
      <tp>
        <v>0</v>
        <stp/>
        <stp>102039806 4</stp>
        <tr r="K149" s="17"/>
      </tp>
      <tp>
        <v>0</v>
        <stp/>
        <stp>102039846 4</stp>
        <tr r="K161" s="17"/>
      </tp>
      <tp>
        <v>0</v>
        <stp/>
        <stp>102039826 5</stp>
        <tr r="J155" s="17"/>
      </tp>
      <tp>
        <v>0</v>
        <stp/>
        <stp>102039836 5</stp>
        <tr r="J159" s="17"/>
      </tp>
      <tp>
        <v>0</v>
        <stp/>
        <stp>102039806 5</stp>
        <tr r="J149" s="17"/>
      </tp>
      <tp>
        <v>0</v>
        <stp/>
        <stp>102039846 5</stp>
        <tr r="J161" s="17"/>
      </tp>
      <tp>
        <v>0</v>
        <stp/>
        <stp>102040998 40</stp>
        <tr r="AC174" s="17"/>
        <tr r="O87" s="27"/>
      </tp>
      <tp>
        <v>0</v>
        <stp/>
        <stp>102040997 40</stp>
        <tr r="C87" s="27"/>
        <tr r="AC173" s="17"/>
      </tp>
      <tp>
        <v>0</v>
        <stp/>
        <stp>102040998 34</stp>
        <tr r="AD174" s="17"/>
      </tp>
      <tp>
        <v>0</v>
        <stp/>
        <stp>102040997 34</stp>
        <tr r="AD173" s="17"/>
      </tp>
      <tp>
        <v>372190</v>
        <stp/>
        <stp>102040998 24</stp>
        <tr r="P174" s="17"/>
      </tp>
      <tp>
        <v>0</v>
        <stp/>
        <stp>102040997 24</stp>
        <tr r="P173" s="17"/>
      </tp>
      <tp>
        <v>100</v>
        <stp/>
        <stp>102040998 25</stp>
        <tr r="Q174" s="17"/>
      </tp>
      <tp>
        <v>0</v>
        <stp/>
        <stp>102040997 25</stp>
        <tr r="Q173" s="17"/>
      </tp>
      <tp>
        <v>385075</v>
        <stp/>
        <stp>102040998 26</stp>
        <tr r="R174" s="17"/>
      </tp>
      <tp>
        <v>45</v>
        <stp/>
        <stp>102040997 26</stp>
        <tr r="R173" s="17"/>
      </tp>
      <tp>
        <v>100</v>
        <stp/>
        <stp>102040998 27</stp>
        <tr r="S174" s="17"/>
      </tp>
      <tp>
        <v>120</v>
        <stp/>
        <stp>102040997 27</stp>
        <tr r="S173" s="17"/>
      </tp>
      <tp>
        <v>0</v>
        <stp/>
        <stp>102040998 20</stp>
        <tr r="Z174" s="17"/>
      </tp>
      <tp>
        <v>1265979093</v>
        <stp/>
        <stp>102040997 20</stp>
        <tr r="Z173" s="17"/>
      </tp>
      <tp>
        <v>283080</v>
        <stp/>
        <stp>102040998 14</stp>
        <tr r="J87" s="27"/>
        <tr r="U174" s="17"/>
      </tp>
      <tp>
        <v>60</v>
        <stp/>
        <stp>102040997 14</stp>
        <tr r="H87" s="27"/>
        <tr r="U173" s="17"/>
      </tp>
      <tp>
        <v>0</v>
        <stp/>
        <stp>102040998 15</stp>
        <tr r="V174" s="17"/>
      </tp>
      <tp>
        <v>0</v>
        <stp/>
        <stp>102040997 15</stp>
        <tr r="V173" s="17"/>
      </tp>
      <tp>
        <v>0</v>
        <stp/>
        <stp>102040998 16</stp>
        <tr r="W174" s="17"/>
      </tp>
      <tp>
        <v>0</v>
        <stp/>
        <stp>102040997 16</stp>
        <tr r="W173" s="17"/>
      </tp>
      <tp>
        <v>0</v>
        <stp/>
        <stp>102040998 17</stp>
        <tr r="AB174" s="17"/>
      </tp>
      <tp>
        <v>0</v>
        <stp/>
        <stp>102040997 17</stp>
        <tr r="AB173" s="17"/>
      </tp>
      <tp>
        <v>0</v>
        <stp/>
        <stp>102040998 10</stp>
        <tr r="X174" s="17"/>
        <tr r="K87" s="27"/>
      </tp>
      <tp>
        <v>60</v>
        <stp/>
        <stp>102040997 10</stp>
        <tr r="X173" s="17"/>
        <tr r="G87" s="27"/>
      </tp>
      <tp>
        <v>0</v>
        <stp/>
        <stp>102040998 11</stp>
        <tr r="Y174" s="17"/>
      </tp>
      <tp>
        <v>20</v>
        <stp/>
        <stp>102040997 11</stp>
        <tr r="Y173" s="17"/>
      </tp>
      <tp>
        <v>0</v>
        <stp/>
        <stp>102040998 12</stp>
        <tr r="M87" s="27"/>
        <tr r="O174" s="17"/>
      </tp>
      <tp>
        <v>0</v>
        <stp/>
        <stp>102040997 12</stp>
        <tr r="O173" s="17"/>
        <tr r="E87" s="27"/>
      </tp>
      <tp>
        <v>0</v>
        <stp/>
        <stp>102040998 13</stp>
        <tr r="T174" s="17"/>
      </tp>
      <tp>
        <v>0</v>
        <stp/>
        <stp>102040997 13</stp>
        <tr r="T173" s="17"/>
      </tp>
      <tp>
        <v>0</v>
        <stp/>
        <stp>102040998 18</stp>
        <tr r="AA174" s="17"/>
      </tp>
      <tp>
        <v>0</v>
        <stp/>
        <stp>102040997 18</stp>
        <tr r="AA173" s="17"/>
      </tp>
      <tp>
        <v>0</v>
        <stp/>
        <stp>102041288 40</stp>
        <tr r="AC176" s="17"/>
        <tr r="O88" s="27"/>
      </tp>
      <tp>
        <v>1240</v>
        <stp/>
        <stp>102041287 40</stp>
        <tr r="AC175" s="17"/>
        <tr r="C88" s="27"/>
      </tp>
      <tp>
        <v>0</v>
        <stp/>
        <stp>102041288 15</stp>
        <tr r="V176" s="17"/>
      </tp>
      <tp>
        <v>45</v>
        <stp/>
        <stp>102041287 15</stp>
        <tr r="V175" s="17"/>
      </tp>
      <tp>
        <v>281585</v>
        <stp/>
        <stp>102041288 14</stp>
        <tr r="J88" s="27"/>
        <tr r="U176" s="17"/>
      </tp>
      <tp>
        <v>50</v>
        <stp/>
        <stp>102041287 14</stp>
        <tr r="H88" s="27"/>
        <tr r="U175" s="17"/>
      </tp>
      <tp>
        <v>0</v>
        <stp/>
        <stp>102041288 17</stp>
        <tr r="AB176" s="17"/>
      </tp>
      <tp>
        <v>0</v>
        <stp/>
        <stp>102041287 17</stp>
        <tr r="AB175" s="17"/>
      </tp>
      <tp>
        <v>0</v>
        <stp/>
        <stp>102041288 16</stp>
        <tr r="W176" s="17"/>
      </tp>
      <tp>
        <v>5</v>
        <stp/>
        <stp>102041287 16</stp>
        <tr r="W175" s="17"/>
      </tp>
      <tp>
        <v>0</v>
        <stp/>
        <stp>102041288 11</stp>
        <tr r="Y176" s="17"/>
      </tp>
      <tp>
        <v>100</v>
        <stp/>
        <stp>102041287 11</stp>
        <tr r="Y175" s="17"/>
      </tp>
      <tp>
        <v>0</v>
        <stp/>
        <stp>102041288 10</stp>
        <tr r="K88" s="27"/>
        <tr r="X176" s="17"/>
      </tp>
      <tp>
        <v>5</v>
        <stp/>
        <stp>102041287 10</stp>
        <tr r="X175" s="17"/>
        <tr r="G88" s="27"/>
      </tp>
      <tp>
        <v>0</v>
        <stp/>
        <stp>102041288 13</stp>
        <tr r="T176" s="17"/>
      </tp>
      <tp>
        <v>30</v>
        <stp/>
        <stp>102041287 13</stp>
        <tr r="T175" s="17"/>
      </tp>
      <tp>
        <v>0</v>
        <stp/>
        <stp>102041288 12</stp>
        <tr r="O176" s="17"/>
        <tr r="M88" s="27"/>
      </tp>
      <tp>
        <v>10240</v>
        <stp/>
        <stp>102041287 12</stp>
        <tr r="E88" s="27"/>
        <tr r="O175" s="17"/>
      </tp>
      <tp>
        <v>0</v>
        <stp/>
        <stp>102041288 18</stp>
        <tr r="AA176" s="17"/>
      </tp>
      <tp>
        <v>0</v>
        <stp/>
        <stp>102041287 18</stp>
        <tr r="AA175" s="17"/>
      </tp>
      <tp>
        <v>100</v>
        <stp/>
        <stp>102041288 25</stp>
        <tr r="Q176" s="17"/>
      </tp>
      <tp>
        <v>2260</v>
        <stp/>
        <stp>102041287 25</stp>
        <tr r="Q175" s="17"/>
      </tp>
      <tp>
        <v>382205</v>
        <stp/>
        <stp>102041288 24</stp>
        <tr r="P176" s="17"/>
      </tp>
      <tp>
        <v>5</v>
        <stp/>
        <stp>102041287 24</stp>
        <tr r="P175" s="17"/>
      </tp>
      <tp>
        <v>100</v>
        <stp/>
        <stp>102041288 27</stp>
        <tr r="S176" s="17"/>
      </tp>
      <tp>
        <v>160</v>
        <stp/>
        <stp>102041287 27</stp>
        <tr r="S175" s="17"/>
      </tp>
      <tp>
        <v>395075</v>
        <stp/>
        <stp>102041288 26</stp>
        <tr r="R176" s="17"/>
      </tp>
      <tp>
        <v>15</v>
        <stp/>
        <stp>102041287 26</stp>
        <tr r="R175" s="17"/>
      </tp>
      <tp>
        <v>0</v>
        <stp/>
        <stp>102041288 20</stp>
        <tr r="Z176" s="17"/>
      </tp>
      <tp>
        <v>1266057698</v>
        <stp/>
        <stp>102041287 20</stp>
        <tr r="Z175" s="17"/>
      </tp>
      <tp>
        <v>0</v>
        <stp/>
        <stp>102041288 34</stp>
        <tr r="AD176" s="17"/>
      </tp>
      <tp>
        <v>0</v>
        <stp/>
        <stp>102041287 34</stp>
        <tr r="AD175" s="17"/>
      </tp>
      <tp>
        <v>0</v>
        <stp/>
        <stp>102042442 20</stp>
        <tr r="Z33" s="17"/>
      </tp>
      <tp>
        <v>1265988267</v>
        <stp/>
        <stp>102042443 20</stp>
        <tr r="Z34" s="17"/>
      </tp>
      <tp>
        <v>100</v>
        <stp/>
        <stp>102042442 25</stp>
        <tr r="Q33" s="17"/>
      </tp>
      <tp>
        <v>20</v>
        <stp/>
        <stp>102042443 25</stp>
        <tr r="Q34" s="17"/>
      </tp>
      <tp>
        <v>314805</v>
        <stp/>
        <stp>102042442 24</stp>
        <tr r="P33" s="17"/>
      </tp>
      <tp>
        <v>5</v>
        <stp/>
        <stp>102042443 24</stp>
        <tr r="P34" s="17"/>
      </tp>
      <tp>
        <v>100</v>
        <stp/>
        <stp>102042442 27</stp>
        <tr r="S33" s="17"/>
      </tp>
      <tp>
        <v>20</v>
        <stp/>
        <stp>102042443 27</stp>
        <tr r="S34" s="17"/>
      </tp>
      <tp>
        <v>326345</v>
        <stp/>
        <stp>102042442 26</stp>
        <tr r="R33" s="17"/>
      </tp>
      <tp>
        <v>50</v>
        <stp/>
        <stp>102042443 26</stp>
        <tr r="R34" s="17"/>
      </tp>
      <tp>
        <v>0</v>
        <stp/>
        <stp>102042442 34</stp>
        <tr r="AD33" s="17"/>
      </tp>
      <tp>
        <v>0</v>
        <stp/>
        <stp>102042443 34</stp>
        <tr r="AD34" s="17"/>
      </tp>
      <tp>
        <v>0</v>
        <stp/>
        <stp>102042442 18</stp>
        <tr r="AA33" s="17"/>
      </tp>
      <tp>
        <v>0</v>
        <stp/>
        <stp>102042443 18</stp>
        <tr r="AA34" s="17"/>
      </tp>
      <tp>
        <v>0</v>
        <stp/>
        <stp>102042442 11</stp>
        <tr r="Y33" s="17"/>
      </tp>
      <tp>
        <v>20</v>
        <stp/>
        <stp>102042443 11</stp>
        <tr r="Y34" s="17"/>
      </tp>
      <tp>
        <v>0</v>
        <stp/>
        <stp>102042442 10</stp>
        <tr r="X33" s="17"/>
        <tr r="G17" s="27"/>
      </tp>
      <tp>
        <v>305</v>
        <stp/>
        <stp>102042443 10</stp>
        <tr r="X34" s="17"/>
        <tr r="K17" s="27"/>
      </tp>
      <tp>
        <v>0</v>
        <stp/>
        <stp>102042442 13</stp>
        <tr r="T33" s="17"/>
      </tp>
      <tp>
        <v>0</v>
        <stp/>
        <stp>102042443 13</stp>
        <tr r="T34" s="17"/>
      </tp>
      <tp>
        <v>0</v>
        <stp/>
        <stp>102042442 12</stp>
        <tr r="O33" s="17"/>
        <tr r="E17" s="27"/>
      </tp>
      <tp>
        <v>0</v>
        <stp/>
        <stp>102042443 12</stp>
        <tr r="O34" s="17"/>
        <tr r="M17" s="27"/>
      </tp>
      <tp>
        <v>0</v>
        <stp/>
        <stp>102042442 15</stp>
        <tr r="V33" s="17"/>
      </tp>
      <tp>
        <v>0</v>
        <stp/>
        <stp>102042443 15</stp>
        <tr r="V34" s="17"/>
      </tp>
      <tp>
        <v>308885</v>
        <stp/>
        <stp>102042442 14</stp>
        <tr r="H17" s="27"/>
        <tr r="U33" s="17"/>
      </tp>
      <tp>
        <v>305</v>
        <stp/>
        <stp>102042443 14</stp>
        <tr r="J17" s="27"/>
        <tr r="U34" s="17"/>
      </tp>
      <tp>
        <v>0</v>
        <stp/>
        <stp>102042442 17</stp>
        <tr r="AB33" s="17"/>
      </tp>
      <tp>
        <v>0</v>
        <stp/>
        <stp>102042443 17</stp>
        <tr r="AB34" s="17"/>
      </tp>
      <tp>
        <v>0</v>
        <stp/>
        <stp>102042442 16</stp>
        <tr r="W33" s="17"/>
      </tp>
      <tp>
        <v>0</v>
        <stp/>
        <stp>102042443 16</stp>
        <tr r="W34" s="17"/>
      </tp>
      <tp>
        <v>0</v>
        <stp/>
        <stp>102042442 40</stp>
        <tr r="AC33" s="17"/>
        <tr r="C17" s="27"/>
      </tp>
      <tp>
        <v>0</v>
        <stp/>
        <stp>102042443 40</stp>
        <tr r="AC34" s="17"/>
        <tr r="O17" s="27"/>
      </tp>
      <tp>
        <v>0</v>
        <stp/>
        <stp>102035047 40</stp>
        <tr r="AC172" s="17"/>
        <tr r="O86" s="27"/>
      </tp>
      <tp>
        <v>340</v>
        <stp/>
        <stp>102035046 40</stp>
        <tr r="AC171" s="17"/>
        <tr r="C86" s="27"/>
      </tp>
      <tp>
        <v>0</v>
        <stp/>
        <stp>102035017 40</stp>
        <tr r="O84" s="27"/>
        <tr r="AC168" s="17"/>
      </tp>
      <tp>
        <v>60</v>
        <stp/>
        <stp>102035016 40</stp>
        <tr r="AC167" s="17"/>
        <tr r="C84" s="27"/>
      </tp>
      <tp>
        <v>0</v>
        <stp/>
        <stp>102035027 40</stp>
        <tr r="O85" s="27"/>
        <tr r="AC170" s="17"/>
      </tp>
      <tp>
        <v>0</v>
        <stp/>
        <stp>102035026 40</stp>
        <tr r="C85" s="27"/>
        <tr r="AC169" s="17"/>
      </tp>
      <tp>
        <v>342205</v>
        <stp/>
        <stp>102035017 24</stp>
        <tr r="P168" s="17"/>
      </tp>
      <tp>
        <v>100</v>
        <stp/>
        <stp>102035027 27</stp>
        <tr r="S170" s="17"/>
      </tp>
      <tp>
        <v>10</v>
        <stp/>
        <stp>102035016 24</stp>
        <tr r="P167" s="17"/>
      </tp>
      <tp>
        <v>60</v>
        <stp/>
        <stp>102035026 27</stp>
        <tr r="S169" s="17"/>
      </tp>
      <tp>
        <v>100</v>
        <stp/>
        <stp>102035017 25</stp>
        <tr r="Q168" s="17"/>
      </tp>
      <tp>
        <v>365075</v>
        <stp/>
        <stp>102035027 26</stp>
        <tr r="R170" s="17"/>
      </tp>
      <tp>
        <v>1265466666</v>
        <stp/>
        <stp>102035047 20</stp>
        <tr r="Z172" s="17"/>
      </tp>
      <tp>
        <v>40</v>
        <stp/>
        <stp>102035016 25</stp>
        <tr r="Q167" s="17"/>
      </tp>
      <tp>
        <v>40</v>
        <stp/>
        <stp>102035026 26</stp>
        <tr r="R169" s="17"/>
      </tp>
      <tp>
        <v>1266053493</v>
        <stp/>
        <stp>102035046 20</stp>
        <tr r="Z171" s="17"/>
      </tp>
      <tp>
        <v>355075</v>
        <stp/>
        <stp>102035017 26</stp>
        <tr r="R168" s="17"/>
      </tp>
      <tp>
        <v>100</v>
        <stp/>
        <stp>102035027 25</stp>
        <tr r="Q170" s="17"/>
      </tp>
      <tp>
        <v>20</v>
        <stp/>
        <stp>102035016 26</stp>
        <tr r="R167" s="17"/>
      </tp>
      <tp>
        <v>0</v>
        <stp/>
        <stp>102035026 25</stp>
        <tr r="Q169" s="17"/>
      </tp>
      <tp>
        <v>100</v>
        <stp/>
        <stp>102035017 27</stp>
        <tr r="S168" s="17"/>
      </tp>
      <tp>
        <v>352195</v>
        <stp/>
        <stp>102035027 24</stp>
        <tr r="P170" s="17"/>
      </tp>
      <tp>
        <v>20</v>
        <stp/>
        <stp>102035016 27</stp>
        <tr r="S167" s="17"/>
      </tp>
      <tp>
        <v>0</v>
        <stp/>
        <stp>102035026 24</stp>
        <tr r="P169" s="17"/>
      </tp>
      <tp>
        <v>0</v>
        <stp/>
        <stp>102035017 20</stp>
        <tr r="Z168" s="17"/>
      </tp>
      <tp>
        <v>100</v>
        <stp/>
        <stp>102035047 25</stp>
        <tr r="Q172" s="17"/>
      </tp>
      <tp>
        <v>1266056939</v>
        <stp/>
        <stp>102035016 20</stp>
        <tr r="Z167" s="17"/>
      </tp>
      <tp>
        <v>0</v>
        <stp/>
        <stp>102035046 25</stp>
        <tr r="Q171" s="17"/>
      </tp>
      <tp>
        <v>362195</v>
        <stp/>
        <stp>102035047 24</stp>
        <tr r="P172" s="17"/>
      </tp>
      <tp>
        <v>0</v>
        <stp/>
        <stp>102035046 24</stp>
        <tr r="P171" s="17"/>
      </tp>
      <tp>
        <v>20</v>
        <stp/>
        <stp>102035047 27</stp>
        <tr r="S172" s="17"/>
      </tp>
      <tp>
        <v>2000</v>
        <stp/>
        <stp>102035046 27</stp>
        <tr r="S171" s="17"/>
      </tp>
      <tp>
        <v>0</v>
        <stp/>
        <stp>102035027 20</stp>
        <tr r="Z170" s="17"/>
      </tp>
      <tp>
        <v>372180</v>
        <stp/>
        <stp>102035047 26</stp>
        <tr r="R172" s="17"/>
      </tp>
      <tp>
        <v>1265894309</v>
        <stp/>
        <stp>102035026 20</stp>
        <tr r="Z169" s="17"/>
      </tp>
      <tp>
        <v>35</v>
        <stp/>
        <stp>102035046 26</stp>
        <tr r="R171" s="17"/>
      </tp>
      <tp>
        <v>0</v>
        <stp/>
        <stp>102035017 34</stp>
        <tr r="AD168" s="17"/>
      </tp>
      <tp>
        <v>0</v>
        <stp/>
        <stp>102035016 34</stp>
        <tr r="AD167" s="17"/>
      </tp>
      <tp>
        <v>0</v>
        <stp/>
        <stp>102035027 34</stp>
        <tr r="AD170" s="17"/>
      </tp>
      <tp>
        <v>0</v>
        <stp/>
        <stp>102035026 34</stp>
        <tr r="AD169" s="17"/>
      </tp>
      <tp>
        <v>0</v>
        <stp/>
        <stp>102035047 34</stp>
        <tr r="AD172" s="17"/>
      </tp>
      <tp>
        <v>0</v>
        <stp/>
        <stp>102035046 34</stp>
        <tr r="AD171" s="17"/>
      </tp>
      <tp>
        <v>0</v>
        <stp/>
        <stp>102035047 18</stp>
        <tr r="AA172" s="17"/>
      </tp>
      <tp>
        <v>0</v>
        <stp/>
        <stp>102035046 18</stp>
        <tr r="AA171" s="17"/>
      </tp>
      <tp>
        <v>0</v>
        <stp/>
        <stp>102035017 18</stp>
        <tr r="AA168" s="17"/>
      </tp>
      <tp>
        <v>0</v>
        <stp/>
        <stp>102035016 18</stp>
        <tr r="AA167" s="17"/>
      </tp>
      <tp>
        <v>0</v>
        <stp/>
        <stp>102035027 18</stp>
        <tr r="AA170" s="17"/>
      </tp>
      <tp>
        <v>0</v>
        <stp/>
        <stp>102035026 18</stp>
        <tr r="AA169" s="17"/>
      </tp>
      <tp>
        <v>270115</v>
        <stp/>
        <stp>102035017 14</stp>
        <tr r="J84" s="27"/>
        <tr r="U168" s="17"/>
      </tp>
      <tp>
        <v>0</v>
        <stp/>
        <stp>102035027 17</stp>
        <tr r="AB170" s="17"/>
      </tp>
      <tp>
        <v>20</v>
        <stp/>
        <stp>102035047 11</stp>
        <tr r="Y172" s="17"/>
      </tp>
      <tp>
        <v>24165</v>
        <stp/>
        <stp>102035016 14</stp>
        <tr r="H84" s="27"/>
        <tr r="U167" s="17"/>
      </tp>
      <tp>
        <v>0</v>
        <stp/>
        <stp>102035026 17</stp>
        <tr r="AB169" s="17"/>
      </tp>
      <tp>
        <v>20</v>
        <stp/>
        <stp>102035046 11</stp>
        <tr r="Y171" s="17"/>
      </tp>
      <tp>
        <v>0</v>
        <stp/>
        <stp>102035017 15</stp>
        <tr r="V168" s="17"/>
      </tp>
      <tp>
        <v>0</v>
        <stp/>
        <stp>102035027 16</stp>
        <tr r="W170" s="17"/>
      </tp>
      <tp>
        <v>359480</v>
        <stp/>
        <stp>102035047 10</stp>
        <tr r="K86" s="27"/>
        <tr r="X172" s="17"/>
      </tp>
      <tp>
        <v>65</v>
        <stp/>
        <stp>102035016 15</stp>
        <tr r="V167" s="17"/>
      </tp>
      <tp>
        <v>0</v>
        <stp/>
        <stp>102035026 16</stp>
        <tr r="W169" s="17"/>
      </tp>
      <tp>
        <v>40</v>
        <stp/>
        <stp>102035046 10</stp>
        <tr r="G86" s="27"/>
        <tr r="X171" s="17"/>
      </tp>
      <tp>
        <v>3133240</v>
        <stp/>
        <stp>102045041 10</stp>
        <tr r="R4" s="27"/>
      </tp>
      <tp>
        <v>0</v>
        <stp/>
        <stp>102035017 16</stp>
        <tr r="W168" s="17"/>
      </tp>
      <tp>
        <v>0</v>
        <stp/>
        <stp>102035027 15</stp>
        <tr r="V170" s="17"/>
      </tp>
      <tp>
        <v>0</v>
        <stp/>
        <stp>102035047 13</stp>
        <tr r="T172" s="17"/>
      </tp>
      <tp>
        <v>15</v>
        <stp/>
        <stp>102035016 16</stp>
        <tr r="W167" s="17"/>
      </tp>
      <tp>
        <v>0</v>
        <stp/>
        <stp>102035026 15</stp>
        <tr r="V169" s="17"/>
      </tp>
      <tp>
        <v>40</v>
        <stp/>
        <stp>102035046 13</stp>
        <tr r="T171" s="17"/>
      </tp>
      <tp>
        <v>0</v>
        <stp/>
        <stp>102035017 17</stp>
        <tr r="AB168" s="17"/>
      </tp>
      <tp>
        <v>278455</v>
        <stp/>
        <stp>102035027 14</stp>
        <tr r="J85" s="27"/>
        <tr r="U170" s="17"/>
      </tp>
      <tp>
        <v>0</v>
        <stp/>
        <stp>102035047 12</stp>
        <tr r="M86" s="27"/>
        <tr r="O172" s="17"/>
      </tp>
      <tp>
        <v>0</v>
        <stp/>
        <stp>102035016 17</stp>
        <tr r="AB167" s="17"/>
      </tp>
      <tp>
        <v>100</v>
        <stp/>
        <stp>102035026 14</stp>
        <tr r="H85" s="27"/>
        <tr r="U169" s="17"/>
      </tp>
      <tp>
        <v>20</v>
        <stp/>
        <stp>102035046 12</stp>
        <tr r="E86" s="27"/>
        <tr r="O171" s="17"/>
      </tp>
      <tp>
        <v>0</v>
        <stp/>
        <stp>102035017 10</stp>
        <tr r="X168" s="17"/>
        <tr r="K84" s="27"/>
      </tp>
      <tp>
        <v>0</v>
        <stp/>
        <stp>102035027 13</stp>
        <tr r="T170" s="17"/>
      </tp>
      <tp>
        <v>0</v>
        <stp/>
        <stp>102035047 15</stp>
        <tr r="V172" s="17"/>
      </tp>
      <tp>
        <v>15</v>
        <stp/>
        <stp>102035016 10</stp>
        <tr r="G84" s="27"/>
        <tr r="X167" s="17"/>
      </tp>
      <tp>
        <v>0</v>
        <stp/>
        <stp>102035026 13</stp>
        <tr r="T169" s="17"/>
      </tp>
      <tp>
        <v>40</v>
        <stp/>
        <stp>102035046 15</stp>
        <tr r="V171" s="17"/>
      </tp>
      <tp>
        <v>0</v>
        <stp/>
        <stp>102035017 11</stp>
        <tr r="Y168" s="17"/>
      </tp>
      <tp>
        <v>0</v>
        <stp/>
        <stp>102035027 12</stp>
        <tr r="O170" s="17"/>
        <tr r="M85" s="27"/>
      </tp>
      <tp>
        <v>359480</v>
        <stp/>
        <stp>102035047 14</stp>
        <tr r="J86" s="27"/>
        <tr r="U172" s="17"/>
      </tp>
      <tp>
        <v>40</v>
        <stp/>
        <stp>102035016 11</stp>
        <tr r="Y167" s="17"/>
      </tp>
      <tp>
        <v>0</v>
        <stp/>
        <stp>102035026 12</stp>
        <tr r="O169" s="17"/>
        <tr r="E85" s="27"/>
      </tp>
      <tp>
        <v>50</v>
        <stp/>
        <stp>102035046 14</stp>
        <tr r="H86" s="27"/>
        <tr r="U171" s="17"/>
      </tp>
      <tp>
        <v>0</v>
        <stp/>
        <stp>102035017 12</stp>
        <tr r="O168" s="17"/>
        <tr r="M84" s="27"/>
      </tp>
      <tp>
        <v>0</v>
        <stp/>
        <stp>102035027 11</stp>
        <tr r="Y170" s="17"/>
      </tp>
      <tp>
        <v>0</v>
        <stp/>
        <stp>102035047 17</stp>
        <tr r="AB172" s="17"/>
      </tp>
      <tp>
        <v>270060</v>
        <stp/>
        <stp>102035016 12</stp>
        <tr r="O167" s="17"/>
        <tr r="E84" s="27"/>
      </tp>
      <tp>
        <v>20</v>
        <stp/>
        <stp>102035026 11</stp>
        <tr r="Y169" s="17"/>
      </tp>
      <tp>
        <v>0</v>
        <stp/>
        <stp>102035046 17</stp>
        <tr r="AB171" s="17"/>
      </tp>
      <tp>
        <v>0</v>
        <stp/>
        <stp>102035017 13</stp>
        <tr r="T168" s="17"/>
      </tp>
      <tp>
        <v>0</v>
        <stp/>
        <stp>102035027 10</stp>
        <tr r="X170" s="17"/>
        <tr r="K85" s="27"/>
      </tp>
      <tp>
        <v>0</v>
        <stp/>
        <stp>102035047 16</stp>
        <tr r="W172" s="17"/>
      </tp>
      <tp>
        <v>40</v>
        <stp/>
        <stp>102035016 13</stp>
        <tr r="T167" s="17"/>
      </tp>
      <tp>
        <v>100</v>
        <stp/>
        <stp>102035026 10</stp>
        <tr r="X169" s="17"/>
        <tr r="G85" s="27"/>
      </tp>
      <tp>
        <v>40</v>
        <stp/>
        <stp>102035046 16</stp>
        <tr r="W171" s="17"/>
      </tp>
      <tp>
        <v>35</v>
        <stp/>
        <stp>102056799 14</stp>
        <tr r="J12" s="27"/>
        <tr r="U24" s="17"/>
      </tp>
      <tp>
        <v>0</v>
        <stp/>
        <stp>102056784 15</stp>
        <tr r="V23" s="17"/>
      </tp>
      <tp>
        <v>0</v>
        <stp/>
        <stp>102056799 15</stp>
        <tr r="V24" s="17"/>
      </tp>
      <tp>
        <v>310590</v>
        <stp/>
        <stp>102056784 14</stp>
        <tr r="H12" s="27"/>
        <tr r="U23" s="17"/>
      </tp>
      <tp>
        <v>0</v>
        <stp/>
        <stp>102056799 16</stp>
        <tr r="W24" s="17"/>
      </tp>
      <tp>
        <v>0</v>
        <stp/>
        <stp>102056784 17</stp>
        <tr r="AB23" s="17"/>
      </tp>
      <tp>
        <v>0</v>
        <stp/>
        <stp>102056799 17</stp>
        <tr r="AB24" s="17"/>
      </tp>
      <tp>
        <v>0</v>
        <stp/>
        <stp>102056784 16</stp>
        <tr r="W23" s="17"/>
      </tp>
      <tp>
        <v>0</v>
        <stp/>
        <stp>102056799 10</stp>
        <tr r="X24" s="17"/>
        <tr r="K12" s="27"/>
      </tp>
      <tp>
        <v>0</v>
        <stp/>
        <stp>102056784 11</stp>
        <tr r="Y23" s="17"/>
      </tp>
      <tp>
        <v>0</v>
        <stp/>
        <stp>102056799 11</stp>
        <tr r="Y24" s="17"/>
      </tp>
      <tp>
        <v>0</v>
        <stp/>
        <stp>102056784 10</stp>
        <tr r="X23" s="17"/>
        <tr r="G12" s="27"/>
      </tp>
      <tp>
        <v>0</v>
        <stp/>
        <stp>102056799 12</stp>
        <tr r="O24" s="17"/>
        <tr r="M12" s="27"/>
      </tp>
      <tp>
        <v>0</v>
        <stp/>
        <stp>102056784 13</stp>
        <tr r="T23" s="17"/>
      </tp>
      <tp>
        <v>0</v>
        <stp/>
        <stp>102056799 13</stp>
        <tr r="T24" s="17"/>
      </tp>
      <tp>
        <v>0</v>
        <stp/>
        <stp>102056784 12</stp>
        <tr r="O23" s="17"/>
        <tr r="E12" s="27"/>
      </tp>
      <tp>
        <v>0</v>
        <stp/>
        <stp>102036255 40</stp>
        <tr r="AC20" s="17"/>
        <tr r="O10" s="27"/>
      </tp>
      <tp>
        <v>0</v>
        <stp/>
        <stp>102036254 40</stp>
        <tr r="AC19" s="17"/>
        <tr r="C10" s="27"/>
      </tp>
      <tp>
        <v>0</v>
        <stp/>
        <stp>102036257 40</stp>
        <tr r="AC22" s="17"/>
        <tr r="O11" s="27"/>
      </tp>
      <tp>
        <v>0</v>
        <stp/>
        <stp>102036256 40</stp>
        <tr r="AC21" s="17"/>
        <tr r="C11" s="27"/>
      </tp>
      <tp>
        <v>0</v>
        <stp/>
        <stp>102036241 40</stp>
        <tr r="AC16" s="17"/>
        <tr r="O8" s="27"/>
      </tp>
      <tp>
        <v>0</v>
        <stp/>
        <stp>102036240 40</stp>
        <tr r="AC15" s="17"/>
        <tr r="C8" s="27"/>
      </tp>
      <tp>
        <v>0</v>
        <stp/>
        <stp>102036243 40</stp>
        <tr r="AC18" s="17"/>
        <tr r="O9" s="27"/>
      </tp>
      <tp>
        <v>0</v>
        <stp/>
        <stp>102036242 40</stp>
        <tr r="AC17" s="17"/>
        <tr r="C9" s="27"/>
      </tp>
      <tp>
        <v>0</v>
        <stp/>
        <stp>102046538 34</stp>
        <tr r="AD29" s="17"/>
      </tp>
      <tp>
        <v>0</v>
        <stp/>
        <stp>102046539 34</stp>
        <tr r="AD30" s="17"/>
      </tp>
      <tp>
        <v>0</v>
        <stp/>
        <stp>102056799 18</stp>
        <tr r="AA24" s="17"/>
      </tp>
      <tp>
        <v>0</v>
        <stp/>
        <stp>102046546 34</stp>
        <tr r="AD32" s="17"/>
      </tp>
      <tp>
        <v>0</v>
        <stp/>
        <stp>102056784 18</stp>
        <tr r="AA23" s="17"/>
      </tp>
      <tp>
        <v>0</v>
        <stp/>
        <stp>102046541 34</stp>
        <tr r="AD31" s="17"/>
      </tp>
      <tp>
        <v>0</v>
        <stp/>
        <stp>102036239 40</stp>
        <tr r="AC14" s="17"/>
        <tr r="O7" s="27"/>
      </tp>
      <tp>
        <v>0</v>
        <stp/>
        <stp>102036238 40</stp>
        <tr r="AC13" s="17"/>
        <tr r="C7" s="27"/>
      </tp>
      <tp>
        <v>200</v>
        <stp/>
        <stp>102036231 40</stp>
        <tr r="O5" s="27"/>
        <tr r="AC10" s="17"/>
      </tp>
      <tp>
        <v>0</v>
        <stp/>
        <stp>102036230 40</stp>
        <tr r="AC6" s="17"/>
        <tr r="AC9" s="17"/>
        <tr r="C5" s="27"/>
      </tp>
      <tp>
        <v>0</v>
        <stp/>
        <stp>102036233 40</stp>
        <tr r="AC12" s="17"/>
        <tr r="O6" s="27"/>
      </tp>
      <tp>
        <v>0</v>
        <stp/>
        <stp>102036232 40</stp>
        <tr r="AC11" s="17"/>
        <tr r="C6" s="27"/>
      </tp>
      <tp>
        <v>3720</v>
        <stp/>
        <stp>102036225 40</stp>
        <tr r="AC8" s="17"/>
        <tr r="AC5" s="17"/>
        <tr r="O4" s="27"/>
      </tp>
      <tp>
        <v>0</v>
        <stp/>
        <stp>102036224 40</stp>
        <tr r="AC7" s="17"/>
        <tr r="C4" s="27"/>
        <tr r="AC4" s="17"/>
      </tp>
      <tp>
        <v>346345</v>
        <stp/>
        <stp>102046538 26</stp>
        <tr r="R29" s="17"/>
      </tp>
      <tp>
        <v>50</v>
        <stp/>
        <stp>102046539 26</stp>
        <tr r="R30" s="17"/>
      </tp>
      <tp>
        <v>100</v>
        <stp/>
        <stp>102046538 27</stp>
        <tr r="S29" s="17"/>
      </tp>
      <tp>
        <v>20</v>
        <stp/>
        <stp>102046539 27</stp>
        <tr r="S30" s="17"/>
      </tp>
      <tp>
        <v>1266057495</v>
        <stp/>
        <stp>102046546 20</stp>
        <tr r="Z32" s="17"/>
      </tp>
      <tp>
        <v>1265536133</v>
        <stp/>
        <stp>102046541 20</stp>
        <tr r="Z31" s="17"/>
      </tp>
      <tp>
        <v>334805</v>
        <stp/>
        <stp>102046538 24</stp>
        <tr r="P29" s="17"/>
      </tp>
      <tp>
        <v>0</v>
        <stp/>
        <stp>102046539 24</stp>
        <tr r="P30" s="17"/>
      </tp>
      <tp>
        <v>100</v>
        <stp/>
        <stp>102046538 25</stp>
        <tr r="Q29" s="17"/>
      </tp>
      <tp>
        <v>0</v>
        <stp/>
        <stp>102046539 25</stp>
        <tr r="Q30" s="17"/>
      </tp>
      <tp>
        <v>0</v>
        <stp/>
        <stp>102046546 25</stp>
        <tr r="Q32" s="17"/>
      </tp>
      <tp>
        <v>20</v>
        <stp/>
        <stp>102046541 25</stp>
        <tr r="Q31" s="17"/>
      </tp>
      <tp>
        <v>0</v>
        <stp/>
        <stp>102046546 24</stp>
        <tr r="P32" s="17"/>
      </tp>
      <tp>
        <v>326755</v>
        <stp/>
        <stp>102046541 24</stp>
        <tr r="P31" s="17"/>
      </tp>
      <tp>
        <v>0</v>
        <stp/>
        <stp>102046538 20</stp>
        <tr r="Z29" s="17"/>
      </tp>
      <tp>
        <v>1265547792</v>
        <stp/>
        <stp>102046539 20</stp>
        <tr r="Z30" s="17"/>
      </tp>
      <tp>
        <v>1780</v>
        <stp/>
        <stp>102046546 27</stp>
        <tr r="S32" s="17"/>
      </tp>
      <tp>
        <v>20</v>
        <stp/>
        <stp>102046541 27</stp>
        <tr r="S31" s="17"/>
      </tp>
      <tp>
        <v>15</v>
        <stp/>
        <stp>102046546 26</stp>
        <tr r="R32" s="17"/>
      </tp>
      <tp>
        <v>332690</v>
        <stp/>
        <stp>102046541 26</stp>
        <tr r="R31" s="17"/>
      </tp>
      <tp>
        <v>0</v>
        <stp/>
        <stp>102056799 34</stp>
        <tr r="AD24" s="17"/>
      </tp>
      <tp>
        <v>0</v>
        <stp/>
        <stp>102046546 18</stp>
        <tr r="AA32" s="17"/>
      </tp>
      <tp>
        <v>0</v>
        <stp/>
        <stp>102056784 34</stp>
        <tr r="AD23" s="17"/>
      </tp>
      <tp>
        <v>0</v>
        <stp/>
        <stp>102046541 18</stp>
        <tr r="AA31" s="17"/>
      </tp>
      <tp>
        <v>0</v>
        <stp/>
        <stp>102046538 18</stp>
        <tr r="AA29" s="17"/>
      </tp>
      <tp>
        <v>0</v>
        <stp/>
        <stp>102046539 18</stp>
        <tr r="AA30" s="17"/>
      </tp>
      <tp>
        <v>0</v>
        <stp/>
        <stp>102046538 16</stp>
        <tr r="W29" s="17"/>
      </tp>
      <tp>
        <v>0</v>
        <stp/>
        <stp>102046539 16</stp>
        <tr r="W30" s="17"/>
      </tp>
      <tp>
        <v>260</v>
        <stp/>
        <stp>102046546 11</stp>
        <tr r="Y32" s="17"/>
      </tp>
      <tp>
        <v>20</v>
        <stp/>
        <stp>102046541 11</stp>
        <tr r="Y31" s="17"/>
      </tp>
      <tp>
        <v>0</v>
        <stp/>
        <stp>102046538 17</stp>
        <tr r="AB29" s="17"/>
      </tp>
      <tp>
        <v>0</v>
        <stp/>
        <stp>102046539 17</stp>
        <tr r="AB30" s="17"/>
      </tp>
      <tp>
        <v>20</v>
        <stp/>
        <stp>102046546 10</stp>
        <tr r="K16" s="27"/>
        <tr r="X32" s="17"/>
      </tp>
      <tp>
        <v>317365</v>
        <stp/>
        <stp>102046541 10</stp>
        <tr r="G16" s="27"/>
        <tr r="X31" s="17"/>
      </tp>
      <tp>
        <v>315120</v>
        <stp/>
        <stp>102046538 14</stp>
        <tr r="H15" s="27"/>
        <tr r="U29" s="17"/>
      </tp>
      <tp>
        <v>305</v>
        <stp/>
        <stp>102046539 14</stp>
        <tr r="J15" s="27"/>
        <tr r="U30" s="17"/>
      </tp>
      <tp>
        <v>20</v>
        <stp/>
        <stp>102046546 13</stp>
        <tr r="T32" s="17"/>
      </tp>
      <tp>
        <v>0</v>
        <stp/>
        <stp>102046541 13</stp>
        <tr r="T31" s="17"/>
      </tp>
      <tp>
        <v>0</v>
        <stp/>
        <stp>102046538 15</stp>
        <tr r="V29" s="17"/>
      </tp>
      <tp>
        <v>0</v>
        <stp/>
        <stp>102046539 15</stp>
        <tr r="V30" s="17"/>
      </tp>
      <tp>
        <v>1220</v>
        <stp/>
        <stp>102046546 12</stp>
        <tr r="M16" s="27"/>
        <tr r="O32" s="17"/>
      </tp>
      <tp>
        <v>0</v>
        <stp/>
        <stp>102046541 12</stp>
        <tr r="E16" s="27"/>
        <tr r="O31" s="17"/>
      </tp>
      <tp>
        <v>0</v>
        <stp/>
        <stp>102046538 12</stp>
        <tr r="O29" s="17"/>
        <tr r="E15" s="27"/>
      </tp>
      <tp>
        <v>0</v>
        <stp/>
        <stp>102046539 12</stp>
        <tr r="O30" s="17"/>
        <tr r="M15" s="27"/>
      </tp>
      <tp>
        <v>20</v>
        <stp/>
        <stp>102046546 15</stp>
        <tr r="V32" s="17"/>
      </tp>
      <tp>
        <v>0</v>
        <stp/>
        <stp>102046541 15</stp>
        <tr r="V31" s="17"/>
      </tp>
      <tp>
        <v>0</v>
        <stp/>
        <stp>102046538 13</stp>
        <tr r="T29" s="17"/>
      </tp>
      <tp>
        <v>0</v>
        <stp/>
        <stp>102046539 13</stp>
        <tr r="T30" s="17"/>
      </tp>
      <tp>
        <v>30</v>
        <stp/>
        <stp>102046546 14</stp>
        <tr r="J16" s="27"/>
        <tr r="U32" s="17"/>
      </tp>
      <tp>
        <v>317365</v>
        <stp/>
        <stp>102046541 14</stp>
        <tr r="H16" s="27"/>
        <tr r="U31" s="17"/>
      </tp>
      <tp>
        <v>0</v>
        <stp/>
        <stp>102046538 10</stp>
        <tr r="X29" s="17"/>
        <tr r="G15" s="27"/>
      </tp>
      <tp>
        <v>305</v>
        <stp/>
        <stp>102046539 10</stp>
        <tr r="X30" s="17"/>
        <tr r="K15" s="27"/>
      </tp>
      <tp>
        <v>0</v>
        <stp/>
        <stp>102046546 17</stp>
        <tr r="AB32" s="17"/>
      </tp>
      <tp>
        <v>0</v>
        <stp/>
        <stp>102046541 17</stp>
        <tr r="AB31" s="17"/>
      </tp>
      <tp>
        <v>0</v>
        <stp/>
        <stp>102046538 11</stp>
        <tr r="Y29" s="17"/>
      </tp>
      <tp>
        <v>20</v>
        <stp/>
        <stp>102046539 11</stp>
        <tr r="Y30" s="17"/>
      </tp>
      <tp>
        <v>15</v>
        <stp/>
        <stp>102046546 16</stp>
        <tr r="W32" s="17"/>
      </tp>
      <tp>
        <v>0</v>
        <stp/>
        <stp>102046541 16</stp>
        <tr r="W31" s="17"/>
      </tp>
      <tp>
        <v>0</v>
        <stp/>
        <stp>102056799 24</stp>
        <tr r="P24" s="17"/>
      </tp>
      <tp>
        <v>100</v>
        <stp/>
        <stp>102056784 25</stp>
        <tr r="Q23" s="17"/>
      </tp>
      <tp>
        <v>0</v>
        <stp/>
        <stp>102056799 25</stp>
        <tr r="Q24" s="17"/>
      </tp>
      <tp>
        <v>364805</v>
        <stp/>
        <stp>102056784 24</stp>
        <tr r="P23" s="17"/>
      </tp>
      <tp>
        <v>50</v>
        <stp/>
        <stp>102056799 26</stp>
        <tr r="R24" s="17"/>
      </tp>
      <tp>
        <v>100</v>
        <stp/>
        <stp>102056784 27</stp>
        <tr r="S23" s="17"/>
      </tp>
      <tp>
        <v>20</v>
        <stp/>
        <stp>102056799 27</stp>
        <tr r="S24" s="17"/>
      </tp>
      <tp>
        <v>376345</v>
        <stp/>
        <stp>102056784 26</stp>
        <tr r="R23" s="17"/>
      </tp>
      <tp>
        <v>0</v>
        <stp/>
        <stp>102056799 20</stp>
        <tr r="Z24" s="17"/>
      </tp>
      <tp>
        <v>0</v>
        <stp/>
        <stp>102056784 20</stp>
        <tr r="Z23" s="17"/>
      </tp>
      <tp>
        <v>0</v>
        <stp/>
        <stp>102036255 18</stp>
        <tr r="AA20" s="17"/>
      </tp>
      <tp>
        <v>0</v>
        <stp/>
        <stp>102036254 18</stp>
        <tr r="AA19" s="17"/>
      </tp>
      <tp>
        <v>0</v>
        <stp/>
        <stp>102036257 18</stp>
        <tr r="AA22" s="17"/>
      </tp>
      <tp>
        <v>0</v>
        <stp/>
        <stp>102036256 18</stp>
        <tr r="AA21" s="17"/>
      </tp>
      <tp>
        <v>0</v>
        <stp/>
        <stp>102036241 18</stp>
        <tr r="AA16" s="17"/>
      </tp>
      <tp>
        <v>0</v>
        <stp/>
        <stp>102036240 18</stp>
        <tr r="AA15" s="17"/>
      </tp>
      <tp>
        <v>0</v>
        <stp/>
        <stp>102036243 18</stp>
        <tr r="AA18" s="17"/>
      </tp>
      <tp>
        <v>0</v>
        <stp/>
        <stp>102036242 18</stp>
        <tr r="AA17" s="17"/>
      </tp>
      <tp>
        <v>0</v>
        <stp/>
        <stp>102056799 40</stp>
        <tr r="O12" s="27"/>
        <tr r="AC24" s="17"/>
      </tp>
      <tp>
        <v>0</v>
        <stp/>
        <stp>102056784 40</stp>
        <tr r="AC23" s="17"/>
        <tr r="C12" s="27"/>
      </tp>
      <tp>
        <v>0</v>
        <stp/>
        <stp>102036239 18</stp>
        <tr r="AA14" s="17"/>
      </tp>
      <tp>
        <v>0</v>
        <stp/>
        <stp>102036238 18</stp>
        <tr r="AA13" s="17"/>
      </tp>
      <tp>
        <v>0</v>
        <stp/>
        <stp>102036231 18</stp>
        <tr r="AA10" s="17"/>
      </tp>
      <tp>
        <v>0</v>
        <stp/>
        <stp>102036230 18</stp>
        <tr r="AA9" s="17"/>
        <tr r="AA6" s="17"/>
      </tp>
      <tp>
        <v>0</v>
        <stp/>
        <stp>102036233 18</stp>
        <tr r="AA12" s="17"/>
      </tp>
      <tp>
        <v>0</v>
        <stp/>
        <stp>102036232 18</stp>
        <tr r="AA11" s="17"/>
      </tp>
      <tp>
        <v>0</v>
        <stp/>
        <stp>102036225 18</stp>
        <tr r="AA8" s="17"/>
        <tr r="AA5" s="17"/>
      </tp>
      <tp>
        <v>0</v>
        <stp/>
        <stp>102036224 18</stp>
        <tr r="AA7" s="17"/>
        <tr r="AA4" s="17"/>
      </tp>
      <tp>
        <v>0</v>
        <stp/>
        <stp>102036239 16</stp>
        <tr r="W14" s="17"/>
      </tp>
      <tp>
        <v>0</v>
        <stp/>
        <stp>102036238 16</stp>
        <tr r="W13" s="17"/>
      </tp>
      <tp>
        <v>15</v>
        <stp/>
        <stp>102036231 16</stp>
        <tr r="W10" s="17"/>
      </tp>
      <tp>
        <v>20</v>
        <stp/>
        <stp>102036241 11</stp>
        <tr r="Y16" s="17"/>
      </tp>
      <tp>
        <v>0</v>
        <stp/>
        <stp>102036230 16</stp>
        <tr r="W9" s="17"/>
        <tr r="W6" s="17"/>
      </tp>
      <tp>
        <v>0</v>
        <stp/>
        <stp>102036240 11</stp>
        <tr r="Y15" s="17"/>
      </tp>
      <tp>
        <v>0</v>
        <stp/>
        <stp>102036233 16</stp>
        <tr r="W12" s="17"/>
      </tp>
      <tp>
        <v>20</v>
        <stp/>
        <stp>102036243 11</stp>
        <tr r="Y18" s="17"/>
      </tp>
      <tp>
        <v>0</v>
        <stp/>
        <stp>102036232 16</stp>
        <tr r="W11" s="17"/>
      </tp>
      <tp>
        <v>0</v>
        <stp/>
        <stp>102036242 11</stp>
        <tr r="Y17" s="17"/>
      </tp>
      <tp>
        <v>0</v>
        <stp/>
        <stp>102036225 17</stp>
        <tr r="AB5" s="17"/>
        <tr r="AB8" s="17"/>
      </tp>
      <tp>
        <v>100</v>
        <stp/>
        <stp>102036255 10</stp>
        <tr r="X20" s="17"/>
        <tr r="K10" s="27"/>
      </tp>
      <tp>
        <v>0</v>
        <stp/>
        <stp>102036224 17</stp>
        <tr r="AB4" s="17"/>
        <tr r="AB7" s="17"/>
      </tp>
      <tp>
        <v>0</v>
        <stp/>
        <stp>102036254 10</stp>
        <tr r="X19" s="17"/>
        <tr r="G10" s="27"/>
      </tp>
      <tp>
        <v>180</v>
        <stp/>
        <stp>102036257 10</stp>
        <tr r="X22" s="17"/>
        <tr r="K11" s="27"/>
      </tp>
      <tp>
        <v>0</v>
        <stp/>
        <stp>102036256 10</stp>
        <tr r="X21" s="17"/>
        <tr r="G11" s="27"/>
      </tp>
      <tp>
        <v>0</v>
        <stp/>
        <stp>102036239 17</stp>
        <tr r="AB14" s="17"/>
      </tp>
      <tp>
        <v>0</v>
        <stp/>
        <stp>102036238 17</stp>
        <tr r="AB13" s="17"/>
      </tp>
      <tp>
        <v>0</v>
        <stp/>
        <stp>102036231 17</stp>
        <tr r="AB10" s="17"/>
      </tp>
      <tp>
        <v>105</v>
        <stp/>
        <stp>102036241 10</stp>
        <tr r="K8" s="27"/>
        <tr r="X16" s="17"/>
      </tp>
      <tp>
        <v>0</v>
        <stp/>
        <stp>102036230 17</stp>
        <tr r="AB9" s="17"/>
        <tr r="AB6" s="17"/>
      </tp>
      <tp>
        <v>0</v>
        <stp/>
        <stp>102036240 10</stp>
        <tr r="X15" s="17"/>
        <tr r="G8" s="27"/>
      </tp>
      <tp>
        <v>0</v>
        <stp/>
        <stp>102036233 17</stp>
        <tr r="AB12" s="17"/>
      </tp>
      <tp>
        <v>65</v>
        <stp/>
        <stp>102036243 10</stp>
        <tr r="X18" s="17"/>
        <tr r="K9" s="27"/>
      </tp>
      <tp>
        <v>0</v>
        <stp/>
        <stp>102036232 17</stp>
        <tr r="AB11" s="17"/>
      </tp>
      <tp>
        <v>0</v>
        <stp/>
        <stp>102036242 10</stp>
        <tr r="G9" s="27"/>
        <tr r="X17" s="17"/>
      </tp>
      <tp>
        <v>15</v>
        <stp/>
        <stp>102036225 16</stp>
        <tr r="W5" s="17"/>
        <tr r="W8" s="17"/>
      </tp>
      <tp>
        <v>40</v>
        <stp/>
        <stp>102036255 11</stp>
        <tr r="Y20" s="17"/>
      </tp>
      <tp>
        <v>0</v>
        <stp/>
        <stp>102036224 16</stp>
        <tr r="W4" s="17"/>
        <tr r="W7" s="17"/>
      </tp>
      <tp>
        <v>0</v>
        <stp/>
        <stp>102036254 11</stp>
        <tr r="Y19" s="17"/>
      </tp>
      <tp>
        <v>20</v>
        <stp/>
        <stp>102036257 11</stp>
        <tr r="Y22" s="17"/>
      </tp>
      <tp>
        <v>0</v>
        <stp/>
        <stp>102036256 11</stp>
        <tr r="Y21" s="17"/>
      </tp>
      <tp>
        <v>20</v>
        <stp/>
        <stp>102036239 14</stp>
        <tr r="J7" s="27"/>
        <tr r="U14" s="17"/>
      </tp>
      <tp>
        <v>276585</v>
        <stp/>
        <stp>102036238 14</stp>
        <tr r="H7" s="27"/>
        <tr r="U13" s="17"/>
      </tp>
      <tp>
        <v>55</v>
        <stp/>
        <stp>102036231 14</stp>
        <tr r="J5" s="27"/>
        <tr r="U10" s="17"/>
      </tp>
      <tp>
        <v>0</v>
        <stp/>
        <stp>102036241 13</stp>
        <tr r="T16" s="17"/>
      </tp>
      <tp>
        <v>296545</v>
        <stp/>
        <stp>102036230 14</stp>
        <tr r="H5" s="27"/>
        <tr r="U9" s="17"/>
        <tr r="U6" s="17"/>
      </tp>
      <tp>
        <v>0</v>
        <stp/>
        <stp>102036240 13</stp>
        <tr r="T15" s="17"/>
      </tp>
      <tp>
        <v>10</v>
        <stp/>
        <stp>102036233 14</stp>
        <tr r="J6" s="27"/>
        <tr r="U12" s="17"/>
      </tp>
      <tp>
        <v>0</v>
        <stp/>
        <stp>102036243 13</stp>
        <tr r="T18" s="17"/>
      </tp>
      <tp>
        <v>286565</v>
        <stp/>
        <stp>102036232 14</stp>
        <tr r="H6" s="27"/>
        <tr r="U11" s="17"/>
      </tp>
      <tp>
        <v>0</v>
        <stp/>
        <stp>102036242 13</stp>
        <tr r="T17" s="17"/>
      </tp>
      <tp>
        <v>75</v>
        <stp/>
        <stp>102036225 15</stp>
        <tr r="V8" s="17"/>
        <tr r="V5" s="17"/>
      </tp>
      <tp>
        <v>0</v>
        <stp/>
        <stp>102036255 12</stp>
        <tr r="O20" s="17"/>
        <tr r="M10" s="27"/>
      </tp>
      <tp>
        <v>0</v>
        <stp/>
        <stp>102036224 15</stp>
        <tr r="V7" s="17"/>
        <tr r="V4" s="17"/>
      </tp>
      <tp>
        <v>0</v>
        <stp/>
        <stp>102036254 12</stp>
        <tr r="E10" s="27"/>
        <tr r="O19" s="17"/>
      </tp>
      <tp>
        <v>0</v>
        <stp/>
        <stp>102036257 12</stp>
        <tr r="O22" s="17"/>
        <tr r="M11" s="27"/>
      </tp>
      <tp>
        <v>0</v>
        <stp/>
        <stp>102036256 12</stp>
        <tr r="O21" s="17"/>
        <tr r="E11" s="27"/>
      </tp>
      <tp>
        <v>0</v>
        <stp/>
        <stp>102036239 15</stp>
        <tr r="V14" s="17"/>
      </tp>
      <tp>
        <v>0</v>
        <stp/>
        <stp>102036238 15</stp>
        <tr r="V13" s="17"/>
      </tp>
      <tp>
        <v>50</v>
        <stp/>
        <stp>102036231 15</stp>
        <tr r="V10" s="17"/>
      </tp>
      <tp>
        <v>0</v>
        <stp/>
        <stp>102036241 12</stp>
        <tr r="M8" s="27"/>
        <tr r="O16" s="17"/>
      </tp>
      <tp>
        <v>0</v>
        <stp/>
        <stp>102036230 15</stp>
        <tr r="V9" s="17"/>
        <tr r="V6" s="17"/>
      </tp>
      <tp>
        <v>0</v>
        <stp/>
        <stp>102036240 12</stp>
        <tr r="O15" s="17"/>
        <tr r="E8" s="27"/>
      </tp>
      <tp>
        <v>0</v>
        <stp/>
        <stp>102036233 15</stp>
        <tr r="V12" s="17"/>
      </tp>
      <tp>
        <v>0</v>
        <stp/>
        <stp>102036243 12</stp>
        <tr r="O18" s="17"/>
        <tr r="M9" s="27"/>
      </tp>
      <tp>
        <v>0</v>
        <stp/>
        <stp>102036232 15</stp>
        <tr r="V11" s="17"/>
      </tp>
      <tp>
        <v>0</v>
        <stp/>
        <stp>102036242 12</stp>
        <tr r="O17" s="17"/>
        <tr r="E9" s="27"/>
      </tp>
      <tp>
        <v>30</v>
        <stp/>
        <stp>102036225 14</stp>
        <tr r="J4" s="27"/>
        <tr r="U5" s="17"/>
        <tr r="U8" s="17"/>
      </tp>
      <tp>
        <v>0</v>
        <stp/>
        <stp>102036255 13</stp>
        <tr r="T20" s="17"/>
      </tp>
      <tp>
        <v>474320</v>
        <stp/>
        <stp>102036224 14</stp>
        <tr r="H4" s="27"/>
        <tr r="U7" s="17"/>
        <tr r="U4" s="17"/>
      </tp>
      <tp>
        <v>0</v>
        <stp/>
        <stp>102036254 13</stp>
        <tr r="T19" s="17"/>
      </tp>
      <tp>
        <v>0</v>
        <stp/>
        <stp>102036257 13</stp>
        <tr r="T22" s="17"/>
      </tp>
      <tp>
        <v>0</v>
        <stp/>
        <stp>102036256 13</stp>
        <tr r="T21" s="17"/>
      </tp>
      <tp>
        <v>0</v>
        <stp/>
        <stp>102036239 12</stp>
        <tr r="O14" s="17"/>
        <tr r="M7" s="27"/>
      </tp>
      <tp>
        <v>0</v>
        <stp/>
        <stp>102036238 12</stp>
        <tr r="O13" s="17"/>
        <tr r="E7" s="27"/>
      </tp>
      <tp>
        <v>10020</v>
        <stp/>
        <stp>102036231 12</stp>
        <tr r="O10" s="17"/>
        <tr r="M5" s="27"/>
      </tp>
      <tp>
        <v>0</v>
        <stp/>
        <stp>102036241 15</stp>
        <tr r="V16" s="17"/>
      </tp>
      <tp>
        <v>0</v>
        <stp/>
        <stp>102036230 12</stp>
        <tr r="O6" s="17"/>
        <tr r="O9" s="17"/>
        <tr r="E5" s="27"/>
      </tp>
      <tp>
        <v>0</v>
        <stp/>
        <stp>102036240 15</stp>
        <tr r="V15" s="17"/>
      </tp>
      <tp>
        <v>0</v>
        <stp/>
        <stp>102036233 12</stp>
        <tr r="O12" s="17"/>
        <tr r="M6" s="27"/>
      </tp>
      <tp>
        <v>0</v>
        <stp/>
        <stp>102036243 15</stp>
        <tr r="V18" s="17"/>
      </tp>
      <tp>
        <v>0</v>
        <stp/>
        <stp>102036232 12</stp>
        <tr r="O11" s="17"/>
        <tr r="E6" s="27"/>
      </tp>
      <tp>
        <v>0</v>
        <stp/>
        <stp>102036242 15</stp>
        <tr r="V17" s="17"/>
      </tp>
      <tp>
        <v>75</v>
        <stp/>
        <stp>102036225 13</stp>
        <tr r="T8" s="17"/>
        <tr r="T5" s="17"/>
      </tp>
      <tp>
        <v>100</v>
        <stp/>
        <stp>102036255 14</stp>
        <tr r="J10" s="27"/>
        <tr r="U20" s="17"/>
      </tp>
      <tp>
        <v>0</v>
        <stp/>
        <stp>102036224 13</stp>
        <tr r="T7" s="17"/>
        <tr r="T4" s="17"/>
      </tp>
      <tp>
        <v>246680</v>
        <stp/>
        <stp>102036254 14</stp>
        <tr r="H10" s="27"/>
        <tr r="U19" s="17"/>
      </tp>
      <tp>
        <v>180</v>
        <stp/>
        <stp>102036257 14</stp>
        <tr r="J11" s="27"/>
        <tr r="U22" s="17"/>
      </tp>
      <tp>
        <v>236720</v>
        <stp/>
        <stp>102036256 14</stp>
        <tr r="H11" s="27"/>
        <tr r="U21" s="17"/>
      </tp>
      <tp>
        <v>0</v>
        <stp/>
        <stp>102036239 13</stp>
        <tr r="T14" s="17"/>
      </tp>
      <tp>
        <v>0</v>
        <stp/>
        <stp>102036238 13</stp>
        <tr r="T13" s="17"/>
      </tp>
      <tp>
        <v>50</v>
        <stp/>
        <stp>102036231 13</stp>
        <tr r="T10" s="17"/>
      </tp>
      <tp>
        <v>105</v>
        <stp/>
        <stp>102036241 14</stp>
        <tr r="J8" s="27"/>
        <tr r="U16" s="17"/>
      </tp>
      <tp>
        <v>0</v>
        <stp/>
        <stp>102036230 13</stp>
        <tr r="T6" s="17"/>
        <tr r="T9" s="17"/>
      </tp>
      <tp>
        <v>266610</v>
        <stp/>
        <stp>102036240 14</stp>
        <tr r="H8" s="27"/>
        <tr r="U15" s="17"/>
      </tp>
      <tp>
        <v>0</v>
        <stp/>
        <stp>102036233 13</stp>
        <tr r="T12" s="17"/>
      </tp>
      <tp>
        <v>65</v>
        <stp/>
        <stp>102036243 14</stp>
        <tr r="J9" s="27"/>
        <tr r="U18" s="17"/>
      </tp>
      <tp>
        <v>0</v>
        <stp/>
        <stp>102036232 13</stp>
        <tr r="T11" s="17"/>
      </tp>
      <tp>
        <v>256640</v>
        <stp/>
        <stp>102036242 14</stp>
        <tr r="H9" s="27"/>
        <tr r="U17" s="17"/>
      </tp>
      <tp>
        <v>3440</v>
        <stp/>
        <stp>102036225 12</stp>
        <tr r="O8" s="17"/>
        <tr r="M4" s="27"/>
        <tr r="O5" s="17"/>
      </tp>
      <tp>
        <v>0</v>
        <stp/>
        <stp>102036255 15</stp>
        <tr r="V20" s="17"/>
      </tp>
      <tp>
        <v>0</v>
        <stp/>
        <stp>102036224 12</stp>
        <tr r="O7" s="17"/>
        <tr r="O4" s="17"/>
        <tr r="E4" s="27"/>
      </tp>
      <tp>
        <v>0</v>
        <stp/>
        <stp>102036254 15</stp>
        <tr r="V19" s="17"/>
      </tp>
      <tp>
        <v>0</v>
        <stp/>
        <stp>102036257 15</stp>
        <tr r="V22" s="17"/>
      </tp>
      <tp>
        <v>0</v>
        <stp/>
        <stp>102036256 15</stp>
        <tr r="V21" s="17"/>
      </tp>
      <tp>
        <v>20</v>
        <stp/>
        <stp>102036239 10</stp>
        <tr r="X14" s="17"/>
        <tr r="K7" s="27"/>
      </tp>
      <tp>
        <v>0</v>
        <stp/>
        <stp>102036238 10</stp>
        <tr r="X13" s="17"/>
        <tr r="G7" s="27"/>
      </tp>
      <tp>
        <v>15</v>
        <stp/>
        <stp>102036231 10</stp>
        <tr r="K5" s="27"/>
        <tr r="X10" s="17"/>
      </tp>
      <tp>
        <v>0</v>
        <stp/>
        <stp>102036241 17</stp>
        <tr r="AB16" s="17"/>
      </tp>
      <tp>
        <v>0</v>
        <stp/>
        <stp>102036230 10</stp>
        <tr r="X6" s="17"/>
        <tr r="X9" s="17"/>
        <tr r="G5" s="27"/>
      </tp>
      <tp>
        <v>0</v>
        <stp/>
        <stp>102036240 17</stp>
        <tr r="AB15" s="17"/>
      </tp>
      <tp>
        <v>0</v>
        <stp/>
        <stp>102036233 10</stp>
        <tr r="X12" s="17"/>
        <tr r="K6" s="27"/>
      </tp>
      <tp>
        <v>0</v>
        <stp/>
        <stp>102036243 17</stp>
        <tr r="AB18" s="17"/>
      </tp>
      <tp>
        <v>0</v>
        <stp/>
        <stp>102036232 10</stp>
        <tr r="X11" s="17"/>
        <tr r="G6" s="27"/>
      </tp>
      <tp>
        <v>0</v>
        <stp/>
        <stp>102036242 17</stp>
        <tr r="AB17" s="17"/>
      </tp>
      <tp>
        <v>20</v>
        <stp/>
        <stp>102036225 11</stp>
        <tr r="Y8" s="17"/>
        <tr r="Y5" s="17"/>
      </tp>
      <tp>
        <v>0</v>
        <stp/>
        <stp>102036255 16</stp>
        <tr r="W20" s="17"/>
      </tp>
      <tp>
        <v>20</v>
        <stp/>
        <stp>102036224 11</stp>
        <tr r="Y4" s="17"/>
        <tr r="Y7" s="17"/>
      </tp>
      <tp>
        <v>0</v>
        <stp/>
        <stp>102036254 16</stp>
        <tr r="W19" s="17"/>
      </tp>
      <tp>
        <v>0</v>
        <stp/>
        <stp>102036257 16</stp>
        <tr r="W22" s="17"/>
      </tp>
      <tp>
        <v>0</v>
        <stp/>
        <stp>102036256 16</stp>
        <tr r="W21" s="17"/>
      </tp>
      <tp>
        <v>20</v>
        <stp/>
        <stp>102036239 11</stp>
        <tr r="Y14" s="17"/>
      </tp>
      <tp>
        <v>0</v>
        <stp/>
        <stp>102036238 11</stp>
        <tr r="Y13" s="17"/>
      </tp>
      <tp>
        <v>20</v>
        <stp/>
        <stp>102036231 11</stp>
        <tr r="Y10" s="17"/>
      </tp>
      <tp>
        <v>0</v>
        <stp/>
        <stp>102036241 16</stp>
        <tr r="W16" s="17"/>
      </tp>
      <tp>
        <v>0</v>
        <stp/>
        <stp>102036230 11</stp>
        <tr r="Y9" s="17"/>
        <tr r="Y6" s="17"/>
      </tp>
      <tp>
        <v>0</v>
        <stp/>
        <stp>102036240 16</stp>
        <tr r="W15" s="17"/>
      </tp>
      <tp>
        <v>0</v>
        <stp/>
        <stp>102036233 11</stp>
        <tr r="Y12" s="17"/>
      </tp>
      <tp>
        <v>0</v>
        <stp/>
        <stp>102036243 16</stp>
        <tr r="W18" s="17"/>
      </tp>
      <tp>
        <v>0</v>
        <stp/>
        <stp>102036232 11</stp>
        <tr r="Y11" s="17"/>
      </tp>
      <tp>
        <v>0</v>
        <stp/>
        <stp>102036242 16</stp>
        <tr r="W17" s="17"/>
      </tp>
      <tp>
        <v>15</v>
        <stp/>
        <stp>102036225 10</stp>
        <tr r="X8" s="17"/>
        <tr r="X5" s="17"/>
        <tr r="K4" s="27"/>
      </tp>
      <tp>
        <v>0</v>
        <stp/>
        <stp>102036255 17</stp>
        <tr r="AB20" s="17"/>
      </tp>
      <tp>
        <v>474320</v>
        <stp/>
        <stp>102036224 10</stp>
        <tr r="X7" s="17"/>
        <tr r="X4" s="17"/>
        <tr r="G4" s="27"/>
      </tp>
      <tp>
        <v>0</v>
        <stp/>
        <stp>102036254 17</stp>
        <tr r="AB19" s="17"/>
      </tp>
      <tp>
        <v>0</v>
        <stp/>
        <stp>102036257 17</stp>
        <tr r="AB22" s="17"/>
      </tp>
      <tp>
        <v>0</v>
        <stp/>
        <stp>102036256 17</stp>
        <tr r="AB21" s="17"/>
      </tp>
      <tp>
        <v>25</v>
        <stp/>
        <stp>102036239 26</stp>
        <tr r="R14" s="17"/>
      </tp>
      <tp>
        <v>426345</v>
        <stp/>
        <stp>102036238 26</stp>
        <tr r="R13" s="17"/>
      </tp>
      <tp>
        <v>30</v>
        <stp/>
        <stp>102036231 26</stp>
        <tr r="R10" s="17"/>
      </tp>
      <tp>
        <v>446345</v>
        <stp/>
        <stp>102036230 26</stp>
        <tr r="R6" s="17"/>
        <tr r="R9" s="17"/>
      </tp>
      <tp>
        <v>60</v>
        <stp/>
        <stp>102036233 26</stp>
        <tr r="R12" s="17"/>
      </tp>
      <tp>
        <v>436345</v>
        <stp/>
        <stp>102036232 26</stp>
        <tr r="R11" s="17"/>
      </tp>
      <tp>
        <v>120</v>
        <stp/>
        <stp>102036225 27</stp>
        <tr r="S8" s="17"/>
        <tr r="S5" s="17"/>
      </tp>
      <tp>
        <v>1265814299</v>
        <stp/>
        <stp>102036255 20</stp>
        <tr r="Z20" s="17"/>
      </tp>
      <tp>
        <v>20</v>
        <stp/>
        <stp>102036224 27</stp>
        <tr r="S4" s="17"/>
        <tr r="S7" s="17"/>
      </tp>
      <tp>
        <v>0</v>
        <stp/>
        <stp>102036254 20</stp>
        <tr r="Z19" s="17"/>
      </tp>
      <tp>
        <v>1265985592</v>
        <stp/>
        <stp>102036257 20</stp>
        <tr r="Z22" s="17"/>
      </tp>
      <tp>
        <v>0</v>
        <stp/>
        <stp>102036256 20</stp>
        <tr r="Z21" s="17"/>
      </tp>
      <tp>
        <v>20</v>
        <stp/>
        <stp>102036239 27</stp>
        <tr r="S14" s="17"/>
      </tp>
      <tp>
        <v>100</v>
        <stp/>
        <stp>102036238 27</stp>
        <tr r="S13" s="17"/>
      </tp>
      <tp>
        <v>20</v>
        <stp/>
        <stp>102036231 27</stp>
        <tr r="S10" s="17"/>
      </tp>
      <tp>
        <v>1265895806</v>
        <stp/>
        <stp>102036241 20</stp>
        <tr r="Z16" s="17"/>
      </tp>
      <tp>
        <v>100</v>
        <stp/>
        <stp>102036230 27</stp>
        <tr r="S9" s="17"/>
        <tr r="S6" s="17"/>
      </tp>
      <tp>
        <v>0</v>
        <stp/>
        <stp>102036240 20</stp>
        <tr r="Z15" s="17"/>
      </tp>
      <tp>
        <v>500</v>
        <stp/>
        <stp>102036233 27</stp>
        <tr r="S12" s="17"/>
      </tp>
      <tp>
        <v>1265891328</v>
        <stp/>
        <stp>102036243 20</stp>
        <tr r="Z18" s="17"/>
      </tp>
      <tp>
        <v>100</v>
        <stp/>
        <stp>102036232 27</stp>
        <tr r="S11" s="17"/>
      </tp>
      <tp>
        <v>0</v>
        <stp/>
        <stp>102036242 20</stp>
        <tr r="Z17" s="17"/>
      </tp>
      <tp>
        <v>20</v>
        <stp/>
        <stp>102036225 26</stp>
        <tr r="R5" s="17"/>
        <tr r="R8" s="17"/>
      </tp>
      <tp>
        <v>452865</v>
        <stp/>
        <stp>102036224 26</stp>
        <tr r="R7" s="17"/>
        <tr r="R4" s="17"/>
      </tp>
      <tp>
        <v>0</v>
        <stp/>
        <stp>102036239 24</stp>
        <tr r="P14" s="17"/>
      </tp>
      <tp>
        <v>414805</v>
        <stp/>
        <stp>102036238 24</stp>
        <tr r="P13" s="17"/>
      </tp>
      <tp>
        <v>15</v>
        <stp/>
        <stp>102036231 24</stp>
        <tr r="P10" s="17"/>
      </tp>
      <tp>
        <v>434805</v>
        <stp/>
        <stp>102036230 24</stp>
        <tr r="P6" s="17"/>
        <tr r="P9" s="17"/>
      </tp>
      <tp>
        <v>0</v>
        <stp/>
        <stp>102036233 24</stp>
        <tr r="P12" s="17"/>
      </tp>
      <tp>
        <v>424805</v>
        <stp/>
        <stp>102036232 24</stp>
        <tr r="P11" s="17"/>
      </tp>
      <tp>
        <v>500</v>
        <stp/>
        <stp>102036225 25</stp>
        <tr r="Q8" s="17"/>
        <tr r="Q5" s="17"/>
      </tp>
      <tp>
        <v>40</v>
        <stp/>
        <stp>102036224 25</stp>
        <tr r="Q4" s="17"/>
        <tr r="Q7" s="17"/>
      </tp>
      <tp>
        <v>0</v>
        <stp/>
        <stp>102036239 25</stp>
        <tr r="Q14" s="17"/>
      </tp>
      <tp>
        <v>100</v>
        <stp/>
        <stp>102036238 25</stp>
        <tr r="Q13" s="17"/>
      </tp>
      <tp>
        <v>500</v>
        <stp/>
        <stp>102036231 25</stp>
        <tr r="Q10" s="17"/>
      </tp>
      <tp>
        <v>100</v>
        <stp/>
        <stp>102036230 25</stp>
        <tr r="Q9" s="17"/>
        <tr r="Q6" s="17"/>
      </tp>
      <tp>
        <v>0</v>
        <stp/>
        <stp>102036233 25</stp>
        <tr r="Q12" s="17"/>
      </tp>
      <tp>
        <v>100</v>
        <stp/>
        <stp>102036232 25</stp>
        <tr r="Q11" s="17"/>
      </tp>
      <tp>
        <v>5</v>
        <stp/>
        <stp>102036225 24</stp>
        <tr r="P5" s="17"/>
        <tr r="P8" s="17"/>
      </tp>
      <tp>
        <v>449120</v>
        <stp/>
        <stp>102036224 24</stp>
        <tr r="P4" s="17"/>
        <tr r="P7" s="17"/>
      </tp>
      <tp>
        <v>0</v>
        <stp/>
        <stp>102036241 25</stp>
        <tr r="Q16" s="17"/>
      </tp>
      <tp>
        <v>100</v>
        <stp/>
        <stp>102036240 25</stp>
        <tr r="Q15" s="17"/>
      </tp>
      <tp>
        <v>20</v>
        <stp/>
        <stp>102036243 25</stp>
        <tr r="Q18" s="17"/>
      </tp>
      <tp>
        <v>100</v>
        <stp/>
        <stp>102036242 25</stp>
        <tr r="Q17" s="17"/>
      </tp>
      <tp>
        <v>0</v>
        <stp/>
        <stp>102036255 24</stp>
        <tr r="P20" s="17"/>
      </tp>
      <tp>
        <v>384805</v>
        <stp/>
        <stp>102036254 24</stp>
        <tr r="P19" s="17"/>
      </tp>
      <tp>
        <v>0</v>
        <stp/>
        <stp>102036257 24</stp>
        <tr r="P22" s="17"/>
      </tp>
      <tp>
        <v>374805</v>
        <stp/>
        <stp>102036256 24</stp>
        <tr r="P21" s="17"/>
      </tp>
      <tp>
        <v>0</v>
        <stp/>
        <stp>102036241 24</stp>
        <tr r="P16" s="17"/>
      </tp>
      <tp>
        <v>404805</v>
        <stp/>
        <stp>102036240 24</stp>
        <tr r="P15" s="17"/>
      </tp>
      <tp>
        <v>5</v>
        <stp/>
        <stp>102036243 24</stp>
        <tr r="P18" s="17"/>
      </tp>
      <tp>
        <v>394805</v>
        <stp/>
        <stp>102036242 24</stp>
        <tr r="P17" s="17"/>
      </tp>
      <tp>
        <v>0</v>
        <stp/>
        <stp>102036255 25</stp>
        <tr r="Q20" s="17"/>
      </tp>
      <tp>
        <v>100</v>
        <stp/>
        <stp>102036254 25</stp>
        <tr r="Q19" s="17"/>
      </tp>
      <tp>
        <v>0</v>
        <stp/>
        <stp>102036257 25</stp>
        <tr r="Q22" s="17"/>
      </tp>
      <tp>
        <v>100</v>
        <stp/>
        <stp>102036256 25</stp>
        <tr r="Q21" s="17"/>
      </tp>
      <tp>
        <v>1265975327</v>
        <stp/>
        <stp>102036239 20</stp>
        <tr r="Z14" s="17"/>
      </tp>
      <tp>
        <v>0</v>
        <stp/>
        <stp>102036238 20</stp>
        <tr r="Z13" s="17"/>
      </tp>
      <tp>
        <v>1266054363</v>
        <stp/>
        <stp>102036231 20</stp>
        <tr r="Z10" s="17"/>
      </tp>
      <tp>
        <v>20</v>
        <stp/>
        <stp>102036241 27</stp>
        <tr r="S16" s="17"/>
      </tp>
      <tp>
        <v>0</v>
        <stp/>
        <stp>102036230 20</stp>
        <tr r="Z9" s="17"/>
        <tr r="Z6" s="17"/>
      </tp>
      <tp>
        <v>100</v>
        <stp/>
        <stp>102036240 27</stp>
        <tr r="S15" s="17"/>
      </tp>
      <tp>
        <v>0</v>
        <stp/>
        <stp>102036233 20</stp>
        <tr r="Z12" s="17"/>
      </tp>
      <tp>
        <v>20</v>
        <stp/>
        <stp>102036243 27</stp>
        <tr r="S18" s="17"/>
      </tp>
      <tp>
        <v>0</v>
        <stp/>
        <stp>102036232 20</stp>
        <tr r="Z11" s="17"/>
      </tp>
      <tp>
        <v>100</v>
        <stp/>
        <stp>102036242 27</stp>
        <tr r="S17" s="17"/>
      </tp>
      <tp>
        <v>50</v>
        <stp/>
        <stp>102036255 26</stp>
        <tr r="R20" s="17"/>
      </tp>
      <tp>
        <v>396345</v>
        <stp/>
        <stp>102036254 26</stp>
        <tr r="R19" s="17"/>
      </tp>
      <tp>
        <v>30</v>
        <stp/>
        <stp>102036257 26</stp>
        <tr r="R22" s="17"/>
      </tp>
      <tp>
        <v>386345</v>
        <stp/>
        <stp>102036256 26</stp>
        <tr r="R21" s="17"/>
      </tp>
      <tp>
        <v>50</v>
        <stp/>
        <stp>102036241 26</stp>
        <tr r="R16" s="17"/>
      </tp>
      <tp>
        <v>416345</v>
        <stp/>
        <stp>102036240 26</stp>
        <tr r="R15" s="17"/>
      </tp>
      <tp>
        <v>50</v>
        <stp/>
        <stp>102036243 26</stp>
        <tr r="R18" s="17"/>
      </tp>
      <tp>
        <v>406345</v>
        <stp/>
        <stp>102036242 26</stp>
        <tr r="R17" s="17"/>
      </tp>
      <tp>
        <v>1266056979</v>
        <stp/>
        <stp>102036225 20</stp>
        <tr r="Z5" s="17"/>
        <tr r="Z8" s="17"/>
      </tp>
      <tp>
        <v>20</v>
        <stp/>
        <stp>102036255 27</stp>
        <tr r="S20" s="17"/>
      </tp>
      <tp>
        <v>1265981650</v>
        <stp/>
        <stp>102036224 20</stp>
        <tr r="Z4" s="17"/>
        <tr r="Z7" s="17"/>
      </tp>
      <tp>
        <v>100</v>
        <stp/>
        <stp>102036254 27</stp>
        <tr r="S19" s="17"/>
      </tp>
      <tp>
        <v>20</v>
        <stp/>
        <stp>102036257 27</stp>
        <tr r="S22" s="17"/>
      </tp>
      <tp>
        <v>100</v>
        <stp/>
        <stp>102036256 27</stp>
        <tr r="S21" s="17"/>
      </tp>
      <tp>
        <v>11200</v>
        <stp/>
        <stp>102046546 40</stp>
        <tr r="O16" s="27"/>
        <tr r="AC32" s="17"/>
      </tp>
      <tp>
        <v>0</v>
        <stp/>
        <stp>102046541 40</stp>
        <tr r="AC31" s="17"/>
        <tr r="C16" s="27"/>
      </tp>
      <tp>
        <v>0</v>
        <stp/>
        <stp>102036239 34</stp>
        <tr r="AD14" s="17"/>
      </tp>
      <tp>
        <v>0</v>
        <stp/>
        <stp>102036238 34</stp>
        <tr r="AD13" s="17"/>
      </tp>
      <tp>
        <v>0</v>
        <stp/>
        <stp>102036231 34</stp>
        <tr r="AD10" s="17"/>
      </tp>
      <tp>
        <v>0</v>
        <stp/>
        <stp>102036230 34</stp>
        <tr r="AD9" s="17"/>
        <tr r="AD6" s="17"/>
      </tp>
      <tp>
        <v>0</v>
        <stp/>
        <stp>102036233 34</stp>
        <tr r="AD12" s="17"/>
      </tp>
      <tp>
        <v>0</v>
        <stp/>
        <stp>102036232 34</stp>
        <tr r="AD11" s="17"/>
      </tp>
      <tp>
        <v>0</v>
        <stp/>
        <stp>102036225 34</stp>
        <tr r="AD5" s="17"/>
        <tr r="AD8" s="17"/>
      </tp>
      <tp>
        <v>0</v>
        <stp/>
        <stp>102036224 34</stp>
        <tr r="AD7" s="17"/>
        <tr r="AD4" s="17"/>
      </tp>
      <tp>
        <v>0</v>
        <stp/>
        <stp>102036255 34</stp>
        <tr r="AD20" s="17"/>
      </tp>
      <tp>
        <v>0</v>
        <stp/>
        <stp>102036254 34</stp>
        <tr r="AD19" s="17"/>
      </tp>
      <tp>
        <v>0</v>
        <stp/>
        <stp>102036257 34</stp>
        <tr r="AD22" s="17"/>
      </tp>
      <tp>
        <v>0</v>
        <stp/>
        <stp>102036256 34</stp>
        <tr r="AD21" s="17"/>
      </tp>
      <tp>
        <v>0</v>
        <stp/>
        <stp>102036241 34</stp>
        <tr r="AD16" s="17"/>
      </tp>
      <tp>
        <v>0</v>
        <stp/>
        <stp>102036240 34</stp>
        <tr r="AD15" s="17"/>
      </tp>
      <tp>
        <v>0</v>
        <stp/>
        <stp>102036243 34</stp>
        <tr r="AD18" s="17"/>
      </tp>
      <tp>
        <v>0</v>
        <stp/>
        <stp>102036242 34</stp>
        <tr r="AD17" s="17"/>
      </tp>
      <tp>
        <v>0</v>
        <stp/>
        <stp>102046538 40</stp>
        <tr r="AC29" s="17"/>
        <tr r="C15" s="27"/>
      </tp>
      <tp>
        <v>0</v>
        <stp/>
        <stp>102046539 40</stp>
        <tr r="AC30" s="17"/>
        <tr r="O15" s="27"/>
      </tp>
      <tp>
        <v>0</v>
        <stp/>
        <stp>102046896 40</stp>
        <tr r="O13" s="27"/>
        <tr r="AC26" s="17"/>
      </tp>
      <tp>
        <v>0</v>
        <stp/>
        <stp>102046891 40</stp>
        <tr r="AC25" s="17"/>
        <tr r="C13" s="27"/>
      </tp>
      <tp>
        <v>0</v>
        <stp/>
        <stp>102046900 40</stp>
        <tr r="AC27" s="17"/>
        <tr r="C14" s="27"/>
      </tp>
      <tp>
        <v>0</v>
        <stp/>
        <stp>102046901 40</stp>
        <tr r="AC28" s="17"/>
        <tr r="O14" s="27"/>
      </tp>
      <tp>
        <v>0</v>
        <stp/>
        <stp>102046896 24</stp>
        <tr r="P26" s="17"/>
      </tp>
      <tp>
        <v>354805</v>
        <stp/>
        <stp>102046891 24</stp>
        <tr r="P25" s="17"/>
      </tp>
      <tp>
        <v>0</v>
        <stp/>
        <stp>102046896 25</stp>
        <tr r="Q26" s="17"/>
      </tp>
      <tp>
        <v>100</v>
        <stp/>
        <stp>102046891 25</stp>
        <tr r="Q25" s="17"/>
      </tp>
      <tp>
        <v>50</v>
        <stp/>
        <stp>102046896 26</stp>
        <tr r="R26" s="17"/>
      </tp>
      <tp>
        <v>366345</v>
        <stp/>
        <stp>102046891 26</stp>
        <tr r="R25" s="17"/>
      </tp>
      <tp>
        <v>20</v>
        <stp/>
        <stp>102046896 27</stp>
        <tr r="S26" s="17"/>
      </tp>
      <tp>
        <v>100</v>
        <stp/>
        <stp>102046891 27</stp>
        <tr r="S25" s="17"/>
      </tp>
      <tp>
        <v>0</v>
        <stp/>
        <stp>102046896 20</stp>
        <tr r="Z26" s="17"/>
      </tp>
      <tp>
        <v>0</v>
        <stp/>
        <stp>102046891 20</stp>
        <tr r="Z25" s="17"/>
      </tp>
      <tp>
        <v>0</v>
        <stp/>
        <stp>102046900 34</stp>
        <tr r="AD27" s="17"/>
      </tp>
      <tp>
        <v>0</v>
        <stp/>
        <stp>102046901 34</stp>
        <tr r="AD28" s="17"/>
      </tp>
      <tp>
        <v>0</v>
        <stp/>
        <stp>102046896 34</stp>
        <tr r="AD26" s="17"/>
      </tp>
      <tp>
        <v>0</v>
        <stp/>
        <stp>102046891 34</stp>
        <tr r="AD25" s="17"/>
      </tp>
      <tp>
        <v>100</v>
        <stp/>
        <stp>102046900 25</stp>
        <tr r="Q27" s="17"/>
      </tp>
      <tp>
        <v>0</v>
        <stp/>
        <stp>102046901 25</stp>
        <tr r="Q28" s="17"/>
      </tp>
      <tp>
        <v>344805</v>
        <stp/>
        <stp>102046900 24</stp>
        <tr r="P27" s="17"/>
      </tp>
      <tp>
        <v>0</v>
        <stp/>
        <stp>102046901 24</stp>
        <tr r="P28" s="17"/>
      </tp>
      <tp>
        <v>100</v>
        <stp/>
        <stp>102046900 27</stp>
        <tr r="S27" s="17"/>
      </tp>
      <tp>
        <v>20</v>
        <stp/>
        <stp>102046901 27</stp>
        <tr r="S28" s="17"/>
      </tp>
      <tp>
        <v>356345</v>
        <stp/>
        <stp>102046900 26</stp>
        <tr r="R27" s="17"/>
      </tp>
      <tp>
        <v>50</v>
        <stp/>
        <stp>102046901 26</stp>
        <tr r="R28" s="17"/>
      </tp>
      <tp>
        <v>0</v>
        <stp/>
        <stp>102046900 20</stp>
        <tr r="Z27" s="17"/>
      </tp>
      <tp>
        <v>0</v>
        <stp/>
        <stp>102046901 20</stp>
        <tr r="Z28" s="17"/>
      </tp>
      <tp>
        <v>0</v>
        <stp/>
        <stp>102046900 18</stp>
        <tr r="AA27" s="17"/>
      </tp>
      <tp>
        <v>0</v>
        <stp/>
        <stp>102046901 18</stp>
        <tr r="AA28" s="17"/>
      </tp>
      <tp>
        <v>0</v>
        <stp/>
        <stp>102046900 15</stp>
        <tr r="V27" s="17"/>
      </tp>
      <tp>
        <v>0</v>
        <stp/>
        <stp>102046901 15</stp>
        <tr r="V28" s="17"/>
      </tp>
      <tp>
        <v>299990</v>
        <stp/>
        <stp>102046900 14</stp>
        <tr r="H14" s="27"/>
        <tr r="U27" s="17"/>
      </tp>
      <tp>
        <v>660</v>
        <stp/>
        <stp>102046901 14</stp>
        <tr r="J14" s="27"/>
        <tr r="U28" s="17"/>
      </tp>
      <tp>
        <v>0</v>
        <stp/>
        <stp>102046900 17</stp>
        <tr r="AB27" s="17"/>
      </tp>
      <tp>
        <v>0</v>
        <stp/>
        <stp>102046901 17</stp>
        <tr r="AB28" s="17"/>
      </tp>
      <tp>
        <v>0</v>
        <stp/>
        <stp>102046900 16</stp>
        <tr r="W27" s="17"/>
      </tp>
      <tp>
        <v>0</v>
        <stp/>
        <stp>102046901 16</stp>
        <tr r="W28" s="17"/>
      </tp>
      <tp>
        <v>0</v>
        <stp/>
        <stp>102046900 11</stp>
        <tr r="Y27" s="17"/>
      </tp>
      <tp>
        <v>0</v>
        <stp/>
        <stp>102046901 11</stp>
        <tr r="Y28" s="17"/>
      </tp>
      <tp>
        <v>0</v>
        <stp/>
        <stp>102046900 10</stp>
        <tr r="G14" s="27"/>
        <tr r="X27" s="17"/>
      </tp>
      <tp>
        <v>0</v>
        <stp/>
        <stp>102046901 10</stp>
        <tr r="X28" s="17"/>
        <tr r="K14" s="27"/>
      </tp>
      <tp>
        <v>0</v>
        <stp/>
        <stp>102046900 13</stp>
        <tr r="T27" s="17"/>
      </tp>
      <tp>
        <v>0</v>
        <stp/>
        <stp>102046901 13</stp>
        <tr r="T28" s="17"/>
      </tp>
      <tp>
        <v>0</v>
        <stp/>
        <stp>102046900 12</stp>
        <tr r="O27" s="17"/>
        <tr r="E14" s="27"/>
      </tp>
      <tp>
        <v>0</v>
        <stp/>
        <stp>102046901 12</stp>
        <tr r="O28" s="17"/>
        <tr r="M14" s="27"/>
      </tp>
      <tp>
        <v>530</v>
        <stp/>
        <stp>102046896 14</stp>
        <tr r="J13" s="27"/>
        <tr r="U26" s="17"/>
      </tp>
      <tp>
        <v>309825</v>
        <stp/>
        <stp>102046891 14</stp>
        <tr r="H13" s="27"/>
        <tr r="U25" s="17"/>
      </tp>
      <tp>
        <v>0</v>
        <stp/>
        <stp>102046896 15</stp>
        <tr r="V26" s="17"/>
      </tp>
      <tp>
        <v>0</v>
        <stp/>
        <stp>102046891 15</stp>
        <tr r="V25" s="17"/>
      </tp>
      <tp>
        <v>0</v>
        <stp/>
        <stp>102046896 16</stp>
        <tr r="W26" s="17"/>
      </tp>
      <tp>
        <v>0</v>
        <stp/>
        <stp>102046891 16</stp>
        <tr r="W25" s="17"/>
      </tp>
      <tp>
        <v>0</v>
        <stp/>
        <stp>102046896 17</stp>
        <tr r="AB26" s="17"/>
      </tp>
      <tp>
        <v>0</v>
        <stp/>
        <stp>102046891 17</stp>
        <tr r="AB25" s="17"/>
      </tp>
      <tp>
        <v>0</v>
        <stp/>
        <stp>102046896 10</stp>
        <tr r="X26" s="17"/>
        <tr r="K13" s="27"/>
      </tp>
      <tp>
        <v>0</v>
        <stp/>
        <stp>102046891 10</stp>
        <tr r="X25" s="17"/>
        <tr r="G13" s="27"/>
      </tp>
      <tp>
        <v>0</v>
        <stp/>
        <stp>102046896 11</stp>
        <tr r="Y26" s="17"/>
      </tp>
      <tp>
        <v>0</v>
        <stp/>
        <stp>102046891 11</stp>
        <tr r="Y25" s="17"/>
      </tp>
      <tp>
        <v>0</v>
        <stp/>
        <stp>102046896 12</stp>
        <tr r="O26" s="17"/>
        <tr r="M13" s="27"/>
      </tp>
      <tp>
        <v>0</v>
        <stp/>
        <stp>102046891 12</stp>
        <tr r="O25" s="17"/>
        <tr r="E13" s="27"/>
      </tp>
      <tp>
        <v>0</v>
        <stp/>
        <stp>102046896 13</stp>
        <tr r="T26" s="17"/>
      </tp>
      <tp>
        <v>0</v>
        <stp/>
        <stp>102046891 13</stp>
        <tr r="T25" s="17"/>
      </tp>
      <tp>
        <v>0</v>
        <stp/>
        <stp>102046896 18</stp>
        <tr r="AA26" s="17"/>
      </tp>
      <tp>
        <v>0</v>
        <stp/>
        <stp>102046891 18</stp>
        <tr r="AA25" s="17"/>
      </tp>
      <tp>
        <v>0</v>
        <stp/>
        <stp>102039599 34</stp>
        <tr r="AD178" s="17"/>
      </tp>
      <tp>
        <v>0</v>
        <stp/>
        <stp>102039759 18</stp>
        <tr r="AA128" s="17"/>
      </tp>
      <tp>
        <v>0</v>
        <stp/>
        <stp>102039789 15</stp>
        <tr r="V40" s="17"/>
      </tp>
      <tp>
        <v>200</v>
        <stp/>
        <stp>102039799 14</stp>
        <tr r="J22" s="27"/>
        <tr r="U44" s="17"/>
      </tp>
      <tp>
        <v>0</v>
        <stp/>
        <stp>102039758 18</stp>
        <tr r="AA127" s="17"/>
      </tp>
      <tp>
        <v>0</v>
        <stp/>
        <stp>102039788 15</stp>
        <tr r="V39" s="17"/>
      </tp>
      <tp>
        <v>283005</v>
        <stp/>
        <stp>102039798 14</stp>
        <tr r="H22" s="27"/>
        <tr r="U43" s="17"/>
      </tp>
      <tp>
        <v>0</v>
        <stp/>
        <stp>102039781 15</stp>
        <tr r="V140" s="17"/>
      </tp>
      <tp>
        <v>201705</v>
        <stp/>
        <stp>102039791 14</stp>
        <tr r="J72" s="27"/>
        <tr r="U144" s="17"/>
      </tp>
      <tp>
        <v>41200</v>
        <stp/>
        <stp>102039790 14</stp>
        <tr r="H72" s="27"/>
        <tr r="U143" s="17"/>
      </tp>
      <tp>
        <v>0</v>
        <stp/>
        <stp>102039593 34</stp>
        <tr r="AD74" s="17"/>
      </tp>
      <tp>
        <v>0</v>
        <stp/>
        <stp>102039783 15</stp>
        <tr r="V36" s="17"/>
      </tp>
      <tp>
        <v>0</v>
        <stp/>
        <stp>102039592 34</stp>
        <tr r="AD73" s="17"/>
      </tp>
      <tp>
        <v>0</v>
        <stp/>
        <stp>102039782 15</stp>
        <tr r="V35" s="17"/>
      </tp>
      <tp>
        <v>0</v>
        <stp/>
        <stp>102039595 34</stp>
        <tr r="AD76" s="17"/>
      </tp>
      <tp>
        <v>0</v>
        <stp/>
        <stp>102039755 18</stp>
        <tr r="AA126" s="17"/>
      </tp>
      <tp>
        <v>0</v>
        <stp/>
        <stp>102039785 15</stp>
        <tr r="V38" s="17"/>
      </tp>
      <tp>
        <v>209190</v>
        <stp/>
        <stp>102039795 14</stp>
        <tr r="J73" s="27"/>
        <tr r="U146" s="17"/>
      </tp>
      <tp>
        <v>0</v>
        <stp/>
        <stp>102039594 34</stp>
        <tr r="AD75" s="17"/>
      </tp>
      <tp>
        <v>0</v>
        <stp/>
        <stp>102039754 18</stp>
        <tr r="AA125" s="17"/>
      </tp>
      <tp>
        <v>0</v>
        <stp/>
        <stp>102039784 15</stp>
        <tr r="V37" s="17"/>
      </tp>
      <tp>
        <v>38785</v>
        <stp/>
        <stp>102039794 14</stp>
        <tr r="H73" s="27"/>
        <tr r="U145" s="17"/>
      </tp>
      <tp>
        <v>0</v>
        <stp/>
        <stp>102039597 34</stp>
        <tr r="AD177" s="17"/>
      </tp>
      <tp>
        <v>0</v>
        <stp/>
        <stp>102039787 15</stp>
        <tr r="V142" s="17"/>
      </tp>
      <tp>
        <v>135</v>
        <stp/>
        <stp>102039797 14</stp>
        <tr r="J21" s="27"/>
        <tr r="U42" s="17"/>
      </tp>
      <tp>
        <v>0</v>
        <stp/>
        <stp>102039786 15</stp>
        <tr r="V141" s="17"/>
      </tp>
      <tp>
        <v>254445</v>
        <stp/>
        <stp>102039796 14</stp>
        <tr r="H21" s="27"/>
        <tr r="U41" s="17"/>
      </tp>
      <tp>
        <v>0</v>
        <stp/>
        <stp>102039589 34</stp>
        <tr r="AD72" s="17"/>
      </tp>
      <tp>
        <v>1615</v>
        <stp/>
        <stp>102039789 14</stp>
        <tr r="J20" s="27"/>
        <tr r="U40" s="17"/>
      </tp>
      <tp>
        <v>0</v>
        <stp/>
        <stp>102039799 15</stp>
        <tr r="V44" s="17"/>
      </tp>
      <tp>
        <v>0</v>
        <stp/>
        <stp>102039588 34</stp>
        <tr r="AD71" s="17"/>
      </tp>
      <tp>
        <v>302220</v>
        <stp/>
        <stp>102039788 14</stp>
        <tr r="H20" s="27"/>
        <tr r="U39" s="17"/>
      </tp>
      <tp>
        <v>0</v>
        <stp/>
        <stp>102039798 15</stp>
        <tr r="V43" s="17"/>
      </tp>
      <tp>
        <v>0</v>
        <stp/>
        <stp>102039741 18</stp>
        <tr r="AA124" s="17"/>
      </tp>
      <tp>
        <v>186995</v>
        <stp/>
        <stp>102039781 14</stp>
        <tr r="J70" s="27"/>
        <tr r="U140" s="17"/>
      </tp>
      <tp>
        <v>0</v>
        <stp/>
        <stp>102039791 15</stp>
        <tr r="V144" s="17"/>
      </tp>
      <tp>
        <v>0</v>
        <stp/>
        <stp>102039740 18</stp>
        <tr r="AA123" s="17"/>
      </tp>
      <tp>
        <v>0</v>
        <stp/>
        <stp>102039790 15</stp>
        <tr r="V143" s="17"/>
      </tp>
      <tp>
        <v>0</v>
        <stp/>
        <stp>102039583 34</stp>
        <tr r="AD68" s="17"/>
      </tp>
      <tp>
        <v>1125</v>
        <stp/>
        <stp>102039783 14</stp>
        <tr r="J18" s="27"/>
        <tr r="U36" s="17"/>
      </tp>
      <tp>
        <v>0</v>
        <stp/>
        <stp>102039582 34</stp>
        <tr r="AD67" s="17"/>
      </tp>
      <tp>
        <v>321610</v>
        <stp/>
        <stp>102039782 14</stp>
        <tr r="H18" s="27"/>
        <tr r="U35" s="17"/>
      </tp>
      <tp>
        <v>0</v>
        <stp/>
        <stp>102039585 34</stp>
        <tr r="AD70" s="17"/>
      </tp>
      <tp>
        <v>1350</v>
        <stp/>
        <stp>102039785 14</stp>
        <tr r="J19" s="27"/>
        <tr r="U38" s="17"/>
      </tp>
      <tp>
        <v>0</v>
        <stp/>
        <stp>102039795 15</stp>
        <tr r="V146" s="17"/>
      </tp>
      <tp>
        <v>0</v>
        <stp/>
        <stp>102039584 34</stp>
        <tr r="AD69" s="17"/>
      </tp>
      <tp>
        <v>311895</v>
        <stp/>
        <stp>102039784 14</stp>
        <tr r="H19" s="27"/>
        <tr r="U37" s="17"/>
      </tp>
      <tp>
        <v>0</v>
        <stp/>
        <stp>102039794 15</stp>
        <tr r="V145" s="17"/>
      </tp>
      <tp>
        <v>322240</v>
        <stp/>
        <stp>102039787 14</stp>
        <tr r="J71" s="27"/>
        <tr r="U142" s="17"/>
      </tp>
      <tp>
        <v>30</v>
        <stp/>
        <stp>102039797 15</stp>
        <tr r="V42" s="17"/>
      </tp>
      <tp>
        <v>25</v>
        <stp/>
        <stp>102039786 14</stp>
        <tr r="H71" s="27"/>
        <tr r="U141" s="17"/>
      </tp>
      <tp>
        <v>0</v>
        <stp/>
        <stp>102039796 15</stp>
        <tr r="V41" s="17"/>
      </tp>
      <tp>
        <v>0</v>
        <stp/>
        <stp>102039789 17</stp>
        <tr r="AB40" s="17"/>
      </tp>
      <tp>
        <v>0</v>
        <stp/>
        <stp>102039799 16</stp>
        <tr r="W44" s="17"/>
      </tp>
      <tp>
        <v>0</v>
        <stp/>
        <stp>102039778 18</stp>
        <tr r="AA139" s="17"/>
      </tp>
      <tp>
        <v>0</v>
        <stp/>
        <stp>102039788 17</stp>
        <tr r="AB39" s="17"/>
      </tp>
      <tp>
        <v>0</v>
        <stp/>
        <stp>102039798 16</stp>
        <tr r="W43" s="17"/>
      </tp>
      <tp>
        <v>0</v>
        <stp/>
        <stp>102039771 18</stp>
        <tr r="AA135" s="17"/>
      </tp>
      <tp>
        <v>0</v>
        <stp/>
        <stp>102039781 17</stp>
        <tr r="AB140" s="17"/>
      </tp>
      <tp>
        <v>0</v>
        <stp/>
        <stp>102039791 16</stp>
        <tr r="W144" s="17"/>
      </tp>
      <tp>
        <v>0</v>
        <stp/>
        <stp>102039790 16</stp>
        <tr r="W143" s="17"/>
      </tp>
      <tp>
        <v>0</v>
        <stp/>
        <stp>102039773 18</stp>
        <tr r="AA136" s="17"/>
      </tp>
      <tp>
        <v>0</v>
        <stp/>
        <stp>102039783 17</stp>
        <tr r="AB36" s="17"/>
      </tp>
      <tp>
        <v>0</v>
        <stp/>
        <stp>102039782 17</stp>
        <tr r="AB35" s="17"/>
      </tp>
      <tp>
        <v>0</v>
        <stp/>
        <stp>102039785 17</stp>
        <tr r="AB38" s="17"/>
      </tp>
      <tp>
        <v>0</v>
        <stp/>
        <stp>102039795 16</stp>
        <tr r="W146" s="17"/>
      </tp>
      <tp>
        <v>0</v>
        <stp/>
        <stp>102039784 17</stp>
        <tr r="AB37" s="17"/>
      </tp>
      <tp>
        <v>0</v>
        <stp/>
        <stp>102039794 16</stp>
        <tr r="W145" s="17"/>
      </tp>
      <tp>
        <v>0</v>
        <stp/>
        <stp>102039777 18</stp>
        <tr r="AA138" s="17"/>
      </tp>
      <tp>
        <v>0</v>
        <stp/>
        <stp>102039787 17</stp>
        <tr r="AB142" s="17"/>
      </tp>
      <tp>
        <v>20</v>
        <stp/>
        <stp>102039797 16</stp>
        <tr r="W42" s="17"/>
      </tp>
      <tp>
        <v>0</v>
        <stp/>
        <stp>102039776 18</stp>
        <tr r="AA137" s="17"/>
      </tp>
      <tp>
        <v>0</v>
        <stp/>
        <stp>102039786 17</stp>
        <tr r="AB141" s="17"/>
      </tp>
      <tp>
        <v>0</v>
        <stp/>
        <stp>102039796 16</stp>
        <tr r="W41" s="17"/>
      </tp>
      <tp>
        <v>0</v>
        <stp/>
        <stp>102039789 16</stp>
        <tr r="W40" s="17"/>
      </tp>
      <tp>
        <v>0</v>
        <stp/>
        <stp>102039799 17</stp>
        <tr r="AB44" s="17"/>
      </tp>
      <tp>
        <v>0</v>
        <stp/>
        <stp>102039788 16</stp>
        <tr r="W39" s="17"/>
      </tp>
      <tp>
        <v>0</v>
        <stp/>
        <stp>102039798 17</stp>
        <tr r="AB43" s="17"/>
      </tp>
      <tp>
        <v>0</v>
        <stp/>
        <stp>102039761 18</stp>
        <tr r="AA130" s="17"/>
      </tp>
      <tp>
        <v>0</v>
        <stp/>
        <stp>102039781 16</stp>
        <tr r="W140" s="17"/>
      </tp>
      <tp>
        <v>0</v>
        <stp/>
        <stp>102039791 17</stp>
        <tr r="AB144" s="17"/>
      </tp>
      <tp>
        <v>0</v>
        <stp/>
        <stp>102039760 18</stp>
        <tr r="AA129" s="17"/>
      </tp>
      <tp>
        <v>0</v>
        <stp/>
        <stp>102039790 17</stp>
        <tr r="AB143" s="17"/>
      </tp>
      <tp>
        <v>0</v>
        <stp/>
        <stp>102039763 18</stp>
        <tr r="AA132" s="17"/>
      </tp>
      <tp>
        <v>0</v>
        <stp/>
        <stp>102039783 16</stp>
        <tr r="W36" s="17"/>
      </tp>
      <tp>
        <v>0</v>
        <stp/>
        <stp>102039762 18</stp>
        <tr r="AA131" s="17"/>
      </tp>
      <tp>
        <v>0</v>
        <stp/>
        <stp>102039782 16</stp>
        <tr r="W35" s="17"/>
      </tp>
      <tp>
        <v>0</v>
        <stp/>
        <stp>102039785 16</stp>
        <tr r="W38" s="17"/>
      </tp>
      <tp>
        <v>0</v>
        <stp/>
        <stp>102039795 17</stp>
        <tr r="AB146" s="17"/>
      </tp>
      <tp>
        <v>0</v>
        <stp/>
        <stp>102039784 16</stp>
        <tr r="W37" s="17"/>
      </tp>
      <tp>
        <v>0</v>
        <stp/>
        <stp>102039794 17</stp>
        <tr r="AB145" s="17"/>
      </tp>
      <tp>
        <v>0</v>
        <stp/>
        <stp>102039767 18</stp>
        <tr r="AA134" s="17"/>
      </tp>
      <tp>
        <v>0</v>
        <stp/>
        <stp>102039787 16</stp>
        <tr r="W142" s="17"/>
      </tp>
      <tp>
        <v>0</v>
        <stp/>
        <stp>102039797 17</stp>
        <tr r="AB42" s="17"/>
      </tp>
      <tp>
        <v>0</v>
        <stp/>
        <stp>102039766 18</stp>
        <tr r="AA133" s="17"/>
      </tp>
      <tp>
        <v>0</v>
        <stp/>
        <stp>102039786 16</stp>
        <tr r="W141" s="17"/>
      </tp>
      <tp>
        <v>0</v>
        <stp/>
        <stp>102039796 17</stp>
        <tr r="AB41" s="17"/>
      </tp>
      <tp>
        <v>0</v>
        <stp/>
        <stp>102039719 18</stp>
        <tr r="AA108" s="17"/>
      </tp>
      <tp>
        <v>0</v>
        <stp/>
        <stp>102039789 11</stp>
        <tr r="Y40" s="17"/>
      </tp>
      <tp>
        <v>200</v>
        <stp/>
        <stp>102039799 10</stp>
        <tr r="K22" s="27"/>
        <tr r="X44" s="17"/>
      </tp>
      <tp>
        <v>0</v>
        <stp/>
        <stp>102039718 18</stp>
        <tr r="AA107" s="17"/>
      </tp>
      <tp>
        <v>0</v>
        <stp/>
        <stp>102039788 11</stp>
        <tr r="Y39" s="17"/>
      </tp>
      <tp>
        <v>0</v>
        <stp/>
        <stp>102039798 10</stp>
        <tr r="X43" s="17"/>
        <tr r="G22" s="27"/>
      </tp>
      <tp>
        <v>0</v>
        <stp/>
        <stp>102039781 11</stp>
        <tr r="Y140" s="17"/>
      </tp>
      <tp>
        <v>0</v>
        <stp/>
        <stp>102039791 10</stp>
        <tr r="K72" s="27"/>
        <tr r="X144" s="17"/>
      </tp>
      <tp>
        <v>0</v>
        <stp/>
        <stp>102039790 10</stp>
        <tr r="X143" s="17"/>
        <tr r="G72" s="27"/>
      </tp>
      <tp>
        <v>0</v>
        <stp/>
        <stp>102039783 11</stp>
        <tr r="Y36" s="17"/>
      </tp>
      <tp>
        <v>0</v>
        <stp/>
        <stp>102039782 11</stp>
        <tr r="Y35" s="17"/>
      </tp>
      <tp>
        <v>0</v>
        <stp/>
        <stp>102039785 11</stp>
        <tr r="Y38" s="17"/>
      </tp>
      <tp>
        <v>0</v>
        <stp/>
        <stp>102039795 10</stp>
        <tr r="X146" s="17"/>
        <tr r="K73" s="27"/>
      </tp>
      <tp>
        <v>0</v>
        <stp/>
        <stp>102039784 11</stp>
        <tr r="Y37" s="17"/>
      </tp>
      <tp>
        <v>0</v>
        <stp/>
        <stp>102039794 10</stp>
        <tr r="X145" s="17"/>
        <tr r="G73" s="27"/>
      </tp>
      <tp>
        <v>0</v>
        <stp/>
        <stp>102039717 18</stp>
        <tr r="AA106" s="17"/>
      </tp>
      <tp>
        <v>40</v>
        <stp/>
        <stp>102039787 11</stp>
        <tr r="Y142" s="17"/>
      </tp>
      <tp>
        <v>20</v>
        <stp/>
        <stp>102039797 10</stp>
        <tr r="K21" s="27"/>
        <tr r="X42" s="17"/>
      </tp>
      <tp>
        <v>0</v>
        <stp/>
        <stp>102039716 18</stp>
        <tr r="AA105" s="17"/>
      </tp>
      <tp>
        <v>20</v>
        <stp/>
        <stp>102039786 11</stp>
        <tr r="Y141" s="17"/>
      </tp>
      <tp>
        <v>254445</v>
        <stp/>
        <stp>102039796 10</stp>
        <tr r="X41" s="17"/>
        <tr r="G21" s="27"/>
      </tp>
      <tp>
        <v>0</v>
        <stp/>
        <stp>102039789 10</stp>
        <tr r="X40" s="17"/>
        <tr r="K20" s="27"/>
      </tp>
      <tp>
        <v>80</v>
        <stp/>
        <stp>102039799 11</stp>
        <tr r="Y44" s="17"/>
      </tp>
      <tp>
        <v>0</v>
        <stp/>
        <stp>102039788 10</stp>
        <tr r="X39" s="17"/>
        <tr r="G20" s="27"/>
      </tp>
      <tp>
        <v>0</v>
        <stp/>
        <stp>102039798 11</stp>
        <tr r="Y43" s="17"/>
      </tp>
      <tp>
        <v>0</v>
        <stp/>
        <stp>102039781 10</stp>
        <tr r="X140" s="17"/>
        <tr r="K70" s="27"/>
      </tp>
      <tp>
        <v>0</v>
        <stp/>
        <stp>102039791 11</stp>
        <tr r="Y144" s="17"/>
      </tp>
      <tp>
        <v>0</v>
        <stp/>
        <stp>102039790 11</stp>
        <tr r="Y143" s="17"/>
      </tp>
      <tp>
        <v>0</v>
        <stp/>
        <stp>102039783 10</stp>
        <tr r="X36" s="17"/>
        <tr r="K18" s="27"/>
      </tp>
      <tp>
        <v>0</v>
        <stp/>
        <stp>102039782 10</stp>
        <tr r="X35" s="17"/>
        <tr r="G18" s="27"/>
      </tp>
      <tp>
        <v>0</v>
        <stp/>
        <stp>102039705 18</stp>
        <tr r="AA104" s="17"/>
      </tp>
      <tp>
        <v>0</v>
        <stp/>
        <stp>102039785 10</stp>
        <tr r="X38" s="17"/>
        <tr r="K19" s="27"/>
      </tp>
      <tp>
        <v>0</v>
        <stp/>
        <stp>102039795 11</stp>
        <tr r="Y146" s="17"/>
      </tp>
      <tp>
        <v>0</v>
        <stp/>
        <stp>102039704 18</stp>
        <tr r="AA103" s="17"/>
      </tp>
      <tp>
        <v>0</v>
        <stp/>
        <stp>102039784 10</stp>
        <tr r="X37" s="17"/>
        <tr r="G19" s="27"/>
      </tp>
      <tp>
        <v>0</v>
        <stp/>
        <stp>102039794 11</stp>
        <tr r="Y145" s="17"/>
      </tp>
      <tp>
        <v>322240</v>
        <stp/>
        <stp>102039787 10</stp>
        <tr r="X142" s="17"/>
        <tr r="K71" s="27"/>
      </tp>
      <tp>
        <v>200</v>
        <stp/>
        <stp>102039797 11</stp>
        <tr r="Y42" s="17"/>
      </tp>
      <tp>
        <v>25</v>
        <stp/>
        <stp>102039786 10</stp>
        <tr r="X141" s="17"/>
        <tr r="G71" s="27"/>
      </tp>
      <tp>
        <v>20</v>
        <stp/>
        <stp>102039796 11</stp>
        <tr r="Y41" s="17"/>
      </tp>
      <tp>
        <v>0</v>
        <stp/>
        <stp>102039739 18</stp>
        <tr r="AA122" s="17"/>
      </tp>
      <tp>
        <v>0</v>
        <stp/>
        <stp>102039789 13</stp>
        <tr r="T40" s="17"/>
      </tp>
      <tp>
        <v>0</v>
        <stp/>
        <stp>102039799 12</stp>
        <tr r="O44" s="17"/>
        <tr r="M22" s="27"/>
      </tp>
      <tp>
        <v>0</v>
        <stp/>
        <stp>102039738 18</stp>
        <tr r="AA121" s="17"/>
      </tp>
      <tp>
        <v>0</v>
        <stp/>
        <stp>102039788 13</stp>
        <tr r="T39" s="17"/>
      </tp>
      <tp>
        <v>0</v>
        <stp/>
        <stp>102039798 12</stp>
        <tr r="O43" s="17"/>
        <tr r="E22" s="27"/>
      </tp>
      <tp>
        <v>0</v>
        <stp/>
        <stp>102039731 18</stp>
        <tr r="AA115" s="17"/>
      </tp>
      <tp>
        <v>0</v>
        <stp/>
        <stp>102039781 13</stp>
        <tr r="T140" s="17"/>
      </tp>
      <tp>
        <v>0</v>
        <stp/>
        <stp>102039791 12</stp>
        <tr r="O144" s="17"/>
        <tr r="M72" s="27"/>
      </tp>
      <tp>
        <v>0</v>
        <stp/>
        <stp>102039790 12</stp>
        <tr r="E72" s="27"/>
        <tr r="O143" s="17"/>
      </tp>
      <tp>
        <v>0</v>
        <stp/>
        <stp>102039733 18</stp>
        <tr r="AA116" s="17"/>
      </tp>
      <tp>
        <v>0</v>
        <stp/>
        <stp>102039783 13</stp>
        <tr r="T36" s="17"/>
      </tp>
      <tp>
        <v>0</v>
        <stp/>
        <stp>102039782 13</stp>
        <tr r="T35" s="17"/>
      </tp>
      <tp>
        <v>0</v>
        <stp/>
        <stp>102039735 18</stp>
        <tr r="AA118" s="17"/>
      </tp>
      <tp>
        <v>0</v>
        <stp/>
        <stp>102039785 13</stp>
        <tr r="T38" s="17"/>
      </tp>
      <tp>
        <v>0</v>
        <stp/>
        <stp>102039795 12</stp>
        <tr r="M73" s="27"/>
        <tr r="O146" s="17"/>
      </tp>
      <tp>
        <v>0</v>
        <stp/>
        <stp>102039734 18</stp>
        <tr r="AA117" s="17"/>
      </tp>
      <tp>
        <v>0</v>
        <stp/>
        <stp>102039784 13</stp>
        <tr r="T37" s="17"/>
      </tp>
      <tp>
        <v>0</v>
        <stp/>
        <stp>102039794 12</stp>
        <tr r="O145" s="17"/>
        <tr r="E73" s="27"/>
      </tp>
      <tp>
        <v>0</v>
        <stp/>
        <stp>102039737 18</stp>
        <tr r="AA120" s="17"/>
      </tp>
      <tp>
        <v>0</v>
        <stp/>
        <stp>102039787 13</stp>
        <tr r="T142" s="17"/>
      </tp>
      <tp>
        <v>2480</v>
        <stp/>
        <stp>102039797 12</stp>
        <tr r="O42" s="17"/>
        <tr r="M21" s="27"/>
      </tp>
      <tp>
        <v>0</v>
        <stp/>
        <stp>102039736 18</stp>
        <tr r="AA119" s="17"/>
      </tp>
      <tp>
        <v>0</v>
        <stp/>
        <stp>102039786 13</stp>
        <tr r="T141" s="17"/>
      </tp>
      <tp>
        <v>0</v>
        <stp/>
        <stp>102039796 12</stp>
        <tr r="O41" s="17"/>
        <tr r="E21" s="27"/>
      </tp>
      <tp>
        <v>0</v>
        <stp/>
        <stp>102039729 18</stp>
        <tr r="AA114" s="17"/>
      </tp>
      <tp>
        <v>0</v>
        <stp/>
        <stp>102039789 12</stp>
        <tr r="O40" s="17"/>
        <tr r="M20" s="27"/>
      </tp>
      <tp>
        <v>0</v>
        <stp/>
        <stp>102039799 13</stp>
        <tr r="T44" s="17"/>
      </tp>
      <tp>
        <v>0</v>
        <stp/>
        <stp>102039728 18</stp>
        <tr r="AA113" s="17"/>
      </tp>
      <tp>
        <v>0</v>
        <stp/>
        <stp>102039788 12</stp>
        <tr r="O39" s="17"/>
        <tr r="E20" s="27"/>
      </tp>
      <tp>
        <v>0</v>
        <stp/>
        <stp>102039798 13</stp>
        <tr r="T43" s="17"/>
      </tp>
      <tp>
        <v>0</v>
        <stp/>
        <stp>102039721 18</stp>
        <tr r="AA110" s="17"/>
      </tp>
      <tp>
        <v>0</v>
        <stp/>
        <stp>102039781 12</stp>
        <tr r="M70" s="27"/>
        <tr r="O140" s="17"/>
      </tp>
      <tp>
        <v>0</v>
        <stp/>
        <stp>102039791 13</stp>
        <tr r="T144" s="17"/>
      </tp>
      <tp>
        <v>0</v>
        <stp/>
        <stp>102039720 18</stp>
        <tr r="AA109" s="17"/>
      </tp>
      <tp>
        <v>0</v>
        <stp/>
        <stp>102039790 13</stp>
        <tr r="T143" s="17"/>
      </tp>
      <tp>
        <v>0</v>
        <stp/>
        <stp>102039783 12</stp>
        <tr r="O36" s="17"/>
        <tr r="M18" s="27"/>
      </tp>
      <tp>
        <v>0</v>
        <stp/>
        <stp>102039782 12</stp>
        <tr r="O35" s="17"/>
        <tr r="E18" s="27"/>
      </tp>
      <tp>
        <v>0</v>
        <stp/>
        <stp>102039785 12</stp>
        <tr r="M19" s="27"/>
        <tr r="O38" s="17"/>
      </tp>
      <tp>
        <v>0</v>
        <stp/>
        <stp>102039795 13</stp>
        <tr r="T146" s="17"/>
      </tp>
      <tp>
        <v>0</v>
        <stp/>
        <stp>102039784 12</stp>
        <tr r="O37" s="17"/>
        <tr r="E19" s="27"/>
      </tp>
      <tp>
        <v>0</v>
        <stp/>
        <stp>102039794 13</stp>
        <tr r="T145" s="17"/>
      </tp>
      <tp>
        <v>0</v>
        <stp/>
        <stp>102039727 18</stp>
        <tr r="AA112" s="17"/>
      </tp>
      <tp>
        <v>0</v>
        <stp/>
        <stp>102039787 12</stp>
        <tr r="O142" s="17"/>
        <tr r="M71" s="27"/>
      </tp>
      <tp>
        <v>30</v>
        <stp/>
        <stp>102039797 13</stp>
        <tr r="T42" s="17"/>
      </tp>
      <tp>
        <v>0</v>
        <stp/>
        <stp>102039726 18</stp>
        <tr r="AA111" s="17"/>
      </tp>
      <tp>
        <v>0</v>
        <stp/>
        <stp>102039786 12</stp>
        <tr r="O141" s="17"/>
        <tr r="E71" s="27"/>
      </tp>
      <tp>
        <v>0</v>
        <stp/>
        <stp>102039796 13</stp>
        <tr r="T41" s="17"/>
      </tp>
      <tp>
        <v>0</v>
        <stp/>
        <stp>102039519 34</stp>
        <tr r="AD48" s="17"/>
      </tp>
      <tp>
        <v>28535</v>
        <stp/>
        <stp>102039719 14</stp>
        <tr r="J54" s="27"/>
        <tr r="U108" s="17"/>
      </tp>
      <tp>
        <v>0</v>
        <stp/>
        <stp>102039729 17</stp>
        <tr r="AB114" s="17"/>
      </tp>
      <tp>
        <v>107210</v>
        <stp/>
        <stp>102039739 16</stp>
        <tr r="W122" s="17"/>
      </tp>
      <tp>
        <v>0</v>
        <stp/>
        <stp>102039759 10</stp>
        <tr r="X128" s="17"/>
        <tr r="K64" s="27"/>
      </tp>
      <tp>
        <v>0</v>
        <stp/>
        <stp>102039518 34</stp>
        <tr r="AD47" s="17"/>
      </tp>
      <tp>
        <v>2350</v>
        <stp/>
        <stp>102039718 14</stp>
        <tr r="H54" s="27"/>
        <tr r="U107" s="17"/>
      </tp>
      <tp>
        <v>0</v>
        <stp/>
        <stp>102039728 17</stp>
        <tr r="AB113" s="17"/>
      </tp>
      <tp>
        <v>20</v>
        <stp/>
        <stp>102039738 16</stp>
        <tr r="W121" s="17"/>
      </tp>
      <tp>
        <v>15</v>
        <stp/>
        <stp>102039758 10</stp>
        <tr r="X127" s="17"/>
        <tr r="G64" s="27"/>
      </tp>
      <tp>
        <v>0</v>
        <stp/>
        <stp>102039778 12</stp>
        <tr r="O139" s="17"/>
        <tr r="E70" s="27"/>
      </tp>
      <tp>
        <v>0</v>
        <stp/>
        <stp>102039511 34</stp>
        <tr r="AD46" s="17"/>
      </tp>
      <tp>
        <v>0</v>
        <stp/>
        <stp>102039721 17</stp>
        <tr r="AB110" s="17"/>
      </tp>
      <tp>
        <v>30</v>
        <stp/>
        <stp>102039731 16</stp>
        <tr r="W115" s="17"/>
      </tp>
      <tp>
        <v>20</v>
        <stp/>
        <stp>102039741 11</stp>
        <tr r="Y124" s="17"/>
      </tp>
      <tp>
        <v>0</v>
        <stp/>
        <stp>102039761 13</stp>
        <tr r="T130" s="17"/>
      </tp>
      <tp>
        <v>0</v>
        <stp/>
        <stp>102039771 12</stp>
        <tr r="O135" s="17"/>
        <tr r="E68" s="27"/>
      </tp>
      <tp>
        <v>0</v>
        <stp/>
        <stp>102039510 34</stp>
        <tr r="AD45" s="17"/>
      </tp>
      <tp>
        <v>0</v>
        <stp/>
        <stp>102039720 17</stp>
        <tr r="AB109" s="17"/>
      </tp>
      <tp>
        <v>40</v>
        <stp/>
        <stp>102039740 11</stp>
        <tr r="Y123" s="17"/>
      </tp>
      <tp>
        <v>10</v>
        <stp/>
        <stp>102039760 13</stp>
        <tr r="T129" s="17"/>
      </tp>
      <tp>
        <v>77750</v>
        <stp/>
        <stp>102039733 16</stp>
        <tr r="W116" s="17"/>
      </tp>
      <tp>
        <v>159025</v>
        <stp/>
        <stp>102039763 13</stp>
        <tr r="T132" s="17"/>
      </tp>
      <tp>
        <v>0</v>
        <stp/>
        <stp>102039773 12</stp>
        <tr r="O136" s="17"/>
        <tr r="M68" s="27"/>
      </tp>
      <tp>
        <v>20</v>
        <stp/>
        <stp>102039762 13</stp>
        <tr r="T131" s="17"/>
      </tp>
      <tp>
        <v>32400</v>
        <stp/>
        <stp>102039705 15</stp>
        <tr r="V104" s="17"/>
      </tp>
      <tp>
        <v>87500</v>
        <stp/>
        <stp>102039735 16</stp>
        <tr r="W118" s="17"/>
      </tp>
      <tp>
        <v>125185</v>
        <stp/>
        <stp>102039755 10</stp>
        <tr r="X126" s="17"/>
        <tr r="K63" s="27"/>
      </tp>
      <tp>
        <v>8890</v>
        <stp/>
        <stp>102039704 15</stp>
        <tr r="V103" s="17"/>
      </tp>
      <tp>
        <v>10</v>
        <stp/>
        <stp>102039734 16</stp>
        <tr r="W117" s="17"/>
      </tp>
      <tp>
        <v>25</v>
        <stp/>
        <stp>102039754 10</stp>
        <tr r="G63" s="27"/>
        <tr r="X125" s="17"/>
      </tp>
      <tp>
        <v>20940</v>
        <stp/>
        <stp>102039717 14</stp>
        <tr r="J53" s="27"/>
        <tr r="U106" s="17"/>
      </tp>
      <tp>
        <v>0</v>
        <stp/>
        <stp>102039727 17</stp>
        <tr r="AB112" s="17"/>
      </tp>
      <tp>
        <v>99040</v>
        <stp/>
        <stp>102039737 16</stp>
        <tr r="W120" s="17"/>
      </tp>
      <tp>
        <v>0</v>
        <stp/>
        <stp>102039767 13</stp>
        <tr r="T134" s="17"/>
      </tp>
      <tp>
        <v>0</v>
        <stp/>
        <stp>102039777 12</stp>
        <tr r="O138" s="17"/>
        <tr r="M69" s="27"/>
      </tp>
      <tp>
        <v>4445</v>
        <stp/>
        <stp>102039716 14</stp>
        <tr r="H53" s="27"/>
        <tr r="U105" s="17"/>
      </tp>
      <tp>
        <v>0</v>
        <stp/>
        <stp>102039726 17</stp>
        <tr r="AB111" s="17"/>
      </tp>
      <tp>
        <v>10</v>
        <stp/>
        <stp>102039736 16</stp>
        <tr r="W119" s="17"/>
      </tp>
      <tp>
        <v>50</v>
        <stp/>
        <stp>102039766 13</stp>
        <tr r="T133" s="17"/>
      </tp>
      <tp>
        <v>0</v>
        <stp/>
        <stp>102039776 12</stp>
        <tr r="O137" s="17"/>
        <tr r="E69" s="27"/>
      </tp>
      <tp>
        <v>51920</v>
        <stp/>
        <stp>102039719 15</stp>
        <tr r="V108" s="17"/>
      </tp>
      <tp>
        <v>68025</v>
        <stp/>
        <stp>102039729 16</stp>
        <tr r="W114" s="17"/>
      </tp>
      <tp>
        <v>0</v>
        <stp/>
        <stp>102039739 17</stp>
        <tr r="AB122" s="17"/>
      </tp>
      <tp>
        <v>0</v>
        <stp/>
        <stp>102039759 11</stp>
        <tr r="Y128" s="17"/>
      </tp>
      <tp>
        <v>2235</v>
        <stp/>
        <stp>102039718 15</stp>
        <tr r="V107" s="17"/>
      </tp>
      <tp>
        <v>40</v>
        <stp/>
        <stp>102039728 16</stp>
        <tr r="W113" s="17"/>
      </tp>
      <tp>
        <v>0</v>
        <stp/>
        <stp>102039738 17</stp>
        <tr r="AB121" s="17"/>
      </tp>
      <tp>
        <v>20</v>
        <stp/>
        <stp>102039758 11</stp>
        <tr r="Y127" s="17"/>
      </tp>
      <tp>
        <v>0</v>
        <stp/>
        <stp>102039778 13</stp>
        <tr r="T139" s="17"/>
      </tp>
      <tp>
        <v>37700</v>
        <stp/>
        <stp>102039721 16</stp>
        <tr r="W110" s="17"/>
      </tp>
      <tp>
        <v>0</v>
        <stp/>
        <stp>102039731 17</stp>
        <tr r="AB115" s="17"/>
      </tp>
      <tp>
        <v>108930</v>
        <stp/>
        <stp>102039741 10</stp>
        <tr r="X124" s="17"/>
        <tr r="K62" s="27"/>
      </tp>
      <tp>
        <v>0</v>
        <stp/>
        <stp>102039761 12</stp>
        <tr r="O130" s="17"/>
        <tr r="M65" s="27"/>
      </tp>
      <tp>
        <v>0</v>
        <stp/>
        <stp>102039771 13</stp>
        <tr r="T135" s="17"/>
      </tp>
      <tp>
        <v>80</v>
        <stp/>
        <stp>102039720 16</stp>
        <tr r="W109" s="17"/>
      </tp>
      <tp>
        <v>35</v>
        <stp/>
        <stp>102039740 10</stp>
        <tr r="G62" s="27"/>
        <tr r="X123" s="17"/>
      </tp>
      <tp>
        <v>640</v>
        <stp/>
        <stp>102039760 12</stp>
        <tr r="E65" s="27"/>
        <tr r="O129" s="17"/>
      </tp>
      <tp>
        <v>0</v>
        <stp/>
        <stp>102039733 17</stp>
        <tr r="AB116" s="17"/>
      </tp>
      <tp>
        <v>20</v>
        <stp/>
        <stp>102039763 12</stp>
        <tr r="O132" s="17"/>
        <tr r="M66" s="27"/>
      </tp>
      <tp>
        <v>0</v>
        <stp/>
        <stp>102039773 13</stp>
        <tr r="T136" s="17"/>
      </tp>
      <tp>
        <v>2160</v>
        <stp/>
        <stp>102039762 12</stp>
        <tr r="E66" s="27"/>
        <tr r="O131" s="17"/>
      </tp>
      <tp>
        <v>14210</v>
        <stp/>
        <stp>102039705 14</stp>
        <tr r="J52" s="27"/>
        <tr r="U104" s="17"/>
      </tp>
      <tp>
        <v>0</v>
        <stp/>
        <stp>102039735 17</stp>
        <tr r="AB118" s="17"/>
      </tp>
      <tp>
        <v>20</v>
        <stp/>
        <stp>102039755 11</stp>
        <tr r="Y126" s="17"/>
      </tp>
      <tp>
        <v>7845</v>
        <stp/>
        <stp>102039704 14</stp>
        <tr r="H52" s="27"/>
        <tr r="U103" s="17"/>
      </tp>
      <tp>
        <v>0</v>
        <stp/>
        <stp>102039734 17</stp>
        <tr r="AB117" s="17"/>
      </tp>
      <tp>
        <v>300</v>
        <stp/>
        <stp>102039754 11</stp>
        <tr r="Y125" s="17"/>
      </tp>
      <tp>
        <v>41935</v>
        <stp/>
        <stp>102039717 15</stp>
        <tr r="V106" s="17"/>
      </tp>
      <tp>
        <v>45920</v>
        <stp/>
        <stp>102039727 16</stp>
        <tr r="W112" s="17"/>
      </tp>
      <tp>
        <v>0</v>
        <stp/>
        <stp>102039737 17</stp>
        <tr r="AB120" s="17"/>
      </tp>
      <tp>
        <v>0</v>
        <stp/>
        <stp>102039767 12</stp>
        <tr r="O134" s="17"/>
        <tr r="M67" s="27"/>
      </tp>
      <tp>
        <v>0</v>
        <stp/>
        <stp>102039777 13</stp>
        <tr r="T138" s="17"/>
      </tp>
      <tp>
        <v>5360</v>
        <stp/>
        <stp>102039716 15</stp>
        <tr r="V105" s="17"/>
      </tp>
      <tp>
        <v>55</v>
        <stp/>
        <stp>102039726 16</stp>
        <tr r="W111" s="17"/>
      </tp>
      <tp>
        <v>0</v>
        <stp/>
        <stp>102039736 17</stp>
        <tr r="AB119" s="17"/>
      </tp>
      <tp>
        <v>4700</v>
        <stp/>
        <stp>102039766 12</stp>
        <tr r="O133" s="17"/>
        <tr r="E67" s="27"/>
      </tp>
      <tp>
        <v>0</v>
        <stp/>
        <stp>102039776 13</stp>
        <tr r="T137" s="17"/>
      </tp>
      <tp>
        <v>27800</v>
        <stp/>
        <stp>102039719 16</stp>
        <tr r="W108" s="17"/>
      </tp>
      <tp>
        <v>81060</v>
        <stp/>
        <stp>102039729 15</stp>
        <tr r="V114" s="17"/>
      </tp>
      <tp>
        <v>97515</v>
        <stp/>
        <stp>102039739 14</stp>
        <tr r="J61" s="27"/>
        <tr r="U122" s="17"/>
      </tp>
      <tp>
        <v>0</v>
        <stp/>
        <stp>102039759 12</stp>
        <tr r="M64" s="27"/>
        <tr r="O128" s="17"/>
      </tp>
      <tp>
        <v>120</v>
        <stp/>
        <stp>102039718 16</stp>
        <tr r="W107" s="17"/>
      </tp>
      <tp>
        <v>350</v>
        <stp/>
        <stp>102039728 15</stp>
        <tr r="V113" s="17"/>
      </tp>
      <tp>
        <v>135</v>
        <stp/>
        <stp>102039738 14</stp>
        <tr r="H61" s="27"/>
        <tr r="U121" s="17"/>
      </tp>
      <tp>
        <v>2500</v>
        <stp/>
        <stp>102039758 12</stp>
        <tr r="O127" s="17"/>
        <tr r="E64" s="27"/>
      </tp>
      <tp>
        <v>0</v>
        <stp/>
        <stp>102039778 10</stp>
        <tr r="X139" s="17"/>
        <tr r="G70" s="27"/>
      </tp>
      <tp>
        <v>61815</v>
        <stp/>
        <stp>102039721 15</stp>
        <tr r="V110" s="17"/>
      </tp>
      <tp>
        <v>235</v>
        <stp/>
        <stp>102039731 14</stp>
        <tr r="H58" s="27"/>
        <tr r="U115" s="17"/>
      </tp>
      <tp>
        <v>0</v>
        <stp/>
        <stp>102039741 13</stp>
        <tr r="T124" s="17"/>
      </tp>
      <tp>
        <v>20</v>
        <stp/>
        <stp>102039761 11</stp>
        <tr r="Y130" s="17"/>
      </tp>
      <tp>
        <v>10</v>
        <stp/>
        <stp>102039771 10</stp>
        <tr r="X135" s="17"/>
        <tr r="G68" s="27"/>
      </tp>
      <tp>
        <v>0</v>
        <stp/>
        <stp>102039530 34</stp>
        <tr r="AD51" s="17"/>
      </tp>
      <tp>
        <v>870</v>
        <stp/>
        <stp>102039720 15</stp>
        <tr r="V109" s="17"/>
      </tp>
      <tp>
        <v>10</v>
        <stp/>
        <stp>102039740 13</stp>
        <tr r="T123" s="17"/>
      </tp>
      <tp>
        <v>40</v>
        <stp/>
        <stp>102039760 11</stp>
        <tr r="Y129" s="17"/>
      </tp>
      <tp>
        <v>0</v>
        <stp/>
        <stp>102039533 34</stp>
        <tr r="AD53" s="17"/>
      </tp>
      <tp>
        <v>67265</v>
        <stp/>
        <stp>102039733 14</stp>
        <tr r="J58" s="27"/>
        <tr r="U116" s="17"/>
      </tp>
      <tp>
        <v>20</v>
        <stp/>
        <stp>102039763 11</stp>
        <tr r="Y132" s="17"/>
      </tp>
      <tp>
        <v>158760</v>
        <stp/>
        <stp>102039773 10</stp>
        <tr r="X136" s="17"/>
        <tr r="K68" s="27"/>
      </tp>
      <tp>
        <v>0</v>
        <stp/>
        <stp>102039532 34</stp>
        <tr r="AD52" s="17"/>
      </tp>
      <tp>
        <v>20</v>
        <stp/>
        <stp>102039762 11</stp>
        <tr r="Y131" s="17"/>
      </tp>
      <tp>
        <v>0</v>
        <stp/>
        <stp>102039535 34</stp>
        <tr r="AD54" s="17"/>
      </tp>
      <tp>
        <v>0</v>
        <stp/>
        <stp>102039705 17</stp>
        <tr r="AB104" s="17"/>
      </tp>
      <tp>
        <v>77500</v>
        <stp/>
        <stp>102039735 14</stp>
        <tr r="J59" s="27"/>
        <tr r="U118" s="17"/>
      </tp>
      <tp>
        <v>0</v>
        <stp/>
        <stp>102039755 12</stp>
        <tr r="O126" s="17"/>
        <tr r="M63" s="27"/>
      </tp>
      <tp>
        <v>0</v>
        <stp/>
        <stp>102039704 17</stp>
        <tr r="AB103" s="17"/>
      </tp>
      <tp>
        <v>160</v>
        <stp/>
        <stp>102039734 14</stp>
        <tr r="H59" s="27"/>
        <tr r="U117" s="17"/>
      </tp>
      <tp>
        <v>1120</v>
        <stp/>
        <stp>102039754 12</stp>
        <tr r="O125" s="17"/>
        <tr r="E63" s="27"/>
      </tp>
      <tp>
        <v>18210</v>
        <stp/>
        <stp>102039717 16</stp>
        <tr r="W106" s="17"/>
      </tp>
      <tp>
        <v>71995</v>
        <stp/>
        <stp>102039727 15</stp>
        <tr r="V112" s="17"/>
      </tp>
      <tp>
        <v>87750</v>
        <stp/>
        <stp>102039737 14</stp>
        <tr r="J60" s="27"/>
        <tr r="U120" s="17"/>
      </tp>
      <tp>
        <v>0</v>
        <stp/>
        <stp>102039767 11</stp>
        <tr r="Y134" s="17"/>
      </tp>
      <tp>
        <v>0</v>
        <stp/>
        <stp>102039777 10</stp>
        <tr r="K69" s="27"/>
        <tr r="X138" s="17"/>
      </tp>
      <tp>
        <v>235</v>
        <stp/>
        <stp>102039716 16</stp>
        <tr r="W105" s="17"/>
      </tp>
      <tp>
        <v>485</v>
        <stp/>
        <stp>102039726 15</stp>
        <tr r="V111" s="17"/>
      </tp>
      <tp>
        <v>120</v>
        <stp/>
        <stp>102039736 14</stp>
        <tr r="H60" s="27"/>
        <tr r="U119" s="17"/>
      </tp>
      <tp>
        <v>20</v>
        <stp/>
        <stp>102039766 11</stp>
        <tr r="Y133" s="17"/>
      </tp>
      <tp>
        <v>195</v>
        <stp/>
        <stp>102039776 10</stp>
        <tr r="X137" s="17"/>
        <tr r="G69" s="27"/>
      </tp>
      <tp>
        <v>0</v>
        <stp/>
        <stp>102039529 34</stp>
        <tr r="AD50" s="17"/>
      </tp>
      <tp>
        <v>0</v>
        <stp/>
        <stp>102039719 17</stp>
        <tr r="AB108" s="17"/>
      </tp>
      <tp>
        <v>57500</v>
        <stp/>
        <stp>102039729 14</stp>
        <tr r="J57" s="27"/>
        <tr r="U114" s="17"/>
      </tp>
      <tp>
        <v>119800</v>
        <stp/>
        <stp>102039739 15</stp>
        <tr r="V122" s="17"/>
      </tp>
      <tp>
        <v>0</v>
        <stp/>
        <stp>102039759 13</stp>
        <tr r="T128" s="17"/>
      </tp>
      <tp>
        <v>0</v>
        <stp/>
        <stp>102039528 34</stp>
        <tr r="AD49" s="17"/>
      </tp>
      <tp>
        <v>0</v>
        <stp/>
        <stp>102039718 17</stp>
        <tr r="AB107" s="17"/>
      </tp>
      <tp>
        <v>315</v>
        <stp/>
        <stp>102039728 14</stp>
        <tr r="H57" s="27"/>
        <tr r="U113" s="17"/>
      </tp>
      <tp>
        <v>85</v>
        <stp/>
        <stp>102039738 15</stp>
        <tr r="V121" s="17"/>
      </tp>
      <tp>
        <v>35</v>
        <stp/>
        <stp>102039758 13</stp>
        <tr r="T127" s="17"/>
      </tp>
      <tp>
        <v>0</v>
        <stp/>
        <stp>102039778 11</stp>
        <tr r="Y139" s="17"/>
      </tp>
      <tp>
        <v>37670</v>
        <stp/>
        <stp>102039721 14</stp>
        <tr r="J55" s="27"/>
        <tr r="U110" s="17"/>
      </tp>
      <tp>
        <v>245</v>
        <stp/>
        <stp>102039731 15</stp>
        <tr r="V115" s="17"/>
      </tp>
      <tp>
        <v>0</v>
        <stp/>
        <stp>102039741 12</stp>
        <tr r="O124" s="17"/>
        <tr r="M62" s="27"/>
      </tp>
      <tp>
        <v>144885</v>
        <stp/>
        <stp>102039761 10</stp>
        <tr r="K65" s="27"/>
        <tr r="X130" s="17"/>
      </tp>
      <tp>
        <v>20</v>
        <stp/>
        <stp>102039771 11</stp>
        <tr r="Y135" s="17"/>
      </tp>
      <tp>
        <v>1110</v>
        <stp/>
        <stp>102039720 14</stp>
        <tr r="H55" s="27"/>
        <tr r="U109" s="17"/>
      </tp>
      <tp>
        <v>9140</v>
        <stp/>
        <stp>102039740 12</stp>
        <tr r="O123" s="17"/>
        <tr r="E62" s="27"/>
      </tp>
      <tp>
        <v>5</v>
        <stp/>
        <stp>102039760 10</stp>
        <tr r="X129" s="17"/>
        <tr r="G65" s="27"/>
      </tp>
      <tp>
        <v>91090</v>
        <stp/>
        <stp>102039733 15</stp>
        <tr r="V116" s="17"/>
      </tp>
      <tp>
        <v>159025</v>
        <stp/>
        <stp>102039763 10</stp>
        <tr r="X132" s="17"/>
        <tr r="K66" s="27"/>
      </tp>
      <tp>
        <v>20</v>
        <stp/>
        <stp>102039773 11</stp>
        <tr r="Y136" s="17"/>
      </tp>
      <tp>
        <v>5</v>
        <stp/>
        <stp>102039762 10</stp>
        <tr r="X131" s="17"/>
        <tr r="G66" s="27"/>
      </tp>
      <tp>
        <v>10400</v>
        <stp/>
        <stp>102039705 16</stp>
        <tr r="W104" s="17"/>
      </tp>
      <tp>
        <v>90760</v>
        <stp/>
        <stp>102039735 15</stp>
        <tr r="V118" s="17"/>
      </tp>
      <tp>
        <v>0</v>
        <stp/>
        <stp>102039755 13</stp>
        <tr r="T126" s="17"/>
      </tp>
      <tp>
        <v>505</v>
        <stp/>
        <stp>102039704 16</stp>
        <tr r="W103" s="17"/>
      </tp>
      <tp>
        <v>270</v>
        <stp/>
        <stp>102039734 15</stp>
        <tr r="V117" s="17"/>
      </tp>
      <tp>
        <v>25</v>
        <stp/>
        <stp>102039754 13</stp>
        <tr r="T125" s="17"/>
      </tp>
      <tp>
        <v>0</v>
        <stp/>
        <stp>102039717 17</stp>
        <tr r="AB106" s="17"/>
      </tp>
      <tp>
        <v>47050</v>
        <stp/>
        <stp>102039727 14</stp>
        <tr r="J56" s="27"/>
        <tr r="U112" s="17"/>
      </tp>
      <tp>
        <v>99040</v>
        <stp/>
        <stp>102039737 15</stp>
        <tr r="V120" s="17"/>
      </tp>
      <tp>
        <v>0</v>
        <stp/>
        <stp>102039767 10</stp>
        <tr r="X134" s="17"/>
        <tr r="K67" s="27"/>
      </tp>
      <tp>
        <v>0</v>
        <stp/>
        <stp>102039777 11</stp>
        <tr r="Y138" s="17"/>
      </tp>
      <tp>
        <v>0</v>
        <stp/>
        <stp>102039716 17</stp>
        <tr r="AB105" s="17"/>
      </tp>
      <tp>
        <v>600</v>
        <stp/>
        <stp>102039726 14</stp>
        <tr r="H56" s="27"/>
        <tr r="U111" s="17"/>
      </tp>
      <tp>
        <v>100</v>
        <stp/>
        <stp>102039736 15</stp>
        <tr r="V119" s="17"/>
      </tp>
      <tp>
        <v>10</v>
        <stp/>
        <stp>102039766 10</stp>
        <tr r="X133" s="17"/>
        <tr r="G67" s="27"/>
      </tp>
      <tp>
        <v>20</v>
        <stp/>
        <stp>102039776 11</stp>
        <tr r="Y137" s="17"/>
      </tp>
      <tp>
        <v>0</v>
        <stp/>
        <stp>102039559 34</stp>
        <tr r="AD60" s="17"/>
      </tp>
      <tp>
        <v>49185</v>
        <stp/>
        <stp>102039719 10</stp>
        <tr r="K54" s="27"/>
        <tr r="X108" s="17"/>
      </tp>
      <tp>
        <v>69170</v>
        <stp/>
        <stp>102039729 13</stp>
        <tr r="T114" s="17"/>
      </tp>
      <tp>
        <v>420</v>
        <stp/>
        <stp>102039739 12</stp>
        <tr r="O122" s="17"/>
        <tr r="M61" s="27"/>
      </tp>
      <tp>
        <v>146415</v>
        <stp/>
        <stp>102039759 14</stp>
        <tr r="J64" s="27"/>
        <tr r="U128" s="17"/>
      </tp>
      <tp>
        <v>0</v>
        <stp/>
        <stp>102039799 18</stp>
        <tr r="AA44" s="17"/>
      </tp>
      <tp>
        <v>0</v>
        <stp/>
        <stp>102039558 34</stp>
        <tr r="AD59" s="17"/>
      </tp>
      <tp>
        <v>135</v>
        <stp/>
        <stp>102039718 10</stp>
        <tr r="G54" s="27"/>
        <tr r="X107" s="17"/>
      </tp>
      <tp>
        <v>340</v>
        <stp/>
        <stp>102039728 13</stp>
        <tr r="T113" s="17"/>
      </tp>
      <tp>
        <v>67280</v>
        <stp/>
        <stp>102039738 12</stp>
        <tr r="O121" s="17"/>
        <tr r="E61" s="27"/>
      </tp>
      <tp>
        <v>105</v>
        <stp/>
        <stp>102039758 14</stp>
        <tr r="H64" s="27"/>
        <tr r="U127" s="17"/>
      </tp>
      <tp>
        <v>0</v>
        <stp/>
        <stp>102039778 16</stp>
        <tr r="W139" s="17"/>
      </tp>
      <tp>
        <v>0</v>
        <stp/>
        <stp>102039798 18</stp>
        <tr r="AA43" s="17"/>
      </tp>
      <tp>
        <v>0</v>
        <stp/>
        <stp>102039551 34</stp>
        <tr r="AD56" s="17"/>
      </tp>
      <tp>
        <v>38300</v>
        <stp/>
        <stp>102039721 13</stp>
        <tr r="T110" s="17"/>
      </tp>
      <tp>
        <v>304360</v>
        <stp/>
        <stp>102039731 12</stp>
        <tr r="E58" s="27"/>
        <tr r="O115" s="17"/>
      </tp>
      <tp>
        <v>0</v>
        <stp/>
        <stp>102039741 15</stp>
        <tr r="V124" s="17"/>
      </tp>
      <tp>
        <v>0</v>
        <stp/>
        <stp>102039761 17</stp>
        <tr r="AB130" s="17"/>
      </tp>
      <tp>
        <v>0</v>
        <stp/>
        <stp>102039771 16</stp>
        <tr r="W135" s="17"/>
      </tp>
      <tp>
        <v>0</v>
        <stp/>
        <stp>102039791 18</stp>
        <tr r="AA144" s="17"/>
      </tp>
      <tp>
        <v>0</v>
        <stp/>
        <stp>102039550 34</stp>
        <tr r="AD55" s="17"/>
      </tp>
      <tp>
        <v>855</v>
        <stp/>
        <stp>102039720 13</stp>
        <tr r="T109" s="17"/>
      </tp>
      <tp>
        <v>45</v>
        <stp/>
        <stp>102039740 15</stp>
        <tr r="V123" s="17"/>
      </tp>
      <tp>
        <v>0</v>
        <stp/>
        <stp>102039760 17</stp>
        <tr r="AB129" s="17"/>
      </tp>
      <tp>
        <v>0</v>
        <stp/>
        <stp>102039790 18</stp>
        <tr r="AA143" s="17"/>
      </tp>
      <tp>
        <v>0</v>
        <stp/>
        <stp>102039553 34</stp>
        <tr r="AD57" s="17"/>
      </tp>
      <tp>
        <v>260</v>
        <stp/>
        <stp>102039733 12</stp>
        <tr r="O116" s="17"/>
        <tr r="M58" s="27"/>
      </tp>
      <tp>
        <v>0</v>
        <stp/>
        <stp>102039763 17</stp>
        <tr r="AB132" s="17"/>
      </tp>
      <tp>
        <v>0</v>
        <stp/>
        <stp>102039773 16</stp>
        <tr r="W136" s="17"/>
      </tp>
      <tp>
        <v>0</v>
        <stp/>
        <stp>102039762 17</stp>
        <tr r="AB131" s="17"/>
      </tp>
      <tp>
        <v>20</v>
        <stp/>
        <stp>102039705 11</stp>
        <tr r="Y104" s="17"/>
      </tp>
      <tp>
        <v>140</v>
        <stp/>
        <stp>102039735 12</stp>
        <tr r="O118" s="17"/>
        <tr r="M59" s="27"/>
      </tp>
      <tp>
        <v>125185</v>
        <stp/>
        <stp>102039755 14</stp>
        <tr r="J63" s="27"/>
        <tr r="U126" s="17"/>
      </tp>
      <tp>
        <v>0</v>
        <stp/>
        <stp>102039795 18</stp>
        <tr r="AA146" s="17"/>
      </tp>
      <tp>
        <v>0</v>
        <stp/>
        <stp>102039554 34</stp>
        <tr r="AD58" s="17"/>
      </tp>
      <tp>
        <v>20</v>
        <stp/>
        <stp>102039704 11</stp>
        <tr r="Y103" s="17"/>
      </tp>
      <tp>
        <v>72220</v>
        <stp/>
        <stp>102039734 12</stp>
        <tr r="O117" s="17"/>
        <tr r="E59" s="27"/>
      </tp>
      <tp>
        <v>75</v>
        <stp/>
        <stp>102039754 14</stp>
        <tr r="H63" s="27"/>
        <tr r="U125" s="17"/>
      </tp>
      <tp>
        <v>0</v>
        <stp/>
        <stp>102039794 18</stp>
        <tr r="AA145" s="17"/>
      </tp>
      <tp>
        <v>39200</v>
        <stp/>
        <stp>102039717 10</stp>
        <tr r="X106" s="17"/>
        <tr r="K53" s="27"/>
      </tp>
      <tp>
        <v>46495</v>
        <stp/>
        <stp>102039727 13</stp>
        <tr r="T112" s="17"/>
      </tp>
      <tp>
        <v>20</v>
        <stp/>
        <stp>102039737 12</stp>
        <tr r="O120" s="17"/>
        <tr r="M60" s="27"/>
      </tp>
      <tp>
        <v>0</v>
        <stp/>
        <stp>102039767 17</stp>
        <tr r="AB134" s="17"/>
      </tp>
      <tp>
        <v>0</v>
        <stp/>
        <stp>102039777 16</stp>
        <tr r="W138" s="17"/>
      </tp>
      <tp>
        <v>0</v>
        <stp/>
        <stp>102039797 18</stp>
        <tr r="AA42" s="17"/>
      </tp>
      <tp>
        <v>270</v>
        <stp/>
        <stp>102039716 10</stp>
        <tr r="G53" s="27"/>
        <tr r="X105" s="17"/>
      </tp>
      <tp>
        <v>380</v>
        <stp/>
        <stp>102039726 13</stp>
        <tr r="T111" s="17"/>
      </tp>
      <tp>
        <v>19380</v>
        <stp/>
        <stp>102039736 12</stp>
        <tr r="O119" s="17"/>
        <tr r="E60" s="27"/>
      </tp>
      <tp>
        <v>0</v>
        <stp/>
        <stp>102039766 17</stp>
        <tr r="AB133" s="17"/>
      </tp>
      <tp>
        <v>0</v>
        <stp/>
        <stp>102039776 16</stp>
        <tr r="W137" s="17"/>
      </tp>
      <tp>
        <v>0</v>
        <stp/>
        <stp>102039796 18</stp>
        <tr r="AA41" s="17"/>
      </tp>
      <tp>
        <v>20</v>
        <stp/>
        <stp>102039719 11</stp>
        <tr r="Y108" s="17"/>
      </tp>
      <tp>
        <v>340</v>
        <stp/>
        <stp>102039729 12</stp>
        <tr r="O114" s="17"/>
        <tr r="M57" s="27"/>
      </tp>
      <tp>
        <v>107210</v>
        <stp/>
        <stp>102039739 13</stp>
        <tr r="T122" s="17"/>
      </tp>
      <tp>
        <v>0</v>
        <stp/>
        <stp>102039759 15</stp>
        <tr r="V128" s="17"/>
      </tp>
      <tp>
        <v>0</v>
        <stp/>
        <stp>102039789 18</stp>
        <tr r="AA40" s="17"/>
      </tp>
      <tp>
        <v>1200</v>
        <stp/>
        <stp>102039718 11</stp>
        <tr r="Y107" s="17"/>
      </tp>
      <tp>
        <v>609980</v>
        <stp/>
        <stp>102039728 12</stp>
        <tr r="O113" s="17"/>
        <tr r="E57" s="27"/>
      </tp>
      <tp>
        <v>45</v>
        <stp/>
        <stp>102039738 13</stp>
        <tr r="T121" s="17"/>
      </tp>
      <tp>
        <v>35</v>
        <stp/>
        <stp>102039758 15</stp>
        <tr r="V127" s="17"/>
      </tp>
      <tp>
        <v>0</v>
        <stp/>
        <stp>102039778 17</stp>
        <tr r="AB139" s="17"/>
      </tp>
      <tp>
        <v>0</v>
        <stp/>
        <stp>102039788 18</stp>
        <tr r="AA39" s="17"/>
      </tp>
      <tp>
        <v>49560</v>
        <stp/>
        <stp>102039721 12</stp>
        <tr r="M55" s="27"/>
        <tr r="O110" s="17"/>
      </tp>
      <tp>
        <v>240</v>
        <stp/>
        <stp>102039731 13</stp>
        <tr r="T115" s="17"/>
      </tp>
      <tp>
        <v>108930</v>
        <stp/>
        <stp>102039741 14</stp>
        <tr r="J62" s="27"/>
        <tr r="U124" s="17"/>
      </tp>
      <tp>
        <v>0</v>
        <stp/>
        <stp>102039761 16</stp>
        <tr r="W130" s="17"/>
      </tp>
      <tp>
        <v>0</v>
        <stp/>
        <stp>102039771 17</stp>
        <tr r="AB135" s="17"/>
      </tp>
      <tp>
        <v>0</v>
        <stp/>
        <stp>102039781 18</stp>
        <tr r="AA140" s="17"/>
      </tp>
      <tp>
        <v>23491680</v>
        <stp/>
        <stp>102039720 12</stp>
        <tr r="O109" s="17"/>
        <tr r="E55" s="27"/>
      </tp>
      <tp>
        <v>135</v>
        <stp/>
        <stp>102039740 14</stp>
        <tr r="H62" s="27"/>
        <tr r="U123" s="17"/>
      </tp>
      <tp>
        <v>5</v>
        <stp/>
        <stp>102039760 16</stp>
        <tr r="W129" s="17"/>
      </tp>
      <tp>
        <v>79150</v>
        <stp/>
        <stp>102039733 13</stp>
        <tr r="T116" s="17"/>
      </tp>
      <tp>
        <v>159025</v>
        <stp/>
        <stp>102039763 16</stp>
        <tr r="W132" s="17"/>
      </tp>
      <tp>
        <v>0</v>
        <stp/>
        <stp>102039773 17</stp>
        <tr r="AB136" s="17"/>
      </tp>
      <tp>
        <v>0</v>
        <stp/>
        <stp>102039783 18</stp>
        <tr r="AA36" s="17"/>
      </tp>
      <tp>
        <v>5</v>
        <stp/>
        <stp>102039762 16</stp>
        <tr r="W131" s="17"/>
      </tp>
      <tp>
        <v>0</v>
        <stp/>
        <stp>102039782 18</stp>
        <tr r="AA35" s="17"/>
      </tp>
      <tp>
        <v>29600</v>
        <stp/>
        <stp>102039705 10</stp>
        <tr r="X104" s="17"/>
        <tr r="K52" s="27"/>
      </tp>
      <tp>
        <v>87500</v>
        <stp/>
        <stp>102039735 13</stp>
        <tr r="T118" s="17"/>
      </tp>
      <tp>
        <v>0</v>
        <stp/>
        <stp>102039755 15</stp>
        <tr r="V126" s="17"/>
      </tp>
      <tp>
        <v>0</v>
        <stp/>
        <stp>102039785 18</stp>
        <tr r="AA38" s="17"/>
      </tp>
      <tp>
        <v>580</v>
        <stp/>
        <stp>102039704 10</stp>
        <tr r="X103" s="17"/>
        <tr r="G52" s="27"/>
      </tp>
      <tp>
        <v>150</v>
        <stp/>
        <stp>102039734 13</stp>
        <tr r="T117" s="17"/>
      </tp>
      <tp>
        <v>30</v>
        <stp/>
        <stp>102039754 15</stp>
        <tr r="V125" s="17"/>
      </tp>
      <tp>
        <v>0</v>
        <stp/>
        <stp>102039784 18</stp>
        <tr r="AA37" s="17"/>
      </tp>
      <tp>
        <v>80</v>
        <stp/>
        <stp>102039717 11</stp>
        <tr r="Y106" s="17"/>
      </tp>
      <tp>
        <v>31940</v>
        <stp/>
        <stp>102039727 12</stp>
        <tr r="M56" s="27"/>
        <tr r="O112" s="17"/>
      </tp>
      <tp>
        <v>99040</v>
        <stp/>
        <stp>102039737 13</stp>
        <tr r="T120" s="17"/>
      </tp>
      <tp>
        <v>0</v>
        <stp/>
        <stp>102039767 16</stp>
        <tr r="W134" s="17"/>
      </tp>
      <tp>
        <v>0</v>
        <stp/>
        <stp>102039777 17</stp>
        <tr r="AB138" s="17"/>
      </tp>
      <tp>
        <v>0</v>
        <stp/>
        <stp>102039787 18</stp>
        <tr r="AA142" s="17"/>
      </tp>
      <tp>
        <v>40</v>
        <stp/>
        <stp>102039716 11</stp>
        <tr r="Y105" s="17"/>
      </tp>
      <tp>
        <v>5606560</v>
        <stp/>
        <stp>102039726 12</stp>
        <tr r="O111" s="17"/>
        <tr r="E56" s="27"/>
      </tp>
      <tp>
        <v>100</v>
        <stp/>
        <stp>102039736 13</stp>
        <tr r="T119" s="17"/>
      </tp>
      <tp>
        <v>5</v>
        <stp/>
        <stp>102039766 16</stp>
        <tr r="W133" s="17"/>
      </tp>
      <tp>
        <v>0</v>
        <stp/>
        <stp>102039776 17</stp>
        <tr r="AB137" s="17"/>
      </tp>
      <tp>
        <v>0</v>
        <stp/>
        <stp>102039786 18</stp>
        <tr r="AA141" s="17"/>
      </tp>
      <tp>
        <v>234980</v>
        <stp/>
        <stp>102039719 12</stp>
        <tr r="O108" s="17"/>
        <tr r="M54" s="27"/>
      </tp>
      <tp>
        <v>20</v>
        <stp/>
        <stp>102039729 11</stp>
        <tr r="Y114" s="17"/>
      </tp>
      <tp>
        <v>118445</v>
        <stp/>
        <stp>102039739 10</stp>
        <tr r="K61" s="27"/>
        <tr r="X122" s="17"/>
      </tp>
      <tp>
        <v>0</v>
        <stp/>
        <stp>102039759 16</stp>
        <tr r="W128" s="17"/>
      </tp>
      <tp>
        <v>7089360</v>
        <stp/>
        <stp>102039718 12</stp>
        <tr r="O107" s="17"/>
        <tr r="E54" s="27"/>
      </tp>
      <tp>
        <v>100</v>
        <stp/>
        <stp>102039728 11</stp>
        <tr r="Y113" s="17"/>
      </tp>
      <tp>
        <v>30</v>
        <stp/>
        <stp>102039738 10</stp>
        <tr r="X121" s="17"/>
        <tr r="G61" s="27"/>
      </tp>
      <tp>
        <v>15</v>
        <stp/>
        <stp>102039758 16</stp>
        <tr r="W127" s="17"/>
      </tp>
      <tp>
        <v>46295</v>
        <stp/>
        <stp>102039778 14</stp>
        <tr r="H70" s="27"/>
        <tr r="U139" s="17"/>
      </tp>
      <tp>
        <v>0</v>
        <stp/>
        <stp>102039571 34</stp>
        <tr r="AD64" s="17"/>
      </tp>
      <tp>
        <v>40</v>
        <stp/>
        <stp>102039721 11</stp>
        <tr r="Y110" s="17"/>
      </tp>
      <tp>
        <v>45</v>
        <stp/>
        <stp>102039731 10</stp>
        <tr r="X115" s="17"/>
        <tr r="G58" s="27"/>
      </tp>
      <tp>
        <v>0</v>
        <stp/>
        <stp>102039741 17</stp>
        <tr r="AB124" s="17"/>
      </tp>
      <tp>
        <v>0</v>
        <stp/>
        <stp>102039761 15</stp>
        <tr r="V130" s="17"/>
      </tp>
      <tp>
        <v>10</v>
        <stp/>
        <stp>102039771 14</stp>
        <tr r="H68" s="27"/>
        <tr r="U135" s="17"/>
      </tp>
      <tp>
        <v>0</v>
        <stp/>
        <stp>102039570 34</stp>
        <tr r="AD63" s="17"/>
      </tp>
      <tp>
        <v>2500</v>
        <stp/>
        <stp>102039720 11</stp>
        <tr r="Y109" s="17"/>
      </tp>
      <tp>
        <v>0</v>
        <stp/>
        <stp>102039740 17</stp>
        <tr r="AB123" s="17"/>
      </tp>
      <tp>
        <v>25</v>
        <stp/>
        <stp>102039760 15</stp>
        <tr r="V129" s="17"/>
      </tp>
      <tp>
        <v>89700</v>
        <stp/>
        <stp>102039733 10</stp>
        <tr r="X116" s="17"/>
        <tr r="K58" s="27"/>
      </tp>
      <tp>
        <v>159025</v>
        <stp/>
        <stp>102039763 15</stp>
        <tr r="V132" s="17"/>
      </tp>
      <tp>
        <v>158760</v>
        <stp/>
        <stp>102039773 14</stp>
        <tr r="J68" s="27"/>
        <tr r="U136" s="17"/>
      </tp>
      <tp>
        <v>0</v>
        <stp/>
        <stp>102039572 34</stp>
        <tr r="AD65" s="17"/>
      </tp>
      <tp>
        <v>20</v>
        <stp/>
        <stp>102039762 15</stp>
        <tr r="V131" s="17"/>
      </tp>
      <tp>
        <v>10400</v>
        <stp/>
        <stp>102039705 13</stp>
        <tr r="T104" s="17"/>
      </tp>
      <tp>
        <v>90760</v>
        <stp/>
        <stp>102039735 10</stp>
        <tr r="X118" s="17"/>
        <tr r="K59" s="27"/>
      </tp>
      <tp>
        <v>0</v>
        <stp/>
        <stp>102039755 16</stp>
        <tr r="W126" s="17"/>
      </tp>
      <tp>
        <v>0</v>
        <stp/>
        <stp>102039574 34</stp>
        <tr r="AD66" s="17"/>
      </tp>
      <tp>
        <v>8890</v>
        <stp/>
        <stp>102039704 13</stp>
        <tr r="T103" s="17"/>
      </tp>
      <tp>
        <v>35</v>
        <stp/>
        <stp>102039734 10</stp>
        <tr r="X117" s="17"/>
        <tr r="G59" s="27"/>
      </tp>
      <tp>
        <v>5</v>
        <stp/>
        <stp>102039754 16</stp>
        <tr r="W125" s="17"/>
      </tp>
      <tp>
        <v>630820</v>
        <stp/>
        <stp>102039717 12</stp>
        <tr r="O106" s="17"/>
        <tr r="M53" s="27"/>
      </tp>
      <tp>
        <v>20</v>
        <stp/>
        <stp>102039727 11</stp>
        <tr r="Y112" s="17"/>
      </tp>
      <tp>
        <v>99040</v>
        <stp/>
        <stp>102039737 10</stp>
        <tr r="X120" s="17"/>
        <tr r="K60" s="27"/>
      </tp>
      <tp>
        <v>0</v>
        <stp/>
        <stp>102039767 15</stp>
        <tr r="V134" s="17"/>
      </tp>
      <tp>
        <v>179900</v>
        <stp/>
        <stp>102039777 14</stp>
        <tr r="J69" s="27"/>
        <tr r="U138" s="17"/>
      </tp>
      <tp>
        <v>9640640</v>
        <stp/>
        <stp>102039716 12</stp>
        <tr r="E53" s="27"/>
        <tr r="O105" s="17"/>
      </tp>
      <tp>
        <v>200</v>
        <stp/>
        <stp>102039726 11</stp>
        <tr r="Y111" s="17"/>
      </tp>
      <tp>
        <v>35</v>
        <stp/>
        <stp>102039736 10</stp>
        <tr r="X119" s="17"/>
        <tr r="G60" s="27"/>
      </tp>
      <tp>
        <v>190</v>
        <stp/>
        <stp>102039766 15</stp>
        <tr r="V133" s="17"/>
      </tp>
      <tp>
        <v>195</v>
        <stp/>
        <stp>102039776 14</stp>
        <tr r="H69" s="27"/>
        <tr r="U137" s="17"/>
      </tp>
      <tp>
        <v>31405</v>
        <stp/>
        <stp>102039719 13</stp>
        <tr r="T108" s="17"/>
      </tp>
      <tp>
        <v>80055</v>
        <stp/>
        <stp>102039729 10</stp>
        <tr r="X114" s="17"/>
        <tr r="K57" s="27"/>
      </tp>
      <tp>
        <v>60</v>
        <stp/>
        <stp>102039739 11</stp>
        <tr r="Y122" s="17"/>
      </tp>
      <tp>
        <v>0</v>
        <stp/>
        <stp>102039759 17</stp>
        <tr r="AB128" s="17"/>
      </tp>
      <tp>
        <v>2235</v>
        <stp/>
        <stp>102039718 13</stp>
        <tr r="T107" s="17"/>
      </tp>
      <tp>
        <v>45</v>
        <stp/>
        <stp>102039728 10</stp>
        <tr r="X113" s="17"/>
        <tr r="G57" s="27"/>
      </tp>
      <tp>
        <v>80</v>
        <stp/>
        <stp>102039738 11</stp>
        <tr r="Y121" s="17"/>
      </tp>
      <tp>
        <v>0</v>
        <stp/>
        <stp>102039758 17</stp>
        <tr r="AB127" s="17"/>
      </tp>
      <tp>
        <v>0</v>
        <stp/>
        <stp>102039778 15</stp>
        <tr r="V139" s="17"/>
      </tp>
      <tp>
        <v>0</v>
        <stp/>
        <stp>102039561 34</stp>
        <tr r="AD62" s="17"/>
      </tp>
      <tp>
        <v>58600</v>
        <stp/>
        <stp>102039721 10</stp>
        <tr r="X110" s="17"/>
        <tr r="K55" s="27"/>
      </tp>
      <tp>
        <v>80</v>
        <stp/>
        <stp>102039731 11</stp>
        <tr r="Y115" s="17"/>
      </tp>
      <tp>
        <v>0</v>
        <stp/>
        <stp>102039741 16</stp>
        <tr r="W124" s="17"/>
      </tp>
      <tp>
        <v>144885</v>
        <stp/>
        <stp>102039761 14</stp>
        <tr r="J65" s="27"/>
        <tr r="U130" s="17"/>
      </tp>
      <tp>
        <v>0</v>
        <stp/>
        <stp>102039771 15</stp>
        <tr r="V135" s="17"/>
      </tp>
      <tp>
        <v>0</v>
        <stp/>
        <stp>102039560 34</stp>
        <tr r="AD61" s="17"/>
      </tp>
      <tp>
        <v>90</v>
        <stp/>
        <stp>102039720 10</stp>
        <tr r="G55" s="27"/>
        <tr r="X109" s="17"/>
      </tp>
      <tp>
        <v>10</v>
        <stp/>
        <stp>102039740 16</stp>
        <tr r="W123" s="17"/>
      </tp>
      <tp>
        <v>30</v>
        <stp/>
        <stp>102039760 14</stp>
        <tr r="H65" s="27"/>
        <tr r="U129" s="17"/>
      </tp>
      <tp>
        <v>20</v>
        <stp/>
        <stp>102039733 11</stp>
        <tr r="Y116" s="17"/>
      </tp>
      <tp>
        <v>150040</v>
        <stp/>
        <stp>102039763 14</stp>
        <tr r="J66" s="27"/>
        <tr r="U132" s="17"/>
      </tp>
      <tp>
        <v>0</v>
        <stp/>
        <stp>102039773 15</stp>
        <tr r="V136" s="17"/>
      </tp>
      <tp>
        <v>25</v>
        <stp/>
        <stp>102039762 14</stp>
        <tr r="H66" s="27"/>
        <tr r="U131" s="17"/>
      </tp>
      <tp>
        <v>1547640</v>
        <stp/>
        <stp>102039705 12</stp>
        <tr r="O104" s="17"/>
        <tr r="M52" s="27"/>
      </tp>
      <tp>
        <v>20</v>
        <stp/>
        <stp>102039735 11</stp>
        <tr r="Y118" s="17"/>
      </tp>
      <tp>
        <v>0</v>
        <stp/>
        <stp>102039755 17</stp>
        <tr r="AB126" s="17"/>
      </tp>
      <tp>
        <v>12107580</v>
        <stp/>
        <stp>102039704 12</stp>
        <tr r="O103" s="17"/>
        <tr r="E52" s="27"/>
      </tp>
      <tp>
        <v>20</v>
        <stp/>
        <stp>102039734 11</stp>
        <tr r="Y117" s="17"/>
      </tp>
      <tp>
        <v>0</v>
        <stp/>
        <stp>102039754 17</stp>
        <tr r="AB125" s="17"/>
      </tp>
      <tp>
        <v>18255</v>
        <stp/>
        <stp>102039717 13</stp>
        <tr r="T106" s="17"/>
      </tp>
      <tp>
        <v>69550</v>
        <stp/>
        <stp>102039727 10</stp>
        <tr r="K56" s="27"/>
        <tr r="X112" s="17"/>
      </tp>
      <tp>
        <v>20</v>
        <stp/>
        <stp>102039737 11</stp>
        <tr r="Y120" s="17"/>
      </tp>
      <tp>
        <v>166095</v>
        <stp/>
        <stp>102039767 14</stp>
        <tr r="J67" s="27"/>
        <tr r="U134" s="17"/>
      </tp>
      <tp>
        <v>0</v>
        <stp/>
        <stp>102039777 15</stp>
        <tr r="V138" s="17"/>
      </tp>
      <tp>
        <v>5355</v>
        <stp/>
        <stp>102039716 13</stp>
        <tr r="T105" s="17"/>
      </tp>
      <tp>
        <v>60</v>
        <stp/>
        <stp>102039726 10</stp>
        <tr r="X111" s="17"/>
        <tr r="G56" s="27"/>
      </tp>
      <tp>
        <v>40</v>
        <stp/>
        <stp>102039736 11</stp>
        <tr r="Y119" s="17"/>
      </tp>
      <tp>
        <v>20</v>
        <stp/>
        <stp>102039766 14</stp>
        <tr r="H67" s="27"/>
        <tr r="U133" s="17"/>
      </tp>
      <tp>
        <v>0</v>
        <stp/>
        <stp>102039776 15</stp>
        <tr r="V137" s="17"/>
      </tp>
      <tp>
        <v>4740</v>
        <stp/>
        <stp>102039589 25</stp>
        <tr r="Q72" s="17"/>
      </tp>
      <tp>
        <v>392205</v>
        <stp/>
        <stp>102039599 24</stp>
        <tr r="P178" s="17"/>
      </tp>
      <tp>
        <v>80</v>
        <stp/>
        <stp>102039588 25</stp>
        <tr r="Q71" s="17"/>
      </tp>
      <tp>
        <v>540</v>
        <stp/>
        <stp>102039583 25</stp>
        <tr r="Q68" s="17"/>
      </tp>
      <tp>
        <v>45</v>
        <stp/>
        <stp>102039593 24</stp>
        <tr r="P74" s="17"/>
      </tp>
      <tp>
        <v>300</v>
        <stp/>
        <stp>102039582 25</stp>
        <tr r="Q67" s="17"/>
      </tp>
      <tp>
        <v>119995</v>
        <stp/>
        <stp>102039592 24</stp>
        <tr r="P73" s="17"/>
      </tp>
      <tp>
        <v>120</v>
        <stp/>
        <stp>102039585 25</stp>
        <tr r="Q70" s="17"/>
      </tp>
      <tp>
        <v>45</v>
        <stp/>
        <stp>102039595 24</stp>
        <tr r="P76" s="17"/>
      </tp>
      <tp>
        <v>15045</v>
        <stp/>
        <stp>102039685 15</stp>
        <tr r="V100" s="17"/>
      </tp>
      <tp>
        <v>500</v>
        <stp/>
        <stp>102039584 25</stp>
        <tr r="Q69" s="17"/>
      </tp>
      <tp>
        <v>110225</v>
        <stp/>
        <stp>102039594 24</stp>
        <tr r="P75" s="17"/>
      </tp>
      <tp>
        <v>26490</v>
        <stp/>
        <stp>102039684 15</stp>
        <tr r="V99" s="17"/>
      </tp>
      <tp>
        <v>0</v>
        <stp/>
        <stp>102039597 24</stp>
        <tr r="P177" s="17"/>
      </tp>
      <tp>
        <v>9015</v>
        <stp/>
        <stp>102039697 14</stp>
        <tr r="J51" s="27"/>
        <tr r="U102" s="17"/>
      </tp>
      <tp>
        <v>12645</v>
        <stp/>
        <stp>102039696 14</stp>
        <tr r="H51" s="27"/>
        <tr r="U101" s="17"/>
      </tp>
      <tp>
        <v>35</v>
        <stp/>
        <stp>102039589 24</stp>
        <tr r="P72" s="17"/>
      </tp>
      <tp>
        <v>100</v>
        <stp/>
        <stp>102039599 25</stp>
        <tr r="Q178" s="17"/>
      </tp>
      <tp>
        <v>130600</v>
        <stp/>
        <stp>102039588 24</stp>
        <tr r="P71" s="17"/>
      </tp>
      <tp>
        <v>25</v>
        <stp/>
        <stp>102039583 24</stp>
        <tr r="P68" s="17"/>
      </tp>
      <tp>
        <v>700</v>
        <stp/>
        <stp>102039593 25</stp>
        <tr r="Q74" s="17"/>
      </tp>
      <tp>
        <v>0</v>
        <stp/>
        <stp>102039643 18</stp>
        <tr r="AA86" s="17"/>
      </tp>
      <tp>
        <v>149940</v>
        <stp/>
        <stp>102039582 24</stp>
        <tr r="P67" s="17"/>
      </tp>
      <tp>
        <v>140</v>
        <stp/>
        <stp>102039592 25</stp>
        <tr r="Q73" s="17"/>
      </tp>
      <tp>
        <v>40</v>
        <stp/>
        <stp>102039585 24</stp>
        <tr r="P70" s="17"/>
      </tp>
      <tp>
        <v>1000</v>
        <stp/>
        <stp>102039595 25</stp>
        <tr r="Q76" s="17"/>
      </tp>
      <tp>
        <v>5395</v>
        <stp/>
        <stp>102039685 14</stp>
        <tr r="J50" s="27"/>
        <tr r="U100" s="17"/>
      </tp>
      <tp>
        <v>135800</v>
        <stp/>
        <stp>102039584 24</stp>
        <tr r="P69" s="17"/>
      </tp>
      <tp>
        <v>480</v>
        <stp/>
        <stp>102039594 25</stp>
        <tr r="Q75" s="17"/>
      </tp>
      <tp>
        <v>18900</v>
        <stp/>
        <stp>102039684 14</stp>
        <tr r="H50" s="27"/>
        <tr r="U99" s="17"/>
      </tp>
      <tp>
        <v>0</v>
        <stp/>
        <stp>102039597 25</stp>
        <tr r="Q177" s="17"/>
      </tp>
      <tp>
        <v>0</v>
        <stp/>
        <stp>102039647 18</stp>
        <tr r="AA180" s="17"/>
      </tp>
      <tp>
        <v>23250</v>
        <stp/>
        <stp>102039697 15</stp>
        <tr r="V102" s="17"/>
      </tp>
      <tp>
        <v>0</v>
        <stp/>
        <stp>102039646 18</stp>
        <tr r="AA179" s="17"/>
      </tp>
      <tp>
        <v>15580</v>
        <stp/>
        <stp>102039696 15</stp>
        <tr r="V101" s="17"/>
      </tp>
      <tp>
        <v>1980</v>
        <stp/>
        <stp>102039589 27</stp>
        <tr r="S72" s="17"/>
      </tp>
      <tp>
        <v>405075</v>
        <stp/>
        <stp>102039599 26</stp>
        <tr r="R178" s="17"/>
      </tp>
      <tp>
        <v>0</v>
        <stp/>
        <stp>102039679 18</stp>
        <tr r="AA98" s="17"/>
      </tp>
      <tp>
        <v>20</v>
        <stp/>
        <stp>102039588 27</stp>
        <tr r="S71" s="17"/>
      </tp>
      <tp>
        <v>0</v>
        <stp/>
        <stp>102039678 18</stp>
        <tr r="AA97" s="17"/>
      </tp>
      <tp>
        <v>0</v>
        <stp/>
        <stp>102039671 18</stp>
        <tr r="AA92" s="17"/>
      </tp>
      <tp>
        <v>0</v>
        <stp/>
        <stp>102039670 18</stp>
        <tr r="AA91" s="17"/>
      </tp>
      <tp>
        <v>20</v>
        <stp/>
        <stp>102039583 27</stp>
        <tr r="S68" s="17"/>
      </tp>
      <tp>
        <v>55</v>
        <stp/>
        <stp>102039593 26</stp>
        <tr r="R74" s="17"/>
      </tp>
      <tp>
        <v>0</v>
        <stp/>
        <stp>102039673 18</stp>
        <tr r="AA94" s="17"/>
      </tp>
      <tp>
        <v>40</v>
        <stp/>
        <stp>102039582 27</stp>
        <tr r="S67" s="17"/>
      </tp>
      <tp>
        <v>122640</v>
        <stp/>
        <stp>102039592 26</stp>
        <tr r="R73" s="17"/>
      </tp>
      <tp>
        <v>0</v>
        <stp/>
        <stp>102039672 18</stp>
        <tr r="AA93" s="17"/>
      </tp>
      <tp>
        <v>20</v>
        <stp/>
        <stp>102039585 27</stp>
        <tr r="S70" s="17"/>
      </tp>
      <tp>
        <v>50</v>
        <stp/>
        <stp>102039595 26</stp>
        <tr r="R76" s="17"/>
      </tp>
      <tp>
        <v>0</v>
        <stp/>
        <stp>102039675 18</stp>
        <tr r="AA96" s="17"/>
      </tp>
      <tp>
        <v>0</v>
        <stp/>
        <stp>102039685 17</stp>
        <tr r="AB100" s="17"/>
      </tp>
      <tp>
        <v>100</v>
        <stp/>
        <stp>102039584 27</stp>
        <tr r="S69" s="17"/>
      </tp>
      <tp>
        <v>111150</v>
        <stp/>
        <stp>102039594 26</stp>
        <tr r="R75" s="17"/>
      </tp>
      <tp>
        <v>0</v>
        <stp/>
        <stp>102039674 18</stp>
        <tr r="AA95" s="17"/>
      </tp>
      <tp>
        <v>0</v>
        <stp/>
        <stp>102039684 17</stp>
        <tr r="AB99" s="17"/>
      </tp>
      <tp>
        <v>30</v>
        <stp/>
        <stp>102039597 26</stp>
        <tr r="R177" s="17"/>
      </tp>
      <tp>
        <v>3410</v>
        <stp/>
        <stp>102039697 16</stp>
        <tr r="W102" s="17"/>
      </tp>
      <tp>
        <v>1255</v>
        <stp/>
        <stp>102039696 16</stp>
        <tr r="W101" s="17"/>
      </tp>
      <tp>
        <v>45</v>
        <stp/>
        <stp>102039589 26</stp>
        <tr r="R72" s="17"/>
      </tp>
      <tp>
        <v>100</v>
        <stp/>
        <stp>102039599 27</stp>
        <tr r="S178" s="17"/>
      </tp>
      <tp>
        <v>132020</v>
        <stp/>
        <stp>102039588 26</stp>
        <tr r="R71" s="17"/>
      </tp>
      <tp>
        <v>35</v>
        <stp/>
        <stp>102039583 26</stp>
        <tr r="R68" s="17"/>
      </tp>
      <tp>
        <v>1240</v>
        <stp/>
        <stp>102039593 27</stp>
        <tr r="S74" s="17"/>
      </tp>
      <tp>
        <v>0</v>
        <stp/>
        <stp>102039663 18</stp>
        <tr r="AA88" s="17"/>
      </tp>
      <tp>
        <v>151850</v>
        <stp/>
        <stp>102039582 26</stp>
        <tr r="R67" s="17"/>
      </tp>
      <tp>
        <v>60</v>
        <stp/>
        <stp>102039592 27</stp>
        <tr r="S73" s="17"/>
      </tp>
      <tp>
        <v>0</v>
        <stp/>
        <stp>102039662 18</stp>
        <tr r="AA87" s="17"/>
      </tp>
      <tp>
        <v>45</v>
        <stp/>
        <stp>102039585 26</stp>
        <tr r="R70" s="17"/>
      </tp>
      <tp>
        <v>60</v>
        <stp/>
        <stp>102039595 27</stp>
        <tr r="S76" s="17"/>
      </tp>
      <tp>
        <v>0</v>
        <stp/>
        <stp>102039665 18</stp>
        <tr r="AA90" s="17"/>
      </tp>
      <tp>
        <v>2900</v>
        <stp/>
        <stp>102039685 16</stp>
        <tr r="W100" s="17"/>
      </tp>
      <tp>
        <v>146345</v>
        <stp/>
        <stp>102039584 26</stp>
        <tr r="R69" s="17"/>
      </tp>
      <tp>
        <v>20</v>
        <stp/>
        <stp>102039594 27</stp>
        <tr r="S75" s="17"/>
      </tp>
      <tp>
        <v>0</v>
        <stp/>
        <stp>102039664 18</stp>
        <tr r="AA89" s="17"/>
      </tp>
      <tp>
        <v>2900</v>
        <stp/>
        <stp>102039684 16</stp>
        <tr r="W99" s="17"/>
      </tp>
      <tp>
        <v>20</v>
        <stp/>
        <stp>102039597 27</stp>
        <tr r="S177" s="17"/>
      </tp>
      <tp>
        <v>0</v>
        <stp/>
        <stp>102039697 17</stp>
        <tr r="AB102" s="17"/>
      </tp>
      <tp>
        <v>0</v>
        <stp/>
        <stp>102039696 17</stp>
        <tr r="AB101" s="17"/>
      </tp>
      <tp>
        <v>0</v>
        <stp/>
        <stp>102039599 20</stp>
        <tr r="Z178" s="17"/>
      </tp>
      <tp>
        <v>1266058048</v>
        <stp/>
        <stp>102039593 20</stp>
        <tr r="Z74" s="17"/>
      </tp>
      <tp>
        <v>1266055273</v>
        <stp/>
        <stp>102039592 20</stp>
        <tr r="Z73" s="17"/>
      </tp>
      <tp>
        <v>1266058052</v>
        <stp/>
        <stp>102039595 20</stp>
        <tr r="Z76" s="17"/>
      </tp>
      <tp>
        <v>40</v>
        <stp/>
        <stp>102039685 11</stp>
        <tr r="Y100" s="17"/>
      </tp>
      <tp>
        <v>1266058047</v>
        <stp/>
        <stp>102039594 20</stp>
        <tr r="Z75" s="17"/>
      </tp>
      <tp>
        <v>600</v>
        <stp/>
        <stp>102039684 11</stp>
        <tr r="Y99" s="17"/>
      </tp>
      <tp>
        <v>1265988441</v>
        <stp/>
        <stp>102039597 20</stp>
        <tr r="Z177" s="17"/>
      </tp>
      <tp>
        <v>20600</v>
        <stp/>
        <stp>102039697 10</stp>
        <tr r="K51" s="27"/>
        <tr r="X102" s="17"/>
      </tp>
      <tp>
        <v>1485</v>
        <stp/>
        <stp>102039696 10</stp>
        <tr r="X101" s="17"/>
        <tr r="G51" s="27"/>
      </tp>
      <tp>
        <v>1266057997</v>
        <stp/>
        <stp>102039589 20</stp>
        <tr r="Z72" s="17"/>
      </tp>
      <tp>
        <v>0</v>
        <stp/>
        <stp>102039609 18</stp>
        <tr r="AA78" s="17"/>
      </tp>
      <tp>
        <v>1266057447</v>
        <stp/>
        <stp>102039588 20</stp>
        <tr r="Z71" s="17"/>
      </tp>
      <tp>
        <v>0</v>
        <stp/>
        <stp>102039608 18</stp>
        <tr r="AA77" s="17"/>
      </tp>
      <tp>
        <v>1266057758</v>
        <stp/>
        <stp>102039583 20</stp>
        <tr r="Z68" s="17"/>
      </tp>
      <tp>
        <v>1266052960</v>
        <stp/>
        <stp>102039582 20</stp>
        <tr r="Z67" s="17"/>
      </tp>
      <tp>
        <v>1266057758</v>
        <stp/>
        <stp>102039585 20</stp>
        <tr r="Z70" s="17"/>
      </tp>
      <tp>
        <v>12510</v>
        <stp/>
        <stp>102039685 10</stp>
        <tr r="X100" s="17"/>
        <tr r="K50" s="27"/>
      </tp>
      <tp>
        <v>1266052890</v>
        <stp/>
        <stp>102039584 20</stp>
        <tr r="Z69" s="17"/>
      </tp>
      <tp>
        <v>3440</v>
        <stp/>
        <stp>102039684 10</stp>
        <tr r="G50" s="27"/>
        <tr r="X99" s="17"/>
      </tp>
      <tp>
        <v>20</v>
        <stp/>
        <stp>102039697 11</stp>
        <tr r="Y102" s="17"/>
      </tp>
      <tp>
        <v>20</v>
        <stp/>
        <stp>102039696 11</stp>
        <tr r="Y101" s="17"/>
      </tp>
      <tp>
        <v>0</v>
        <stp/>
        <stp>102039638 18</stp>
        <tr r="AA85" s="17"/>
      </tp>
      <tp>
        <v>0</v>
        <stp/>
        <stp>102039632 18</stp>
        <tr r="AA81" s="17"/>
      </tp>
      <tp>
        <v>0</v>
        <stp/>
        <stp>102039635 18</stp>
        <tr r="AA82" s="17"/>
      </tp>
      <tp>
        <v>4575</v>
        <stp/>
        <stp>102039685 13</stp>
        <tr r="T100" s="17"/>
      </tp>
      <tp>
        <v>26490</v>
        <stp/>
        <stp>102039684 13</stp>
        <tr r="T99" s="17"/>
      </tp>
      <tp>
        <v>0</v>
        <stp/>
        <stp>102039637 18</stp>
        <tr r="AA84" s="17"/>
      </tp>
      <tp>
        <v>5449280</v>
        <stp/>
        <stp>102039697 12</stp>
        <tr r="O102" s="17"/>
        <tr r="M51" s="27"/>
      </tp>
      <tp>
        <v>0</v>
        <stp/>
        <stp>102039636 18</stp>
        <tr r="AA83" s="17"/>
      </tp>
      <tp>
        <v>16311560</v>
        <stp/>
        <stp>102039696 12</stp>
        <tr r="O101" s="17"/>
        <tr r="E51" s="27"/>
      </tp>
      <tp>
        <v>0</v>
        <stp/>
        <stp>102039629 18</stp>
        <tr r="AA80" s="17"/>
      </tp>
      <tp>
        <v>0</v>
        <stp/>
        <stp>102039628 18</stp>
        <tr r="AA79" s="17"/>
      </tp>
      <tp>
        <v>9810960</v>
        <stp/>
        <stp>102039685 12</stp>
        <tr r="O100" s="17"/>
        <tr r="M50" s="27"/>
      </tp>
      <tp>
        <v>11568920</v>
        <stp/>
        <stp>102039684 12</stp>
        <tr r="O99" s="17"/>
        <tr r="E50" s="27"/>
      </tp>
      <tp>
        <v>6500</v>
        <stp/>
        <stp>102039697 13</stp>
        <tr r="T102" s="17"/>
      </tp>
      <tp>
        <v>11965</v>
        <stp/>
        <stp>102039696 13</stp>
        <tr r="T101" s="17"/>
      </tp>
      <tp>
        <v>15</v>
        <stp/>
        <stp>102039519 24</stp>
        <tr r="P48" s="17"/>
      </tp>
      <tp>
        <v>20</v>
        <stp/>
        <stp>102039529 27</stp>
        <tr r="S50" s="17"/>
      </tp>
      <tp>
        <v>1266057182</v>
        <stp/>
        <stp>102039559 20</stp>
        <tr r="Z60" s="17"/>
      </tp>
      <tp>
        <v>80</v>
        <stp/>
        <stp>102039609 15</stp>
        <tr r="V78" s="17"/>
      </tp>
      <tp>
        <v>0</v>
        <stp/>
        <stp>102039629 17</stp>
        <tr r="AB80" s="17"/>
      </tp>
      <tp>
        <v>13745240</v>
        <stp/>
        <stp>102039679 12</stp>
        <tr r="O98" s="17"/>
        <tr r="M49" s="27"/>
      </tp>
      <tp>
        <v>244805</v>
        <stp/>
        <stp>102039518 24</stp>
        <tr r="P47" s="17"/>
      </tp>
      <tp>
        <v>100</v>
        <stp/>
        <stp>102039528 27</stp>
        <tr r="S49" s="17"/>
      </tp>
      <tp>
        <v>0</v>
        <stp/>
        <stp>102039558 20</stp>
        <tr r="Z59" s="17"/>
      </tp>
      <tp>
        <v>111500</v>
        <stp/>
        <stp>102039608 15</stp>
        <tr r="V77" s="17"/>
      </tp>
      <tp>
        <v>0</v>
        <stp/>
        <stp>102039628 17</stp>
        <tr r="AB79" s="17"/>
      </tp>
      <tp>
        <v>59000</v>
        <stp/>
        <stp>102039638 16</stp>
        <tr r="W85" s="17"/>
      </tp>
      <tp>
        <v>5165400</v>
        <stp/>
        <stp>102039678 12</stp>
        <tr r="O97" s="17"/>
        <tr r="E49" s="27"/>
      </tp>
      <tp>
        <v>0</v>
        <stp/>
        <stp>102039511 24</stp>
        <tr r="P46" s="17"/>
      </tp>
      <tp>
        <v>1266055046</v>
        <stp/>
        <stp>102039551 20</stp>
        <tr r="Z56" s="17"/>
      </tp>
      <tp>
        <v>7804060</v>
        <stp/>
        <stp>102039671 12</stp>
        <tr r="O92" s="17"/>
        <tr r="M46" s="27"/>
      </tp>
      <tp>
        <v>254805</v>
        <stp/>
        <stp>102039510 24</stp>
        <tr r="P45" s="17"/>
      </tp>
      <tp>
        <v>233800</v>
        <stp/>
        <stp>102039530 26</stp>
        <tr r="R51" s="17"/>
      </tp>
      <tp>
        <v>0</v>
        <stp/>
        <stp>102039550 20</stp>
        <tr r="Z55" s="17"/>
      </tp>
      <tp>
        <v>239640</v>
        <stp/>
        <stp>102039670 12</stp>
        <tr r="O91" s="17"/>
        <tr r="E46" s="27"/>
      </tp>
      <tp>
        <v>226345</v>
        <stp/>
        <stp>102039533 26</stp>
        <tr r="R53" s="17"/>
      </tp>
      <tp>
        <v>1265541192</v>
        <stp/>
        <stp>102039553 20</stp>
        <tr r="Z57" s="17"/>
      </tp>
      <tp>
        <v>180</v>
        <stp/>
        <stp>102039643 11</stp>
        <tr r="Y86" s="17"/>
      </tp>
      <tp>
        <v>125</v>
        <stp/>
        <stp>102039663 13</stp>
        <tr r="T88" s="17"/>
      </tp>
      <tp>
        <v>9727800</v>
        <stp/>
        <stp>102039673 12</stp>
        <tr r="O94" s="17"/>
        <tr r="M47" s="27"/>
      </tp>
      <tp>
        <v>30</v>
        <stp/>
        <stp>102039532 26</stp>
        <tr r="R52" s="17"/>
      </tp>
      <tp>
        <v>79000</v>
        <stp/>
        <stp>102039632 16</stp>
        <tr r="W81" s="17"/>
      </tp>
      <tp>
        <v>71110</v>
        <stp/>
        <stp>102039662 13</stp>
        <tr r="T87" s="17"/>
      </tp>
      <tp>
        <v>326060</v>
        <stp/>
        <stp>102039672 12</stp>
        <tr r="O93" s="17"/>
        <tr r="E47" s="27"/>
      </tp>
      <tp>
        <v>45</v>
        <stp/>
        <stp>102039535 26</stp>
        <tr r="R54" s="17"/>
      </tp>
      <tp>
        <v>30</v>
        <stp/>
        <stp>102039635 16</stp>
        <tr r="W82" s="17"/>
      </tp>
      <tp>
        <v>190</v>
        <stp/>
        <stp>102039665 13</stp>
        <tr r="T90" s="17"/>
      </tp>
      <tp>
        <v>13074940</v>
        <stp/>
        <stp>102039675 12</stp>
        <tr r="O96" s="17"/>
        <tr r="M48" s="27"/>
      </tp>
      <tp>
        <v>1266058041</v>
        <stp/>
        <stp>102039554 20</stp>
        <tr r="Z58" s="17"/>
      </tp>
      <tp>
        <v>61505</v>
        <stp/>
        <stp>102039664 13</stp>
        <tr r="T89" s="17"/>
      </tp>
      <tp>
        <v>2180940</v>
        <stp/>
        <stp>102039674 12</stp>
        <tr r="O95" s="17"/>
        <tr r="E48" s="27"/>
      </tp>
      <tp>
        <v>45</v>
        <stp/>
        <stp>102039637 16</stp>
        <tr r="W84" s="17"/>
      </tp>
      <tp>
        <v>0</v>
        <stp/>
        <stp>102039647 11</stp>
        <tr r="Y180" s="17"/>
      </tp>
      <tp>
        <v>69725</v>
        <stp/>
        <stp>102039636 16</stp>
        <tr r="W83" s="17"/>
      </tp>
      <tp>
        <v>40</v>
        <stp/>
        <stp>102039646 11</stp>
        <tr r="Y179" s="17"/>
      </tp>
      <tp>
        <v>40</v>
        <stp/>
        <stp>102039519 25</stp>
        <tr r="Q48" s="17"/>
      </tp>
      <tp>
        <v>50</v>
        <stp/>
        <stp>102039529 26</stp>
        <tr r="R50" s="17"/>
      </tp>
      <tp>
        <v>170</v>
        <stp/>
        <stp>102039609 14</stp>
        <tr r="J39" s="27"/>
        <tr r="U78" s="17"/>
      </tp>
      <tp>
        <v>20</v>
        <stp/>
        <stp>102039629 16</stp>
        <tr r="W80" s="17"/>
      </tp>
      <tp>
        <v>1110</v>
        <stp/>
        <stp>102039679 13</stp>
        <tr r="T98" s="17"/>
      </tp>
      <tp>
        <v>100</v>
        <stp/>
        <stp>102039518 25</stp>
        <tr r="Q47" s="17"/>
      </tp>
      <tp>
        <v>246345</v>
        <stp/>
        <stp>102039528 26</stp>
        <tr r="R49" s="17"/>
      </tp>
      <tp>
        <v>123820</v>
        <stp/>
        <stp>102039608 14</stp>
        <tr r="H39" s="27"/>
        <tr r="U77" s="17"/>
      </tp>
      <tp>
        <v>88500</v>
        <stp/>
        <stp>102039628 16</stp>
        <tr r="W79" s="17"/>
      </tp>
      <tp>
        <v>0</v>
        <stp/>
        <stp>102039638 17</stp>
        <tr r="AB85" s="17"/>
      </tp>
      <tp>
        <v>25390</v>
        <stp/>
        <stp>102039678 13</stp>
        <tr r="T97" s="17"/>
      </tp>
      <tp>
        <v>0</v>
        <stp/>
        <stp>102039511 25</stp>
        <tr r="Q46" s="17"/>
      </tp>
      <tp>
        <v>470</v>
        <stp/>
        <stp>102039671 13</stp>
        <tr r="T92" s="17"/>
      </tp>
      <tp>
        <v>100</v>
        <stp/>
        <stp>102039510 25</stp>
        <tr r="Q45" s="17"/>
      </tp>
      <tp>
        <v>20</v>
        <stp/>
        <stp>102039530 27</stp>
        <tr r="S51" s="17"/>
      </tp>
      <tp>
        <v>53710</v>
        <stp/>
        <stp>102039670 13</stp>
        <tr r="T91" s="17"/>
      </tp>
      <tp>
        <v>100</v>
        <stp/>
        <stp>102039533 27</stp>
        <tr r="S53" s="17"/>
      </tp>
      <tp>
        <v>75</v>
        <stp/>
        <stp>102039643 10</stp>
        <tr r="K43" s="27"/>
        <tr r="X86" s="17"/>
      </tp>
      <tp>
        <v>1210340</v>
        <stp/>
        <stp>102039663 12</stp>
        <tr r="M44" s="27"/>
        <tr r="O88" s="17"/>
      </tp>
      <tp>
        <v>480</v>
        <stp/>
        <stp>102039673 13</stp>
        <tr r="T94" s="17"/>
      </tp>
      <tp>
        <v>900</v>
        <stp/>
        <stp>102039532 27</stp>
        <tr r="S52" s="17"/>
      </tp>
      <tp>
        <v>0</v>
        <stp/>
        <stp>102039632 17</stp>
        <tr r="AB81" s="17"/>
      </tp>
      <tp>
        <v>7140</v>
        <stp/>
        <stp>102039662 12</stp>
        <tr r="E44" s="27"/>
        <tr r="O87" s="17"/>
      </tp>
      <tp>
        <v>43640</v>
        <stp/>
        <stp>102039672 13</stp>
        <tr r="T93" s="17"/>
      </tp>
      <tp>
        <v>900</v>
        <stp/>
        <stp>102039535 27</stp>
        <tr r="S54" s="17"/>
      </tp>
      <tp>
        <v>0</v>
        <stp/>
        <stp>102039635 17</stp>
        <tr r="AB82" s="17"/>
      </tp>
      <tp>
        <v>2646840</v>
        <stp/>
        <stp>102039665 12</stp>
        <tr r="O90" s="17"/>
        <tr r="M45" s="27"/>
      </tp>
      <tp>
        <v>2010</v>
        <stp/>
        <stp>102039675 13</stp>
        <tr r="T96" s="17"/>
      </tp>
      <tp>
        <v>10320</v>
        <stp/>
        <stp>102039664 12</stp>
        <tr r="O89" s="17"/>
        <tr r="E45" s="27"/>
      </tp>
      <tp>
        <v>34715</v>
        <stp/>
        <stp>102039674 13</stp>
        <tr r="T95" s="17"/>
      </tp>
      <tp>
        <v>0</v>
        <stp/>
        <stp>102039637 17</stp>
        <tr r="AB84" s="17"/>
      </tp>
      <tp>
        <v>0</v>
        <stp/>
        <stp>102039647 10</stp>
        <tr r="K90" s="27"/>
        <tr r="X180" s="17"/>
      </tp>
      <tp>
        <v>0</v>
        <stp/>
        <stp>102039636 17</stp>
        <tr r="AB83" s="17"/>
      </tp>
      <tp>
        <v>20</v>
        <stp/>
        <stp>102039646 10</stp>
        <tr r="G90" s="27"/>
        <tr r="X179" s="17"/>
      </tp>
      <tp>
        <v>45</v>
        <stp/>
        <stp>102039519 26</stp>
        <tr r="R48" s="17"/>
      </tp>
      <tp>
        <v>220</v>
        <stp/>
        <stp>102039529 25</stp>
        <tr r="Q50" s="17"/>
      </tp>
      <tp>
        <v>0</v>
        <stp/>
        <stp>102039609 17</stp>
        <tr r="AB78" s="17"/>
      </tp>
      <tp>
        <v>90</v>
        <stp/>
        <stp>102039629 15</stp>
        <tr r="V80" s="17"/>
      </tp>
      <tp>
        <v>6460</v>
        <stp/>
        <stp>102039679 10</stp>
        <tr r="X98" s="17"/>
        <tr r="K49" s="27"/>
      </tp>
      <tp>
        <v>256345</v>
        <stp/>
        <stp>102039518 26</stp>
        <tr r="R47" s="17"/>
      </tp>
      <tp>
        <v>100</v>
        <stp/>
        <stp>102039528 25</stp>
        <tr r="Q49" s="17"/>
      </tp>
      <tp>
        <v>0</v>
        <stp/>
        <stp>102039608 17</stp>
        <tr r="AB77" s="17"/>
      </tp>
      <tp>
        <v>103930</v>
        <stp/>
        <stp>102039628 15</stp>
        <tr r="V79" s="17"/>
      </tp>
      <tp>
        <v>83600</v>
        <stp/>
        <stp>102039638 14</stp>
        <tr r="H43" s="27"/>
        <tr r="U85" s="17"/>
      </tp>
      <tp>
        <v>7400</v>
        <stp/>
        <stp>102039678 10</stp>
        <tr r="X97" s="17"/>
        <tr r="G49" s="27"/>
      </tp>
      <tp>
        <v>50</v>
        <stp/>
        <stp>102039511 26</stp>
        <tr r="R46" s="17"/>
      </tp>
      <tp>
        <v>1266057965</v>
        <stp/>
        <stp>102039571 20</stp>
        <tr r="Z64" s="17"/>
      </tp>
      <tp>
        <v>440</v>
        <stp/>
        <stp>102039671 10</stp>
        <tr r="K46" s="27"/>
        <tr r="X92" s="17"/>
      </tp>
      <tp>
        <v>266345</v>
        <stp/>
        <stp>102039510 26</stp>
        <tr r="R45" s="17"/>
      </tp>
      <tp>
        <v>226755</v>
        <stp/>
        <stp>102039530 24</stp>
        <tr r="P51" s="17"/>
      </tp>
      <tp>
        <v>1265556193</v>
        <stp/>
        <stp>102039570 20</stp>
        <tr r="Z63" s="17"/>
      </tp>
      <tp>
        <v>31680</v>
        <stp/>
        <stp>102039670 10</stp>
        <tr r="X91" s="17"/>
        <tr r="G46" s="27"/>
      </tp>
      <tp>
        <v>214805</v>
        <stp/>
        <stp>102039533 24</stp>
        <tr r="P53" s="17"/>
      </tp>
      <tp>
        <v>90</v>
        <stp/>
        <stp>102039643 13</stp>
        <tr r="T86" s="17"/>
      </tp>
      <tp>
        <v>280</v>
        <stp/>
        <stp>102039663 11</stp>
        <tr r="Y88" s="17"/>
      </tp>
      <tp>
        <v>1070</v>
        <stp/>
        <stp>102039673 10</stp>
        <tr r="X94" s="17"/>
        <tr r="K47" s="27"/>
      </tp>
      <tp>
        <v>20</v>
        <stp/>
        <stp>102039532 24</stp>
        <tr r="P52" s="17"/>
      </tp>
      <tp>
        <v>1265986836</v>
        <stp/>
        <stp>102039572 20</stp>
        <tr r="Z65" s="17"/>
      </tp>
      <tp>
        <v>103180</v>
        <stp/>
        <stp>102039632 14</stp>
        <tr r="H41" s="27"/>
        <tr r="U81" s="17"/>
      </tp>
      <tp>
        <v>20</v>
        <stp/>
        <stp>102039662 11</stp>
        <tr r="Y87" s="17"/>
      </tp>
      <tp>
        <v>22140</v>
        <stp/>
        <stp>102039672 10</stp>
        <tr r="X93" s="17"/>
        <tr r="G47" s="27"/>
      </tp>
      <tp>
        <v>10</v>
        <stp/>
        <stp>102039535 24</stp>
        <tr r="P54" s="17"/>
      </tp>
      <tp>
        <v>270</v>
        <stp/>
        <stp>102039635 14</stp>
        <tr r="J41" s="27"/>
        <tr r="U82" s="17"/>
      </tp>
      <tp>
        <v>20</v>
        <stp/>
        <stp>102039665 11</stp>
        <tr r="Y90" s="17"/>
      </tp>
      <tp>
        <v>2800</v>
        <stp/>
        <stp>102039675 10</stp>
        <tr r="X96" s="17"/>
        <tr r="K48" s="27"/>
      </tp>
      <tp>
        <v>1266057531</v>
        <stp/>
        <stp>102039574 20</stp>
        <tr r="Z66" s="17"/>
      </tp>
      <tp>
        <v>20</v>
        <stp/>
        <stp>102039664 11</stp>
        <tr r="Y89" s="17"/>
      </tp>
      <tp>
        <v>13775</v>
        <stp/>
        <stp>102039674 10</stp>
        <tr r="X95" s="17"/>
        <tr r="G48" s="27"/>
      </tp>
      <tp>
        <v>300</v>
        <stp/>
        <stp>102039637 14</stp>
        <tr r="J42" s="27"/>
        <tr r="U84" s="17"/>
      </tp>
      <tp>
        <v>0</v>
        <stp/>
        <stp>102039647 13</stp>
        <tr r="T180" s="17"/>
      </tp>
      <tp>
        <v>93270</v>
        <stp/>
        <stp>102039636 14</stp>
        <tr r="H42" s="27"/>
        <tr r="U83" s="17"/>
      </tp>
      <tp>
        <v>0</v>
        <stp/>
        <stp>102039646 13</stp>
        <tr r="T179" s="17"/>
      </tp>
      <tp>
        <v>20</v>
        <stp/>
        <stp>102039519 27</stp>
        <tr r="S48" s="17"/>
      </tp>
      <tp>
        <v>15</v>
        <stp/>
        <stp>102039529 24</stp>
        <tr r="P50" s="17"/>
      </tp>
      <tp>
        <v>20</v>
        <stp/>
        <stp>102039609 16</stp>
        <tr r="W78" s="17"/>
      </tp>
      <tp>
        <v>200</v>
        <stp/>
        <stp>102039629 14</stp>
        <tr r="J40" s="27"/>
        <tr r="U80" s="17"/>
      </tp>
      <tp>
        <v>20</v>
        <stp/>
        <stp>102039679 11</stp>
        <tr r="Y98" s="17"/>
      </tp>
      <tp>
        <v>100</v>
        <stp/>
        <stp>102039518 27</stp>
        <tr r="S47" s="17"/>
      </tp>
      <tp>
        <v>234805</v>
        <stp/>
        <stp>102039528 24</stp>
        <tr r="P49" s="17"/>
      </tp>
      <tp>
        <v>99995</v>
        <stp/>
        <stp>102039608 16</stp>
        <tr r="W77" s="17"/>
      </tp>
      <tp>
        <v>112920</v>
        <stp/>
        <stp>102039628 14</stp>
        <tr r="H40" s="27"/>
        <tr r="U79" s="17"/>
      </tp>
      <tp>
        <v>80100</v>
        <stp/>
        <stp>102039638 15</stp>
        <tr r="V85" s="17"/>
      </tp>
      <tp>
        <v>180</v>
        <stp/>
        <stp>102039678 11</stp>
        <tr r="Y97" s="17"/>
      </tp>
      <tp>
        <v>20</v>
        <stp/>
        <stp>102039511 27</stp>
        <tr r="S46" s="17"/>
      </tp>
      <tp>
        <v>1266058049</v>
        <stp/>
        <stp>102039561 20</stp>
        <tr r="Z62" s="17"/>
      </tp>
      <tp>
        <v>40</v>
        <stp/>
        <stp>102039671 11</stp>
        <tr r="Y92" s="17"/>
      </tp>
      <tp>
        <v>100</v>
        <stp/>
        <stp>102039510 27</stp>
        <tr r="S45" s="17"/>
      </tp>
      <tp>
        <v>80</v>
        <stp/>
        <stp>102039530 25</stp>
        <tr r="Q51" s="17"/>
      </tp>
      <tp>
        <v>1266056479</v>
        <stp/>
        <stp>102039560 20</stp>
        <tr r="Z61" s="17"/>
      </tp>
      <tp>
        <v>20</v>
        <stp/>
        <stp>102039670 11</stp>
        <tr r="Y91" s="17"/>
      </tp>
      <tp>
        <v>100</v>
        <stp/>
        <stp>102039533 25</stp>
        <tr r="Q53" s="17"/>
      </tp>
      <tp>
        <v>521120</v>
        <stp/>
        <stp>102039643 12</stp>
        <tr r="O86" s="17"/>
        <tr r="M43" s="27"/>
      </tp>
      <tp>
        <v>105</v>
        <stp/>
        <stp>102039663 10</stp>
        <tr r="X88" s="17"/>
        <tr r="K44" s="27"/>
      </tp>
      <tp>
        <v>20</v>
        <stp/>
        <stp>102039673 11</stp>
        <tr r="Y94" s="17"/>
      </tp>
      <tp>
        <v>1340</v>
        <stp/>
        <stp>102039532 25</stp>
        <tr r="Q52" s="17"/>
      </tp>
      <tp>
        <v>100075</v>
        <stp/>
        <stp>102039632 15</stp>
        <tr r="V81" s="17"/>
      </tp>
      <tp>
        <v>51250</v>
        <stp/>
        <stp>102039662 10</stp>
        <tr r="X87" s="17"/>
        <tr r="G44" s="27"/>
      </tp>
      <tp>
        <v>20</v>
        <stp/>
        <stp>102039672 11</stp>
        <tr r="Y93" s="17"/>
      </tp>
      <tp>
        <v>300</v>
        <stp/>
        <stp>102039535 25</stp>
        <tr r="Q54" s="17"/>
      </tp>
      <tp>
        <v>90</v>
        <stp/>
        <stp>102039635 15</stp>
        <tr r="V82" s="17"/>
      </tp>
      <tp>
        <v>200</v>
        <stp/>
        <stp>102039665 10</stp>
        <tr r="X90" s="17"/>
        <tr r="K45" s="27"/>
      </tp>
      <tp>
        <v>20</v>
        <stp/>
        <stp>102039675 11</stp>
        <tr r="Y96" s="17"/>
      </tp>
      <tp>
        <v>41550</v>
        <stp/>
        <stp>102039664 10</stp>
        <tr r="G45" s="27"/>
        <tr r="X89" s="17"/>
      </tp>
      <tp>
        <v>40</v>
        <stp/>
        <stp>102039674 11</stp>
        <tr r="Y95" s="17"/>
      </tp>
      <tp>
        <v>130</v>
        <stp/>
        <stp>102039637 15</stp>
        <tr r="V84" s="17"/>
      </tp>
      <tp>
        <v>0</v>
        <stp/>
        <stp>102039647 12</stp>
        <tr r="O180" s="17"/>
        <tr r="M90" s="27"/>
      </tp>
      <tp>
        <v>89880</v>
        <stp/>
        <stp>102039636 15</stp>
        <tr r="V83" s="17"/>
      </tp>
      <tp>
        <v>0</v>
        <stp/>
        <stp>102039646 12</stp>
        <tr r="E90" s="27"/>
        <tr r="O179" s="17"/>
      </tp>
      <tp>
        <v>1265988248</v>
        <stp/>
        <stp>102039519 20</stp>
        <tr r="Z48" s="17"/>
      </tp>
      <tp>
        <v>30</v>
        <stp/>
        <stp>102039559 24</stp>
        <tr r="P60" s="17"/>
      </tp>
      <tp>
        <v>40</v>
        <stp/>
        <stp>102039609 11</stp>
        <tr r="Y78" s="17"/>
      </tp>
      <tp>
        <v>20</v>
        <stp/>
        <stp>102039629 13</stp>
        <tr r="T80" s="17"/>
      </tp>
      <tp>
        <v>1110</v>
        <stp/>
        <stp>102039679 16</stp>
        <tr r="W98" s="17"/>
      </tp>
      <tp>
        <v>0</v>
        <stp/>
        <stp>102039518 20</stp>
        <tr r="Z47" s="17"/>
      </tp>
      <tp>
        <v>184810</v>
        <stp/>
        <stp>102039558 24</stp>
        <tr r="P59" s="17"/>
      </tp>
      <tp>
        <v>20</v>
        <stp/>
        <stp>102039608 11</stp>
        <tr r="Y77" s="17"/>
      </tp>
      <tp>
        <v>103930</v>
        <stp/>
        <stp>102039628 13</stp>
        <tr r="T79" s="17"/>
      </tp>
      <tp>
        <v>8560</v>
        <stp/>
        <stp>102039638 12</stp>
        <tr r="O85" s="17"/>
        <tr r="E43" s="27"/>
      </tp>
      <tp>
        <v>6325</v>
        <stp/>
        <stp>102039678 16</stp>
        <tr r="W97" s="17"/>
      </tp>
      <tp>
        <v>1266056676</v>
        <stp/>
        <stp>102039511 20</stp>
        <tr r="Z46" s="17"/>
      </tp>
      <tp>
        <v>0</v>
        <stp/>
        <stp>102039551 24</stp>
        <tr r="P56" s="17"/>
      </tp>
      <tp>
        <v>80</v>
        <stp/>
        <stp>102039561 27</stp>
        <tr r="S62" s="17"/>
      </tp>
      <tp>
        <v>50</v>
        <stp/>
        <stp>102039571 26</stp>
        <tr r="R64" s="17"/>
      </tp>
      <tp>
        <v>130</v>
        <stp/>
        <stp>102039671 16</stp>
        <tr r="W92" s="17"/>
      </tp>
      <tp>
        <v>0</v>
        <stp/>
        <stp>102039510 20</stp>
        <tr r="Z45" s="17"/>
      </tp>
      <tp>
        <v>204810</v>
        <stp/>
        <stp>102039550 24</stp>
        <tr r="P55" s="17"/>
      </tp>
      <tp>
        <v>20</v>
        <stp/>
        <stp>102039560 27</stp>
        <tr r="S61" s="17"/>
      </tp>
      <tp>
        <v>176345</v>
        <stp/>
        <stp>102039570 26</stp>
        <tr r="R63" s="17"/>
      </tp>
      <tp>
        <v>28500</v>
        <stp/>
        <stp>102039670 16</stp>
        <tr r="W91" s="17"/>
      </tp>
      <tp>
        <v>194805</v>
        <stp/>
        <stp>102039553 24</stp>
        <tr r="P57" s="17"/>
      </tp>
      <tp>
        <v>125</v>
        <stp/>
        <stp>102039643 15</stp>
        <tr r="V86" s="17"/>
      </tp>
      <tp>
        <v>0</v>
        <stp/>
        <stp>102039663 17</stp>
        <tr r="AB88" s="17"/>
      </tp>
      <tp>
        <v>320</v>
        <stp/>
        <stp>102039673 16</stp>
        <tr r="W94" s="17"/>
      </tp>
      <tp>
        <v>162625</v>
        <stp/>
        <stp>102039572 26</stp>
        <tr r="R65" s="17"/>
      </tp>
      <tp>
        <v>17180</v>
        <stp/>
        <stp>102039632 12</stp>
        <tr r="O81" s="17"/>
        <tr r="E41" s="27"/>
      </tp>
      <tp>
        <v>0</v>
        <stp/>
        <stp>102039662 17</stp>
        <tr r="AB87" s="17"/>
      </tp>
      <tp>
        <v>18850</v>
        <stp/>
        <stp>102039672 16</stp>
        <tr r="W93" s="17"/>
      </tp>
      <tp>
        <v>306640</v>
        <stp/>
        <stp>102039635 12</stp>
        <tr r="O82" s="17"/>
        <tr r="M41" s="27"/>
      </tp>
      <tp>
        <v>0</v>
        <stp/>
        <stp>102039665 17</stp>
        <tr r="AB90" s="17"/>
      </tp>
      <tp>
        <v>445</v>
        <stp/>
        <stp>102039675 16</stp>
        <tr r="W96" s="17"/>
      </tp>
      <tp>
        <v>25</v>
        <stp/>
        <stp>102039554 24</stp>
        <tr r="P58" s="17"/>
      </tp>
      <tp>
        <v>35</v>
        <stp/>
        <stp>102039574 26</stp>
        <tr r="R66" s="17"/>
      </tp>
      <tp>
        <v>0</v>
        <stp/>
        <stp>102039664 17</stp>
        <tr r="AB89" s="17"/>
      </tp>
      <tp>
        <v>11620</v>
        <stp/>
        <stp>102039674 16</stp>
        <tr r="W95" s="17"/>
      </tp>
      <tp>
        <v>240420</v>
        <stp/>
        <stp>102039637 12</stp>
        <tr r="O84" s="17"/>
        <tr r="M42" s="27"/>
      </tp>
      <tp>
        <v>0</v>
        <stp/>
        <stp>102039647 15</stp>
        <tr r="V180" s="17"/>
      </tp>
      <tp>
        <v>0</v>
        <stp/>
        <stp>102039697 18</stp>
        <tr r="AA102" s="17"/>
      </tp>
      <tp>
        <v>1920</v>
        <stp/>
        <stp>102039636 12</stp>
        <tr r="O83" s="17"/>
        <tr r="E42" s="27"/>
      </tp>
      <tp>
        <v>0</v>
        <stp/>
        <stp>102039646 15</stp>
        <tr r="V179" s="17"/>
      </tp>
      <tp>
        <v>0</v>
        <stp/>
        <stp>102039696 18</stp>
        <tr r="AA101" s="17"/>
      </tp>
      <tp>
        <v>20</v>
        <stp/>
        <stp>102039559 25</stp>
        <tr r="Q60" s="17"/>
      </tp>
      <tp>
        <v>40</v>
        <stp/>
        <stp>102039609 10</stp>
        <tr r="X78" s="17"/>
        <tr r="K39" s="27"/>
      </tp>
      <tp>
        <v>63380</v>
        <stp/>
        <stp>102039629 12</stp>
        <tr r="O80" s="17"/>
        <tr r="M40" s="27"/>
      </tp>
      <tp>
        <v>0</v>
        <stp/>
        <stp>102039679 17</stp>
        <tr r="AB98" s="17"/>
      </tp>
      <tp>
        <v>100</v>
        <stp/>
        <stp>102039558 25</stp>
        <tr r="Q59" s="17"/>
      </tp>
      <tp>
        <v>100500</v>
        <stp/>
        <stp>102039608 10</stp>
        <tr r="G39" s="27"/>
        <tr r="X77" s="17"/>
      </tp>
      <tp>
        <v>720</v>
        <stp/>
        <stp>102039628 12</stp>
        <tr r="O79" s="17"/>
        <tr r="E40" s="27"/>
      </tp>
      <tp>
        <v>80100</v>
        <stp/>
        <stp>102039638 13</stp>
        <tr r="T85" s="17"/>
      </tp>
      <tp>
        <v>0</v>
        <stp/>
        <stp>102039678 17</stp>
        <tr r="AB97" s="17"/>
      </tp>
      <tp>
        <v>0</v>
        <stp/>
        <stp>102039551 25</stp>
        <tr r="Q56" s="17"/>
      </tp>
      <tp>
        <v>40</v>
        <stp/>
        <stp>102039561 26</stp>
        <tr r="R62" s="17"/>
      </tp>
      <tp>
        <v>3800</v>
        <stp/>
        <stp>102039571 27</stp>
        <tr r="S64" s="17"/>
      </tp>
      <tp>
        <v>0</v>
        <stp/>
        <stp>102039671 17</stp>
        <tr r="AB92" s="17"/>
      </tp>
      <tp>
        <v>100</v>
        <stp/>
        <stp>102039550 25</stp>
        <tr r="Q55" s="17"/>
      </tp>
      <tp>
        <v>181940</v>
        <stp/>
        <stp>102039560 26</stp>
        <tr r="R61" s="17"/>
      </tp>
      <tp>
        <v>100</v>
        <stp/>
        <stp>102039570 27</stp>
        <tr r="S63" s="17"/>
      </tp>
      <tp>
        <v>0</v>
        <stp/>
        <stp>102039670 17</stp>
        <tr r="AB91" s="17"/>
      </tp>
      <tp>
        <v>100</v>
        <stp/>
        <stp>102039553 25</stp>
        <tr r="Q57" s="17"/>
      </tp>
      <tp>
        <v>360</v>
        <stp/>
        <stp>102039643 14</stp>
        <tr r="J43" s="27"/>
        <tr r="U86" s="17"/>
      </tp>
      <tp>
        <v>80</v>
        <stp/>
        <stp>102039663 16</stp>
        <tr r="W88" s="17"/>
      </tp>
      <tp>
        <v>0</v>
        <stp/>
        <stp>102039673 17</stp>
        <tr r="AB94" s="17"/>
      </tp>
      <tp>
        <v>20</v>
        <stp/>
        <stp>102039572 27</stp>
        <tr r="S65" s="17"/>
      </tp>
      <tp>
        <v>100075</v>
        <stp/>
        <stp>102039632 13</stp>
        <tr r="T81" s="17"/>
      </tp>
      <tp>
        <v>48295</v>
        <stp/>
        <stp>102039662 16</stp>
        <tr r="W87" s="17"/>
      </tp>
      <tp>
        <v>0</v>
        <stp/>
        <stp>102039672 17</stp>
        <tr r="AB93" s="17"/>
      </tp>
      <tp>
        <v>90</v>
        <stp/>
        <stp>102039635 13</stp>
        <tr r="T82" s="17"/>
      </tp>
      <tp>
        <v>115</v>
        <stp/>
        <stp>102039665 16</stp>
        <tr r="W90" s="17"/>
      </tp>
      <tp>
        <v>0</v>
        <stp/>
        <stp>102039675 17</stp>
        <tr r="AB96" s="17"/>
      </tp>
      <tp>
        <v>0</v>
        <stp/>
        <stp>102039685 18</stp>
        <tr r="AA100" s="17"/>
      </tp>
      <tp>
        <v>480</v>
        <stp/>
        <stp>102039554 25</stp>
        <tr r="Q58" s="17"/>
      </tp>
      <tp>
        <v>120</v>
        <stp/>
        <stp>102039574 27</stp>
        <tr r="S66" s="17"/>
      </tp>
      <tp>
        <v>38480</v>
        <stp/>
        <stp>102039664 16</stp>
        <tr r="W89" s="17"/>
      </tp>
      <tp>
        <v>0</v>
        <stp/>
        <stp>102039674 17</stp>
        <tr r="AB95" s="17"/>
      </tp>
      <tp>
        <v>0</v>
        <stp/>
        <stp>102039684 18</stp>
        <tr r="AA99" s="17"/>
      </tp>
      <tp>
        <v>115</v>
        <stp/>
        <stp>102039637 13</stp>
        <tr r="T84" s="17"/>
      </tp>
      <tp>
        <v>284250</v>
        <stp/>
        <stp>102039647 14</stp>
        <tr r="J90" s="27"/>
        <tr r="U180" s="17"/>
      </tp>
      <tp>
        <v>89880</v>
        <stp/>
        <stp>102039636 13</stp>
        <tr r="T83" s="17"/>
      </tp>
      <tp>
        <v>25</v>
        <stp/>
        <stp>102039646 14</stp>
        <tr r="H90" s="27"/>
        <tr r="U179" s="17"/>
      </tp>
      <tp>
        <v>55</v>
        <stp/>
        <stp>102039559 26</stp>
        <tr r="R60" s="17"/>
      </tp>
      <tp>
        <v>80</v>
        <stp/>
        <stp>102039609 13</stp>
        <tr r="T78" s="17"/>
      </tp>
      <tp>
        <v>180</v>
        <stp/>
        <stp>102039629 11</stp>
        <tr r="Y80" s="17"/>
      </tp>
      <tp>
        <v>3095</v>
        <stp/>
        <stp>102039679 14</stp>
        <tr r="J49" s="27"/>
        <tr r="U98" s="17"/>
      </tp>
      <tp>
        <v>196345</v>
        <stp/>
        <stp>102039558 26</stp>
        <tr r="R59" s="17"/>
      </tp>
      <tp>
        <v>111500</v>
        <stp/>
        <stp>102039608 13</stp>
        <tr r="T77" s="17"/>
      </tp>
      <tp>
        <v>40</v>
        <stp/>
        <stp>102039628 11</stp>
        <tr r="Y79" s="17"/>
      </tp>
      <tp>
        <v>60800</v>
        <stp/>
        <stp>102039638 10</stp>
        <tr r="X85" s="17"/>
        <tr r="G43" s="27"/>
      </tp>
      <tp>
        <v>26555</v>
        <stp/>
        <stp>102039678 14</stp>
        <tr r="H49" s="27"/>
        <tr r="U97" s="17"/>
      </tp>
      <tp>
        <v>50</v>
        <stp/>
        <stp>102039551 26</stp>
        <tr r="R56" s="17"/>
      </tp>
      <tp>
        <v>100</v>
        <stp/>
        <stp>102039561 25</stp>
        <tr r="Q62" s="17"/>
      </tp>
      <tp>
        <v>40</v>
        <stp/>
        <stp>102039571 24</stp>
        <tr r="P64" s="17"/>
      </tp>
      <tp>
        <v>740</v>
        <stp/>
        <stp>102039671 14</stp>
        <tr r="J46" s="27"/>
        <tr r="U92" s="17"/>
      </tp>
      <tp>
        <v>1265882717</v>
        <stp/>
        <stp>102039530 20</stp>
        <tr r="Z51" s="17"/>
      </tp>
      <tp>
        <v>216345</v>
        <stp/>
        <stp>102039550 26</stp>
        <tr r="R55" s="17"/>
      </tp>
      <tp>
        <v>160</v>
        <stp/>
        <stp>102039560 25</stp>
        <tr r="Q61" s="17"/>
      </tp>
      <tp>
        <v>165805</v>
        <stp/>
        <stp>102039570 24</stp>
        <tr r="P63" s="17"/>
      </tp>
      <tp>
        <v>54485</v>
        <stp/>
        <stp>102039670 14</stp>
        <tr r="H46" s="27"/>
        <tr r="U91" s="17"/>
      </tp>
      <tp>
        <v>0</v>
        <stp/>
        <stp>102039533 20</stp>
        <tr r="Z53" s="17"/>
      </tp>
      <tp>
        <v>206345</v>
        <stp/>
        <stp>102039553 26</stp>
        <tr r="R57" s="17"/>
      </tp>
      <tp>
        <v>0</v>
        <stp/>
        <stp>102039643 17</stp>
        <tr r="AB86" s="17"/>
      </tp>
      <tp>
        <v>215</v>
        <stp/>
        <stp>102039663 15</stp>
        <tr r="V88" s="17"/>
      </tp>
      <tp>
        <v>1015</v>
        <stp/>
        <stp>102039673 14</stp>
        <tr r="J47" s="27"/>
        <tr r="U94" s="17"/>
      </tp>
      <tp>
        <v>1266057984</v>
        <stp/>
        <stp>102039532 20</stp>
        <tr r="Z52" s="17"/>
      </tp>
      <tp>
        <v>159710</v>
        <stp/>
        <stp>102039572 24</stp>
        <tr r="P65" s="17"/>
      </tp>
      <tp>
        <v>81400</v>
        <stp/>
        <stp>102039632 10</stp>
        <tr r="X81" s="17"/>
        <tr r="G41" s="27"/>
      </tp>
      <tp>
        <v>71110</v>
        <stp/>
        <stp>102039662 15</stp>
        <tr r="V87" s="17"/>
      </tp>
      <tp>
        <v>44515</v>
        <stp/>
        <stp>102039672 14</stp>
        <tr r="H47" s="27"/>
        <tr r="U93" s="17"/>
      </tp>
      <tp>
        <v>1266057608</v>
        <stp/>
        <stp>102039535 20</stp>
        <tr r="Z54" s="17"/>
      </tp>
      <tp>
        <v>35</v>
        <stp/>
        <stp>102039635 10</stp>
        <tr r="X82" s="17"/>
        <tr r="K41" s="27"/>
      </tp>
      <tp>
        <v>380</v>
        <stp/>
        <stp>102039665 15</stp>
        <tr r="V90" s="17"/>
      </tp>
      <tp>
        <v>1740</v>
        <stp/>
        <stp>102039675 14</stp>
        <tr r="J48" s="27"/>
        <tr r="U96" s="17"/>
      </tp>
      <tp>
        <v>45</v>
        <stp/>
        <stp>102039554 26</stp>
        <tr r="R58" s="17"/>
      </tp>
      <tp>
        <v>25</v>
        <stp/>
        <stp>102039574 24</stp>
        <tr r="P66" s="17"/>
      </tp>
      <tp>
        <v>61505</v>
        <stp/>
        <stp>102039664 15</stp>
        <tr r="V89" s="17"/>
      </tp>
      <tp>
        <v>35045</v>
        <stp/>
        <stp>102039674 14</stp>
        <tr r="H48" s="27"/>
        <tr r="U95" s="17"/>
      </tp>
      <tp>
        <v>60</v>
        <stp/>
        <stp>102039637 10</stp>
        <tr r="X84" s="17"/>
        <tr r="K42" s="27"/>
      </tp>
      <tp>
        <v>0</v>
        <stp/>
        <stp>102039647 17</stp>
        <tr r="AB180" s="17"/>
      </tp>
      <tp>
        <v>71100</v>
        <stp/>
        <stp>102039636 10</stp>
        <tr r="G42" s="27"/>
        <tr r="X83" s="17"/>
      </tp>
      <tp>
        <v>0</v>
        <stp/>
        <stp>102039646 17</stp>
        <tr r="AB179" s="17"/>
      </tp>
      <tp>
        <v>1266053397</v>
        <stp/>
        <stp>102039529 20</stp>
        <tr r="Z50" s="17"/>
      </tp>
      <tp>
        <v>900</v>
        <stp/>
        <stp>102039559 27</stp>
        <tr r="S60" s="17"/>
      </tp>
      <tp>
        <v>65020</v>
        <stp/>
        <stp>102039609 12</stp>
        <tr r="O78" s="17"/>
        <tr r="M39" s="27"/>
      </tp>
      <tp>
        <v>40</v>
        <stp/>
        <stp>102039629 10</stp>
        <tr r="X80" s="17"/>
        <tr r="K40" s="27"/>
      </tp>
      <tp>
        <v>8500</v>
        <stp/>
        <stp>102039679 15</stp>
        <tr r="V98" s="17"/>
      </tp>
      <tp>
        <v>0</v>
        <stp/>
        <stp>102039528 20</stp>
        <tr r="Z49" s="17"/>
      </tp>
      <tp>
        <v>100</v>
        <stp/>
        <stp>102039558 27</stp>
        <tr r="S59" s="17"/>
      </tp>
      <tp>
        <v>2280</v>
        <stp/>
        <stp>102039608 12</stp>
        <tr r="O77" s="17"/>
        <tr r="E39" s="27"/>
      </tp>
      <tp>
        <v>89930</v>
        <stp/>
        <stp>102039628 10</stp>
        <tr r="X79" s="17"/>
        <tr r="G40" s="27"/>
      </tp>
      <tp>
        <v>20</v>
        <stp/>
        <stp>102039638 11</stp>
        <tr r="Y85" s="17"/>
      </tp>
      <tp>
        <v>26950</v>
        <stp/>
        <stp>102039678 15</stp>
        <tr r="V97" s="17"/>
      </tp>
      <tp>
        <v>20</v>
        <stp/>
        <stp>102039551 27</stp>
        <tr r="S56" s="17"/>
      </tp>
      <tp>
        <v>30</v>
        <stp/>
        <stp>102039561 24</stp>
        <tr r="P62" s="17"/>
      </tp>
      <tp>
        <v>2320</v>
        <stp/>
        <stp>102039571 25</stp>
        <tr r="Q64" s="17"/>
      </tp>
      <tp>
        <v>805</v>
        <stp/>
        <stp>102039671 15</stp>
        <tr r="V92" s="17"/>
      </tp>
      <tp>
        <v>100</v>
        <stp/>
        <stp>102039550 27</stp>
        <tr r="S55" s="17"/>
      </tp>
      <tp>
        <v>179990</v>
        <stp/>
        <stp>102039560 24</stp>
        <tr r="P61" s="17"/>
      </tp>
      <tp>
        <v>500</v>
        <stp/>
        <stp>102039570 25</stp>
        <tr r="Q63" s="17"/>
      </tp>
      <tp>
        <v>54525</v>
        <stp/>
        <stp>102039670 15</stp>
        <tr r="V91" s="17"/>
      </tp>
      <tp>
        <v>100</v>
        <stp/>
        <stp>102039553 27</stp>
        <tr r="S57" s="17"/>
      </tp>
      <tp>
        <v>55</v>
        <stp/>
        <stp>102039643 16</stp>
        <tr r="W86" s="17"/>
      </tp>
      <tp>
        <v>410</v>
        <stp/>
        <stp>102039663 14</stp>
        <tr r="J44" s="27"/>
        <tr r="U88" s="17"/>
      </tp>
      <tp>
        <v>1870</v>
        <stp/>
        <stp>102039673 15</stp>
        <tr r="V94" s="17"/>
      </tp>
      <tp>
        <v>200</v>
        <stp/>
        <stp>102039572 25</stp>
        <tr r="Q65" s="17"/>
      </tp>
      <tp>
        <v>60</v>
        <stp/>
        <stp>102039632 11</stp>
        <tr r="Y81" s="17"/>
      </tp>
      <tp>
        <v>73560</v>
        <stp/>
        <stp>102039662 14</stp>
        <tr r="H44" s="27"/>
        <tr r="U87" s="17"/>
      </tp>
      <tp>
        <v>44965</v>
        <stp/>
        <stp>102039672 15</stp>
        <tr r="V93" s="17"/>
      </tp>
      <tp>
        <v>200</v>
        <stp/>
        <stp>102039635 11</stp>
        <tr r="Y82" s="17"/>
      </tp>
      <tp>
        <v>550</v>
        <stp/>
        <stp>102039665 14</stp>
        <tr r="J45" s="27"/>
        <tr r="U90" s="17"/>
      </tp>
      <tp>
        <v>4260</v>
        <stp/>
        <stp>102039675 15</stp>
        <tr r="V96" s="17"/>
      </tp>
      <tp>
        <v>900</v>
        <stp/>
        <stp>102039554 27</stp>
        <tr r="S58" s="17"/>
      </tp>
      <tp>
        <v>120</v>
        <stp/>
        <stp>102039574 25</stp>
        <tr r="Q66" s="17"/>
      </tp>
      <tp>
        <v>63355</v>
        <stp/>
        <stp>102039664 14</stp>
        <tr r="H45" s="27"/>
        <tr r="U89" s="17"/>
      </tp>
      <tp>
        <v>35485</v>
        <stp/>
        <stp>102039674 15</stp>
        <tr r="V95" s="17"/>
      </tp>
      <tp>
        <v>180</v>
        <stp/>
        <stp>102039637 11</stp>
        <tr r="Y84" s="17"/>
      </tp>
      <tp>
        <v>0</v>
        <stp/>
        <stp>102039647 16</stp>
        <tr r="W180" s="17"/>
      </tp>
      <tp>
        <v>20</v>
        <stp/>
        <stp>102039636 11</stp>
        <tr r="Y83" s="17"/>
      </tp>
      <tp>
        <v>0</v>
        <stp/>
        <stp>102039646 16</stp>
        <tr r="W179" s="17"/>
      </tp>
      <tp>
        <v>0</v>
        <stp/>
        <stp>102039559 18</stp>
        <tr r="AA60" s="17"/>
      </tp>
      <tp>
        <v>90</v>
        <stp/>
        <stp>102039589 15</stp>
        <tr r="V72" s="17"/>
      </tp>
      <tp>
        <v>275420</v>
        <stp/>
        <stp>102039599 14</stp>
        <tr r="J89" s="27"/>
        <tr r="U178" s="17"/>
      </tp>
      <tp>
        <v>0</v>
        <stp/>
        <stp>102039799 34</stp>
        <tr r="AD44" s="17"/>
      </tp>
      <tp>
        <v>0</v>
        <stp/>
        <stp>102039558 18</stp>
        <tr r="AA59" s="17"/>
      </tp>
      <tp>
        <v>143005</v>
        <stp/>
        <stp>102039588 15</stp>
        <tr r="V71" s="17"/>
      </tp>
      <tp>
        <v>0</v>
        <stp/>
        <stp>102039798 34</stp>
        <tr r="AD43" s="17"/>
      </tp>
      <tp>
        <v>0</v>
        <stp/>
        <stp>102039551 18</stp>
        <tr r="AA56" s="17"/>
      </tp>
      <tp>
        <v>0</v>
        <stp/>
        <stp>102039791 34</stp>
        <tr r="AD144" s="17"/>
      </tp>
      <tp>
        <v>0</v>
        <stp/>
        <stp>102039550 18</stp>
        <tr r="AA55" s="17"/>
      </tp>
      <tp>
        <v>0</v>
        <stp/>
        <stp>102039790 34</stp>
        <tr r="AD143" s="17"/>
      </tp>
      <tp>
        <v>0</v>
        <stp/>
        <stp>102039553 18</stp>
        <tr r="AA57" s="17"/>
      </tp>
      <tp>
        <v>45</v>
        <stp/>
        <stp>102039583 15</stp>
        <tr r="V68" s="17"/>
      </tp>
      <tp>
        <v>175</v>
        <stp/>
        <stp>102039593 14</stp>
        <tr r="J37" s="27"/>
        <tr r="U74" s="17"/>
      </tp>
      <tp>
        <v>162000</v>
        <stp/>
        <stp>102039582 15</stp>
        <tr r="V67" s="17"/>
      </tp>
      <tp>
        <v>140030</v>
        <stp/>
        <stp>102039592 14</stp>
        <tr r="H37" s="27"/>
        <tr r="U73" s="17"/>
      </tp>
      <tp>
        <v>65</v>
        <stp/>
        <stp>102039585 15</stp>
        <tr r="V70" s="17"/>
      </tp>
      <tp>
        <v>200</v>
        <stp/>
        <stp>102039595 14</stp>
        <tr r="J38" s="27"/>
        <tr r="U76" s="17"/>
      </tp>
      <tp>
        <v>20</v>
        <stp/>
        <stp>102039685 25</stp>
        <tr r="Q100" s="17"/>
      </tp>
      <tp>
        <v>0</v>
        <stp/>
        <stp>102039795 34</stp>
        <tr r="AD146" s="17"/>
      </tp>
      <tp>
        <v>0</v>
        <stp/>
        <stp>102039554 18</stp>
        <tr r="AA58" s="17"/>
      </tp>
      <tp>
        <v>153000</v>
        <stp/>
        <stp>102039584 15</stp>
        <tr r="V69" s="17"/>
      </tp>
      <tp>
        <v>128650</v>
        <stp/>
        <stp>102039594 14</stp>
        <tr r="H38" s="27"/>
        <tr r="U75" s="17"/>
      </tp>
      <tp>
        <v>200</v>
        <stp/>
        <stp>102039684 25</stp>
        <tr r="Q99" s="17"/>
      </tp>
      <tp>
        <v>0</v>
        <stp/>
        <stp>102039794 34</stp>
        <tr r="AD145" s="17"/>
      </tp>
      <tp>
        <v>10</v>
        <stp/>
        <stp>102039597 14</stp>
        <tr r="H89" s="27"/>
        <tr r="U177" s="17"/>
      </tp>
      <tp>
        <v>20520</v>
        <stp/>
        <stp>102039697 24</stp>
        <tr r="P102" s="17"/>
      </tp>
      <tp>
        <v>0</v>
        <stp/>
        <stp>102039797 34</stp>
        <tr r="AD42" s="17"/>
      </tp>
      <tp>
        <v>1475</v>
        <stp/>
        <stp>102039696 24</stp>
        <tr r="P101" s="17"/>
      </tp>
      <tp>
        <v>0</v>
        <stp/>
        <stp>102039796 34</stp>
        <tr r="AD41" s="17"/>
      </tp>
      <tp>
        <v>135</v>
        <stp/>
        <stp>102039589 14</stp>
        <tr r="J36" s="27"/>
        <tr r="U72" s="17"/>
      </tp>
      <tp>
        <v>0</v>
        <stp/>
        <stp>102039599 15</stp>
        <tr r="V178" s="17"/>
      </tp>
      <tp>
        <v>0</v>
        <stp/>
        <stp>102039789 34</stp>
        <tr r="AD40" s="17"/>
      </tp>
      <tp>
        <v>152515</v>
        <stp/>
        <stp>102039588 14</stp>
        <tr r="H36" s="27"/>
        <tr r="U71" s="17"/>
      </tp>
      <tp>
        <v>0</v>
        <stp/>
        <stp>102039788 34</stp>
        <tr r="AD39" s="17"/>
      </tp>
      <tp>
        <v>0</v>
        <stp/>
        <stp>102039781 34</stp>
        <tr r="AD140" s="17"/>
      </tp>
      <tp>
        <v>85</v>
        <stp/>
        <stp>102039583 14</stp>
        <tr r="J34" s="27"/>
        <tr r="U68" s="17"/>
      </tp>
      <tp>
        <v>65</v>
        <stp/>
        <stp>102039593 15</stp>
        <tr r="V74" s="17"/>
      </tp>
      <tp>
        <v>0</v>
        <stp/>
        <stp>102039783 34</stp>
        <tr r="AD36" s="17"/>
      </tp>
      <tp>
        <v>154480</v>
        <stp/>
        <stp>102039582 14</stp>
        <tr r="H34" s="27"/>
        <tr r="U67" s="17"/>
      </tp>
      <tp>
        <v>131435</v>
        <stp/>
        <stp>102039592 15</stp>
        <tr r="V73" s="17"/>
      </tp>
      <tp>
        <v>0</v>
        <stp/>
        <stp>102039782 34</stp>
        <tr r="AD35" s="17"/>
      </tp>
      <tp>
        <v>140</v>
        <stp/>
        <stp>102039585 14</stp>
        <tr r="J35" s="27"/>
        <tr r="U70" s="17"/>
      </tp>
      <tp>
        <v>60</v>
        <stp/>
        <stp>102039595 15</stp>
        <tr r="V76" s="17"/>
      </tp>
      <tp>
        <v>12525</v>
        <stp/>
        <stp>102039685 24</stp>
        <tr r="P100" s="17"/>
      </tp>
      <tp>
        <v>0</v>
        <stp/>
        <stp>102039785 34</stp>
        <tr r="AD38" s="17"/>
      </tp>
      <tp>
        <v>164000</v>
        <stp/>
        <stp>102039584 14</stp>
        <tr r="H35" s="27"/>
        <tr r="U69" s="17"/>
      </tp>
      <tp>
        <v>122000</v>
        <stp/>
        <stp>102039594 15</stp>
        <tr r="V75" s="17"/>
      </tp>
      <tp>
        <v>3440</v>
        <stp/>
        <stp>102039684 24</stp>
        <tr r="P99" s="17"/>
      </tp>
      <tp>
        <v>0</v>
        <stp/>
        <stp>102039784 34</stp>
        <tr r="AD37" s="17"/>
      </tp>
      <tp>
        <v>0</v>
        <stp/>
        <stp>102039597 15</stp>
        <tr r="V177" s="17"/>
      </tp>
      <tp>
        <v>40</v>
        <stp/>
        <stp>102039697 25</stp>
        <tr r="Q102" s="17"/>
      </tp>
      <tp>
        <v>0</v>
        <stp/>
        <stp>102039787 34</stp>
        <tr r="AD142" s="17"/>
      </tp>
      <tp>
        <v>240</v>
        <stp/>
        <stp>102039696 25</stp>
        <tr r="Q101" s="17"/>
      </tp>
      <tp>
        <v>0</v>
        <stp/>
        <stp>102039786 34</stp>
        <tr r="AD141" s="17"/>
      </tp>
      <tp>
        <v>0</v>
        <stp/>
        <stp>102039589 17</stp>
        <tr r="AB72" s="17"/>
      </tp>
      <tp>
        <v>0</v>
        <stp/>
        <stp>102039599 16</stp>
        <tr r="W178" s="17"/>
      </tp>
      <tp>
        <v>0</v>
        <stp/>
        <stp>102039588 17</stp>
        <tr r="AB71" s="17"/>
      </tp>
      <tp>
        <v>0</v>
        <stp/>
        <stp>102039571 18</stp>
        <tr r="AA64" s="17"/>
      </tp>
      <tp>
        <v>0</v>
        <stp/>
        <stp>102039570 18</stp>
        <tr r="AA63" s="17"/>
      </tp>
      <tp>
        <v>0</v>
        <stp/>
        <stp>102039583 17</stp>
        <tr r="AB68" s="17"/>
      </tp>
      <tp>
        <v>25</v>
        <stp/>
        <stp>102039593 16</stp>
        <tr r="W74" s="17"/>
      </tp>
      <tp>
        <v>0</v>
        <stp/>
        <stp>102039572 18</stp>
        <tr r="AA65" s="17"/>
      </tp>
      <tp>
        <v>0</v>
        <stp/>
        <stp>102039582 17</stp>
        <tr r="AB67" s="17"/>
      </tp>
      <tp>
        <v>120080</v>
        <stp/>
        <stp>102039592 16</stp>
        <tr r="W73" s="17"/>
      </tp>
      <tp>
        <v>0</v>
        <stp/>
        <stp>102039585 17</stp>
        <tr r="AB70" s="17"/>
      </tp>
      <tp>
        <v>25</v>
        <stp/>
        <stp>102039595 16</stp>
        <tr r="W76" s="17"/>
      </tp>
      <tp>
        <v>40</v>
        <stp/>
        <stp>102039685 27</stp>
        <tr r="S100" s="17"/>
      </tp>
      <tp>
        <v>0</v>
        <stp/>
        <stp>102039574 18</stp>
        <tr r="AA66" s="17"/>
      </tp>
      <tp>
        <v>0</v>
        <stp/>
        <stp>102039584 17</stp>
        <tr r="AB69" s="17"/>
      </tp>
      <tp>
        <v>108915</v>
        <stp/>
        <stp>102039594 16</stp>
        <tr r="W75" s="17"/>
      </tp>
      <tp>
        <v>480</v>
        <stp/>
        <stp>102039684 27</stp>
        <tr r="S99" s="17"/>
      </tp>
      <tp>
        <v>0</v>
        <stp/>
        <stp>102039597 16</stp>
        <tr r="W177" s="17"/>
      </tp>
      <tp>
        <v>20600</v>
        <stp/>
        <stp>102039697 26</stp>
        <tr r="R102" s="17"/>
      </tp>
      <tp>
        <v>1485</v>
        <stp/>
        <stp>102039696 26</stp>
        <tr r="R101" s="17"/>
      </tp>
      <tp>
        <v>20</v>
        <stp/>
        <stp>102039589 16</stp>
        <tr r="W72" s="17"/>
      </tp>
      <tp>
        <v>0</v>
        <stp/>
        <stp>102039599 17</stp>
        <tr r="AB178" s="17"/>
      </tp>
      <tp>
        <v>130000</v>
        <stp/>
        <stp>102039588 16</stp>
        <tr r="W71" s="17"/>
      </tp>
      <tp>
        <v>0</v>
        <stp/>
        <stp>102039561 18</stp>
        <tr r="AA62" s="17"/>
      </tp>
      <tp>
        <v>0</v>
        <stp/>
        <stp>102039560 18</stp>
        <tr r="AA61" s="17"/>
      </tp>
      <tp>
        <v>5</v>
        <stp/>
        <stp>102039583 16</stp>
        <tr r="W68" s="17"/>
      </tp>
      <tp>
        <v>0</v>
        <stp/>
        <stp>102039593 17</stp>
        <tr r="AB74" s="17"/>
      </tp>
      <tp>
        <v>160505</v>
        <stp/>
        <stp>102039582 16</stp>
        <tr r="W67" s="17"/>
      </tp>
      <tp>
        <v>0</v>
        <stp/>
        <stp>102039592 17</stp>
        <tr r="AB73" s="17"/>
      </tp>
      <tp>
        <v>5</v>
        <stp/>
        <stp>102039585 16</stp>
        <tr r="W70" s="17"/>
      </tp>
      <tp>
        <v>0</v>
        <stp/>
        <stp>102039595 17</stp>
        <tr r="AB76" s="17"/>
      </tp>
      <tp>
        <v>12590</v>
        <stp/>
        <stp>102039685 26</stp>
        <tr r="R100" s="17"/>
      </tp>
      <tp>
        <v>153000</v>
        <stp/>
        <stp>102039584 16</stp>
        <tr r="W69" s="17"/>
      </tp>
      <tp>
        <v>0</v>
        <stp/>
        <stp>102039594 17</stp>
        <tr r="AB75" s="17"/>
      </tp>
      <tp>
        <v>3460</v>
        <stp/>
        <stp>102039684 26</stp>
        <tr r="R99" s="17"/>
      </tp>
      <tp>
        <v>0</v>
        <stp/>
        <stp>102039597 17</stp>
        <tr r="AB177" s="17"/>
      </tp>
      <tp>
        <v>540</v>
        <stp/>
        <stp>102039697 27</stp>
        <tr r="S102" s="17"/>
      </tp>
      <tp>
        <v>620</v>
        <stp/>
        <stp>102039696 27</stp>
        <tr r="S101" s="17"/>
      </tp>
      <tp>
        <v>0</v>
        <stp/>
        <stp>102039519 18</stp>
        <tr r="AA48" s="17"/>
      </tp>
      <tp>
        <v>20</v>
        <stp/>
        <stp>102039589 11</stp>
        <tr r="Y72" s="17"/>
      </tp>
      <tp>
        <v>0</v>
        <stp/>
        <stp>102039599 10</stp>
        <tr r="K89" s="27"/>
        <tr r="X178" s="17"/>
      </tp>
      <tp>
        <v>0</v>
        <stp/>
        <stp>102039518 18</stp>
        <tr r="AA47" s="17"/>
      </tp>
      <tp>
        <v>140</v>
        <stp/>
        <stp>102039588 11</stp>
        <tr r="Y71" s="17"/>
      </tp>
      <tp>
        <v>0</v>
        <stp/>
        <stp>102039511 18</stp>
        <tr r="AA46" s="17"/>
      </tp>
      <tp>
        <v>0</v>
        <stp/>
        <stp>102039510 18</stp>
        <tr r="AA45" s="17"/>
      </tp>
      <tp>
        <v>20</v>
        <stp/>
        <stp>102039583 11</stp>
        <tr r="Y68" s="17"/>
      </tp>
      <tp>
        <v>55</v>
        <stp/>
        <stp>102039593 10</stp>
        <tr r="X74" s="17"/>
        <tr r="K37" s="27"/>
      </tp>
      <tp>
        <v>20</v>
        <stp/>
        <stp>102039582 11</stp>
        <tr r="Y67" s="17"/>
      </tp>
      <tp>
        <v>120460</v>
        <stp/>
        <stp>102039592 10</stp>
        <tr r="G37" s="27"/>
        <tr r="X73" s="17"/>
      </tp>
      <tp>
        <v>40</v>
        <stp/>
        <stp>102039585 11</stp>
        <tr r="Y70" s="17"/>
      </tp>
      <tp>
        <v>50</v>
        <stp/>
        <stp>102039595 10</stp>
        <tr r="K38" s="27"/>
        <tr r="X76" s="17"/>
      </tp>
      <tp>
        <v>20</v>
        <stp/>
        <stp>102039584 11</stp>
        <tr r="Y69" s="17"/>
      </tp>
      <tp>
        <v>111200</v>
        <stp/>
        <stp>102039594 10</stp>
        <tr r="G38" s="27"/>
        <tr r="X75" s="17"/>
      </tp>
      <tp>
        <v>10</v>
        <stp/>
        <stp>102039597 10</stp>
        <tr r="X177" s="17"/>
        <tr r="G89" s="27"/>
      </tp>
      <tp>
        <v>1266058050</v>
        <stp/>
        <stp>102039697 20</stp>
        <tr r="Z102" s="17"/>
      </tp>
      <tp>
        <v>1266058050</v>
        <stp/>
        <stp>102039696 20</stp>
        <tr r="Z101" s="17"/>
      </tp>
      <tp>
        <v>35</v>
        <stp/>
        <stp>102039589 10</stp>
        <tr r="X72" s="17"/>
        <tr r="K36" s="27"/>
      </tp>
      <tp>
        <v>0</v>
        <stp/>
        <stp>102039599 11</stp>
        <tr r="Y178" s="17"/>
      </tp>
      <tp>
        <v>131200</v>
        <stp/>
        <stp>102039588 10</stp>
        <tr r="G36" s="27"/>
        <tr r="X71" s="17"/>
      </tp>
      <tp>
        <v>30</v>
        <stp/>
        <stp>102039583 10</stp>
        <tr r="X68" s="17"/>
        <tr r="K34" s="27"/>
      </tp>
      <tp>
        <v>60</v>
        <stp/>
        <stp>102039593 11</stp>
        <tr r="Y74" s="17"/>
      </tp>
      <tp>
        <v>160505</v>
        <stp/>
        <stp>102039582 10</stp>
        <tr r="X67" s="17"/>
        <tr r="G34" s="27"/>
      </tp>
      <tp>
        <v>20</v>
        <stp/>
        <stp>102039592 11</stp>
        <tr r="Y73" s="17"/>
      </tp>
      <tp>
        <v>40</v>
        <stp/>
        <stp>102039585 10</stp>
        <tr r="K35" s="27"/>
        <tr r="X70" s="17"/>
      </tp>
      <tp>
        <v>60</v>
        <stp/>
        <stp>102039595 11</stp>
        <tr r="Y76" s="17"/>
      </tp>
      <tp>
        <v>1266058050</v>
        <stp/>
        <stp>102039685 20</stp>
        <tr r="Z100" s="17"/>
      </tp>
      <tp>
        <v>153000</v>
        <stp/>
        <stp>102039584 10</stp>
        <tr r="G35" s="27"/>
        <tr r="X69" s="17"/>
      </tp>
      <tp>
        <v>40</v>
        <stp/>
        <stp>102039594 11</stp>
        <tr r="Y75" s="17"/>
      </tp>
      <tp>
        <v>1266058051</v>
        <stp/>
        <stp>102039684 20</stp>
        <tr r="Z99" s="17"/>
      </tp>
      <tp>
        <v>80</v>
        <stp/>
        <stp>102039597 11</stp>
        <tr r="Y177" s="17"/>
      </tp>
      <tp>
        <v>90</v>
        <stp/>
        <stp>102039589 13</stp>
        <tr r="T72" s="17"/>
      </tp>
      <tp>
        <v>0</v>
        <stp/>
        <stp>102039599 12</stp>
        <tr r="O178" s="17"/>
        <tr r="M89" s="27"/>
      </tp>
      <tp>
        <v>143005</v>
        <stp/>
        <stp>102039588 13</stp>
        <tr r="T71" s="17"/>
      </tp>
      <tp>
        <v>0</v>
        <stp/>
        <stp>102039530 18</stp>
        <tr r="AA51" s="17"/>
      </tp>
      <tp>
        <v>0</v>
        <stp/>
        <stp>102039533 18</stp>
        <tr r="AA53" s="17"/>
      </tp>
      <tp>
        <v>5</v>
        <stp/>
        <stp>102039583 13</stp>
        <tr r="T68" s="17"/>
      </tp>
      <tp>
        <v>28780</v>
        <stp/>
        <stp>102039593 12</stp>
        <tr r="O74" s="17"/>
        <tr r="M37" s="27"/>
      </tp>
      <tp>
        <v>0</v>
        <stp/>
        <stp>102039532 18</stp>
        <tr r="AA52" s="17"/>
      </tp>
      <tp>
        <v>162000</v>
        <stp/>
        <stp>102039582 13</stp>
        <tr r="T67" s="17"/>
      </tp>
      <tp>
        <v>140</v>
        <stp/>
        <stp>102039592 12</stp>
        <tr r="O73" s="17"/>
        <tr r="E37" s="27"/>
      </tp>
      <tp>
        <v>0</v>
        <stp/>
        <stp>102039535 18</stp>
        <tr r="AA54" s="17"/>
      </tp>
      <tp>
        <v>5</v>
        <stp/>
        <stp>102039585 13</stp>
        <tr r="T70" s="17"/>
      </tp>
      <tp>
        <v>75880</v>
        <stp/>
        <stp>102039595 12</stp>
        <tr r="O76" s="17"/>
        <tr r="M38" s="27"/>
      </tp>
      <tp>
        <v>153000</v>
        <stp/>
        <stp>102039584 13</stp>
        <tr r="T69" s="17"/>
      </tp>
      <tp>
        <v>740</v>
        <stp/>
        <stp>102039594 12</stp>
        <tr r="E38" s="27"/>
        <tr r="O75" s="17"/>
      </tp>
      <tp>
        <v>0</v>
        <stp/>
        <stp>102039597 12</stp>
        <tr r="E89" s="27"/>
        <tr r="O177" s="17"/>
      </tp>
      <tp>
        <v>0</v>
        <stp/>
        <stp>102039529 18</stp>
        <tr r="AA50" s="17"/>
      </tp>
      <tp>
        <v>64180</v>
        <stp/>
        <stp>102039589 12</stp>
        <tr r="O72" s="17"/>
        <tr r="M36" s="27"/>
      </tp>
      <tp>
        <v>0</v>
        <stp/>
        <stp>102039599 13</stp>
        <tr r="T178" s="17"/>
      </tp>
      <tp>
        <v>0</v>
        <stp/>
        <stp>102039528 18</stp>
        <tr r="AA49" s="17"/>
      </tp>
      <tp>
        <v>7080</v>
        <stp/>
        <stp>102039588 12</stp>
        <tr r="O71" s="17"/>
        <tr r="E36" s="27"/>
      </tp>
      <tp>
        <v>15900</v>
        <stp/>
        <stp>102039583 12</stp>
        <tr r="O68" s="17"/>
        <tr r="M34" s="27"/>
      </tp>
      <tp>
        <v>25</v>
        <stp/>
        <stp>102039593 13</stp>
        <tr r="T74" s="17"/>
      </tp>
      <tp>
        <v>60</v>
        <stp/>
        <stp>102039582 12</stp>
        <tr r="O67" s="17"/>
        <tr r="E34" s="27"/>
      </tp>
      <tp>
        <v>130945</v>
        <stp/>
        <stp>102039592 13</stp>
        <tr r="T73" s="17"/>
      </tp>
      <tp>
        <v>17200</v>
        <stp/>
        <stp>102039585 12</stp>
        <tr r="O70" s="17"/>
        <tr r="M35" s="27"/>
      </tp>
      <tp>
        <v>25</v>
        <stp/>
        <stp>102039595 13</stp>
        <tr r="T76" s="17"/>
      </tp>
      <tp>
        <v>20</v>
        <stp/>
        <stp>102039584 12</stp>
        <tr r="O69" s="17"/>
        <tr r="E35" s="27"/>
      </tp>
      <tp>
        <v>122000</v>
        <stp/>
        <stp>102039594 13</stp>
        <tr r="T75" s="17"/>
      </tp>
      <tp>
        <v>0</v>
        <stp/>
        <stp>102039597 13</stp>
        <tr r="T177" s="17"/>
      </tp>
      <tp>
        <v>160</v>
        <stp/>
        <stp>102039519 14</stp>
        <tr r="J24" s="27"/>
        <tr r="U48" s="17"/>
      </tp>
      <tp>
        <v>0</v>
        <stp/>
        <stp>102039529 17</stp>
        <tr r="AB50" s="17"/>
      </tp>
      <tp>
        <v>45</v>
        <stp/>
        <stp>102039559 10</stp>
        <tr r="X60" s="17"/>
        <tr r="K30" s="27"/>
      </tp>
      <tp>
        <v>20</v>
        <stp/>
        <stp>102039609 25</stp>
        <tr r="Q78" s="17"/>
      </tp>
      <tp>
        <v>3080</v>
        <stp/>
        <stp>102039629 27</stp>
        <tr r="S80" s="17"/>
      </tp>
      <tp>
        <v>0</v>
        <stp/>
        <stp>102039719 34</stp>
        <tr r="AD108" s="17"/>
      </tp>
      <tp>
        <v>324890</v>
        <stp/>
        <stp>102039518 14</stp>
        <tr r="H24" s="27"/>
        <tr r="U47" s="17"/>
      </tp>
      <tp>
        <v>0</v>
        <stp/>
        <stp>102039528 17</stp>
        <tr r="AB49" s="17"/>
      </tp>
      <tp>
        <v>0</v>
        <stp/>
        <stp>102039558 10</stp>
        <tr r="X59" s="17"/>
        <tr r="G30" s="27"/>
      </tp>
      <tp>
        <v>200</v>
        <stp/>
        <stp>102039608 25</stp>
        <tr r="Q77" s="17"/>
      </tp>
      <tp>
        <v>40</v>
        <stp/>
        <stp>102039628 27</stp>
        <tr r="S79" s="17"/>
      </tp>
      <tp>
        <v>61820</v>
        <stp/>
        <stp>102039638 26</stp>
        <tr r="R85" s="17"/>
      </tp>
      <tp>
        <v>0</v>
        <stp/>
        <stp>102039718 34</stp>
        <tr r="AD107" s="17"/>
      </tp>
      <tp>
        <v>290</v>
        <stp/>
        <stp>102039511 14</stp>
        <tr r="J23" s="27"/>
        <tr r="U46" s="17"/>
      </tp>
      <tp>
        <v>35</v>
        <stp/>
        <stp>102039551 10</stp>
        <tr r="X56" s="17"/>
        <tr r="K28" s="27"/>
      </tp>
      <tp>
        <v>10</v>
        <stp/>
        <stp>102039561 13</stp>
        <tr r="T62" s="17"/>
      </tp>
      <tp>
        <v>26460</v>
        <stp/>
        <stp>102039571 12</stp>
        <tr r="O64" s="17"/>
        <tr r="M32" s="27"/>
      </tp>
      <tp>
        <v>333855</v>
        <stp/>
        <stp>102039510 14</stp>
        <tr r="H23" s="27"/>
        <tr r="U45" s="17"/>
      </tp>
      <tp>
        <v>0</v>
        <stp/>
        <stp>102039530 16</stp>
        <tr r="W51" s="17"/>
      </tp>
      <tp>
        <v>0</v>
        <stp/>
        <stp>102039550 10</stp>
        <tr r="X55" s="17"/>
        <tr r="G28" s="27"/>
      </tp>
      <tp>
        <v>193535</v>
        <stp/>
        <stp>102039560 13</stp>
        <tr r="T61" s="17"/>
      </tp>
      <tp>
        <v>0</v>
        <stp/>
        <stp>102039570 12</stp>
        <tr r="O63" s="17"/>
        <tr r="E32" s="27"/>
      </tp>
      <tp>
        <v>0</v>
        <stp/>
        <stp>102039533 16</stp>
        <tr r="W53" s="17"/>
      </tp>
      <tp>
        <v>188280</v>
        <stp/>
        <stp>102039553 10</stp>
        <tr r="X57" s="17"/>
        <tr r="G29" s="27"/>
      </tp>
      <tp>
        <v>10</v>
        <stp/>
        <stp>102039532 16</stp>
        <tr r="W52" s="17"/>
      </tp>
      <tp>
        <v>0</v>
        <stp/>
        <stp>102039572 12</stp>
        <tr r="O65" s="17"/>
        <tr r="E33" s="27"/>
      </tp>
      <tp>
        <v>81290</v>
        <stp/>
        <stp>102039632 26</stp>
        <tr r="R81" s="17"/>
      </tp>
      <tp>
        <v>15</v>
        <stp/>
        <stp>102039535 16</stp>
        <tr r="W54" s="17"/>
      </tp>
      <tp>
        <v>45</v>
        <stp/>
        <stp>102039635 26</stp>
        <tr r="R82" s="17"/>
      </tp>
      <tp>
        <v>30</v>
        <stp/>
        <stp>102039554 10</stp>
        <tr r="X58" s="17"/>
        <tr r="K29" s="27"/>
      </tp>
      <tp>
        <v>5880</v>
        <stp/>
        <stp>102039574 12</stp>
        <tr r="O66" s="17"/>
        <tr r="M33" s="27"/>
      </tp>
      <tp>
        <v>60</v>
        <stp/>
        <stp>102039637 26</stp>
        <tr r="R84" s="17"/>
      </tp>
      <tp>
        <v>0</v>
        <stp/>
        <stp>102039717 34</stp>
        <tr r="AD106" s="17"/>
      </tp>
      <tp>
        <v>71200</v>
        <stp/>
        <stp>102039636 26</stp>
        <tr r="R83" s="17"/>
      </tp>
      <tp>
        <v>0</v>
        <stp/>
        <stp>102039716 34</stp>
        <tr r="AD105" s="17"/>
      </tp>
      <tp>
        <v>0</v>
        <stp/>
        <stp>102039519 15</stp>
        <tr r="V48" s="17"/>
      </tp>
      <tp>
        <v>15</v>
        <stp/>
        <stp>102039529 16</stp>
        <tr r="W50" s="17"/>
      </tp>
      <tp>
        <v>20</v>
        <stp/>
        <stp>102039559 11</stp>
        <tr r="Y60" s="17"/>
      </tp>
      <tp>
        <v>40</v>
        <stp/>
        <stp>102039609 24</stp>
        <tr r="P78" s="17"/>
      </tp>
      <tp>
        <v>45</v>
        <stp/>
        <stp>102039629 26</stp>
        <tr r="R80" s="17"/>
      </tp>
      <tp>
        <v>0</v>
        <stp/>
        <stp>102039518 15</stp>
        <tr r="V47" s="17"/>
      </tp>
      <tp>
        <v>0</v>
        <stp/>
        <stp>102039528 16</stp>
        <tr r="W49" s="17"/>
      </tp>
      <tp>
        <v>0</v>
        <stp/>
        <stp>102039558 11</stp>
        <tr r="Y59" s="17"/>
      </tp>
      <tp>
        <v>100380</v>
        <stp/>
        <stp>102039608 24</stp>
        <tr r="P77" s="17"/>
      </tp>
      <tp>
        <v>91840</v>
        <stp/>
        <stp>102039628 26</stp>
        <tr r="R79" s="17"/>
      </tp>
      <tp>
        <v>20</v>
        <stp/>
        <stp>102039638 27</stp>
        <tr r="S85" s="17"/>
      </tp>
      <tp>
        <v>5</v>
        <stp/>
        <stp>102039511 15</stp>
        <tr r="V46" s="17"/>
      </tp>
      <tp>
        <v>60</v>
        <stp/>
        <stp>102039551 11</stp>
        <tr r="Y56" s="17"/>
      </tp>
      <tp>
        <v>31980</v>
        <stp/>
        <stp>102039561 12</stp>
        <tr r="O62" s="17"/>
        <tr r="M31" s="27"/>
      </tp>
      <tp>
        <v>10</v>
        <stp/>
        <stp>102039571 13</stp>
        <tr r="T64" s="17"/>
      </tp>
      <tp>
        <v>0</v>
        <stp/>
        <stp>102039510 15</stp>
        <tr r="V45" s="17"/>
      </tp>
      <tp>
        <v>0</v>
        <stp/>
        <stp>102039530 17</stp>
        <tr r="AB51" s="17"/>
      </tp>
      <tp>
        <v>0</v>
        <stp/>
        <stp>102039550 11</stp>
        <tr r="Y55" s="17"/>
      </tp>
      <tp>
        <v>240</v>
        <stp/>
        <stp>102039560 12</stp>
        <tr r="O61" s="17"/>
        <tr r="E31" s="27"/>
      </tp>
      <tp>
        <v>0</v>
        <stp/>
        <stp>102039570 13</stp>
        <tr r="T63" s="17"/>
      </tp>
      <tp>
        <v>0</v>
        <stp/>
        <stp>102039533 17</stp>
        <tr r="AB53" s="17"/>
      </tp>
      <tp>
        <v>20</v>
        <stp/>
        <stp>102039553 11</stp>
        <tr r="Y57" s="17"/>
      </tp>
      <tp>
        <v>1266058051</v>
        <stp/>
        <stp>102039643 20</stp>
        <tr r="Z86" s="17"/>
      </tp>
      <tp>
        <v>0</v>
        <stp/>
        <stp>102039532 17</stp>
        <tr r="AB52" s="17"/>
      </tp>
      <tp>
        <v>0</v>
        <stp/>
        <stp>102039572 13</stp>
        <tr r="T65" s="17"/>
      </tp>
      <tp>
        <v>20</v>
        <stp/>
        <stp>102039632 27</stp>
        <tr r="S81" s="17"/>
      </tp>
      <tp>
        <v>0</v>
        <stp/>
        <stp>102039535 17</stp>
        <tr r="AB54" s="17"/>
      </tp>
      <tp>
        <v>3160</v>
        <stp/>
        <stp>102039635 27</stp>
        <tr r="S82" s="17"/>
      </tp>
      <tp>
        <v>0</v>
        <stp/>
        <stp>102039705 34</stp>
        <tr r="AD104" s="17"/>
      </tp>
      <tp>
        <v>20</v>
        <stp/>
        <stp>102039554 11</stp>
        <tr r="Y58" s="17"/>
      </tp>
      <tp>
        <v>15</v>
        <stp/>
        <stp>102039574 13</stp>
        <tr r="T66" s="17"/>
      </tp>
      <tp>
        <v>0</v>
        <stp/>
        <stp>102039704 34</stp>
        <tr r="AD103" s="17"/>
      </tp>
      <tp>
        <v>1900</v>
        <stp/>
        <stp>102039637 27</stp>
        <tr r="S84" s="17"/>
      </tp>
      <tp>
        <v>0</v>
        <stp/>
        <stp>102039647 20</stp>
        <tr r="Z180" s="17"/>
      </tp>
      <tp>
        <v>40</v>
        <stp/>
        <stp>102039636 27</stp>
        <tr r="S83" s="17"/>
      </tp>
      <tp>
        <v>1265988436</v>
        <stp/>
        <stp>102039646 20</stp>
        <tr r="Z179" s="17"/>
      </tp>
      <tp>
        <v>0</v>
        <stp/>
        <stp>102039519 16</stp>
        <tr r="W48" s="17"/>
      </tp>
      <tp>
        <v>15</v>
        <stp/>
        <stp>102039529 15</stp>
        <tr r="V50" s="17"/>
      </tp>
      <tp>
        <v>700</v>
        <stp/>
        <stp>102039559 12</stp>
        <tr r="O60" s="17"/>
        <tr r="M30" s="27"/>
      </tp>
      <tp>
        <v>2460</v>
        <stp/>
        <stp>102039609 27</stp>
        <tr r="S78" s="17"/>
      </tp>
      <tp>
        <v>800</v>
        <stp/>
        <stp>102039629 25</stp>
        <tr r="Q80" s="17"/>
      </tp>
      <tp>
        <v>1266058051</v>
        <stp/>
        <stp>102039679 20</stp>
        <tr r="Z98" s="17"/>
      </tp>
      <tp>
        <v>0</v>
        <stp/>
        <stp>102039739 34</stp>
        <tr r="AD122" s="17"/>
      </tp>
      <tp>
        <v>0</v>
        <stp/>
        <stp>102039518 16</stp>
        <tr r="W47" s="17"/>
      </tp>
      <tp>
        <v>0</v>
        <stp/>
        <stp>102039528 15</stp>
        <tr r="V49" s="17"/>
      </tp>
      <tp>
        <v>0</v>
        <stp/>
        <stp>102039558 12</stp>
        <tr r="O59" s="17"/>
        <tr r="E30" s="27"/>
      </tp>
      <tp>
        <v>20</v>
        <stp/>
        <stp>102039608 27</stp>
        <tr r="S77" s="17"/>
      </tp>
      <tp>
        <v>900</v>
        <stp/>
        <stp>102039628 25</stp>
        <tr r="Q79" s="17"/>
      </tp>
      <tp>
        <v>60540</v>
        <stp/>
        <stp>102039638 24</stp>
        <tr r="P85" s="17"/>
      </tp>
      <tp>
        <v>1266058051</v>
        <stp/>
        <stp>102039678 20</stp>
        <tr r="Z97" s="17"/>
      </tp>
      <tp>
        <v>0</v>
        <stp/>
        <stp>102039738 34</stp>
        <tr r="AD121" s="17"/>
      </tp>
      <tp>
        <v>5</v>
        <stp/>
        <stp>102039511 16</stp>
        <tr r="W46" s="17"/>
      </tp>
      <tp>
        <v>740</v>
        <stp/>
        <stp>102039551 12</stp>
        <tr r="O56" s="17"/>
        <tr r="M28" s="27"/>
      </tp>
      <tp>
        <v>20</v>
        <stp/>
        <stp>102039561 11</stp>
        <tr r="Y62" s="17"/>
      </tp>
      <tp>
        <v>40</v>
        <stp/>
        <stp>102039571 10</stp>
        <tr r="K32" s="27"/>
        <tr r="X64" s="17"/>
      </tp>
      <tp>
        <v>1266058051</v>
        <stp/>
        <stp>102039671 20</stp>
        <tr r="Z92" s="17"/>
      </tp>
      <tp>
        <v>0</v>
        <stp/>
        <stp>102039731 34</stp>
        <tr r="AD115" s="17"/>
      </tp>
      <tp>
        <v>0</v>
        <stp/>
        <stp>102039510 16</stp>
        <tr r="W45" s="17"/>
      </tp>
      <tp>
        <v>242480</v>
        <stp/>
        <stp>102039530 14</stp>
        <tr r="H26" s="27"/>
        <tr r="U51" s="17"/>
      </tp>
      <tp>
        <v>0</v>
        <stp/>
        <stp>102039550 12</stp>
        <tr r="O55" s="17"/>
        <tr r="E28" s="27"/>
      </tp>
      <tp>
        <v>20</v>
        <stp/>
        <stp>102039560 11</stp>
        <tr r="Y61" s="17"/>
      </tp>
      <tp>
        <v>162690</v>
        <stp/>
        <stp>102039570 10</stp>
        <tr r="X63" s="17"/>
        <tr r="G32" s="27"/>
      </tp>
      <tp>
        <v>1266058038</v>
        <stp/>
        <stp>102039670 20</stp>
        <tr r="Z91" s="17"/>
      </tp>
      <tp>
        <v>298465</v>
        <stp/>
        <stp>102039533 14</stp>
        <tr r="H27" s="27"/>
        <tr r="U53" s="17"/>
      </tp>
      <tp>
        <v>0</v>
        <stp/>
        <stp>102039553 12</stp>
        <tr r="O57" s="17"/>
        <tr r="E29" s="27"/>
      </tp>
      <tp>
        <v>1266058050</v>
        <stp/>
        <stp>102039673 20</stp>
        <tr r="Z94" s="17"/>
      </tp>
      <tp>
        <v>0</v>
        <stp/>
        <stp>102039733 34</stp>
        <tr r="AD116" s="17"/>
      </tp>
      <tp>
        <v>95</v>
        <stp/>
        <stp>102039532 14</stp>
        <tr r="J26" s="27"/>
        <tr r="U52" s="17"/>
      </tp>
      <tp>
        <v>185700</v>
        <stp/>
        <stp>102039572 10</stp>
        <tr r="X65" s="17"/>
        <tr r="G33" s="27"/>
      </tp>
      <tp>
        <v>80810</v>
        <stp/>
        <stp>102039632 24</stp>
        <tr r="P81" s="17"/>
      </tp>
      <tp>
        <v>1266058041</v>
        <stp/>
        <stp>102039672 20</stp>
        <tr r="Z93" s="17"/>
      </tp>
      <tp>
        <v>195</v>
        <stp/>
        <stp>102039535 14</stp>
        <tr r="J27" s="27"/>
        <tr r="U54" s="17"/>
      </tp>
      <tp>
        <v>40</v>
        <stp/>
        <stp>102039635 24</stp>
        <tr r="P82" s="17"/>
      </tp>
      <tp>
        <v>1266058051</v>
        <stp/>
        <stp>102039675 20</stp>
        <tr r="Z96" s="17"/>
      </tp>
      <tp>
        <v>0</v>
        <stp/>
        <stp>102039735 34</stp>
        <tr r="AD118" s="17"/>
      </tp>
      <tp>
        <v>40</v>
        <stp/>
        <stp>102039554 12</stp>
        <tr r="O58" s="17"/>
        <tr r="M29" s="27"/>
      </tp>
      <tp>
        <v>25</v>
        <stp/>
        <stp>102039574 10</stp>
        <tr r="X66" s="17"/>
        <tr r="K33" s="27"/>
      </tp>
      <tp>
        <v>1266058049</v>
        <stp/>
        <stp>102039674 20</stp>
        <tr r="Z95" s="17"/>
      </tp>
      <tp>
        <v>0</v>
        <stp/>
        <stp>102039734 34</stp>
        <tr r="AD117" s="17"/>
      </tp>
      <tp>
        <v>55</v>
        <stp/>
        <stp>102039637 24</stp>
        <tr r="P84" s="17"/>
      </tp>
      <tp>
        <v>0</v>
        <stp/>
        <stp>102039737 34</stp>
        <tr r="AD120" s="17"/>
      </tp>
      <tp>
        <v>70765</v>
        <stp/>
        <stp>102039636 24</stp>
        <tr r="P83" s="17"/>
      </tp>
      <tp>
        <v>0</v>
        <stp/>
        <stp>102039736 34</stp>
        <tr r="AD119" s="17"/>
      </tp>
      <tp>
        <v>0</v>
        <stp/>
        <stp>102039519 17</stp>
        <tr r="AB48" s="17"/>
      </tp>
      <tp>
        <v>230</v>
        <stp/>
        <stp>102039529 14</stp>
        <tr r="J25" s="27"/>
        <tr r="U50" s="17"/>
      </tp>
      <tp>
        <v>10</v>
        <stp/>
        <stp>102039559 13</stp>
        <tr r="T60" s="17"/>
      </tp>
      <tp>
        <v>50</v>
        <stp/>
        <stp>102039609 26</stp>
        <tr r="R78" s="17"/>
      </tp>
      <tp>
        <v>40</v>
        <stp/>
        <stp>102039629 24</stp>
        <tr r="P80" s="17"/>
      </tp>
      <tp>
        <v>0</v>
        <stp/>
        <stp>102039729 34</stp>
        <tr r="AD114" s="17"/>
      </tp>
      <tp>
        <v>0</v>
        <stp/>
        <stp>102039518 17</stp>
        <tr r="AB47" s="17"/>
      </tp>
      <tp>
        <v>316000</v>
        <stp/>
        <stp>102039528 14</stp>
        <tr r="H25" s="27"/>
        <tr r="U49" s="17"/>
      </tp>
      <tp>
        <v>0</v>
        <stp/>
        <stp>102039558 13</stp>
        <tr r="T59" s="17"/>
      </tp>
      <tp>
        <v>102150</v>
        <stp/>
        <stp>102039608 26</stp>
        <tr r="R77" s="17"/>
      </tp>
      <tp>
        <v>90320</v>
        <stp/>
        <stp>102039628 24</stp>
        <tr r="P79" s="17"/>
      </tp>
      <tp>
        <v>20</v>
        <stp/>
        <stp>102039638 25</stp>
        <tr r="Q85" s="17"/>
      </tp>
      <tp>
        <v>0</v>
        <stp/>
        <stp>102039728 34</stp>
        <tr r="AD113" s="17"/>
      </tp>
      <tp>
        <v>0</v>
        <stp/>
        <stp>102039511 17</stp>
        <tr r="AB46" s="17"/>
      </tp>
      <tp>
        <v>50</v>
        <stp/>
        <stp>102039551 13</stp>
        <tr r="T56" s="17"/>
      </tp>
      <tp>
        <v>30</v>
        <stp/>
        <stp>102039561 10</stp>
        <tr r="X62" s="17"/>
        <tr r="K31" s="27"/>
      </tp>
      <tp>
        <v>180</v>
        <stp/>
        <stp>102039571 11</stp>
        <tr r="Y64" s="17"/>
      </tp>
      <tp>
        <v>0</v>
        <stp/>
        <stp>102039721 34</stp>
        <tr r="AD110" s="17"/>
      </tp>
      <tp>
        <v>0</v>
        <stp/>
        <stp>102039510 17</stp>
        <tr r="AB45" s="17"/>
      </tp>
      <tp>
        <v>0</v>
        <stp/>
        <stp>102039530 15</stp>
        <tr r="V51" s="17"/>
      </tp>
      <tp>
        <v>0</v>
        <stp/>
        <stp>102039550 13</stp>
        <tr r="T55" s="17"/>
      </tp>
      <tp>
        <v>180000</v>
        <stp/>
        <stp>102039560 10</stp>
        <tr r="X61" s="17"/>
        <tr r="G31" s="27"/>
      </tp>
      <tp>
        <v>20</v>
        <stp/>
        <stp>102039570 11</stp>
        <tr r="Y63" s="17"/>
      </tp>
      <tp>
        <v>0</v>
        <stp/>
        <stp>102039720 34</stp>
        <tr r="AD109" s="17"/>
      </tp>
      <tp>
        <v>0</v>
        <stp/>
        <stp>102039533 15</stp>
        <tr r="V53" s="17"/>
      </tp>
      <tp>
        <v>0</v>
        <stp/>
        <stp>102039553 13</stp>
        <tr r="T57" s="17"/>
      </tp>
      <tp>
        <v>1266058051</v>
        <stp/>
        <stp>102039663 20</stp>
        <tr r="Z88" s="17"/>
      </tp>
      <tp>
        <v>40</v>
        <stp/>
        <stp>102039532 15</stp>
        <tr r="V52" s="17"/>
      </tp>
      <tp>
        <v>20</v>
        <stp/>
        <stp>102039572 11</stp>
        <tr r="Y65" s="17"/>
      </tp>
      <tp>
        <v>160</v>
        <stp/>
        <stp>102039632 25</stp>
        <tr r="Q81" s="17"/>
      </tp>
      <tp>
        <v>1266058037</v>
        <stp/>
        <stp>102039662 20</stp>
        <tr r="Z87" s="17"/>
      </tp>
      <tp>
        <v>50</v>
        <stp/>
        <stp>102039535 15</stp>
        <tr r="V54" s="17"/>
      </tp>
      <tp>
        <v>1220</v>
        <stp/>
        <stp>102039635 25</stp>
        <tr r="Q82" s="17"/>
      </tp>
      <tp>
        <v>1266058051</v>
        <stp/>
        <stp>102039665 20</stp>
        <tr r="Z90" s="17"/>
      </tp>
      <tp>
        <v>30</v>
        <stp/>
        <stp>102039554 13</stp>
        <tr r="T58" s="17"/>
      </tp>
      <tp>
        <v>80</v>
        <stp/>
        <stp>102039574 11</stp>
        <tr r="Y66" s="17"/>
      </tp>
      <tp>
        <v>1266058021</v>
        <stp/>
        <stp>102039664 20</stp>
        <tr r="Z89" s="17"/>
      </tp>
      <tp>
        <v>6400</v>
        <stp/>
        <stp>102039637 25</stp>
        <tr r="Q84" s="17"/>
      </tp>
      <tp>
        <v>0</v>
        <stp/>
        <stp>102039727 34</stp>
        <tr r="AD112" s="17"/>
      </tp>
      <tp>
        <v>100</v>
        <stp/>
        <stp>102039636 25</stp>
        <tr r="Q83" s="17"/>
      </tp>
      <tp>
        <v>0</v>
        <stp/>
        <stp>102039726 34</stp>
        <tr r="AD111" s="17"/>
      </tp>
      <tp>
        <v>165</v>
        <stp/>
        <stp>102039519 10</stp>
        <tr r="X48" s="17"/>
        <tr r="K24" s="27"/>
      </tp>
      <tp>
        <v>15</v>
        <stp/>
        <stp>102039529 13</stp>
        <tr r="T50" s="17"/>
      </tp>
      <tp>
        <v>125</v>
        <stp/>
        <stp>102039559 14</stp>
        <tr r="J30" s="27"/>
        <tr r="U60" s="17"/>
      </tp>
      <tp>
        <v>0</v>
        <stp/>
        <stp>102039599 18</stp>
        <tr r="AA178" s="17"/>
      </tp>
      <tp>
        <v>6495</v>
        <stp/>
        <stp>102039679 26</stp>
        <tr r="R98" s="17"/>
      </tp>
      <tp>
        <v>0</v>
        <stp/>
        <stp>102039759 34</stp>
        <tr r="AD128" s="17"/>
      </tp>
      <tp>
        <v>0</v>
        <stp/>
        <stp>102039518 10</stp>
        <tr r="X47" s="17"/>
        <tr r="G24" s="27"/>
      </tp>
      <tp>
        <v>0</v>
        <stp/>
        <stp>102039528 13</stp>
        <tr r="T49" s="17"/>
      </tp>
      <tp>
        <v>272830</v>
        <stp/>
        <stp>102039558 14</stp>
        <tr r="H30" s="27"/>
        <tr r="U59" s="17"/>
      </tp>
      <tp>
        <v>7440</v>
        <stp/>
        <stp>102039678 26</stp>
        <tr r="R97" s="17"/>
      </tp>
      <tp>
        <v>0</v>
        <stp/>
        <stp>102039758 34</stp>
        <tr r="AD127" s="17"/>
      </tp>
      <tp>
        <v>5</v>
        <stp/>
        <stp>102039511 10</stp>
        <tr r="X46" s="17"/>
        <tr r="K23" s="27"/>
      </tp>
      <tp>
        <v>125</v>
        <stp/>
        <stp>102039551 14</stp>
        <tr r="J28" s="27"/>
        <tr r="U56" s="17"/>
      </tp>
      <tp>
        <v>0</v>
        <stp/>
        <stp>102039561 17</stp>
        <tr r="AB62" s="17"/>
      </tp>
      <tp>
        <v>10</v>
        <stp/>
        <stp>102039571 16</stp>
        <tr r="W64" s="17"/>
      </tp>
      <tp>
        <v>440</v>
        <stp/>
        <stp>102039671 26</stp>
        <tr r="R92" s="17"/>
      </tp>
      <tp>
        <v>0</v>
        <stp/>
        <stp>102039510 10</stp>
        <tr r="X45" s="17"/>
        <tr r="G23" s="27"/>
      </tp>
      <tp>
        <v>0</v>
        <stp/>
        <stp>102039530 12</stp>
        <tr r="O51" s="17"/>
        <tr r="E26" s="27"/>
      </tp>
      <tp>
        <v>289825</v>
        <stp/>
        <stp>102039550 14</stp>
        <tr r="H28" s="27"/>
        <tr r="U55" s="17"/>
      </tp>
      <tp>
        <v>0</v>
        <stp/>
        <stp>102039560 17</stp>
        <tr r="AB61" s="17"/>
      </tp>
      <tp>
        <v>0</v>
        <stp/>
        <stp>102039570 16</stp>
        <tr r="W63" s="17"/>
      </tp>
      <tp>
        <v>31480</v>
        <stp/>
        <stp>102039670 26</stp>
        <tr r="R91" s="17"/>
      </tp>
      <tp>
        <v>0</v>
        <stp/>
        <stp>102039533 12</stp>
        <tr r="O53" s="17"/>
        <tr r="E27" s="27"/>
      </tp>
      <tp>
        <v>188280</v>
        <stp/>
        <stp>102039553 14</stp>
        <tr r="H29" s="27"/>
        <tr r="U57" s="17"/>
      </tp>
      <tp>
        <v>0</v>
        <stp/>
        <stp>102039593 18</stp>
        <tr r="AA74" s="17"/>
      </tp>
      <tp>
        <v>1360</v>
        <stp/>
        <stp>102039643 25</stp>
        <tr r="Q86" s="17"/>
      </tp>
      <tp>
        <v>720</v>
        <stp/>
        <stp>102039663 27</stp>
        <tr r="S88" s="17"/>
      </tp>
      <tp>
        <v>1075</v>
        <stp/>
        <stp>102039673 26</stp>
        <tr r="R94" s="17"/>
      </tp>
      <tp>
        <v>8420</v>
        <stp/>
        <stp>102039532 12</stp>
        <tr r="O52" s="17"/>
        <tr r="M26" s="27"/>
      </tp>
      <tp>
        <v>0</v>
        <stp/>
        <stp>102039572 16</stp>
        <tr r="W65" s="17"/>
      </tp>
      <tp>
        <v>0</v>
        <stp/>
        <stp>102039592 18</stp>
        <tr r="AA73" s="17"/>
      </tp>
      <tp>
        <v>40</v>
        <stp/>
        <stp>102039662 27</stp>
        <tr r="S87" s="17"/>
      </tp>
      <tp>
        <v>22090</v>
        <stp/>
        <stp>102039672 26</stp>
        <tr r="R93" s="17"/>
      </tp>
      <tp>
        <v>40</v>
        <stp/>
        <stp>102039535 12</stp>
        <tr r="M27" s="27"/>
        <tr r="O54" s="17"/>
      </tp>
      <tp>
        <v>0</v>
        <stp/>
        <stp>102039595 18</stp>
        <tr r="AA76" s="17"/>
      </tp>
      <tp>
        <v>4100</v>
        <stp/>
        <stp>102039665 27</stp>
        <tr r="S90" s="17"/>
      </tp>
      <tp>
        <v>2810</v>
        <stp/>
        <stp>102039675 26</stp>
        <tr r="R96" s="17"/>
      </tp>
      <tp>
        <v>0</v>
        <stp/>
        <stp>102039755 34</stp>
        <tr r="AD126" s="17"/>
      </tp>
      <tp>
        <v>130</v>
        <stp/>
        <stp>102039554 14</stp>
        <tr r="J29" s="27"/>
        <tr r="U58" s="17"/>
      </tp>
      <tp>
        <v>15</v>
        <stp/>
        <stp>102039574 16</stp>
        <tr r="W66" s="17"/>
      </tp>
      <tp>
        <v>0</v>
        <stp/>
        <stp>102039594 18</stp>
        <tr r="AA75" s="17"/>
      </tp>
      <tp>
        <v>80</v>
        <stp/>
        <stp>102039664 27</stp>
        <tr r="S89" s="17"/>
      </tp>
      <tp>
        <v>13810</v>
        <stp/>
        <stp>102039674 26</stp>
        <tr r="R95" s="17"/>
      </tp>
      <tp>
        <v>0</v>
        <stp/>
        <stp>102039754 34</stp>
        <tr r="AD125" s="17"/>
      </tp>
      <tp>
        <v>0</v>
        <stp/>
        <stp>102039597 18</stp>
        <tr r="AA177" s="17"/>
      </tp>
      <tp>
        <v>100</v>
        <stp/>
        <stp>102039647 25</stp>
        <tr r="Q180" s="17"/>
      </tp>
      <tp>
        <v>0</v>
        <stp/>
        <stp>102039646 25</stp>
        <tr r="Q179" s="17"/>
      </tp>
      <tp>
        <v>20</v>
        <stp/>
        <stp>102039519 11</stp>
        <tr r="Y48" s="17"/>
      </tp>
      <tp>
        <v>20</v>
        <stp/>
        <stp>102039529 12</stp>
        <tr r="O50" s="17"/>
        <tr r="M25" s="27"/>
      </tp>
      <tp>
        <v>45</v>
        <stp/>
        <stp>102039559 15</stp>
        <tr r="V60" s="17"/>
      </tp>
      <tp>
        <v>0</v>
        <stp/>
        <stp>102039589 18</stp>
        <tr r="AA72" s="17"/>
      </tp>
      <tp>
        <v>1266058048</v>
        <stp/>
        <stp>102039609 20</stp>
        <tr r="Z78" s="17"/>
      </tp>
      <tp>
        <v>80</v>
        <stp/>
        <stp>102039679 27</stp>
        <tr r="S98" s="17"/>
      </tp>
      <tp>
        <v>0</v>
        <stp/>
        <stp>102039518 11</stp>
        <tr r="Y47" s="17"/>
      </tp>
      <tp>
        <v>0</v>
        <stp/>
        <stp>102039528 12</stp>
        <tr r="O49" s="17"/>
        <tr r="E25" s="27"/>
      </tp>
      <tp>
        <v>0</v>
        <stp/>
        <stp>102039558 15</stp>
        <tr r="V59" s="17"/>
      </tp>
      <tp>
        <v>0</v>
        <stp/>
        <stp>102039588 18</stp>
        <tr r="AA71" s="17"/>
      </tp>
      <tp>
        <v>1266056457</v>
        <stp/>
        <stp>102039608 20</stp>
        <tr r="Z77" s="17"/>
      </tp>
      <tp>
        <v>340</v>
        <stp/>
        <stp>102039678 27</stp>
        <tr r="S97" s="17"/>
      </tp>
      <tp>
        <v>120</v>
        <stp/>
        <stp>102039511 11</stp>
        <tr r="Y46" s="17"/>
      </tp>
      <tp>
        <v>50</v>
        <stp/>
        <stp>102039551 15</stp>
        <tr r="V56" s="17"/>
      </tp>
      <tp>
        <v>10</v>
        <stp/>
        <stp>102039561 16</stp>
        <tr r="W62" s="17"/>
      </tp>
      <tp>
        <v>0</v>
        <stp/>
        <stp>102039571 17</stp>
        <tr r="AB64" s="17"/>
      </tp>
      <tp>
        <v>140</v>
        <stp/>
        <stp>102039671 27</stp>
        <tr r="S92" s="17"/>
      </tp>
      <tp>
        <v>0</v>
        <stp/>
        <stp>102039741 34</stp>
        <tr r="AD124" s="17"/>
      </tp>
      <tp>
        <v>0</v>
        <stp/>
        <stp>102039510 11</stp>
        <tr r="Y45" s="17"/>
      </tp>
      <tp>
        <v>0</v>
        <stp/>
        <stp>102039530 13</stp>
        <tr r="T51" s="17"/>
      </tp>
      <tp>
        <v>0</v>
        <stp/>
        <stp>102039550 15</stp>
        <tr r="V55" s="17"/>
      </tp>
      <tp>
        <v>180000</v>
        <stp/>
        <stp>102039560 16</stp>
        <tr r="W61" s="17"/>
      </tp>
      <tp>
        <v>0</v>
        <stp/>
        <stp>102039570 17</stp>
        <tr r="AB63" s="17"/>
      </tp>
      <tp>
        <v>60</v>
        <stp/>
        <stp>102039670 27</stp>
        <tr r="S91" s="17"/>
      </tp>
      <tp>
        <v>0</v>
        <stp/>
        <stp>102039740 34</stp>
        <tr r="AD123" s="17"/>
      </tp>
      <tp>
        <v>0</v>
        <stp/>
        <stp>102039533 13</stp>
        <tr r="T53" s="17"/>
      </tp>
      <tp>
        <v>0</v>
        <stp/>
        <stp>102039553 15</stp>
        <tr r="V57" s="17"/>
      </tp>
      <tp>
        <v>0</v>
        <stp/>
        <stp>102039583 18</stp>
        <tr r="AA68" s="17"/>
      </tp>
      <tp>
        <v>70</v>
        <stp/>
        <stp>102039643 24</stp>
        <tr r="P86" s="17"/>
      </tp>
      <tp>
        <v>110</v>
        <stp/>
        <stp>102039663 26</stp>
        <tr r="R88" s="17"/>
      </tp>
      <tp>
        <v>80</v>
        <stp/>
        <stp>102039673 27</stp>
        <tr r="S94" s="17"/>
      </tp>
      <tp>
        <v>40</v>
        <stp/>
        <stp>102039532 13</stp>
        <tr r="T52" s="17"/>
      </tp>
      <tp>
        <v>0</v>
        <stp/>
        <stp>102039572 17</stp>
        <tr r="AB65" s="17"/>
      </tp>
      <tp>
        <v>0</v>
        <stp/>
        <stp>102039582 18</stp>
        <tr r="AA67" s="17"/>
      </tp>
      <tp>
        <v>51200</v>
        <stp/>
        <stp>102039662 26</stp>
        <tr r="R87" s="17"/>
      </tp>
      <tp>
        <v>20</v>
        <stp/>
        <stp>102039672 27</stp>
        <tr r="S93" s="17"/>
      </tp>
      <tp>
        <v>50</v>
        <stp/>
        <stp>102039535 13</stp>
        <tr r="T54" s="17"/>
      </tp>
      <tp>
        <v>0</v>
        <stp/>
        <stp>102039585 18</stp>
        <tr r="AA70" s="17"/>
      </tp>
      <tp>
        <v>205</v>
        <stp/>
        <stp>102039665 26</stp>
        <tr r="R90" s="17"/>
      </tp>
      <tp>
        <v>40</v>
        <stp/>
        <stp>102039675 27</stp>
        <tr r="S96" s="17"/>
      </tp>
      <tp>
        <v>30</v>
        <stp/>
        <stp>102039554 15</stp>
        <tr r="V58" s="17"/>
      </tp>
      <tp>
        <v>0</v>
        <stp/>
        <stp>102039574 17</stp>
        <tr r="AB66" s="17"/>
      </tp>
      <tp>
        <v>0</v>
        <stp/>
        <stp>102039584 18</stp>
        <tr r="AA69" s="17"/>
      </tp>
      <tp>
        <v>41355</v>
        <stp/>
        <stp>102039664 26</stp>
        <tr r="R89" s="17"/>
      </tp>
      <tp>
        <v>140</v>
        <stp/>
        <stp>102039674 27</stp>
        <tr r="S95" s="17"/>
      </tp>
      <tp>
        <v>401925</v>
        <stp/>
        <stp>102039647 24</stp>
        <tr r="P180" s="17"/>
      </tp>
      <tp>
        <v>0</v>
        <stp/>
        <stp>102039646 24</stp>
        <tr r="P179" s="17"/>
      </tp>
      <tp>
        <v>0</v>
        <stp/>
        <stp>102039519 12</stp>
        <tr r="O48" s="17"/>
        <tr r="M24" s="27"/>
      </tp>
      <tp>
        <v>20</v>
        <stp/>
        <stp>102039529 11</stp>
        <tr r="Y50" s="17"/>
      </tp>
      <tp>
        <v>10</v>
        <stp/>
        <stp>102039559 16</stp>
        <tr r="W60" s="17"/>
      </tp>
      <tp>
        <v>6465</v>
        <stp/>
        <stp>102039679 24</stp>
        <tr r="P98" s="17"/>
      </tp>
      <tp>
        <v>0</v>
        <stp/>
        <stp>102039518 12</stp>
        <tr r="E24" s="27"/>
        <tr r="O47" s="17"/>
      </tp>
      <tp>
        <v>0</v>
        <stp/>
        <stp>102039528 11</stp>
        <tr r="Y49" s="17"/>
      </tp>
      <tp>
        <v>0</v>
        <stp/>
        <stp>102039558 16</stp>
        <tr r="W59" s="17"/>
      </tp>
      <tp>
        <v>1266057865</v>
        <stp/>
        <stp>102039638 20</stp>
        <tr r="Z85" s="17"/>
      </tp>
      <tp>
        <v>7400</v>
        <stp/>
        <stp>102039678 24</stp>
        <tr r="P97" s="17"/>
      </tp>
      <tp>
        <v>0</v>
        <stp/>
        <stp>102039778 34</stp>
        <tr r="AD139" s="17"/>
      </tp>
      <tp>
        <v>120</v>
        <stp/>
        <stp>102039511 12</stp>
        <tr r="O46" s="17"/>
        <tr r="M23" s="27"/>
      </tp>
      <tp>
        <v>25</v>
        <stp/>
        <stp>102039551 16</stp>
        <tr r="W56" s="17"/>
      </tp>
      <tp>
        <v>45</v>
        <stp/>
        <stp>102039561 15</stp>
        <tr r="V62" s="17"/>
      </tp>
      <tp>
        <v>110</v>
        <stp/>
        <stp>102039571 14</stp>
        <tr r="J32" s="27"/>
        <tr r="U64" s="17"/>
      </tp>
      <tp>
        <v>435</v>
        <stp/>
        <stp>102039671 24</stp>
        <tr r="P92" s="17"/>
      </tp>
      <tp>
        <v>0</v>
        <stp/>
        <stp>102039771 34</stp>
        <tr r="AD135" s="17"/>
      </tp>
      <tp>
        <v>0</v>
        <stp/>
        <stp>102039510 12</stp>
        <tr r="O45" s="17"/>
        <tr r="E23" s="27"/>
      </tp>
      <tp>
        <v>242480</v>
        <stp/>
        <stp>102039530 10</stp>
        <tr r="X51" s="17"/>
        <tr r="G26" s="27"/>
      </tp>
      <tp>
        <v>0</v>
        <stp/>
        <stp>102039550 16</stp>
        <tr r="W55" s="17"/>
      </tp>
      <tp>
        <v>193535</v>
        <stp/>
        <stp>102039560 15</stp>
        <tr r="V61" s="17"/>
      </tp>
      <tp>
        <v>162690</v>
        <stp/>
        <stp>102039570 14</stp>
        <tr r="H32" s="27"/>
        <tr r="U63" s="17"/>
      </tp>
      <tp>
        <v>31285</v>
        <stp/>
        <stp>102039670 24</stp>
        <tr r="P91" s="17"/>
      </tp>
      <tp>
        <v>0</v>
        <stp/>
        <stp>102039533 10</stp>
        <tr r="X53" s="17"/>
        <tr r="G27" s="27"/>
      </tp>
      <tp>
        <v>0</v>
        <stp/>
        <stp>102039553 16</stp>
        <tr r="W57" s="17"/>
      </tp>
      <tp>
        <v>4700</v>
        <stp/>
        <stp>102039643 27</stp>
        <tr r="S86" s="17"/>
      </tp>
      <tp>
        <v>1960</v>
        <stp/>
        <stp>102039663 25</stp>
        <tr r="Q88" s="17"/>
      </tp>
      <tp>
        <v>1070</v>
        <stp/>
        <stp>102039673 24</stp>
        <tr r="P94" s="17"/>
      </tp>
      <tp>
        <v>0</v>
        <stp/>
        <stp>102039773 34</stp>
        <tr r="AD136" s="17"/>
      </tp>
      <tp>
        <v>25</v>
        <stp/>
        <stp>102039532 10</stp>
        <tr r="K26" s="27"/>
        <tr r="X52" s="17"/>
      </tp>
      <tp>
        <v>185700</v>
        <stp/>
        <stp>102039572 14</stp>
        <tr r="H33" s="27"/>
        <tr r="U65" s="17"/>
      </tp>
      <tp>
        <v>1266057941</v>
        <stp/>
        <stp>102039632 20</stp>
        <tr r="Z81" s="17"/>
      </tp>
      <tp>
        <v>80</v>
        <stp/>
        <stp>102039662 25</stp>
        <tr r="Q87" s="17"/>
      </tp>
      <tp>
        <v>21950</v>
        <stp/>
        <stp>102039672 24</stp>
        <tr r="P93" s="17"/>
      </tp>
      <tp>
        <v>15</v>
        <stp/>
        <stp>102039535 10</stp>
        <tr r="X54" s="17"/>
        <tr r="K27" s="27"/>
      </tp>
      <tp>
        <v>1266058047</v>
        <stp/>
        <stp>102039635 20</stp>
        <tr r="Z82" s="17"/>
      </tp>
      <tp>
        <v>720</v>
        <stp/>
        <stp>102039665 25</stp>
        <tr r="Q90" s="17"/>
      </tp>
      <tp>
        <v>2800</v>
        <stp/>
        <stp>102039675 24</stp>
        <tr r="P96" s="17"/>
      </tp>
      <tp>
        <v>30</v>
        <stp/>
        <stp>102039554 16</stp>
        <tr r="W58" s="17"/>
      </tp>
      <tp>
        <v>115</v>
        <stp/>
        <stp>102039574 14</stp>
        <tr r="J33" s="27"/>
        <tr r="U66" s="17"/>
      </tp>
      <tp>
        <v>80</v>
        <stp/>
        <stp>102039664 25</stp>
        <tr r="Q89" s="17"/>
      </tp>
      <tp>
        <v>13715</v>
        <stp/>
        <stp>102039674 24</stp>
        <tr r="P95" s="17"/>
      </tp>
      <tp>
        <v>1266058052</v>
        <stp/>
        <stp>102039637 20</stp>
        <tr r="Z84" s="17"/>
      </tp>
      <tp>
        <v>100</v>
        <stp/>
        <stp>102039647 27</stp>
        <tr r="S180" s="17"/>
      </tp>
      <tp>
        <v>0</v>
        <stp/>
        <stp>102039777 34</stp>
        <tr r="AD138" s="17"/>
      </tp>
      <tp>
        <v>1266057833</v>
        <stp/>
        <stp>102039636 20</stp>
        <tr r="Z83" s="17"/>
      </tp>
      <tp>
        <v>460</v>
        <stp/>
        <stp>102039646 27</stp>
        <tr r="S179" s="17"/>
      </tp>
      <tp>
        <v>0</v>
        <stp/>
        <stp>102039776 34</stp>
        <tr r="AD137" s="17"/>
      </tp>
      <tp>
        <v>0</v>
        <stp/>
        <stp>102039519 13</stp>
        <tr r="T48" s="17"/>
      </tp>
      <tp>
        <v>15</v>
        <stp/>
        <stp>102039529 10</stp>
        <tr r="X50" s="17"/>
        <tr r="K25" s="27"/>
      </tp>
      <tp>
        <v>0</v>
        <stp/>
        <stp>102039559 17</stp>
        <tr r="AB60" s="17"/>
      </tp>
      <tp>
        <v>1266058052</v>
        <stp/>
        <stp>102039629 20</stp>
        <tr r="Z80" s="17"/>
      </tp>
      <tp>
        <v>40</v>
        <stp/>
        <stp>102039679 25</stp>
        <tr r="Q98" s="17"/>
      </tp>
      <tp>
        <v>0</v>
        <stp/>
        <stp>102039518 13</stp>
        <tr r="T47" s="17"/>
      </tp>
      <tp>
        <v>0</v>
        <stp/>
        <stp>102039528 10</stp>
        <tr r="X49" s="17"/>
        <tr r="G25" s="27"/>
      </tp>
      <tp>
        <v>0</v>
        <stp/>
        <stp>102039558 17</stp>
        <tr r="AB59" s="17"/>
      </tp>
      <tp>
        <v>1266056602</v>
        <stp/>
        <stp>102039628 20</stp>
        <tr r="Z79" s="17"/>
      </tp>
      <tp>
        <v>3540</v>
        <stp/>
        <stp>102039678 25</stp>
        <tr r="Q97" s="17"/>
      </tp>
      <tp>
        <v>5</v>
        <stp/>
        <stp>102039511 13</stp>
        <tr r="T46" s="17"/>
      </tp>
      <tp>
        <v>0</v>
        <stp/>
        <stp>102039551 17</stp>
        <tr r="AB56" s="17"/>
      </tp>
      <tp>
        <v>120</v>
        <stp/>
        <stp>102039561 14</stp>
        <tr r="J31" s="27"/>
        <tr r="U62" s="17"/>
      </tp>
      <tp>
        <v>80</v>
        <stp/>
        <stp>102039571 15</stp>
        <tr r="V64" s="17"/>
      </tp>
      <tp>
        <v>1780</v>
        <stp/>
        <stp>102039671 25</stp>
        <tr r="Q92" s="17"/>
      </tp>
      <tp>
        <v>0</v>
        <stp/>
        <stp>102039761 34</stp>
        <tr r="AD130" s="17"/>
      </tp>
      <tp>
        <v>0</v>
        <stp/>
        <stp>102039510 13</stp>
        <tr r="T45" s="17"/>
      </tp>
      <tp>
        <v>20</v>
        <stp/>
        <stp>102039530 11</stp>
        <tr r="Y51" s="17"/>
      </tp>
      <tp>
        <v>0</v>
        <stp/>
        <stp>102039550 17</stp>
        <tr r="AB55" s="17"/>
      </tp>
      <tp>
        <v>205560</v>
        <stp/>
        <stp>102039560 14</stp>
        <tr r="H31" s="27"/>
        <tr r="U61" s="17"/>
      </tp>
      <tp>
        <v>0</v>
        <stp/>
        <stp>102039570 15</stp>
        <tr r="V63" s="17"/>
      </tp>
      <tp>
        <v>80</v>
        <stp/>
        <stp>102039670 25</stp>
        <tr r="Q91" s="17"/>
      </tp>
      <tp>
        <v>0</v>
        <stp/>
        <stp>102039760 34</stp>
        <tr r="AD129" s="17"/>
      </tp>
      <tp>
        <v>0</v>
        <stp/>
        <stp>102039533 11</stp>
        <tr r="Y53" s="17"/>
      </tp>
      <tp>
        <v>0</v>
        <stp/>
        <stp>102039553 17</stp>
        <tr r="AB57" s="17"/>
      </tp>
      <tp>
        <v>75</v>
        <stp/>
        <stp>102039643 26</stp>
        <tr r="R86" s="17"/>
      </tp>
      <tp>
        <v>105</v>
        <stp/>
        <stp>102039663 24</stp>
        <tr r="P88" s="17"/>
      </tp>
      <tp>
        <v>240</v>
        <stp/>
        <stp>102039673 25</stp>
        <tr r="Q94" s="17"/>
      </tp>
      <tp>
        <v>0</v>
        <stp/>
        <stp>102039763 34</stp>
        <tr r="AD132" s="17"/>
      </tp>
      <tp>
        <v>20</v>
        <stp/>
        <stp>102039532 11</stp>
        <tr r="Y52" s="17"/>
      </tp>
      <tp>
        <v>0</v>
        <stp/>
        <stp>102039572 15</stp>
        <tr r="V65" s="17"/>
      </tp>
      <tp>
        <v>50860</v>
        <stp/>
        <stp>102039662 24</stp>
        <tr r="P87" s="17"/>
      </tp>
      <tp>
        <v>20</v>
        <stp/>
        <stp>102039672 25</stp>
        <tr r="Q93" s="17"/>
      </tp>
      <tp>
        <v>0</v>
        <stp/>
        <stp>102039762 34</stp>
        <tr r="AD131" s="17"/>
      </tp>
      <tp>
        <v>20</v>
        <stp/>
        <stp>102039535 11</stp>
        <tr r="Y54" s="17"/>
      </tp>
      <tp>
        <v>200</v>
        <stp/>
        <stp>102039665 24</stp>
        <tr r="P90" s="17"/>
      </tp>
      <tp>
        <v>120</v>
        <stp/>
        <stp>102039675 25</stp>
        <tr r="Q96" s="17"/>
      </tp>
      <tp>
        <v>0</v>
        <stp/>
        <stp>102039554 17</stp>
        <tr r="AB58" s="17"/>
      </tp>
      <tp>
        <v>50</v>
        <stp/>
        <stp>102039574 15</stp>
        <tr r="V66" s="17"/>
      </tp>
      <tp>
        <v>41055</v>
        <stp/>
        <stp>102039664 24</stp>
        <tr r="P89" s="17"/>
      </tp>
      <tp>
        <v>40</v>
        <stp/>
        <stp>102039674 25</stp>
        <tr r="Q95" s="17"/>
      </tp>
      <tp>
        <v>415075</v>
        <stp/>
        <stp>102039647 26</stp>
        <tr r="R180" s="17"/>
      </tp>
      <tp>
        <v>0</v>
        <stp/>
        <stp>102039767 34</stp>
        <tr r="AD134" s="17"/>
      </tp>
      <tp>
        <v>10</v>
        <stp/>
        <stp>102039646 26</stp>
        <tr r="R179" s="17"/>
      </tp>
      <tp>
        <v>0</v>
        <stp/>
        <stp>102039766 34</stp>
        <tr r="AD133" s="17"/>
      </tp>
      <tp>
        <v>0</v>
        <stp/>
        <stp>102039789 25</stp>
        <tr r="Q40" s="17"/>
      </tp>
      <tp>
        <v>0</v>
        <stp/>
        <stp>102039799 24</stp>
        <tr r="P44" s="17"/>
      </tp>
      <tp>
        <v>100</v>
        <stp/>
        <stp>102039788 25</stp>
        <tr r="Q39" s="17"/>
      </tp>
      <tp>
        <v>264805</v>
        <stp/>
        <stp>102039798 24</stp>
        <tr r="P43" s="17"/>
      </tp>
      <tp>
        <v>100</v>
        <stp/>
        <stp>102039781 25</stp>
        <tr r="Q140" s="17"/>
      </tp>
      <tp>
        <v>223090</v>
        <stp/>
        <stp>102039791 24</stp>
        <tr r="P144" s="17"/>
      </tp>
      <tp>
        <v>0</v>
        <stp/>
        <stp>102039790 24</stp>
        <tr r="P143" s="17"/>
      </tp>
      <tp>
        <v>0</v>
        <stp/>
        <stp>102039783 25</stp>
        <tr r="Q36" s="17"/>
      </tp>
      <tp>
        <v>100</v>
        <stp/>
        <stp>102039782 25</stp>
        <tr r="Q35" s="17"/>
      </tp>
      <tp>
        <v>0</v>
        <stp/>
        <stp>102039785 25</stp>
        <tr r="Q38" s="17"/>
      </tp>
      <tp>
        <v>233190</v>
        <stp/>
        <stp>102039795 24</stp>
        <tr r="P146" s="17"/>
      </tp>
      <tp>
        <v>500</v>
        <stp/>
        <stp>102039784 25</stp>
        <tr r="Q37" s="17"/>
      </tp>
      <tp>
        <v>0</v>
        <stp/>
        <stp>102039794 24</stp>
        <tr r="P145" s="17"/>
      </tp>
      <tp>
        <v>0</v>
        <stp/>
        <stp>102039697 34</stp>
        <tr r="AD102" s="17"/>
      </tp>
      <tp>
        <v>100</v>
        <stp/>
        <stp>102039787 25</stp>
        <tr r="Q142" s="17"/>
      </tp>
      <tp>
        <v>20</v>
        <stp/>
        <stp>102039797 24</stp>
        <tr r="P42" s="17"/>
      </tp>
      <tp>
        <v>0</v>
        <stp/>
        <stp>102039696 34</stp>
        <tr r="AD101" s="17"/>
      </tp>
      <tp>
        <v>600</v>
        <stp/>
        <stp>102039786 25</stp>
        <tr r="Q141" s="17"/>
      </tp>
      <tp>
        <v>274810</v>
        <stp/>
        <stp>102039796 24</stp>
        <tr r="P41" s="17"/>
      </tp>
      <tp>
        <v>0</v>
        <stp/>
        <stp>102039789 24</stp>
        <tr r="P40" s="17"/>
      </tp>
      <tp>
        <v>0</v>
        <stp/>
        <stp>102039799 25</stp>
        <tr r="Q44" s="17"/>
      </tp>
      <tp>
        <v>284810</v>
        <stp/>
        <stp>102039788 24</stp>
        <tr r="P39" s="17"/>
      </tp>
      <tp>
        <v>100</v>
        <stp/>
        <stp>102039798 25</stp>
        <tr r="Q43" s="17"/>
      </tp>
      <tp>
        <v>203190</v>
        <stp/>
        <stp>102039781 24</stp>
        <tr r="P140" s="17"/>
      </tp>
      <tp>
        <v>100</v>
        <stp/>
        <stp>102039791 25</stp>
        <tr r="Q144" s="17"/>
      </tp>
      <tp>
        <v>0</v>
        <stp/>
        <stp>102039790 25</stp>
        <tr r="Q143" s="17"/>
      </tp>
      <tp>
        <v>0</v>
        <stp/>
        <stp>102039783 24</stp>
        <tr r="P36" s="17"/>
      </tp>
      <tp>
        <v>304805</v>
        <stp/>
        <stp>102039782 24</stp>
        <tr r="P35" s="17"/>
      </tp>
      <tp>
        <v>0</v>
        <stp/>
        <stp>102039685 34</stp>
        <tr r="AD100" s="17"/>
      </tp>
      <tp>
        <v>0</v>
        <stp/>
        <stp>102039785 24</stp>
        <tr r="P38" s="17"/>
      </tp>
      <tp>
        <v>100</v>
        <stp/>
        <stp>102039795 25</stp>
        <tr r="Q146" s="17"/>
      </tp>
      <tp>
        <v>0</v>
        <stp/>
        <stp>102039684 34</stp>
        <tr r="AD99" s="17"/>
      </tp>
      <tp>
        <v>294800</v>
        <stp/>
        <stp>102039784 24</stp>
        <tr r="P37" s="17"/>
      </tp>
      <tp>
        <v>0</v>
        <stp/>
        <stp>102039794 25</stp>
        <tr r="Q145" s="17"/>
      </tp>
      <tp>
        <v>213035</v>
        <stp/>
        <stp>102039787 24</stp>
        <tr r="P142" s="17"/>
      </tp>
      <tp>
        <v>20</v>
        <stp/>
        <stp>102039797 25</stp>
        <tr r="Q42" s="17"/>
      </tp>
      <tp>
        <v>5</v>
        <stp/>
        <stp>102039786 24</stp>
        <tr r="P141" s="17"/>
      </tp>
      <tp>
        <v>100</v>
        <stp/>
        <stp>102039796 25</stp>
        <tr r="Q41" s="17"/>
      </tp>
      <tp>
        <v>20</v>
        <stp/>
        <stp>102039789 27</stp>
        <tr r="S40" s="17"/>
      </tp>
      <tp>
        <v>50</v>
        <stp/>
        <stp>102039799 26</stp>
        <tr r="R44" s="17"/>
      </tp>
      <tp>
        <v>100</v>
        <stp/>
        <stp>102039788 27</stp>
        <tr r="S39" s="17"/>
      </tp>
      <tp>
        <v>276345</v>
        <stp/>
        <stp>102039798 26</stp>
        <tr r="R43" s="17"/>
      </tp>
      <tp>
        <v>100</v>
        <stp/>
        <stp>102039781 27</stp>
        <tr r="S140" s="17"/>
      </tp>
      <tp>
        <v>235075</v>
        <stp/>
        <stp>102039791 26</stp>
        <tr r="R144" s="17"/>
      </tp>
      <tp>
        <v>50</v>
        <stp/>
        <stp>102039790 26</stp>
        <tr r="R143" s="17"/>
      </tp>
      <tp>
        <v>20</v>
        <stp/>
        <stp>102039783 27</stp>
        <tr r="S36" s="17"/>
      </tp>
      <tp>
        <v>100</v>
        <stp/>
        <stp>102039782 27</stp>
        <tr r="S35" s="17"/>
      </tp>
      <tp>
        <v>20</v>
        <stp/>
        <stp>102039785 27</stp>
        <tr r="S38" s="17"/>
      </tp>
      <tp>
        <v>245075</v>
        <stp/>
        <stp>102039795 26</stp>
        <tr r="R146" s="17"/>
      </tp>
      <tp>
        <v>100</v>
        <stp/>
        <stp>102039784 27</stp>
        <tr r="S37" s="17"/>
      </tp>
      <tp>
        <v>50</v>
        <stp/>
        <stp>102039794 26</stp>
        <tr r="R145" s="17"/>
      </tp>
      <tp>
        <v>100</v>
        <stp/>
        <stp>102039787 27</stp>
        <tr r="S142" s="17"/>
      </tp>
      <tp>
        <v>25</v>
        <stp/>
        <stp>102039797 26</stp>
        <tr r="R42" s="17"/>
      </tp>
      <tp>
        <v>380</v>
        <stp/>
        <stp>102039786 27</stp>
        <tr r="S141" s="17"/>
      </tp>
      <tp>
        <v>286345</v>
        <stp/>
        <stp>102039796 26</stp>
        <tr r="R41" s="17"/>
      </tp>
      <tp>
        <v>50</v>
        <stp/>
        <stp>102039789 26</stp>
        <tr r="R40" s="17"/>
      </tp>
      <tp>
        <v>20</v>
        <stp/>
        <stp>102039799 27</stp>
        <tr r="S44" s="17"/>
      </tp>
      <tp>
        <v>296345</v>
        <stp/>
        <stp>102039788 26</stp>
        <tr r="R39" s="17"/>
      </tp>
      <tp>
        <v>100</v>
        <stp/>
        <stp>102039798 27</stp>
        <tr r="S43" s="17"/>
      </tp>
      <tp>
        <v>215060</v>
        <stp/>
        <stp>102039781 26</stp>
        <tr r="R140" s="17"/>
      </tp>
      <tp>
        <v>100</v>
        <stp/>
        <stp>102039791 27</stp>
        <tr r="S144" s="17"/>
      </tp>
      <tp>
        <v>20</v>
        <stp/>
        <stp>102039790 27</stp>
        <tr r="S143" s="17"/>
      </tp>
      <tp>
        <v>50</v>
        <stp/>
        <stp>102039783 26</stp>
        <tr r="R36" s="17"/>
      </tp>
      <tp>
        <v>316345</v>
        <stp/>
        <stp>102039782 26</stp>
        <tr r="R35" s="17"/>
      </tp>
      <tp>
        <v>50</v>
        <stp/>
        <stp>102039785 26</stp>
        <tr r="R38" s="17"/>
      </tp>
      <tp>
        <v>100</v>
        <stp/>
        <stp>102039795 27</stp>
        <tr r="S146" s="17"/>
      </tp>
      <tp>
        <v>306345</v>
        <stp/>
        <stp>102039784 26</stp>
        <tr r="R37" s="17"/>
      </tp>
      <tp>
        <v>20</v>
        <stp/>
        <stp>102039794 27</stp>
        <tr r="S145" s="17"/>
      </tp>
      <tp>
        <v>225075</v>
        <stp/>
        <stp>102039787 26</stp>
        <tr r="R142" s="17"/>
      </tp>
      <tp>
        <v>800</v>
        <stp/>
        <stp>102039797 27</stp>
        <tr r="S42" s="17"/>
      </tp>
      <tp>
        <v>15</v>
        <stp/>
        <stp>102039786 26</stp>
        <tr r="R141" s="17"/>
      </tp>
      <tp>
        <v>100</v>
        <stp/>
        <stp>102039796 27</stp>
        <tr r="S41" s="17"/>
      </tp>
      <tp>
        <v>1265807512</v>
        <stp/>
        <stp>102039799 20</stp>
        <tr r="Z44" s="17"/>
      </tp>
      <tp>
        <v>0</v>
        <stp/>
        <stp>102039798 20</stp>
        <tr r="Z43" s="17"/>
      </tp>
      <tp>
        <v>0</v>
        <stp/>
        <stp>102039791 20</stp>
        <tr r="Z144" s="17"/>
      </tp>
      <tp>
        <v>0</v>
        <stp/>
        <stp>102039790 20</stp>
        <tr r="Z143" s="17"/>
      </tp>
      <tp>
        <v>0</v>
        <stp/>
        <stp>102039795 20</stp>
        <tr r="Z146" s="17"/>
      </tp>
      <tp>
        <v>0</v>
        <stp/>
        <stp>102039794 20</stp>
        <tr r="Z145" s="17"/>
      </tp>
      <tp>
        <v>1266054790</v>
        <stp/>
        <stp>102039797 20</stp>
        <tr r="Z42" s="17"/>
      </tp>
      <tp>
        <v>1265814072</v>
        <stp/>
        <stp>102039796 20</stp>
        <tr r="Z41" s="17"/>
      </tp>
      <tp>
        <v>0</v>
        <stp/>
        <stp>102039789 20</stp>
        <tr r="Z40" s="17"/>
      </tp>
      <tp>
        <v>0</v>
        <stp/>
        <stp>102039788 20</stp>
        <tr r="Z39" s="17"/>
      </tp>
      <tp>
        <v>0</v>
        <stp/>
        <stp>102039781 20</stp>
        <tr r="Z140" s="17"/>
      </tp>
      <tp>
        <v>0</v>
        <stp/>
        <stp>102039783 20</stp>
        <tr r="Z36" s="17"/>
      </tp>
      <tp>
        <v>0</v>
        <stp/>
        <stp>102039782 20</stp>
        <tr r="Z35" s="17"/>
      </tp>
      <tp>
        <v>0</v>
        <stp/>
        <stp>102039785 20</stp>
        <tr r="Z38" s="17"/>
      </tp>
      <tp>
        <v>0</v>
        <stp/>
        <stp>102039784 20</stp>
        <tr r="Z37" s="17"/>
      </tp>
      <tp>
        <v>1265361322</v>
        <stp/>
        <stp>102039787 20</stp>
        <tr r="Z142" s="17"/>
      </tp>
      <tp>
        <v>1265988590</v>
        <stp/>
        <stp>102039786 20</stp>
        <tr r="Z141" s="17"/>
      </tp>
      <tp>
        <v>48995</v>
        <stp/>
        <stp>102039719 24</stp>
        <tr r="P108" s="17"/>
      </tp>
      <tp>
        <v>400</v>
        <stp/>
        <stp>102039729 27</stp>
        <tr r="S114" s="17"/>
      </tp>
      <tp>
        <v>120065</v>
        <stp/>
        <stp>102039739 26</stp>
        <tr r="R122" s="17"/>
      </tp>
      <tp>
        <v>0</v>
        <stp/>
        <stp>102039759 20</stp>
        <tr r="Z128" s="17"/>
      </tp>
      <tp>
        <v>135</v>
        <stp/>
        <stp>102039718 24</stp>
        <tr r="P107" s="17"/>
      </tp>
      <tp>
        <v>2580</v>
        <stp/>
        <stp>102039728 27</stp>
        <tr r="S113" s="17"/>
      </tp>
      <tp>
        <v>35</v>
        <stp/>
        <stp>102039738 26</stp>
        <tr r="R121" s="17"/>
      </tp>
      <tp>
        <v>1266055150</v>
        <stp/>
        <stp>102039758 20</stp>
        <tr r="Z127" s="17"/>
      </tp>
      <tp>
        <v>180</v>
        <stp/>
        <stp>102039721 27</stp>
        <tr r="S110" s="17"/>
      </tp>
      <tp>
        <v>45</v>
        <stp/>
        <stp>102039731 26</stp>
        <tr r="R115" s="17"/>
      </tp>
      <tp>
        <v>21080</v>
        <stp/>
        <stp>102039720 27</stp>
        <tr r="S109" s="17"/>
      </tp>
      <tp>
        <v>90140</v>
        <stp/>
        <stp>102039733 26</stp>
        <tr r="R116" s="17"/>
      </tp>
      <tp>
        <v>20</v>
        <stp/>
        <stp>102039705 25</stp>
        <tr r="Q104" s="17"/>
      </tp>
      <tp>
        <v>100075</v>
        <stp/>
        <stp>102039735 26</stp>
        <tr r="R118" s="17"/>
      </tp>
      <tp>
        <v>1265968354</v>
        <stp/>
        <stp>102039755 20</stp>
        <tr r="Z126" s="17"/>
      </tp>
      <tp>
        <v>2680</v>
        <stp/>
        <stp>102039704 25</stp>
        <tr r="Q103" s="17"/>
      </tp>
      <tp>
        <v>35</v>
        <stp/>
        <stp>102039734 26</stp>
        <tr r="R117" s="17"/>
      </tp>
      <tp>
        <v>1266057471</v>
        <stp/>
        <stp>102039754 20</stp>
        <tr r="Z125" s="17"/>
      </tp>
      <tp>
        <v>39240</v>
        <stp/>
        <stp>102039717 24</stp>
        <tr r="P106" s="17"/>
      </tp>
      <tp>
        <v>20</v>
        <stp/>
        <stp>102039727 27</stp>
        <tr r="S112" s="17"/>
      </tp>
      <tp>
        <v>109715</v>
        <stp/>
        <stp>102039737 26</stp>
        <tr r="R120" s="17"/>
      </tp>
      <tp>
        <v>270</v>
        <stp/>
        <stp>102039716 24</stp>
        <tr r="P105" s="17"/>
      </tp>
      <tp>
        <v>3600</v>
        <stp/>
        <stp>102039726 27</stp>
        <tr r="S111" s="17"/>
      </tp>
      <tp>
        <v>35</v>
        <stp/>
        <stp>102039736 26</stp>
        <tr r="R119" s="17"/>
      </tp>
      <tp>
        <v>0</v>
        <stp/>
        <stp>102039609 34</stp>
        <tr r="AD78" s="17"/>
      </tp>
      <tp>
        <v>40</v>
        <stp/>
        <stp>102039719 25</stp>
        <tr r="Q108" s="17"/>
      </tp>
      <tp>
        <v>79585</v>
        <stp/>
        <stp>102039729 26</stp>
        <tr r="R114" s="17"/>
      </tp>
      <tp>
        <v>200</v>
        <stp/>
        <stp>102039739 27</stp>
        <tr r="S122" s="17"/>
      </tp>
      <tp>
        <v>0</v>
        <stp/>
        <stp>102039608 34</stp>
        <tr r="AD77" s="17"/>
      </tp>
      <tp>
        <v>18060</v>
        <stp/>
        <stp>102039718 25</stp>
        <tr r="Q107" s="17"/>
      </tp>
      <tp>
        <v>45</v>
        <stp/>
        <stp>102039728 26</stp>
        <tr r="R113" s="17"/>
      </tp>
      <tp>
        <v>200</v>
        <stp/>
        <stp>102039738 27</stp>
        <tr r="S121" s="17"/>
      </tp>
      <tp>
        <v>59290</v>
        <stp/>
        <stp>102039721 26</stp>
        <tr r="R110" s="17"/>
      </tp>
      <tp>
        <v>6280</v>
        <stp/>
        <stp>102039731 27</stp>
        <tr r="S115" s="17"/>
      </tp>
      <tp>
        <v>1265987796</v>
        <stp/>
        <stp>102039741 20</stp>
        <tr r="Z124" s="17"/>
      </tp>
      <tp>
        <v>95</v>
        <stp/>
        <stp>102039720 26</stp>
        <tr r="R109" s="17"/>
      </tp>
      <tp>
        <v>1266057973</v>
        <stp/>
        <stp>102039740 20</stp>
        <tr r="Z123" s="17"/>
      </tp>
      <tp>
        <v>1080</v>
        <stp/>
        <stp>102039733 27</stp>
        <tr r="S116" s="17"/>
      </tp>
      <tp>
        <v>29625</v>
        <stp/>
        <stp>102039705 24</stp>
        <tr r="P104" s="17"/>
      </tp>
      <tp>
        <v>440</v>
        <stp/>
        <stp>102039735 27</stp>
        <tr r="S118" s="17"/>
      </tp>
      <tp>
        <v>580</v>
        <stp/>
        <stp>102039704 24</stp>
        <tr r="P103" s="17"/>
      </tp>
      <tp>
        <v>1120</v>
        <stp/>
        <stp>102039734 27</stp>
        <tr r="S117" s="17"/>
      </tp>
      <tp>
        <v>60</v>
        <stp/>
        <stp>102039717 25</stp>
        <tr r="Q106" s="17"/>
      </tp>
      <tp>
        <v>69170</v>
        <stp/>
        <stp>102039727 26</stp>
        <tr r="R112" s="17"/>
      </tp>
      <tp>
        <v>400</v>
        <stp/>
        <stp>102039737 27</stp>
        <tr r="S120" s="17"/>
      </tp>
      <tp>
        <v>7460</v>
        <stp/>
        <stp>102039716 25</stp>
        <tr r="Q105" s="17"/>
      </tp>
      <tp>
        <v>60</v>
        <stp/>
        <stp>102039726 26</stp>
        <tr r="R111" s="17"/>
      </tp>
      <tp>
        <v>160</v>
        <stp/>
        <stp>102039736 27</stp>
        <tr r="S119" s="17"/>
      </tp>
      <tp>
        <v>49200</v>
        <stp/>
        <stp>102039719 26</stp>
        <tr r="R108" s="17"/>
      </tp>
      <tp>
        <v>1480</v>
        <stp/>
        <stp>102039729 25</stp>
        <tr r="Q114" s="17"/>
      </tp>
      <tp>
        <v>117940</v>
        <stp/>
        <stp>102039739 24</stp>
        <tr r="P122" s="17"/>
      </tp>
      <tp>
        <v>0</v>
        <stp/>
        <stp>102039638 34</stp>
        <tr r="AD85" s="17"/>
      </tp>
      <tp>
        <v>140</v>
        <stp/>
        <stp>102039718 26</stp>
        <tr r="R107" s="17"/>
      </tp>
      <tp>
        <v>6000</v>
        <stp/>
        <stp>102039728 25</stp>
        <tr r="Q113" s="17"/>
      </tp>
      <tp>
        <v>30</v>
        <stp/>
        <stp>102039738 24</stp>
        <tr r="P121" s="17"/>
      </tp>
      <tp>
        <v>0</v>
        <stp/>
        <stp>102039778 20</stp>
        <tr r="Z139" s="17"/>
      </tp>
      <tp>
        <v>20</v>
        <stp/>
        <stp>102039721 25</stp>
        <tr r="Q110" s="17"/>
      </tp>
      <tp>
        <v>40</v>
        <stp/>
        <stp>102039731 24</stp>
        <tr r="P115" s="17"/>
      </tp>
      <tp>
        <v>1265987770</v>
        <stp/>
        <stp>102039771 20</stp>
        <tr r="Z135" s="17"/>
      </tp>
      <tp>
        <v>398940</v>
        <stp/>
        <stp>102039720 25</stp>
        <tr r="Q109" s="17"/>
      </tp>
      <tp>
        <v>88040</v>
        <stp/>
        <stp>102039733 24</stp>
        <tr r="P116" s="17"/>
      </tp>
      <tp>
        <v>1265983675</v>
        <stp/>
        <stp>102039773 20</stp>
        <tr r="Z136" s="17"/>
      </tp>
      <tp>
        <v>0</v>
        <stp/>
        <stp>102039632 34</stp>
        <tr r="AD81" s="17"/>
      </tp>
      <tp>
        <v>0</v>
        <stp/>
        <stp>102039635 34</stp>
        <tr r="AD82" s="17"/>
      </tp>
      <tp>
        <v>20</v>
        <stp/>
        <stp>102039705 27</stp>
        <tr r="S104" s="17"/>
      </tp>
      <tp>
        <v>98130</v>
        <stp/>
        <stp>102039735 24</stp>
        <tr r="P118" s="17"/>
      </tp>
      <tp>
        <v>520</v>
        <stp/>
        <stp>102039704 27</stp>
        <tr r="S103" s="17"/>
      </tp>
      <tp>
        <v>30</v>
        <stp/>
        <stp>102039734 24</stp>
        <tr r="P117" s="17"/>
      </tp>
      <tp>
        <v>0</v>
        <stp/>
        <stp>102039637 34</stp>
        <tr r="AD84" s="17"/>
      </tp>
      <tp>
        <v>39405</v>
        <stp/>
        <stp>102039717 26</stp>
        <tr r="R106" s="17"/>
      </tp>
      <tp>
        <v>20</v>
        <stp/>
        <stp>102039727 25</stp>
        <tr r="Q112" s="17"/>
      </tp>
      <tp>
        <v>107950</v>
        <stp/>
        <stp>102039737 24</stp>
        <tr r="P120" s="17"/>
      </tp>
      <tp>
        <v>0</v>
        <stp/>
        <stp>102039777 20</stp>
        <tr r="Z138" s="17"/>
      </tp>
      <tp>
        <v>0</v>
        <stp/>
        <stp>102039636 34</stp>
        <tr r="AD83" s="17"/>
      </tp>
      <tp>
        <v>275</v>
        <stp/>
        <stp>102039716 26</stp>
        <tr r="R105" s="17"/>
      </tp>
      <tp>
        <v>319120</v>
        <stp/>
        <stp>102039726 25</stp>
        <tr r="Q111" s="17"/>
      </tp>
      <tp>
        <v>30</v>
        <stp/>
        <stp>102039736 24</stp>
        <tr r="P119" s="17"/>
      </tp>
      <tp>
        <v>1265902173</v>
        <stp/>
        <stp>102039776 20</stp>
        <tr r="Z137" s="17"/>
      </tp>
      <tp>
        <v>0</v>
        <stp/>
        <stp>102039629 34</stp>
        <tr r="AD80" s="17"/>
      </tp>
      <tp>
        <v>40</v>
        <stp/>
        <stp>102039719 27</stp>
        <tr r="S108" s="17"/>
      </tp>
      <tp>
        <v>78140</v>
        <stp/>
        <stp>102039729 24</stp>
        <tr r="P114" s="17"/>
      </tp>
      <tp>
        <v>100</v>
        <stp/>
        <stp>102039739 25</stp>
        <tr r="Q122" s="17"/>
      </tp>
      <tp>
        <v>0</v>
        <stp/>
        <stp>102039628 34</stp>
        <tr r="AD79" s="17"/>
      </tp>
      <tp>
        <v>21520</v>
        <stp/>
        <stp>102039718 27</stp>
        <tr r="S107" s="17"/>
      </tp>
      <tp>
        <v>40</v>
        <stp/>
        <stp>102039728 24</stp>
        <tr r="P113" s="17"/>
      </tp>
      <tp>
        <v>960</v>
        <stp/>
        <stp>102039738 25</stp>
        <tr r="Q121" s="17"/>
      </tp>
      <tp>
        <v>58990</v>
        <stp/>
        <stp>102039721 24</stp>
        <tr r="P110" s="17"/>
      </tp>
      <tp>
        <v>4360</v>
        <stp/>
        <stp>102039731 25</stp>
        <tr r="Q115" s="17"/>
      </tp>
      <tp>
        <v>1265966764</v>
        <stp/>
        <stp>102039761 20</stp>
        <tr r="Z130" s="17"/>
      </tp>
      <tp>
        <v>90</v>
        <stp/>
        <stp>102039720 24</stp>
        <tr r="P109" s="17"/>
      </tp>
      <tp>
        <v>1266054087</v>
        <stp/>
        <stp>102039760 20</stp>
        <tr r="Z129" s="17"/>
      </tp>
      <tp>
        <v>1080</v>
        <stp/>
        <stp>102039733 25</stp>
        <tr r="Q116" s="17"/>
      </tp>
      <tp>
        <v>1266053274</v>
        <stp/>
        <stp>102039763 20</stp>
        <tr r="Z132" s="17"/>
      </tp>
      <tp>
        <v>1266057183</v>
        <stp/>
        <stp>102039762 20</stp>
        <tr r="Z131" s="17"/>
      </tp>
      <tp>
        <v>29735</v>
        <stp/>
        <stp>102039705 26</stp>
        <tr r="R104" s="17"/>
      </tp>
      <tp>
        <v>1000</v>
        <stp/>
        <stp>102039735 25</stp>
        <tr r="Q118" s="17"/>
      </tp>
      <tp>
        <v>585</v>
        <stp/>
        <stp>102039704 26</stp>
        <tr r="R103" s="17"/>
      </tp>
      <tp>
        <v>7200</v>
        <stp/>
        <stp>102039734 25</stp>
        <tr r="Q117" s="17"/>
      </tp>
      <tp>
        <v>80</v>
        <stp/>
        <stp>102039717 27</stp>
        <tr r="S106" s="17"/>
      </tp>
      <tp>
        <v>68900</v>
        <stp/>
        <stp>102039727 24</stp>
        <tr r="P112" s="17"/>
      </tp>
      <tp>
        <v>820</v>
        <stp/>
        <stp>102039737 25</stp>
        <tr r="Q120" s="17"/>
      </tp>
      <tp>
        <v>0</v>
        <stp/>
        <stp>102039767 20</stp>
        <tr r="Z134" s="17"/>
      </tp>
      <tp>
        <v>4580</v>
        <stp/>
        <stp>102039716 27</stp>
        <tr r="S105" s="17"/>
      </tp>
      <tp>
        <v>55</v>
        <stp/>
        <stp>102039726 24</stp>
        <tr r="P111" s="17"/>
      </tp>
      <tp>
        <v>800</v>
        <stp/>
        <stp>102039736 25</stp>
        <tr r="Q119" s="17"/>
      </tp>
      <tp>
        <v>1266058022</v>
        <stp/>
        <stp>102039766 20</stp>
        <tr r="Z133" s="17"/>
      </tp>
      <tp>
        <v>1266058044</v>
        <stp/>
        <stp>102039719 20</stp>
        <tr r="Z108" s="17"/>
      </tp>
      <tp>
        <v>143195</v>
        <stp/>
        <stp>102039759 24</stp>
        <tr r="P128" s="17"/>
      </tp>
      <tp>
        <v>1266058051</v>
        <stp/>
        <stp>102039718 20</stp>
        <tr r="Z107" s="17"/>
      </tp>
      <tp>
        <v>15</v>
        <stp/>
        <stp>102039758 24</stp>
        <tr r="P127" s="17"/>
      </tp>
      <tp>
        <v>40</v>
        <stp/>
        <stp>102039778 26</stp>
        <tr r="R139" s="17"/>
      </tp>
      <tp>
        <v>20</v>
        <stp/>
        <stp>102039741 25</stp>
        <tr r="Q124" s="17"/>
      </tp>
      <tp>
        <v>100</v>
        <stp/>
        <stp>102039761 27</stp>
        <tr r="S130" s="17"/>
      </tp>
      <tp>
        <v>35</v>
        <stp/>
        <stp>102039771 26</stp>
        <tr r="R135" s="17"/>
      </tp>
      <tp>
        <v>1440</v>
        <stp/>
        <stp>102039740 25</stp>
        <tr r="Q123" s="17"/>
      </tp>
      <tp>
        <v>300</v>
        <stp/>
        <stp>102039760 27</stp>
        <tr r="S129" s="17"/>
      </tp>
      <tp>
        <v>40</v>
        <stp/>
        <stp>102039763 27</stp>
        <tr r="S132" s="17"/>
      </tp>
      <tp>
        <v>193245</v>
        <stp/>
        <stp>102039773 26</stp>
        <tr r="R136" s="17"/>
      </tp>
      <tp>
        <v>1500</v>
        <stp/>
        <stp>102039762 27</stp>
        <tr r="S131" s="17"/>
      </tp>
      <tp>
        <v>137620</v>
        <stp/>
        <stp>102039755 24</stp>
        <tr r="P126" s="17"/>
      </tp>
      <tp>
        <v>5</v>
        <stp/>
        <stp>102039754 24</stp>
        <tr r="P125" s="17"/>
      </tp>
      <tp>
        <v>1266058044</v>
        <stp/>
        <stp>102039717 20</stp>
        <tr r="Z106" s="17"/>
      </tp>
      <tp>
        <v>100</v>
        <stp/>
        <stp>102039767 27</stp>
        <tr r="S134" s="17"/>
      </tp>
      <tp>
        <v>205060</v>
        <stp/>
        <stp>102039777 26</stp>
        <tr r="R138" s="17"/>
      </tp>
      <tp>
        <v>1266058052</v>
        <stp/>
        <stp>102039716 20</stp>
        <tr r="Z105" s="17"/>
      </tp>
      <tp>
        <v>40</v>
        <stp/>
        <stp>102039766 27</stp>
        <tr r="S133" s="17"/>
      </tp>
      <tp>
        <v>50</v>
        <stp/>
        <stp>102039776 26</stp>
        <tr r="R137" s="17"/>
      </tp>
      <tp>
        <v>100</v>
        <stp/>
        <stp>102039759 25</stp>
        <tr r="Q128" s="17"/>
      </tp>
      <tp>
        <v>420</v>
        <stp/>
        <stp>102039758 25</stp>
        <tr r="Q127" s="17"/>
      </tp>
      <tp>
        <v>20</v>
        <stp/>
        <stp>102039778 27</stp>
        <tr r="S139" s="17"/>
      </tp>
      <tp>
        <v>127870</v>
        <stp/>
        <stp>102039741 24</stp>
        <tr r="P124" s="17"/>
      </tp>
      <tp>
        <v>165015</v>
        <stp/>
        <stp>102039761 26</stp>
        <tr r="R130" s="17"/>
      </tp>
      <tp>
        <v>200</v>
        <stp/>
        <stp>102039771 27</stp>
        <tr r="S135" s="17"/>
      </tp>
      <tp>
        <v>30</v>
        <stp/>
        <stp>102039740 24</stp>
        <tr r="P123" s="17"/>
      </tp>
      <tp>
        <v>15</v>
        <stp/>
        <stp>102039760 26</stp>
        <tr r="R129" s="17"/>
      </tp>
      <tp>
        <v>0</v>
        <stp/>
        <stp>102039643 34</stp>
        <tr r="AD86" s="17"/>
      </tp>
      <tp>
        <v>170110</v>
        <stp/>
        <stp>102039763 26</stp>
        <tr r="R132" s="17"/>
      </tp>
      <tp>
        <v>20</v>
        <stp/>
        <stp>102039773 27</stp>
        <tr r="S136" s="17"/>
      </tp>
      <tp>
        <v>15</v>
        <stp/>
        <stp>102039762 26</stp>
        <tr r="R131" s="17"/>
      </tp>
      <tp>
        <v>1266058046</v>
        <stp/>
        <stp>102039705 20</stp>
        <tr r="Z104" s="17"/>
      </tp>
      <tp>
        <v>20</v>
        <stp/>
        <stp>102039755 25</stp>
        <tr r="Q126" s="17"/>
      </tp>
      <tp>
        <v>1266058051</v>
        <stp/>
        <stp>102039704 20</stp>
        <tr r="Z103" s="17"/>
      </tp>
      <tp>
        <v>2100</v>
        <stp/>
        <stp>102039754 25</stp>
        <tr r="Q125" s="17"/>
      </tp>
      <tp>
        <v>0</v>
        <stp/>
        <stp>102039647 34</stp>
        <tr r="AD180" s="17"/>
      </tp>
      <tp>
        <v>185075</v>
        <stp/>
        <stp>102039767 26</stp>
        <tr r="R134" s="17"/>
      </tp>
      <tp>
        <v>100</v>
        <stp/>
        <stp>102039777 27</stp>
        <tr r="S138" s="17"/>
      </tp>
      <tp>
        <v>0</v>
        <stp/>
        <stp>102039646 34</stp>
        <tr r="AD179" s="17"/>
      </tp>
      <tp>
        <v>20</v>
        <stp/>
        <stp>102039766 26</stp>
        <tr r="R133" s="17"/>
      </tp>
      <tp>
        <v>20</v>
        <stp/>
        <stp>102039776 27</stp>
        <tr r="S137" s="17"/>
      </tp>
      <tp>
        <v>0</v>
        <stp/>
        <stp>102039679 34</stp>
        <tr r="AD98" s="17"/>
      </tp>
      <tp>
        <v>1266057941</v>
        <stp/>
        <stp>102039739 20</stp>
        <tr r="Z122" s="17"/>
      </tp>
      <tp>
        <v>155075</v>
        <stp/>
        <stp>102039759 26</stp>
        <tr r="R128" s="17"/>
      </tp>
      <tp>
        <v>0</v>
        <stp/>
        <stp>102039678 34</stp>
        <tr r="AD97" s="17"/>
      </tp>
      <tp>
        <v>1266057979</v>
        <stp/>
        <stp>102039738 20</stp>
        <tr r="Z121" s="17"/>
      </tp>
      <tp>
        <v>30</v>
        <stp/>
        <stp>102039758 26</stp>
        <tr r="R127" s="17"/>
      </tp>
      <tp>
        <v>0</v>
        <stp/>
        <stp>102039778 24</stp>
        <tr r="P139" s="17"/>
      </tp>
      <tp>
        <v>0</v>
        <stp/>
        <stp>102039671 34</stp>
        <tr r="AD92" s="17"/>
      </tp>
      <tp>
        <v>1266057951</v>
        <stp/>
        <stp>102039731 20</stp>
        <tr r="Z115" s="17"/>
      </tp>
      <tp>
        <v>400</v>
        <stp/>
        <stp>102039741 27</stp>
        <tr r="S124" s="17"/>
      </tp>
      <tp>
        <v>100</v>
        <stp/>
        <stp>102039761 25</stp>
        <tr r="Q130" s="17"/>
      </tp>
      <tp>
        <v>0</v>
        <stp/>
        <stp>102039771 24</stp>
        <tr r="P135" s="17"/>
      </tp>
      <tp>
        <v>0</v>
        <stp/>
        <stp>102039670 34</stp>
        <tr r="AD91" s="17"/>
      </tp>
      <tp>
        <v>400</v>
        <stp/>
        <stp>102039740 27</stp>
        <tr r="S123" s="17"/>
      </tp>
      <tp>
        <v>1500</v>
        <stp/>
        <stp>102039760 25</stp>
        <tr r="Q129" s="17"/>
      </tp>
      <tp>
        <v>0</v>
        <stp/>
        <stp>102039673 34</stp>
        <tr r="AD94" s="17"/>
      </tp>
      <tp>
        <v>1266057459</v>
        <stp/>
        <stp>102039733 20</stp>
        <tr r="Z116" s="17"/>
      </tp>
      <tp>
        <v>20</v>
        <stp/>
        <stp>102039763 25</stp>
        <tr r="Q132" s="17"/>
      </tp>
      <tp>
        <v>187310</v>
        <stp/>
        <stp>102039773 24</stp>
        <tr r="P136" s="17"/>
      </tp>
      <tp>
        <v>0</v>
        <stp/>
        <stp>102039672 34</stp>
        <tr r="AD93" s="17"/>
      </tp>
      <tp>
        <v>20</v>
        <stp/>
        <stp>102039762 25</stp>
        <tr r="Q131" s="17"/>
      </tp>
      <tp>
        <v>0</v>
        <stp/>
        <stp>102039675 34</stp>
        <tr r="AD96" s="17"/>
      </tp>
      <tp>
        <v>1266053778</v>
        <stp/>
        <stp>102039735 20</stp>
        <tr r="Z118" s="17"/>
      </tp>
      <tp>
        <v>140120</v>
        <stp/>
        <stp>102039755 26</stp>
        <tr r="R126" s="17"/>
      </tp>
      <tp>
        <v>0</v>
        <stp/>
        <stp>102039674 34</stp>
        <tr r="AD95" s="17"/>
      </tp>
      <tp>
        <v>1266057928</v>
        <stp/>
        <stp>102039734 20</stp>
        <tr r="Z117" s="17"/>
      </tp>
      <tp>
        <v>25</v>
        <stp/>
        <stp>102039754 26</stp>
        <tr r="R125" s="17"/>
      </tp>
      <tp>
        <v>1266053274</v>
        <stp/>
        <stp>102039737 20</stp>
        <tr r="Z120" s="17"/>
      </tp>
      <tp>
        <v>100</v>
        <stp/>
        <stp>102039767 25</stp>
        <tr r="Q134" s="17"/>
      </tp>
      <tp>
        <v>193705</v>
        <stp/>
        <stp>102039777 24</stp>
        <tr r="P138" s="17"/>
      </tp>
      <tp>
        <v>1266058050</v>
        <stp/>
        <stp>102039736 20</stp>
        <tr r="Z119" s="17"/>
      </tp>
      <tp>
        <v>1400</v>
        <stp/>
        <stp>102039766 25</stp>
        <tr r="Q133" s="17"/>
      </tp>
      <tp>
        <v>0</v>
        <stp/>
        <stp>102039776 24</stp>
        <tr r="P137" s="17"/>
      </tp>
      <tp>
        <v>1266057012</v>
        <stp/>
        <stp>102039729 20</stp>
        <tr r="Z114" s="17"/>
      </tp>
      <tp>
        <v>100</v>
        <stp/>
        <stp>102039759 27</stp>
        <tr r="S128" s="17"/>
      </tp>
      <tp>
        <v>1266058049</v>
        <stp/>
        <stp>102039728 20</stp>
        <tr r="Z113" s="17"/>
      </tp>
      <tp>
        <v>20</v>
        <stp/>
        <stp>102039758 27</stp>
        <tr r="S127" s="17"/>
      </tp>
      <tp>
        <v>0</v>
        <stp/>
        <stp>102039778 25</stp>
        <tr r="Q139" s="17"/>
      </tp>
      <tp>
        <v>1266058022</v>
        <stp/>
        <stp>102039721 20</stp>
        <tr r="Z110" s="17"/>
      </tp>
      <tp>
        <v>130130</v>
        <stp/>
        <stp>102039741 26</stp>
        <tr r="R124" s="17"/>
      </tp>
      <tp>
        <v>153575</v>
        <stp/>
        <stp>102039761 24</stp>
        <tr r="P130" s="17"/>
      </tp>
      <tp>
        <v>0</v>
        <stp/>
        <stp>102039771 25</stp>
        <tr r="Q135" s="17"/>
      </tp>
      <tp>
        <v>1266058052</v>
        <stp/>
        <stp>102039720 20</stp>
        <tr r="Z109" s="17"/>
      </tp>
      <tp>
        <v>35</v>
        <stp/>
        <stp>102039740 26</stp>
        <tr r="R123" s="17"/>
      </tp>
      <tp>
        <v>10</v>
        <stp/>
        <stp>102039760 24</stp>
        <tr r="P129" s="17"/>
      </tp>
      <tp>
        <v>0</v>
        <stp/>
        <stp>102039663 34</stp>
        <tr r="AD88" s="17"/>
      </tp>
      <tp>
        <v>167495</v>
        <stp/>
        <stp>102039763 24</stp>
        <tr r="P132" s="17"/>
      </tp>
      <tp>
        <v>20</v>
        <stp/>
        <stp>102039773 25</stp>
        <tr r="Q136" s="17"/>
      </tp>
      <tp>
        <v>0</v>
        <stp/>
        <stp>102039662 34</stp>
        <tr r="AD87" s="17"/>
      </tp>
      <tp>
        <v>10</v>
        <stp/>
        <stp>102039762 24</stp>
        <tr r="P131" s="17"/>
      </tp>
      <tp>
        <v>0</v>
        <stp/>
        <stp>102039665 34</stp>
        <tr r="AD90" s="17"/>
      </tp>
      <tp>
        <v>80</v>
        <stp/>
        <stp>102039755 27</stp>
        <tr r="S126" s="17"/>
      </tp>
      <tp>
        <v>0</v>
        <stp/>
        <stp>102039664 34</stp>
        <tr r="AD89" s="17"/>
      </tp>
      <tp>
        <v>420</v>
        <stp/>
        <stp>102039754 27</stp>
        <tr r="S125" s="17"/>
      </tp>
      <tp>
        <v>1266057865</v>
        <stp/>
        <stp>102039727 20</stp>
        <tr r="Z112" s="17"/>
      </tp>
      <tp>
        <v>173185</v>
        <stp/>
        <stp>102039767 24</stp>
        <tr r="P134" s="17"/>
      </tp>
      <tp>
        <v>100</v>
        <stp/>
        <stp>102039777 25</stp>
        <tr r="Q138" s="17"/>
      </tp>
      <tp>
        <v>1266058047</v>
        <stp/>
        <stp>102039726 20</stp>
        <tr r="Z111" s="17"/>
      </tp>
      <tp>
        <v>10</v>
        <stp/>
        <stp>102039766 24</stp>
        <tr r="P133" s="17"/>
      </tp>
      <tp>
        <v>0</v>
        <stp/>
        <stp>102039776 25</stp>
        <tr r="Q137" s="17"/>
      </tp>
      <tp>
        <v>433020</v>
        <stp/>
        <stp>102039697 40</stp>
        <tr r="AC102" s="17"/>
        <tr r="O51" s="27"/>
      </tp>
      <tp>
        <v>2934800</v>
        <stp/>
        <stp>102039696 40</stp>
        <tr r="C51" s="27"/>
        <tr r="AC101" s="17"/>
      </tp>
      <tp>
        <v>635720</v>
        <stp/>
        <stp>102039685 40</stp>
        <tr r="AC100" s="17"/>
        <tr r="O50" s="27"/>
      </tp>
      <tp>
        <v>1597820</v>
        <stp/>
        <stp>102039684 40</stp>
        <tr r="AC99" s="17"/>
        <tr r="C50" s="27"/>
      </tp>
      <tp>
        <v>261760</v>
        <stp/>
        <stp>102039643 40</stp>
        <tr r="O43" s="27"/>
        <tr r="AC86" s="17"/>
      </tp>
      <tp>
        <v>0</v>
        <stp/>
        <stp>102039647 40</stp>
        <tr r="AC180" s="17"/>
        <tr r="O90" s="27"/>
      </tp>
      <tp>
        <v>0</v>
        <stp/>
        <stp>102039646 40</stp>
        <tr r="AC179" s="17"/>
        <tr r="C90" s="27"/>
      </tp>
      <tp>
        <v>1143800</v>
        <stp/>
        <stp>102039679 40</stp>
        <tr r="AC98" s="17"/>
        <tr r="O49" s="27"/>
      </tp>
      <tp>
        <v>839700</v>
        <stp/>
        <stp>102039678 40</stp>
        <tr r="AC97" s="17"/>
        <tr r="C49" s="27"/>
      </tp>
      <tp>
        <v>1825420</v>
        <stp/>
        <stp>102039671 40</stp>
        <tr r="AC92" s="17"/>
        <tr r="O46" s="27"/>
      </tp>
      <tp>
        <v>105220</v>
        <stp/>
        <stp>102039670 40</stp>
        <tr r="C46" s="27"/>
        <tr r="AC91" s="17"/>
      </tp>
      <tp>
        <v>1585560</v>
        <stp/>
        <stp>102039673 40</stp>
        <tr r="O47" s="27"/>
        <tr r="AC94" s="17"/>
      </tp>
      <tp>
        <v>81000</v>
        <stp/>
        <stp>102039672 40</stp>
        <tr r="AC93" s="17"/>
        <tr r="C47" s="27"/>
      </tp>
      <tp>
        <v>1511040</v>
        <stp/>
        <stp>102039675 40</stp>
        <tr r="AC96" s="17"/>
        <tr r="O48" s="27"/>
      </tp>
      <tp>
        <v>343720</v>
        <stp/>
        <stp>102039674 40</stp>
        <tr r="AC95" s="17"/>
        <tr r="C48" s="27"/>
      </tp>
      <tp>
        <v>441960</v>
        <stp/>
        <stp>102039663 40</stp>
        <tr r="AC88" s="17"/>
        <tr r="O44" s="27"/>
      </tp>
      <tp>
        <v>7380</v>
        <stp/>
        <stp>102039662 40</stp>
        <tr r="C44" s="27"/>
        <tr r="AC87" s="17"/>
      </tp>
      <tp>
        <v>595320</v>
        <stp/>
        <stp>102039665 40</stp>
        <tr r="O45" s="27"/>
        <tr r="AC90" s="17"/>
      </tp>
      <tp>
        <v>7860</v>
        <stp/>
        <stp>102039664 40</stp>
        <tr r="C45" s="27"/>
        <tr r="AC89" s="17"/>
      </tp>
      <tp>
        <v>138540</v>
        <stp/>
        <stp>102039609 40</stp>
        <tr r="AC78" s="17"/>
        <tr r="O39" s="27"/>
      </tp>
      <tp>
        <v>2240</v>
        <stp/>
        <stp>102039608 40</stp>
        <tr r="AC77" s="17"/>
        <tr r="C39" s="27"/>
      </tp>
      <tp>
        <v>10440</v>
        <stp/>
        <stp>102039638 40</stp>
        <tr r="AC85" s="17"/>
        <tr r="C43" s="27"/>
      </tp>
      <tp>
        <v>26000</v>
        <stp/>
        <stp>102039632 40</stp>
        <tr r="AC81" s="17"/>
        <tr r="C41" s="27"/>
      </tp>
      <tp>
        <v>394380</v>
        <stp/>
        <stp>102039635 40</stp>
        <tr r="AC82" s="17"/>
        <tr r="O41" s="27"/>
      </tp>
      <tp>
        <v>211120</v>
        <stp/>
        <stp>102039637 40</stp>
        <tr r="AC84" s="17"/>
        <tr r="O42" s="27"/>
      </tp>
      <tp>
        <v>3620</v>
        <stp/>
        <stp>102039636 40</stp>
        <tr r="AC83" s="17"/>
        <tr r="C42" s="27"/>
      </tp>
      <tp>
        <v>255800</v>
        <stp/>
        <stp>102039629 40</stp>
        <tr r="AC80" s="17"/>
        <tr r="O40" s="27"/>
      </tp>
      <tp>
        <v>2600</v>
        <stp/>
        <stp>102039628 40</stp>
        <tr r="C40" s="27"/>
        <tr r="AC79" s="17"/>
      </tp>
      <tp>
        <v>0</v>
        <stp/>
        <stp>102039799 40</stp>
        <tr r="AC44" s="17"/>
        <tr r="O22" s="27"/>
      </tp>
      <tp>
        <v>0</v>
        <stp/>
        <stp>102039798 40</stp>
        <tr r="AC43" s="17"/>
        <tr r="C22" s="27"/>
      </tp>
      <tp>
        <v>0</v>
        <stp/>
        <stp>102039791 40</stp>
        <tr r="AC144" s="17"/>
        <tr r="O72" s="27"/>
      </tp>
      <tp>
        <v>0</v>
        <stp/>
        <stp>102039790 40</stp>
        <tr r="C72" s="27"/>
        <tr r="AC143" s="17"/>
      </tp>
      <tp>
        <v>0</v>
        <stp/>
        <stp>102039795 40</stp>
        <tr r="AC146" s="17"/>
        <tr r="O73" s="27"/>
      </tp>
      <tp>
        <v>0</v>
        <stp/>
        <stp>102039794 40</stp>
        <tr r="AC145" s="17"/>
        <tr r="C73" s="27"/>
      </tp>
      <tp>
        <v>46120</v>
        <stp/>
        <stp>102039797 40</stp>
        <tr r="AC42" s="17"/>
        <tr r="O21" s="27"/>
      </tp>
      <tp>
        <v>0</v>
        <stp/>
        <stp>102039796 40</stp>
        <tr r="AC41" s="17"/>
        <tr r="C21" s="27"/>
      </tp>
      <tp>
        <v>0</v>
        <stp/>
        <stp>102039789 40</stp>
        <tr r="O20" s="27"/>
        <tr r="AC40" s="17"/>
      </tp>
      <tp>
        <v>0</v>
        <stp/>
        <stp>102039788 40</stp>
        <tr r="AC39" s="17"/>
        <tr r="C20" s="27"/>
      </tp>
      <tp>
        <v>0</v>
        <stp/>
        <stp>102039781 40</stp>
        <tr r="AC140" s="17"/>
        <tr r="O70" s="27"/>
      </tp>
      <tp>
        <v>0</v>
        <stp/>
        <stp>102039783 40</stp>
        <tr r="AC36" s="17"/>
        <tr r="O18" s="27"/>
      </tp>
      <tp>
        <v>0</v>
        <stp/>
        <stp>102039782 40</stp>
        <tr r="AC35" s="17"/>
        <tr r="C18" s="27"/>
      </tp>
      <tp>
        <v>0</v>
        <stp/>
        <stp>102039785 40</stp>
        <tr r="AC38" s="17"/>
        <tr r="O19" s="27"/>
      </tp>
      <tp>
        <v>0</v>
        <stp/>
        <stp>102039784 40</stp>
        <tr r="AC37" s="17"/>
        <tr r="C19" s="27"/>
      </tp>
      <tp>
        <v>0</v>
        <stp/>
        <stp>102039787 40</stp>
        <tr r="AC142" s="17"/>
        <tr r="O71" s="27"/>
      </tp>
      <tp>
        <v>0</v>
        <stp/>
        <stp>102039786 40</stp>
        <tr r="AC141" s="17"/>
        <tr r="C71" s="27"/>
      </tp>
      <tp>
        <v>0</v>
        <stp/>
        <stp>102039759 40</stp>
        <tr r="AC128" s="17"/>
        <tr r="O64" s="27"/>
      </tp>
      <tp>
        <v>7700</v>
        <stp/>
        <stp>102039758 40</stp>
        <tr r="AC127" s="17"/>
        <tr r="C64" s="27"/>
      </tp>
      <tp>
        <v>0</v>
        <stp/>
        <stp>102039755 40</stp>
        <tr r="AC126" s="17"/>
        <tr r="O63" s="27"/>
      </tp>
      <tp>
        <v>10820</v>
        <stp/>
        <stp>102039754 40</stp>
        <tr r="AC125" s="17"/>
        <tr r="C63" s="27"/>
      </tp>
      <tp>
        <v>0</v>
        <stp/>
        <stp>102039741 40</stp>
        <tr r="O62" s="27"/>
        <tr r="AC124" s="17"/>
      </tp>
      <tp>
        <v>13640</v>
        <stp/>
        <stp>102039740 40</stp>
        <tr r="C62" s="27"/>
        <tr r="AC123" s="17"/>
      </tp>
      <tp>
        <v>0</v>
        <stp/>
        <stp>102039778 40</stp>
        <tr r="AC139" s="17"/>
        <tr r="C70" s="27"/>
      </tp>
      <tp>
        <v>0</v>
        <stp/>
        <stp>102039771 40</stp>
        <tr r="C68" s="27"/>
        <tr r="AC135" s="17"/>
      </tp>
      <tp>
        <v>0</v>
        <stp/>
        <stp>102039773 40</stp>
        <tr r="AC136" s="17"/>
        <tr r="O68" s="27"/>
      </tp>
      <tp>
        <v>0</v>
        <stp/>
        <stp>102039777 40</stp>
        <tr r="AC138" s="17"/>
        <tr r="O69" s="27"/>
      </tp>
      <tp>
        <v>0</v>
        <stp/>
        <stp>102039776 40</stp>
        <tr r="AC137" s="17"/>
        <tr r="C69" s="27"/>
      </tp>
      <tp>
        <v>0</v>
        <stp/>
        <stp>102039761 40</stp>
        <tr r="AC130" s="17"/>
        <tr r="O65" s="27"/>
      </tp>
      <tp>
        <v>4160</v>
        <stp/>
        <stp>102039760 40</stp>
        <tr r="AC129" s="17"/>
        <tr r="C65" s="27"/>
      </tp>
      <tp>
        <v>10020</v>
        <stp/>
        <stp>102039763 40</stp>
        <tr r="AC132" s="17"/>
        <tr r="O66" s="27"/>
      </tp>
      <tp>
        <v>34940</v>
        <stp/>
        <stp>102039762 40</stp>
        <tr r="AC131" s="17"/>
        <tr r="C66" s="27"/>
      </tp>
      <tp>
        <v>0</v>
        <stp/>
        <stp>102039767 40</stp>
        <tr r="O67" s="27"/>
        <tr r="AC134" s="17"/>
      </tp>
      <tp>
        <v>5040</v>
        <stp/>
        <stp>102039766 40</stp>
        <tr r="C67" s="27"/>
        <tr r="AC133" s="17"/>
      </tp>
      <tp>
        <v>16760</v>
        <stp/>
        <stp>102039719 40</stp>
        <tr r="AC108" s="17"/>
        <tr r="O54" s="27"/>
      </tp>
      <tp>
        <v>1038720</v>
        <stp/>
        <stp>102039718 40</stp>
        <tr r="C54" s="27"/>
        <tr r="AC107" s="17"/>
      </tp>
      <tp>
        <v>42920</v>
        <stp/>
        <stp>102039717 40</stp>
        <tr r="AC106" s="17"/>
        <tr r="O53" s="27"/>
      </tp>
      <tp>
        <v>1377700</v>
        <stp/>
        <stp>102039716 40</stp>
        <tr r="AC105" s="17"/>
        <tr r="C53" s="27"/>
      </tp>
      <tp>
        <v>104280</v>
        <stp/>
        <stp>102039705 40</stp>
        <tr r="AC104" s="17"/>
        <tr r="O52" s="27"/>
      </tp>
      <tp>
        <v>1886840</v>
        <stp/>
        <stp>102039704 40</stp>
        <tr r="AC103" s="17"/>
        <tr r="C52" s="27"/>
      </tp>
      <tp>
        <v>3760</v>
        <stp/>
        <stp>102039739 40</stp>
        <tr r="O61" s="27"/>
        <tr r="AC122" s="17"/>
      </tp>
      <tp>
        <v>102760</v>
        <stp/>
        <stp>102039738 40</stp>
        <tr r="C61" s="27"/>
        <tr r="AC121" s="17"/>
      </tp>
      <tp>
        <v>84700</v>
        <stp/>
        <stp>102039731 40</stp>
        <tr r="AC115" s="17"/>
        <tr r="C58" s="27"/>
      </tp>
      <tp>
        <v>1420</v>
        <stp/>
        <stp>102039733 40</stp>
        <tr r="AC116" s="17"/>
        <tr r="O58" s="27"/>
      </tp>
      <tp>
        <v>460</v>
        <stp/>
        <stp>102039735 40</stp>
        <tr r="AC118" s="17"/>
        <tr r="O59" s="27"/>
      </tp>
      <tp>
        <v>43160</v>
        <stp/>
        <stp>102039734 40</stp>
        <tr r="C59" s="27"/>
        <tr r="AC117" s="17"/>
      </tp>
      <tp>
        <v>220</v>
        <stp/>
        <stp>102039737 40</stp>
        <tr r="AC120" s="17"/>
        <tr r="O60" s="27"/>
      </tp>
      <tp>
        <v>11320</v>
        <stp/>
        <stp>102039736 40</stp>
        <tr r="C60" s="27"/>
        <tr r="AC119" s="17"/>
      </tp>
      <tp>
        <v>320</v>
        <stp/>
        <stp>102039729 40</stp>
        <tr r="AC114" s="17"/>
        <tr r="O57" s="27"/>
      </tp>
      <tp>
        <v>139580</v>
        <stp/>
        <stp>102039728 40</stp>
        <tr r="C57" s="27"/>
        <tr r="AC113" s="17"/>
      </tp>
      <tp>
        <v>7140</v>
        <stp/>
        <stp>102039721 40</stp>
        <tr r="AC110" s="17"/>
        <tr r="O55" s="27"/>
      </tp>
      <tp>
        <v>668320</v>
        <stp/>
        <stp>102039720 40</stp>
        <tr r="C55" s="27"/>
        <tr r="AC109" s="17"/>
      </tp>
      <tp>
        <v>10060</v>
        <stp/>
        <stp>102039727 40</stp>
        <tr r="AC112" s="17"/>
        <tr r="O56" s="27"/>
      </tp>
      <tp>
        <v>725060</v>
        <stp/>
        <stp>102039726 40</stp>
        <tr r="AC111" s="17"/>
        <tr r="C56" s="27"/>
      </tp>
      <tp>
        <v>0</v>
        <stp/>
        <stp>102039599 40</stp>
        <tr r="AC178" s="17"/>
        <tr r="O89" s="27"/>
      </tp>
      <tp>
        <v>65400</v>
        <stp/>
        <stp>102039593 40</stp>
        <tr r="AC74" s="17"/>
        <tr r="O37" s="27"/>
      </tp>
      <tp>
        <v>600</v>
        <stp/>
        <stp>102039592 40</stp>
        <tr r="AC73" s="17"/>
        <tr r="C37" s="27"/>
      </tp>
      <tp>
        <v>110580</v>
        <stp/>
        <stp>102039595 40</stp>
        <tr r="AC76" s="17"/>
        <tr r="O38" s="27"/>
      </tp>
      <tp>
        <v>3980</v>
        <stp/>
        <stp>102039594 40</stp>
        <tr r="AC75" s="17"/>
        <tr r="C38" s="27"/>
      </tp>
      <tp>
        <v>0</v>
        <stp/>
        <stp>102039597 40</stp>
        <tr r="C89" s="27"/>
        <tr r="AC177" s="17"/>
      </tp>
      <tp>
        <v>220660</v>
        <stp/>
        <stp>102039589 40</stp>
        <tr r="AC72" s="17"/>
        <tr r="O36" s="27"/>
      </tp>
      <tp>
        <v>10300</v>
        <stp/>
        <stp>102039588 40</stp>
        <tr r="AC71" s="17"/>
        <tr r="C36" s="27"/>
      </tp>
      <tp>
        <v>42960</v>
        <stp/>
        <stp>102039583 40</stp>
        <tr r="AC68" s="17"/>
        <tr r="O34" s="27"/>
      </tp>
      <tp>
        <v>1360</v>
        <stp/>
        <stp>102039582 40</stp>
        <tr r="AC67" s="17"/>
        <tr r="C34" s="27"/>
      </tp>
      <tp>
        <v>55760</v>
        <stp/>
        <stp>102039585 40</stp>
        <tr r="AC70" s="17"/>
        <tr r="O35" s="27"/>
      </tp>
      <tp>
        <v>580</v>
        <stp/>
        <stp>102039584 40</stp>
        <tr r="AC69" s="17"/>
        <tr r="C35" s="27"/>
      </tp>
      <tp>
        <v>3520</v>
        <stp/>
        <stp>102039559 40</stp>
        <tr r="AC60" s="17"/>
        <tr r="O30" s="27"/>
      </tp>
      <tp>
        <v>0</v>
        <stp/>
        <stp>102039558 40</stp>
        <tr r="AC59" s="17"/>
        <tr r="C30" s="27"/>
      </tp>
      <tp>
        <v>880</v>
        <stp/>
        <stp>102039551 40</stp>
        <tr r="AC56" s="17"/>
        <tr r="O28" s="27"/>
      </tp>
      <tp>
        <v>0</v>
        <stp/>
        <stp>102039550 40</stp>
        <tr r="AC55" s="17"/>
        <tr r="C28" s="27"/>
      </tp>
      <tp>
        <v>0</v>
        <stp/>
        <stp>102039553 40</stp>
        <tr r="C29" s="27"/>
        <tr r="AC57" s="17"/>
      </tp>
      <tp>
        <v>3180</v>
        <stp/>
        <stp>102039554 40</stp>
        <tr r="O29" s="27"/>
        <tr r="AC58" s="17"/>
      </tp>
      <tp>
        <v>91980</v>
        <stp/>
        <stp>102039571 40</stp>
        <tr r="AC64" s="17"/>
        <tr r="O32" s="27"/>
      </tp>
      <tp>
        <v>0</v>
        <stp/>
        <stp>102039570 40</stp>
        <tr r="AC63" s="17"/>
        <tr r="C32" s="27"/>
      </tp>
      <tp>
        <v>0</v>
        <stp/>
        <stp>102039572 40</stp>
        <tr r="AC65" s="17"/>
        <tr r="C33" s="27"/>
      </tp>
      <tp>
        <v>14180</v>
        <stp/>
        <stp>102039574 40</stp>
        <tr r="AC66" s="17"/>
        <tr r="O33" s="27"/>
      </tp>
      <tp>
        <v>161060</v>
        <stp/>
        <stp>102039561 40</stp>
        <tr r="O31" s="27"/>
        <tr r="AC62" s="17"/>
      </tp>
      <tp>
        <v>1560</v>
        <stp/>
        <stp>102039560 40</stp>
        <tr r="AC61" s="17"/>
        <tr r="C31" s="27"/>
      </tp>
      <tp>
        <v>0</v>
        <stp/>
        <stp>102039519 40</stp>
        <tr r="AC48" s="17"/>
        <tr r="O24" s="27"/>
      </tp>
      <tp>
        <v>0</v>
        <stp/>
        <stp>102039518 40</stp>
        <tr r="C24" s="27"/>
        <tr r="AC47" s="17"/>
      </tp>
      <tp>
        <v>120</v>
        <stp/>
        <stp>102039511 40</stp>
        <tr r="AC46" s="17"/>
        <tr r="O23" s="27"/>
      </tp>
      <tp>
        <v>0</v>
        <stp/>
        <stp>102039510 40</stp>
        <tr r="AC45" s="17"/>
        <tr r="C23" s="27"/>
      </tp>
      <tp>
        <v>0</v>
        <stp/>
        <stp>102039530 40</stp>
        <tr r="AC51" s="17"/>
        <tr r="C26" s="27"/>
      </tp>
      <tp>
        <v>0</v>
        <stp/>
        <stp>102039533 40</stp>
        <tr r="C27" s="27"/>
        <tr r="AC53" s="17"/>
      </tp>
      <tp>
        <v>24360</v>
        <stp/>
        <stp>102039532 40</stp>
        <tr r="AC52" s="17"/>
        <tr r="O26" s="27"/>
      </tp>
      <tp>
        <v>680</v>
        <stp/>
        <stp>102039535 40</stp>
        <tr r="O27" s="27"/>
        <tr r="AC54" s="17"/>
      </tp>
      <tp>
        <v>680</v>
        <stp/>
        <stp>102039529 40</stp>
        <tr r="AC50" s="17"/>
        <tr r="O25" s="27"/>
      </tp>
      <tp>
        <v>0</v>
        <stp/>
        <stp>102039528 40</stp>
        <tr r="AC49" s="17"/>
        <tr r="C25" s="27"/>
      </tp>
      <tp>
        <v>0</v>
        <stp/>
        <stp>102039851 40</stp>
        <tr r="AC164" s="17"/>
        <tr r="O82" s="27"/>
      </tp>
      <tp>
        <v>60</v>
        <stp/>
        <stp>102039850 40</stp>
        <tr r="C82" s="27"/>
        <tr r="AC163" s="17"/>
      </tp>
      <tp>
        <v>0</v>
        <stp/>
        <stp>102039855 40</stp>
        <tr r="O83" s="27"/>
        <tr r="AC166" s="17"/>
      </tp>
      <tp>
        <v>2740</v>
        <stp/>
        <stp>102039854 40</stp>
        <tr r="AC165" s="17"/>
        <tr r="C83" s="27"/>
      </tp>
      <tp>
        <v>0</v>
        <stp/>
        <stp>102039847 40</stp>
        <tr r="AC162" s="17"/>
        <tr r="O81" s="27"/>
      </tp>
      <tp>
        <v>240</v>
        <stp/>
        <stp>102039846 40</stp>
        <tr r="C81" s="27"/>
        <tr r="AC161" s="17"/>
      </tp>
      <tp>
        <v>460</v>
        <stp/>
        <stp>102039811 40</stp>
        <tr r="C76" s="27"/>
        <tr r="AC151" s="17"/>
      </tp>
      <tp>
        <v>0</v>
        <stp/>
        <stp>102039812 40</stp>
        <tr r="O76" s="27"/>
        <tr r="AC152" s="17"/>
      </tp>
      <tp>
        <v>0</v>
        <stp/>
        <stp>102039803 40</stp>
        <tr r="AC147" s="17"/>
        <tr r="C74" s="27"/>
      </tp>
      <tp>
        <v>0</v>
        <stp/>
        <stp>102039804 40</stp>
        <tr r="AC148" s="17"/>
        <tr r="O74" s="27"/>
      </tp>
      <tp>
        <v>0</v>
        <stp/>
        <stp>102039807 40</stp>
        <tr r="AC150" s="17"/>
        <tr r="O75" s="27"/>
      </tp>
      <tp>
        <v>0</v>
        <stp/>
        <stp>102039806 40</stp>
        <tr r="AC149" s="17"/>
        <tr r="C75" s="27"/>
      </tp>
      <tp>
        <v>0</v>
        <stp/>
        <stp>102039837 40</stp>
        <tr r="AC160" s="17"/>
        <tr r="O80" s="27"/>
      </tp>
      <tp>
        <v>0</v>
        <stp/>
        <stp>102039836 40</stp>
        <tr r="C80" s="27"/>
        <tr r="AC159" s="17"/>
      </tp>
      <tp>
        <v>0</v>
        <stp/>
        <stp>102039829 40</stp>
        <tr r="O79" s="27"/>
        <tr r="AC158" s="17"/>
      </tp>
      <tp>
        <v>0</v>
        <stp/>
        <stp>102039828 40</stp>
        <tr r="AC157" s="17"/>
        <tr r="C79" s="27"/>
      </tp>
      <tp>
        <v>0</v>
        <stp/>
        <stp>102039821 40</stp>
        <tr r="AC154" s="17"/>
        <tr r="O77" s="27"/>
      </tp>
      <tp>
        <v>0</v>
        <stp/>
        <stp>102039820 40</stp>
        <tr r="C77" s="27"/>
        <tr r="AC153" s="17"/>
      </tp>
      <tp>
        <v>0</v>
        <stp/>
        <stp>102039827 40</stp>
        <tr r="AC156" s="17"/>
        <tr r="O78" s="27"/>
      </tp>
      <tp>
        <v>0</v>
        <stp/>
        <stp>102039826 40</stp>
        <tr r="AC155" s="17"/>
        <tr r="C78" s="27"/>
      </tp>
      <tp>
        <v>100</v>
        <stp/>
        <stp>102039829 27</stp>
        <tr r="S158" s="17"/>
      </tp>
      <tp>
        <v>20</v>
        <stp/>
        <stp>102039828 27</stp>
        <tr r="S157" s="17"/>
      </tp>
      <tp>
        <v>0</v>
        <stp/>
        <stp>102039811 24</stp>
        <tr r="P151" s="17"/>
      </tp>
      <tp>
        <v>100</v>
        <stp/>
        <stp>102039821 27</stp>
        <tr r="S154" s="17"/>
      </tp>
      <tp>
        <v>0</v>
        <stp/>
        <stp>102039851 20</stp>
        <tr r="Z164" s="17"/>
      </tp>
      <tp>
        <v>20</v>
        <stp/>
        <stp>102039820 27</stp>
        <tr r="S153" s="17"/>
      </tp>
      <tp>
        <v>1266058045</v>
        <stp/>
        <stp>102039850 20</stp>
        <tr r="Z163" s="17"/>
      </tp>
      <tp>
        <v>0</v>
        <stp/>
        <stp>102039803 25</stp>
        <tr r="Q147" s="17"/>
      </tp>
      <tp>
        <v>262205</v>
        <stp/>
        <stp>102039812 24</stp>
        <tr r="P152" s="17"/>
      </tp>
      <tp>
        <v>0</v>
        <stp/>
        <stp>102039855 20</stp>
        <tr r="Z166" s="17"/>
      </tp>
      <tp>
        <v>100</v>
        <stp/>
        <stp>102039804 25</stp>
        <tr r="Q148" s="17"/>
      </tp>
      <tp>
        <v>1266056952</v>
        <stp/>
        <stp>102039854 20</stp>
        <tr r="Z165" s="17"/>
      </tp>
      <tp>
        <v>100</v>
        <stp/>
        <stp>102039807 25</stp>
        <tr r="Q150" s="17"/>
      </tp>
      <tp>
        <v>100</v>
        <stp/>
        <stp>102039827 27</stp>
        <tr r="S156" s="17"/>
      </tp>
      <tp>
        <v>315075</v>
        <stp/>
        <stp>102039837 26</stp>
        <tr r="R160" s="17"/>
      </tp>
      <tp>
        <v>0</v>
        <stp/>
        <stp>102039806 25</stp>
        <tr r="Q149" s="17"/>
      </tp>
      <tp>
        <v>20</v>
        <stp/>
        <stp>102039826 27</stp>
        <tr r="S155" s="17"/>
      </tp>
      <tp>
        <v>50</v>
        <stp/>
        <stp>102039836 26</stp>
        <tr r="R159" s="17"/>
      </tp>
      <tp>
        <v>305075</v>
        <stp/>
        <stp>102039829 26</stp>
        <tr r="R158" s="17"/>
      </tp>
      <tp>
        <v>50</v>
        <stp/>
        <stp>102039828 26</stp>
        <tr r="R157" s="17"/>
      </tp>
      <tp>
        <v>0</v>
        <stp/>
        <stp>102039811 25</stp>
        <tr r="Q151" s="17"/>
      </tp>
      <tp>
        <v>285075</v>
        <stp/>
        <stp>102039821 26</stp>
        <tr r="R154" s="17"/>
      </tp>
      <tp>
        <v>50</v>
        <stp/>
        <stp>102039820 26</stp>
        <tr r="R153" s="17"/>
      </tp>
      <tp>
        <v>0</v>
        <stp/>
        <stp>102039803 24</stp>
        <tr r="P147" s="17"/>
      </tp>
      <tp>
        <v>100</v>
        <stp/>
        <stp>102039812 25</stp>
        <tr r="Q152" s="17"/>
      </tp>
      <tp>
        <v>243010</v>
        <stp/>
        <stp>102039804 24</stp>
        <tr r="P148" s="17"/>
      </tp>
      <tp>
        <v>253035</v>
        <stp/>
        <stp>102039807 24</stp>
        <tr r="P150" s="17"/>
      </tp>
      <tp>
        <v>295075</v>
        <stp/>
        <stp>102039827 26</stp>
        <tr r="R156" s="17"/>
      </tp>
      <tp>
        <v>100</v>
        <stp/>
        <stp>102039837 27</stp>
        <tr r="S160" s="17"/>
      </tp>
      <tp>
        <v>1265361322</v>
        <stp/>
        <stp>102039847 20</stp>
        <tr r="Z162" s="17"/>
      </tp>
      <tp>
        <v>0</v>
        <stp/>
        <stp>102039806 24</stp>
        <tr r="P149" s="17"/>
      </tp>
      <tp>
        <v>50</v>
        <stp/>
        <stp>102039826 26</stp>
        <tr r="R155" s="17"/>
      </tp>
      <tp>
        <v>20</v>
        <stp/>
        <stp>102039836 27</stp>
        <tr r="S159" s="17"/>
      </tp>
      <tp>
        <v>1266057373</v>
        <stp/>
        <stp>102039846 20</stp>
        <tr r="Z161" s="17"/>
      </tp>
      <tp>
        <v>100</v>
        <stp/>
        <stp>102039829 25</stp>
        <tr r="Q158" s="17"/>
      </tp>
      <tp>
        <v>0</v>
        <stp/>
        <stp>102039828 25</stp>
        <tr r="Q157" s="17"/>
      </tp>
      <tp>
        <v>25</v>
        <stp/>
        <stp>102039811 26</stp>
        <tr r="R151" s="17"/>
      </tp>
      <tp>
        <v>100</v>
        <stp/>
        <stp>102039821 25</stp>
        <tr r="Q154" s="17"/>
      </tp>
      <tp>
        <v>0</v>
        <stp/>
        <stp>102039820 25</stp>
        <tr r="Q153" s="17"/>
      </tp>
      <tp>
        <v>20</v>
        <stp/>
        <stp>102039803 27</stp>
        <tr r="S147" s="17"/>
      </tp>
      <tp>
        <v>275075</v>
        <stp/>
        <stp>102039812 26</stp>
        <tr r="R152" s="17"/>
      </tp>
      <tp>
        <v>100</v>
        <stp/>
        <stp>102039804 27</stp>
        <tr r="S148" s="17"/>
      </tp>
      <tp>
        <v>100</v>
        <stp/>
        <stp>102039807 27</stp>
        <tr r="S150" s="17"/>
      </tp>
      <tp>
        <v>100</v>
        <stp/>
        <stp>102039827 25</stp>
        <tr r="Q156" s="17"/>
      </tp>
      <tp>
        <v>301925</v>
        <stp/>
        <stp>102039837 24</stp>
        <tr r="P160" s="17"/>
      </tp>
      <tp>
        <v>20</v>
        <stp/>
        <stp>102039806 27</stp>
        <tr r="S149" s="17"/>
      </tp>
      <tp>
        <v>0</v>
        <stp/>
        <stp>102039826 25</stp>
        <tr r="Q155" s="17"/>
      </tp>
      <tp>
        <v>0</v>
        <stp/>
        <stp>102039836 24</stp>
        <tr r="P159" s="17"/>
      </tp>
      <tp>
        <v>288295</v>
        <stp/>
        <stp>102039829 24</stp>
        <tr r="P158" s="17"/>
      </tp>
      <tp>
        <v>0</v>
        <stp/>
        <stp>102039828 24</stp>
        <tr r="P157" s="17"/>
      </tp>
      <tp>
        <v>100</v>
        <stp/>
        <stp>102039811 27</stp>
        <tr r="S151" s="17"/>
      </tp>
      <tp>
        <v>272205</v>
        <stp/>
        <stp>102039821 24</stp>
        <tr r="P154" s="17"/>
      </tp>
      <tp>
        <v>0</v>
        <stp/>
        <stp>102039820 24</stp>
        <tr r="P153" s="17"/>
      </tp>
      <tp>
        <v>50</v>
        <stp/>
        <stp>102039803 26</stp>
        <tr r="R147" s="17"/>
      </tp>
      <tp>
        <v>100</v>
        <stp/>
        <stp>102039812 27</stp>
        <tr r="S152" s="17"/>
      </tp>
      <tp>
        <v>255075</v>
        <stp/>
        <stp>102039804 26</stp>
        <tr r="R148" s="17"/>
      </tp>
      <tp>
        <v>265075</v>
        <stp/>
        <stp>102039807 26</stp>
        <tr r="R150" s="17"/>
      </tp>
      <tp>
        <v>282205</v>
        <stp/>
        <stp>102039827 24</stp>
        <tr r="P156" s="17"/>
      </tp>
      <tp>
        <v>200</v>
        <stp/>
        <stp>102039837 25</stp>
        <tr r="Q160" s="17"/>
      </tp>
      <tp>
        <v>50</v>
        <stp/>
        <stp>102039806 26</stp>
        <tr r="R149" s="17"/>
      </tp>
      <tp>
        <v>0</v>
        <stp/>
        <stp>102039826 24</stp>
        <tr r="P155" s="17"/>
      </tp>
      <tp>
        <v>0</v>
        <stp/>
        <stp>102039836 25</stp>
        <tr r="Q159" s="17"/>
      </tp>
      <tp>
        <v>1266054183</v>
        <stp/>
        <stp>102039811 20</stp>
        <tr r="Z151" s="17"/>
      </tp>
      <tp>
        <v>322210</v>
        <stp/>
        <stp>102039851 24</stp>
        <tr r="P164" s="17"/>
      </tp>
      <tp>
        <v>10</v>
        <stp/>
        <stp>102039850 24</stp>
        <tr r="P163" s="17"/>
      </tp>
      <tp>
        <v>1265461135</v>
        <stp/>
        <stp>102039812 20</stp>
        <tr r="Z152" s="17"/>
      </tp>
      <tp>
        <v>332210</v>
        <stp/>
        <stp>102039855 24</stp>
        <tr r="P166" s="17"/>
      </tp>
      <tp>
        <v>5</v>
        <stp/>
        <stp>102039854 24</stp>
        <tr r="P165" s="17"/>
      </tp>
      <tp>
        <v>100</v>
        <stp/>
        <stp>102039847 25</stp>
        <tr r="Q162" s="17"/>
      </tp>
      <tp>
        <v>0</v>
        <stp/>
        <stp>102039846 25</stp>
        <tr r="Q161" s="17"/>
      </tp>
      <tp>
        <v>100</v>
        <stp/>
        <stp>102039851 25</stp>
        <tr r="Q164" s="17"/>
      </tp>
      <tp>
        <v>20</v>
        <stp/>
        <stp>102039850 25</stp>
        <tr r="Q163" s="17"/>
      </tp>
      <tp>
        <v>0</v>
        <stp/>
        <stp>102039803 20</stp>
        <tr r="Z147" s="17"/>
      </tp>
      <tp>
        <v>100</v>
        <stp/>
        <stp>102039855 25</stp>
        <tr r="Q166" s="17"/>
      </tp>
      <tp>
        <v>0</v>
        <stp/>
        <stp>102039804 20</stp>
        <tr r="Z148" s="17"/>
      </tp>
      <tp>
        <v>60</v>
        <stp/>
        <stp>102039854 25</stp>
        <tr r="Q165" s="17"/>
      </tp>
      <tp>
        <v>0</v>
        <stp/>
        <stp>102039807 20</stp>
        <tr r="Z150" s="17"/>
      </tp>
      <tp>
        <v>312200</v>
        <stp/>
        <stp>102039847 24</stp>
        <tr r="P162" s="17"/>
      </tp>
      <tp>
        <v>0</v>
        <stp/>
        <stp>102039806 20</stp>
        <tr r="Z149" s="17"/>
      </tp>
      <tp>
        <v>0</v>
        <stp/>
        <stp>102039846 24</stp>
        <tr r="P161" s="17"/>
      </tp>
      <tp>
        <v>335080</v>
        <stp/>
        <stp>102039851 26</stp>
        <tr r="R164" s="17"/>
      </tp>
      <tp>
        <v>50</v>
        <stp/>
        <stp>102039850 26</stp>
        <tr r="R163" s="17"/>
      </tp>
      <tp>
        <v>345075</v>
        <stp/>
        <stp>102039855 26</stp>
        <tr r="R166" s="17"/>
      </tp>
      <tp>
        <v>20</v>
        <stp/>
        <stp>102039854 26</stp>
        <tr r="R165" s="17"/>
      </tp>
      <tp>
        <v>0</v>
        <stp/>
        <stp>102039837 20</stp>
        <tr r="Z160" s="17"/>
      </tp>
      <tp>
        <v>100</v>
        <stp/>
        <stp>102039847 27</stp>
        <tr r="S162" s="17"/>
      </tp>
      <tp>
        <v>0</v>
        <stp/>
        <stp>102039836 20</stp>
        <tr r="Z159" s="17"/>
      </tp>
      <tp>
        <v>2000</v>
        <stp/>
        <stp>102039846 27</stp>
        <tr r="S161" s="17"/>
      </tp>
      <tp>
        <v>1265463005</v>
        <stp/>
        <stp>102039829 20</stp>
        <tr r="Z158" s="17"/>
      </tp>
      <tp>
        <v>0</v>
        <stp/>
        <stp>102039828 20</stp>
        <tr r="Z157" s="17"/>
      </tp>
      <tp>
        <v>0</v>
        <stp/>
        <stp>102039821 20</stp>
        <tr r="Z154" s="17"/>
      </tp>
      <tp>
        <v>500</v>
        <stp/>
        <stp>102039851 27</stp>
        <tr r="S164" s="17"/>
      </tp>
      <tp>
        <v>0</v>
        <stp/>
        <stp>102039820 20</stp>
        <tr r="Z153" s="17"/>
      </tp>
      <tp>
        <v>20</v>
        <stp/>
        <stp>102039850 27</stp>
        <tr r="S163" s="17"/>
      </tp>
      <tp>
        <v>100</v>
        <stp/>
        <stp>102039855 27</stp>
        <tr r="S166" s="17"/>
      </tp>
      <tp>
        <v>20</v>
        <stp/>
        <stp>102039854 27</stp>
        <tr r="S165" s="17"/>
      </tp>
      <tp>
        <v>0</v>
        <stp/>
        <stp>102039827 20</stp>
        <tr r="Z156" s="17"/>
      </tp>
      <tp>
        <v>325075</v>
        <stp/>
        <stp>102039847 26</stp>
        <tr r="R162" s="17"/>
      </tp>
      <tp>
        <v>1265537222</v>
        <stp/>
        <stp>102039826 20</stp>
        <tr r="Z155" s="17"/>
      </tp>
      <tp>
        <v>35</v>
        <stp/>
        <stp>102039846 26</stp>
        <tr r="R161" s="17"/>
      </tp>
      <tp>
        <v>0</v>
        <stp/>
        <stp>102039811 34</stp>
        <tr r="AD151" s="17"/>
      </tp>
      <tp>
        <v>0</v>
        <stp/>
        <stp>102039812 34</stp>
        <tr r="AD152" s="17"/>
      </tp>
      <tp>
        <v>0</v>
        <stp/>
        <stp>102039803 34</stp>
        <tr r="AD147" s="17"/>
      </tp>
      <tp>
        <v>0</v>
        <stp/>
        <stp>102039804 34</stp>
        <tr r="AD148" s="17"/>
      </tp>
      <tp>
        <v>0</v>
        <stp/>
        <stp>102039807 34</stp>
        <tr r="AD150" s="17"/>
      </tp>
      <tp>
        <v>0</v>
        <stp/>
        <stp>102039806 34</stp>
        <tr r="AD149" s="17"/>
      </tp>
      <tp>
        <v>0</v>
        <stp/>
        <stp>102039837 34</stp>
        <tr r="AD160" s="17"/>
      </tp>
      <tp>
        <v>0</v>
        <stp/>
        <stp>102039836 34</stp>
        <tr r="AD159" s="17"/>
      </tp>
      <tp>
        <v>0</v>
        <stp/>
        <stp>102039829 34</stp>
        <tr r="AD158" s="17"/>
      </tp>
      <tp>
        <v>0</v>
        <stp/>
        <stp>102039828 34</stp>
        <tr r="AD157" s="17"/>
      </tp>
      <tp>
        <v>0</v>
        <stp/>
        <stp>102039821 34</stp>
        <tr r="AD154" s="17"/>
      </tp>
      <tp>
        <v>0</v>
        <stp/>
        <stp>102039820 34</stp>
        <tr r="AD153" s="17"/>
      </tp>
      <tp>
        <v>0</v>
        <stp/>
        <stp>102039827 34</stp>
        <tr r="AD156" s="17"/>
      </tp>
      <tp>
        <v>0</v>
        <stp/>
        <stp>102039826 34</stp>
        <tr r="AD155" s="17"/>
      </tp>
      <tp>
        <v>0</v>
        <stp/>
        <stp>102039851 34</stp>
        <tr r="AD164" s="17"/>
      </tp>
      <tp>
        <v>0</v>
        <stp/>
        <stp>102039850 34</stp>
        <tr r="AD163" s="17"/>
      </tp>
      <tp>
        <v>0</v>
        <stp/>
        <stp>102039855 34</stp>
        <tr r="AD166" s="17"/>
      </tp>
      <tp>
        <v>0</v>
        <stp/>
        <stp>102039854 34</stp>
        <tr r="AD165" s="17"/>
      </tp>
      <tp>
        <v>0</v>
        <stp/>
        <stp>102039847 34</stp>
        <tr r="AD162" s="17"/>
      </tp>
      <tp>
        <v>0</v>
        <stp/>
        <stp>102039846 34</stp>
        <tr r="AD161" s="17"/>
      </tp>
      <tp>
        <v>0</v>
        <stp/>
        <stp>102039851 18</stp>
        <tr r="AA164" s="17"/>
      </tp>
      <tp>
        <v>0</v>
        <stp/>
        <stp>102039850 18</stp>
        <tr r="AA163" s="17"/>
      </tp>
      <tp>
        <v>0</v>
        <stp/>
        <stp>102039855 18</stp>
        <tr r="AA166" s="17"/>
      </tp>
      <tp>
        <v>0</v>
        <stp/>
        <stp>102039854 18</stp>
        <tr r="AA165" s="17"/>
      </tp>
      <tp>
        <v>0</v>
        <stp/>
        <stp>102039847 18</stp>
        <tr r="AA162" s="17"/>
      </tp>
      <tp>
        <v>0</v>
        <stp/>
        <stp>102039846 18</stp>
        <tr r="AA161" s="17"/>
      </tp>
      <tp>
        <v>0</v>
        <stp/>
        <stp>102039811 18</stp>
        <tr r="AA151" s="17"/>
      </tp>
      <tp>
        <v>0</v>
        <stp/>
        <stp>102039812 18</stp>
        <tr r="AA152" s="17"/>
      </tp>
      <tp>
        <v>0</v>
        <stp/>
        <stp>102039803 18</stp>
        <tr r="AA147" s="17"/>
      </tp>
      <tp>
        <v>0</v>
        <stp/>
        <stp>102039804 18</stp>
        <tr r="AA148" s="17"/>
      </tp>
      <tp>
        <v>0</v>
        <stp/>
        <stp>102039807 18</stp>
        <tr r="AA150" s="17"/>
      </tp>
      <tp>
        <v>0</v>
        <stp/>
        <stp>102039806 18</stp>
        <tr r="AA149" s="17"/>
      </tp>
      <tp>
        <v>0</v>
        <stp/>
        <stp>102039837 18</stp>
        <tr r="AA160" s="17"/>
      </tp>
      <tp>
        <v>0</v>
        <stp/>
        <stp>102039836 18</stp>
        <tr r="AA159" s="17"/>
      </tp>
      <tp>
        <v>0</v>
        <stp/>
        <stp>102039829 18</stp>
        <tr r="AA158" s="17"/>
      </tp>
      <tp>
        <v>0</v>
        <stp/>
        <stp>102039828 18</stp>
        <tr r="AA157" s="17"/>
      </tp>
      <tp>
        <v>0</v>
        <stp/>
        <stp>102039821 18</stp>
        <tr r="AA154" s="17"/>
      </tp>
      <tp>
        <v>0</v>
        <stp/>
        <stp>102039820 18</stp>
        <tr r="AA153" s="17"/>
      </tp>
      <tp>
        <v>0</v>
        <stp/>
        <stp>102039827 18</stp>
        <tr r="AA156" s="17"/>
      </tp>
      <tp>
        <v>0</v>
        <stp/>
        <stp>102039826 18</stp>
        <tr r="AA155" s="17"/>
      </tp>
      <tp>
        <v>0</v>
        <stp/>
        <stp>102039829 17</stp>
        <tr r="AB158" s="17"/>
      </tp>
      <tp>
        <v>0</v>
        <stp/>
        <stp>102039828 17</stp>
        <tr r="AB157" s="17"/>
      </tp>
      <tp>
        <v>15</v>
        <stp/>
        <stp>102039811 14</stp>
        <tr r="H76" s="27"/>
        <tr r="U151" s="17"/>
      </tp>
      <tp>
        <v>0</v>
        <stp/>
        <stp>102039821 17</stp>
        <tr r="AB154" s="17"/>
      </tp>
      <tp>
        <v>0</v>
        <stp/>
        <stp>102039851 10</stp>
        <tr r="K82" s="27"/>
        <tr r="X164" s="17"/>
      </tp>
      <tp>
        <v>0</v>
        <stp/>
        <stp>102039820 17</stp>
        <tr r="AB153" s="17"/>
      </tp>
      <tp>
        <v>30</v>
        <stp/>
        <stp>102039850 10</stp>
        <tr r="G82" s="27"/>
        <tr r="X163" s="17"/>
      </tp>
      <tp>
        <v>0</v>
        <stp/>
        <stp>102039803 15</stp>
        <tr r="V147" s="17"/>
      </tp>
      <tp>
        <v>260000</v>
        <stp/>
        <stp>102039812 14</stp>
        <tr r="J76" s="27"/>
        <tr r="U152" s="17"/>
      </tp>
      <tp>
        <v>0</v>
        <stp/>
        <stp>102039855 10</stp>
        <tr r="K83" s="27"/>
        <tr r="X166" s="17"/>
      </tp>
      <tp>
        <v>0</v>
        <stp/>
        <stp>102039804 15</stp>
        <tr r="V148" s="17"/>
      </tp>
      <tp>
        <v>15</v>
        <stp/>
        <stp>102039854 10</stp>
        <tr r="X165" s="17"/>
        <tr r="G83" s="27"/>
      </tp>
      <tp>
        <v>0</v>
        <stp/>
        <stp>102039807 15</stp>
        <tr r="V150" s="17"/>
      </tp>
      <tp>
        <v>0</v>
        <stp/>
        <stp>102039827 17</stp>
        <tr r="AB156" s="17"/>
      </tp>
      <tp>
        <v>0</v>
        <stp/>
        <stp>102039837 16</stp>
        <tr r="W160" s="17"/>
      </tp>
      <tp>
        <v>40</v>
        <stp/>
        <stp>102039847 11</stp>
        <tr r="Y162" s="17"/>
      </tp>
      <tp>
        <v>0</v>
        <stp/>
        <stp>102039806 15</stp>
        <tr r="V149" s="17"/>
      </tp>
      <tp>
        <v>0</v>
        <stp/>
        <stp>102039826 17</stp>
        <tr r="AB155" s="17"/>
      </tp>
      <tp>
        <v>0</v>
        <stp/>
        <stp>102039836 16</stp>
        <tr r="W159" s="17"/>
      </tp>
      <tp>
        <v>40</v>
        <stp/>
        <stp>102039846 11</stp>
        <tr r="Y161" s="17"/>
      </tp>
      <tp>
        <v>0</v>
        <stp/>
        <stp>102039829 16</stp>
        <tr r="W158" s="17"/>
      </tp>
      <tp>
        <v>0</v>
        <stp/>
        <stp>102039828 16</stp>
        <tr r="W157" s="17"/>
      </tp>
      <tp>
        <v>15</v>
        <stp/>
        <stp>102039811 15</stp>
        <tr r="V151" s="17"/>
      </tp>
      <tp>
        <v>0</v>
        <stp/>
        <stp>102039821 16</stp>
        <tr r="W154" s="17"/>
      </tp>
      <tp>
        <v>0</v>
        <stp/>
        <stp>102039851 11</stp>
        <tr r="Y164" s="17"/>
      </tp>
      <tp>
        <v>0</v>
        <stp/>
        <stp>102039820 16</stp>
        <tr r="W153" s="17"/>
      </tp>
      <tp>
        <v>20</v>
        <stp/>
        <stp>102039850 11</stp>
        <tr r="Y163" s="17"/>
      </tp>
      <tp>
        <v>36350</v>
        <stp/>
        <stp>102039803 14</stp>
        <tr r="H74" s="27"/>
        <tr r="U147" s="17"/>
      </tp>
      <tp>
        <v>0</v>
        <stp/>
        <stp>102039812 15</stp>
        <tr r="V152" s="17"/>
      </tp>
      <tp>
        <v>0</v>
        <stp/>
        <stp>102039855 11</stp>
        <tr r="Y166" s="17"/>
      </tp>
      <tp>
        <v>216660</v>
        <stp/>
        <stp>102039804 14</stp>
        <tr r="J74" s="27"/>
        <tr r="U148" s="17"/>
      </tp>
      <tp>
        <v>40</v>
        <stp/>
        <stp>102039854 11</stp>
        <tr r="Y165" s="17"/>
      </tp>
      <tp>
        <v>224355</v>
        <stp/>
        <stp>102039807 14</stp>
        <tr r="J75" s="27"/>
        <tr r="U150" s="17"/>
      </tp>
      <tp>
        <v>0</v>
        <stp/>
        <stp>102039827 16</stp>
        <tr r="W156" s="17"/>
      </tp>
      <tp>
        <v>0</v>
        <stp/>
        <stp>102039837 17</stp>
        <tr r="AB160" s="17"/>
      </tp>
      <tp>
        <v>432490</v>
        <stp/>
        <stp>102039847 10</stp>
        <tr r="K81" s="27"/>
        <tr r="X162" s="17"/>
      </tp>
      <tp>
        <v>34145</v>
        <stp/>
        <stp>102039806 14</stp>
        <tr r="H75" s="27"/>
        <tr r="U149" s="17"/>
      </tp>
      <tp>
        <v>0</v>
        <stp/>
        <stp>102039826 16</stp>
        <tr r="W155" s="17"/>
      </tp>
      <tp>
        <v>0</v>
        <stp/>
        <stp>102039836 17</stp>
        <tr r="AB159" s="17"/>
      </tp>
      <tp>
        <v>15</v>
        <stp/>
        <stp>102039846 10</stp>
        <tr r="X161" s="17"/>
        <tr r="G81" s="27"/>
      </tp>
      <tp>
        <v>0</v>
        <stp/>
        <stp>102039829 15</stp>
        <tr r="V158" s="17"/>
      </tp>
      <tp>
        <v>0</v>
        <stp/>
        <stp>102039828 15</stp>
        <tr r="V157" s="17"/>
      </tp>
      <tp>
        <v>15</v>
        <stp/>
        <stp>102039811 16</stp>
        <tr r="W151" s="17"/>
      </tp>
      <tp>
        <v>0</v>
        <stp/>
        <stp>102039821 15</stp>
        <tr r="V154" s="17"/>
      </tp>
      <tp>
        <v>0</v>
        <stp/>
        <stp>102039851 12</stp>
        <tr r="O164" s="17"/>
        <tr r="M82" s="27"/>
      </tp>
      <tp>
        <v>0</v>
        <stp/>
        <stp>102039820 15</stp>
        <tr r="V153" s="17"/>
      </tp>
      <tp>
        <v>5000</v>
        <stp/>
        <stp>102039850 12</stp>
        <tr r="E82" s="27"/>
        <tr r="O163" s="17"/>
      </tp>
      <tp>
        <v>0</v>
        <stp/>
        <stp>102039803 17</stp>
        <tr r="AB147" s="17"/>
      </tp>
      <tp>
        <v>0</v>
        <stp/>
        <stp>102039812 16</stp>
        <tr r="W152" s="17"/>
      </tp>
      <tp>
        <v>0</v>
        <stp/>
        <stp>102039855 12</stp>
        <tr r="M83" s="27"/>
        <tr r="O166" s="17"/>
      </tp>
      <tp>
        <v>0</v>
        <stp/>
        <stp>102039804 17</stp>
        <tr r="AB148" s="17"/>
      </tp>
      <tp>
        <v>280100</v>
        <stp/>
        <stp>102039854 12</stp>
        <tr r="O165" s="17"/>
        <tr r="E83" s="27"/>
      </tp>
      <tp>
        <v>0</v>
        <stp/>
        <stp>102039807 17</stp>
        <tr r="AB150" s="17"/>
      </tp>
      <tp>
        <v>0</v>
        <stp/>
        <stp>102039827 15</stp>
        <tr r="V156" s="17"/>
      </tp>
      <tp>
        <v>264400</v>
        <stp/>
        <stp>102039837 14</stp>
        <tr r="J80" s="27"/>
        <tr r="U160" s="17"/>
      </tp>
      <tp>
        <v>0</v>
        <stp/>
        <stp>102039847 13</stp>
        <tr r="T162" s="17"/>
      </tp>
      <tp>
        <v>0</v>
        <stp/>
        <stp>102039806 17</stp>
        <tr r="AB149" s="17"/>
      </tp>
      <tp>
        <v>0</v>
        <stp/>
        <stp>102039826 15</stp>
        <tr r="V155" s="17"/>
      </tp>
      <tp>
        <v>24680</v>
        <stp/>
        <stp>102039836 14</stp>
        <tr r="H80" s="27"/>
        <tr r="U159" s="17"/>
      </tp>
      <tp>
        <v>40</v>
        <stp/>
        <stp>102039846 13</stp>
        <tr r="T161" s="17"/>
      </tp>
      <tp>
        <v>280000</v>
        <stp/>
        <stp>102039829 14</stp>
        <tr r="J79" s="27"/>
        <tr r="U158" s="17"/>
      </tp>
      <tp>
        <v>26380</v>
        <stp/>
        <stp>102039828 14</stp>
        <tr r="H79" s="27"/>
        <tr r="U157" s="17"/>
      </tp>
      <tp>
        <v>0</v>
        <stp/>
        <stp>102039811 17</stp>
        <tr r="AB151" s="17"/>
      </tp>
      <tp>
        <v>240070</v>
        <stp/>
        <stp>102039821 14</stp>
        <tr r="J77" s="27"/>
        <tr r="U154" s="17"/>
      </tp>
      <tp>
        <v>0</v>
        <stp/>
        <stp>102039851 13</stp>
        <tr r="T164" s="17"/>
      </tp>
      <tp>
        <v>30060</v>
        <stp/>
        <stp>102039820 14</stp>
        <tr r="H77" s="27"/>
        <tr r="U153" s="17"/>
      </tp>
      <tp>
        <v>30</v>
        <stp/>
        <stp>102039850 13</stp>
        <tr r="T163" s="17"/>
      </tp>
      <tp>
        <v>0</v>
        <stp/>
        <stp>102039803 16</stp>
        <tr r="W147" s="17"/>
      </tp>
      <tp>
        <v>0</v>
        <stp/>
        <stp>102039812 17</stp>
        <tr r="AB152" s="17"/>
      </tp>
      <tp>
        <v>0</v>
        <stp/>
        <stp>102039855 13</stp>
        <tr r="T166" s="17"/>
      </tp>
      <tp>
        <v>0</v>
        <stp/>
        <stp>102039804 16</stp>
        <tr r="W148" s="17"/>
      </tp>
      <tp>
        <v>45</v>
        <stp/>
        <stp>102039854 13</stp>
        <tr r="T165" s="17"/>
      </tp>
      <tp>
        <v>0</v>
        <stp/>
        <stp>102039807 16</stp>
        <tr r="W150" s="17"/>
      </tp>
      <tp>
        <v>248085</v>
        <stp/>
        <stp>102039827 14</stp>
        <tr r="J78" s="27"/>
        <tr r="U156" s="17"/>
      </tp>
      <tp>
        <v>0</v>
        <stp/>
        <stp>102039837 15</stp>
        <tr r="V160" s="17"/>
      </tp>
      <tp>
        <v>0</v>
        <stp/>
        <stp>102039847 12</stp>
        <tr r="O162" s="17"/>
        <tr r="M81" s="27"/>
      </tp>
      <tp>
        <v>0</v>
        <stp/>
        <stp>102039806 16</stp>
        <tr r="W149" s="17"/>
      </tp>
      <tp>
        <v>590</v>
        <stp/>
        <stp>102039826 14</stp>
        <tr r="H78" s="27"/>
        <tr r="U155" s="17"/>
      </tp>
      <tp>
        <v>0</v>
        <stp/>
        <stp>102039836 15</stp>
        <tr r="V159" s="17"/>
      </tp>
      <tp>
        <v>80</v>
        <stp/>
        <stp>102039846 12</stp>
        <tr r="E81" s="27"/>
        <tr r="O161" s="17"/>
      </tp>
      <tp>
        <v>0</v>
        <stp/>
        <stp>102039829 13</stp>
        <tr r="T158" s="17"/>
      </tp>
      <tp>
        <v>0</v>
        <stp/>
        <stp>102039828 13</stp>
        <tr r="T157" s="17"/>
      </tp>
      <tp>
        <v>15</v>
        <stp/>
        <stp>102039811 10</stp>
        <tr r="X151" s="17"/>
        <tr r="G76" s="27"/>
      </tp>
      <tp>
        <v>0</v>
        <stp/>
        <stp>102039821 13</stp>
        <tr r="T154" s="17"/>
      </tp>
      <tp>
        <v>281080</v>
        <stp/>
        <stp>102039851 14</stp>
        <tr r="J82" s="27"/>
        <tr r="U164" s="17"/>
      </tp>
      <tp>
        <v>0</v>
        <stp/>
        <stp>102039820 13</stp>
        <tr r="T153" s="17"/>
      </tp>
      <tp>
        <v>35</v>
        <stp/>
        <stp>102039850 14</stp>
        <tr r="H82" s="27"/>
        <tr r="U163" s="17"/>
      </tp>
      <tp>
        <v>0</v>
        <stp/>
        <stp>102039803 11</stp>
        <tr r="Y147" s="17"/>
      </tp>
      <tp>
        <v>260000</v>
        <stp/>
        <stp>102039812 10</stp>
        <tr r="X152" s="17"/>
        <tr r="K76" s="27"/>
      </tp>
      <tp>
        <v>289550</v>
        <stp/>
        <stp>102039855 14</stp>
        <tr r="J83" s="27"/>
        <tr r="U166" s="17"/>
      </tp>
      <tp>
        <v>0</v>
        <stp/>
        <stp>102039804 11</stp>
        <tr r="Y148" s="17"/>
      </tp>
      <tp>
        <v>125</v>
        <stp/>
        <stp>102039854 14</stp>
        <tr r="H83" s="27"/>
        <tr r="U165" s="17"/>
      </tp>
      <tp>
        <v>0</v>
        <stp/>
        <stp>102039807 11</stp>
        <tr r="Y150" s="17"/>
      </tp>
      <tp>
        <v>0</v>
        <stp/>
        <stp>102039827 13</stp>
        <tr r="T156" s="17"/>
      </tp>
      <tp>
        <v>0</v>
        <stp/>
        <stp>102039837 12</stp>
        <tr r="M80" s="27"/>
        <tr r="O160" s="17"/>
      </tp>
      <tp>
        <v>0</v>
        <stp/>
        <stp>102039847 15</stp>
        <tr r="V162" s="17"/>
      </tp>
      <tp>
        <v>0</v>
        <stp/>
        <stp>102039806 11</stp>
        <tr r="Y149" s="17"/>
      </tp>
      <tp>
        <v>0</v>
        <stp/>
        <stp>102039826 13</stp>
        <tr r="T155" s="17"/>
      </tp>
      <tp>
        <v>0</v>
        <stp/>
        <stp>102039836 12</stp>
        <tr r="E80" s="27"/>
        <tr r="O159" s="17"/>
      </tp>
      <tp>
        <v>40</v>
        <stp/>
        <stp>102039846 15</stp>
        <tr r="V161" s="17"/>
      </tp>
      <tp>
        <v>0</v>
        <stp/>
        <stp>102039829 12</stp>
        <tr r="M79" s="27"/>
        <tr r="O158" s="17"/>
      </tp>
      <tp>
        <v>0</v>
        <stp/>
        <stp>102039828 12</stp>
        <tr r="O157" s="17"/>
        <tr r="E79" s="27"/>
      </tp>
      <tp>
        <v>180</v>
        <stp/>
        <stp>102039811 11</stp>
        <tr r="Y151" s="17"/>
      </tp>
      <tp>
        <v>0</v>
        <stp/>
        <stp>102039821 12</stp>
        <tr r="O154" s="17"/>
        <tr r="M77" s="27"/>
      </tp>
      <tp>
        <v>0</v>
        <stp/>
        <stp>102039851 15</stp>
        <tr r="V164" s="17"/>
      </tp>
      <tp>
        <v>0</v>
        <stp/>
        <stp>102039820 12</stp>
        <tr r="E77" s="27"/>
        <tr r="O153" s="17"/>
      </tp>
      <tp>
        <v>40</v>
        <stp/>
        <stp>102039850 15</stp>
        <tr r="V163" s="17"/>
      </tp>
      <tp>
        <v>0</v>
        <stp/>
        <stp>102039803 10</stp>
        <tr r="X147" s="17"/>
        <tr r="G74" s="27"/>
      </tp>
      <tp>
        <v>20</v>
        <stp/>
        <stp>102039812 11</stp>
        <tr r="Y152" s="17"/>
      </tp>
      <tp>
        <v>0</v>
        <stp/>
        <stp>102039855 15</stp>
        <tr r="V166" s="17"/>
      </tp>
      <tp>
        <v>0</v>
        <stp/>
        <stp>102039804 10</stp>
        <tr r="K74" s="27"/>
        <tr r="X148" s="17"/>
      </tp>
      <tp>
        <v>65</v>
        <stp/>
        <stp>102039854 15</stp>
        <tr r="V165" s="17"/>
      </tp>
      <tp>
        <v>0</v>
        <stp/>
        <stp>102039807 10</stp>
        <tr r="X150" s="17"/>
        <tr r="K75" s="27"/>
      </tp>
      <tp>
        <v>0</v>
        <stp/>
        <stp>102039827 12</stp>
        <tr r="M78" s="27"/>
        <tr r="O156" s="17"/>
      </tp>
      <tp>
        <v>0</v>
        <stp/>
        <stp>102039837 13</stp>
        <tr r="T160" s="17"/>
      </tp>
      <tp>
        <v>432490</v>
        <stp/>
        <stp>102039847 14</stp>
        <tr r="J81" s="27"/>
        <tr r="U162" s="17"/>
      </tp>
      <tp>
        <v>0</v>
        <stp/>
        <stp>102039806 10</stp>
        <tr r="G75" s="27"/>
        <tr r="X149" s="17"/>
      </tp>
      <tp>
        <v>0</v>
        <stp/>
        <stp>102039826 12</stp>
        <tr r="O155" s="17"/>
        <tr r="E78" s="27"/>
      </tp>
      <tp>
        <v>0</v>
        <stp/>
        <stp>102039836 13</stp>
        <tr r="T159" s="17"/>
      </tp>
      <tp>
        <v>150</v>
        <stp/>
        <stp>102039846 14</stp>
        <tr r="H81" s="27"/>
        <tr r="U161" s="17"/>
      </tp>
      <tp>
        <v>20</v>
        <stp/>
        <stp>102039829 11</stp>
        <tr r="Y158" s="17"/>
      </tp>
      <tp>
        <v>0</v>
        <stp/>
        <stp>102039828 11</stp>
        <tr r="Y157" s="17"/>
      </tp>
      <tp>
        <v>220</v>
        <stp/>
        <stp>102039811 12</stp>
        <tr r="E76" s="27"/>
        <tr r="O151" s="17"/>
      </tp>
      <tp>
        <v>0</v>
        <stp/>
        <stp>102039821 11</stp>
        <tr r="Y154" s="17"/>
      </tp>
      <tp>
        <v>0</v>
        <stp/>
        <stp>102039851 16</stp>
        <tr r="W164" s="17"/>
      </tp>
      <tp>
        <v>0</v>
        <stp/>
        <stp>102039820 11</stp>
        <tr r="Y153" s="17"/>
      </tp>
      <tp>
        <v>30</v>
        <stp/>
        <stp>102039850 16</stp>
        <tr r="W163" s="17"/>
      </tp>
      <tp>
        <v>0</v>
        <stp/>
        <stp>102039803 13</stp>
        <tr r="T147" s="17"/>
      </tp>
      <tp>
        <v>0</v>
        <stp/>
        <stp>102039812 12</stp>
        <tr r="M76" s="27"/>
        <tr r="O152" s="17"/>
      </tp>
      <tp>
        <v>0</v>
        <stp/>
        <stp>102039855 16</stp>
        <tr r="W166" s="17"/>
      </tp>
      <tp>
        <v>0</v>
        <stp/>
        <stp>102039804 13</stp>
        <tr r="T148" s="17"/>
      </tp>
      <tp>
        <v>10</v>
        <stp/>
        <stp>102039854 16</stp>
        <tr r="W165" s="17"/>
      </tp>
      <tp>
        <v>0</v>
        <stp/>
        <stp>102039807 13</stp>
        <tr r="T150" s="17"/>
      </tp>
      <tp>
        <v>0</v>
        <stp/>
        <stp>102039827 11</stp>
        <tr r="Y156" s="17"/>
      </tp>
      <tp>
        <v>0</v>
        <stp/>
        <stp>102039837 10</stp>
        <tr r="X160" s="17"/>
        <tr r="K80" s="27"/>
      </tp>
      <tp>
        <v>0</v>
        <stp/>
        <stp>102039847 17</stp>
        <tr r="AB162" s="17"/>
      </tp>
      <tp>
        <v>0</v>
        <stp/>
        <stp>102039806 13</stp>
        <tr r="T149" s="17"/>
      </tp>
      <tp>
        <v>20</v>
        <stp/>
        <stp>102039826 11</stp>
        <tr r="Y155" s="17"/>
      </tp>
      <tp>
        <v>0</v>
        <stp/>
        <stp>102039836 10</stp>
        <tr r="X159" s="17"/>
        <tr r="G80" s="27"/>
      </tp>
      <tp>
        <v>0</v>
        <stp/>
        <stp>102039846 17</stp>
        <tr r="AB161" s="17"/>
      </tp>
      <tp>
        <v>280000</v>
        <stp/>
        <stp>102039829 10</stp>
        <tr r="K79" s="27"/>
        <tr r="X158" s="17"/>
      </tp>
      <tp>
        <v>0</v>
        <stp/>
        <stp>102039828 10</stp>
        <tr r="X157" s="17"/>
        <tr r="G79" s="27"/>
      </tp>
      <tp>
        <v>15</v>
        <stp/>
        <stp>102039811 13</stp>
        <tr r="T151" s="17"/>
      </tp>
      <tp>
        <v>0</v>
        <stp/>
        <stp>102039821 10</stp>
        <tr r="X154" s="17"/>
        <tr r="K77" s="27"/>
      </tp>
      <tp>
        <v>0</v>
        <stp/>
        <stp>102039851 17</stp>
        <tr r="AB164" s="17"/>
      </tp>
      <tp>
        <v>0</v>
        <stp/>
        <stp>102039820 10</stp>
        <tr r="X153" s="17"/>
        <tr r="G77" s="27"/>
      </tp>
      <tp>
        <v>0</v>
        <stp/>
        <stp>102039850 17</stp>
        <tr r="AB163" s="17"/>
      </tp>
      <tp>
        <v>0</v>
        <stp/>
        <stp>102039803 12</stp>
        <tr r="E74" s="27"/>
        <tr r="O147" s="17"/>
      </tp>
      <tp>
        <v>0</v>
        <stp/>
        <stp>102039812 13</stp>
        <tr r="T152" s="17"/>
      </tp>
      <tp>
        <v>0</v>
        <stp/>
        <stp>102039855 17</stp>
        <tr r="AB166" s="17"/>
      </tp>
      <tp>
        <v>0</v>
        <stp/>
        <stp>102039804 12</stp>
        <tr r="O148" s="17"/>
        <tr r="M74" s="27"/>
      </tp>
      <tp>
        <v>0</v>
        <stp/>
        <stp>102039854 17</stp>
        <tr r="AB165" s="17"/>
      </tp>
      <tp>
        <v>0</v>
        <stp/>
        <stp>102039807 12</stp>
        <tr r="O150" s="17"/>
        <tr r="M75" s="27"/>
      </tp>
      <tp>
        <v>0</v>
        <stp/>
        <stp>102039827 10</stp>
        <tr r="K78" s="27"/>
        <tr r="X156" s="17"/>
      </tp>
      <tp>
        <v>0</v>
        <stp/>
        <stp>102039837 11</stp>
        <tr r="Y160" s="17"/>
      </tp>
      <tp>
        <v>0</v>
        <stp/>
        <stp>102039847 16</stp>
        <tr r="W162" s="17"/>
      </tp>
      <tp>
        <v>0</v>
        <stp/>
        <stp>102039806 12</stp>
        <tr r="O149" s="17"/>
        <tr r="E75" s="27"/>
      </tp>
      <tp>
        <v>590</v>
        <stp/>
        <stp>102039826 10</stp>
        <tr r="G78" s="27"/>
        <tr r="X155" s="17"/>
      </tp>
      <tp>
        <v>0</v>
        <stp/>
        <stp>102039836 11</stp>
        <tr r="Y159" s="17"/>
      </tp>
      <tp>
        <v>15</v>
        <stp/>
        <stp>102039846 16</stp>
        <tr r="W161" s="17"/>
      </tp>
      <tp t="e">
        <v>#N/A</v>
        <stp/>
        <stp>L 172.16.2.55 B</stp>
        <tr r="E7" s="3"/>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volatileDependencies" Target="volatileDependencies.xml"/><Relationship Id="rId2" Type="http://schemas.openxmlformats.org/officeDocument/2006/relationships/worksheet" Target="worksheets/sheet2.xml"/><Relationship Id="rId16" Type="http://schemas.openxmlformats.org/officeDocument/2006/relationships/worksheet" Target="worksheets/sheet15.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xlMacrosheet" Target="macrosheets/sheet1.xml"/><Relationship Id="rId22" Type="http://schemas.openxmlformats.org/officeDocument/2006/relationships/styles" Target="style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'[1]MAIN OI BankNifty'!$F$6</c:f>
              <c:strCache>
                <c:ptCount val="1"/>
                <c:pt idx="0">
                  <c:v>Call Volume</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BankNifty'!$F$7:$F$22</c:f>
              <c:numCache>
                <c:formatCode>General</c:formatCode>
                <c:ptCount val="16"/>
                <c:pt idx="0">
                  <c:v>1825</c:v>
                </c:pt>
                <c:pt idx="1">
                  <c:v>4150</c:v>
                </c:pt>
                <c:pt idx="2">
                  <c:v>1694</c:v>
                </c:pt>
                <c:pt idx="3">
                  <c:v>4643</c:v>
                </c:pt>
                <c:pt idx="4">
                  <c:v>16079</c:v>
                </c:pt>
                <c:pt idx="5">
                  <c:v>58237</c:v>
                </c:pt>
                <c:pt idx="6">
                  <c:v>305806</c:v>
                </c:pt>
                <c:pt idx="7">
                  <c:v>671451</c:v>
                </c:pt>
                <c:pt idx="8">
                  <c:v>2128368</c:v>
                </c:pt>
                <c:pt idx="9">
                  <c:v>3525471</c:v>
                </c:pt>
                <c:pt idx="10">
                  <c:v>2623560</c:v>
                </c:pt>
                <c:pt idx="11">
                  <c:v>2080474</c:v>
                </c:pt>
                <c:pt idx="12">
                  <c:v>1127453</c:v>
                </c:pt>
                <c:pt idx="13">
                  <c:v>3863477</c:v>
                </c:pt>
                <c:pt idx="14">
                  <c:v>91988</c:v>
                </c:pt>
                <c:pt idx="15">
                  <c:v>40067</c:v>
                </c:pt>
              </c:numCache>
            </c:numRef>
          </c:val>
          <c:extLst xmlns:c16r2="http://schemas.microsoft.com/office/drawing/2015/06/chart">
            <c:ext xmlns:c16="http://schemas.microsoft.com/office/drawing/2014/chart" uri="{C3380CC4-5D6E-409C-BE32-E72D297353CC}">
              <c16:uniqueId val="{00000000-15FE-4228-8E56-DB6DC4E5B22C}"/>
            </c:ext>
          </c:extLst>
        </c:ser>
        <c:ser>
          <c:idx val="1"/>
          <c:order val="1"/>
          <c:tx>
            <c:strRef>
              <c:f>'[1]MAIN OI BankNifty'!$R$6</c:f>
              <c:strCache>
                <c:ptCount val="1"/>
                <c:pt idx="0">
                  <c:v>Put Volume</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BankNifty'!$R$7:$R$22</c:f>
              <c:numCache>
                <c:formatCode>General</c:formatCode>
                <c:ptCount val="16"/>
                <c:pt idx="0">
                  <c:v>30838</c:v>
                </c:pt>
                <c:pt idx="1">
                  <c:v>195857</c:v>
                </c:pt>
                <c:pt idx="2">
                  <c:v>123588</c:v>
                </c:pt>
                <c:pt idx="3">
                  <c:v>601268</c:v>
                </c:pt>
                <c:pt idx="4">
                  <c:v>646030</c:v>
                </c:pt>
                <c:pt idx="5">
                  <c:v>1028001</c:v>
                </c:pt>
                <c:pt idx="6">
                  <c:v>2073487</c:v>
                </c:pt>
                <c:pt idx="7">
                  <c:v>2315432</c:v>
                </c:pt>
                <c:pt idx="8">
                  <c:v>3105885</c:v>
                </c:pt>
                <c:pt idx="9">
                  <c:v>1370454</c:v>
                </c:pt>
                <c:pt idx="10">
                  <c:v>291033</c:v>
                </c:pt>
                <c:pt idx="11">
                  <c:v>98361</c:v>
                </c:pt>
                <c:pt idx="12">
                  <c:v>13986</c:v>
                </c:pt>
                <c:pt idx="13">
                  <c:v>3089</c:v>
                </c:pt>
                <c:pt idx="14">
                  <c:v>723</c:v>
                </c:pt>
                <c:pt idx="15">
                  <c:v>561</c:v>
                </c:pt>
              </c:numCache>
            </c:numRef>
          </c:val>
          <c:extLst xmlns:c16r2="http://schemas.microsoft.com/office/drawing/2015/06/chart">
            <c:ext xmlns:c16="http://schemas.microsoft.com/office/drawing/2014/chart" uri="{C3380CC4-5D6E-409C-BE32-E72D297353CC}">
              <c16:uniqueId val="{00000001-15FE-4228-8E56-DB6DC4E5B22C}"/>
            </c:ext>
          </c:extLst>
        </c:ser>
        <c:dLbls>
          <c:showLegendKey val="0"/>
          <c:showVal val="0"/>
          <c:showCatName val="0"/>
          <c:showSerName val="0"/>
          <c:showPercent val="0"/>
          <c:showBubbleSize val="0"/>
        </c:dLbls>
        <c:gapWidth val="150"/>
        <c:axId val="158978544"/>
        <c:axId val="158978928"/>
      </c:barChart>
      <c:catAx>
        <c:axId val="158978544"/>
        <c:scaling>
          <c:orientation val="minMax"/>
        </c:scaling>
        <c:delete val="0"/>
        <c:axPos val="b"/>
        <c:numFmt formatCode="General" sourceLinked="1"/>
        <c:majorTickMark val="out"/>
        <c:minorTickMark val="none"/>
        <c:tickLblPos val="nextTo"/>
        <c:txPr>
          <a:bodyPr/>
          <a:lstStyle/>
          <a:p>
            <a:pPr>
              <a:defRPr lang="en-US"/>
            </a:pPr>
            <a:endParaRPr lang="en-US"/>
          </a:p>
        </c:txPr>
        <c:crossAx val="158978928"/>
        <c:crosses val="autoZero"/>
        <c:auto val="1"/>
        <c:lblAlgn val="ctr"/>
        <c:lblOffset val="100"/>
        <c:noMultiLvlLbl val="0"/>
      </c:catAx>
      <c:valAx>
        <c:axId val="158978928"/>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58978544"/>
        <c:crosses val="autoZero"/>
        <c:crossBetween val="between"/>
      </c:valAx>
      <c:spPr>
        <a:solidFill>
          <a:schemeClr val="bg1">
            <a:lumMod val="85000"/>
          </a:schemeClr>
        </a:solidFill>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1021" l="0.70000000000000062" r="0.70000000000000062" t="0.750000000000010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11127514047264"/>
          <c:y val="4.5626878075972745E-2"/>
          <c:w val="0.7042603825446806"/>
          <c:h val="0.83661249728202525"/>
        </c:manualLayout>
      </c:layout>
      <c:barChart>
        <c:barDir val="col"/>
        <c:grouping val="clustered"/>
        <c:varyColors val="0"/>
        <c:ser>
          <c:idx val="0"/>
          <c:order val="0"/>
          <c:tx>
            <c:strRef>
              <c:f>'[1]MAIN OI BankNifty'!$G$6</c:f>
              <c:strCache>
                <c:ptCount val="1"/>
                <c:pt idx="0">
                  <c:v>Call Net OI</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BankNifty'!$G$7:$G$22</c:f>
              <c:numCache>
                <c:formatCode>General</c:formatCode>
                <c:ptCount val="16"/>
                <c:pt idx="0">
                  <c:v>16420</c:v>
                </c:pt>
                <c:pt idx="1">
                  <c:v>26900</c:v>
                </c:pt>
                <c:pt idx="2">
                  <c:v>9200</c:v>
                </c:pt>
                <c:pt idx="3">
                  <c:v>14360</c:v>
                </c:pt>
                <c:pt idx="4">
                  <c:v>14860</c:v>
                </c:pt>
                <c:pt idx="5">
                  <c:v>23840</c:v>
                </c:pt>
                <c:pt idx="6">
                  <c:v>80000</c:v>
                </c:pt>
                <c:pt idx="7">
                  <c:v>81800</c:v>
                </c:pt>
                <c:pt idx="8">
                  <c:v>317880</c:v>
                </c:pt>
                <c:pt idx="9">
                  <c:v>1499380</c:v>
                </c:pt>
                <c:pt idx="10">
                  <c:v>1108600</c:v>
                </c:pt>
                <c:pt idx="11">
                  <c:v>1137820</c:v>
                </c:pt>
                <c:pt idx="12">
                  <c:v>545380</c:v>
                </c:pt>
                <c:pt idx="13">
                  <c:v>280480</c:v>
                </c:pt>
                <c:pt idx="14">
                  <c:v>136100</c:v>
                </c:pt>
                <c:pt idx="15">
                  <c:v>46140</c:v>
                </c:pt>
              </c:numCache>
            </c:numRef>
          </c:val>
          <c:extLst xmlns:c16r2="http://schemas.microsoft.com/office/drawing/2015/06/chart">
            <c:ext xmlns:c16="http://schemas.microsoft.com/office/drawing/2014/chart" uri="{C3380CC4-5D6E-409C-BE32-E72D297353CC}">
              <c16:uniqueId val="{00000000-042E-49DD-95EC-D44362F4DA52}"/>
            </c:ext>
          </c:extLst>
        </c:ser>
        <c:ser>
          <c:idx val="1"/>
          <c:order val="1"/>
          <c:tx>
            <c:strRef>
              <c:f>'[1]MAIN OI BankNifty'!$Q$6</c:f>
              <c:strCache>
                <c:ptCount val="1"/>
                <c:pt idx="0">
                  <c:v>Put Net OI</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BankNifty'!$Q$7:$Q$22</c:f>
              <c:numCache>
                <c:formatCode>General</c:formatCode>
                <c:ptCount val="16"/>
                <c:pt idx="0">
                  <c:v>154200</c:v>
                </c:pt>
                <c:pt idx="1">
                  <c:v>460980</c:v>
                </c:pt>
                <c:pt idx="2">
                  <c:v>194540</c:v>
                </c:pt>
                <c:pt idx="3">
                  <c:v>352280</c:v>
                </c:pt>
                <c:pt idx="4">
                  <c:v>513740</c:v>
                </c:pt>
                <c:pt idx="5">
                  <c:v>728380</c:v>
                </c:pt>
                <c:pt idx="6">
                  <c:v>1621600</c:v>
                </c:pt>
                <c:pt idx="7">
                  <c:v>1048280</c:v>
                </c:pt>
                <c:pt idx="8">
                  <c:v>1427760</c:v>
                </c:pt>
                <c:pt idx="9">
                  <c:v>141780</c:v>
                </c:pt>
                <c:pt idx="10">
                  <c:v>49860</c:v>
                </c:pt>
                <c:pt idx="11">
                  <c:v>24680</c:v>
                </c:pt>
                <c:pt idx="12">
                  <c:v>10860</c:v>
                </c:pt>
                <c:pt idx="13">
                  <c:v>4580</c:v>
                </c:pt>
                <c:pt idx="14">
                  <c:v>1480</c:v>
                </c:pt>
                <c:pt idx="15">
                  <c:v>1380</c:v>
                </c:pt>
              </c:numCache>
            </c:numRef>
          </c:val>
          <c:extLst xmlns:c16r2="http://schemas.microsoft.com/office/drawing/2015/06/chart">
            <c:ext xmlns:c16="http://schemas.microsoft.com/office/drawing/2014/chart" uri="{C3380CC4-5D6E-409C-BE32-E72D297353CC}">
              <c16:uniqueId val="{00000001-042E-49DD-95EC-D44362F4DA52}"/>
            </c:ext>
          </c:extLst>
        </c:ser>
        <c:dLbls>
          <c:showLegendKey val="0"/>
          <c:showVal val="0"/>
          <c:showCatName val="0"/>
          <c:showSerName val="0"/>
          <c:showPercent val="0"/>
          <c:showBubbleSize val="0"/>
        </c:dLbls>
        <c:gapWidth val="150"/>
        <c:axId val="159001632"/>
        <c:axId val="159052648"/>
      </c:barChart>
      <c:catAx>
        <c:axId val="159001632"/>
        <c:scaling>
          <c:orientation val="minMax"/>
        </c:scaling>
        <c:delete val="0"/>
        <c:axPos val="b"/>
        <c:numFmt formatCode="General" sourceLinked="1"/>
        <c:majorTickMark val="out"/>
        <c:minorTickMark val="none"/>
        <c:tickLblPos val="nextTo"/>
        <c:txPr>
          <a:bodyPr/>
          <a:lstStyle/>
          <a:p>
            <a:pPr>
              <a:defRPr lang="en-US"/>
            </a:pPr>
            <a:endParaRPr lang="en-US"/>
          </a:p>
        </c:txPr>
        <c:crossAx val="159052648"/>
        <c:crosses val="autoZero"/>
        <c:auto val="1"/>
        <c:lblAlgn val="ctr"/>
        <c:lblOffset val="100"/>
        <c:noMultiLvlLbl val="0"/>
      </c:catAx>
      <c:valAx>
        <c:axId val="159052648"/>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59001632"/>
        <c:crosses val="autoZero"/>
        <c:crossBetween val="between"/>
      </c:valAx>
      <c:spPr>
        <a:noFill/>
        <a:ln>
          <a:noFill/>
        </a:ln>
      </c:spPr>
    </c:plotArea>
    <c:legend>
      <c:legendPos val="r"/>
      <c:layout/>
      <c:overlay val="0"/>
      <c:txPr>
        <a:bodyPr/>
        <a:lstStyle/>
        <a:p>
          <a:pPr>
            <a:defRPr lang="en-US"/>
          </a:pPr>
          <a:endParaRPr lang="en-US"/>
        </a:p>
      </c:txPr>
    </c:legend>
    <c:plotVisOnly val="1"/>
    <c:dispBlanksAs val="gap"/>
    <c:showDLblsOverMax val="0"/>
  </c:chart>
  <c:spPr>
    <a:solidFill>
      <a:schemeClr val="bg1">
        <a:lumMod val="85000"/>
      </a:schemeClr>
    </a:solidFill>
    <a:ln>
      <a:solidFill>
        <a:schemeClr val="tx1">
          <a:lumMod val="95000"/>
          <a:lumOff val="5000"/>
        </a:schemeClr>
      </a:solidFill>
    </a:ln>
  </c:spPr>
  <c:printSettings>
    <c:headerFooter/>
    <c:pageMargins b="0.75000000000001021" l="0.70000000000000062" r="0.70000000000000062" t="0.750000000000010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'[1]MAIN OI BankNifty'!$H$6</c:f>
              <c:strCache>
                <c:ptCount val="1"/>
                <c:pt idx="0">
                  <c:v>Call change in OI</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BankNifty'!$H$7:$H$22</c:f>
              <c:numCache>
                <c:formatCode>General</c:formatCode>
                <c:ptCount val="16"/>
                <c:pt idx="0">
                  <c:v>-11500</c:v>
                </c:pt>
                <c:pt idx="1">
                  <c:v>-14960</c:v>
                </c:pt>
                <c:pt idx="2">
                  <c:v>-12140</c:v>
                </c:pt>
                <c:pt idx="3">
                  <c:v>-10520</c:v>
                </c:pt>
                <c:pt idx="4">
                  <c:v>-13500</c:v>
                </c:pt>
                <c:pt idx="5">
                  <c:v>-22520</c:v>
                </c:pt>
                <c:pt idx="6">
                  <c:v>-144940</c:v>
                </c:pt>
                <c:pt idx="7">
                  <c:v>-39000</c:v>
                </c:pt>
                <c:pt idx="8">
                  <c:v>-76780</c:v>
                </c:pt>
                <c:pt idx="9">
                  <c:v>1071100</c:v>
                </c:pt>
                <c:pt idx="10">
                  <c:v>700880</c:v>
                </c:pt>
                <c:pt idx="11">
                  <c:v>341080</c:v>
                </c:pt>
                <c:pt idx="12">
                  <c:v>211640</c:v>
                </c:pt>
                <c:pt idx="13">
                  <c:v>39540</c:v>
                </c:pt>
                <c:pt idx="14">
                  <c:v>21900</c:v>
                </c:pt>
                <c:pt idx="15">
                  <c:v>-34420</c:v>
                </c:pt>
              </c:numCache>
            </c:numRef>
          </c:val>
          <c:extLst xmlns:c16r2="http://schemas.microsoft.com/office/drawing/2015/06/chart">
            <c:ext xmlns:c16="http://schemas.microsoft.com/office/drawing/2014/chart" uri="{C3380CC4-5D6E-409C-BE32-E72D297353CC}">
              <c16:uniqueId val="{00000000-C4F9-44B1-B429-B4E77F0118E7}"/>
            </c:ext>
          </c:extLst>
        </c:ser>
        <c:ser>
          <c:idx val="1"/>
          <c:order val="1"/>
          <c:tx>
            <c:strRef>
              <c:f>'[1]MAIN OI BankNifty'!$P$6</c:f>
              <c:strCache>
                <c:ptCount val="1"/>
                <c:pt idx="0">
                  <c:v>Put Change in OI</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BankNifty'!$P$7:$P$22</c:f>
              <c:numCache>
                <c:formatCode>General</c:formatCode>
                <c:ptCount val="16"/>
                <c:pt idx="0">
                  <c:v>-5560</c:v>
                </c:pt>
                <c:pt idx="1">
                  <c:v>-94040</c:v>
                </c:pt>
                <c:pt idx="2">
                  <c:v>-41060</c:v>
                </c:pt>
                <c:pt idx="3">
                  <c:v>-3200</c:v>
                </c:pt>
                <c:pt idx="4">
                  <c:v>-42660</c:v>
                </c:pt>
                <c:pt idx="5">
                  <c:v>246380</c:v>
                </c:pt>
                <c:pt idx="6">
                  <c:v>597660</c:v>
                </c:pt>
                <c:pt idx="7">
                  <c:v>644740</c:v>
                </c:pt>
                <c:pt idx="8">
                  <c:v>960300</c:v>
                </c:pt>
                <c:pt idx="9">
                  <c:v>-24060</c:v>
                </c:pt>
                <c:pt idx="10">
                  <c:v>7620</c:v>
                </c:pt>
                <c:pt idx="11">
                  <c:v>-11720</c:v>
                </c:pt>
                <c:pt idx="12">
                  <c:v>5880</c:v>
                </c:pt>
                <c:pt idx="13">
                  <c:v>-900</c:v>
                </c:pt>
                <c:pt idx="14">
                  <c:v>700</c:v>
                </c:pt>
                <c:pt idx="15">
                  <c:v>840</c:v>
                </c:pt>
              </c:numCache>
            </c:numRef>
          </c:val>
          <c:extLst xmlns:c16r2="http://schemas.microsoft.com/office/drawing/2015/06/chart">
            <c:ext xmlns:c16="http://schemas.microsoft.com/office/drawing/2014/chart" uri="{C3380CC4-5D6E-409C-BE32-E72D297353CC}">
              <c16:uniqueId val="{00000001-C4F9-44B1-B429-B4E77F0118E7}"/>
            </c:ext>
          </c:extLst>
        </c:ser>
        <c:dLbls>
          <c:showLegendKey val="0"/>
          <c:showVal val="0"/>
          <c:showCatName val="0"/>
          <c:showSerName val="0"/>
          <c:showPercent val="0"/>
          <c:showBubbleSize val="0"/>
        </c:dLbls>
        <c:gapWidth val="150"/>
        <c:axId val="159536112"/>
        <c:axId val="159106720"/>
      </c:barChart>
      <c:catAx>
        <c:axId val="159536112"/>
        <c:scaling>
          <c:orientation val="minMax"/>
        </c:scaling>
        <c:delete val="0"/>
        <c:axPos val="b"/>
        <c:numFmt formatCode="General" sourceLinked="1"/>
        <c:majorTickMark val="out"/>
        <c:minorTickMark val="none"/>
        <c:tickLblPos val="nextTo"/>
        <c:txPr>
          <a:bodyPr/>
          <a:lstStyle/>
          <a:p>
            <a:pPr>
              <a:defRPr lang="en-US"/>
            </a:pPr>
            <a:endParaRPr lang="en-US"/>
          </a:p>
        </c:txPr>
        <c:crossAx val="159106720"/>
        <c:crosses val="autoZero"/>
        <c:auto val="1"/>
        <c:lblAlgn val="ctr"/>
        <c:lblOffset val="100"/>
        <c:noMultiLvlLbl val="0"/>
      </c:catAx>
      <c:valAx>
        <c:axId val="159106720"/>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59536112"/>
        <c:crosses val="autoZero"/>
        <c:crossBetween val="between"/>
      </c:valAx>
      <c:spPr>
        <a:solidFill>
          <a:schemeClr val="bg1">
            <a:lumMod val="85000"/>
          </a:schemeClr>
        </a:solidFill>
      </c:spPr>
    </c:plotArea>
    <c:legend>
      <c:legendPos val="r"/>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'[1]MAIN OI BankNifty'!$J$6</c:f>
              <c:strCache>
                <c:ptCount val="1"/>
                <c:pt idx="0">
                  <c:v>Call Price change</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BankNifty'!$J$7:$J$22</c:f>
              <c:numCache>
                <c:formatCode>General</c:formatCode>
                <c:ptCount val="16"/>
                <c:pt idx="0">
                  <c:v>-10.85</c:v>
                </c:pt>
                <c:pt idx="1">
                  <c:v>-3.6</c:v>
                </c:pt>
                <c:pt idx="2">
                  <c:v>3.2</c:v>
                </c:pt>
                <c:pt idx="3">
                  <c:v>-10.35</c:v>
                </c:pt>
                <c:pt idx="4">
                  <c:v>-17.25</c:v>
                </c:pt>
                <c:pt idx="5">
                  <c:v>-25.3</c:v>
                </c:pt>
                <c:pt idx="6">
                  <c:v>-40</c:v>
                </c:pt>
                <c:pt idx="7">
                  <c:v>-62.05</c:v>
                </c:pt>
                <c:pt idx="8">
                  <c:v>-96.45</c:v>
                </c:pt>
                <c:pt idx="9">
                  <c:v>-87.25</c:v>
                </c:pt>
                <c:pt idx="10">
                  <c:v>-50.4</c:v>
                </c:pt>
                <c:pt idx="11">
                  <c:v>-27.65</c:v>
                </c:pt>
                <c:pt idx="12">
                  <c:v>-13.15</c:v>
                </c:pt>
                <c:pt idx="13">
                  <c:v>-6.5</c:v>
                </c:pt>
                <c:pt idx="14">
                  <c:v>-4.05</c:v>
                </c:pt>
                <c:pt idx="15">
                  <c:v>-2.9</c:v>
                </c:pt>
              </c:numCache>
            </c:numRef>
          </c:val>
          <c:extLst xmlns:c16r2="http://schemas.microsoft.com/office/drawing/2015/06/chart">
            <c:ext xmlns:c16="http://schemas.microsoft.com/office/drawing/2014/chart" uri="{C3380CC4-5D6E-409C-BE32-E72D297353CC}">
              <c16:uniqueId val="{00000000-6903-41A1-94DD-B2F2CA602076}"/>
            </c:ext>
          </c:extLst>
        </c:ser>
        <c:ser>
          <c:idx val="1"/>
          <c:order val="1"/>
          <c:tx>
            <c:strRef>
              <c:f>'[1]MAIN OI BankNifty'!$N$6</c:f>
              <c:strCache>
                <c:ptCount val="1"/>
                <c:pt idx="0">
                  <c:v>Put Price Change</c:v>
                </c:pt>
              </c:strCache>
            </c:strRef>
          </c:tx>
          <c:invertIfNegative val="0"/>
          <c:cat>
            <c:numRef>
              <c:f>'[1]MAIN OI BankNifty'!$L$7:$L$22</c:f>
              <c:numCache>
                <c:formatCode>General</c:formatCode>
                <c:ptCount val="16"/>
                <c:pt idx="0">
                  <c:v>31400</c:v>
                </c:pt>
                <c:pt idx="1">
                  <c:v>31500</c:v>
                </c:pt>
                <c:pt idx="2">
                  <c:v>31600</c:v>
                </c:pt>
                <c:pt idx="3">
                  <c:v>31700</c:v>
                </c:pt>
                <c:pt idx="4">
                  <c:v>31800</c:v>
                </c:pt>
                <c:pt idx="5">
                  <c:v>31900</c:v>
                </c:pt>
                <c:pt idx="6">
                  <c:v>32000</c:v>
                </c:pt>
                <c:pt idx="7">
                  <c:v>32100</c:v>
                </c:pt>
                <c:pt idx="8">
                  <c:v>32200</c:v>
                </c:pt>
                <c:pt idx="9">
                  <c:v>32300</c:v>
                </c:pt>
                <c:pt idx="10">
                  <c:v>32400</c:v>
                </c:pt>
                <c:pt idx="11">
                  <c:v>32500</c:v>
                </c:pt>
                <c:pt idx="12">
                  <c:v>32600</c:v>
                </c:pt>
                <c:pt idx="13">
                  <c:v>32700</c:v>
                </c:pt>
                <c:pt idx="14">
                  <c:v>32800</c:v>
                </c:pt>
                <c:pt idx="15">
                  <c:v>32900</c:v>
                </c:pt>
              </c:numCache>
            </c:numRef>
          </c:cat>
          <c:val>
            <c:numRef>
              <c:f>'[1]MAIN OI BankNifty'!$N$7:$N$22</c:f>
              <c:numCache>
                <c:formatCode>General</c:formatCode>
                <c:ptCount val="16"/>
                <c:pt idx="0">
                  <c:v>-5.55</c:v>
                </c:pt>
                <c:pt idx="1">
                  <c:v>-6.85</c:v>
                </c:pt>
                <c:pt idx="2">
                  <c:v>-7.75</c:v>
                </c:pt>
                <c:pt idx="3">
                  <c:v>-10.3</c:v>
                </c:pt>
                <c:pt idx="4">
                  <c:v>-15.8</c:v>
                </c:pt>
                <c:pt idx="5">
                  <c:v>-24.8</c:v>
                </c:pt>
                <c:pt idx="6">
                  <c:v>-39.6</c:v>
                </c:pt>
                <c:pt idx="7">
                  <c:v>-61.65</c:v>
                </c:pt>
                <c:pt idx="8">
                  <c:v>-95.05</c:v>
                </c:pt>
                <c:pt idx="9">
                  <c:v>-84.95</c:v>
                </c:pt>
                <c:pt idx="10">
                  <c:v>-49.55</c:v>
                </c:pt>
                <c:pt idx="11">
                  <c:v>-29.05</c:v>
                </c:pt>
                <c:pt idx="12">
                  <c:v>-13.6</c:v>
                </c:pt>
                <c:pt idx="13">
                  <c:v>-5.95</c:v>
                </c:pt>
                <c:pt idx="14">
                  <c:v>1.6</c:v>
                </c:pt>
                <c:pt idx="15">
                  <c:v>16.8</c:v>
                </c:pt>
              </c:numCache>
            </c:numRef>
          </c:val>
          <c:extLst xmlns:c16r2="http://schemas.microsoft.com/office/drawing/2015/06/chart">
            <c:ext xmlns:c16="http://schemas.microsoft.com/office/drawing/2014/chart" uri="{C3380CC4-5D6E-409C-BE32-E72D297353CC}">
              <c16:uniqueId val="{00000001-6903-41A1-94DD-B2F2CA602076}"/>
            </c:ext>
          </c:extLst>
        </c:ser>
        <c:dLbls>
          <c:showLegendKey val="0"/>
          <c:showVal val="0"/>
          <c:showCatName val="0"/>
          <c:showSerName val="0"/>
          <c:showPercent val="0"/>
          <c:showBubbleSize val="0"/>
        </c:dLbls>
        <c:gapWidth val="150"/>
        <c:axId val="159167416"/>
        <c:axId val="159171896"/>
      </c:barChart>
      <c:catAx>
        <c:axId val="159167416"/>
        <c:scaling>
          <c:orientation val="minMax"/>
        </c:scaling>
        <c:delete val="0"/>
        <c:axPos val="b"/>
        <c:numFmt formatCode="General" sourceLinked="1"/>
        <c:majorTickMark val="out"/>
        <c:minorTickMark val="none"/>
        <c:tickLblPos val="nextTo"/>
        <c:txPr>
          <a:bodyPr/>
          <a:lstStyle/>
          <a:p>
            <a:pPr>
              <a:defRPr lang="en-US"/>
            </a:pPr>
            <a:endParaRPr lang="en-US"/>
          </a:p>
        </c:txPr>
        <c:crossAx val="159171896"/>
        <c:crosses val="autoZero"/>
        <c:auto val="1"/>
        <c:lblAlgn val="ctr"/>
        <c:lblOffset val="100"/>
        <c:noMultiLvlLbl val="0"/>
      </c:catAx>
      <c:valAx>
        <c:axId val="159171896"/>
        <c:scaling>
          <c:orientation val="minMax"/>
        </c:scaling>
        <c:delete val="0"/>
        <c:axPos val="l"/>
        <c:majorGridlines/>
        <c:numFmt formatCode="General" sourceLinked="1"/>
        <c:majorTickMark val="out"/>
        <c:minorTickMark val="none"/>
        <c:tickLblPos val="nextTo"/>
        <c:txPr>
          <a:bodyPr/>
          <a:lstStyle/>
          <a:p>
            <a:pPr>
              <a:defRPr lang="en-US"/>
            </a:pPr>
            <a:endParaRPr lang="en-US"/>
          </a:p>
        </c:txPr>
        <c:crossAx val="159167416"/>
        <c:crosses val="autoZero"/>
        <c:crossBetween val="between"/>
      </c:valAx>
      <c:spPr>
        <a:solidFill>
          <a:schemeClr val="bg1">
            <a:lumMod val="85000"/>
          </a:schemeClr>
        </a:solidFill>
      </c:spPr>
    </c:plotArea>
    <c:legend>
      <c:legendPos val="r"/>
      <c:overlay val="0"/>
      <c:txPr>
        <a:bodyPr/>
        <a:lstStyle/>
        <a:p>
          <a:pPr>
            <a:defRPr lang="en-US"/>
          </a:pPr>
          <a:endParaRPr lang="en-US"/>
        </a:p>
      </c:txPr>
    </c:legend>
    <c:plotVisOnly val="1"/>
    <c:dispBlanksAs val="gap"/>
    <c:showDLblsOverMax val="0"/>
  </c:chart>
  <c:spPr>
    <a:solidFill>
      <a:schemeClr val="bg1">
        <a:lumMod val="85000"/>
      </a:schemeClr>
    </a:solidFill>
  </c:spPr>
  <c:printSettings>
    <c:headerFooter/>
    <c:pageMargins b="0.7500000000000101" l="0.70000000000000062" r="0.70000000000000062" t="0.75000000000001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[Auto_Banknifty_OI.xlsm]Call_Bank!PivotTable1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Call</a:t>
            </a:r>
          </a:p>
          <a:p>
            <a:pPr>
              <a:defRPr/>
            </a:pPr>
            <a:endParaRPr lang="en-US"/>
          </a:p>
        </c:rich>
      </c:tx>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Call_Bank!$B$3:$B$4</c:f>
              <c:strCache>
                <c:ptCount val="1"/>
                <c:pt idx="0">
                  <c:v> Call change in OI</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Call_Bank!$A$5:$A$36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Call_Bank!$B$5:$B$36</c:f>
              <c:numCache>
                <c:formatCode>General</c:formatCode>
                <c:ptCount val="31"/>
                <c:pt idx="0">
                  <c:v>1709400</c:v>
                </c:pt>
                <c:pt idx="1">
                  <c:v>1675660</c:v>
                </c:pt>
                <c:pt idx="2">
                  <c:v>1881580</c:v>
                </c:pt>
                <c:pt idx="3">
                  <c:v>1912320</c:v>
                </c:pt>
                <c:pt idx="4">
                  <c:v>2119980</c:v>
                </c:pt>
                <c:pt idx="5">
                  <c:v>2109060</c:v>
                </c:pt>
                <c:pt idx="6">
                  <c:v>2129280</c:v>
                </c:pt>
                <c:pt idx="7">
                  <c:v>2143060</c:v>
                </c:pt>
                <c:pt idx="9">
                  <c:v>#N/A</c:v>
                </c:pt>
                <c:pt idx="10">
                  <c:v>247680</c:v>
                </c:pt>
                <c:pt idx="11">
                  <c:v>489080</c:v>
                </c:pt>
                <c:pt idx="12">
                  <c:v>666440</c:v>
                </c:pt>
                <c:pt idx="13">
                  <c:v>831260</c:v>
                </c:pt>
                <c:pt idx="14">
                  <c:v>986780</c:v>
                </c:pt>
                <c:pt idx="15">
                  <c:v>1083120</c:v>
                </c:pt>
                <c:pt idx="16">
                  <c:v>1298540</c:v>
                </c:pt>
                <c:pt idx="17">
                  <c:v>1343640</c:v>
                </c:pt>
                <c:pt idx="18">
                  <c:v>1474080</c:v>
                </c:pt>
                <c:pt idx="19">
                  <c:v>1550100</c:v>
                </c:pt>
                <c:pt idx="20">
                  <c:v>1611940</c:v>
                </c:pt>
                <c:pt idx="21">
                  <c:v>1686160</c:v>
                </c:pt>
                <c:pt idx="22">
                  <c:v>1998120</c:v>
                </c:pt>
                <c:pt idx="23">
                  <c:v>2029820</c:v>
                </c:pt>
                <c:pt idx="24">
                  <c:v>2077860</c:v>
                </c:pt>
                <c:pt idx="25">
                  <c:v>2090900</c:v>
                </c:pt>
                <c:pt idx="26">
                  <c:v>2088460</c:v>
                </c:pt>
                <c:pt idx="27">
                  <c:v>1120120</c:v>
                </c:pt>
                <c:pt idx="28">
                  <c:v>1209060</c:v>
                </c:pt>
                <c:pt idx="29">
                  <c:v>1915980</c:v>
                </c:pt>
                <c:pt idx="30">
                  <c:v>1935920</c:v>
                </c:pt>
              </c:numCache>
            </c:numRef>
          </c:val>
          <c:smooth val="0"/>
        </c:ser>
        <c:dLbls>
          <c:showLegendKey val="0"/>
          <c:showVal val="0"/>
          <c:showCatName val="0"/>
          <c:showSerName val="0"/>
          <c:showPercent val="0"/>
          <c:showBubbleSize val="0"/>
        </c:dLbls>
        <c:marker val="1"/>
        <c:smooth val="0"/>
        <c:axId val="159578248"/>
        <c:axId val="159578632"/>
      </c:lineChart>
      <c:lineChart>
        <c:grouping val="standard"/>
        <c:varyColors val="0"/>
        <c:ser>
          <c:idx val="1"/>
          <c:order val="1"/>
          <c:tx>
            <c:strRef>
              <c:f>Call_Bank!$C$3:$C$4</c:f>
              <c:strCache>
                <c:ptCount val="1"/>
                <c:pt idx="0">
                  <c:v> Call LTP</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Call_Bank!$A$5:$A$36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Call_Bank!$C$5:$C$36</c:f>
              <c:numCache>
                <c:formatCode>General</c:formatCode>
                <c:ptCount val="31"/>
                <c:pt idx="0">
                  <c:v>800</c:v>
                </c:pt>
                <c:pt idx="1">
                  <c:v>820</c:v>
                </c:pt>
                <c:pt idx="2">
                  <c:v>810.8</c:v>
                </c:pt>
                <c:pt idx="3">
                  <c:v>821.2</c:v>
                </c:pt>
                <c:pt idx="4">
                  <c:v>807</c:v>
                </c:pt>
                <c:pt idx="5">
                  <c:v>810.1</c:v>
                </c:pt>
                <c:pt idx="6">
                  <c:v>810</c:v>
                </c:pt>
                <c:pt idx="7">
                  <c:v>809.85</c:v>
                </c:pt>
                <c:pt idx="9">
                  <c:v>#N/A</c:v>
                </c:pt>
                <c:pt idx="10">
                  <c:v>731.65</c:v>
                </c:pt>
                <c:pt idx="11">
                  <c:v>721.65</c:v>
                </c:pt>
                <c:pt idx="12">
                  <c:v>715</c:v>
                </c:pt>
                <c:pt idx="13">
                  <c:v>800</c:v>
                </c:pt>
                <c:pt idx="14">
                  <c:v>820.85</c:v>
                </c:pt>
                <c:pt idx="15">
                  <c:v>721.1</c:v>
                </c:pt>
                <c:pt idx="16">
                  <c:v>791.1</c:v>
                </c:pt>
                <c:pt idx="17">
                  <c:v>788.15</c:v>
                </c:pt>
                <c:pt idx="18">
                  <c:v>788.15</c:v>
                </c:pt>
                <c:pt idx="19">
                  <c:v>764.15</c:v>
                </c:pt>
                <c:pt idx="20">
                  <c:v>764.15</c:v>
                </c:pt>
                <c:pt idx="21">
                  <c:v>741.1</c:v>
                </c:pt>
                <c:pt idx="22">
                  <c:v>805.75</c:v>
                </c:pt>
                <c:pt idx="23">
                  <c:v>795</c:v>
                </c:pt>
                <c:pt idx="24">
                  <c:v>815</c:v>
                </c:pt>
                <c:pt idx="25">
                  <c:v>804</c:v>
                </c:pt>
                <c:pt idx="26">
                  <c:v>806</c:v>
                </c:pt>
                <c:pt idx="27">
                  <c:v>791.1</c:v>
                </c:pt>
                <c:pt idx="28">
                  <c:v>791.1</c:v>
                </c:pt>
                <c:pt idx="29">
                  <c:v>821.05</c:v>
                </c:pt>
                <c:pt idx="30">
                  <c:v>807.45</c:v>
                </c:pt>
              </c:numCache>
            </c:numRef>
          </c:val>
          <c:smooth val="0"/>
        </c:ser>
        <c:dLbls>
          <c:showLegendKey val="0"/>
          <c:showVal val="0"/>
          <c:showCatName val="0"/>
          <c:showSerName val="0"/>
          <c:showPercent val="0"/>
          <c:showBubbleSize val="0"/>
        </c:dLbls>
        <c:marker val="1"/>
        <c:smooth val="0"/>
        <c:axId val="159284616"/>
        <c:axId val="159284224"/>
      </c:lineChart>
      <c:catAx>
        <c:axId val="1595782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578632"/>
        <c:crosses val="autoZero"/>
        <c:auto val="1"/>
        <c:lblAlgn val="ctr"/>
        <c:lblOffset val="100"/>
        <c:noMultiLvlLbl val="0"/>
      </c:catAx>
      <c:valAx>
        <c:axId val="159578632"/>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578248"/>
        <c:crosses val="autoZero"/>
        <c:crossBetween val="between"/>
      </c:valAx>
      <c:valAx>
        <c:axId val="15928422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4616"/>
        <c:crosses val="max"/>
        <c:crossBetween val="between"/>
      </c:valAx>
      <c:catAx>
        <c:axId val="159284616"/>
        <c:scaling>
          <c:orientation val="minMax"/>
        </c:scaling>
        <c:delete val="1"/>
        <c:axPos val="b"/>
        <c:numFmt formatCode="General" sourceLinked="1"/>
        <c:majorTickMark val="none"/>
        <c:minorTickMark val="none"/>
        <c:tickLblPos val="nextTo"/>
        <c:crossAx val="159284224"/>
        <c:crosses val="autoZero"/>
        <c:auto val="1"/>
        <c:lblAlgn val="ctr"/>
        <c:lblOffset val="100"/>
        <c:noMultiLvlLbl val="0"/>
      </c:catAx>
      <c:spPr>
        <a:noFill/>
        <a:ln>
          <a:noFill/>
        </a:ln>
        <a:effectLst/>
      </c:spPr>
    </c:plotArea>
    <c:legend>
      <c:legendPos val="t"/>
      <c:layout>
        <c:manualLayout>
          <c:xMode val="edge"/>
          <c:yMode val="edge"/>
          <c:x val="0.26529068241469816"/>
          <c:y val="0.12064814814814814"/>
          <c:w val="0.469418635170604"/>
          <c:h val="7.8125546806649182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[Auto_Banknifty_OI.xlsm]Put_Bank!PivotTable2</c:name>
    <c:fmtId val="3"/>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lineChart>
        <c:grouping val="standard"/>
        <c:varyColors val="0"/>
        <c:ser>
          <c:idx val="0"/>
          <c:order val="0"/>
          <c:tx>
            <c:strRef>
              <c:f>Put_Bank!$B$3:$B$4</c:f>
              <c:strCache>
                <c:ptCount val="1"/>
                <c:pt idx="0">
                  <c:v> Put Change in OI</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Put_Bank!$A$5:$A$36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Put_Bank!$B$5:$B$36</c:f>
              <c:numCache>
                <c:formatCode>General</c:formatCode>
                <c:ptCount val="31"/>
                <c:pt idx="0">
                  <c:v>865940</c:v>
                </c:pt>
                <c:pt idx="1">
                  <c:v>876000</c:v>
                </c:pt>
                <c:pt idx="2">
                  <c:v>903920</c:v>
                </c:pt>
                <c:pt idx="3">
                  <c:v>934900</c:v>
                </c:pt>
                <c:pt idx="4">
                  <c:v>1045180</c:v>
                </c:pt>
                <c:pt idx="5">
                  <c:v>1042560</c:v>
                </c:pt>
                <c:pt idx="6">
                  <c:v>1045160</c:v>
                </c:pt>
                <c:pt idx="7">
                  <c:v>1044580</c:v>
                </c:pt>
                <c:pt idx="9">
                  <c:v>#N/A</c:v>
                </c:pt>
                <c:pt idx="10">
                  <c:v>146820</c:v>
                </c:pt>
                <c:pt idx="11">
                  <c:v>252400</c:v>
                </c:pt>
                <c:pt idx="12">
                  <c:v>328300</c:v>
                </c:pt>
                <c:pt idx="13">
                  <c:v>456500</c:v>
                </c:pt>
                <c:pt idx="14">
                  <c:v>524920</c:v>
                </c:pt>
                <c:pt idx="15">
                  <c:v>570100</c:v>
                </c:pt>
                <c:pt idx="16">
                  <c:v>713160</c:v>
                </c:pt>
                <c:pt idx="17">
                  <c:v>763080</c:v>
                </c:pt>
                <c:pt idx="18">
                  <c:v>767460</c:v>
                </c:pt>
                <c:pt idx="19">
                  <c:v>822080</c:v>
                </c:pt>
                <c:pt idx="20">
                  <c:v>804620</c:v>
                </c:pt>
                <c:pt idx="21">
                  <c:v>820380</c:v>
                </c:pt>
                <c:pt idx="22">
                  <c:v>999420</c:v>
                </c:pt>
                <c:pt idx="23">
                  <c:v>1031420</c:v>
                </c:pt>
                <c:pt idx="24">
                  <c:v>1051100</c:v>
                </c:pt>
                <c:pt idx="25">
                  <c:v>1045300</c:v>
                </c:pt>
                <c:pt idx="26">
                  <c:v>1035820</c:v>
                </c:pt>
                <c:pt idx="27">
                  <c:v>613580</c:v>
                </c:pt>
                <c:pt idx="28">
                  <c:v>641100</c:v>
                </c:pt>
                <c:pt idx="29">
                  <c:v>977340</c:v>
                </c:pt>
                <c:pt idx="30">
                  <c:v>995460</c:v>
                </c:pt>
              </c:numCache>
            </c:numRef>
          </c:val>
          <c:smooth val="0"/>
        </c:ser>
        <c:dLbls>
          <c:showLegendKey val="0"/>
          <c:showVal val="0"/>
          <c:showCatName val="0"/>
          <c:showSerName val="0"/>
          <c:showPercent val="0"/>
          <c:showBubbleSize val="0"/>
        </c:dLbls>
        <c:marker val="1"/>
        <c:smooth val="0"/>
        <c:axId val="159285400"/>
        <c:axId val="159285792"/>
      </c:lineChart>
      <c:lineChart>
        <c:grouping val="standard"/>
        <c:varyColors val="0"/>
        <c:ser>
          <c:idx val="1"/>
          <c:order val="1"/>
          <c:tx>
            <c:strRef>
              <c:f>Put_Bank!$C$3:$C$4</c:f>
              <c:strCache>
                <c:ptCount val="1"/>
                <c:pt idx="0">
                  <c:v> Put LTP</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Put_Bank!$A$5:$A$36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Put_Bank!$C$5:$C$36</c:f>
              <c:numCache>
                <c:formatCode>General</c:formatCode>
                <c:ptCount val="31"/>
                <c:pt idx="0">
                  <c:v>696.65</c:v>
                </c:pt>
                <c:pt idx="1">
                  <c:v>676.15</c:v>
                </c:pt>
                <c:pt idx="2">
                  <c:v>685.5</c:v>
                </c:pt>
                <c:pt idx="3">
                  <c:v>685</c:v>
                </c:pt>
                <c:pt idx="4">
                  <c:v>692.85</c:v>
                </c:pt>
                <c:pt idx="5">
                  <c:v>692.85</c:v>
                </c:pt>
                <c:pt idx="6">
                  <c:v>695</c:v>
                </c:pt>
                <c:pt idx="7">
                  <c:v>695.5</c:v>
                </c:pt>
                <c:pt idx="9">
                  <c:v>#N/A</c:v>
                </c:pt>
                <c:pt idx="10">
                  <c:v>677.35</c:v>
                </c:pt>
                <c:pt idx="11">
                  <c:v>677.35</c:v>
                </c:pt>
                <c:pt idx="12">
                  <c:v>677.35</c:v>
                </c:pt>
                <c:pt idx="13">
                  <c:v>594.29999999999995</c:v>
                </c:pt>
                <c:pt idx="14">
                  <c:v>680.25</c:v>
                </c:pt>
                <c:pt idx="15">
                  <c:v>777.5</c:v>
                </c:pt>
                <c:pt idx="16">
                  <c:v>714</c:v>
                </c:pt>
                <c:pt idx="17">
                  <c:v>714</c:v>
                </c:pt>
                <c:pt idx="18">
                  <c:v>714</c:v>
                </c:pt>
                <c:pt idx="19">
                  <c:v>714</c:v>
                </c:pt>
                <c:pt idx="20">
                  <c:v>714</c:v>
                </c:pt>
                <c:pt idx="21">
                  <c:v>714</c:v>
                </c:pt>
                <c:pt idx="22">
                  <c:v>695.15</c:v>
                </c:pt>
                <c:pt idx="23">
                  <c:v>708.05</c:v>
                </c:pt>
                <c:pt idx="24">
                  <c:v>687.1</c:v>
                </c:pt>
                <c:pt idx="25">
                  <c:v>700</c:v>
                </c:pt>
                <c:pt idx="26">
                  <c:v>695.4</c:v>
                </c:pt>
                <c:pt idx="27">
                  <c:v>680.25</c:v>
                </c:pt>
                <c:pt idx="28">
                  <c:v>680.25</c:v>
                </c:pt>
                <c:pt idx="29">
                  <c:v>672.8</c:v>
                </c:pt>
                <c:pt idx="30">
                  <c:v>695.7</c:v>
                </c:pt>
              </c:numCache>
            </c:numRef>
          </c:val>
          <c:smooth val="0"/>
        </c:ser>
        <c:dLbls>
          <c:showLegendKey val="0"/>
          <c:showVal val="0"/>
          <c:showCatName val="0"/>
          <c:showSerName val="0"/>
          <c:showPercent val="0"/>
          <c:showBubbleSize val="0"/>
        </c:dLbls>
        <c:marker val="1"/>
        <c:smooth val="0"/>
        <c:axId val="159286576"/>
        <c:axId val="159286184"/>
      </c:lineChart>
      <c:catAx>
        <c:axId val="1592854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5792"/>
        <c:crosses val="autoZero"/>
        <c:auto val="1"/>
        <c:lblAlgn val="ctr"/>
        <c:lblOffset val="100"/>
        <c:noMultiLvlLbl val="0"/>
      </c:catAx>
      <c:valAx>
        <c:axId val="159285792"/>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5400"/>
        <c:crosses val="autoZero"/>
        <c:crossBetween val="between"/>
      </c:valAx>
      <c:valAx>
        <c:axId val="15928618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6576"/>
        <c:crosses val="max"/>
        <c:crossBetween val="between"/>
      </c:valAx>
      <c:catAx>
        <c:axId val="159286576"/>
        <c:scaling>
          <c:orientation val="minMax"/>
        </c:scaling>
        <c:delete val="1"/>
        <c:axPos val="b"/>
        <c:numFmt formatCode="General" sourceLinked="1"/>
        <c:majorTickMark val="none"/>
        <c:minorTickMark val="none"/>
        <c:tickLblPos val="nextTo"/>
        <c:crossAx val="159286184"/>
        <c:crosses val="autoZero"/>
        <c:auto val="1"/>
        <c:lblAlgn val="ctr"/>
        <c:lblOffset val="100"/>
        <c:noMultiLvlLbl val="0"/>
      </c:catAx>
      <c:spPr>
        <a:noFill/>
        <a:ln>
          <a:noFill/>
        </a:ln>
        <a:effectLst/>
      </c:spPr>
    </c:plotArea>
    <c:legend>
      <c:legendPos val="t"/>
      <c:layout>
        <c:manualLayout>
          <c:xMode val="edge"/>
          <c:yMode val="edge"/>
          <c:x val="0.27478258967629066"/>
          <c:y val="2.7777777777777811E-2"/>
          <c:w val="0.46710148731408596"/>
          <c:h val="7.8125546806649182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[Auto_Banknifty_OI.xlsm]IV!PivotTable3</c:name>
    <c:fmtId val="3"/>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4"/>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7.6146578569817699E-2"/>
          <c:y val="2.5786477394551033E-2"/>
          <c:w val="0.87208222372569055"/>
          <c:h val="0.78599756016413469"/>
        </c:manualLayout>
      </c:layout>
      <c:lineChart>
        <c:grouping val="standard"/>
        <c:varyColors val="0"/>
        <c:ser>
          <c:idx val="0"/>
          <c:order val="0"/>
          <c:tx>
            <c:strRef>
              <c:f>IV!$B$3:$B$4</c:f>
              <c:strCache>
                <c:ptCount val="1"/>
                <c:pt idx="0">
                  <c:v> Put IV</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IV!$A$5:$A$36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IV!$B$5:$B$36</c:f>
              <c:numCache>
                <c:formatCode>General</c:formatCode>
                <c:ptCount val="31"/>
                <c:pt idx="0">
                  <c:v>0</c:v>
                </c:pt>
                <c:pt idx="1">
                  <c:v>0</c:v>
                </c:pt>
                <c:pt idx="2">
                  <c:v>0</c:v>
                </c:pt>
                <c:pt idx="3">
                  <c:v>0</c:v>
                </c:pt>
                <c:pt idx="4">
                  <c:v>0</c:v>
                </c:pt>
                <c:pt idx="5">
                  <c:v>0</c:v>
                </c:pt>
                <c:pt idx="6">
                  <c:v>0</c:v>
                </c:pt>
                <c:pt idx="7">
                  <c:v>0</c:v>
                </c:pt>
                <c:pt idx="9">
                  <c:v>#N/A</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dLbls>
          <c:showLegendKey val="0"/>
          <c:showVal val="0"/>
          <c:showCatName val="0"/>
          <c:showSerName val="0"/>
          <c:showPercent val="0"/>
          <c:showBubbleSize val="0"/>
        </c:dLbls>
        <c:marker val="1"/>
        <c:smooth val="0"/>
        <c:axId val="159287360"/>
        <c:axId val="159287752"/>
      </c:lineChart>
      <c:lineChart>
        <c:grouping val="standard"/>
        <c:varyColors val="0"/>
        <c:ser>
          <c:idx val="1"/>
          <c:order val="1"/>
          <c:tx>
            <c:strRef>
              <c:f>IV!$C$3:$C$4</c:f>
              <c:strCache>
                <c:ptCount val="1"/>
                <c:pt idx="0">
                  <c:v> Call IV</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IV!$A$5:$A$36</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IV!$C$5:$C$36</c:f>
              <c:numCache>
                <c:formatCode>General</c:formatCode>
                <c:ptCount val="31"/>
                <c:pt idx="0">
                  <c:v>0</c:v>
                </c:pt>
                <c:pt idx="1">
                  <c:v>0</c:v>
                </c:pt>
                <c:pt idx="2">
                  <c:v>0</c:v>
                </c:pt>
                <c:pt idx="3">
                  <c:v>0</c:v>
                </c:pt>
                <c:pt idx="4">
                  <c:v>0</c:v>
                </c:pt>
                <c:pt idx="5">
                  <c:v>0</c:v>
                </c:pt>
                <c:pt idx="6">
                  <c:v>0</c:v>
                </c:pt>
                <c:pt idx="7">
                  <c:v>0</c:v>
                </c:pt>
                <c:pt idx="9">
                  <c:v>#N/A</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dLbls>
          <c:showLegendKey val="0"/>
          <c:showVal val="0"/>
          <c:showCatName val="0"/>
          <c:showSerName val="0"/>
          <c:showPercent val="0"/>
          <c:showBubbleSize val="0"/>
        </c:dLbls>
        <c:marker val="1"/>
        <c:smooth val="0"/>
        <c:axId val="159460192"/>
        <c:axId val="159459800"/>
      </c:lineChart>
      <c:catAx>
        <c:axId val="1592873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7752"/>
        <c:crosses val="autoZero"/>
        <c:auto val="1"/>
        <c:lblAlgn val="ctr"/>
        <c:lblOffset val="100"/>
        <c:noMultiLvlLbl val="0"/>
      </c:catAx>
      <c:valAx>
        <c:axId val="159287752"/>
        <c:scaling>
          <c:orientation val="minMax"/>
        </c:scaling>
        <c:delete val="0"/>
        <c:axPos val="l"/>
        <c:majorGrid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287360"/>
        <c:crosses val="autoZero"/>
        <c:crossBetween val="between"/>
      </c:valAx>
      <c:valAx>
        <c:axId val="1594598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460192"/>
        <c:crosses val="max"/>
        <c:crossBetween val="between"/>
      </c:valAx>
      <c:catAx>
        <c:axId val="159460192"/>
        <c:scaling>
          <c:orientation val="minMax"/>
        </c:scaling>
        <c:delete val="1"/>
        <c:axPos val="b"/>
        <c:numFmt formatCode="General" sourceLinked="1"/>
        <c:majorTickMark val="none"/>
        <c:minorTickMark val="none"/>
        <c:tickLblPos val="nextTo"/>
        <c:crossAx val="159459800"/>
        <c:crosses val="autoZero"/>
        <c:auto val="1"/>
        <c:lblAlgn val="ctr"/>
        <c:lblOffset val="100"/>
        <c:noMultiLvlLbl val="0"/>
      </c:catAx>
      <c:spPr>
        <a:noFill/>
        <a:ln>
          <a:noFill/>
        </a:ln>
        <a:effectLst/>
      </c:spPr>
    </c:plotArea>
    <c:legend>
      <c:legendPos val="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[Auto_Banknifty_OI.xlsm]PCR!PivotTable4</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PCR</a:t>
            </a:r>
          </a:p>
        </c:rich>
      </c:tx>
      <c:layout>
        <c:manualLayout>
          <c:xMode val="edge"/>
          <c:yMode val="edge"/>
          <c:x val="0.45139566929133856"/>
          <c:y val="3.9625255176436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
        <c:idx val="2"/>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pivotFmt>
    </c:pivotFmts>
    <c:plotArea>
      <c:layout>
        <c:manualLayout>
          <c:layoutTarget val="inner"/>
          <c:xMode val="edge"/>
          <c:yMode val="edge"/>
          <c:x val="7.2886482939632624E-2"/>
          <c:y val="0.20411599591717711"/>
          <c:w val="0.8965579615048116"/>
          <c:h val="0.39013050452026832"/>
        </c:manualLayout>
      </c:layout>
      <c:lineChart>
        <c:grouping val="standard"/>
        <c:varyColors val="0"/>
        <c:ser>
          <c:idx val="0"/>
          <c:order val="0"/>
          <c:tx>
            <c:strRef>
              <c:f>PCR!$B$3</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PCR!$A$4:$A$35</c:f>
              <c:strCache>
                <c:ptCount val="31"/>
                <c:pt idx="0">
                  <c:v>10:01</c:v>
                </c:pt>
                <c:pt idx="1">
                  <c:v>10:04</c:v>
                </c:pt>
                <c:pt idx="2">
                  <c:v>10:07</c:v>
                </c:pt>
                <c:pt idx="3">
                  <c:v>10:10</c:v>
                </c:pt>
                <c:pt idx="4">
                  <c:v>10:35</c:v>
                </c:pt>
                <c:pt idx="5">
                  <c:v>10:38</c:v>
                </c:pt>
                <c:pt idx="6">
                  <c:v>10:41</c:v>
                </c:pt>
                <c:pt idx="7">
                  <c:v>10:44</c:v>
                </c:pt>
                <c:pt idx="8">
                  <c:v>(blank)</c:v>
                </c:pt>
                <c:pt idx="9">
                  <c:v>09:15</c:v>
                </c:pt>
                <c:pt idx="10">
                  <c:v>09:18</c:v>
                </c:pt>
                <c:pt idx="11">
                  <c:v>09:21</c:v>
                </c:pt>
                <c:pt idx="12">
                  <c:v>09:24</c:v>
                </c:pt>
                <c:pt idx="13">
                  <c:v>09:27</c:v>
                </c:pt>
                <c:pt idx="14">
                  <c:v>09:30</c:v>
                </c:pt>
                <c:pt idx="15">
                  <c:v>09:33</c:v>
                </c:pt>
                <c:pt idx="16">
                  <c:v>09:43</c:v>
                </c:pt>
                <c:pt idx="17">
                  <c:v>09:46</c:v>
                </c:pt>
                <c:pt idx="18">
                  <c:v>09:49</c:v>
                </c:pt>
                <c:pt idx="19">
                  <c:v>09:52</c:v>
                </c:pt>
                <c:pt idx="20">
                  <c:v>09:55</c:v>
                </c:pt>
                <c:pt idx="21">
                  <c:v>09:58</c:v>
                </c:pt>
                <c:pt idx="22">
                  <c:v>10:20</c:v>
                </c:pt>
                <c:pt idx="23">
                  <c:v>10:23</c:v>
                </c:pt>
                <c:pt idx="24">
                  <c:v>10:26</c:v>
                </c:pt>
                <c:pt idx="25">
                  <c:v>10:29</c:v>
                </c:pt>
                <c:pt idx="26">
                  <c:v>10:32</c:v>
                </c:pt>
                <c:pt idx="27">
                  <c:v>09:37</c:v>
                </c:pt>
                <c:pt idx="28">
                  <c:v>09:40</c:v>
                </c:pt>
                <c:pt idx="29">
                  <c:v>10:14</c:v>
                </c:pt>
                <c:pt idx="30">
                  <c:v>10:17</c:v>
                </c:pt>
              </c:strCache>
            </c:strRef>
          </c:cat>
          <c:val>
            <c:numRef>
              <c:f>PCR!$B$4:$B$35</c:f>
              <c:numCache>
                <c:formatCode>General</c:formatCode>
                <c:ptCount val="31"/>
                <c:pt idx="0">
                  <c:v>0.83217861926140302</c:v>
                </c:pt>
                <c:pt idx="1">
                  <c:v>0.82479826351872121</c:v>
                </c:pt>
                <c:pt idx="2">
                  <c:v>0.81138721697317195</c:v>
                </c:pt>
                <c:pt idx="3">
                  <c:v>0.82074304595051484</c:v>
                </c:pt>
                <c:pt idx="4">
                  <c:v>0.78679250859237959</c:v>
                </c:pt>
                <c:pt idx="5">
                  <c:v>0.79669147478907276</c:v>
                </c:pt>
                <c:pt idx="6">
                  <c:v>0.79414051834673727</c:v>
                </c:pt>
                <c:pt idx="7">
                  <c:v>0.79515184769161484</c:v>
                </c:pt>
                <c:pt idx="9">
                  <c:v>#N/A</c:v>
                </c:pt>
                <c:pt idx="10">
                  <c:v>1.044430180040834</c:v>
                </c:pt>
                <c:pt idx="11">
                  <c:v>1.016172857250409</c:v>
                </c:pt>
                <c:pt idx="12">
                  <c:v>0.97975560206845602</c:v>
                </c:pt>
                <c:pt idx="13">
                  <c:v>0.98794924607380974</c:v>
                </c:pt>
                <c:pt idx="14">
                  <c:v>0.98804188207292243</c:v>
                </c:pt>
                <c:pt idx="15">
                  <c:v>0.95019271595523214</c:v>
                </c:pt>
                <c:pt idx="16">
                  <c:v>0.92651970452515631</c:v>
                </c:pt>
                <c:pt idx="17">
                  <c:v>0.91655261781890107</c:v>
                </c:pt>
                <c:pt idx="18">
                  <c:v>0.88653338856308184</c:v>
                </c:pt>
                <c:pt idx="19">
                  <c:v>0.88325041459369813</c:v>
                </c:pt>
                <c:pt idx="20">
                  <c:v>0.84783279074628659</c:v>
                </c:pt>
                <c:pt idx="21">
                  <c:v>0.8321966253429488</c:v>
                </c:pt>
                <c:pt idx="22">
                  <c:v>0.79697963087205614</c:v>
                </c:pt>
                <c:pt idx="23">
                  <c:v>0.79610855592263896</c:v>
                </c:pt>
                <c:pt idx="24">
                  <c:v>0.78884773618878834</c:v>
                </c:pt>
                <c:pt idx="25">
                  <c:v>0.78507310777560346</c:v>
                </c:pt>
                <c:pt idx="26">
                  <c:v>0.78609508559174901</c:v>
                </c:pt>
                <c:pt idx="27">
                  <c:v>0.98213138451654358</c:v>
                </c:pt>
                <c:pt idx="28">
                  <c:v>0.95696404248527656</c:v>
                </c:pt>
                <c:pt idx="29">
                  <c:v>0.83013044801095304</c:v>
                </c:pt>
                <c:pt idx="30">
                  <c:v>0.81631676446232326</c:v>
                </c:pt>
              </c:numCache>
            </c:numRef>
          </c:val>
          <c:smooth val="0"/>
        </c:ser>
        <c:dLbls>
          <c:showLegendKey val="0"/>
          <c:showVal val="0"/>
          <c:showCatName val="0"/>
          <c:showSerName val="0"/>
          <c:showPercent val="0"/>
          <c:showBubbleSize val="0"/>
        </c:dLbls>
        <c:marker val="1"/>
        <c:smooth val="0"/>
        <c:axId val="159460976"/>
        <c:axId val="159461368"/>
      </c:lineChart>
      <c:catAx>
        <c:axId val="15946097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461368"/>
        <c:crosses val="autoZero"/>
        <c:auto val="1"/>
        <c:lblAlgn val="ctr"/>
        <c:lblOffset val="100"/>
        <c:noMultiLvlLbl val="0"/>
      </c:catAx>
      <c:valAx>
        <c:axId val="159461368"/>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9460976"/>
        <c:crosses val="autoZero"/>
        <c:crossBetween val="between"/>
      </c:valAx>
      <c:spPr>
        <a:noFill/>
        <a:ln>
          <a:noFill/>
        </a:ln>
        <a:effectLst/>
      </c:spPr>
    </c:plotArea>
    <c:legend>
      <c:legendPos val="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486832</xdr:colOff>
      <xdr:row>24</xdr:row>
      <xdr:rowOff>155576</xdr:rowOff>
    </xdr:from>
    <xdr:to>
      <xdr:col>19</xdr:col>
      <xdr:colOff>0</xdr:colOff>
      <xdr:row>43</xdr:row>
      <xdr:rowOff>179917</xdr:rowOff>
    </xdr:to>
    <xdr:graphicFrame macro="">
      <xdr:nvGraphicFramePr>
        <xdr:cNvPr id="2" name="Chart 1">
          <a:extLst>
            <a:ext uri="{FF2B5EF4-FFF2-40B4-BE49-F238E27FC236}">
              <a16:creationId xmlns:a16="http://schemas.microsoft.com/office/drawing/2014/main" xmlns=""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24</xdr:row>
      <xdr:rowOff>152400</xdr:rowOff>
    </xdr:from>
    <xdr:to>
      <xdr:col>11</xdr:col>
      <xdr:colOff>158750</xdr:colOff>
      <xdr:row>43</xdr:row>
      <xdr:rowOff>179917</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46</xdr:row>
      <xdr:rowOff>105832</xdr:rowOff>
    </xdr:from>
    <xdr:to>
      <xdr:col>11</xdr:col>
      <xdr:colOff>190499</xdr:colOff>
      <xdr:row>65</xdr:row>
      <xdr:rowOff>10583</xdr:rowOff>
    </xdr:to>
    <xdr:graphicFrame macro="">
      <xdr:nvGraphicFramePr>
        <xdr:cNvPr id="4" name="Chart 3">
          <a:extLst>
            <a:ext uri="{FF2B5EF4-FFF2-40B4-BE49-F238E27FC236}">
              <a16:creationId xmlns:a16="http://schemas.microsoft.com/office/drawing/2014/main" xmlns=""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497416</xdr:colOff>
      <xdr:row>46</xdr:row>
      <xdr:rowOff>116417</xdr:rowOff>
    </xdr:from>
    <xdr:to>
      <xdr:col>19</xdr:col>
      <xdr:colOff>0</xdr:colOff>
      <xdr:row>65</xdr:row>
      <xdr:rowOff>63500</xdr:rowOff>
    </xdr:to>
    <xdr:graphicFrame macro="">
      <xdr:nvGraphicFramePr>
        <xdr:cNvPr id="5" name="Chart 4">
          <a:extLst>
            <a:ext uri="{FF2B5EF4-FFF2-40B4-BE49-F238E27FC236}">
              <a16:creationId xmlns:a16="http://schemas.microsoft.com/office/drawing/2014/main" xmlns=""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600074</xdr:colOff>
      <xdr:row>31</xdr:row>
      <xdr:rowOff>66674</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0</xdr:row>
      <xdr:rowOff>0</xdr:rowOff>
    </xdr:from>
    <xdr:to>
      <xdr:col>19</xdr:col>
      <xdr:colOff>295275</xdr:colOff>
      <xdr:row>31</xdr:row>
      <xdr:rowOff>76200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466726</xdr:colOff>
      <xdr:row>35</xdr:row>
      <xdr:rowOff>85725</xdr:rowOff>
    </xdr:from>
    <xdr:to>
      <xdr:col>9</xdr:col>
      <xdr:colOff>47626</xdr:colOff>
      <xdr:row>48</xdr:row>
      <xdr:rowOff>114300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561975</xdr:colOff>
      <xdr:row>35</xdr:row>
      <xdr:rowOff>47624</xdr:rowOff>
    </xdr:from>
    <xdr:to>
      <xdr:col>18</xdr:col>
      <xdr:colOff>304800</xdr:colOff>
      <xdr:row>48</xdr:row>
      <xdr:rowOff>123824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38100</xdr:colOff>
      <xdr:row>31</xdr:row>
      <xdr:rowOff>114299</xdr:rowOff>
    </xdr:from>
    <xdr:to>
      <xdr:col>18</xdr:col>
      <xdr:colOff>561975</xdr:colOff>
      <xdr:row>35</xdr:row>
      <xdr:rowOff>57150</xdr:rowOff>
    </xdr:to>
    <mc:AlternateContent xmlns:mc="http://schemas.openxmlformats.org/markup-compatibility/2006" xmlns:a14="http://schemas.microsoft.com/office/drawing/2010/main">
      <mc:Choice Requires="a14">
        <xdr:graphicFrame macro="">
          <xdr:nvGraphicFramePr>
            <xdr:cNvPr id="2" name="strike"/>
            <xdr:cNvGraphicFramePr/>
          </xdr:nvGraphicFramePr>
          <xdr:xfrm>
            <a:off x="0" y="0"/>
            <a:ext cx="0" cy="0"/>
          </xdr:xfrm>
          <a:graphic>
            <a:graphicData uri="http://schemas.microsoft.com/office/drawing/2010/slicer">
              <sle:slicer xmlns:sle="http://schemas.microsoft.com/office/drawing/2010/slicer" name="strike"/>
            </a:graphicData>
          </a:graphic>
        </xdr:graphicFrame>
      </mc:Choice>
      <mc:Fallback xmlns="">
        <xdr:sp macro="" textlink="">
          <xdr:nvSpPr>
            <xdr:cNvPr id="0" name=""/>
            <xdr:cNvSpPr>
              <a:spLocks noTextEdit="1"/>
            </xdr:cNvSpPr>
          </xdr:nvSpPr>
          <xdr:spPr>
            <a:xfrm>
              <a:off x="38100" y="4972049"/>
              <a:ext cx="11496675" cy="5905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38100</xdr:rowOff>
        </xdr:from>
        <xdr:to>
          <xdr:col>0</xdr:col>
          <xdr:colOff>581025</xdr:colOff>
          <xdr:row>0</xdr:row>
          <xdr:rowOff>304800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361950</xdr:rowOff>
        </xdr:from>
        <xdr:to>
          <xdr:col>0</xdr:col>
          <xdr:colOff>581025</xdr:colOff>
          <xdr:row>0</xdr:row>
          <xdr:rowOff>581025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0</xdr:row>
          <xdr:rowOff>371475</xdr:rowOff>
        </xdr:from>
        <xdr:to>
          <xdr:col>2</xdr:col>
          <xdr:colOff>28575</xdr:colOff>
          <xdr:row>0</xdr:row>
          <xdr:rowOff>590550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BN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counts/Dropbox/Shiv/19_12_19_Bank_O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istrator/Desktop/excelsheet/Auto_Bank_OI%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lp"/>
      <sheetName val="MarketWatch"/>
      <sheetName val="Sheet3"/>
      <sheetName val="Sheet4"/>
      <sheetName val="Data_Banknifty"/>
      <sheetName val="Macro1"/>
      <sheetName val="__meta_data"/>
      <sheetName val="WEEKLY OI"/>
      <sheetName val="MAIN OI BankNifty"/>
      <sheetName val="Sheet2"/>
    </sheetNames>
    <sheetDataSet>
      <sheetData sheetId="0" refreshError="1"/>
      <sheetData sheetId="1" refreshError="1"/>
      <sheetData sheetId="2" refreshError="1"/>
      <sheetData sheetId="3" refreshError="1"/>
      <sheetData sheetId="4">
        <row r="25">
          <cell r="A25" t="str">
            <v>CE28900</v>
          </cell>
        </row>
      </sheetData>
      <sheetData sheetId="5" refreshError="1"/>
      <sheetData sheetId="6" refreshError="1"/>
      <sheetData sheetId="7" refreshError="1"/>
      <sheetData sheetId="8">
        <row r="6">
          <cell r="F6" t="str">
            <v>Call Volume</v>
          </cell>
          <cell r="G6" t="str">
            <v>Call Net OI</v>
          </cell>
          <cell r="H6" t="str">
            <v>Call change in OI</v>
          </cell>
          <cell r="J6" t="str">
            <v>Call Price change</v>
          </cell>
          <cell r="N6" t="str">
            <v>Put Price Change</v>
          </cell>
          <cell r="P6" t="str">
            <v>Put Change in OI</v>
          </cell>
          <cell r="Q6" t="str">
            <v>Put Net OI</v>
          </cell>
          <cell r="R6" t="str">
            <v>Put Volume</v>
          </cell>
        </row>
        <row r="7">
          <cell r="F7">
            <v>1825</v>
          </cell>
          <cell r="G7">
            <v>16420</v>
          </cell>
          <cell r="H7">
            <v>-11500</v>
          </cell>
          <cell r="J7">
            <v>-10.85</v>
          </cell>
          <cell r="L7">
            <v>31400</v>
          </cell>
          <cell r="N7">
            <v>-5.55</v>
          </cell>
          <cell r="P7">
            <v>-5560</v>
          </cell>
          <cell r="Q7">
            <v>154200</v>
          </cell>
          <cell r="R7">
            <v>30838</v>
          </cell>
        </row>
        <row r="8">
          <cell r="F8">
            <v>4150</v>
          </cell>
          <cell r="G8">
            <v>26900</v>
          </cell>
          <cell r="H8">
            <v>-14960</v>
          </cell>
          <cell r="J8">
            <v>-3.6</v>
          </cell>
          <cell r="L8">
            <v>31500</v>
          </cell>
          <cell r="N8">
            <v>-6.85</v>
          </cell>
          <cell r="P8">
            <v>-94040</v>
          </cell>
          <cell r="Q8">
            <v>460980</v>
          </cell>
          <cell r="R8">
            <v>195857</v>
          </cell>
        </row>
        <row r="9">
          <cell r="F9">
            <v>1694</v>
          </cell>
          <cell r="G9">
            <v>9200</v>
          </cell>
          <cell r="H9">
            <v>-12140</v>
          </cell>
          <cell r="J9">
            <v>3.2</v>
          </cell>
          <cell r="L9">
            <v>31600</v>
          </cell>
          <cell r="N9">
            <v>-7.75</v>
          </cell>
          <cell r="P9">
            <v>-41060</v>
          </cell>
          <cell r="Q9">
            <v>194540</v>
          </cell>
          <cell r="R9">
            <v>123588</v>
          </cell>
        </row>
        <row r="10">
          <cell r="F10">
            <v>4643</v>
          </cell>
          <cell r="G10">
            <v>14360</v>
          </cell>
          <cell r="H10">
            <v>-10520</v>
          </cell>
          <cell r="J10">
            <v>-10.35</v>
          </cell>
          <cell r="L10">
            <v>31700</v>
          </cell>
          <cell r="N10">
            <v>-10.3</v>
          </cell>
          <cell r="P10">
            <v>-3200</v>
          </cell>
          <cell r="Q10">
            <v>352280</v>
          </cell>
          <cell r="R10">
            <v>601268</v>
          </cell>
        </row>
        <row r="11">
          <cell r="F11">
            <v>16079</v>
          </cell>
          <cell r="G11">
            <v>14860</v>
          </cell>
          <cell r="H11">
            <v>-13500</v>
          </cell>
          <cell r="J11">
            <v>-17.25</v>
          </cell>
          <cell r="L11">
            <v>31800</v>
          </cell>
          <cell r="N11">
            <v>-15.8</v>
          </cell>
          <cell r="P11">
            <v>-42660</v>
          </cell>
          <cell r="Q11">
            <v>513740</v>
          </cell>
          <cell r="R11">
            <v>646030</v>
          </cell>
        </row>
        <row r="12">
          <cell r="F12">
            <v>58237</v>
          </cell>
          <cell r="G12">
            <v>23840</v>
          </cell>
          <cell r="H12">
            <v>-22520</v>
          </cell>
          <cell r="J12">
            <v>-25.3</v>
          </cell>
          <cell r="L12">
            <v>31900</v>
          </cell>
          <cell r="N12">
            <v>-24.8</v>
          </cell>
          <cell r="P12">
            <v>246380</v>
          </cell>
          <cell r="Q12">
            <v>728380</v>
          </cell>
          <cell r="R12">
            <v>1028001</v>
          </cell>
        </row>
        <row r="13">
          <cell r="F13">
            <v>305806</v>
          </cell>
          <cell r="G13">
            <v>80000</v>
          </cell>
          <cell r="H13">
            <v>-144940</v>
          </cell>
          <cell r="J13">
            <v>-40</v>
          </cell>
          <cell r="L13">
            <v>32000</v>
          </cell>
          <cell r="N13">
            <v>-39.6</v>
          </cell>
          <cell r="P13">
            <v>597660</v>
          </cell>
          <cell r="Q13">
            <v>1621600</v>
          </cell>
          <cell r="R13">
            <v>2073487</v>
          </cell>
        </row>
        <row r="14">
          <cell r="F14">
            <v>671451</v>
          </cell>
          <cell r="G14">
            <v>81800</v>
          </cell>
          <cell r="H14">
            <v>-39000</v>
          </cell>
          <cell r="J14">
            <v>-62.05</v>
          </cell>
          <cell r="L14">
            <v>32100</v>
          </cell>
          <cell r="N14">
            <v>-61.65</v>
          </cell>
          <cell r="P14">
            <v>644740</v>
          </cell>
          <cell r="Q14">
            <v>1048280</v>
          </cell>
          <cell r="R14">
            <v>2315432</v>
          </cell>
        </row>
        <row r="15">
          <cell r="F15">
            <v>2128368</v>
          </cell>
          <cell r="G15">
            <v>317880</v>
          </cell>
          <cell r="H15">
            <v>-76780</v>
          </cell>
          <cell r="J15">
            <v>-96.45</v>
          </cell>
          <cell r="L15">
            <v>32200</v>
          </cell>
          <cell r="N15">
            <v>-95.05</v>
          </cell>
          <cell r="P15">
            <v>960300</v>
          </cell>
          <cell r="Q15">
            <v>1427760</v>
          </cell>
          <cell r="R15">
            <v>3105885</v>
          </cell>
        </row>
        <row r="16">
          <cell r="F16">
            <v>3525471</v>
          </cell>
          <cell r="G16">
            <v>1499380</v>
          </cell>
          <cell r="H16">
            <v>1071100</v>
          </cell>
          <cell r="J16">
            <v>-87.25</v>
          </cell>
          <cell r="L16">
            <v>32300</v>
          </cell>
          <cell r="N16">
            <v>-84.95</v>
          </cell>
          <cell r="P16">
            <v>-24060</v>
          </cell>
          <cell r="Q16">
            <v>141780</v>
          </cell>
          <cell r="R16">
            <v>1370454</v>
          </cell>
        </row>
        <row r="17">
          <cell r="F17">
            <v>2623560</v>
          </cell>
          <cell r="G17">
            <v>1108600</v>
          </cell>
          <cell r="H17">
            <v>700880</v>
          </cell>
          <cell r="J17">
            <v>-50.4</v>
          </cell>
          <cell r="L17">
            <v>32400</v>
          </cell>
          <cell r="N17">
            <v>-49.55</v>
          </cell>
          <cell r="P17">
            <v>7620</v>
          </cell>
          <cell r="Q17">
            <v>49860</v>
          </cell>
          <cell r="R17">
            <v>291033</v>
          </cell>
        </row>
        <row r="18">
          <cell r="F18">
            <v>2080474</v>
          </cell>
          <cell r="G18">
            <v>1137820</v>
          </cell>
          <cell r="H18">
            <v>341080</v>
          </cell>
          <cell r="J18">
            <v>-27.65</v>
          </cell>
          <cell r="L18">
            <v>32500</v>
          </cell>
          <cell r="N18">
            <v>-29.05</v>
          </cell>
          <cell r="P18">
            <v>-11720</v>
          </cell>
          <cell r="Q18">
            <v>24680</v>
          </cell>
          <cell r="R18">
            <v>98361</v>
          </cell>
        </row>
        <row r="19">
          <cell r="F19">
            <v>1127453</v>
          </cell>
          <cell r="G19">
            <v>545380</v>
          </cell>
          <cell r="H19">
            <v>211640</v>
          </cell>
          <cell r="J19">
            <v>-13.15</v>
          </cell>
          <cell r="L19">
            <v>32600</v>
          </cell>
          <cell r="N19">
            <v>-13.6</v>
          </cell>
          <cell r="P19">
            <v>5880</v>
          </cell>
          <cell r="Q19">
            <v>10860</v>
          </cell>
          <cell r="R19">
            <v>13986</v>
          </cell>
        </row>
        <row r="20">
          <cell r="F20">
            <v>3863477</v>
          </cell>
          <cell r="G20">
            <v>280480</v>
          </cell>
          <cell r="H20">
            <v>39540</v>
          </cell>
          <cell r="J20">
            <v>-6.5</v>
          </cell>
          <cell r="L20">
            <v>32700</v>
          </cell>
          <cell r="N20">
            <v>-5.95</v>
          </cell>
          <cell r="P20">
            <v>-900</v>
          </cell>
          <cell r="Q20">
            <v>4580</v>
          </cell>
          <cell r="R20">
            <v>3089</v>
          </cell>
        </row>
        <row r="21">
          <cell r="F21">
            <v>91988</v>
          </cell>
          <cell r="G21">
            <v>136100</v>
          </cell>
          <cell r="H21">
            <v>21900</v>
          </cell>
          <cell r="J21">
            <v>-4.05</v>
          </cell>
          <cell r="L21">
            <v>32800</v>
          </cell>
          <cell r="N21">
            <v>1.6</v>
          </cell>
          <cell r="P21">
            <v>700</v>
          </cell>
          <cell r="Q21">
            <v>1480</v>
          </cell>
          <cell r="R21">
            <v>723</v>
          </cell>
        </row>
        <row r="22">
          <cell r="F22">
            <v>40067</v>
          </cell>
          <cell r="G22">
            <v>46140</v>
          </cell>
          <cell r="H22">
            <v>-34420</v>
          </cell>
          <cell r="J22">
            <v>-2.9</v>
          </cell>
          <cell r="L22">
            <v>32900</v>
          </cell>
          <cell r="N22">
            <v>16.8</v>
          </cell>
          <cell r="P22">
            <v>840</v>
          </cell>
          <cell r="Q22">
            <v>1380</v>
          </cell>
          <cell r="R22">
            <v>561</v>
          </cell>
        </row>
      </sheetData>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Stamp"/>
      <sheetName val="Cookies"/>
      <sheetName val="Data_Banknifty"/>
      <sheetName val="MAIN OI BankNifty"/>
      <sheetName val="Dashboard"/>
      <sheetName val="BankNifty_2"/>
      <sheetName val="Call_Bank"/>
      <sheetName val="Put_Bank"/>
      <sheetName val="IV"/>
      <sheetName val="PCR"/>
      <sheetName val="Auto_Bank_OI (1)"/>
    </sheetNames>
    <definedNames>
      <definedName name="Copy_Auto_Bank_OI"/>
    </defined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A1"/>
  <sheetViews>
    <sheetView showFormulas="1" workbookViewId="0"/>
  </sheetViews>
  <sheetFormatPr defaultRowHeight="12.75" x14ac:dyDescent="0.2"/>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ifs" refreshedDate="43874.447823263887" createdVersion="5" refreshedVersion="5" minRefreshableVersion="3" recordCount="4115">
  <cacheSource type="worksheet">
    <worksheetSource ref="B1:T1048576" sheet="BankNifty_2"/>
  </cacheSource>
  <cacheFields count="19">
    <cacheField name="Time" numFmtId="0">
      <sharedItems containsBlank="1" count="301">
        <s v="09:15"/>
        <s v="09:18"/>
        <s v="09:21"/>
        <s v="09:24"/>
        <s v="09:27"/>
        <s v="09:30"/>
        <s v="09:33"/>
        <s v="09:37"/>
        <s v="09:40"/>
        <s v="09:43"/>
        <s v="09:46"/>
        <s v="09:49"/>
        <s v="09:52"/>
        <s v="09:55"/>
        <s v="09:58"/>
        <s v="10:01"/>
        <s v="10:04"/>
        <s v="10:07"/>
        <s v="10:10"/>
        <s v="10:14"/>
        <s v="10:17"/>
        <s v="10:20"/>
        <s v="10:23"/>
        <s v="10:26"/>
        <s v="10:29"/>
        <s v="10:32"/>
        <s v="10:35"/>
        <s v="10:38"/>
        <s v="10:41"/>
        <s v="10:44"/>
        <m/>
        <s v="11:49" u="1"/>
        <s v="12:02" u="1"/>
        <s v="14:21" u="1"/>
        <s v="15:15" u="1"/>
        <s v="11:05" u="1"/>
        <s v="12:30" u="1"/>
        <s v="13:24" u="1"/>
        <s v="14:18" u="1"/>
        <s v="15:43" u="1"/>
        <s v="11:33" u="1"/>
        <s v="12:27" u="1"/>
        <s v="13:52" u="1"/>
        <s v="13:49" u="1"/>
        <s v="14:02" u="1"/>
        <s v="11:58" u="1"/>
        <s v="12:11" u="1"/>
        <s v="13:05" u="1"/>
        <s v="14:30" u="1"/>
        <s v="15:24" u="1"/>
        <s v="11:14" u="1"/>
        <s v="12:08" u="1"/>
        <s v="13:33" u="1"/>
        <s v="14:27" u="1"/>
        <s v="9:51" u="1"/>
        <s v="11:42" u="1"/>
        <s v="12:36" u="1"/>
        <s v="14:55" u="1"/>
        <s v="11:39" u="1"/>
        <s v="13:58" u="1"/>
        <s v="14:11" u="1"/>
        <s v="15:05" u="1"/>
        <s v="12:20" u="1"/>
        <s v="13:14" u="1"/>
        <s v="14:08" u="1"/>
        <s v="15:33" u="1"/>
        <s v="9:30" u="1"/>
        <s v="11:23" u="1"/>
        <s v="12:17" u="1"/>
        <s v="13:42" u="1"/>
        <s v="14:36" u="1"/>
        <s v="11:51" u="1"/>
        <s v="12:45" u="1"/>
        <s v="13:39" u="1"/>
        <s v="11:48" u="1"/>
        <s v="12:01" u="1"/>
        <s v="14:20" u="1"/>
        <s v="14:17" u="1"/>
        <s v="12:26" u="1"/>
        <s v="13:51" u="1"/>
        <s v="14:45" u="1"/>
        <s v="12:54" u="1"/>
        <s v="13:48" u="1"/>
        <s v="14:01" u="1"/>
        <s v="11:57" u="1"/>
        <s v="12:10" u="1"/>
        <s v="13:04" u="1"/>
        <s v="12:07" u="1"/>
        <s v="14:26" u="1"/>
        <s v="9:39" u="1"/>
        <s v="10:16" u="1"/>
        <s v="12:35" u="1"/>
        <s v="14:54" u="1"/>
        <s v="14:10" u="1"/>
        <s v="15:04" u="1"/>
        <s v="10:00" u="1"/>
        <s v="13:13" u="1"/>
        <s v="14:07" u="1"/>
        <s v="15:32" u="1"/>
        <s v="12:16" u="1"/>
        <s v="13:41" u="1"/>
        <s v="14:35" u="1"/>
        <s v="10:25" u="1"/>
        <s v="11:50" u="1"/>
        <s v="12:44" u="1"/>
        <s v="09:36" u="1"/>
        <s v="10:53" u="1"/>
        <s v="12:00" u="1"/>
        <s v="15:13" u="1"/>
        <s v="11:03" u="1"/>
        <s v="13:22" u="1"/>
        <s v="14:16" u="1"/>
        <s v="10:06" u="1"/>
        <s v="11:31" u="1"/>
        <s v="12:25" u="1"/>
        <s v="13:19" u="1"/>
        <s v="13:50" u="1"/>
        <s v="14:44" u="1"/>
        <s v="10:34" u="1"/>
        <s v="11:28" u="1"/>
        <s v="12:53" u="1"/>
        <s v="13:47" u="1"/>
        <s v="9:48" u="1"/>
        <s v="09:45" u="1"/>
        <s v="11:56" u="1"/>
        <s v="13:03" u="1"/>
        <s v="15:22" u="1"/>
        <s v="10:59" u="1"/>
        <s v="11:12" u="1"/>
        <s v="13:31" u="1"/>
        <s v="14:25" u="1"/>
        <s v="15:19" u="1"/>
        <s v="9:58" u="1"/>
        <s v="11:09" u="1"/>
        <s v="11:40" u="1"/>
        <s v="12:34" u="1"/>
        <s v="13:28" u="1"/>
        <s v="14:53" u="1"/>
        <s v="9:27" u="1"/>
        <s v="09:26" u="1"/>
        <s v="10:43" u="1"/>
        <s v="11:37" u="1"/>
        <s v="13:56" u="1"/>
        <s v="15:03" u="1"/>
        <s v="09:54" u="1"/>
        <s v="12:59" u="1"/>
        <s v="13:12" u="1"/>
        <s v="15:31" u="1"/>
        <s v="11:21" u="1"/>
        <s v="13:09" u="1"/>
        <s v="13:40" u="1"/>
        <s v="15:28" u="1"/>
        <s v="11:18" u="1"/>
        <s v="13:37" u="1"/>
        <s v="09:35" u="1"/>
        <s v="11:46" u="1"/>
        <s v="14:59" u="1"/>
        <s v="15:12" u="1"/>
        <s v="10:49" u="1"/>
        <s v="11:02" u="1"/>
        <s v="13:21" u="1"/>
        <s v="15:09" u="1"/>
        <s v="15:40" u="1"/>
        <s v="9:57" u="1"/>
        <s v="11:30" u="1"/>
        <s v="13:18" u="1"/>
        <s v="15:37" u="1"/>
        <s v="09:16" u="1"/>
        <s v="13:46" u="1"/>
        <s v="11:55" u="1"/>
        <s v="13:02" u="1"/>
        <s v="15:21" u="1"/>
        <s v="9:36" u="1"/>
        <s v="11:11" u="1"/>
        <s v="12:05" u="1"/>
        <s v="13:30" u="1"/>
        <s v="14:24" u="1"/>
        <s v="15:18" u="1"/>
        <s v="11:08" u="1"/>
        <s v="12:33" u="1"/>
        <s v="13:27" u="1"/>
        <s v="11:36" u="1"/>
        <s v="13:55" u="1"/>
        <s v="15:02" u="1"/>
        <s v="13:11" u="1"/>
        <s v="14:05" u="1"/>
        <s v="15:30" u="1"/>
        <s v="11:20" u="1"/>
        <s v="12:14" u="1"/>
        <s v="13:08" u="1"/>
        <s v="14:33" u="1"/>
        <s v="15:27" u="1"/>
        <s v="11:17" u="1"/>
        <s v="12:42" u="1"/>
        <s v="13:36" u="1"/>
        <s v="11:45" u="1"/>
        <s v="12:39" u="1"/>
        <s v="14:58" u="1"/>
        <s v="14:14" u="1"/>
        <s v="15:08" u="1"/>
        <s v="12:23" u="1"/>
        <s v="13:17" u="1"/>
        <s v="14:42" u="1"/>
        <s v="9:45" u="1"/>
        <s v="11:26" u="1"/>
        <s v="12:51" u="1"/>
        <s v="13:45" u="1"/>
        <s v="14:39" u="1"/>
        <s v="11:54" u="1"/>
        <s v="12:48" u="1"/>
        <s v="10:57" u="1"/>
        <s v="12:04" u="1"/>
        <s v="14:23" u="1"/>
        <s v="10:13" u="1"/>
        <s v="12:32" u="1"/>
        <s v="14:51" u="1"/>
        <s v="12:29" u="1"/>
        <s v="13:54" u="1"/>
        <s v="14:48" u="1"/>
        <s v="15:01" u="1"/>
        <s v="12:57" u="1"/>
        <s v="13:10" u="1"/>
        <s v="14:04" u="1"/>
        <s v="12:13" u="1"/>
        <s v="13:07" u="1"/>
        <s v="14:32" u="1"/>
        <s v="10:22" u="1"/>
        <s v="12:41" u="1"/>
        <s v="14:29" u="1"/>
        <s v="10:19" u="1"/>
        <s v="10:50" u="1"/>
        <s v="12:38" u="1"/>
        <s v="14:57" u="1"/>
        <s v="15:10" u="1"/>
        <s v="9:54" u="1"/>
        <s v="10:47" u="1"/>
        <s v="11:00" u="1"/>
        <s v="14:13" u="1"/>
        <s v="15:07" u="1"/>
        <s v="10:03" u="1"/>
        <s v="12:22" u="1"/>
        <s v="13:16" u="1"/>
        <s v="14:41" u="1"/>
        <s v="15:35" u="1"/>
        <s v="10:31" u="1"/>
        <s v="12:19" u="1"/>
        <s v="12:50" u="1"/>
        <s v="13:44" u="1"/>
        <s v="14:38" u="1"/>
        <s v="9:33" u="1"/>
        <s v="09:42" u="1"/>
        <s v="10:28" u="1"/>
        <s v="11:53" u="1"/>
        <s v="12:47" u="1"/>
        <s v="13:00" u="1"/>
        <s v="09:39" u="1"/>
        <s v="10:56" u="1"/>
        <s v="12:03" u="1"/>
        <s v="14:22" u="1"/>
        <s v="15:16" u="1"/>
        <s v="10:12" u="1"/>
        <s v="11:06" u="1"/>
        <s v="12:31" u="1"/>
        <s v="13:25" u="1"/>
        <s v="14:19" u="1"/>
        <s v="14:50" u="1"/>
        <s v="09:23" u="1"/>
        <s v="10:09" u="1"/>
        <s v="10:40" u="1"/>
        <s v="11:34" u="1"/>
        <s v="12:28" u="1"/>
        <s v="13:53" u="1"/>
        <s v="14:47" u="1"/>
        <s v="15:00" u="1"/>
        <s v="09:51" u="1"/>
        <s v="10:37" u="1"/>
        <s v="12:56" u="1"/>
        <s v="09:48" u="1"/>
        <s v="11:59" u="1"/>
        <s v="13:06" u="1"/>
        <s v="14:31" u="1"/>
        <s v="15:25" u="1"/>
        <s v="11:15" u="1"/>
        <s v="12:40" u="1"/>
        <s v="13:34" u="1"/>
        <s v="14:28" u="1"/>
        <s v="09:32" u="1"/>
        <s v="11:43" u="1"/>
        <s v="12:37" u="1"/>
        <s v="14:56" u="1"/>
        <s v="09:29" u="1"/>
        <s v="10:46" u="1"/>
        <s v="13:59" u="1"/>
        <s v="15:06" u="1"/>
        <s v="9:42" u="1"/>
        <s v="09:57" u="1"/>
        <s v="13:15" u="1"/>
        <s v="15:34" u="1"/>
        <s v="11:24" u="1"/>
        <s v="13:43" u="1"/>
        <s v="11:52" u="1"/>
      </sharedItems>
    </cacheField>
    <cacheField name="Interpretation" numFmtId="0">
      <sharedItems containsBlank="1" containsMixedTypes="1" containsNumber="1" minValue="0.78507310777560346" maxValue="1.044430180040834"/>
    </cacheField>
    <cacheField name="OI change_up or down" numFmtId="0">
      <sharedItems containsBlank="1"/>
    </cacheField>
    <cacheField name="Call Volume" numFmtId="0">
      <sharedItems containsBlank="1" containsMixedTypes="1" containsNumber="1" containsInteger="1" minValue="40" maxValue="21305040"/>
    </cacheField>
    <cacheField name="Call Net OI" numFmtId="0">
      <sharedItems containsBlank="1" containsMixedTypes="1" containsNumber="1" containsInteger="1" minValue="3620" maxValue="11591220"/>
    </cacheField>
    <cacheField name="Call change in OI" numFmtId="0">
      <sharedItems containsBlank="1" containsMixedTypes="1" containsNumber="1" containsInteger="1" minValue="-44460" maxValue="2143060"/>
    </cacheField>
    <cacheField name="Call IV" numFmtId="0">
      <sharedItems containsBlank="1"/>
    </cacheField>
    <cacheField name="Call Price change" numFmtId="0">
      <sharedItems containsBlank="1" containsMixedTypes="1" containsNumber="1" minValue="-251.70000000000005" maxValue="-1.85"/>
    </cacheField>
    <cacheField name="Call LTP" numFmtId="0">
      <sharedItems containsBlank="1" containsMixedTypes="1" containsNumber="1" minValue="0.45" maxValue="821.2"/>
    </cacheField>
    <cacheField name="strike" numFmtId="0">
      <sharedItems containsBlank="1" containsMixedTypes="1" containsNumber="1" containsInteger="1" minValue="-800" maxValue="32300" count="40">
        <n v="-800"/>
        <n v="-700"/>
        <n v="-600"/>
        <n v="-500"/>
        <n v="-400"/>
        <n v="-300"/>
        <n v="-200"/>
        <n v="-100"/>
        <n v="0"/>
        <n v="100"/>
        <n v="200"/>
        <n v="300"/>
        <n v="400"/>
        <n v="500"/>
        <n v="600"/>
        <n v="700"/>
        <s v="PCR"/>
        <n v="30700"/>
        <n v="30800"/>
        <n v="30900"/>
        <n v="31000"/>
        <n v="31100"/>
        <n v="31200"/>
        <n v="31300"/>
        <n v="31400"/>
        <n v="31500"/>
        <n v="31600"/>
        <n v="31700"/>
        <n v="31800"/>
        <n v="31900"/>
        <n v="32000"/>
        <n v="32100"/>
        <n v="32200"/>
        <n v="30600"/>
        <n v="30500"/>
        <m/>
        <n v="30300" u="1"/>
        <n v="30400" u="1"/>
        <n v="32300" u="1"/>
        <n v="30200" u="1"/>
      </sharedItems>
    </cacheField>
    <cacheField name="Put LTP" numFmtId="0">
      <sharedItems containsBlank="1" containsMixedTypes="1" containsNumber="1" minValue="0.5" maxValue="777.5"/>
    </cacheField>
    <cacheField name="Put Price Change" numFmtId="0">
      <sharedItems containsBlank="1" containsMixedTypes="1" containsNumber="1" minValue="-5.65" maxValue="237.54999999999995"/>
    </cacheField>
    <cacheField name="Put IV" numFmtId="0">
      <sharedItems containsBlank="1"/>
    </cacheField>
    <cacheField name="Put Change in OI" numFmtId="0">
      <sharedItems containsBlank="1" containsMixedTypes="1" containsNumber="1" containsInteger="1" minValue="-194760" maxValue="1051100"/>
    </cacheField>
    <cacheField name="Put Net OI" numFmtId="0">
      <sharedItems containsBlank="1" containsMixedTypes="1" containsNumber="1" containsInteger="1" minValue="0" maxValue="9216780"/>
    </cacheField>
    <cacheField name="Put Volume" numFmtId="0">
      <sharedItems containsBlank="1" containsMixedTypes="1" containsNumber="1" containsInteger="1" minValue="0" maxValue="13536760"/>
    </cacheField>
    <cacheField name="OI change_up or down2" numFmtId="0">
      <sharedItems containsBlank="1"/>
    </cacheField>
    <cacheField name="Interpretation2" numFmtId="0">
      <sharedItems containsBlank="1"/>
    </cacheField>
    <cacheField name="BankNifty" numFmtId="0">
      <sharedItems containsString="0" containsBlank="1" containsNumber="1" minValue="0" maxValue="31481.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115">
  <r>
    <x v="0"/>
    <e v="#N/A"/>
    <e v="#N/A"/>
    <e v="#N/A"/>
    <e v="#N/A"/>
    <e v="#N/A"/>
    <e v="#N/A"/>
    <e v="#N/A"/>
    <e v="#N/A"/>
    <x v="0"/>
    <e v="#N/A"/>
    <e v="#N/A"/>
    <e v="#N/A"/>
    <e v="#N/A"/>
    <e v="#N/A"/>
    <e v="#N/A"/>
    <e v="#N/A"/>
    <e v="#N/A"/>
    <n v="0"/>
  </r>
  <r>
    <x v="0"/>
    <e v="#N/A"/>
    <e v="#N/A"/>
    <e v="#N/A"/>
    <e v="#N/A"/>
    <e v="#N/A"/>
    <e v="#N/A"/>
    <e v="#N/A"/>
    <e v="#N/A"/>
    <x v="1"/>
    <e v="#N/A"/>
    <e v="#N/A"/>
    <e v="#N/A"/>
    <e v="#N/A"/>
    <e v="#N/A"/>
    <e v="#N/A"/>
    <e v="#N/A"/>
    <e v="#N/A"/>
    <n v="0"/>
  </r>
  <r>
    <x v="0"/>
    <e v="#N/A"/>
    <e v="#N/A"/>
    <e v="#N/A"/>
    <e v="#N/A"/>
    <e v="#N/A"/>
    <e v="#N/A"/>
    <e v="#N/A"/>
    <e v="#N/A"/>
    <x v="2"/>
    <e v="#N/A"/>
    <e v="#N/A"/>
    <e v="#N/A"/>
    <e v="#N/A"/>
    <e v="#N/A"/>
    <e v="#N/A"/>
    <e v="#N/A"/>
    <e v="#N/A"/>
    <n v="0"/>
  </r>
  <r>
    <x v="0"/>
    <e v="#N/A"/>
    <e v="#N/A"/>
    <e v="#N/A"/>
    <e v="#N/A"/>
    <e v="#N/A"/>
    <e v="#N/A"/>
    <e v="#N/A"/>
    <e v="#N/A"/>
    <x v="3"/>
    <e v="#N/A"/>
    <e v="#N/A"/>
    <e v="#N/A"/>
    <e v="#N/A"/>
    <e v="#N/A"/>
    <e v="#N/A"/>
    <e v="#N/A"/>
    <e v="#N/A"/>
    <n v="0"/>
  </r>
  <r>
    <x v="0"/>
    <e v="#N/A"/>
    <e v="#N/A"/>
    <e v="#N/A"/>
    <e v="#N/A"/>
    <e v="#N/A"/>
    <e v="#N/A"/>
    <e v="#N/A"/>
    <e v="#N/A"/>
    <x v="4"/>
    <e v="#N/A"/>
    <e v="#N/A"/>
    <e v="#N/A"/>
    <e v="#N/A"/>
    <e v="#N/A"/>
    <e v="#N/A"/>
    <e v="#N/A"/>
    <e v="#N/A"/>
    <n v="0"/>
  </r>
  <r>
    <x v="0"/>
    <e v="#N/A"/>
    <e v="#N/A"/>
    <e v="#N/A"/>
    <e v="#N/A"/>
    <e v="#N/A"/>
    <e v="#N/A"/>
    <e v="#N/A"/>
    <e v="#N/A"/>
    <x v="5"/>
    <e v="#N/A"/>
    <e v="#N/A"/>
    <e v="#N/A"/>
    <e v="#N/A"/>
    <e v="#N/A"/>
    <e v="#N/A"/>
    <e v="#N/A"/>
    <e v="#N/A"/>
    <n v="0"/>
  </r>
  <r>
    <x v="0"/>
    <e v="#N/A"/>
    <e v="#N/A"/>
    <e v="#N/A"/>
    <e v="#N/A"/>
    <e v="#N/A"/>
    <e v="#N/A"/>
    <e v="#N/A"/>
    <e v="#N/A"/>
    <x v="6"/>
    <e v="#N/A"/>
    <e v="#N/A"/>
    <e v="#N/A"/>
    <e v="#N/A"/>
    <e v="#N/A"/>
    <e v="#N/A"/>
    <e v="#N/A"/>
    <e v="#N/A"/>
    <n v="0"/>
  </r>
  <r>
    <x v="0"/>
    <e v="#N/A"/>
    <s v="UP"/>
    <e v="#N/A"/>
    <e v="#N/A"/>
    <s v="z"/>
    <e v="#N/A"/>
    <e v="#N/A"/>
    <e v="#N/A"/>
    <x v="7"/>
    <e v="#N/A"/>
    <e v="#N/A"/>
    <e v="#N/A"/>
    <e v="#N/A"/>
    <e v="#N/A"/>
    <e v="#N/A"/>
    <e v="#N/A"/>
    <e v="#N/A"/>
    <n v="0"/>
  </r>
  <r>
    <x v="0"/>
    <e v="#N/A"/>
    <e v="#N/A"/>
    <e v="#N/A"/>
    <e v="#N/A"/>
    <e v="#N/A"/>
    <e v="#N/A"/>
    <e v="#N/A"/>
    <e v="#N/A"/>
    <x v="8"/>
    <e v="#N/A"/>
    <e v="#N/A"/>
    <e v="#N/A"/>
    <e v="#N/A"/>
    <e v="#N/A"/>
    <e v="#N/A"/>
    <e v="#N/A"/>
    <e v="#N/A"/>
    <n v="0"/>
  </r>
  <r>
    <x v="0"/>
    <e v="#N/A"/>
    <e v="#N/A"/>
    <e v="#N/A"/>
    <e v="#N/A"/>
    <e v="#N/A"/>
    <e v="#N/A"/>
    <e v="#N/A"/>
    <e v="#N/A"/>
    <x v="9"/>
    <e v="#N/A"/>
    <e v="#N/A"/>
    <e v="#N/A"/>
    <e v="#N/A"/>
    <e v="#N/A"/>
    <e v="#N/A"/>
    <e v="#N/A"/>
    <e v="#N/A"/>
    <n v="0"/>
  </r>
  <r>
    <x v="0"/>
    <e v="#N/A"/>
    <e v="#N/A"/>
    <e v="#N/A"/>
    <e v="#N/A"/>
    <e v="#N/A"/>
    <e v="#N/A"/>
    <e v="#N/A"/>
    <e v="#N/A"/>
    <x v="10"/>
    <e v="#N/A"/>
    <e v="#N/A"/>
    <e v="#N/A"/>
    <e v="#N/A"/>
    <e v="#N/A"/>
    <e v="#N/A"/>
    <e v="#N/A"/>
    <e v="#N/A"/>
    <n v="0"/>
  </r>
  <r>
    <x v="0"/>
    <e v="#N/A"/>
    <e v="#N/A"/>
    <e v="#N/A"/>
    <e v="#N/A"/>
    <e v="#N/A"/>
    <e v="#N/A"/>
    <e v="#N/A"/>
    <e v="#N/A"/>
    <x v="11"/>
    <e v="#N/A"/>
    <e v="#N/A"/>
    <e v="#N/A"/>
    <e v="#N/A"/>
    <e v="#N/A"/>
    <e v="#N/A"/>
    <e v="#N/A"/>
    <e v="#N/A"/>
    <n v="0"/>
  </r>
  <r>
    <x v="0"/>
    <e v="#N/A"/>
    <e v="#N/A"/>
    <e v="#N/A"/>
    <e v="#N/A"/>
    <e v="#N/A"/>
    <e v="#N/A"/>
    <e v="#N/A"/>
    <e v="#N/A"/>
    <x v="12"/>
    <e v="#N/A"/>
    <e v="#N/A"/>
    <e v="#N/A"/>
    <e v="#N/A"/>
    <e v="#N/A"/>
    <e v="#N/A"/>
    <e v="#N/A"/>
    <e v="#N/A"/>
    <n v="0"/>
  </r>
  <r>
    <x v="0"/>
    <e v="#N/A"/>
    <e v="#N/A"/>
    <e v="#N/A"/>
    <e v="#N/A"/>
    <e v="#N/A"/>
    <e v="#N/A"/>
    <e v="#N/A"/>
    <e v="#N/A"/>
    <x v="13"/>
    <e v="#N/A"/>
    <e v="#N/A"/>
    <e v="#N/A"/>
    <e v="#N/A"/>
    <e v="#N/A"/>
    <e v="#N/A"/>
    <e v="#N/A"/>
    <e v="#N/A"/>
    <n v="0"/>
  </r>
  <r>
    <x v="0"/>
    <e v="#N/A"/>
    <e v="#N/A"/>
    <e v="#N/A"/>
    <e v="#N/A"/>
    <e v="#N/A"/>
    <e v="#N/A"/>
    <e v="#N/A"/>
    <e v="#N/A"/>
    <x v="14"/>
    <e v="#N/A"/>
    <e v="#N/A"/>
    <e v="#N/A"/>
    <e v="#N/A"/>
    <e v="#N/A"/>
    <e v="#N/A"/>
    <e v="#N/A"/>
    <e v="#N/A"/>
    <n v="0"/>
  </r>
  <r>
    <x v="0"/>
    <e v="#N/A"/>
    <e v="#N/A"/>
    <e v="#N/A"/>
    <e v="#N/A"/>
    <e v="#N/A"/>
    <e v="#N/A"/>
    <e v="#N/A"/>
    <e v="#N/A"/>
    <x v="15"/>
    <e v="#N/A"/>
    <e v="#N/A"/>
    <e v="#N/A"/>
    <e v="#N/A"/>
    <e v="#N/A"/>
    <e v="#N/A"/>
    <e v="#N/A"/>
    <e v="#N/A"/>
    <n v="0"/>
  </r>
  <r>
    <x v="0"/>
    <e v="#N/A"/>
    <m/>
    <m/>
    <e v="#N/A"/>
    <m/>
    <m/>
    <m/>
    <m/>
    <x v="16"/>
    <m/>
    <m/>
    <m/>
    <m/>
    <e v="#N/A"/>
    <m/>
    <m/>
    <m/>
    <m/>
  </r>
  <r>
    <x v="0"/>
    <b v="0"/>
    <s v="DOWN"/>
    <n v="40"/>
    <n v="11820"/>
    <n v="0"/>
    <s v="error"/>
    <n v="-35"/>
    <n v="801"/>
    <x v="17"/>
    <n v="0.85"/>
    <n v="-2.75"/>
    <s v="error"/>
    <n v="0"/>
    <n v="190200"/>
    <n v="11960"/>
    <s v="DOWN"/>
    <b v="0"/>
    <n v="31481.4"/>
  </r>
  <r>
    <x v="0"/>
    <b v="0"/>
    <s v="DOWN"/>
    <n v="100"/>
    <n v="7500"/>
    <n v="0"/>
    <s v="undefined"/>
    <n v="-77.649999999999977"/>
    <n v="657.95"/>
    <x v="18"/>
    <n v="1.2"/>
    <n v="-2.8999999999999995"/>
    <s v="error"/>
    <n v="0"/>
    <n v="367400"/>
    <n v="29560"/>
    <s v="DOWN"/>
    <b v="0"/>
    <n v="31481.4"/>
  </r>
  <r>
    <x v="0"/>
    <b v="0"/>
    <s v="DOWN"/>
    <n v="60"/>
    <n v="6240"/>
    <n v="0"/>
    <s v="error"/>
    <n v="-22.549999999999955"/>
    <n v="611"/>
    <x v="19"/>
    <n v="1.95"/>
    <n v="-3.55"/>
    <s v="error"/>
    <n v="0"/>
    <n v="365880"/>
    <n v="70480"/>
    <s v="DOWN"/>
    <b v="0"/>
    <n v="31481.4"/>
  </r>
  <r>
    <x v="0"/>
    <b v="0"/>
    <s v="DOWN"/>
    <n v="860"/>
    <n v="88220"/>
    <n v="0"/>
    <s v="undefined"/>
    <n v="-98.350000000000023"/>
    <n v="446.5"/>
    <x v="20"/>
    <n v="3.2"/>
    <n v="-4.2"/>
    <s v="error"/>
    <n v="0"/>
    <n v="810600"/>
    <n v="95380"/>
    <s v="DOWN"/>
    <b v="0"/>
    <n v="31481.4"/>
  </r>
  <r>
    <x v="0"/>
    <b v="0"/>
    <s v="DOWN"/>
    <n v="1740"/>
    <n v="30660"/>
    <n v="0"/>
    <s v="undefined"/>
    <n v="-98"/>
    <n v="347.15"/>
    <x v="21"/>
    <n v="7"/>
    <n v="-3.1500000000000004"/>
    <s v="error"/>
    <n v="0"/>
    <n v="518700"/>
    <n v="134700"/>
    <s v="DOWN"/>
    <b v="0"/>
    <n v="31481.4"/>
  </r>
  <r>
    <x v="0"/>
    <b v="0"/>
    <s v="DOWN"/>
    <n v="5280"/>
    <n v="131720"/>
    <n v="0"/>
    <s v="undefined"/>
    <n v="-89.849999999999966"/>
    <n v="260.60000000000002"/>
    <x v="22"/>
    <n v="16.5"/>
    <n v="-0.89999999999999858"/>
    <s v="error"/>
    <n v="0"/>
    <n v="525940"/>
    <n v="137660"/>
    <s v="DOWN"/>
    <b v="0"/>
    <n v="31481.4"/>
  </r>
  <r>
    <x v="0"/>
    <b v="0"/>
    <s v="DOWN"/>
    <n v="14640"/>
    <n v="115940"/>
    <n v="0"/>
    <s v="error"/>
    <n v="-80.850000000000023"/>
    <n v="184.7"/>
    <x v="23"/>
    <n v="36.6"/>
    <n v="5.6500000000000021"/>
    <s v="error"/>
    <n v="0"/>
    <n v="650500"/>
    <n v="187800"/>
    <s v="DOWN"/>
    <b v="0"/>
    <n v="31481.4"/>
  </r>
  <r>
    <x v="0"/>
    <s v="Short Buildup"/>
    <s v="UP"/>
    <n v="39200"/>
    <n v="184300"/>
    <s v="z"/>
    <s v="error"/>
    <n v="-67.150000000000006"/>
    <n v="121.85"/>
    <x v="24"/>
    <n v="60.9"/>
    <n v="6.9499999999999957"/>
    <s v="error"/>
    <n v="0"/>
    <n v="556220"/>
    <n v="123360"/>
    <s v="DOWN"/>
    <b v="0"/>
    <n v="31481.4"/>
  </r>
  <r>
    <x v="0"/>
    <b v="0"/>
    <s v="DOWN"/>
    <n v="135360"/>
    <n v="778540"/>
    <n v="0"/>
    <s v="error"/>
    <n v="-54.3"/>
    <n v="72.150000000000006"/>
    <x v="25"/>
    <n v="124.8"/>
    <n v="34.649999999999991"/>
    <s v="error"/>
    <n v="0"/>
    <n v="630480"/>
    <n v="128560"/>
    <s v="DOWN"/>
    <b v="0"/>
    <n v="31481.4"/>
  </r>
  <r>
    <x v="0"/>
    <b v="0"/>
    <s v="DOWN"/>
    <n v="840"/>
    <n v="619660"/>
    <n v="0"/>
    <s v="error"/>
    <n v="-7.0499999999999972"/>
    <n v="71.400000000000006"/>
    <x v="26"/>
    <n v="193.45"/>
    <n v="51.349999999999994"/>
    <s v="error"/>
    <n v="0"/>
    <n v="94240"/>
    <n v="38680"/>
    <s v="DOWN"/>
    <b v="0"/>
    <n v="31481.4"/>
  </r>
  <r>
    <x v="0"/>
    <b v="0"/>
    <s v="DOWN"/>
    <n v="116500"/>
    <n v="635260"/>
    <n v="0"/>
    <s v="error"/>
    <n v="-24.500000000000004"/>
    <n v="19.95"/>
    <x v="27"/>
    <n v="276"/>
    <n v="66.599999999999994"/>
    <s v="error"/>
    <n v="0"/>
    <n v="49760"/>
    <n v="20220"/>
    <s v="DOWN"/>
    <b v="0"/>
    <n v="31481.4"/>
  </r>
  <r>
    <x v="0"/>
    <b v="0"/>
    <s v="DOWN"/>
    <n v="122180"/>
    <n v="585380"/>
    <n v="0"/>
    <s v="error"/>
    <n v="-15.45"/>
    <n v="8.0500000000000007"/>
    <x v="28"/>
    <n v="365.65"/>
    <n v="80.299999999999955"/>
    <s v="error"/>
    <n v="0"/>
    <n v="14980"/>
    <n v="8180"/>
    <s v="DOWN"/>
    <b v="0"/>
    <n v="31481.4"/>
  </r>
  <r>
    <x v="0"/>
    <b v="0"/>
    <s v="DOWN"/>
    <n v="173600"/>
    <n v="511800"/>
    <n v="0"/>
    <s v="error"/>
    <n v="-8.1"/>
    <n v="3"/>
    <x v="29"/>
    <n v="458.9"/>
    <n v="82.199999999999989"/>
    <s v="error"/>
    <n v="0"/>
    <n v="5540"/>
    <n v="900"/>
    <s v="DOWN"/>
    <b v="0"/>
    <n v="31481.4"/>
  </r>
  <r>
    <x v="0"/>
    <b v="0"/>
    <s v="DOWN"/>
    <n v="128500"/>
    <n v="611660"/>
    <n v="0"/>
    <s v="error"/>
    <n v="-4.4000000000000004"/>
    <n v="1.6"/>
    <x v="30"/>
    <n v="562"/>
    <n v="91.5"/>
    <s v="error"/>
    <n v="0"/>
    <n v="12120"/>
    <n v="1420"/>
    <s v="DOWN"/>
    <b v="0"/>
    <n v="31481.4"/>
  </r>
  <r>
    <x v="0"/>
    <b v="0"/>
    <s v="DOWN"/>
    <n v="59280"/>
    <n v="150480"/>
    <n v="0"/>
    <s v="error"/>
    <n v="-2.2999999999999998"/>
    <n v="0.85"/>
    <x v="31"/>
    <n v="575"/>
    <n v="0"/>
    <s v="undefined"/>
    <n v="-240"/>
    <n v="0"/>
    <n v="0"/>
    <s v="DOWN"/>
    <b v="0"/>
    <n v="31481.4"/>
  </r>
  <r>
    <x v="0"/>
    <b v="0"/>
    <s v="DOWN"/>
    <n v="21120"/>
    <n v="148620"/>
    <n v="0"/>
    <s v="error"/>
    <n v="-1.85"/>
    <n v="0.5"/>
    <x v="32"/>
    <n v="677.35"/>
    <n v="4.7000000000000455"/>
    <s v="undefined"/>
    <n v="-1420"/>
    <n v="0"/>
    <n v="0"/>
    <s v="DOWN"/>
    <s v="Short covering"/>
    <n v="31481.4"/>
  </r>
  <r>
    <x v="0"/>
    <n v="1.037844861189311"/>
    <m/>
    <m/>
    <n v="4617800"/>
    <m/>
    <m/>
    <m/>
    <m/>
    <x v="16"/>
    <m/>
    <m/>
    <m/>
    <m/>
    <n v="4792560"/>
    <m/>
    <m/>
    <m/>
    <m/>
  </r>
  <r>
    <x v="1"/>
    <s v="Short Buildup"/>
    <s v="UP"/>
    <n v="420"/>
    <n v="11880"/>
    <n v="60"/>
    <s v="undefined"/>
    <n v="-104.35000000000002"/>
    <n v="731.65"/>
    <x v="17"/>
    <n v="0.85"/>
    <n v="-2.75"/>
    <s v="error"/>
    <n v="11220"/>
    <n v="201420"/>
    <n v="84340"/>
    <s v="UP"/>
    <s v="Short Buildup"/>
    <n v="31461"/>
  </r>
  <r>
    <x v="1"/>
    <s v="Short Buildup"/>
    <s v="UP"/>
    <n v="320"/>
    <n v="7520"/>
    <n v="20"/>
    <s v="undefined"/>
    <n v="-105.80000000000007"/>
    <n v="629.79999999999995"/>
    <x v="18"/>
    <n v="1.2"/>
    <n v="-2.8999999999999995"/>
    <s v="error"/>
    <n v="2820"/>
    <n v="370220"/>
    <n v="165980"/>
    <s v="UP"/>
    <s v="Short Buildup"/>
    <n v="31461"/>
  </r>
  <r>
    <x v="1"/>
    <s v="Short Buildup"/>
    <s v="UP"/>
    <n v="440"/>
    <n v="6500"/>
    <n v="260"/>
    <s v="undefined"/>
    <n v="-104.09999999999991"/>
    <n v="529.45000000000005"/>
    <x v="19"/>
    <n v="2.0499999999999998"/>
    <n v="-3.45"/>
    <s v="error"/>
    <n v="10600"/>
    <n v="376480"/>
    <n v="335180"/>
    <s v="UP"/>
    <s v="Short Buildup"/>
    <n v="31461"/>
  </r>
  <r>
    <x v="1"/>
    <s v="Short Buildup"/>
    <s v="UP"/>
    <n v="11860"/>
    <n v="89420"/>
    <n v="1200"/>
    <s v="undefined"/>
    <n v="-110.55000000000001"/>
    <n v="434.3"/>
    <x v="20"/>
    <n v="3.75"/>
    <n v="-3.6500000000000004"/>
    <s v="error"/>
    <n v="146820"/>
    <n v="957420"/>
    <n v="833460"/>
    <s v="UP"/>
    <s v="Short Buildup"/>
    <n v="31461"/>
  </r>
  <r>
    <x v="1"/>
    <s v="Short Buildup"/>
    <s v="UP"/>
    <n v="9040"/>
    <n v="32980"/>
    <n v="2320"/>
    <s v="undefined"/>
    <n v="-106.14999999999998"/>
    <n v="339"/>
    <x v="21"/>
    <n v="8.6999999999999993"/>
    <n v="-1.4500000000000011"/>
    <s v="error"/>
    <n v="33580"/>
    <n v="552280"/>
    <n v="694820"/>
    <s v="UP"/>
    <s v="Short Buildup"/>
    <n v="31461"/>
  </r>
  <r>
    <x v="1"/>
    <s v="Short Buildup"/>
    <s v="UP"/>
    <n v="44280"/>
    <n v="134340"/>
    <n v="2620"/>
    <s v="undefined"/>
    <n v="-100.44999999999999"/>
    <n v="250"/>
    <x v="22"/>
    <n v="19.45"/>
    <n v="2.0500000000000007"/>
    <s v="error"/>
    <n v="128260"/>
    <n v="654200"/>
    <n v="959860"/>
    <s v="UP"/>
    <s v="Long Buildup"/>
    <n v="31461"/>
  </r>
  <r>
    <x v="1"/>
    <s v="Short Buildup"/>
    <s v="UP"/>
    <n v="131680"/>
    <n v="130340"/>
    <n v="14400"/>
    <s v="error"/>
    <n v="-93.950000000000017"/>
    <n v="171.6"/>
    <x v="23"/>
    <n v="40.549999999999997"/>
    <n v="9.5999999999999979"/>
    <s v="error"/>
    <n v="115360"/>
    <n v="765860"/>
    <n v="1122520"/>
    <s v="UP"/>
    <s v="Long Buildup"/>
    <n v="31461"/>
  </r>
  <r>
    <x v="1"/>
    <s v="Short Buildup"/>
    <s v="UP"/>
    <n v="360520"/>
    <n v="235900"/>
    <s v="z"/>
    <s v="error"/>
    <n v="-81"/>
    <n v="108"/>
    <x v="24"/>
    <n v="78.2"/>
    <n v="24.25"/>
    <s v="error"/>
    <n v="55840"/>
    <n v="612060"/>
    <n v="802840"/>
    <s v="UP"/>
    <s v="Long Buildup"/>
    <n v="31461"/>
  </r>
  <r>
    <x v="1"/>
    <s v="Short Buildup"/>
    <s v="UP"/>
    <n v="1295980"/>
    <n v="1026220"/>
    <n v="247680"/>
    <s v="error"/>
    <n v="-63.6"/>
    <n v="62.85"/>
    <x v="25"/>
    <n v="132.80000000000001"/>
    <n v="42.650000000000006"/>
    <s v="error"/>
    <n v="68800"/>
    <n v="699280"/>
    <n v="846200"/>
    <s v="UP"/>
    <s v="Long Buildup"/>
    <n v="31461"/>
  </r>
  <r>
    <x v="1"/>
    <s v="Short Buildup"/>
    <s v="UP"/>
    <n v="749080"/>
    <n v="689700"/>
    <n v="70040"/>
    <s v="error"/>
    <n v="-46.7"/>
    <n v="31.75"/>
    <x v="26"/>
    <n v="201.3"/>
    <n v="59.200000000000017"/>
    <s v="error"/>
    <n v="21960"/>
    <n v="116200"/>
    <n v="217060"/>
    <s v="UP"/>
    <s v="Long Buildup"/>
    <n v="31461"/>
  </r>
  <r>
    <x v="1"/>
    <s v="Short Buildup"/>
    <s v="UP"/>
    <n v="1075400"/>
    <n v="708760"/>
    <n v="73500"/>
    <s v="error"/>
    <n v="-30.500000000000004"/>
    <n v="13.95"/>
    <x v="27"/>
    <n v="284.55"/>
    <n v="75.150000000000006"/>
    <s v="error"/>
    <n v="4540"/>
    <n v="54300"/>
    <n v="112120"/>
    <s v="UP"/>
    <s v="Long Buildup"/>
    <n v="31461"/>
  </r>
  <r>
    <x v="1"/>
    <s v="Short Buildup"/>
    <s v="UP"/>
    <n v="903840"/>
    <n v="653160"/>
    <n v="67780"/>
    <s v="error"/>
    <n v="-18.05"/>
    <n v="5.45"/>
    <x v="28"/>
    <n v="377.15"/>
    <n v="91.799999999999955"/>
    <s v="error"/>
    <n v="6780"/>
    <n v="21760"/>
    <n v="42580"/>
    <s v="UP"/>
    <s v="Long Buildup"/>
    <n v="31461"/>
  </r>
  <r>
    <x v="1"/>
    <s v="Long Liquidation"/>
    <s v="DOWN"/>
    <n v="760580"/>
    <n v="499100"/>
    <n v="-12700"/>
    <s v="error"/>
    <n v="-9.0500000000000007"/>
    <n v="2.0499999999999998"/>
    <x v="29"/>
    <n v="476.1"/>
    <n v="99.400000000000034"/>
    <s v="error"/>
    <n v="1740"/>
    <n v="7280"/>
    <n v="8820"/>
    <s v="UP"/>
    <s v="Long Buildup"/>
    <n v="31461"/>
  </r>
  <r>
    <x v="1"/>
    <s v="Short Buildup"/>
    <s v="UP"/>
    <n v="550340"/>
    <n v="647740"/>
    <n v="36080"/>
    <s v="error"/>
    <n v="-4.9000000000000004"/>
    <n v="1.1000000000000001"/>
    <x v="30"/>
    <n v="572.04999999999995"/>
    <n v="101.54999999999995"/>
    <s v="error"/>
    <n v="1080"/>
    <n v="13200"/>
    <n v="5240"/>
    <s v="UP"/>
    <s v="Long Buildup"/>
    <n v="31461"/>
  </r>
  <r>
    <x v="1"/>
    <s v="Short Buildup"/>
    <s v="UP"/>
    <n v="226200"/>
    <n v="165860"/>
    <n v="15380"/>
    <s v="error"/>
    <n v="-2.5999999999999996"/>
    <n v="0.55000000000000004"/>
    <x v="31"/>
    <n v="575"/>
    <n v="0"/>
    <s v="undefined"/>
    <n v="-240"/>
    <n v="0"/>
    <n v="0"/>
    <s v="DOWN"/>
    <b v="0"/>
    <n v="31461"/>
  </r>
  <r>
    <x v="1"/>
    <s v="Long Liquidation"/>
    <s v="DOWN"/>
    <n v="114060"/>
    <n v="132740"/>
    <n v="-15880"/>
    <s v="error"/>
    <n v="-1.9000000000000001"/>
    <n v="0.45"/>
    <x v="32"/>
    <n v="677.35"/>
    <n v="4.7000000000000455"/>
    <s v="undefined"/>
    <n v="-1420"/>
    <n v="0"/>
    <n v="0"/>
    <s v="DOWN"/>
    <s v="Short covering"/>
    <n v="31461"/>
  </r>
  <r>
    <x v="1"/>
    <n v="1.044430180040834"/>
    <m/>
    <m/>
    <n v="5172160"/>
    <m/>
    <m/>
    <m/>
    <m/>
    <x v="16"/>
    <m/>
    <m/>
    <m/>
    <m/>
    <n v="5401960"/>
    <m/>
    <m/>
    <m/>
    <m/>
  </r>
  <r>
    <x v="1"/>
    <s v="Short Buildup"/>
    <s v="UP"/>
    <n v="420"/>
    <n v="11880"/>
    <n v="60"/>
    <s v="undefined"/>
    <n v="-104.35000000000002"/>
    <n v="731.65"/>
    <x v="17"/>
    <n v="0.85"/>
    <n v="-2.75"/>
    <s v="error"/>
    <n v="11220"/>
    <n v="201420"/>
    <n v="84340"/>
    <s v="UP"/>
    <s v="Short Buildup"/>
    <n v="31461"/>
  </r>
  <r>
    <x v="1"/>
    <s v="Short Buildup"/>
    <s v="UP"/>
    <n v="320"/>
    <n v="7520"/>
    <n v="20"/>
    <s v="undefined"/>
    <n v="-105.80000000000007"/>
    <n v="629.79999999999995"/>
    <x v="18"/>
    <n v="1.2"/>
    <n v="-2.8999999999999995"/>
    <s v="error"/>
    <n v="2820"/>
    <n v="370220"/>
    <n v="165980"/>
    <s v="UP"/>
    <s v="Short Buildup"/>
    <n v="31461"/>
  </r>
  <r>
    <x v="1"/>
    <s v="Short Buildup"/>
    <s v="UP"/>
    <n v="440"/>
    <n v="6500"/>
    <n v="260"/>
    <s v="undefined"/>
    <n v="-104.09999999999991"/>
    <n v="529.45000000000005"/>
    <x v="19"/>
    <n v="2.0499999999999998"/>
    <n v="-3.45"/>
    <s v="error"/>
    <n v="10600"/>
    <n v="376480"/>
    <n v="335180"/>
    <s v="UP"/>
    <s v="Short Buildup"/>
    <n v="31461"/>
  </r>
  <r>
    <x v="1"/>
    <s v="Short Buildup"/>
    <s v="UP"/>
    <n v="11860"/>
    <n v="89420"/>
    <n v="1200"/>
    <s v="undefined"/>
    <n v="-110.55000000000001"/>
    <n v="434.3"/>
    <x v="20"/>
    <n v="3.75"/>
    <n v="-3.6500000000000004"/>
    <s v="error"/>
    <n v="146820"/>
    <n v="957420"/>
    <n v="833460"/>
    <s v="UP"/>
    <s v="Short Buildup"/>
    <n v="31461"/>
  </r>
  <r>
    <x v="1"/>
    <s v="Short Buildup"/>
    <s v="UP"/>
    <n v="9040"/>
    <n v="32980"/>
    <n v="2320"/>
    <s v="undefined"/>
    <n v="-106.14999999999998"/>
    <n v="339"/>
    <x v="21"/>
    <n v="8.6999999999999993"/>
    <n v="-1.4500000000000011"/>
    <s v="error"/>
    <n v="33580"/>
    <n v="552280"/>
    <n v="694820"/>
    <s v="UP"/>
    <s v="Short Buildup"/>
    <n v="31461"/>
  </r>
  <r>
    <x v="1"/>
    <s v="Short Buildup"/>
    <s v="UP"/>
    <n v="44280"/>
    <n v="134340"/>
    <n v="2620"/>
    <s v="undefined"/>
    <n v="-100.44999999999999"/>
    <n v="250"/>
    <x v="22"/>
    <n v="19.45"/>
    <n v="2.0500000000000007"/>
    <s v="error"/>
    <n v="128260"/>
    <n v="654200"/>
    <n v="959860"/>
    <s v="UP"/>
    <s v="Long Buildup"/>
    <n v="31461"/>
  </r>
  <r>
    <x v="1"/>
    <s v="Short Buildup"/>
    <s v="UP"/>
    <n v="131680"/>
    <n v="130340"/>
    <n v="14400"/>
    <s v="error"/>
    <n v="-93.950000000000017"/>
    <n v="171.6"/>
    <x v="23"/>
    <n v="40.549999999999997"/>
    <n v="9.5999999999999979"/>
    <s v="error"/>
    <n v="115360"/>
    <n v="765860"/>
    <n v="1122520"/>
    <s v="UP"/>
    <s v="Long Buildup"/>
    <n v="31461"/>
  </r>
  <r>
    <x v="1"/>
    <s v="Short Buildup"/>
    <s v="UP"/>
    <n v="360520"/>
    <n v="235900"/>
    <s v="z"/>
    <s v="error"/>
    <n v="-81"/>
    <n v="108"/>
    <x v="24"/>
    <n v="78.2"/>
    <n v="24.25"/>
    <s v="error"/>
    <n v="55840"/>
    <n v="612060"/>
    <n v="802840"/>
    <s v="UP"/>
    <s v="Long Buildup"/>
    <n v="31461"/>
  </r>
  <r>
    <x v="1"/>
    <s v="Short Buildup"/>
    <s v="UP"/>
    <n v="1295980"/>
    <n v="1026220"/>
    <n v="247680"/>
    <s v="error"/>
    <n v="-63.6"/>
    <n v="62.85"/>
    <x v="25"/>
    <n v="132.80000000000001"/>
    <n v="42.650000000000006"/>
    <s v="error"/>
    <n v="68800"/>
    <n v="699280"/>
    <n v="846200"/>
    <s v="UP"/>
    <s v="Long Buildup"/>
    <n v="31461"/>
  </r>
  <r>
    <x v="1"/>
    <s v="Short Buildup"/>
    <s v="UP"/>
    <n v="749080"/>
    <n v="689700"/>
    <n v="70040"/>
    <s v="error"/>
    <n v="-46.7"/>
    <n v="31.75"/>
    <x v="26"/>
    <n v="201.3"/>
    <n v="59.200000000000017"/>
    <s v="error"/>
    <n v="21960"/>
    <n v="116200"/>
    <n v="217060"/>
    <s v="UP"/>
    <s v="Long Buildup"/>
    <n v="31461"/>
  </r>
  <r>
    <x v="1"/>
    <s v="Short Buildup"/>
    <s v="UP"/>
    <n v="1075400"/>
    <n v="708760"/>
    <n v="73500"/>
    <s v="error"/>
    <n v="-30.500000000000004"/>
    <n v="13.95"/>
    <x v="27"/>
    <n v="284.55"/>
    <n v="75.150000000000006"/>
    <s v="error"/>
    <n v="4540"/>
    <n v="54300"/>
    <n v="112120"/>
    <s v="UP"/>
    <s v="Long Buildup"/>
    <n v="31461"/>
  </r>
  <r>
    <x v="1"/>
    <s v="Short Buildup"/>
    <s v="UP"/>
    <n v="903840"/>
    <n v="653160"/>
    <n v="67780"/>
    <s v="error"/>
    <n v="-18.05"/>
    <n v="5.45"/>
    <x v="28"/>
    <n v="377.15"/>
    <n v="91.799999999999955"/>
    <s v="error"/>
    <n v="6780"/>
    <n v="21760"/>
    <n v="42580"/>
    <s v="UP"/>
    <s v="Long Buildup"/>
    <n v="31461"/>
  </r>
  <r>
    <x v="1"/>
    <s v="Long Liquidation"/>
    <s v="DOWN"/>
    <n v="760580"/>
    <n v="499100"/>
    <n v="-12700"/>
    <s v="error"/>
    <n v="-9.0500000000000007"/>
    <n v="2.0499999999999998"/>
    <x v="29"/>
    <n v="476.1"/>
    <n v="99.400000000000034"/>
    <s v="error"/>
    <n v="1740"/>
    <n v="7280"/>
    <n v="8820"/>
    <s v="UP"/>
    <s v="Long Buildup"/>
    <n v="31461"/>
  </r>
  <r>
    <x v="1"/>
    <s v="Short Buildup"/>
    <s v="UP"/>
    <n v="550340"/>
    <n v="647740"/>
    <n v="36080"/>
    <s v="error"/>
    <n v="-4.9000000000000004"/>
    <n v="1.1000000000000001"/>
    <x v="30"/>
    <n v="572.04999999999995"/>
    <n v="101.54999999999995"/>
    <s v="error"/>
    <n v="1080"/>
    <n v="13200"/>
    <n v="5240"/>
    <s v="UP"/>
    <s v="Long Buildup"/>
    <n v="31461"/>
  </r>
  <r>
    <x v="1"/>
    <s v="Short Buildup"/>
    <s v="UP"/>
    <n v="226200"/>
    <n v="165860"/>
    <n v="15380"/>
    <s v="error"/>
    <n v="-2.5999999999999996"/>
    <n v="0.55000000000000004"/>
    <x v="31"/>
    <n v="575"/>
    <n v="0"/>
    <s v="undefined"/>
    <n v="-240"/>
    <n v="0"/>
    <n v="0"/>
    <s v="DOWN"/>
    <b v="0"/>
    <n v="31461"/>
  </r>
  <r>
    <x v="1"/>
    <s v="Long Liquidation"/>
    <s v="DOWN"/>
    <n v="114060"/>
    <n v="132740"/>
    <n v="-15880"/>
    <s v="error"/>
    <n v="-1.9000000000000001"/>
    <n v="0.45"/>
    <x v="32"/>
    <n v="677.35"/>
    <n v="4.7000000000000455"/>
    <s v="undefined"/>
    <n v="-1420"/>
    <n v="0"/>
    <n v="0"/>
    <s v="DOWN"/>
    <s v="Short covering"/>
    <n v="31461"/>
  </r>
  <r>
    <x v="1"/>
    <n v="1.044430180040834"/>
    <m/>
    <m/>
    <n v="5172160"/>
    <m/>
    <m/>
    <m/>
    <m/>
    <x v="16"/>
    <m/>
    <m/>
    <m/>
    <m/>
    <n v="5401960"/>
    <m/>
    <m/>
    <m/>
    <m/>
  </r>
  <r>
    <x v="2"/>
    <s v="Short Buildup"/>
    <s v="UP"/>
    <n v="440"/>
    <n v="11880"/>
    <n v="60"/>
    <s v="undefined"/>
    <n v="-114.35000000000002"/>
    <n v="721.65"/>
    <x v="17"/>
    <n v="1"/>
    <n v="-2.6"/>
    <s v="error"/>
    <n v="1700"/>
    <n v="191900"/>
    <n v="133460"/>
    <s v="UP"/>
    <s v="Short Buildup"/>
    <n v="31450.05"/>
  </r>
  <r>
    <x v="2"/>
    <s v="Short Buildup"/>
    <s v="UP"/>
    <n v="480"/>
    <n v="7520"/>
    <n v="20"/>
    <s v="undefined"/>
    <n v="-120.60000000000002"/>
    <n v="615"/>
    <x v="18"/>
    <n v="1.3"/>
    <n v="-2.8"/>
    <s v="error"/>
    <n v="10100"/>
    <n v="377500"/>
    <n v="272180"/>
    <s v="UP"/>
    <s v="Short Buildup"/>
    <n v="31450.05"/>
  </r>
  <r>
    <x v="2"/>
    <s v="Short Buildup"/>
    <s v="UP"/>
    <n v="860"/>
    <n v="6440"/>
    <n v="200"/>
    <s v="undefined"/>
    <n v="-115.54999999999995"/>
    <n v="518"/>
    <x v="19"/>
    <n v="2.0499999999999998"/>
    <n v="-3.45"/>
    <s v="error"/>
    <n v="58360"/>
    <n v="424240"/>
    <n v="466660"/>
    <s v="UP"/>
    <s v="Short Buildup"/>
    <n v="31450.05"/>
  </r>
  <r>
    <x v="2"/>
    <s v="Short Buildup"/>
    <s v="UP"/>
    <n v="17140"/>
    <n v="90700"/>
    <n v="2480"/>
    <s v="undefined"/>
    <n v="-122.05000000000001"/>
    <n v="422.8"/>
    <x v="20"/>
    <n v="3.35"/>
    <n v="-4.0500000000000007"/>
    <s v="error"/>
    <n v="236720"/>
    <n v="1047320"/>
    <n v="1243260"/>
    <s v="UP"/>
    <s v="Short Buildup"/>
    <n v="31450.05"/>
  </r>
  <r>
    <x v="2"/>
    <s v="Short Buildup"/>
    <s v="UP"/>
    <n v="15080"/>
    <n v="33120"/>
    <n v="2460"/>
    <s v="undefined"/>
    <n v="-120.14999999999998"/>
    <n v="325"/>
    <x v="21"/>
    <n v="6.85"/>
    <n v="-3.3000000000000007"/>
    <s v="error"/>
    <n v="73700"/>
    <n v="592400"/>
    <n v="1114520"/>
    <s v="UP"/>
    <s v="Short Buildup"/>
    <n v="31450.05"/>
  </r>
  <r>
    <x v="2"/>
    <s v="Short Buildup"/>
    <s v="UP"/>
    <n v="81800"/>
    <n v="143600"/>
    <n v="11880"/>
    <s v="undefined"/>
    <n v="-115.19999999999999"/>
    <n v="235.25"/>
    <x v="22"/>
    <n v="17.149999999999999"/>
    <n v="-0.25"/>
    <s v="error"/>
    <n v="252400"/>
    <n v="778340"/>
    <n v="1580760"/>
    <s v="UP"/>
    <s v="Short Buildup"/>
    <n v="31450.05"/>
  </r>
  <r>
    <x v="2"/>
    <s v="Short Buildup"/>
    <s v="UP"/>
    <n v="240240"/>
    <n v="142840"/>
    <n v="26900"/>
    <s v="error"/>
    <n v="-106.70000000000002"/>
    <n v="158.85"/>
    <x v="23"/>
    <n v="39"/>
    <n v="8.0500000000000007"/>
    <s v="error"/>
    <n v="239400"/>
    <n v="889900"/>
    <n v="1825200"/>
    <s v="UP"/>
    <s v="Long Buildup"/>
    <n v="31450.05"/>
  </r>
  <r>
    <x v="2"/>
    <s v="Short Buildup"/>
    <s v="UP"/>
    <n v="733600"/>
    <n v="334260"/>
    <s v="z"/>
    <s v="error"/>
    <n v="-91.3"/>
    <n v="97.7"/>
    <x v="24"/>
    <n v="78.5"/>
    <n v="24.549999999999997"/>
    <s v="error"/>
    <n v="114480"/>
    <n v="670700"/>
    <n v="1397140"/>
    <s v="UP"/>
    <s v="Long Buildup"/>
    <n v="31450.05"/>
  </r>
  <r>
    <x v="2"/>
    <s v="Short Buildup"/>
    <s v="UP"/>
    <n v="2027140"/>
    <n v="1267620"/>
    <n v="489080"/>
    <s v="error"/>
    <n v="-71.400000000000006"/>
    <n v="55.05"/>
    <x v="25"/>
    <n v="136"/>
    <n v="45.849999999999994"/>
    <s v="error"/>
    <n v="86040"/>
    <n v="716520"/>
    <n v="1263000"/>
    <s v="UP"/>
    <s v="Long Buildup"/>
    <n v="31450.05"/>
  </r>
  <r>
    <x v="2"/>
    <s v="Short Buildup"/>
    <s v="UP"/>
    <n v="1539440"/>
    <n v="862340"/>
    <n v="242680"/>
    <s v="error"/>
    <n v="-51.800000000000004"/>
    <n v="26.65"/>
    <x v="26"/>
    <n v="208.45"/>
    <n v="66.349999999999994"/>
    <s v="error"/>
    <n v="27880"/>
    <n v="122120"/>
    <n v="363520"/>
    <s v="UP"/>
    <s v="Long Buildup"/>
    <n v="31450.05"/>
  </r>
  <r>
    <x v="2"/>
    <s v="Short Buildup"/>
    <s v="UP"/>
    <n v="1832540"/>
    <n v="769300"/>
    <n v="134040"/>
    <s v="error"/>
    <n v="-32.25"/>
    <n v="12.2"/>
    <x v="27"/>
    <n v="294.14999999999998"/>
    <n v="84.749999999999972"/>
    <s v="error"/>
    <n v="21980"/>
    <n v="71740"/>
    <n v="184120"/>
    <s v="UP"/>
    <s v="Long Buildup"/>
    <n v="31450.05"/>
  </r>
  <r>
    <x v="2"/>
    <s v="Short Buildup"/>
    <s v="UP"/>
    <n v="1448940"/>
    <n v="730120"/>
    <n v="144740"/>
    <s v="error"/>
    <n v="-18.5"/>
    <n v="5"/>
    <x v="28"/>
    <n v="387.4"/>
    <n v="102.04999999999995"/>
    <s v="error"/>
    <n v="18880"/>
    <n v="33860"/>
    <n v="69260"/>
    <s v="UP"/>
    <s v="Long Buildup"/>
    <n v="31450.05"/>
  </r>
  <r>
    <x v="2"/>
    <s v="Long Liquidation"/>
    <s v="DOWN"/>
    <n v="1086100"/>
    <n v="501400"/>
    <n v="-10400"/>
    <s v="error"/>
    <n v="-8.9499999999999993"/>
    <n v="2.15"/>
    <x v="29"/>
    <n v="480.95"/>
    <n v="104.25"/>
    <s v="error"/>
    <n v="4360"/>
    <n v="9900"/>
    <n v="12780"/>
    <s v="UP"/>
    <s v="Long Buildup"/>
    <n v="31450.05"/>
  </r>
  <r>
    <x v="2"/>
    <s v="Short Buildup"/>
    <s v="UP"/>
    <n v="879120"/>
    <n v="684440"/>
    <n v="72780"/>
    <s v="error"/>
    <n v="-4.8499999999999996"/>
    <n v="1.1499999999999999"/>
    <x v="30"/>
    <n v="583.4"/>
    <n v="112.89999999999998"/>
    <s v="error"/>
    <n v="320"/>
    <n v="12440"/>
    <n v="8540"/>
    <s v="UP"/>
    <s v="Long Buildup"/>
    <n v="31450.05"/>
  </r>
  <r>
    <x v="2"/>
    <s v="Short Buildup"/>
    <s v="UP"/>
    <n v="283400"/>
    <n v="152800"/>
    <n v="2320"/>
    <s v="error"/>
    <n v="-2.5"/>
    <n v="0.65"/>
    <x v="31"/>
    <n v="575"/>
    <n v="0"/>
    <s v="undefined"/>
    <n v="-240"/>
    <n v="0"/>
    <n v="0"/>
    <s v="DOWN"/>
    <b v="0"/>
    <n v="31450.05"/>
  </r>
  <r>
    <x v="2"/>
    <s v="Long Liquidation"/>
    <s v="DOWN"/>
    <n v="140060"/>
    <n v="105980"/>
    <n v="-42640"/>
    <s v="error"/>
    <n v="-1.9000000000000001"/>
    <n v="0.45"/>
    <x v="32"/>
    <n v="677.35"/>
    <n v="4.7000000000000455"/>
    <s v="undefined"/>
    <n v="-1420"/>
    <n v="0"/>
    <n v="0"/>
    <s v="DOWN"/>
    <s v="Short covering"/>
    <n v="31450.05"/>
  </r>
  <r>
    <x v="2"/>
    <n v="1.016172857250409"/>
    <m/>
    <m/>
    <n v="5844360"/>
    <m/>
    <m/>
    <m/>
    <m/>
    <x v="16"/>
    <m/>
    <m/>
    <m/>
    <m/>
    <n v="5938880"/>
    <m/>
    <m/>
    <m/>
    <m/>
  </r>
  <r>
    <x v="2"/>
    <s v="Short Buildup"/>
    <s v="UP"/>
    <n v="440"/>
    <n v="11880"/>
    <n v="60"/>
    <s v="undefined"/>
    <n v="-114.35000000000002"/>
    <n v="721.65"/>
    <x v="17"/>
    <n v="1"/>
    <n v="-2.6"/>
    <s v="error"/>
    <n v="1700"/>
    <n v="191900"/>
    <n v="133460"/>
    <s v="UP"/>
    <s v="Short Buildup"/>
    <n v="31450.05"/>
  </r>
  <r>
    <x v="2"/>
    <s v="Short Buildup"/>
    <s v="UP"/>
    <n v="480"/>
    <n v="7520"/>
    <n v="20"/>
    <s v="undefined"/>
    <n v="-120.60000000000002"/>
    <n v="615"/>
    <x v="18"/>
    <n v="1.3"/>
    <n v="-2.8"/>
    <s v="error"/>
    <n v="10100"/>
    <n v="377500"/>
    <n v="272180"/>
    <s v="UP"/>
    <s v="Short Buildup"/>
    <n v="31450.05"/>
  </r>
  <r>
    <x v="2"/>
    <s v="Short Buildup"/>
    <s v="UP"/>
    <n v="860"/>
    <n v="6440"/>
    <n v="200"/>
    <s v="undefined"/>
    <n v="-115.54999999999995"/>
    <n v="518"/>
    <x v="19"/>
    <n v="2.0499999999999998"/>
    <n v="-3.45"/>
    <s v="error"/>
    <n v="58360"/>
    <n v="424240"/>
    <n v="466660"/>
    <s v="UP"/>
    <s v="Short Buildup"/>
    <n v="31450.05"/>
  </r>
  <r>
    <x v="2"/>
    <s v="Short Buildup"/>
    <s v="UP"/>
    <n v="17140"/>
    <n v="90700"/>
    <n v="2480"/>
    <s v="undefined"/>
    <n v="-122.05000000000001"/>
    <n v="422.8"/>
    <x v="20"/>
    <n v="3.35"/>
    <n v="-4.0500000000000007"/>
    <s v="error"/>
    <n v="236720"/>
    <n v="1047320"/>
    <n v="1243260"/>
    <s v="UP"/>
    <s v="Short Buildup"/>
    <n v="31450.05"/>
  </r>
  <r>
    <x v="2"/>
    <s v="Short Buildup"/>
    <s v="UP"/>
    <n v="15080"/>
    <n v="33120"/>
    <n v="2460"/>
    <s v="undefined"/>
    <n v="-120.14999999999998"/>
    <n v="325"/>
    <x v="21"/>
    <n v="6.85"/>
    <n v="-3.3000000000000007"/>
    <s v="error"/>
    <n v="73700"/>
    <n v="592400"/>
    <n v="1114520"/>
    <s v="UP"/>
    <s v="Short Buildup"/>
    <n v="31450.05"/>
  </r>
  <r>
    <x v="2"/>
    <s v="Short Buildup"/>
    <s v="UP"/>
    <n v="81800"/>
    <n v="143600"/>
    <n v="11880"/>
    <s v="undefined"/>
    <n v="-115.19999999999999"/>
    <n v="235.25"/>
    <x v="22"/>
    <n v="17.149999999999999"/>
    <n v="-0.25"/>
    <s v="error"/>
    <n v="252400"/>
    <n v="778340"/>
    <n v="1580760"/>
    <s v="UP"/>
    <s v="Short Buildup"/>
    <n v="31450.05"/>
  </r>
  <r>
    <x v="2"/>
    <s v="Short Buildup"/>
    <s v="UP"/>
    <n v="240240"/>
    <n v="142840"/>
    <n v="26900"/>
    <s v="error"/>
    <n v="-106.70000000000002"/>
    <n v="158.85"/>
    <x v="23"/>
    <n v="39"/>
    <n v="8.0500000000000007"/>
    <s v="error"/>
    <n v="239400"/>
    <n v="889900"/>
    <n v="1825200"/>
    <s v="UP"/>
    <s v="Long Buildup"/>
    <n v="31450.05"/>
  </r>
  <r>
    <x v="2"/>
    <s v="Short Buildup"/>
    <s v="UP"/>
    <n v="733600"/>
    <n v="334260"/>
    <s v="z"/>
    <s v="error"/>
    <n v="-91.3"/>
    <n v="97.7"/>
    <x v="24"/>
    <n v="78.5"/>
    <n v="24.549999999999997"/>
    <s v="error"/>
    <n v="114480"/>
    <n v="670700"/>
    <n v="1397140"/>
    <s v="UP"/>
    <s v="Long Buildup"/>
    <n v="31450.05"/>
  </r>
  <r>
    <x v="2"/>
    <s v="Short Buildup"/>
    <s v="UP"/>
    <n v="2027140"/>
    <n v="1267620"/>
    <n v="489080"/>
    <s v="error"/>
    <n v="-71.400000000000006"/>
    <n v="55.05"/>
    <x v="25"/>
    <n v="136"/>
    <n v="45.849999999999994"/>
    <s v="error"/>
    <n v="86040"/>
    <n v="716520"/>
    <n v="1263000"/>
    <s v="UP"/>
    <s v="Long Buildup"/>
    <n v="31450.05"/>
  </r>
  <r>
    <x v="2"/>
    <s v="Short Buildup"/>
    <s v="UP"/>
    <n v="1539440"/>
    <n v="862340"/>
    <n v="242680"/>
    <s v="error"/>
    <n v="-51.800000000000004"/>
    <n v="26.65"/>
    <x v="26"/>
    <n v="208.45"/>
    <n v="66.349999999999994"/>
    <s v="error"/>
    <n v="27880"/>
    <n v="122120"/>
    <n v="363520"/>
    <s v="UP"/>
    <s v="Long Buildup"/>
    <n v="31450.05"/>
  </r>
  <r>
    <x v="2"/>
    <s v="Short Buildup"/>
    <s v="UP"/>
    <n v="1832540"/>
    <n v="769300"/>
    <n v="134040"/>
    <s v="error"/>
    <n v="-32.25"/>
    <n v="12.2"/>
    <x v="27"/>
    <n v="294.14999999999998"/>
    <n v="84.749999999999972"/>
    <s v="error"/>
    <n v="21980"/>
    <n v="71740"/>
    <n v="184120"/>
    <s v="UP"/>
    <s v="Long Buildup"/>
    <n v="31450.05"/>
  </r>
  <r>
    <x v="2"/>
    <s v="Short Buildup"/>
    <s v="UP"/>
    <n v="1448940"/>
    <n v="730120"/>
    <n v="144740"/>
    <s v="error"/>
    <n v="-18.5"/>
    <n v="5"/>
    <x v="28"/>
    <n v="387.4"/>
    <n v="102.04999999999995"/>
    <s v="error"/>
    <n v="18880"/>
    <n v="33860"/>
    <n v="69260"/>
    <s v="UP"/>
    <s v="Long Buildup"/>
    <n v="31450.05"/>
  </r>
  <r>
    <x v="2"/>
    <s v="Long Liquidation"/>
    <s v="DOWN"/>
    <n v="1086100"/>
    <n v="501400"/>
    <n v="-10400"/>
    <s v="error"/>
    <n v="-8.9499999999999993"/>
    <n v="2.15"/>
    <x v="29"/>
    <n v="480.95"/>
    <n v="104.25"/>
    <s v="error"/>
    <n v="4360"/>
    <n v="9900"/>
    <n v="12780"/>
    <s v="UP"/>
    <s v="Long Buildup"/>
    <n v="31450.05"/>
  </r>
  <r>
    <x v="2"/>
    <s v="Short Buildup"/>
    <s v="UP"/>
    <n v="879120"/>
    <n v="684440"/>
    <n v="72780"/>
    <s v="error"/>
    <n v="-4.8499999999999996"/>
    <n v="1.1499999999999999"/>
    <x v="30"/>
    <n v="583.4"/>
    <n v="112.89999999999998"/>
    <s v="error"/>
    <n v="320"/>
    <n v="12440"/>
    <n v="8540"/>
    <s v="UP"/>
    <s v="Long Buildup"/>
    <n v="31450.05"/>
  </r>
  <r>
    <x v="2"/>
    <s v="Short Buildup"/>
    <s v="UP"/>
    <n v="283400"/>
    <n v="152800"/>
    <n v="2320"/>
    <s v="error"/>
    <n v="-2.5"/>
    <n v="0.65"/>
    <x v="31"/>
    <n v="575"/>
    <n v="0"/>
    <s v="undefined"/>
    <n v="-240"/>
    <n v="0"/>
    <n v="0"/>
    <s v="DOWN"/>
    <b v="0"/>
    <n v="31450.05"/>
  </r>
  <r>
    <x v="2"/>
    <s v="Long Liquidation"/>
    <s v="DOWN"/>
    <n v="140060"/>
    <n v="105980"/>
    <n v="-42640"/>
    <s v="error"/>
    <n v="-1.9000000000000001"/>
    <n v="0.45"/>
    <x v="32"/>
    <n v="677.35"/>
    <n v="4.7000000000000455"/>
    <s v="undefined"/>
    <n v="-1420"/>
    <n v="0"/>
    <n v="0"/>
    <s v="DOWN"/>
    <s v="Short covering"/>
    <n v="31450.05"/>
  </r>
  <r>
    <x v="2"/>
    <n v="1.016172857250409"/>
    <m/>
    <m/>
    <n v="5844360"/>
    <m/>
    <m/>
    <m/>
    <m/>
    <x v="16"/>
    <m/>
    <m/>
    <m/>
    <m/>
    <n v="5938880"/>
    <m/>
    <m/>
    <m/>
    <m/>
  </r>
  <r>
    <x v="3"/>
    <s v="Short Buildup"/>
    <s v="UP"/>
    <n v="500"/>
    <n v="11880"/>
    <n v="60"/>
    <s v="undefined"/>
    <n v="-121"/>
    <n v="715"/>
    <x v="17"/>
    <n v="0.7"/>
    <n v="-2.9000000000000004"/>
    <s v="error"/>
    <n v="7160"/>
    <n v="197360"/>
    <n v="168920"/>
    <s v="UP"/>
    <s v="Short Buildup"/>
    <n v="31452"/>
  </r>
  <r>
    <x v="3"/>
    <s v="Long Liquidation"/>
    <s v="DOWN"/>
    <n v="700"/>
    <n v="7400"/>
    <n v="-100"/>
    <s v="undefined"/>
    <n v="-113.60000000000002"/>
    <n v="622"/>
    <x v="18"/>
    <n v="0.95"/>
    <n v="-3.1499999999999995"/>
    <s v="error"/>
    <n v="15000"/>
    <n v="382400"/>
    <n v="334520"/>
    <s v="UP"/>
    <s v="Short Buildup"/>
    <n v="31452"/>
  </r>
  <r>
    <x v="3"/>
    <s v="Short Buildup"/>
    <s v="UP"/>
    <n v="1240"/>
    <n v="6340"/>
    <n v="100"/>
    <s v="undefined"/>
    <n v="-108.84999999999991"/>
    <n v="524.70000000000005"/>
    <x v="19"/>
    <n v="1.6"/>
    <n v="-3.9"/>
    <s v="error"/>
    <n v="78200"/>
    <n v="444080"/>
    <n v="582280"/>
    <s v="UP"/>
    <s v="Short Buildup"/>
    <n v="31452"/>
  </r>
  <r>
    <x v="3"/>
    <s v="Short Buildup"/>
    <s v="UP"/>
    <n v="19560"/>
    <n v="91020"/>
    <n v="2800"/>
    <s v="undefined"/>
    <n v="-119.85000000000002"/>
    <n v="425"/>
    <x v="20"/>
    <n v="2.75"/>
    <n v="-4.6500000000000004"/>
    <s v="error"/>
    <n v="322880"/>
    <n v="1133480"/>
    <n v="1550000"/>
    <s v="UP"/>
    <s v="Short Buildup"/>
    <n v="31452"/>
  </r>
  <r>
    <x v="3"/>
    <s v="Short Buildup"/>
    <s v="UP"/>
    <n v="23440"/>
    <n v="36660"/>
    <n v="6000"/>
    <s v="undefined"/>
    <n v="-115.79999999999995"/>
    <n v="329.35"/>
    <x v="21"/>
    <n v="5.6"/>
    <n v="-4.5500000000000007"/>
    <s v="error"/>
    <n v="122100"/>
    <n v="640800"/>
    <n v="1609300"/>
    <s v="UP"/>
    <s v="Short Buildup"/>
    <n v="31452"/>
  </r>
  <r>
    <x v="3"/>
    <s v="Short Buildup"/>
    <s v="UP"/>
    <n v="118020"/>
    <n v="147400"/>
    <n v="15680"/>
    <s v="undefined"/>
    <n v="-115.04999999999998"/>
    <n v="235.4"/>
    <x v="22"/>
    <n v="15.45"/>
    <n v="-1.9499999999999993"/>
    <s v="error"/>
    <n v="328300"/>
    <n v="854240"/>
    <n v="2203980"/>
    <s v="UP"/>
    <s v="Short Buildup"/>
    <n v="31452"/>
  </r>
  <r>
    <x v="3"/>
    <s v="Short Buildup"/>
    <s v="UP"/>
    <n v="314460"/>
    <n v="165840"/>
    <n v="49900"/>
    <s v="error"/>
    <n v="-108.05000000000001"/>
    <n v="157.5"/>
    <x v="23"/>
    <n v="37.35"/>
    <n v="6.4000000000000021"/>
    <s v="error"/>
    <n v="319180"/>
    <n v="969680"/>
    <n v="2501340"/>
    <s v="UP"/>
    <s v="Long Buildup"/>
    <n v="31452"/>
  </r>
  <r>
    <x v="3"/>
    <s v="Short Buildup"/>
    <s v="UP"/>
    <n v="1021700"/>
    <n v="423940"/>
    <s v="z"/>
    <s v="error"/>
    <n v="-94"/>
    <n v="95"/>
    <x v="24"/>
    <n v="75.5"/>
    <n v="21.549999999999997"/>
    <s v="error"/>
    <n v="174580"/>
    <n v="730800"/>
    <n v="1903360"/>
    <s v="UP"/>
    <s v="Long Buildup"/>
    <n v="31452"/>
  </r>
  <r>
    <x v="3"/>
    <s v="Short Buildup"/>
    <s v="UP"/>
    <n v="2632120"/>
    <n v="1444980"/>
    <n v="666440"/>
    <s v="error"/>
    <n v="-74.800000000000011"/>
    <n v="51.65"/>
    <x v="25"/>
    <n v="132"/>
    <n v="41.849999999999994"/>
    <s v="error"/>
    <n v="115380"/>
    <n v="745860"/>
    <n v="1562820"/>
    <s v="UP"/>
    <s v="Long Buildup"/>
    <n v="31452"/>
  </r>
  <r>
    <x v="3"/>
    <s v="Short Buildup"/>
    <s v="UP"/>
    <n v="2139080"/>
    <n v="996280"/>
    <n v="376620"/>
    <s v="error"/>
    <n v="-54.7"/>
    <n v="23.75"/>
    <x v="26"/>
    <n v="203.45"/>
    <n v="61.349999999999994"/>
    <s v="error"/>
    <n v="39860"/>
    <n v="134100"/>
    <n v="450120"/>
    <s v="UP"/>
    <s v="Long Buildup"/>
    <n v="31452"/>
  </r>
  <r>
    <x v="3"/>
    <s v="Short Buildup"/>
    <s v="UP"/>
    <n v="2340260"/>
    <n v="877540"/>
    <n v="242280"/>
    <s v="error"/>
    <n v="-34.75"/>
    <n v="9.6999999999999993"/>
    <x v="27"/>
    <n v="290.05"/>
    <n v="80.650000000000006"/>
    <s v="error"/>
    <n v="25940"/>
    <n v="75700"/>
    <n v="233060"/>
    <s v="UP"/>
    <s v="Long Buildup"/>
    <n v="31452"/>
  </r>
  <r>
    <x v="3"/>
    <s v="Short Buildup"/>
    <s v="UP"/>
    <n v="1864900"/>
    <n v="802120"/>
    <n v="216740"/>
    <s v="error"/>
    <n v="-19.850000000000001"/>
    <n v="3.65"/>
    <x v="28"/>
    <n v="384.85"/>
    <n v="99.5"/>
    <s v="error"/>
    <n v="19800"/>
    <n v="34780"/>
    <n v="80360"/>
    <s v="UP"/>
    <s v="Long Buildup"/>
    <n v="31452"/>
  </r>
  <r>
    <x v="3"/>
    <s v="Short Buildup"/>
    <s v="UP"/>
    <n v="1293900"/>
    <n v="515200"/>
    <n v="3400"/>
    <s v="error"/>
    <n v="-9.4499999999999993"/>
    <n v="1.65"/>
    <x v="29"/>
    <n v="483.5"/>
    <n v="106.80000000000001"/>
    <s v="error"/>
    <n v="4340"/>
    <n v="9880"/>
    <n v="15860"/>
    <s v="UP"/>
    <s v="Long Buildup"/>
    <n v="31452"/>
  </r>
  <r>
    <x v="3"/>
    <s v="Short Buildup"/>
    <s v="UP"/>
    <n v="1108880"/>
    <n v="726000"/>
    <n v="114340"/>
    <s v="error"/>
    <n v="-4.9000000000000004"/>
    <n v="1.1000000000000001"/>
    <x v="30"/>
    <n v="580"/>
    <n v="109.5"/>
    <s v="error"/>
    <n v="780"/>
    <n v="12900"/>
    <n v="9820"/>
    <s v="UP"/>
    <s v="Long Buildup"/>
    <n v="31452"/>
  </r>
  <r>
    <x v="3"/>
    <s v="Long Liquidation"/>
    <s v="DOWN"/>
    <n v="335660"/>
    <n v="139640"/>
    <n v="-10840"/>
    <s v="error"/>
    <n v="-2.5"/>
    <n v="0.65"/>
    <x v="31"/>
    <n v="575"/>
    <n v="0"/>
    <s v="undefined"/>
    <n v="-240"/>
    <n v="0"/>
    <n v="0"/>
    <s v="DOWN"/>
    <b v="0"/>
    <n v="31452"/>
  </r>
  <r>
    <x v="3"/>
    <s v="Long Liquidation"/>
    <s v="DOWN"/>
    <n v="164800"/>
    <n v="105360"/>
    <n v="-43260"/>
    <s v="error"/>
    <n v="-1.85"/>
    <n v="0.5"/>
    <x v="32"/>
    <n v="677.35"/>
    <n v="4.7000000000000455"/>
    <s v="undefined"/>
    <n v="-1420"/>
    <n v="0"/>
    <n v="0"/>
    <s v="DOWN"/>
    <s v="Short covering"/>
    <n v="31452"/>
  </r>
  <r>
    <x v="3"/>
    <n v="0.97975560206845602"/>
    <m/>
    <m/>
    <n v="6497600"/>
    <m/>
    <m/>
    <m/>
    <m/>
    <x v="16"/>
    <m/>
    <m/>
    <m/>
    <m/>
    <n v="6366060"/>
    <m/>
    <m/>
    <m/>
    <m/>
  </r>
  <r>
    <x v="3"/>
    <s v="Short Buildup"/>
    <s v="UP"/>
    <n v="500"/>
    <n v="11880"/>
    <n v="60"/>
    <s v="undefined"/>
    <n v="-121"/>
    <n v="715"/>
    <x v="17"/>
    <n v="0.7"/>
    <n v="-2.9000000000000004"/>
    <s v="error"/>
    <n v="7160"/>
    <n v="197360"/>
    <n v="168920"/>
    <s v="UP"/>
    <s v="Short Buildup"/>
    <n v="31452"/>
  </r>
  <r>
    <x v="3"/>
    <s v="Long Liquidation"/>
    <s v="DOWN"/>
    <n v="700"/>
    <n v="7400"/>
    <n v="-100"/>
    <s v="undefined"/>
    <n v="-113.60000000000002"/>
    <n v="622"/>
    <x v="18"/>
    <n v="0.95"/>
    <n v="-3.1499999999999995"/>
    <s v="error"/>
    <n v="15000"/>
    <n v="382400"/>
    <n v="334520"/>
    <s v="UP"/>
    <s v="Short Buildup"/>
    <n v="31452"/>
  </r>
  <r>
    <x v="3"/>
    <s v="Short Buildup"/>
    <s v="UP"/>
    <n v="1240"/>
    <n v="6340"/>
    <n v="100"/>
    <s v="undefined"/>
    <n v="-108.84999999999991"/>
    <n v="524.70000000000005"/>
    <x v="19"/>
    <n v="1.6"/>
    <n v="-3.9"/>
    <s v="error"/>
    <n v="78200"/>
    <n v="444080"/>
    <n v="582280"/>
    <s v="UP"/>
    <s v="Short Buildup"/>
    <n v="31452"/>
  </r>
  <r>
    <x v="3"/>
    <s v="Short Buildup"/>
    <s v="UP"/>
    <n v="19560"/>
    <n v="91020"/>
    <n v="2800"/>
    <s v="undefined"/>
    <n v="-119.85000000000002"/>
    <n v="425"/>
    <x v="20"/>
    <n v="2.75"/>
    <n v="-4.6500000000000004"/>
    <s v="error"/>
    <n v="322880"/>
    <n v="1133480"/>
    <n v="1550000"/>
    <s v="UP"/>
    <s v="Short Buildup"/>
    <n v="31452"/>
  </r>
  <r>
    <x v="3"/>
    <s v="Short Buildup"/>
    <s v="UP"/>
    <n v="23440"/>
    <n v="36660"/>
    <n v="6000"/>
    <s v="undefined"/>
    <n v="-115.79999999999995"/>
    <n v="329.35"/>
    <x v="21"/>
    <n v="5.6"/>
    <n v="-4.5500000000000007"/>
    <s v="error"/>
    <n v="122100"/>
    <n v="640800"/>
    <n v="1609300"/>
    <s v="UP"/>
    <s v="Short Buildup"/>
    <n v="31452"/>
  </r>
  <r>
    <x v="3"/>
    <s v="Short Buildup"/>
    <s v="UP"/>
    <n v="118020"/>
    <n v="147400"/>
    <n v="15680"/>
    <s v="undefined"/>
    <n v="-115.04999999999998"/>
    <n v="235.4"/>
    <x v="22"/>
    <n v="15.45"/>
    <n v="-1.9499999999999993"/>
    <s v="error"/>
    <n v="328300"/>
    <n v="854240"/>
    <n v="2203980"/>
    <s v="UP"/>
    <s v="Short Buildup"/>
    <n v="31452"/>
  </r>
  <r>
    <x v="3"/>
    <s v="Short Buildup"/>
    <s v="UP"/>
    <n v="314460"/>
    <n v="165840"/>
    <n v="49900"/>
    <s v="error"/>
    <n v="-108.05000000000001"/>
    <n v="157.5"/>
    <x v="23"/>
    <n v="37.35"/>
    <n v="6.4000000000000021"/>
    <s v="error"/>
    <n v="319180"/>
    <n v="969680"/>
    <n v="2501340"/>
    <s v="UP"/>
    <s v="Long Buildup"/>
    <n v="31452"/>
  </r>
  <r>
    <x v="3"/>
    <s v="Short Buildup"/>
    <s v="UP"/>
    <n v="1021700"/>
    <n v="423940"/>
    <s v="z"/>
    <s v="error"/>
    <n v="-94"/>
    <n v="95"/>
    <x v="24"/>
    <n v="75.5"/>
    <n v="21.549999999999997"/>
    <s v="error"/>
    <n v="174580"/>
    <n v="730800"/>
    <n v="1903360"/>
    <s v="UP"/>
    <s v="Long Buildup"/>
    <n v="31452"/>
  </r>
  <r>
    <x v="3"/>
    <s v="Short Buildup"/>
    <s v="UP"/>
    <n v="2632120"/>
    <n v="1444980"/>
    <n v="666440"/>
    <s v="error"/>
    <n v="-74.800000000000011"/>
    <n v="51.65"/>
    <x v="25"/>
    <n v="132"/>
    <n v="41.849999999999994"/>
    <s v="error"/>
    <n v="115380"/>
    <n v="745860"/>
    <n v="1562820"/>
    <s v="UP"/>
    <s v="Long Buildup"/>
    <n v="31452"/>
  </r>
  <r>
    <x v="3"/>
    <s v="Short Buildup"/>
    <s v="UP"/>
    <n v="2139080"/>
    <n v="996280"/>
    <n v="376620"/>
    <s v="error"/>
    <n v="-54.7"/>
    <n v="23.75"/>
    <x v="26"/>
    <n v="203.45"/>
    <n v="61.349999999999994"/>
    <s v="error"/>
    <n v="39860"/>
    <n v="134100"/>
    <n v="450120"/>
    <s v="UP"/>
    <s v="Long Buildup"/>
    <n v="31452"/>
  </r>
  <r>
    <x v="3"/>
    <s v="Short Buildup"/>
    <s v="UP"/>
    <n v="2340260"/>
    <n v="877540"/>
    <n v="242280"/>
    <s v="error"/>
    <n v="-34.75"/>
    <n v="9.6999999999999993"/>
    <x v="27"/>
    <n v="290.05"/>
    <n v="80.650000000000006"/>
    <s v="error"/>
    <n v="25940"/>
    <n v="75700"/>
    <n v="233060"/>
    <s v="UP"/>
    <s v="Long Buildup"/>
    <n v="31452"/>
  </r>
  <r>
    <x v="3"/>
    <s v="Short Buildup"/>
    <s v="UP"/>
    <n v="1864900"/>
    <n v="802120"/>
    <n v="216740"/>
    <s v="error"/>
    <n v="-19.850000000000001"/>
    <n v="3.65"/>
    <x v="28"/>
    <n v="384.85"/>
    <n v="99.5"/>
    <s v="error"/>
    <n v="19800"/>
    <n v="34780"/>
    <n v="80360"/>
    <s v="UP"/>
    <s v="Long Buildup"/>
    <n v="31452"/>
  </r>
  <r>
    <x v="3"/>
    <s v="Short Buildup"/>
    <s v="UP"/>
    <n v="1293900"/>
    <n v="515200"/>
    <n v="3400"/>
    <s v="error"/>
    <n v="-9.4499999999999993"/>
    <n v="1.65"/>
    <x v="29"/>
    <n v="483.5"/>
    <n v="106.80000000000001"/>
    <s v="error"/>
    <n v="4340"/>
    <n v="9880"/>
    <n v="15860"/>
    <s v="UP"/>
    <s v="Long Buildup"/>
    <n v="31452"/>
  </r>
  <r>
    <x v="3"/>
    <s v="Short Buildup"/>
    <s v="UP"/>
    <n v="1108880"/>
    <n v="726000"/>
    <n v="114340"/>
    <s v="error"/>
    <n v="-4.9000000000000004"/>
    <n v="1.1000000000000001"/>
    <x v="30"/>
    <n v="580"/>
    <n v="109.5"/>
    <s v="error"/>
    <n v="780"/>
    <n v="12900"/>
    <n v="9820"/>
    <s v="UP"/>
    <s v="Long Buildup"/>
    <n v="31452"/>
  </r>
  <r>
    <x v="3"/>
    <s v="Long Liquidation"/>
    <s v="DOWN"/>
    <n v="335660"/>
    <n v="139640"/>
    <n v="-10840"/>
    <s v="error"/>
    <n v="-2.5"/>
    <n v="0.65"/>
    <x v="31"/>
    <n v="575"/>
    <n v="0"/>
    <s v="undefined"/>
    <n v="-240"/>
    <n v="0"/>
    <n v="0"/>
    <s v="DOWN"/>
    <b v="0"/>
    <n v="31452"/>
  </r>
  <r>
    <x v="3"/>
    <s v="Long Liquidation"/>
    <s v="DOWN"/>
    <n v="164800"/>
    <n v="105360"/>
    <n v="-43260"/>
    <s v="error"/>
    <n v="-1.85"/>
    <n v="0.5"/>
    <x v="32"/>
    <n v="677.35"/>
    <n v="4.7000000000000455"/>
    <s v="undefined"/>
    <n v="-1420"/>
    <n v="0"/>
    <n v="0"/>
    <s v="DOWN"/>
    <s v="Short covering"/>
    <n v="31452"/>
  </r>
  <r>
    <x v="3"/>
    <n v="0.97975560206845602"/>
    <m/>
    <m/>
    <n v="6497600"/>
    <m/>
    <m/>
    <m/>
    <m/>
    <x v="16"/>
    <m/>
    <m/>
    <m/>
    <m/>
    <n v="6366060"/>
    <m/>
    <m/>
    <m/>
    <m/>
  </r>
  <r>
    <x v="4"/>
    <s v="Long Liquidation"/>
    <s v="DOWN"/>
    <n v="400"/>
    <n v="4480"/>
    <n v="-60"/>
    <s v="undefined"/>
    <n v="-132.70000000000005"/>
    <n v="800"/>
    <x v="33"/>
    <n v="0.65"/>
    <n v="-2.35"/>
    <s v="error"/>
    <n v="3340"/>
    <n v="202580"/>
    <n v="94220"/>
    <s v="UP"/>
    <s v="Short Buildup"/>
    <n v="31432.05"/>
  </r>
  <r>
    <x v="4"/>
    <s v="Short Buildup"/>
    <s v="UP"/>
    <n v="820"/>
    <n v="11860"/>
    <n v="40"/>
    <s v="undefined"/>
    <n v="-133.39999999999998"/>
    <n v="702.6"/>
    <x v="17"/>
    <n v="0.8"/>
    <n v="-2.8"/>
    <s v="error"/>
    <n v="6120"/>
    <n v="196320"/>
    <n v="194820"/>
    <s v="UP"/>
    <s v="Short Buildup"/>
    <n v="31432.05"/>
  </r>
  <r>
    <x v="4"/>
    <s v="Long Liquidation"/>
    <s v="DOWN"/>
    <n v="840"/>
    <n v="7340"/>
    <n v="-160"/>
    <s v="undefined"/>
    <n v="-133.39999999999998"/>
    <n v="602.20000000000005"/>
    <x v="18"/>
    <n v="1.1499999999999999"/>
    <n v="-2.9499999999999997"/>
    <s v="error"/>
    <n v="28760"/>
    <n v="396160"/>
    <n v="381320"/>
    <s v="UP"/>
    <s v="Short Buildup"/>
    <n v="31432.05"/>
  </r>
  <r>
    <x v="4"/>
    <s v="Short Buildup"/>
    <s v="UP"/>
    <n v="1580"/>
    <n v="6280"/>
    <n v="40"/>
    <s v="undefined"/>
    <n v="-127.39999999999998"/>
    <n v="506.15"/>
    <x v="19"/>
    <n v="1.7"/>
    <n v="-3.8"/>
    <s v="error"/>
    <n v="102000"/>
    <n v="467880"/>
    <n v="672880"/>
    <s v="UP"/>
    <s v="Short Buildup"/>
    <n v="31432.05"/>
  </r>
  <r>
    <x v="4"/>
    <s v="Short Buildup"/>
    <s v="UP"/>
    <n v="30400"/>
    <n v="94140"/>
    <n v="5920"/>
    <s v="undefined"/>
    <n v="-138.35000000000002"/>
    <n v="406.5"/>
    <x v="20"/>
    <n v="2.95"/>
    <n v="-4.45"/>
    <s v="error"/>
    <n v="364220"/>
    <n v="1174820"/>
    <n v="1822580"/>
    <s v="UP"/>
    <s v="Short Buildup"/>
    <n v="31432.05"/>
  </r>
  <r>
    <x v="4"/>
    <s v="Short Buildup"/>
    <s v="UP"/>
    <n v="28560"/>
    <n v="37860"/>
    <n v="7200"/>
    <s v="undefined"/>
    <n v="-133.14999999999998"/>
    <n v="312"/>
    <x v="21"/>
    <n v="6"/>
    <n v="-4.1500000000000004"/>
    <s v="error"/>
    <n v="218860"/>
    <n v="737560"/>
    <n v="2039540"/>
    <s v="UP"/>
    <s v="Short Buildup"/>
    <n v="31432.05"/>
  </r>
  <r>
    <x v="4"/>
    <s v="Short Buildup"/>
    <s v="UP"/>
    <n v="173680"/>
    <n v="161920"/>
    <n v="30200"/>
    <s v="undefined"/>
    <n v="-129.35"/>
    <n v="221.1"/>
    <x v="22"/>
    <n v="16.25"/>
    <n v="-1.1499999999999986"/>
    <s v="error"/>
    <n v="456500"/>
    <n v="982440"/>
    <n v="2658880"/>
    <s v="UP"/>
    <s v="Short Buildup"/>
    <n v="31432.05"/>
  </r>
  <r>
    <x v="4"/>
    <s v="Short Buildup"/>
    <s v="UP"/>
    <n v="434820"/>
    <n v="185900"/>
    <s v="z"/>
    <s v="error"/>
    <n v="-121.85000000000002"/>
    <n v="143.69999999999999"/>
    <x v="23"/>
    <n v="39"/>
    <n v="8.0500000000000007"/>
    <s v="error"/>
    <n v="318400"/>
    <n v="968900"/>
    <n v="3124020"/>
    <s v="UP"/>
    <s v="Long Buildup"/>
    <n v="31432.05"/>
  </r>
  <r>
    <x v="4"/>
    <s v="Short Buildup"/>
    <s v="UP"/>
    <n v="1376520"/>
    <n v="479980"/>
    <n v="295680"/>
    <s v="error"/>
    <n v="-104.75"/>
    <n v="84.25"/>
    <x v="24"/>
    <n v="79.55"/>
    <n v="25.599999999999994"/>
    <s v="error"/>
    <n v="211340"/>
    <n v="767560"/>
    <n v="2515060"/>
    <s v="UP"/>
    <s v="Long Buildup"/>
    <n v="31432.05"/>
  </r>
  <r>
    <x v="4"/>
    <s v="Short Buildup"/>
    <s v="UP"/>
    <n v="3335180"/>
    <n v="1609800"/>
    <n v="831260"/>
    <s v="error"/>
    <n v="-82.45"/>
    <n v="44"/>
    <x v="25"/>
    <n v="138.4"/>
    <n v="48.25"/>
    <s v="error"/>
    <n v="95380"/>
    <n v="725860"/>
    <n v="1919380"/>
    <s v="UP"/>
    <s v="Long Buildup"/>
    <n v="31432.05"/>
  </r>
  <r>
    <x v="4"/>
    <s v="Short Buildup"/>
    <s v="UP"/>
    <n v="2813960"/>
    <n v="1097260"/>
    <n v="477600"/>
    <s v="error"/>
    <n v="-59.300000000000004"/>
    <n v="19.149999999999999"/>
    <x v="26"/>
    <n v="213.65"/>
    <n v="71.550000000000011"/>
    <s v="error"/>
    <n v="36020"/>
    <n v="130260"/>
    <n v="561340"/>
    <s v="UP"/>
    <s v="Long Buildup"/>
    <n v="31432.05"/>
  </r>
  <r>
    <x v="4"/>
    <s v="Short Buildup"/>
    <s v="UP"/>
    <n v="2892380"/>
    <n v="1007700"/>
    <n v="372440"/>
    <s v="error"/>
    <n v="-37.400000000000006"/>
    <n v="7.05"/>
    <x v="27"/>
    <n v="301.64999999999998"/>
    <n v="92.249999999999972"/>
    <s v="error"/>
    <n v="25800"/>
    <n v="75560"/>
    <n v="289740"/>
    <s v="UP"/>
    <s v="Long Buildup"/>
    <n v="31432.05"/>
  </r>
  <r>
    <x v="4"/>
    <s v="Short Buildup"/>
    <s v="UP"/>
    <n v="2200900"/>
    <n v="830060"/>
    <n v="244680"/>
    <s v="error"/>
    <n v="-20.8"/>
    <n v="2.7"/>
    <x v="28"/>
    <n v="396.15"/>
    <n v="110.79999999999995"/>
    <s v="error"/>
    <n v="16420"/>
    <n v="31400"/>
    <n v="105980"/>
    <s v="UP"/>
    <s v="Long Buildup"/>
    <n v="31432.05"/>
  </r>
  <r>
    <x v="4"/>
    <s v="Long Liquidation"/>
    <s v="DOWN"/>
    <n v="1563000"/>
    <n v="510780"/>
    <n v="-1020"/>
    <s v="error"/>
    <n v="-9.7999999999999989"/>
    <n v="1.3"/>
    <x v="29"/>
    <n v="499.9"/>
    <n v="123.19999999999999"/>
    <s v="error"/>
    <n v="2560"/>
    <n v="8100"/>
    <n v="20560"/>
    <s v="UP"/>
    <s v="Long Buildup"/>
    <n v="31432.05"/>
  </r>
  <r>
    <x v="4"/>
    <s v="Short Buildup"/>
    <s v="UP"/>
    <n v="1361260"/>
    <n v="765600"/>
    <n v="153940"/>
    <s v="error"/>
    <n v="-5"/>
    <n v="1"/>
    <x v="30"/>
    <n v="594.29999999999995"/>
    <n v="123.79999999999995"/>
    <s v="error"/>
    <n v="800"/>
    <n v="12920"/>
    <n v="13260"/>
    <s v="UP"/>
    <s v="Long Buildup"/>
    <n v="31432.05"/>
  </r>
  <r>
    <x v="4"/>
    <s v="Short Buildup"/>
    <s v="UP"/>
    <n v="372420"/>
    <n v="151260"/>
    <n v="780"/>
    <s v="error"/>
    <n v="-2.5"/>
    <n v="0.65"/>
    <x v="31"/>
    <n v="575"/>
    <n v="0"/>
    <s v="undefined"/>
    <n v="-240"/>
    <n v="0"/>
    <n v="0"/>
    <s v="DOWN"/>
    <b v="0"/>
    <n v="31432.05"/>
  </r>
  <r>
    <x v="4"/>
    <n v="0.98794924607380974"/>
    <m/>
    <m/>
    <n v="6962220"/>
    <m/>
    <m/>
    <m/>
    <m/>
    <x v="16"/>
    <m/>
    <m/>
    <m/>
    <m/>
    <n v="6878320"/>
    <m/>
    <m/>
    <m/>
    <m/>
  </r>
  <r>
    <x v="4"/>
    <s v="Long Liquidation"/>
    <s v="DOWN"/>
    <n v="400"/>
    <n v="4480"/>
    <n v="-60"/>
    <s v="undefined"/>
    <n v="-132.70000000000005"/>
    <n v="800"/>
    <x v="33"/>
    <n v="0.65"/>
    <n v="-2.35"/>
    <s v="error"/>
    <n v="3340"/>
    <n v="202580"/>
    <n v="94220"/>
    <s v="UP"/>
    <s v="Short Buildup"/>
    <n v="31432.05"/>
  </r>
  <r>
    <x v="4"/>
    <s v="Short Buildup"/>
    <s v="UP"/>
    <n v="820"/>
    <n v="11860"/>
    <n v="40"/>
    <s v="undefined"/>
    <n v="-133.39999999999998"/>
    <n v="702.6"/>
    <x v="17"/>
    <n v="0.8"/>
    <n v="-2.8"/>
    <s v="error"/>
    <n v="6120"/>
    <n v="196320"/>
    <n v="194820"/>
    <s v="UP"/>
    <s v="Short Buildup"/>
    <n v="31432.05"/>
  </r>
  <r>
    <x v="4"/>
    <s v="Long Liquidation"/>
    <s v="DOWN"/>
    <n v="840"/>
    <n v="7340"/>
    <n v="-160"/>
    <s v="undefined"/>
    <n v="-133.39999999999998"/>
    <n v="602.20000000000005"/>
    <x v="18"/>
    <n v="1.1499999999999999"/>
    <n v="-2.9499999999999997"/>
    <s v="error"/>
    <n v="28760"/>
    <n v="396160"/>
    <n v="381320"/>
    <s v="UP"/>
    <s v="Short Buildup"/>
    <n v="31432.05"/>
  </r>
  <r>
    <x v="4"/>
    <s v="Short Buildup"/>
    <s v="UP"/>
    <n v="1580"/>
    <n v="6280"/>
    <n v="40"/>
    <s v="undefined"/>
    <n v="-127.39999999999998"/>
    <n v="506.15"/>
    <x v="19"/>
    <n v="1.7"/>
    <n v="-3.8"/>
    <s v="error"/>
    <n v="102000"/>
    <n v="467880"/>
    <n v="672880"/>
    <s v="UP"/>
    <s v="Short Buildup"/>
    <n v="31432.05"/>
  </r>
  <r>
    <x v="4"/>
    <s v="Short Buildup"/>
    <s v="UP"/>
    <n v="30400"/>
    <n v="94140"/>
    <n v="5920"/>
    <s v="undefined"/>
    <n v="-138.35000000000002"/>
    <n v="406.5"/>
    <x v="20"/>
    <n v="2.95"/>
    <n v="-4.45"/>
    <s v="error"/>
    <n v="364220"/>
    <n v="1174820"/>
    <n v="1822580"/>
    <s v="UP"/>
    <s v="Short Buildup"/>
    <n v="31432.05"/>
  </r>
  <r>
    <x v="4"/>
    <s v="Short Buildup"/>
    <s v="UP"/>
    <n v="28560"/>
    <n v="37860"/>
    <n v="7200"/>
    <s v="undefined"/>
    <n v="-133.14999999999998"/>
    <n v="312"/>
    <x v="21"/>
    <n v="6"/>
    <n v="-4.1500000000000004"/>
    <s v="error"/>
    <n v="218860"/>
    <n v="737560"/>
    <n v="2039540"/>
    <s v="UP"/>
    <s v="Short Buildup"/>
    <n v="31432.05"/>
  </r>
  <r>
    <x v="4"/>
    <s v="Short Buildup"/>
    <s v="UP"/>
    <n v="173680"/>
    <n v="161920"/>
    <n v="30200"/>
    <s v="undefined"/>
    <n v="-129.35"/>
    <n v="221.1"/>
    <x v="22"/>
    <n v="16.25"/>
    <n v="-1.1499999999999986"/>
    <s v="error"/>
    <n v="456500"/>
    <n v="982440"/>
    <n v="2658880"/>
    <s v="UP"/>
    <s v="Short Buildup"/>
    <n v="31432.05"/>
  </r>
  <r>
    <x v="4"/>
    <s v="Short Buildup"/>
    <s v="UP"/>
    <n v="434820"/>
    <n v="185900"/>
    <s v="z"/>
    <s v="error"/>
    <n v="-121.85000000000002"/>
    <n v="143.69999999999999"/>
    <x v="23"/>
    <n v="39"/>
    <n v="8.0500000000000007"/>
    <s v="error"/>
    <n v="318400"/>
    <n v="968900"/>
    <n v="3124020"/>
    <s v="UP"/>
    <s v="Long Buildup"/>
    <n v="31432.05"/>
  </r>
  <r>
    <x v="4"/>
    <s v="Short Buildup"/>
    <s v="UP"/>
    <n v="1376520"/>
    <n v="479980"/>
    <n v="295680"/>
    <s v="error"/>
    <n v="-104.75"/>
    <n v="84.25"/>
    <x v="24"/>
    <n v="79.55"/>
    <n v="25.599999999999994"/>
    <s v="error"/>
    <n v="211340"/>
    <n v="767560"/>
    <n v="2515060"/>
    <s v="UP"/>
    <s v="Long Buildup"/>
    <n v="31432.05"/>
  </r>
  <r>
    <x v="4"/>
    <s v="Short Buildup"/>
    <s v="UP"/>
    <n v="3335180"/>
    <n v="1609800"/>
    <n v="831260"/>
    <s v="error"/>
    <n v="-82.45"/>
    <n v="44"/>
    <x v="25"/>
    <n v="138.4"/>
    <n v="48.25"/>
    <s v="error"/>
    <n v="95380"/>
    <n v="725860"/>
    <n v="1919380"/>
    <s v="UP"/>
    <s v="Long Buildup"/>
    <n v="31432.05"/>
  </r>
  <r>
    <x v="4"/>
    <s v="Short Buildup"/>
    <s v="UP"/>
    <n v="2813960"/>
    <n v="1097260"/>
    <n v="477600"/>
    <s v="error"/>
    <n v="-59.300000000000004"/>
    <n v="19.149999999999999"/>
    <x v="26"/>
    <n v="213.65"/>
    <n v="71.550000000000011"/>
    <s v="error"/>
    <n v="36020"/>
    <n v="130260"/>
    <n v="561340"/>
    <s v="UP"/>
    <s v="Long Buildup"/>
    <n v="31432.05"/>
  </r>
  <r>
    <x v="4"/>
    <s v="Short Buildup"/>
    <s v="UP"/>
    <n v="2892380"/>
    <n v="1007700"/>
    <n v="372440"/>
    <s v="error"/>
    <n v="-37.400000000000006"/>
    <n v="7.05"/>
    <x v="27"/>
    <n v="301.64999999999998"/>
    <n v="92.249999999999972"/>
    <s v="error"/>
    <n v="25800"/>
    <n v="75560"/>
    <n v="289740"/>
    <s v="UP"/>
    <s v="Long Buildup"/>
    <n v="31432.05"/>
  </r>
  <r>
    <x v="4"/>
    <s v="Short Buildup"/>
    <s v="UP"/>
    <n v="2200900"/>
    <n v="830060"/>
    <n v="244680"/>
    <s v="error"/>
    <n v="-20.8"/>
    <n v="2.7"/>
    <x v="28"/>
    <n v="396.15"/>
    <n v="110.79999999999995"/>
    <s v="error"/>
    <n v="16420"/>
    <n v="31400"/>
    <n v="105980"/>
    <s v="UP"/>
    <s v="Long Buildup"/>
    <n v="31432.05"/>
  </r>
  <r>
    <x v="4"/>
    <s v="Long Liquidation"/>
    <s v="DOWN"/>
    <n v="1563000"/>
    <n v="510780"/>
    <n v="-1020"/>
    <s v="error"/>
    <n v="-9.7999999999999989"/>
    <n v="1.3"/>
    <x v="29"/>
    <n v="499.9"/>
    <n v="123.19999999999999"/>
    <s v="error"/>
    <n v="2560"/>
    <n v="8100"/>
    <n v="20560"/>
    <s v="UP"/>
    <s v="Long Buildup"/>
    <n v="31432.05"/>
  </r>
  <r>
    <x v="4"/>
    <s v="Short Buildup"/>
    <s v="UP"/>
    <n v="1361260"/>
    <n v="765600"/>
    <n v="153940"/>
    <s v="error"/>
    <n v="-5"/>
    <n v="1"/>
    <x v="30"/>
    <n v="594.29999999999995"/>
    <n v="123.79999999999995"/>
    <s v="error"/>
    <n v="800"/>
    <n v="12920"/>
    <n v="13260"/>
    <s v="UP"/>
    <s v="Long Buildup"/>
    <n v="31432.05"/>
  </r>
  <r>
    <x v="4"/>
    <s v="Short Buildup"/>
    <s v="UP"/>
    <n v="372420"/>
    <n v="151260"/>
    <n v="780"/>
    <s v="error"/>
    <n v="-2.5"/>
    <n v="0.65"/>
    <x v="31"/>
    <n v="575"/>
    <n v="0"/>
    <s v="undefined"/>
    <n v="-240"/>
    <n v="0"/>
    <n v="0"/>
    <s v="DOWN"/>
    <b v="0"/>
    <n v="31432.05"/>
  </r>
  <r>
    <x v="4"/>
    <n v="0.98794924607380974"/>
    <m/>
    <m/>
    <n v="6962220"/>
    <m/>
    <m/>
    <m/>
    <m/>
    <x v="16"/>
    <m/>
    <m/>
    <m/>
    <m/>
    <n v="6878320"/>
    <m/>
    <m/>
    <m/>
    <m/>
  </r>
  <r>
    <x v="5"/>
    <s v="Long Liquidation"/>
    <s v="DOWN"/>
    <n v="500"/>
    <n v="4340"/>
    <n v="-200"/>
    <s v="undefined"/>
    <n v="-111.85000000000002"/>
    <n v="820.85"/>
    <x v="33"/>
    <n v="0.55000000000000004"/>
    <n v="-2.4500000000000002"/>
    <s v="error"/>
    <n v="2700"/>
    <n v="201940"/>
    <n v="99300"/>
    <s v="UP"/>
    <s v="Short Buildup"/>
    <n v="31449.9"/>
  </r>
  <r>
    <x v="5"/>
    <b v="0"/>
    <s v="DOWN"/>
    <n v="900"/>
    <n v="11820"/>
    <n v="0"/>
    <s v="undefined"/>
    <n v="-114.89999999999998"/>
    <n v="721.1"/>
    <x v="17"/>
    <n v="0.7"/>
    <n v="-2.9000000000000004"/>
    <s v="error"/>
    <n v="3980"/>
    <n v="194180"/>
    <n v="205940"/>
    <s v="UP"/>
    <s v="Short Buildup"/>
    <n v="31449.9"/>
  </r>
  <r>
    <x v="5"/>
    <s v="Long Liquidation"/>
    <s v="DOWN"/>
    <n v="900"/>
    <n v="7360"/>
    <n v="-140"/>
    <s v="undefined"/>
    <n v="-112.64999999999998"/>
    <n v="622.95000000000005"/>
    <x v="18"/>
    <n v="0.95"/>
    <n v="-3.1499999999999995"/>
    <s v="error"/>
    <n v="18040"/>
    <n v="385440"/>
    <n v="410440"/>
    <s v="UP"/>
    <s v="Short Buildup"/>
    <n v="31449.9"/>
  </r>
  <r>
    <x v="5"/>
    <s v="Short Buildup"/>
    <s v="UP"/>
    <n v="2180"/>
    <n v="6420"/>
    <n v="180"/>
    <s v="undefined"/>
    <n v="-112.04999999999995"/>
    <n v="521.5"/>
    <x v="19"/>
    <n v="1.5"/>
    <n v="-4"/>
    <s v="error"/>
    <n v="114800"/>
    <n v="480680"/>
    <n v="748540"/>
    <s v="UP"/>
    <s v="Short Buildup"/>
    <n v="31449.9"/>
  </r>
  <r>
    <x v="5"/>
    <s v="Short Buildup"/>
    <s v="UP"/>
    <n v="36380"/>
    <n v="94540"/>
    <n v="6320"/>
    <s v="undefined"/>
    <n v="-122.65000000000003"/>
    <n v="422.2"/>
    <x v="20"/>
    <n v="2.6"/>
    <n v="-4.8000000000000007"/>
    <s v="error"/>
    <n v="440880"/>
    <n v="1251480"/>
    <n v="2008080"/>
    <s v="UP"/>
    <s v="Short Buildup"/>
    <n v="31449.9"/>
  </r>
  <r>
    <x v="5"/>
    <s v="Short Buildup"/>
    <s v="UP"/>
    <n v="32400"/>
    <n v="38640"/>
    <n v="7980"/>
    <s v="undefined"/>
    <n v="-119.09999999999997"/>
    <n v="326.05"/>
    <x v="21"/>
    <n v="5.05"/>
    <n v="-5.1000000000000005"/>
    <s v="error"/>
    <n v="307700"/>
    <n v="826400"/>
    <n v="2372100"/>
    <s v="UP"/>
    <s v="Short Buildup"/>
    <n v="31449.9"/>
  </r>
  <r>
    <x v="5"/>
    <s v="Short Buildup"/>
    <s v="UP"/>
    <n v="252520"/>
    <n v="165220"/>
    <n v="33500"/>
    <s v="undefined"/>
    <n v="-114.85"/>
    <n v="235.6"/>
    <x v="22"/>
    <n v="13.9"/>
    <n v="-3.4999999999999982"/>
    <s v="error"/>
    <n v="524920"/>
    <n v="1050860"/>
    <n v="3079960"/>
    <s v="UP"/>
    <s v="Short Buildup"/>
    <n v="31449.9"/>
  </r>
  <r>
    <x v="5"/>
    <s v="Short Buildup"/>
    <s v="UP"/>
    <n v="520100"/>
    <n v="190860"/>
    <s v="z"/>
    <s v="error"/>
    <n v="-110.15"/>
    <n v="155.4"/>
    <x v="23"/>
    <n v="34.25"/>
    <n v="3.3000000000000007"/>
    <s v="error"/>
    <n v="389040"/>
    <n v="1039540"/>
    <n v="3591040"/>
    <s v="UP"/>
    <s v="Long Buildup"/>
    <n v="31449.9"/>
  </r>
  <r>
    <x v="5"/>
    <s v="Short Buildup"/>
    <s v="UP"/>
    <n v="1655620"/>
    <n v="544460"/>
    <n v="360160"/>
    <s v="error"/>
    <n v="-96.4"/>
    <n v="92.6"/>
    <x v="24"/>
    <n v="71.900000000000006"/>
    <n v="17.950000000000003"/>
    <s v="error"/>
    <n v="248220"/>
    <n v="804440"/>
    <n v="2920500"/>
    <s v="UP"/>
    <s v="Long Buildup"/>
    <n v="31449.9"/>
  </r>
  <r>
    <x v="5"/>
    <s v="Short Buildup"/>
    <s v="UP"/>
    <n v="3905160"/>
    <n v="1765320"/>
    <n v="986780"/>
    <s v="error"/>
    <n v="-76.900000000000006"/>
    <n v="49.55"/>
    <x v="25"/>
    <n v="128.85"/>
    <n v="38.699999999999989"/>
    <s v="error"/>
    <n v="106540"/>
    <n v="737020"/>
    <n v="2130740"/>
    <s v="UP"/>
    <s v="Long Buildup"/>
    <n v="31449.9"/>
  </r>
  <r>
    <x v="5"/>
    <s v="Short Buildup"/>
    <s v="UP"/>
    <n v="3272780"/>
    <n v="1178900"/>
    <n v="559240"/>
    <s v="error"/>
    <n v="-56.1"/>
    <n v="22.35"/>
    <x v="26"/>
    <n v="202.4"/>
    <n v="60.300000000000011"/>
    <s v="error"/>
    <n v="48500"/>
    <n v="142740"/>
    <n v="627280"/>
    <s v="UP"/>
    <s v="Long Buildup"/>
    <n v="31449.9"/>
  </r>
  <r>
    <x v="5"/>
    <s v="Short Buildup"/>
    <s v="UP"/>
    <n v="3314060"/>
    <n v="1092020"/>
    <n v="456760"/>
    <s v="error"/>
    <n v="-35.950000000000003"/>
    <n v="8.5"/>
    <x v="27"/>
    <n v="287.89999999999998"/>
    <n v="78.499999999999972"/>
    <s v="error"/>
    <n v="25960"/>
    <n v="75720"/>
    <n v="319500"/>
    <s v="UP"/>
    <s v="Long Buildup"/>
    <n v="31449.9"/>
  </r>
  <r>
    <x v="5"/>
    <s v="Short Buildup"/>
    <s v="UP"/>
    <n v="2446800"/>
    <n v="858280"/>
    <n v="272900"/>
    <s v="error"/>
    <n v="-20.350000000000001"/>
    <n v="3.15"/>
    <x v="28"/>
    <n v="383.4"/>
    <n v="98.049999999999955"/>
    <s v="error"/>
    <n v="13380"/>
    <n v="28360"/>
    <n v="118000"/>
    <s v="UP"/>
    <s v="Long Buildup"/>
    <n v="31449.9"/>
  </r>
  <r>
    <x v="5"/>
    <s v="Long Liquidation"/>
    <s v="DOWN"/>
    <n v="1746660"/>
    <n v="485240"/>
    <n v="-26560"/>
    <s v="error"/>
    <n v="-9.75"/>
    <n v="1.35"/>
    <x v="29"/>
    <n v="481.5"/>
    <n v="104.80000000000001"/>
    <s v="error"/>
    <n v="2420"/>
    <n v="7960"/>
    <n v="22600"/>
    <s v="UP"/>
    <s v="Long Buildup"/>
    <n v="31449.9"/>
  </r>
  <r>
    <x v="5"/>
    <s v="Short Buildup"/>
    <s v="UP"/>
    <n v="1486360"/>
    <n v="736760"/>
    <n v="125100"/>
    <s v="error"/>
    <n v="-5.05"/>
    <n v="0.95"/>
    <x v="30"/>
    <n v="580"/>
    <n v="109.5"/>
    <s v="error"/>
    <n v="500"/>
    <n v="12620"/>
    <n v="13640"/>
    <s v="UP"/>
    <s v="Long Buildup"/>
    <n v="31449.9"/>
  </r>
  <r>
    <x v="5"/>
    <s v="Long Liquidation"/>
    <s v="DOWN"/>
    <n v="384700"/>
    <n v="147060"/>
    <n v="-3420"/>
    <s v="error"/>
    <n v="-2.5499999999999998"/>
    <n v="0.6"/>
    <x v="31"/>
    <n v="680.25"/>
    <n v="105.25"/>
    <s v="error"/>
    <n v="0"/>
    <n v="240"/>
    <n v="40"/>
    <s v="DOWN"/>
    <b v="0"/>
    <n v="31449.9"/>
  </r>
  <r>
    <x v="5"/>
    <n v="0.98804188207292243"/>
    <m/>
    <m/>
    <n v="7327240"/>
    <m/>
    <m/>
    <m/>
    <m/>
    <x v="16"/>
    <m/>
    <m/>
    <m/>
    <m/>
    <n v="7239620"/>
    <m/>
    <m/>
    <m/>
    <m/>
  </r>
  <r>
    <x v="5"/>
    <s v="Long Liquidation"/>
    <s v="DOWN"/>
    <n v="500"/>
    <n v="4340"/>
    <n v="-200"/>
    <s v="undefined"/>
    <n v="-111.85000000000002"/>
    <n v="820.85"/>
    <x v="33"/>
    <n v="0.55000000000000004"/>
    <n v="-2.4500000000000002"/>
    <s v="error"/>
    <n v="2700"/>
    <n v="201940"/>
    <n v="99300"/>
    <s v="UP"/>
    <s v="Short Buildup"/>
    <n v="31449.9"/>
  </r>
  <r>
    <x v="5"/>
    <b v="0"/>
    <s v="DOWN"/>
    <n v="900"/>
    <n v="11820"/>
    <n v="0"/>
    <s v="undefined"/>
    <n v="-114.89999999999998"/>
    <n v="721.1"/>
    <x v="17"/>
    <n v="0.7"/>
    <n v="-2.9000000000000004"/>
    <s v="error"/>
    <n v="3980"/>
    <n v="194180"/>
    <n v="205940"/>
    <s v="UP"/>
    <s v="Short Buildup"/>
    <n v="31449.9"/>
  </r>
  <r>
    <x v="5"/>
    <s v="Long Liquidation"/>
    <s v="DOWN"/>
    <n v="900"/>
    <n v="7360"/>
    <n v="-140"/>
    <s v="undefined"/>
    <n v="-112.64999999999998"/>
    <n v="622.95000000000005"/>
    <x v="18"/>
    <n v="0.95"/>
    <n v="-3.1499999999999995"/>
    <s v="error"/>
    <n v="18040"/>
    <n v="385440"/>
    <n v="410440"/>
    <s v="UP"/>
    <s v="Short Buildup"/>
    <n v="31449.9"/>
  </r>
  <r>
    <x v="5"/>
    <s v="Short Buildup"/>
    <s v="UP"/>
    <n v="2180"/>
    <n v="6420"/>
    <n v="180"/>
    <s v="undefined"/>
    <n v="-112.04999999999995"/>
    <n v="521.5"/>
    <x v="19"/>
    <n v="1.5"/>
    <n v="-4"/>
    <s v="error"/>
    <n v="114800"/>
    <n v="480680"/>
    <n v="748540"/>
    <s v="UP"/>
    <s v="Short Buildup"/>
    <n v="31449.9"/>
  </r>
  <r>
    <x v="5"/>
    <s v="Short Buildup"/>
    <s v="UP"/>
    <n v="36380"/>
    <n v="94540"/>
    <n v="6320"/>
    <s v="undefined"/>
    <n v="-122.65000000000003"/>
    <n v="422.2"/>
    <x v="20"/>
    <n v="2.6"/>
    <n v="-4.8000000000000007"/>
    <s v="error"/>
    <n v="440880"/>
    <n v="1251480"/>
    <n v="2008080"/>
    <s v="UP"/>
    <s v="Short Buildup"/>
    <n v="31449.9"/>
  </r>
  <r>
    <x v="5"/>
    <s v="Short Buildup"/>
    <s v="UP"/>
    <n v="32400"/>
    <n v="38640"/>
    <n v="7980"/>
    <s v="undefined"/>
    <n v="-119.09999999999997"/>
    <n v="326.05"/>
    <x v="21"/>
    <n v="5.05"/>
    <n v="-5.1000000000000005"/>
    <s v="error"/>
    <n v="307700"/>
    <n v="826400"/>
    <n v="2372100"/>
    <s v="UP"/>
    <s v="Short Buildup"/>
    <n v="31449.9"/>
  </r>
  <r>
    <x v="5"/>
    <s v="Short Buildup"/>
    <s v="UP"/>
    <n v="252520"/>
    <n v="165220"/>
    <n v="33500"/>
    <s v="undefined"/>
    <n v="-114.85"/>
    <n v="235.6"/>
    <x v="22"/>
    <n v="13.9"/>
    <n v="-3.4999999999999982"/>
    <s v="error"/>
    <n v="524920"/>
    <n v="1050860"/>
    <n v="3079960"/>
    <s v="UP"/>
    <s v="Short Buildup"/>
    <n v="31449.9"/>
  </r>
  <r>
    <x v="5"/>
    <s v="Short Buildup"/>
    <s v="UP"/>
    <n v="520100"/>
    <n v="190860"/>
    <s v="z"/>
    <s v="error"/>
    <n v="-110.15"/>
    <n v="155.4"/>
    <x v="23"/>
    <n v="34.25"/>
    <n v="3.3000000000000007"/>
    <s v="error"/>
    <n v="389040"/>
    <n v="1039540"/>
    <n v="3591040"/>
    <s v="UP"/>
    <s v="Long Buildup"/>
    <n v="31449.9"/>
  </r>
  <r>
    <x v="5"/>
    <s v="Short Buildup"/>
    <s v="UP"/>
    <n v="1655620"/>
    <n v="544460"/>
    <n v="360160"/>
    <s v="error"/>
    <n v="-96.4"/>
    <n v="92.6"/>
    <x v="24"/>
    <n v="71.900000000000006"/>
    <n v="17.950000000000003"/>
    <s v="error"/>
    <n v="248220"/>
    <n v="804440"/>
    <n v="2920500"/>
    <s v="UP"/>
    <s v="Long Buildup"/>
    <n v="31449.9"/>
  </r>
  <r>
    <x v="5"/>
    <s v="Short Buildup"/>
    <s v="UP"/>
    <n v="3905160"/>
    <n v="1765320"/>
    <n v="986780"/>
    <s v="error"/>
    <n v="-76.900000000000006"/>
    <n v="49.55"/>
    <x v="25"/>
    <n v="128.85"/>
    <n v="38.699999999999989"/>
    <s v="error"/>
    <n v="106540"/>
    <n v="737020"/>
    <n v="2130740"/>
    <s v="UP"/>
    <s v="Long Buildup"/>
    <n v="31449.9"/>
  </r>
  <r>
    <x v="5"/>
    <s v="Short Buildup"/>
    <s v="UP"/>
    <n v="3272780"/>
    <n v="1178900"/>
    <n v="559240"/>
    <s v="error"/>
    <n v="-56.1"/>
    <n v="22.35"/>
    <x v="26"/>
    <n v="202.4"/>
    <n v="60.300000000000011"/>
    <s v="error"/>
    <n v="48500"/>
    <n v="142740"/>
    <n v="627280"/>
    <s v="UP"/>
    <s v="Long Buildup"/>
    <n v="31449.9"/>
  </r>
  <r>
    <x v="5"/>
    <s v="Short Buildup"/>
    <s v="UP"/>
    <n v="3314060"/>
    <n v="1092020"/>
    <n v="456760"/>
    <s v="error"/>
    <n v="-35.950000000000003"/>
    <n v="8.5"/>
    <x v="27"/>
    <n v="287.89999999999998"/>
    <n v="78.499999999999972"/>
    <s v="error"/>
    <n v="25960"/>
    <n v="75720"/>
    <n v="319500"/>
    <s v="UP"/>
    <s v="Long Buildup"/>
    <n v="31449.9"/>
  </r>
  <r>
    <x v="5"/>
    <s v="Short Buildup"/>
    <s v="UP"/>
    <n v="2446800"/>
    <n v="858280"/>
    <n v="272900"/>
    <s v="error"/>
    <n v="-20.350000000000001"/>
    <n v="3.15"/>
    <x v="28"/>
    <n v="383.4"/>
    <n v="98.049999999999955"/>
    <s v="error"/>
    <n v="13380"/>
    <n v="28360"/>
    <n v="118000"/>
    <s v="UP"/>
    <s v="Long Buildup"/>
    <n v="31449.9"/>
  </r>
  <r>
    <x v="5"/>
    <s v="Long Liquidation"/>
    <s v="DOWN"/>
    <n v="1746660"/>
    <n v="485240"/>
    <n v="-26560"/>
    <s v="error"/>
    <n v="-9.75"/>
    <n v="1.35"/>
    <x v="29"/>
    <n v="481.5"/>
    <n v="104.80000000000001"/>
    <s v="error"/>
    <n v="2420"/>
    <n v="7960"/>
    <n v="22600"/>
    <s v="UP"/>
    <s v="Long Buildup"/>
    <n v="31449.9"/>
  </r>
  <r>
    <x v="5"/>
    <s v="Short Buildup"/>
    <s v="UP"/>
    <n v="1486360"/>
    <n v="736760"/>
    <n v="125100"/>
    <s v="error"/>
    <n v="-5.05"/>
    <n v="0.95"/>
    <x v="30"/>
    <n v="580"/>
    <n v="109.5"/>
    <s v="error"/>
    <n v="500"/>
    <n v="12620"/>
    <n v="13640"/>
    <s v="UP"/>
    <s v="Long Buildup"/>
    <n v="31449.9"/>
  </r>
  <r>
    <x v="5"/>
    <s v="Long Liquidation"/>
    <s v="DOWN"/>
    <n v="384700"/>
    <n v="147060"/>
    <n v="-3420"/>
    <s v="error"/>
    <n v="-2.5499999999999998"/>
    <n v="0.6"/>
    <x v="31"/>
    <n v="680.25"/>
    <n v="105.25"/>
    <s v="error"/>
    <n v="0"/>
    <n v="240"/>
    <n v="40"/>
    <s v="DOWN"/>
    <b v="0"/>
    <n v="31449.9"/>
  </r>
  <r>
    <x v="5"/>
    <n v="0.98804188207292243"/>
    <m/>
    <m/>
    <n v="7327240"/>
    <m/>
    <m/>
    <m/>
    <m/>
    <x v="16"/>
    <m/>
    <m/>
    <m/>
    <m/>
    <n v="7239620"/>
    <m/>
    <m/>
    <m/>
    <m/>
  </r>
  <r>
    <x v="6"/>
    <b v="0"/>
    <s v="DOWN"/>
    <n v="900"/>
    <n v="11820"/>
    <n v="0"/>
    <s v="undefined"/>
    <n v="-114.89999999999998"/>
    <n v="721.1"/>
    <x v="17"/>
    <n v="0.65"/>
    <n v="-2.95"/>
    <s v="error"/>
    <n v="7360"/>
    <n v="197560"/>
    <n v="218700"/>
    <s v="UP"/>
    <s v="Short Buildup"/>
    <n v="31454.95"/>
  </r>
  <r>
    <x v="6"/>
    <s v="Long Liquidation"/>
    <s v="DOWN"/>
    <n v="900"/>
    <n v="7360"/>
    <n v="-140"/>
    <s v="undefined"/>
    <n v="-112.64999999999998"/>
    <n v="622.95000000000005"/>
    <x v="18"/>
    <n v="0.85"/>
    <n v="-3.2499999999999996"/>
    <s v="error"/>
    <n v="5640"/>
    <n v="373040"/>
    <n v="430020"/>
    <s v="UP"/>
    <s v="Short Buildup"/>
    <n v="31454.95"/>
  </r>
  <r>
    <x v="6"/>
    <s v="Short Buildup"/>
    <s v="UP"/>
    <n v="2300"/>
    <n v="6420"/>
    <n v="180"/>
    <s v="undefined"/>
    <n v="-108.89999999999998"/>
    <n v="524.65"/>
    <x v="19"/>
    <n v="1.4"/>
    <n v="-4.0999999999999996"/>
    <s v="error"/>
    <n v="120300"/>
    <n v="486180"/>
    <n v="813800"/>
    <s v="UP"/>
    <s v="Short Buildup"/>
    <n v="31454.95"/>
  </r>
  <r>
    <x v="6"/>
    <s v="Short Buildup"/>
    <s v="UP"/>
    <n v="44000"/>
    <n v="96920"/>
    <n v="8700"/>
    <s v="undefined"/>
    <n v="-114.70000000000005"/>
    <n v="430.15"/>
    <x v="20"/>
    <n v="2.25"/>
    <n v="-5.15"/>
    <s v="error"/>
    <n v="514660"/>
    <n v="1325260"/>
    <n v="2190380"/>
    <s v="UP"/>
    <s v="Short Buildup"/>
    <n v="31454.95"/>
  </r>
  <r>
    <x v="6"/>
    <s v="Short Buildup"/>
    <s v="UP"/>
    <n v="37700"/>
    <n v="39640"/>
    <n v="8980"/>
    <s v="undefined"/>
    <n v="-110.59999999999997"/>
    <n v="334.55"/>
    <x v="21"/>
    <n v="4.5"/>
    <n v="-5.65"/>
    <s v="error"/>
    <n v="353360"/>
    <n v="872060"/>
    <n v="2590500"/>
    <s v="UP"/>
    <s v="Short Buildup"/>
    <n v="31454.95"/>
  </r>
  <r>
    <x v="6"/>
    <s v="Short Buildup"/>
    <s v="UP"/>
    <n v="323380"/>
    <n v="175180"/>
    <n v="43460"/>
    <s v="undefined"/>
    <n v="-108.44999999999999"/>
    <n v="242"/>
    <x v="22"/>
    <n v="12.55"/>
    <n v="-4.8499999999999979"/>
    <s v="error"/>
    <n v="570100"/>
    <n v="1096040"/>
    <n v="3430100"/>
    <s v="UP"/>
    <s v="Short Buildup"/>
    <n v="31454.95"/>
  </r>
  <r>
    <x v="6"/>
    <s v="Short Buildup"/>
    <s v="UP"/>
    <n v="610660"/>
    <n v="197040"/>
    <n v="81100"/>
    <s v="error"/>
    <n v="-105.65"/>
    <n v="159.9"/>
    <x v="23"/>
    <n v="31.3"/>
    <n v="0.35000000000000142"/>
    <s v="error"/>
    <n v="463620"/>
    <n v="1114120"/>
    <n v="3981120"/>
    <s v="UP"/>
    <s v="Long Buildup"/>
    <n v="31454.95"/>
  </r>
  <r>
    <x v="6"/>
    <s v="Short Buildup"/>
    <s v="UP"/>
    <n v="1957400"/>
    <n v="578160"/>
    <s v="z"/>
    <s v="error"/>
    <n v="-93.45"/>
    <n v="95.55"/>
    <x v="24"/>
    <n v="67.95"/>
    <n v="14"/>
    <s v="error"/>
    <n v="319240"/>
    <n v="875460"/>
    <n v="3311780"/>
    <s v="UP"/>
    <s v="Long Buildup"/>
    <n v="31454.95"/>
  </r>
  <r>
    <x v="6"/>
    <s v="Short Buildup"/>
    <s v="UP"/>
    <n v="4379200"/>
    <n v="1861660"/>
    <n v="1083120"/>
    <s v="error"/>
    <n v="-75.7"/>
    <n v="50.75"/>
    <x v="25"/>
    <n v="123.1"/>
    <n v="32.949999999999989"/>
    <s v="error"/>
    <n v="115680"/>
    <n v="746160"/>
    <n v="2364640"/>
    <s v="UP"/>
    <s v="Long Buildup"/>
    <n v="31454.95"/>
  </r>
  <r>
    <x v="6"/>
    <s v="Short Buildup"/>
    <s v="UP"/>
    <n v="3654220"/>
    <n v="1231620"/>
    <n v="611960"/>
    <s v="error"/>
    <n v="-55.85"/>
    <n v="22.6"/>
    <x v="26"/>
    <n v="195.95"/>
    <n v="53.849999999999994"/>
    <s v="error"/>
    <n v="63940"/>
    <n v="158180"/>
    <n v="704000"/>
    <s v="UP"/>
    <s v="Long Buildup"/>
    <n v="31454.95"/>
  </r>
  <r>
    <x v="6"/>
    <s v="Short Buildup"/>
    <s v="UP"/>
    <n v="3634360"/>
    <n v="1166740"/>
    <n v="531480"/>
    <s v="error"/>
    <n v="-36.050000000000004"/>
    <n v="8.4"/>
    <x v="27"/>
    <n v="280.89999999999998"/>
    <n v="71.499999999999972"/>
    <s v="error"/>
    <n v="27860"/>
    <n v="77620"/>
    <n v="339500"/>
    <s v="UP"/>
    <s v="Long Buildup"/>
    <n v="31454.95"/>
  </r>
  <r>
    <x v="6"/>
    <s v="Short Buildup"/>
    <s v="UP"/>
    <n v="2669040"/>
    <n v="898960"/>
    <n v="313580"/>
    <s v="error"/>
    <n v="-20.399999999999999"/>
    <n v="3.1"/>
    <x v="28"/>
    <n v="374.45"/>
    <n v="89.099999999999966"/>
    <s v="error"/>
    <n v="17600"/>
    <n v="32580"/>
    <n v="132220"/>
    <s v="UP"/>
    <s v="Long Buildup"/>
    <n v="31454.95"/>
  </r>
  <r>
    <x v="6"/>
    <s v="Long Liquidation"/>
    <s v="DOWN"/>
    <n v="1919140"/>
    <n v="497460"/>
    <n v="-14340"/>
    <s v="error"/>
    <n v="-9.7999999999999989"/>
    <n v="1.3"/>
    <x v="29"/>
    <n v="469.7"/>
    <n v="93"/>
    <s v="error"/>
    <n v="2240"/>
    <n v="7780"/>
    <n v="24200"/>
    <s v="UP"/>
    <s v="Long Buildup"/>
    <n v="31454.95"/>
  </r>
  <r>
    <x v="6"/>
    <s v="Short Buildup"/>
    <s v="UP"/>
    <n v="1579880"/>
    <n v="742500"/>
    <n v="130840"/>
    <s v="error"/>
    <n v="-5.0999999999999996"/>
    <n v="0.9"/>
    <x v="30"/>
    <n v="568.45000000000005"/>
    <n v="97.950000000000045"/>
    <s v="error"/>
    <n v="280"/>
    <n v="12400"/>
    <n v="14420"/>
    <s v="UP"/>
    <s v="Long Buildup"/>
    <n v="31454.95"/>
  </r>
  <r>
    <x v="6"/>
    <s v="Long Liquidation"/>
    <s v="DOWN"/>
    <n v="392980"/>
    <n v="147080"/>
    <n v="-3400"/>
    <s v="error"/>
    <n v="-2.5499999999999998"/>
    <n v="0.6"/>
    <x v="31"/>
    <n v="680.25"/>
    <n v="105.25"/>
    <s v="error"/>
    <n v="0"/>
    <n v="240"/>
    <n v="40"/>
    <s v="DOWN"/>
    <b v="0"/>
    <n v="31454.95"/>
  </r>
  <r>
    <x v="6"/>
    <s v="Long Liquidation"/>
    <s v="DOWN"/>
    <n v="206900"/>
    <n v="104160"/>
    <n v="-44460"/>
    <s v="error"/>
    <n v="-1.9000000000000001"/>
    <n v="0.45"/>
    <x v="32"/>
    <n v="777.5"/>
    <n v="104.85000000000002"/>
    <s v="error"/>
    <n v="-20"/>
    <n v="1400"/>
    <n v="60"/>
    <s v="DOWN"/>
    <s v="Short covering"/>
    <n v="31454.95"/>
  </r>
  <r>
    <x v="6"/>
    <n v="0.95019271595523214"/>
    <m/>
    <m/>
    <n v="7762720"/>
    <m/>
    <m/>
    <m/>
    <m/>
    <x v="16"/>
    <m/>
    <m/>
    <m/>
    <m/>
    <n v="7376080"/>
    <m/>
    <m/>
    <m/>
    <m/>
  </r>
  <r>
    <x v="6"/>
    <b v="0"/>
    <s v="DOWN"/>
    <n v="900"/>
    <n v="11820"/>
    <n v="0"/>
    <s v="undefined"/>
    <n v="-114.89999999999998"/>
    <n v="721.1"/>
    <x v="17"/>
    <n v="0.65"/>
    <n v="-2.95"/>
    <s v="error"/>
    <n v="7360"/>
    <n v="197560"/>
    <n v="218700"/>
    <s v="UP"/>
    <s v="Short Buildup"/>
    <n v="31454.95"/>
  </r>
  <r>
    <x v="6"/>
    <s v="Long Liquidation"/>
    <s v="DOWN"/>
    <n v="900"/>
    <n v="7360"/>
    <n v="-140"/>
    <s v="undefined"/>
    <n v="-112.64999999999998"/>
    <n v="622.95000000000005"/>
    <x v="18"/>
    <n v="0.85"/>
    <n v="-3.2499999999999996"/>
    <s v="error"/>
    <n v="5640"/>
    <n v="373040"/>
    <n v="430020"/>
    <s v="UP"/>
    <s v="Short Buildup"/>
    <n v="31454.95"/>
  </r>
  <r>
    <x v="6"/>
    <s v="Short Buildup"/>
    <s v="UP"/>
    <n v="2300"/>
    <n v="6420"/>
    <n v="180"/>
    <s v="undefined"/>
    <n v="-108.89999999999998"/>
    <n v="524.65"/>
    <x v="19"/>
    <n v="1.4"/>
    <n v="-4.0999999999999996"/>
    <s v="error"/>
    <n v="120300"/>
    <n v="486180"/>
    <n v="813800"/>
    <s v="UP"/>
    <s v="Short Buildup"/>
    <n v="31454.95"/>
  </r>
  <r>
    <x v="6"/>
    <s v="Short Buildup"/>
    <s v="UP"/>
    <n v="44000"/>
    <n v="96920"/>
    <n v="8700"/>
    <s v="undefined"/>
    <n v="-114.70000000000005"/>
    <n v="430.15"/>
    <x v="20"/>
    <n v="2.25"/>
    <n v="-5.15"/>
    <s v="error"/>
    <n v="514660"/>
    <n v="1325260"/>
    <n v="2190380"/>
    <s v="UP"/>
    <s v="Short Buildup"/>
    <n v="31454.95"/>
  </r>
  <r>
    <x v="6"/>
    <s v="Short Buildup"/>
    <s v="UP"/>
    <n v="37700"/>
    <n v="39640"/>
    <n v="8980"/>
    <s v="undefined"/>
    <n v="-110.59999999999997"/>
    <n v="334.55"/>
    <x v="21"/>
    <n v="4.5"/>
    <n v="-5.65"/>
    <s v="error"/>
    <n v="353360"/>
    <n v="872060"/>
    <n v="2590500"/>
    <s v="UP"/>
    <s v="Short Buildup"/>
    <n v="31454.95"/>
  </r>
  <r>
    <x v="6"/>
    <s v="Short Buildup"/>
    <s v="UP"/>
    <n v="323380"/>
    <n v="175180"/>
    <n v="43460"/>
    <s v="undefined"/>
    <n v="-108.44999999999999"/>
    <n v="242"/>
    <x v="22"/>
    <n v="12.55"/>
    <n v="-4.8499999999999979"/>
    <s v="error"/>
    <n v="570100"/>
    <n v="1096040"/>
    <n v="3430100"/>
    <s v="UP"/>
    <s v="Short Buildup"/>
    <n v="31454.95"/>
  </r>
  <r>
    <x v="6"/>
    <s v="Short Buildup"/>
    <s v="UP"/>
    <n v="610660"/>
    <n v="197040"/>
    <n v="81100"/>
    <s v="error"/>
    <n v="-105.65"/>
    <n v="159.9"/>
    <x v="23"/>
    <n v="31.3"/>
    <n v="0.35000000000000142"/>
    <s v="error"/>
    <n v="463620"/>
    <n v="1114120"/>
    <n v="3981120"/>
    <s v="UP"/>
    <s v="Long Buildup"/>
    <n v="31454.95"/>
  </r>
  <r>
    <x v="6"/>
    <s v="Short Buildup"/>
    <s v="UP"/>
    <n v="1957400"/>
    <n v="578160"/>
    <s v="z"/>
    <s v="error"/>
    <n v="-93.45"/>
    <n v="95.55"/>
    <x v="24"/>
    <n v="67.95"/>
    <n v="14"/>
    <s v="error"/>
    <n v="319240"/>
    <n v="875460"/>
    <n v="3311780"/>
    <s v="UP"/>
    <s v="Long Buildup"/>
    <n v="31454.95"/>
  </r>
  <r>
    <x v="6"/>
    <s v="Short Buildup"/>
    <s v="UP"/>
    <n v="4379200"/>
    <n v="1861660"/>
    <n v="1083120"/>
    <s v="error"/>
    <n v="-75.7"/>
    <n v="50.75"/>
    <x v="25"/>
    <n v="123.1"/>
    <n v="32.949999999999989"/>
    <s v="error"/>
    <n v="115680"/>
    <n v="746160"/>
    <n v="2364640"/>
    <s v="UP"/>
    <s v="Long Buildup"/>
    <n v="31454.95"/>
  </r>
  <r>
    <x v="6"/>
    <s v="Short Buildup"/>
    <s v="UP"/>
    <n v="3654220"/>
    <n v="1231620"/>
    <n v="611960"/>
    <s v="error"/>
    <n v="-55.85"/>
    <n v="22.6"/>
    <x v="26"/>
    <n v="195.95"/>
    <n v="53.849999999999994"/>
    <s v="error"/>
    <n v="63940"/>
    <n v="158180"/>
    <n v="704000"/>
    <s v="UP"/>
    <s v="Long Buildup"/>
    <n v="31454.95"/>
  </r>
  <r>
    <x v="6"/>
    <s v="Short Buildup"/>
    <s v="UP"/>
    <n v="3634360"/>
    <n v="1166740"/>
    <n v="531480"/>
    <s v="error"/>
    <n v="-36.050000000000004"/>
    <n v="8.4"/>
    <x v="27"/>
    <n v="280.89999999999998"/>
    <n v="71.499999999999972"/>
    <s v="error"/>
    <n v="27860"/>
    <n v="77620"/>
    <n v="339500"/>
    <s v="UP"/>
    <s v="Long Buildup"/>
    <n v="31454.95"/>
  </r>
  <r>
    <x v="6"/>
    <s v="Short Buildup"/>
    <s v="UP"/>
    <n v="2669040"/>
    <n v="898960"/>
    <n v="313580"/>
    <s v="error"/>
    <n v="-20.399999999999999"/>
    <n v="3.1"/>
    <x v="28"/>
    <n v="374.45"/>
    <n v="89.099999999999966"/>
    <s v="error"/>
    <n v="17600"/>
    <n v="32580"/>
    <n v="132220"/>
    <s v="UP"/>
    <s v="Long Buildup"/>
    <n v="31454.95"/>
  </r>
  <r>
    <x v="6"/>
    <s v="Long Liquidation"/>
    <s v="DOWN"/>
    <n v="1919140"/>
    <n v="497460"/>
    <n v="-14340"/>
    <s v="error"/>
    <n v="-9.7999999999999989"/>
    <n v="1.3"/>
    <x v="29"/>
    <n v="469.7"/>
    <n v="93"/>
    <s v="error"/>
    <n v="2240"/>
    <n v="7780"/>
    <n v="24200"/>
    <s v="UP"/>
    <s v="Long Buildup"/>
    <n v="31454.95"/>
  </r>
  <r>
    <x v="6"/>
    <s v="Short Buildup"/>
    <s v="UP"/>
    <n v="1579880"/>
    <n v="742500"/>
    <n v="130840"/>
    <s v="error"/>
    <n v="-5.0999999999999996"/>
    <n v="0.9"/>
    <x v="30"/>
    <n v="568.45000000000005"/>
    <n v="97.950000000000045"/>
    <s v="error"/>
    <n v="280"/>
    <n v="12400"/>
    <n v="14420"/>
    <s v="UP"/>
    <s v="Long Buildup"/>
    <n v="31454.95"/>
  </r>
  <r>
    <x v="6"/>
    <s v="Long Liquidation"/>
    <s v="DOWN"/>
    <n v="392980"/>
    <n v="147080"/>
    <n v="-3400"/>
    <s v="error"/>
    <n v="-2.5499999999999998"/>
    <n v="0.6"/>
    <x v="31"/>
    <n v="680.25"/>
    <n v="105.25"/>
    <s v="error"/>
    <n v="0"/>
    <n v="240"/>
    <n v="40"/>
    <s v="DOWN"/>
    <b v="0"/>
    <n v="31454.95"/>
  </r>
  <r>
    <x v="6"/>
    <s v="Long Liquidation"/>
    <s v="DOWN"/>
    <n v="206900"/>
    <n v="104160"/>
    <n v="-44460"/>
    <s v="error"/>
    <n v="-1.9000000000000001"/>
    <n v="0.45"/>
    <x v="32"/>
    <n v="777.5"/>
    <n v="104.85000000000002"/>
    <s v="error"/>
    <n v="-20"/>
    <n v="1400"/>
    <n v="60"/>
    <s v="DOWN"/>
    <s v="Short covering"/>
    <n v="31454.95"/>
  </r>
  <r>
    <x v="6"/>
    <n v="0.95019271595523214"/>
    <m/>
    <m/>
    <n v="7762720"/>
    <m/>
    <m/>
    <m/>
    <m/>
    <x v="16"/>
    <m/>
    <m/>
    <m/>
    <m/>
    <n v="7376080"/>
    <m/>
    <m/>
    <m/>
    <m/>
  </r>
  <r>
    <x v="7"/>
    <s v="Long Liquidation"/>
    <s v="DOWN"/>
    <n v="620"/>
    <n v="4240"/>
    <n v="-300"/>
    <s v="undefined"/>
    <n v="-141.60000000000002"/>
    <n v="791.1"/>
    <x v="33"/>
    <n v="0.5"/>
    <n v="-2.5"/>
    <s v="error"/>
    <n v="3140"/>
    <n v="202380"/>
    <n v="109680"/>
    <s v="UP"/>
    <s v="Short Buildup"/>
    <n v="31412.25"/>
  </r>
  <r>
    <x v="7"/>
    <s v="Long Liquidation"/>
    <s v="DOWN"/>
    <n v="940"/>
    <n v="11780"/>
    <n v="-40"/>
    <s v="undefined"/>
    <n v="-144.89999999999998"/>
    <n v="691.1"/>
    <x v="17"/>
    <n v="0.7"/>
    <n v="-2.9000000000000004"/>
    <s v="error"/>
    <n v="13300"/>
    <n v="203500"/>
    <n v="226520"/>
    <s v="UP"/>
    <s v="Short Buildup"/>
    <n v="31412.25"/>
  </r>
  <r>
    <x v="7"/>
    <s v="Long Liquidation"/>
    <s v="DOWN"/>
    <n v="940"/>
    <n v="7340"/>
    <n v="-160"/>
    <s v="undefined"/>
    <n v="-124.60000000000002"/>
    <n v="611"/>
    <x v="18"/>
    <n v="0.85"/>
    <n v="-3.2499999999999996"/>
    <s v="error"/>
    <n v="9360"/>
    <n v="376760"/>
    <n v="462740"/>
    <s v="UP"/>
    <s v="Short Buildup"/>
    <n v="31412.25"/>
  </r>
  <r>
    <x v="7"/>
    <s v="Short Buildup"/>
    <s v="UP"/>
    <n v="2560"/>
    <n v="6380"/>
    <n v="140"/>
    <s v="undefined"/>
    <n v="-139.14999999999998"/>
    <n v="494.4"/>
    <x v="19"/>
    <n v="1.6"/>
    <n v="-3.9"/>
    <s v="error"/>
    <n v="129100"/>
    <n v="494980"/>
    <n v="895600"/>
    <s v="UP"/>
    <s v="Short Buildup"/>
    <n v="31412.25"/>
  </r>
  <r>
    <x v="7"/>
    <s v="Short Buildup"/>
    <s v="UP"/>
    <n v="55700"/>
    <n v="99780"/>
    <n v="11560"/>
    <s v="undefined"/>
    <n v="-151.85000000000002"/>
    <n v="393"/>
    <x v="20"/>
    <n v="3.05"/>
    <n v="-4.3500000000000005"/>
    <s v="error"/>
    <n v="564500"/>
    <n v="1375100"/>
    <n v="2495440"/>
    <s v="UP"/>
    <s v="Short Buildup"/>
    <n v="31412.25"/>
  </r>
  <r>
    <x v="7"/>
    <s v="Short Buildup"/>
    <s v="UP"/>
    <n v="44040"/>
    <n v="39420"/>
    <n v="8760"/>
    <s v="undefined"/>
    <n v="-148.14999999999998"/>
    <n v="297"/>
    <x v="21"/>
    <n v="6.6"/>
    <n v="-3.5500000000000007"/>
    <s v="error"/>
    <n v="402240"/>
    <n v="920940"/>
    <n v="2927540"/>
    <s v="UP"/>
    <s v="Short Buildup"/>
    <n v="31412.25"/>
  </r>
  <r>
    <x v="7"/>
    <s v="Short Buildup"/>
    <s v="UP"/>
    <n v="437880"/>
    <n v="198200"/>
    <n v="66480"/>
    <s v="undefined"/>
    <n v="-140.5"/>
    <n v="209.95"/>
    <x v="22"/>
    <n v="17.25"/>
    <n v="-0.14999999999999858"/>
    <s v="error"/>
    <n v="613580"/>
    <n v="1139520"/>
    <n v="3884340"/>
    <s v="UP"/>
    <s v="Short Buildup"/>
    <n v="31412.25"/>
  </r>
  <r>
    <x v="7"/>
    <s v="Short Buildup"/>
    <s v="UP"/>
    <n v="730300"/>
    <n v="209660"/>
    <s v="z"/>
    <s v="error"/>
    <n v="-133.65"/>
    <n v="131.9"/>
    <x v="23"/>
    <n v="40.049999999999997"/>
    <n v="9.0999999999999979"/>
    <s v="error"/>
    <n v="507220"/>
    <n v="1157720"/>
    <n v="4559360"/>
    <s v="UP"/>
    <s v="Long Buildup"/>
    <n v="31412.25"/>
  </r>
  <r>
    <x v="7"/>
    <s v="Short Buildup"/>
    <s v="UP"/>
    <n v="2383160"/>
    <n v="607220"/>
    <n v="422920"/>
    <s v="error"/>
    <n v="-115.2"/>
    <n v="73.8"/>
    <x v="24"/>
    <n v="82.6"/>
    <n v="28.649999999999991"/>
    <s v="error"/>
    <n v="355220"/>
    <n v="911440"/>
    <n v="3844800"/>
    <s v="UP"/>
    <s v="Long Buildup"/>
    <n v="31412.25"/>
  </r>
  <r>
    <x v="7"/>
    <s v="Short Buildup"/>
    <s v="UP"/>
    <n v="5074020"/>
    <n v="1898660"/>
    <n v="1120120"/>
    <s v="error"/>
    <n v="-89.6"/>
    <n v="36.85"/>
    <x v="25"/>
    <n v="144.9"/>
    <n v="54.75"/>
    <s v="error"/>
    <n v="113040"/>
    <n v="743520"/>
    <n v="2653600"/>
    <s v="UP"/>
    <s v="Long Buildup"/>
    <n v="31412.25"/>
  </r>
  <r>
    <x v="7"/>
    <s v="Short Buildup"/>
    <s v="UP"/>
    <n v="4257540"/>
    <n v="1291680"/>
    <n v="672020"/>
    <s v="error"/>
    <n v="-63.5"/>
    <n v="14.95"/>
    <x v="26"/>
    <n v="223.5"/>
    <n v="81.400000000000006"/>
    <s v="error"/>
    <n v="77440"/>
    <n v="171680"/>
    <n v="827220"/>
    <s v="UP"/>
    <s v="Long Buildup"/>
    <n v="31412.25"/>
  </r>
  <r>
    <x v="7"/>
    <s v="Short Buildup"/>
    <s v="UP"/>
    <n v="4031720"/>
    <n v="1209660"/>
    <n v="574400"/>
    <s v="error"/>
    <n v="-38.900000000000006"/>
    <n v="5.55"/>
    <x v="27"/>
    <n v="313.3"/>
    <n v="103.9"/>
    <s v="error"/>
    <n v="28860"/>
    <n v="78620"/>
    <n v="382600"/>
    <s v="UP"/>
    <s v="Long Buildup"/>
    <n v="31412.25"/>
  </r>
  <r>
    <x v="7"/>
    <s v="Short Buildup"/>
    <s v="UP"/>
    <n v="2962820"/>
    <n v="954580"/>
    <n v="369200"/>
    <s v="error"/>
    <n v="-21.2"/>
    <n v="2.2999999999999998"/>
    <x v="28"/>
    <n v="411.55"/>
    <n v="126.19999999999999"/>
    <s v="error"/>
    <n v="15820"/>
    <n v="30800"/>
    <n v="152120"/>
    <s v="UP"/>
    <s v="Long Buildup"/>
    <n v="31412.25"/>
  </r>
  <r>
    <x v="7"/>
    <s v="Short Buildup"/>
    <s v="UP"/>
    <n v="2143340"/>
    <n v="531060"/>
    <n v="19260"/>
    <s v="error"/>
    <n v="-9.9499999999999993"/>
    <n v="1.1499999999999999"/>
    <x v="29"/>
    <n v="510.85"/>
    <n v="134.15000000000003"/>
    <s v="error"/>
    <n v="2380"/>
    <n v="7920"/>
    <n v="26940"/>
    <s v="UP"/>
    <s v="Long Buildup"/>
    <n v="31412.25"/>
  </r>
  <r>
    <x v="7"/>
    <s v="Short Buildup"/>
    <s v="UP"/>
    <n v="1747780"/>
    <n v="751800"/>
    <n v="140140"/>
    <s v="error"/>
    <n v="-5.2"/>
    <n v="0.8"/>
    <x v="30"/>
    <n v="611.9"/>
    <n v="141.39999999999998"/>
    <s v="error"/>
    <n v="-360"/>
    <n v="11760"/>
    <n v="17660"/>
    <s v="DOWN"/>
    <s v="Short covering"/>
    <n v="31412.25"/>
  </r>
  <r>
    <x v="7"/>
    <s v="Long Liquidation"/>
    <s v="DOWN"/>
    <n v="415120"/>
    <n v="147820"/>
    <n v="-2660"/>
    <s v="error"/>
    <n v="-2.5499999999999998"/>
    <n v="0.6"/>
    <x v="31"/>
    <n v="680.25"/>
    <n v="105.25"/>
    <s v="undefined"/>
    <n v="0"/>
    <n v="240"/>
    <n v="40"/>
    <s v="DOWN"/>
    <b v="0"/>
    <n v="31412.25"/>
  </r>
  <r>
    <x v="7"/>
    <n v="0.98213138451654358"/>
    <m/>
    <m/>
    <n v="7969280"/>
    <m/>
    <m/>
    <m/>
    <m/>
    <x v="16"/>
    <m/>
    <m/>
    <m/>
    <m/>
    <n v="7826880"/>
    <m/>
    <m/>
    <m/>
    <m/>
  </r>
  <r>
    <x v="7"/>
    <s v="Long Liquidation"/>
    <s v="DOWN"/>
    <n v="620"/>
    <n v="4240"/>
    <n v="-300"/>
    <s v="undefined"/>
    <n v="-141.60000000000002"/>
    <n v="791.1"/>
    <x v="33"/>
    <n v="0.5"/>
    <n v="-2.5"/>
    <s v="error"/>
    <n v="3140"/>
    <n v="202380"/>
    <n v="109680"/>
    <s v="UP"/>
    <s v="Short Buildup"/>
    <n v="31412.25"/>
  </r>
  <r>
    <x v="7"/>
    <s v="Long Liquidation"/>
    <s v="DOWN"/>
    <n v="940"/>
    <n v="11780"/>
    <n v="-40"/>
    <s v="undefined"/>
    <n v="-144.89999999999998"/>
    <n v="691.1"/>
    <x v="17"/>
    <n v="0.7"/>
    <n v="-2.9000000000000004"/>
    <s v="error"/>
    <n v="13300"/>
    <n v="203500"/>
    <n v="226520"/>
    <s v="UP"/>
    <s v="Short Buildup"/>
    <n v="31412.25"/>
  </r>
  <r>
    <x v="7"/>
    <s v="Long Liquidation"/>
    <s v="DOWN"/>
    <n v="940"/>
    <n v="7340"/>
    <n v="-160"/>
    <s v="undefined"/>
    <n v="-124.60000000000002"/>
    <n v="611"/>
    <x v="18"/>
    <n v="0.85"/>
    <n v="-3.2499999999999996"/>
    <s v="error"/>
    <n v="9360"/>
    <n v="376760"/>
    <n v="462740"/>
    <s v="UP"/>
    <s v="Short Buildup"/>
    <n v="31412.25"/>
  </r>
  <r>
    <x v="7"/>
    <s v="Short Buildup"/>
    <s v="UP"/>
    <n v="2560"/>
    <n v="6380"/>
    <n v="140"/>
    <s v="undefined"/>
    <n v="-139.14999999999998"/>
    <n v="494.4"/>
    <x v="19"/>
    <n v="1.6"/>
    <n v="-3.9"/>
    <s v="error"/>
    <n v="129100"/>
    <n v="494980"/>
    <n v="895600"/>
    <s v="UP"/>
    <s v="Short Buildup"/>
    <n v="31412.25"/>
  </r>
  <r>
    <x v="7"/>
    <s v="Short Buildup"/>
    <s v="UP"/>
    <n v="55700"/>
    <n v="99780"/>
    <n v="11560"/>
    <s v="undefined"/>
    <n v="-151.85000000000002"/>
    <n v="393"/>
    <x v="20"/>
    <n v="3.05"/>
    <n v="-4.3500000000000005"/>
    <s v="error"/>
    <n v="564500"/>
    <n v="1375100"/>
    <n v="2495440"/>
    <s v="UP"/>
    <s v="Short Buildup"/>
    <n v="31412.25"/>
  </r>
  <r>
    <x v="7"/>
    <s v="Short Buildup"/>
    <s v="UP"/>
    <n v="44040"/>
    <n v="39420"/>
    <n v="8760"/>
    <s v="undefined"/>
    <n v="-148.14999999999998"/>
    <n v="297"/>
    <x v="21"/>
    <n v="6.6"/>
    <n v="-3.5500000000000007"/>
    <s v="error"/>
    <n v="402240"/>
    <n v="920940"/>
    <n v="2927540"/>
    <s v="UP"/>
    <s v="Short Buildup"/>
    <n v="31412.25"/>
  </r>
  <r>
    <x v="7"/>
    <s v="Short Buildup"/>
    <s v="UP"/>
    <n v="437880"/>
    <n v="198200"/>
    <n v="66480"/>
    <s v="undefined"/>
    <n v="-140.5"/>
    <n v="209.95"/>
    <x v="22"/>
    <n v="17.25"/>
    <n v="-0.14999999999999858"/>
    <s v="error"/>
    <n v="613580"/>
    <n v="1139520"/>
    <n v="3884340"/>
    <s v="UP"/>
    <s v="Short Buildup"/>
    <n v="31412.25"/>
  </r>
  <r>
    <x v="7"/>
    <s v="Short Buildup"/>
    <s v="UP"/>
    <n v="730300"/>
    <n v="209660"/>
    <s v="z"/>
    <s v="error"/>
    <n v="-133.65"/>
    <n v="131.9"/>
    <x v="23"/>
    <n v="40.049999999999997"/>
    <n v="9.0999999999999979"/>
    <s v="error"/>
    <n v="507220"/>
    <n v="1157720"/>
    <n v="4559360"/>
    <s v="UP"/>
    <s v="Long Buildup"/>
    <n v="31412.25"/>
  </r>
  <r>
    <x v="7"/>
    <s v="Short Buildup"/>
    <s v="UP"/>
    <n v="2383160"/>
    <n v="607220"/>
    <n v="422920"/>
    <s v="error"/>
    <n v="-115.2"/>
    <n v="73.8"/>
    <x v="24"/>
    <n v="82.6"/>
    <n v="28.649999999999991"/>
    <s v="error"/>
    <n v="355220"/>
    <n v="911440"/>
    <n v="3844800"/>
    <s v="UP"/>
    <s v="Long Buildup"/>
    <n v="31412.25"/>
  </r>
  <r>
    <x v="7"/>
    <s v="Short Buildup"/>
    <s v="UP"/>
    <n v="5074020"/>
    <n v="1898660"/>
    <n v="1120120"/>
    <s v="error"/>
    <n v="-89.6"/>
    <n v="36.85"/>
    <x v="25"/>
    <n v="144.9"/>
    <n v="54.75"/>
    <s v="error"/>
    <n v="113040"/>
    <n v="743520"/>
    <n v="2653600"/>
    <s v="UP"/>
    <s v="Long Buildup"/>
    <n v="31412.25"/>
  </r>
  <r>
    <x v="7"/>
    <s v="Short Buildup"/>
    <s v="UP"/>
    <n v="4257540"/>
    <n v="1291680"/>
    <n v="672020"/>
    <s v="error"/>
    <n v="-63.5"/>
    <n v="14.95"/>
    <x v="26"/>
    <n v="223.5"/>
    <n v="81.400000000000006"/>
    <s v="error"/>
    <n v="77440"/>
    <n v="171680"/>
    <n v="827220"/>
    <s v="UP"/>
    <s v="Long Buildup"/>
    <n v="31412.25"/>
  </r>
  <r>
    <x v="7"/>
    <s v="Short Buildup"/>
    <s v="UP"/>
    <n v="4031720"/>
    <n v="1209660"/>
    <n v="574400"/>
    <s v="error"/>
    <n v="-38.900000000000006"/>
    <n v="5.55"/>
    <x v="27"/>
    <n v="313.3"/>
    <n v="103.9"/>
    <s v="error"/>
    <n v="28860"/>
    <n v="78620"/>
    <n v="382600"/>
    <s v="UP"/>
    <s v="Long Buildup"/>
    <n v="31412.25"/>
  </r>
  <r>
    <x v="7"/>
    <s v="Short Buildup"/>
    <s v="UP"/>
    <n v="2962820"/>
    <n v="954580"/>
    <n v="369200"/>
    <s v="error"/>
    <n v="-21.2"/>
    <n v="2.2999999999999998"/>
    <x v="28"/>
    <n v="411.55"/>
    <n v="126.19999999999999"/>
    <s v="error"/>
    <n v="15820"/>
    <n v="30800"/>
    <n v="152120"/>
    <s v="UP"/>
    <s v="Long Buildup"/>
    <n v="31412.25"/>
  </r>
  <r>
    <x v="7"/>
    <s v="Short Buildup"/>
    <s v="UP"/>
    <n v="2143340"/>
    <n v="531060"/>
    <n v="19260"/>
    <s v="error"/>
    <n v="-9.9499999999999993"/>
    <n v="1.1499999999999999"/>
    <x v="29"/>
    <n v="510.85"/>
    <n v="134.15000000000003"/>
    <s v="error"/>
    <n v="2380"/>
    <n v="7920"/>
    <n v="26940"/>
    <s v="UP"/>
    <s v="Long Buildup"/>
    <n v="31412.25"/>
  </r>
  <r>
    <x v="7"/>
    <s v="Short Buildup"/>
    <s v="UP"/>
    <n v="1747780"/>
    <n v="751800"/>
    <n v="140140"/>
    <s v="error"/>
    <n v="-5.2"/>
    <n v="0.8"/>
    <x v="30"/>
    <n v="611.9"/>
    <n v="141.39999999999998"/>
    <s v="error"/>
    <n v="-360"/>
    <n v="11760"/>
    <n v="17660"/>
    <s v="DOWN"/>
    <s v="Short covering"/>
    <n v="31412.25"/>
  </r>
  <r>
    <x v="7"/>
    <s v="Long Liquidation"/>
    <s v="DOWN"/>
    <n v="415120"/>
    <n v="147820"/>
    <n v="-2660"/>
    <s v="error"/>
    <n v="-2.5499999999999998"/>
    <n v="0.6"/>
    <x v="31"/>
    <n v="680.25"/>
    <n v="105.25"/>
    <s v="undefined"/>
    <n v="0"/>
    <n v="240"/>
    <n v="40"/>
    <s v="DOWN"/>
    <b v="0"/>
    <n v="31412.25"/>
  </r>
  <r>
    <x v="7"/>
    <n v="0.98213138451654358"/>
    <m/>
    <m/>
    <n v="7969280"/>
    <m/>
    <m/>
    <m/>
    <m/>
    <x v="16"/>
    <m/>
    <m/>
    <m/>
    <m/>
    <n v="7826880"/>
    <m/>
    <m/>
    <m/>
    <m/>
  </r>
  <r>
    <x v="8"/>
    <s v="Long Liquidation"/>
    <s v="DOWN"/>
    <n v="620"/>
    <n v="4240"/>
    <n v="-300"/>
    <s v="undefined"/>
    <n v="-141.60000000000002"/>
    <n v="791.1"/>
    <x v="33"/>
    <n v="0.5"/>
    <n v="-2.5"/>
    <s v="error"/>
    <n v="4000"/>
    <n v="203240"/>
    <n v="116840"/>
    <s v="UP"/>
    <s v="Short Buildup"/>
    <n v="31411"/>
  </r>
  <r>
    <x v="8"/>
    <s v="Long Liquidation"/>
    <s v="DOWN"/>
    <n v="1040"/>
    <n v="11780"/>
    <n v="-40"/>
    <s v="undefined"/>
    <n v="-141"/>
    <n v="695"/>
    <x v="17"/>
    <n v="0.7"/>
    <n v="-2.9000000000000004"/>
    <s v="error"/>
    <n v="16760"/>
    <n v="206960"/>
    <n v="242120"/>
    <s v="UP"/>
    <s v="Short Buildup"/>
    <n v="31411"/>
  </r>
  <r>
    <x v="8"/>
    <s v="Long Liquidation"/>
    <s v="DOWN"/>
    <n v="980"/>
    <n v="7300"/>
    <n v="-200"/>
    <s v="undefined"/>
    <n v="-140.60000000000002"/>
    <n v="595"/>
    <x v="18"/>
    <n v="1"/>
    <n v="-3.0999999999999996"/>
    <s v="error"/>
    <n v="12500"/>
    <n v="379900"/>
    <n v="501200"/>
    <s v="UP"/>
    <s v="Short Buildup"/>
    <n v="31411"/>
  </r>
  <r>
    <x v="8"/>
    <s v="Short Buildup"/>
    <s v="UP"/>
    <n v="2640"/>
    <n v="6400"/>
    <n v="160"/>
    <s v="undefined"/>
    <n v="-137.59999999999997"/>
    <n v="495.95"/>
    <x v="19"/>
    <n v="1.75"/>
    <n v="-3.75"/>
    <s v="error"/>
    <n v="127300"/>
    <n v="493180"/>
    <n v="973260"/>
    <s v="UP"/>
    <s v="Short Buildup"/>
    <n v="31411"/>
  </r>
  <r>
    <x v="8"/>
    <s v="Short Buildup"/>
    <s v="UP"/>
    <n v="63500"/>
    <n v="102020"/>
    <n v="13800"/>
    <s v="undefined"/>
    <n v="-149.70000000000005"/>
    <n v="395.15"/>
    <x v="20"/>
    <n v="3.5"/>
    <n v="-3.9000000000000004"/>
    <s v="error"/>
    <n v="617640"/>
    <n v="1428240"/>
    <n v="2777060"/>
    <s v="UP"/>
    <s v="Short Buildup"/>
    <n v="31411"/>
  </r>
  <r>
    <x v="8"/>
    <s v="Short Buildup"/>
    <s v="UP"/>
    <n v="50220"/>
    <n v="39540"/>
    <n v="8880"/>
    <s v="undefined"/>
    <n v="-146.64999999999998"/>
    <n v="298.5"/>
    <x v="21"/>
    <n v="6.85"/>
    <n v="-3.3000000000000007"/>
    <s v="error"/>
    <n v="424180"/>
    <n v="942880"/>
    <n v="3169080"/>
    <s v="UP"/>
    <s v="Short Buildup"/>
    <n v="31411"/>
  </r>
  <r>
    <x v="8"/>
    <s v="Short Buildup"/>
    <s v="UP"/>
    <n v="506560"/>
    <n v="213300"/>
    <n v="81580"/>
    <s v="undefined"/>
    <n v="-142.6"/>
    <n v="207.85"/>
    <x v="22"/>
    <n v="16.7"/>
    <n v="-0.69999999999999929"/>
    <s v="error"/>
    <n v="641100"/>
    <n v="1167040"/>
    <n v="4258380"/>
    <s v="UP"/>
    <s v="Short Buildup"/>
    <n v="31411"/>
  </r>
  <r>
    <x v="8"/>
    <s v="Short Buildup"/>
    <s v="UP"/>
    <n v="839060"/>
    <n v="223960"/>
    <s v="z"/>
    <s v="error"/>
    <n v="-135.5"/>
    <n v="130.05000000000001"/>
    <x v="23"/>
    <n v="39.9"/>
    <n v="8.9499999999999993"/>
    <s v="error"/>
    <n v="519860"/>
    <n v="1170360"/>
    <n v="4974320"/>
    <s v="UP"/>
    <s v="Long Buildup"/>
    <n v="31411"/>
  </r>
  <r>
    <x v="8"/>
    <s v="Short Buildup"/>
    <s v="UP"/>
    <n v="2758500"/>
    <n v="700640"/>
    <n v="516340"/>
    <s v="error"/>
    <n v="-116.55"/>
    <n v="72.45"/>
    <x v="24"/>
    <n v="82.35"/>
    <n v="28.399999999999991"/>
    <s v="error"/>
    <n v="323840"/>
    <n v="880060"/>
    <n v="4216080"/>
    <s v="UP"/>
    <s v="Long Buildup"/>
    <n v="31411"/>
  </r>
  <r>
    <x v="8"/>
    <s v="Short Buildup"/>
    <s v="UP"/>
    <n v="5668720"/>
    <n v="1987600"/>
    <n v="1209060"/>
    <s v="error"/>
    <n v="-90.9"/>
    <n v="35.549999999999997"/>
    <x v="25"/>
    <n v="144.9"/>
    <n v="54.75"/>
    <s v="error"/>
    <n v="84840"/>
    <n v="715320"/>
    <n v="2872320"/>
    <s v="UP"/>
    <s v="Long Buildup"/>
    <n v="31411"/>
  </r>
  <r>
    <x v="8"/>
    <s v="Short Buildup"/>
    <s v="UP"/>
    <n v="4789220"/>
    <n v="1367980"/>
    <n v="748320"/>
    <s v="error"/>
    <n v="-63.900000000000006"/>
    <n v="14.55"/>
    <x v="26"/>
    <n v="223.95"/>
    <n v="81.849999999999994"/>
    <s v="error"/>
    <n v="59080"/>
    <n v="153320"/>
    <n v="882720"/>
    <s v="UP"/>
    <s v="Long Buildup"/>
    <n v="31411"/>
  </r>
  <r>
    <x v="8"/>
    <s v="Short Buildup"/>
    <s v="UP"/>
    <n v="4469240"/>
    <n v="1184880"/>
    <n v="549620"/>
    <s v="error"/>
    <n v="-38.650000000000006"/>
    <n v="5.8"/>
    <x v="27"/>
    <n v="316.3"/>
    <n v="106.9"/>
    <s v="error"/>
    <n v="17340"/>
    <n v="67100"/>
    <n v="423240"/>
    <s v="UP"/>
    <s v="Long Buildup"/>
    <n v="31411"/>
  </r>
  <r>
    <x v="8"/>
    <s v="Short Buildup"/>
    <s v="UP"/>
    <n v="3284760"/>
    <n v="910580"/>
    <n v="325200"/>
    <s v="error"/>
    <n v="-21.25"/>
    <n v="2.25"/>
    <x v="28"/>
    <n v="410.75"/>
    <n v="125.39999999999998"/>
    <s v="error"/>
    <n v="11800"/>
    <n v="26780"/>
    <n v="159540"/>
    <s v="UP"/>
    <s v="Long Buildup"/>
    <n v="31411"/>
  </r>
  <r>
    <x v="8"/>
    <s v="Long Liquidation"/>
    <s v="DOWN"/>
    <n v="2247800"/>
    <n v="508980"/>
    <n v="-2820"/>
    <s v="error"/>
    <n v="-9.85"/>
    <n v="1.25"/>
    <x v="29"/>
    <n v="509.4"/>
    <n v="132.69999999999999"/>
    <s v="error"/>
    <n v="1980"/>
    <n v="7520"/>
    <n v="27880"/>
    <s v="UP"/>
    <s v="Long Buildup"/>
    <n v="31411"/>
  </r>
  <r>
    <x v="8"/>
    <s v="Short Buildup"/>
    <s v="UP"/>
    <n v="2582980"/>
    <n v="789820"/>
    <n v="178160"/>
    <s v="error"/>
    <n v="-5.15"/>
    <n v="0.85"/>
    <x v="30"/>
    <n v="608.9"/>
    <n v="138.39999999999998"/>
    <s v="error"/>
    <n v="520"/>
    <n v="12640"/>
    <n v="18000"/>
    <s v="UP"/>
    <s v="Long Buildup"/>
    <n v="31411"/>
  </r>
  <r>
    <x v="8"/>
    <s v="Long Liquidation"/>
    <s v="DOWN"/>
    <n v="420460"/>
    <n v="149000"/>
    <n v="-1480"/>
    <s v="error"/>
    <n v="-2.5999999999999996"/>
    <n v="0.55000000000000004"/>
    <x v="31"/>
    <n v="680.25"/>
    <n v="105.25"/>
    <s v="undefined"/>
    <n v="0"/>
    <n v="240"/>
    <n v="40"/>
    <s v="DOWN"/>
    <b v="0"/>
    <n v="31411"/>
  </r>
  <r>
    <x v="8"/>
    <n v="0.95696404248527656"/>
    <m/>
    <m/>
    <n v="8208020"/>
    <m/>
    <m/>
    <m/>
    <m/>
    <x v="16"/>
    <m/>
    <m/>
    <m/>
    <m/>
    <n v="7854780"/>
    <m/>
    <m/>
    <m/>
    <m/>
  </r>
  <r>
    <x v="8"/>
    <s v="Long Liquidation"/>
    <s v="DOWN"/>
    <n v="620"/>
    <n v="4240"/>
    <n v="-300"/>
    <s v="undefined"/>
    <n v="-141.60000000000002"/>
    <n v="791.1"/>
    <x v="33"/>
    <n v="0.5"/>
    <n v="-2.5"/>
    <s v="error"/>
    <n v="4000"/>
    <n v="203240"/>
    <n v="116840"/>
    <s v="UP"/>
    <s v="Short Buildup"/>
    <n v="31411"/>
  </r>
  <r>
    <x v="8"/>
    <s v="Long Liquidation"/>
    <s v="DOWN"/>
    <n v="1040"/>
    <n v="11780"/>
    <n v="-40"/>
    <s v="undefined"/>
    <n v="-141"/>
    <n v="695"/>
    <x v="17"/>
    <n v="0.7"/>
    <n v="-2.9000000000000004"/>
    <s v="error"/>
    <n v="16760"/>
    <n v="206960"/>
    <n v="242120"/>
    <s v="UP"/>
    <s v="Short Buildup"/>
    <n v="31411"/>
  </r>
  <r>
    <x v="8"/>
    <s v="Long Liquidation"/>
    <s v="DOWN"/>
    <n v="980"/>
    <n v="7300"/>
    <n v="-200"/>
    <s v="undefined"/>
    <n v="-140.60000000000002"/>
    <n v="595"/>
    <x v="18"/>
    <n v="1"/>
    <n v="-3.0999999999999996"/>
    <s v="error"/>
    <n v="12500"/>
    <n v="379900"/>
    <n v="501200"/>
    <s v="UP"/>
    <s v="Short Buildup"/>
    <n v="31411"/>
  </r>
  <r>
    <x v="8"/>
    <s v="Short Buildup"/>
    <s v="UP"/>
    <n v="2640"/>
    <n v="6400"/>
    <n v="160"/>
    <s v="undefined"/>
    <n v="-137.59999999999997"/>
    <n v="495.95"/>
    <x v="19"/>
    <n v="1.75"/>
    <n v="-3.75"/>
    <s v="error"/>
    <n v="127300"/>
    <n v="493180"/>
    <n v="973260"/>
    <s v="UP"/>
    <s v="Short Buildup"/>
    <n v="31411"/>
  </r>
  <r>
    <x v="8"/>
    <s v="Short Buildup"/>
    <s v="UP"/>
    <n v="63500"/>
    <n v="102020"/>
    <n v="13800"/>
    <s v="undefined"/>
    <n v="-149.70000000000005"/>
    <n v="395.15"/>
    <x v="20"/>
    <n v="3.5"/>
    <n v="-3.9000000000000004"/>
    <s v="error"/>
    <n v="617640"/>
    <n v="1428240"/>
    <n v="2777060"/>
    <s v="UP"/>
    <s v="Short Buildup"/>
    <n v="31411"/>
  </r>
  <r>
    <x v="8"/>
    <s v="Short Buildup"/>
    <s v="UP"/>
    <n v="50220"/>
    <n v="39540"/>
    <n v="8880"/>
    <s v="undefined"/>
    <n v="-146.64999999999998"/>
    <n v="298.5"/>
    <x v="21"/>
    <n v="6.85"/>
    <n v="-3.3000000000000007"/>
    <s v="error"/>
    <n v="424180"/>
    <n v="942880"/>
    <n v="3169080"/>
    <s v="UP"/>
    <s v="Short Buildup"/>
    <n v="31411"/>
  </r>
  <r>
    <x v="8"/>
    <s v="Short Buildup"/>
    <s v="UP"/>
    <n v="506560"/>
    <n v="213300"/>
    <n v="81580"/>
    <s v="undefined"/>
    <n v="-142.6"/>
    <n v="207.85"/>
    <x v="22"/>
    <n v="16.7"/>
    <n v="-0.69999999999999929"/>
    <s v="error"/>
    <n v="641100"/>
    <n v="1167040"/>
    <n v="4258380"/>
    <s v="UP"/>
    <s v="Short Buildup"/>
    <n v="31411"/>
  </r>
  <r>
    <x v="8"/>
    <s v="Short Buildup"/>
    <s v="UP"/>
    <n v="839060"/>
    <n v="223960"/>
    <s v="z"/>
    <s v="error"/>
    <n v="-135.5"/>
    <n v="130.05000000000001"/>
    <x v="23"/>
    <n v="39.9"/>
    <n v="8.9499999999999993"/>
    <s v="error"/>
    <n v="519860"/>
    <n v="1170360"/>
    <n v="4974320"/>
    <s v="UP"/>
    <s v="Long Buildup"/>
    <n v="31411"/>
  </r>
  <r>
    <x v="8"/>
    <s v="Short Buildup"/>
    <s v="UP"/>
    <n v="2758500"/>
    <n v="700640"/>
    <n v="516340"/>
    <s v="error"/>
    <n v="-116.55"/>
    <n v="72.45"/>
    <x v="24"/>
    <n v="82.35"/>
    <n v="28.399999999999991"/>
    <s v="error"/>
    <n v="323840"/>
    <n v="880060"/>
    <n v="4216080"/>
    <s v="UP"/>
    <s v="Long Buildup"/>
    <n v="31411"/>
  </r>
  <r>
    <x v="8"/>
    <s v="Short Buildup"/>
    <s v="UP"/>
    <n v="5668720"/>
    <n v="1987600"/>
    <n v="1209060"/>
    <s v="error"/>
    <n v="-90.9"/>
    <n v="35.549999999999997"/>
    <x v="25"/>
    <n v="144.9"/>
    <n v="54.75"/>
    <s v="error"/>
    <n v="84840"/>
    <n v="715320"/>
    <n v="2872320"/>
    <s v="UP"/>
    <s v="Long Buildup"/>
    <n v="31411"/>
  </r>
  <r>
    <x v="8"/>
    <s v="Short Buildup"/>
    <s v="UP"/>
    <n v="4789220"/>
    <n v="1367980"/>
    <n v="748320"/>
    <s v="error"/>
    <n v="-63.900000000000006"/>
    <n v="14.55"/>
    <x v="26"/>
    <n v="223.95"/>
    <n v="81.849999999999994"/>
    <s v="error"/>
    <n v="59080"/>
    <n v="153320"/>
    <n v="882720"/>
    <s v="UP"/>
    <s v="Long Buildup"/>
    <n v="31411"/>
  </r>
  <r>
    <x v="8"/>
    <s v="Short Buildup"/>
    <s v="UP"/>
    <n v="4469240"/>
    <n v="1184880"/>
    <n v="549620"/>
    <s v="error"/>
    <n v="-38.650000000000006"/>
    <n v="5.8"/>
    <x v="27"/>
    <n v="316.3"/>
    <n v="106.9"/>
    <s v="error"/>
    <n v="17340"/>
    <n v="67100"/>
    <n v="423240"/>
    <s v="UP"/>
    <s v="Long Buildup"/>
    <n v="31411"/>
  </r>
  <r>
    <x v="8"/>
    <s v="Short Buildup"/>
    <s v="UP"/>
    <n v="3284760"/>
    <n v="910580"/>
    <n v="325200"/>
    <s v="error"/>
    <n v="-21.25"/>
    <n v="2.25"/>
    <x v="28"/>
    <n v="410.75"/>
    <n v="125.39999999999998"/>
    <s v="error"/>
    <n v="11800"/>
    <n v="26780"/>
    <n v="159540"/>
    <s v="UP"/>
    <s v="Long Buildup"/>
    <n v="31411"/>
  </r>
  <r>
    <x v="8"/>
    <s v="Long Liquidation"/>
    <s v="DOWN"/>
    <n v="2247800"/>
    <n v="508980"/>
    <n v="-2820"/>
    <s v="error"/>
    <n v="-9.85"/>
    <n v="1.25"/>
    <x v="29"/>
    <n v="509.4"/>
    <n v="132.69999999999999"/>
    <s v="error"/>
    <n v="1980"/>
    <n v="7520"/>
    <n v="27880"/>
    <s v="UP"/>
    <s v="Long Buildup"/>
    <n v="31411"/>
  </r>
  <r>
    <x v="8"/>
    <s v="Short Buildup"/>
    <s v="UP"/>
    <n v="2582980"/>
    <n v="789820"/>
    <n v="178160"/>
    <s v="error"/>
    <n v="-5.15"/>
    <n v="0.85"/>
    <x v="30"/>
    <n v="608.9"/>
    <n v="138.39999999999998"/>
    <s v="error"/>
    <n v="520"/>
    <n v="12640"/>
    <n v="18000"/>
    <s v="UP"/>
    <s v="Long Buildup"/>
    <n v="31411"/>
  </r>
  <r>
    <x v="8"/>
    <s v="Long Liquidation"/>
    <s v="DOWN"/>
    <n v="420460"/>
    <n v="149000"/>
    <n v="-1480"/>
    <s v="error"/>
    <n v="-2.5999999999999996"/>
    <n v="0.55000000000000004"/>
    <x v="31"/>
    <n v="680.25"/>
    <n v="105.25"/>
    <s v="undefined"/>
    <n v="0"/>
    <n v="240"/>
    <n v="40"/>
    <s v="DOWN"/>
    <b v="0"/>
    <n v="31411"/>
  </r>
  <r>
    <x v="8"/>
    <n v="0.95696404248527656"/>
    <m/>
    <m/>
    <n v="8208020"/>
    <m/>
    <m/>
    <m/>
    <m/>
    <x v="16"/>
    <m/>
    <m/>
    <m/>
    <m/>
    <n v="7854780"/>
    <m/>
    <m/>
    <m/>
    <m/>
  </r>
  <r>
    <x v="9"/>
    <s v="Long Liquidation"/>
    <s v="DOWN"/>
    <n v="620"/>
    <n v="4240"/>
    <n v="-300"/>
    <s v="undefined"/>
    <n v="-141.60000000000002"/>
    <n v="791.1"/>
    <x v="33"/>
    <n v="0.6"/>
    <n v="-2.4"/>
    <s v="error"/>
    <n v="100"/>
    <n v="199340"/>
    <n v="119360"/>
    <s v="UP"/>
    <s v="Short Buildup"/>
    <n v="31396"/>
  </r>
  <r>
    <x v="9"/>
    <s v="Short Buildup"/>
    <s v="UP"/>
    <n v="1120"/>
    <n v="11860"/>
    <n v="40"/>
    <s v="undefined"/>
    <n v="-147.29999999999995"/>
    <n v="688.7"/>
    <x v="17"/>
    <n v="0.75"/>
    <n v="-2.85"/>
    <s v="error"/>
    <n v="22140"/>
    <n v="212340"/>
    <n v="248000"/>
    <s v="UP"/>
    <s v="Short Buildup"/>
    <n v="31396"/>
  </r>
  <r>
    <x v="9"/>
    <s v="Long Liquidation"/>
    <s v="DOWN"/>
    <n v="1160"/>
    <n v="7280"/>
    <n v="-220"/>
    <s v="undefined"/>
    <n v="-149.35000000000002"/>
    <n v="586.25"/>
    <x v="18"/>
    <n v="0.95"/>
    <n v="-3.1499999999999995"/>
    <s v="error"/>
    <n v="11020"/>
    <n v="378420"/>
    <n v="543500"/>
    <s v="UP"/>
    <s v="Short Buildup"/>
    <n v="31396"/>
  </r>
  <r>
    <x v="9"/>
    <s v="Short Buildup"/>
    <s v="UP"/>
    <n v="2800"/>
    <n v="6380"/>
    <n v="140"/>
    <s v="undefined"/>
    <n v="-147.49999999999994"/>
    <n v="486.05"/>
    <x v="19"/>
    <n v="1.7"/>
    <n v="-3.8"/>
    <s v="error"/>
    <n v="154740"/>
    <n v="520620"/>
    <n v="1046980"/>
    <s v="UP"/>
    <s v="Short Buildup"/>
    <n v="31396"/>
  </r>
  <r>
    <x v="9"/>
    <s v="Short Buildup"/>
    <s v="UP"/>
    <n v="74400"/>
    <n v="103920"/>
    <n v="15700"/>
    <s v="undefined"/>
    <n v="-159.65000000000003"/>
    <n v="385.2"/>
    <x v="20"/>
    <n v="3.4"/>
    <n v="-4"/>
    <s v="error"/>
    <n v="654820"/>
    <n v="1465420"/>
    <n v="2975600"/>
    <s v="UP"/>
    <s v="Short Buildup"/>
    <n v="31396"/>
  </r>
  <r>
    <x v="9"/>
    <s v="Short Buildup"/>
    <s v="UP"/>
    <n v="58300"/>
    <n v="41160"/>
    <n v="10500"/>
    <s v="undefined"/>
    <n v="-151.94999999999999"/>
    <n v="293.2"/>
    <x v="21"/>
    <n v="6.75"/>
    <n v="-3.4000000000000004"/>
    <s v="error"/>
    <n v="438660"/>
    <n v="957360"/>
    <n v="3380560"/>
    <s v="UP"/>
    <s v="Short Buildup"/>
    <n v="31396"/>
  </r>
  <r>
    <x v="9"/>
    <s v="Short Buildup"/>
    <s v="UP"/>
    <n v="577380"/>
    <n v="223340"/>
    <n v="91620"/>
    <s v="error"/>
    <n v="-150.89999999999998"/>
    <n v="199.55"/>
    <x v="22"/>
    <n v="17.25"/>
    <n v="-0.14999999999999858"/>
    <s v="error"/>
    <n v="713160"/>
    <n v="1239100"/>
    <n v="4665620"/>
    <s v="UP"/>
    <s v="Short Buildup"/>
    <n v="31396"/>
  </r>
  <r>
    <x v="9"/>
    <s v="Short Buildup"/>
    <s v="UP"/>
    <n v="983440"/>
    <n v="252560"/>
    <s v="z"/>
    <s v="error"/>
    <n v="-143.05000000000001"/>
    <n v="122.5"/>
    <x v="23"/>
    <n v="41.5"/>
    <n v="10.55"/>
    <s v="error"/>
    <n v="499740"/>
    <n v="1150240"/>
    <n v="5519700"/>
    <s v="UP"/>
    <s v="Long Buildup"/>
    <n v="31396"/>
  </r>
  <r>
    <x v="9"/>
    <s v="Short Buildup"/>
    <s v="UP"/>
    <n v="3220520"/>
    <n v="775600"/>
    <n v="591300"/>
    <s v="error"/>
    <n v="-123"/>
    <n v="66"/>
    <x v="24"/>
    <n v="85.85"/>
    <n v="31.899999999999991"/>
    <s v="error"/>
    <n v="334120"/>
    <n v="890340"/>
    <n v="4722580"/>
    <s v="UP"/>
    <s v="Long Buildup"/>
    <n v="31396"/>
  </r>
  <r>
    <x v="9"/>
    <s v="Short Buildup"/>
    <s v="UP"/>
    <n v="6350860"/>
    <n v="2077080"/>
    <n v="1298540"/>
    <s v="error"/>
    <n v="-95.65"/>
    <n v="30.8"/>
    <x v="25"/>
    <n v="149.69999999999999"/>
    <n v="59.549999999999983"/>
    <s v="error"/>
    <n v="65520"/>
    <n v="696000"/>
    <n v="3106620"/>
    <s v="UP"/>
    <s v="Long Buildup"/>
    <n v="31396"/>
  </r>
  <r>
    <x v="9"/>
    <s v="Short Buildup"/>
    <s v="UP"/>
    <n v="5392640"/>
    <n v="1479040"/>
    <n v="859380"/>
    <s v="error"/>
    <n v="-66.400000000000006"/>
    <n v="12.05"/>
    <x v="26"/>
    <n v="230.5"/>
    <n v="88.4"/>
    <s v="error"/>
    <n v="61360"/>
    <n v="155600"/>
    <n v="960180"/>
    <s v="UP"/>
    <s v="Long Buildup"/>
    <n v="31396"/>
  </r>
  <r>
    <x v="9"/>
    <s v="Short Buildup"/>
    <s v="UP"/>
    <n v="4999780"/>
    <n v="1219080"/>
    <n v="583820"/>
    <s v="error"/>
    <n v="-39.450000000000003"/>
    <n v="5"/>
    <x v="27"/>
    <n v="323.60000000000002"/>
    <n v="114.20000000000002"/>
    <s v="error"/>
    <n v="6400"/>
    <n v="56160"/>
    <n v="446100"/>
    <s v="UP"/>
    <s v="Long Buildup"/>
    <n v="31396"/>
  </r>
  <r>
    <x v="9"/>
    <s v="Short Buildup"/>
    <s v="UP"/>
    <n v="3510860"/>
    <n v="972260"/>
    <n v="386880"/>
    <s v="error"/>
    <n v="-21.35"/>
    <n v="2.15"/>
    <x v="28"/>
    <n v="420"/>
    <n v="134.64999999999998"/>
    <s v="error"/>
    <n v="11240"/>
    <n v="26220"/>
    <n v="169860"/>
    <s v="UP"/>
    <s v="Long Buildup"/>
    <n v="31396"/>
  </r>
  <r>
    <x v="9"/>
    <s v="Long Liquidation"/>
    <s v="DOWN"/>
    <n v="2360520"/>
    <n v="500080"/>
    <n v="-11720"/>
    <s v="error"/>
    <n v="-9.9499999999999993"/>
    <n v="1.1499999999999999"/>
    <x v="29"/>
    <n v="520"/>
    <n v="143.30000000000001"/>
    <s v="error"/>
    <n v="1600"/>
    <n v="7140"/>
    <n v="28880"/>
    <s v="UP"/>
    <s v="Long Buildup"/>
    <n v="31396"/>
  </r>
  <r>
    <x v="9"/>
    <s v="Short Buildup"/>
    <s v="UP"/>
    <n v="2654000"/>
    <n v="775580"/>
    <n v="163920"/>
    <s v="error"/>
    <n v="-5.15"/>
    <n v="0.85"/>
    <x v="30"/>
    <n v="617.04999999999995"/>
    <n v="146.54999999999995"/>
    <s v="error"/>
    <n v="480"/>
    <n v="12600"/>
    <n v="18560"/>
    <s v="UP"/>
    <s v="Long Buildup"/>
    <n v="31396"/>
  </r>
  <r>
    <x v="9"/>
    <s v="Long Liquidation"/>
    <s v="DOWN"/>
    <n v="441080"/>
    <n v="149580"/>
    <n v="-900"/>
    <s v="error"/>
    <n v="-2.5"/>
    <n v="0.65"/>
    <x v="31"/>
    <n v="714"/>
    <n v="139"/>
    <s v="error"/>
    <n v="40"/>
    <n v="280"/>
    <n v="160"/>
    <s v="UP"/>
    <s v="Long Buildup"/>
    <n v="31396"/>
  </r>
  <r>
    <x v="9"/>
    <n v="0.92651970452515631"/>
    <m/>
    <m/>
    <n v="8599040"/>
    <m/>
    <m/>
    <m/>
    <m/>
    <x v="16"/>
    <m/>
    <m/>
    <m/>
    <m/>
    <n v="7967180"/>
    <m/>
    <m/>
    <m/>
    <m/>
  </r>
  <r>
    <x v="9"/>
    <s v="Long Liquidation"/>
    <s v="DOWN"/>
    <n v="620"/>
    <n v="4240"/>
    <n v="-300"/>
    <s v="undefined"/>
    <n v="-141.60000000000002"/>
    <n v="791.1"/>
    <x v="33"/>
    <n v="0.6"/>
    <n v="-2.4"/>
    <s v="error"/>
    <n v="100"/>
    <n v="199340"/>
    <n v="119360"/>
    <s v="UP"/>
    <s v="Short Buildup"/>
    <n v="31396"/>
  </r>
  <r>
    <x v="9"/>
    <s v="Short Buildup"/>
    <s v="UP"/>
    <n v="1120"/>
    <n v="11860"/>
    <n v="40"/>
    <s v="undefined"/>
    <n v="-147.29999999999995"/>
    <n v="688.7"/>
    <x v="17"/>
    <n v="0.75"/>
    <n v="-2.85"/>
    <s v="error"/>
    <n v="22140"/>
    <n v="212340"/>
    <n v="248000"/>
    <s v="UP"/>
    <s v="Short Buildup"/>
    <n v="31396"/>
  </r>
  <r>
    <x v="9"/>
    <s v="Long Liquidation"/>
    <s v="DOWN"/>
    <n v="1160"/>
    <n v="7280"/>
    <n v="-220"/>
    <s v="undefined"/>
    <n v="-149.35000000000002"/>
    <n v="586.25"/>
    <x v="18"/>
    <n v="0.95"/>
    <n v="-3.1499999999999995"/>
    <s v="error"/>
    <n v="11020"/>
    <n v="378420"/>
    <n v="543500"/>
    <s v="UP"/>
    <s v="Short Buildup"/>
    <n v="31396"/>
  </r>
  <r>
    <x v="9"/>
    <s v="Short Buildup"/>
    <s v="UP"/>
    <n v="2800"/>
    <n v="6380"/>
    <n v="140"/>
    <s v="undefined"/>
    <n v="-147.49999999999994"/>
    <n v="486.05"/>
    <x v="19"/>
    <n v="1.7"/>
    <n v="-3.8"/>
    <s v="error"/>
    <n v="154740"/>
    <n v="520620"/>
    <n v="1046980"/>
    <s v="UP"/>
    <s v="Short Buildup"/>
    <n v="31396"/>
  </r>
  <r>
    <x v="9"/>
    <s v="Short Buildup"/>
    <s v="UP"/>
    <n v="74400"/>
    <n v="103920"/>
    <n v="15700"/>
    <s v="undefined"/>
    <n v="-159.65000000000003"/>
    <n v="385.2"/>
    <x v="20"/>
    <n v="3.4"/>
    <n v="-4"/>
    <s v="error"/>
    <n v="654820"/>
    <n v="1465420"/>
    <n v="2975600"/>
    <s v="UP"/>
    <s v="Short Buildup"/>
    <n v="31396"/>
  </r>
  <r>
    <x v="9"/>
    <s v="Short Buildup"/>
    <s v="UP"/>
    <n v="58300"/>
    <n v="41160"/>
    <n v="10500"/>
    <s v="undefined"/>
    <n v="-151.94999999999999"/>
    <n v="293.2"/>
    <x v="21"/>
    <n v="6.75"/>
    <n v="-3.4000000000000004"/>
    <s v="error"/>
    <n v="438660"/>
    <n v="957360"/>
    <n v="3380560"/>
    <s v="UP"/>
    <s v="Short Buildup"/>
    <n v="31396"/>
  </r>
  <r>
    <x v="9"/>
    <s v="Short Buildup"/>
    <s v="UP"/>
    <n v="577380"/>
    <n v="223340"/>
    <n v="91620"/>
    <s v="error"/>
    <n v="-150.89999999999998"/>
    <n v="199.55"/>
    <x v="22"/>
    <n v="17.25"/>
    <n v="-0.14999999999999858"/>
    <s v="error"/>
    <n v="713160"/>
    <n v="1239100"/>
    <n v="4665620"/>
    <s v="UP"/>
    <s v="Short Buildup"/>
    <n v="31396"/>
  </r>
  <r>
    <x v="9"/>
    <s v="Short Buildup"/>
    <s v="UP"/>
    <n v="983440"/>
    <n v="252560"/>
    <s v="z"/>
    <s v="error"/>
    <n v="-143.05000000000001"/>
    <n v="122.5"/>
    <x v="23"/>
    <n v="41.5"/>
    <n v="10.55"/>
    <s v="error"/>
    <n v="499740"/>
    <n v="1150240"/>
    <n v="5519700"/>
    <s v="UP"/>
    <s v="Long Buildup"/>
    <n v="31396"/>
  </r>
  <r>
    <x v="9"/>
    <s v="Short Buildup"/>
    <s v="UP"/>
    <n v="3220520"/>
    <n v="775600"/>
    <n v="591300"/>
    <s v="error"/>
    <n v="-123"/>
    <n v="66"/>
    <x v="24"/>
    <n v="85.85"/>
    <n v="31.899999999999991"/>
    <s v="error"/>
    <n v="334120"/>
    <n v="890340"/>
    <n v="4722580"/>
    <s v="UP"/>
    <s v="Long Buildup"/>
    <n v="31396"/>
  </r>
  <r>
    <x v="9"/>
    <s v="Short Buildup"/>
    <s v="UP"/>
    <n v="6350860"/>
    <n v="2077080"/>
    <n v="1298540"/>
    <s v="error"/>
    <n v="-95.65"/>
    <n v="30.8"/>
    <x v="25"/>
    <n v="149.69999999999999"/>
    <n v="59.549999999999983"/>
    <s v="error"/>
    <n v="65520"/>
    <n v="696000"/>
    <n v="3106620"/>
    <s v="UP"/>
    <s v="Long Buildup"/>
    <n v="31396"/>
  </r>
  <r>
    <x v="9"/>
    <s v="Short Buildup"/>
    <s v="UP"/>
    <n v="5392640"/>
    <n v="1479040"/>
    <n v="859380"/>
    <s v="error"/>
    <n v="-66.400000000000006"/>
    <n v="12.05"/>
    <x v="26"/>
    <n v="230.5"/>
    <n v="88.4"/>
    <s v="error"/>
    <n v="61360"/>
    <n v="155600"/>
    <n v="960180"/>
    <s v="UP"/>
    <s v="Long Buildup"/>
    <n v="31396"/>
  </r>
  <r>
    <x v="9"/>
    <s v="Short Buildup"/>
    <s v="UP"/>
    <n v="4999780"/>
    <n v="1219080"/>
    <n v="583820"/>
    <s v="error"/>
    <n v="-39.450000000000003"/>
    <n v="5"/>
    <x v="27"/>
    <n v="323.60000000000002"/>
    <n v="114.20000000000002"/>
    <s v="error"/>
    <n v="6400"/>
    <n v="56160"/>
    <n v="446100"/>
    <s v="UP"/>
    <s v="Long Buildup"/>
    <n v="31396"/>
  </r>
  <r>
    <x v="9"/>
    <s v="Short Buildup"/>
    <s v="UP"/>
    <n v="3510860"/>
    <n v="972260"/>
    <n v="386880"/>
    <s v="error"/>
    <n v="-21.35"/>
    <n v="2.15"/>
    <x v="28"/>
    <n v="420"/>
    <n v="134.64999999999998"/>
    <s v="error"/>
    <n v="11240"/>
    <n v="26220"/>
    <n v="169860"/>
    <s v="UP"/>
    <s v="Long Buildup"/>
    <n v="31396"/>
  </r>
  <r>
    <x v="9"/>
    <s v="Long Liquidation"/>
    <s v="DOWN"/>
    <n v="2360520"/>
    <n v="500080"/>
    <n v="-11720"/>
    <s v="error"/>
    <n v="-9.9499999999999993"/>
    <n v="1.1499999999999999"/>
    <x v="29"/>
    <n v="520"/>
    <n v="143.30000000000001"/>
    <s v="error"/>
    <n v="1600"/>
    <n v="7140"/>
    <n v="28880"/>
    <s v="UP"/>
    <s v="Long Buildup"/>
    <n v="31396"/>
  </r>
  <r>
    <x v="9"/>
    <s v="Short Buildup"/>
    <s v="UP"/>
    <n v="2654000"/>
    <n v="775580"/>
    <n v="163920"/>
    <s v="error"/>
    <n v="-5.15"/>
    <n v="0.85"/>
    <x v="30"/>
    <n v="617.04999999999995"/>
    <n v="146.54999999999995"/>
    <s v="error"/>
    <n v="480"/>
    <n v="12600"/>
    <n v="18560"/>
    <s v="UP"/>
    <s v="Long Buildup"/>
    <n v="31396"/>
  </r>
  <r>
    <x v="9"/>
    <s v="Long Liquidation"/>
    <s v="DOWN"/>
    <n v="441080"/>
    <n v="149580"/>
    <n v="-900"/>
    <s v="error"/>
    <n v="-2.5"/>
    <n v="0.65"/>
    <x v="31"/>
    <n v="714"/>
    <n v="139"/>
    <s v="error"/>
    <n v="40"/>
    <n v="280"/>
    <n v="160"/>
    <s v="UP"/>
    <s v="Long Buildup"/>
    <n v="31396"/>
  </r>
  <r>
    <x v="9"/>
    <n v="0.92651970452515631"/>
    <m/>
    <m/>
    <n v="8599040"/>
    <m/>
    <m/>
    <m/>
    <m/>
    <x v="16"/>
    <m/>
    <m/>
    <m/>
    <m/>
    <n v="7967180"/>
    <m/>
    <m/>
    <m/>
    <m/>
  </r>
  <r>
    <x v="10"/>
    <s v="Long Liquidation"/>
    <s v="DOWN"/>
    <n v="840"/>
    <n v="4200"/>
    <n v="-340"/>
    <s v="undefined"/>
    <n v="-144.55000000000007"/>
    <n v="788.15"/>
    <x v="33"/>
    <n v="0.6"/>
    <n v="-2.4"/>
    <s v="error"/>
    <n v="700"/>
    <n v="199940"/>
    <n v="121160"/>
    <s v="UP"/>
    <s v="Short Buildup"/>
    <n v="31400.05"/>
  </r>
  <r>
    <x v="10"/>
    <s v="Short Buildup"/>
    <s v="UP"/>
    <n v="1340"/>
    <n v="11900"/>
    <n v="80"/>
    <s v="undefined"/>
    <n v="-144"/>
    <n v="692"/>
    <x v="17"/>
    <n v="0.8"/>
    <n v="-2.8"/>
    <s v="error"/>
    <n v="26560"/>
    <n v="216760"/>
    <n v="258900"/>
    <s v="UP"/>
    <s v="Short Buildup"/>
    <n v="31400.05"/>
  </r>
  <r>
    <x v="10"/>
    <s v="Long Liquidation"/>
    <s v="DOWN"/>
    <n v="1280"/>
    <n v="7280"/>
    <n v="-220"/>
    <s v="undefined"/>
    <n v="-145.39999999999998"/>
    <n v="590.20000000000005"/>
    <x v="18"/>
    <n v="1.1000000000000001"/>
    <n v="-2.9999999999999996"/>
    <s v="error"/>
    <n v="8380"/>
    <n v="375780"/>
    <n v="570140"/>
    <s v="UP"/>
    <s v="Short Buildup"/>
    <n v="31400.05"/>
  </r>
  <r>
    <x v="10"/>
    <s v="Short Buildup"/>
    <s v="UP"/>
    <n v="2860"/>
    <n v="6360"/>
    <n v="120"/>
    <s v="undefined"/>
    <n v="-138.74999999999994"/>
    <n v="494.8"/>
    <x v="19"/>
    <n v="1.95"/>
    <n v="-3.55"/>
    <s v="error"/>
    <n v="161820"/>
    <n v="527700"/>
    <n v="1130440"/>
    <s v="UP"/>
    <s v="Short Buildup"/>
    <n v="31400.05"/>
  </r>
  <r>
    <x v="10"/>
    <s v="Short Buildup"/>
    <s v="UP"/>
    <n v="77940"/>
    <n v="106360"/>
    <n v="18140"/>
    <s v="undefined"/>
    <n v="-157"/>
    <n v="387.85"/>
    <x v="20"/>
    <n v="3.75"/>
    <n v="-3.6500000000000004"/>
    <s v="error"/>
    <n v="681200"/>
    <n v="1491800"/>
    <n v="3152900"/>
    <s v="UP"/>
    <s v="Short Buildup"/>
    <n v="31400.05"/>
  </r>
  <r>
    <x v="10"/>
    <s v="Short Buildup"/>
    <s v="UP"/>
    <n v="64200"/>
    <n v="42260"/>
    <n v="11600"/>
    <s v="undefined"/>
    <n v="-153.19999999999999"/>
    <n v="291.95"/>
    <x v="21"/>
    <n v="7.4"/>
    <n v="-2.75"/>
    <s v="error"/>
    <n v="449160"/>
    <n v="967860"/>
    <n v="3601000"/>
    <s v="UP"/>
    <s v="Short Buildup"/>
    <n v="31400.05"/>
  </r>
  <r>
    <x v="10"/>
    <s v="Short Buildup"/>
    <s v="UP"/>
    <n v="629700"/>
    <n v="229860"/>
    <n v="98140"/>
    <s v="error"/>
    <n v="-148.85"/>
    <n v="201.6"/>
    <x v="22"/>
    <n v="17.399999999999999"/>
    <n v="0"/>
    <s v="error"/>
    <n v="763080"/>
    <n v="1289020"/>
    <n v="5036080"/>
    <s v="UP"/>
    <b v="0"/>
    <n v="31400.05"/>
  </r>
  <r>
    <x v="10"/>
    <s v="Short Buildup"/>
    <s v="UP"/>
    <n v="1092260"/>
    <n v="254780"/>
    <s v="z"/>
    <s v="error"/>
    <n v="-140.15"/>
    <n v="125.4"/>
    <x v="23"/>
    <n v="40.700000000000003"/>
    <n v="9.7500000000000036"/>
    <s v="error"/>
    <n v="507860"/>
    <n v="1158360"/>
    <n v="5898500"/>
    <s v="UP"/>
    <s v="Long Buildup"/>
    <n v="31400.05"/>
  </r>
  <r>
    <x v="10"/>
    <s v="Short Buildup"/>
    <s v="UP"/>
    <n v="3569300"/>
    <n v="826360"/>
    <n v="642060"/>
    <s v="error"/>
    <n v="-121.5"/>
    <n v="67.5"/>
    <x v="24"/>
    <n v="83.5"/>
    <n v="29.549999999999997"/>
    <s v="error"/>
    <n v="352660"/>
    <n v="908880"/>
    <n v="5086260"/>
    <s v="UP"/>
    <s v="Long Buildup"/>
    <n v="31400.05"/>
  </r>
  <r>
    <x v="10"/>
    <s v="Short Buildup"/>
    <s v="UP"/>
    <n v="6888300"/>
    <n v="2122180"/>
    <n v="1343640"/>
    <s v="error"/>
    <n v="-95.25"/>
    <n v="31.2"/>
    <x v="25"/>
    <n v="146.94999999999999"/>
    <n v="56.799999999999983"/>
    <s v="error"/>
    <n v="51700"/>
    <n v="682180"/>
    <n v="3292400"/>
    <s v="UP"/>
    <s v="Long Buildup"/>
    <n v="31400.05"/>
  </r>
  <r>
    <x v="10"/>
    <s v="Short Buildup"/>
    <s v="UP"/>
    <n v="6012580"/>
    <n v="1525180"/>
    <n v="905520"/>
    <s v="error"/>
    <n v="-66.75"/>
    <n v="11.7"/>
    <x v="26"/>
    <n v="228.2"/>
    <n v="86.1"/>
    <s v="error"/>
    <n v="49360"/>
    <n v="143600"/>
    <n v="1005160"/>
    <s v="UP"/>
    <s v="Long Buildup"/>
    <n v="31400.05"/>
  </r>
  <r>
    <x v="10"/>
    <s v="Short Buildup"/>
    <s v="UP"/>
    <n v="5457780"/>
    <n v="1260680"/>
    <n v="625420"/>
    <s v="error"/>
    <n v="-39.900000000000006"/>
    <n v="4.55"/>
    <x v="27"/>
    <n v="319.60000000000002"/>
    <n v="110.20000000000002"/>
    <s v="error"/>
    <n v="6440"/>
    <n v="56200"/>
    <n v="461160"/>
    <s v="UP"/>
    <s v="Long Buildup"/>
    <n v="31400.05"/>
  </r>
  <r>
    <x v="10"/>
    <s v="Short Buildup"/>
    <s v="UP"/>
    <n v="3819120"/>
    <n v="976620"/>
    <n v="391240"/>
    <s v="error"/>
    <n v="-21.85"/>
    <n v="1.65"/>
    <x v="28"/>
    <n v="417.65"/>
    <n v="132.29999999999995"/>
    <s v="error"/>
    <n v="10400"/>
    <n v="25380"/>
    <n v="177960"/>
    <s v="UP"/>
    <s v="Long Buildup"/>
    <n v="31400.05"/>
  </r>
  <r>
    <x v="10"/>
    <s v="Long Liquidation"/>
    <s v="DOWN"/>
    <n v="2495020"/>
    <n v="493100"/>
    <n v="-18700"/>
    <s v="error"/>
    <n v="-10.15"/>
    <n v="0.95"/>
    <x v="29"/>
    <n v="515"/>
    <n v="138.30000000000001"/>
    <s v="error"/>
    <n v="1660"/>
    <n v="7200"/>
    <n v="30320"/>
    <s v="UP"/>
    <s v="Long Buildup"/>
    <n v="31400.05"/>
  </r>
  <r>
    <x v="10"/>
    <s v="Short Buildup"/>
    <s v="UP"/>
    <n v="2842620"/>
    <n v="782140"/>
    <n v="170480"/>
    <s v="error"/>
    <n v="-5.15"/>
    <n v="0.85"/>
    <x v="30"/>
    <n v="615"/>
    <n v="144.5"/>
    <s v="error"/>
    <n v="220"/>
    <n v="12340"/>
    <n v="19080"/>
    <s v="UP"/>
    <s v="Long Buildup"/>
    <n v="31400.05"/>
  </r>
  <r>
    <x v="10"/>
    <s v="Long Liquidation"/>
    <s v="DOWN"/>
    <n v="446460"/>
    <n v="148140"/>
    <n v="-2340"/>
    <s v="error"/>
    <n v="-2.5"/>
    <n v="0.65"/>
    <x v="31"/>
    <n v="714"/>
    <n v="139"/>
    <s v="error"/>
    <n v="40"/>
    <n v="280"/>
    <n v="160"/>
    <s v="UP"/>
    <s v="Long Buildup"/>
    <n v="31400.05"/>
  </r>
  <r>
    <x v="10"/>
    <n v="0.91655261781890107"/>
    <m/>
    <m/>
    <n v="8797400"/>
    <m/>
    <m/>
    <m/>
    <m/>
    <x v="16"/>
    <m/>
    <m/>
    <m/>
    <m/>
    <n v="8063280"/>
    <m/>
    <m/>
    <m/>
    <m/>
  </r>
  <r>
    <x v="10"/>
    <s v="Long Liquidation"/>
    <s v="DOWN"/>
    <n v="840"/>
    <n v="4200"/>
    <n v="-340"/>
    <s v="undefined"/>
    <n v="-144.55000000000007"/>
    <n v="788.15"/>
    <x v="33"/>
    <n v="0.6"/>
    <n v="-2.4"/>
    <s v="error"/>
    <n v="700"/>
    <n v="199940"/>
    <n v="121160"/>
    <s v="UP"/>
    <s v="Short Buildup"/>
    <n v="31400.05"/>
  </r>
  <r>
    <x v="10"/>
    <s v="Short Buildup"/>
    <s v="UP"/>
    <n v="1340"/>
    <n v="11900"/>
    <n v="80"/>
    <s v="undefined"/>
    <n v="-144"/>
    <n v="692"/>
    <x v="17"/>
    <n v="0.8"/>
    <n v="-2.8"/>
    <s v="error"/>
    <n v="26560"/>
    <n v="216760"/>
    <n v="258900"/>
    <s v="UP"/>
    <s v="Short Buildup"/>
    <n v="31400.05"/>
  </r>
  <r>
    <x v="10"/>
    <s v="Long Liquidation"/>
    <s v="DOWN"/>
    <n v="1280"/>
    <n v="7280"/>
    <n v="-220"/>
    <s v="undefined"/>
    <n v="-145.39999999999998"/>
    <n v="590.20000000000005"/>
    <x v="18"/>
    <n v="1.1000000000000001"/>
    <n v="-2.9999999999999996"/>
    <s v="error"/>
    <n v="8380"/>
    <n v="375780"/>
    <n v="570140"/>
    <s v="UP"/>
    <s v="Short Buildup"/>
    <n v="31400.05"/>
  </r>
  <r>
    <x v="10"/>
    <s v="Short Buildup"/>
    <s v="UP"/>
    <n v="2860"/>
    <n v="6360"/>
    <n v="120"/>
    <s v="undefined"/>
    <n v="-138.74999999999994"/>
    <n v="494.8"/>
    <x v="19"/>
    <n v="1.95"/>
    <n v="-3.55"/>
    <s v="error"/>
    <n v="161820"/>
    <n v="527700"/>
    <n v="1130440"/>
    <s v="UP"/>
    <s v="Short Buildup"/>
    <n v="31400.05"/>
  </r>
  <r>
    <x v="10"/>
    <s v="Short Buildup"/>
    <s v="UP"/>
    <n v="77940"/>
    <n v="106360"/>
    <n v="18140"/>
    <s v="undefined"/>
    <n v="-157"/>
    <n v="387.85"/>
    <x v="20"/>
    <n v="3.75"/>
    <n v="-3.6500000000000004"/>
    <s v="error"/>
    <n v="681200"/>
    <n v="1491800"/>
    <n v="3152900"/>
    <s v="UP"/>
    <s v="Short Buildup"/>
    <n v="31400.05"/>
  </r>
  <r>
    <x v="10"/>
    <s v="Short Buildup"/>
    <s v="UP"/>
    <n v="64200"/>
    <n v="42260"/>
    <n v="11600"/>
    <s v="undefined"/>
    <n v="-153.19999999999999"/>
    <n v="291.95"/>
    <x v="21"/>
    <n v="7.4"/>
    <n v="-2.75"/>
    <s v="error"/>
    <n v="449160"/>
    <n v="967860"/>
    <n v="3601000"/>
    <s v="UP"/>
    <s v="Short Buildup"/>
    <n v="31400.05"/>
  </r>
  <r>
    <x v="10"/>
    <s v="Short Buildup"/>
    <s v="UP"/>
    <n v="629700"/>
    <n v="229860"/>
    <n v="98140"/>
    <s v="error"/>
    <n v="-148.85"/>
    <n v="201.6"/>
    <x v="22"/>
    <n v="17.399999999999999"/>
    <n v="0"/>
    <s v="error"/>
    <n v="763080"/>
    <n v="1289020"/>
    <n v="5036080"/>
    <s v="UP"/>
    <b v="0"/>
    <n v="31400.05"/>
  </r>
  <r>
    <x v="10"/>
    <s v="Short Buildup"/>
    <s v="UP"/>
    <n v="1092260"/>
    <n v="254780"/>
    <s v="z"/>
    <s v="error"/>
    <n v="-140.15"/>
    <n v="125.4"/>
    <x v="23"/>
    <n v="40.700000000000003"/>
    <n v="9.7500000000000036"/>
    <s v="error"/>
    <n v="507860"/>
    <n v="1158360"/>
    <n v="5898500"/>
    <s v="UP"/>
    <s v="Long Buildup"/>
    <n v="31400.05"/>
  </r>
  <r>
    <x v="10"/>
    <s v="Short Buildup"/>
    <s v="UP"/>
    <n v="3569300"/>
    <n v="826360"/>
    <n v="642060"/>
    <s v="error"/>
    <n v="-121.5"/>
    <n v="67.5"/>
    <x v="24"/>
    <n v="83.5"/>
    <n v="29.549999999999997"/>
    <s v="error"/>
    <n v="352660"/>
    <n v="908880"/>
    <n v="5086260"/>
    <s v="UP"/>
    <s v="Long Buildup"/>
    <n v="31400.05"/>
  </r>
  <r>
    <x v="10"/>
    <s v="Short Buildup"/>
    <s v="UP"/>
    <n v="6888300"/>
    <n v="2122180"/>
    <n v="1343640"/>
    <s v="error"/>
    <n v="-95.25"/>
    <n v="31.2"/>
    <x v="25"/>
    <n v="146.94999999999999"/>
    <n v="56.799999999999983"/>
    <s v="error"/>
    <n v="51700"/>
    <n v="682180"/>
    <n v="3292400"/>
    <s v="UP"/>
    <s v="Long Buildup"/>
    <n v="31400.05"/>
  </r>
  <r>
    <x v="10"/>
    <s v="Short Buildup"/>
    <s v="UP"/>
    <n v="6012580"/>
    <n v="1525180"/>
    <n v="905520"/>
    <s v="error"/>
    <n v="-66.75"/>
    <n v="11.7"/>
    <x v="26"/>
    <n v="228.2"/>
    <n v="86.1"/>
    <s v="error"/>
    <n v="49360"/>
    <n v="143600"/>
    <n v="1005160"/>
    <s v="UP"/>
    <s v="Long Buildup"/>
    <n v="31400.05"/>
  </r>
  <r>
    <x v="10"/>
    <s v="Short Buildup"/>
    <s v="UP"/>
    <n v="5457780"/>
    <n v="1260680"/>
    <n v="625420"/>
    <s v="error"/>
    <n v="-39.900000000000006"/>
    <n v="4.55"/>
    <x v="27"/>
    <n v="319.60000000000002"/>
    <n v="110.20000000000002"/>
    <s v="error"/>
    <n v="6440"/>
    <n v="56200"/>
    <n v="461160"/>
    <s v="UP"/>
    <s v="Long Buildup"/>
    <n v="31400.05"/>
  </r>
  <r>
    <x v="10"/>
    <s v="Short Buildup"/>
    <s v="UP"/>
    <n v="3819120"/>
    <n v="976620"/>
    <n v="391240"/>
    <s v="error"/>
    <n v="-21.85"/>
    <n v="1.65"/>
    <x v="28"/>
    <n v="417.65"/>
    <n v="132.29999999999995"/>
    <s v="error"/>
    <n v="10400"/>
    <n v="25380"/>
    <n v="177960"/>
    <s v="UP"/>
    <s v="Long Buildup"/>
    <n v="31400.05"/>
  </r>
  <r>
    <x v="10"/>
    <s v="Long Liquidation"/>
    <s v="DOWN"/>
    <n v="2495020"/>
    <n v="493100"/>
    <n v="-18700"/>
    <s v="error"/>
    <n v="-10.15"/>
    <n v="0.95"/>
    <x v="29"/>
    <n v="515"/>
    <n v="138.30000000000001"/>
    <s v="error"/>
    <n v="1660"/>
    <n v="7200"/>
    <n v="30320"/>
    <s v="UP"/>
    <s v="Long Buildup"/>
    <n v="31400.05"/>
  </r>
  <r>
    <x v="10"/>
    <s v="Short Buildup"/>
    <s v="UP"/>
    <n v="2842620"/>
    <n v="782140"/>
    <n v="170480"/>
    <s v="error"/>
    <n v="-5.15"/>
    <n v="0.85"/>
    <x v="30"/>
    <n v="615"/>
    <n v="144.5"/>
    <s v="error"/>
    <n v="220"/>
    <n v="12340"/>
    <n v="19080"/>
    <s v="UP"/>
    <s v="Long Buildup"/>
    <n v="31400.05"/>
  </r>
  <r>
    <x v="10"/>
    <s v="Long Liquidation"/>
    <s v="DOWN"/>
    <n v="446460"/>
    <n v="148140"/>
    <n v="-2340"/>
    <s v="error"/>
    <n v="-2.5"/>
    <n v="0.65"/>
    <x v="31"/>
    <n v="714"/>
    <n v="139"/>
    <s v="error"/>
    <n v="40"/>
    <n v="280"/>
    <n v="160"/>
    <s v="UP"/>
    <s v="Long Buildup"/>
    <n v="31400.05"/>
  </r>
  <r>
    <x v="10"/>
    <n v="0.91655261781890107"/>
    <m/>
    <m/>
    <n v="8797400"/>
    <m/>
    <m/>
    <m/>
    <m/>
    <x v="16"/>
    <m/>
    <m/>
    <m/>
    <m/>
    <n v="8063280"/>
    <m/>
    <m/>
    <m/>
    <m/>
  </r>
  <r>
    <x v="11"/>
    <s v="Long Liquidation"/>
    <s v="DOWN"/>
    <n v="840"/>
    <n v="4200"/>
    <n v="-340"/>
    <s v="undefined"/>
    <n v="-144.55000000000007"/>
    <n v="788.15"/>
    <x v="33"/>
    <n v="0.55000000000000004"/>
    <n v="-2.4500000000000002"/>
    <s v="error"/>
    <n v="820"/>
    <n v="200060"/>
    <n v="126880"/>
    <s v="UP"/>
    <s v="Short Buildup"/>
    <n v="31406.45"/>
  </r>
  <r>
    <x v="11"/>
    <s v="Short Buildup"/>
    <s v="UP"/>
    <n v="1720"/>
    <n v="11900"/>
    <n v="80"/>
    <s v="undefined"/>
    <n v="-144.64999999999998"/>
    <n v="691.35"/>
    <x v="17"/>
    <n v="0.7"/>
    <n v="-2.9000000000000004"/>
    <s v="error"/>
    <n v="28820"/>
    <n v="219020"/>
    <n v="261820"/>
    <s v="UP"/>
    <s v="Short Buildup"/>
    <n v="31406.45"/>
  </r>
  <r>
    <x v="11"/>
    <s v="Long Liquidation"/>
    <s v="DOWN"/>
    <n v="1280"/>
    <n v="7280"/>
    <n v="-220"/>
    <s v="undefined"/>
    <n v="-145.39999999999998"/>
    <n v="590.20000000000005"/>
    <x v="18"/>
    <n v="1"/>
    <n v="-3.0999999999999996"/>
    <s v="error"/>
    <n v="7880"/>
    <n v="375280"/>
    <n v="590720"/>
    <s v="UP"/>
    <s v="Short Buildup"/>
    <n v="31406.45"/>
  </r>
  <r>
    <x v="11"/>
    <s v="Short Buildup"/>
    <s v="UP"/>
    <n v="2960"/>
    <n v="6380"/>
    <n v="140"/>
    <s v="undefined"/>
    <n v="-145.54999999999995"/>
    <n v="488"/>
    <x v="19"/>
    <n v="1.8"/>
    <n v="-3.7"/>
    <s v="error"/>
    <n v="163700"/>
    <n v="529580"/>
    <n v="1183420"/>
    <s v="UP"/>
    <s v="Short Buildup"/>
    <n v="31406.45"/>
  </r>
  <r>
    <x v="11"/>
    <s v="Short Buildup"/>
    <s v="UP"/>
    <n v="82260"/>
    <n v="106480"/>
    <n v="18260"/>
    <s v="undefined"/>
    <n v="-149.85000000000002"/>
    <n v="395"/>
    <x v="20"/>
    <n v="3.15"/>
    <n v="-4.25"/>
    <s v="error"/>
    <n v="695520"/>
    <n v="1506120"/>
    <n v="3356160"/>
    <s v="UP"/>
    <s v="Short Buildup"/>
    <n v="31406.45"/>
  </r>
  <r>
    <x v="11"/>
    <s v="Short Buildup"/>
    <s v="UP"/>
    <n v="68300"/>
    <n v="41700"/>
    <n v="11040"/>
    <s v="undefined"/>
    <n v="-147.04999999999995"/>
    <n v="298.10000000000002"/>
    <x v="21"/>
    <n v="6"/>
    <n v="-4.1500000000000004"/>
    <s v="error"/>
    <n v="485920"/>
    <n v="1004620"/>
    <n v="3849560"/>
    <s v="UP"/>
    <s v="Short Buildup"/>
    <n v="31406.45"/>
  </r>
  <r>
    <x v="11"/>
    <s v="Short Buildup"/>
    <s v="UP"/>
    <n v="665380"/>
    <n v="231900"/>
    <n v="100180"/>
    <s v="error"/>
    <n v="-142.39999999999998"/>
    <n v="208.05"/>
    <x v="22"/>
    <n v="15.25"/>
    <n v="-2.1499999999999986"/>
    <s v="error"/>
    <n v="767460"/>
    <n v="1293400"/>
    <n v="5317440"/>
    <s v="UP"/>
    <s v="Short Buildup"/>
    <n v="31406.45"/>
  </r>
  <r>
    <x v="11"/>
    <s v="Short Buildup"/>
    <s v="UP"/>
    <n v="1153500"/>
    <n v="265860"/>
    <n v="149920"/>
    <s v="error"/>
    <n v="-135.9"/>
    <n v="129.65"/>
    <x v="23"/>
    <n v="37.299999999999997"/>
    <n v="6.3499999999999979"/>
    <s v="error"/>
    <n v="521860"/>
    <n v="1172360"/>
    <n v="6205760"/>
    <s v="UP"/>
    <s v="Long Buildup"/>
    <n v="31406.45"/>
  </r>
  <r>
    <x v="11"/>
    <s v="Short Buildup"/>
    <s v="UP"/>
    <n v="3846940"/>
    <n v="886100"/>
    <n v="701800"/>
    <s v="error"/>
    <n v="-118.15"/>
    <n v="70.849999999999994"/>
    <x v="24"/>
    <n v="78.8"/>
    <n v="24.849999999999994"/>
    <s v="error"/>
    <n v="341900"/>
    <n v="898120"/>
    <n v="5353160"/>
    <s v="UP"/>
    <s v="Long Buildup"/>
    <n v="31406.45"/>
  </r>
  <r>
    <x v="11"/>
    <s v="Short Buildup"/>
    <s v="UP"/>
    <n v="7392660"/>
    <n v="2252620"/>
    <n v="1474080"/>
    <s v="error"/>
    <n v="-93.550000000000011"/>
    <n v="32.9"/>
    <x v="25"/>
    <n v="141.55000000000001"/>
    <n v="51.400000000000006"/>
    <s v="error"/>
    <n v="57560"/>
    <n v="688040"/>
    <n v="3414300"/>
    <s v="UP"/>
    <s v="Long Buildup"/>
    <n v="31406.45"/>
  </r>
  <r>
    <x v="11"/>
    <s v="Short Buildup"/>
    <s v="UP"/>
    <n v="6422540"/>
    <n v="1634340"/>
    <n v="1014680"/>
    <s v="error"/>
    <n v="-66.100000000000009"/>
    <n v="12.35"/>
    <x v="26"/>
    <n v="220.65"/>
    <n v="78.550000000000011"/>
    <s v="error"/>
    <n v="51000"/>
    <n v="145240"/>
    <n v="1027880"/>
    <s v="UP"/>
    <s v="Long Buildup"/>
    <n v="31406.45"/>
  </r>
  <r>
    <x v="11"/>
    <s v="Short Buildup"/>
    <s v="UP"/>
    <n v="5770620"/>
    <n v="1286480"/>
    <n v="651220"/>
    <s v="error"/>
    <n v="-39.950000000000003"/>
    <n v="4.5"/>
    <x v="27"/>
    <n v="313.10000000000002"/>
    <n v="103.70000000000002"/>
    <s v="error"/>
    <n v="7000"/>
    <n v="56760"/>
    <n v="469780"/>
    <s v="UP"/>
    <s v="Long Buildup"/>
    <n v="31406.45"/>
  </r>
  <r>
    <x v="11"/>
    <s v="Short Buildup"/>
    <s v="UP"/>
    <n v="4062580"/>
    <n v="1009180"/>
    <n v="423800"/>
    <s v="error"/>
    <n v="-21.9"/>
    <n v="1.6"/>
    <x v="28"/>
    <n v="411.15"/>
    <n v="125.79999999999995"/>
    <s v="error"/>
    <n v="9960"/>
    <n v="24940"/>
    <n v="179320"/>
    <s v="UP"/>
    <s v="Long Buildup"/>
    <n v="31406.45"/>
  </r>
  <r>
    <x v="11"/>
    <s v="Long Liquidation"/>
    <s v="DOWN"/>
    <n v="2598540"/>
    <n v="491820"/>
    <n v="-19980"/>
    <s v="error"/>
    <n v="-10.199999999999999"/>
    <n v="0.9"/>
    <x v="29"/>
    <n v="509.85"/>
    <n v="133.15000000000003"/>
    <s v="error"/>
    <n v="1480"/>
    <n v="7020"/>
    <n v="30580"/>
    <s v="UP"/>
    <s v="Long Buildup"/>
    <n v="31406.45"/>
  </r>
  <r>
    <x v="11"/>
    <s v="Short Buildup"/>
    <s v="UP"/>
    <n v="3018800"/>
    <n v="788240"/>
    <n v="176580"/>
    <s v="error"/>
    <n v="-5.2"/>
    <n v="0.8"/>
    <x v="30"/>
    <n v="615.79999999999995"/>
    <n v="145.29999999999995"/>
    <s v="error"/>
    <n v="-80"/>
    <n v="12040"/>
    <n v="19920"/>
    <s v="DOWN"/>
    <s v="Short covering"/>
    <n v="31406.45"/>
  </r>
  <r>
    <x v="11"/>
    <s v="Long Liquidation"/>
    <s v="DOWN"/>
    <n v="457600"/>
    <n v="149320"/>
    <n v="-1160"/>
    <s v="error"/>
    <n v="-2.5499999999999998"/>
    <n v="0.6"/>
    <x v="31"/>
    <n v="714"/>
    <n v="139"/>
    <s v="error"/>
    <n v="40"/>
    <n v="280"/>
    <n v="160"/>
    <s v="UP"/>
    <s v="Long Buildup"/>
    <n v="31406.45"/>
  </r>
  <r>
    <x v="11"/>
    <n v="0.88653338856308184"/>
    <m/>
    <m/>
    <n v="9173800"/>
    <m/>
    <m/>
    <m/>
    <m/>
    <x v="16"/>
    <m/>
    <m/>
    <m/>
    <m/>
    <n v="8132880"/>
    <m/>
    <m/>
    <m/>
    <m/>
  </r>
  <r>
    <x v="11"/>
    <s v="Long Liquidation"/>
    <s v="DOWN"/>
    <n v="840"/>
    <n v="4200"/>
    <n v="-340"/>
    <s v="undefined"/>
    <n v="-144.55000000000007"/>
    <n v="788.15"/>
    <x v="33"/>
    <n v="0.55000000000000004"/>
    <n v="-2.4500000000000002"/>
    <s v="error"/>
    <n v="820"/>
    <n v="200060"/>
    <n v="126880"/>
    <s v="UP"/>
    <s v="Short Buildup"/>
    <n v="31406.45"/>
  </r>
  <r>
    <x v="11"/>
    <s v="Short Buildup"/>
    <s v="UP"/>
    <n v="1720"/>
    <n v="11900"/>
    <n v="80"/>
    <s v="undefined"/>
    <n v="-144.64999999999998"/>
    <n v="691.35"/>
    <x v="17"/>
    <n v="0.7"/>
    <n v="-2.9000000000000004"/>
    <s v="error"/>
    <n v="28820"/>
    <n v="219020"/>
    <n v="261820"/>
    <s v="UP"/>
    <s v="Short Buildup"/>
    <n v="31406.45"/>
  </r>
  <r>
    <x v="11"/>
    <s v="Long Liquidation"/>
    <s v="DOWN"/>
    <n v="1280"/>
    <n v="7280"/>
    <n v="-220"/>
    <s v="undefined"/>
    <n v="-145.39999999999998"/>
    <n v="590.20000000000005"/>
    <x v="18"/>
    <n v="1"/>
    <n v="-3.0999999999999996"/>
    <s v="error"/>
    <n v="7880"/>
    <n v="375280"/>
    <n v="590720"/>
    <s v="UP"/>
    <s v="Short Buildup"/>
    <n v="31406.45"/>
  </r>
  <r>
    <x v="11"/>
    <s v="Short Buildup"/>
    <s v="UP"/>
    <n v="2960"/>
    <n v="6380"/>
    <n v="140"/>
    <s v="undefined"/>
    <n v="-145.54999999999995"/>
    <n v="488"/>
    <x v="19"/>
    <n v="1.8"/>
    <n v="-3.7"/>
    <s v="error"/>
    <n v="163700"/>
    <n v="529580"/>
    <n v="1183420"/>
    <s v="UP"/>
    <s v="Short Buildup"/>
    <n v="31406.45"/>
  </r>
  <r>
    <x v="11"/>
    <s v="Short Buildup"/>
    <s v="UP"/>
    <n v="82260"/>
    <n v="106480"/>
    <n v="18260"/>
    <s v="undefined"/>
    <n v="-149.85000000000002"/>
    <n v="395"/>
    <x v="20"/>
    <n v="3.15"/>
    <n v="-4.25"/>
    <s v="error"/>
    <n v="695520"/>
    <n v="1506120"/>
    <n v="3356160"/>
    <s v="UP"/>
    <s v="Short Buildup"/>
    <n v="31406.45"/>
  </r>
  <r>
    <x v="11"/>
    <s v="Short Buildup"/>
    <s v="UP"/>
    <n v="68300"/>
    <n v="41700"/>
    <n v="11040"/>
    <s v="undefined"/>
    <n v="-147.04999999999995"/>
    <n v="298.10000000000002"/>
    <x v="21"/>
    <n v="6"/>
    <n v="-4.1500000000000004"/>
    <s v="error"/>
    <n v="485920"/>
    <n v="1004620"/>
    <n v="3849560"/>
    <s v="UP"/>
    <s v="Short Buildup"/>
    <n v="31406.45"/>
  </r>
  <r>
    <x v="11"/>
    <s v="Short Buildup"/>
    <s v="UP"/>
    <n v="665380"/>
    <n v="231900"/>
    <n v="100180"/>
    <s v="error"/>
    <n v="-142.39999999999998"/>
    <n v="208.05"/>
    <x v="22"/>
    <n v="15.25"/>
    <n v="-2.1499999999999986"/>
    <s v="error"/>
    <n v="767460"/>
    <n v="1293400"/>
    <n v="5317440"/>
    <s v="UP"/>
    <s v="Short Buildup"/>
    <n v="31406.45"/>
  </r>
  <r>
    <x v="11"/>
    <s v="Short Buildup"/>
    <s v="UP"/>
    <n v="1153500"/>
    <n v="265860"/>
    <n v="149920"/>
    <s v="error"/>
    <n v="-135.9"/>
    <n v="129.65"/>
    <x v="23"/>
    <n v="37.299999999999997"/>
    <n v="6.3499999999999979"/>
    <s v="error"/>
    <n v="521860"/>
    <n v="1172360"/>
    <n v="6205760"/>
    <s v="UP"/>
    <s v="Long Buildup"/>
    <n v="31406.45"/>
  </r>
  <r>
    <x v="11"/>
    <s v="Short Buildup"/>
    <s v="UP"/>
    <n v="3846940"/>
    <n v="886100"/>
    <n v="701800"/>
    <s v="error"/>
    <n v="-118.15"/>
    <n v="70.849999999999994"/>
    <x v="24"/>
    <n v="78.8"/>
    <n v="24.849999999999994"/>
    <s v="error"/>
    <n v="341900"/>
    <n v="898120"/>
    <n v="5353160"/>
    <s v="UP"/>
    <s v="Long Buildup"/>
    <n v="31406.45"/>
  </r>
  <r>
    <x v="11"/>
    <s v="Short Buildup"/>
    <s v="UP"/>
    <n v="7392660"/>
    <n v="2252620"/>
    <n v="1474080"/>
    <s v="error"/>
    <n v="-93.550000000000011"/>
    <n v="32.9"/>
    <x v="25"/>
    <n v="141.55000000000001"/>
    <n v="51.400000000000006"/>
    <s v="error"/>
    <n v="57560"/>
    <n v="688040"/>
    <n v="3414300"/>
    <s v="UP"/>
    <s v="Long Buildup"/>
    <n v="31406.45"/>
  </r>
  <r>
    <x v="11"/>
    <s v="Short Buildup"/>
    <s v="UP"/>
    <n v="6422540"/>
    <n v="1634340"/>
    <n v="1014680"/>
    <s v="error"/>
    <n v="-66.100000000000009"/>
    <n v="12.35"/>
    <x v="26"/>
    <n v="220.65"/>
    <n v="78.550000000000011"/>
    <s v="error"/>
    <n v="51000"/>
    <n v="145240"/>
    <n v="1027880"/>
    <s v="UP"/>
    <s v="Long Buildup"/>
    <n v="31406.45"/>
  </r>
  <r>
    <x v="11"/>
    <s v="Short Buildup"/>
    <s v="UP"/>
    <n v="5770620"/>
    <n v="1286480"/>
    <n v="651220"/>
    <s v="error"/>
    <n v="-39.950000000000003"/>
    <n v="4.5"/>
    <x v="27"/>
    <n v="313.10000000000002"/>
    <n v="103.70000000000002"/>
    <s v="error"/>
    <n v="7000"/>
    <n v="56760"/>
    <n v="469780"/>
    <s v="UP"/>
    <s v="Long Buildup"/>
    <n v="31406.45"/>
  </r>
  <r>
    <x v="11"/>
    <s v="Short Buildup"/>
    <s v="UP"/>
    <n v="4062580"/>
    <n v="1009180"/>
    <n v="423800"/>
    <s v="error"/>
    <n v="-21.9"/>
    <n v="1.6"/>
    <x v="28"/>
    <n v="411.15"/>
    <n v="125.79999999999995"/>
    <s v="error"/>
    <n v="9960"/>
    <n v="24940"/>
    <n v="179320"/>
    <s v="UP"/>
    <s v="Long Buildup"/>
    <n v="31406.45"/>
  </r>
  <r>
    <x v="11"/>
    <s v="Long Liquidation"/>
    <s v="DOWN"/>
    <n v="2598540"/>
    <n v="491820"/>
    <n v="-19980"/>
    <s v="error"/>
    <n v="-10.199999999999999"/>
    <n v="0.9"/>
    <x v="29"/>
    <n v="509.85"/>
    <n v="133.15000000000003"/>
    <s v="error"/>
    <n v="1480"/>
    <n v="7020"/>
    <n v="30580"/>
    <s v="UP"/>
    <s v="Long Buildup"/>
    <n v="31406.45"/>
  </r>
  <r>
    <x v="11"/>
    <s v="Short Buildup"/>
    <s v="UP"/>
    <n v="3018800"/>
    <n v="788240"/>
    <n v="176580"/>
    <s v="error"/>
    <n v="-5.2"/>
    <n v="0.8"/>
    <x v="30"/>
    <n v="615.79999999999995"/>
    <n v="145.29999999999995"/>
    <s v="error"/>
    <n v="-80"/>
    <n v="12040"/>
    <n v="19920"/>
    <s v="DOWN"/>
    <s v="Short covering"/>
    <n v="31406.45"/>
  </r>
  <r>
    <x v="11"/>
    <s v="Long Liquidation"/>
    <s v="DOWN"/>
    <n v="457600"/>
    <n v="149320"/>
    <n v="-1160"/>
    <s v="error"/>
    <n v="-2.5499999999999998"/>
    <n v="0.6"/>
    <x v="31"/>
    <n v="714"/>
    <n v="139"/>
    <s v="error"/>
    <n v="40"/>
    <n v="280"/>
    <n v="160"/>
    <s v="UP"/>
    <s v="Long Buildup"/>
    <n v="31406.45"/>
  </r>
  <r>
    <x v="11"/>
    <n v="0.88653338856308184"/>
    <m/>
    <m/>
    <n v="9173800"/>
    <m/>
    <m/>
    <m/>
    <m/>
    <x v="16"/>
    <m/>
    <m/>
    <m/>
    <m/>
    <n v="8132880"/>
    <m/>
    <m/>
    <m/>
    <m/>
  </r>
  <r>
    <x v="12"/>
    <s v="Long Liquidation"/>
    <s v="DOWN"/>
    <n v="900"/>
    <n v="4080"/>
    <n v="-460"/>
    <s v="undefined"/>
    <n v="-168.55000000000007"/>
    <n v="764.15"/>
    <x v="33"/>
    <n v="0.55000000000000004"/>
    <n v="-2.4500000000000002"/>
    <s v="error"/>
    <n v="3720"/>
    <n v="202960"/>
    <n v="129520"/>
    <s v="UP"/>
    <s v="Short Buildup"/>
    <n v="31372.45"/>
  </r>
  <r>
    <x v="12"/>
    <s v="Long Liquidation"/>
    <s v="DOWN"/>
    <n v="4640"/>
    <n v="11560"/>
    <n v="-260"/>
    <s v="undefined"/>
    <n v="-168.5"/>
    <n v="667.5"/>
    <x v="17"/>
    <n v="0.8"/>
    <n v="-2.8"/>
    <s v="error"/>
    <n v="29700"/>
    <n v="219900"/>
    <n v="268360"/>
    <s v="UP"/>
    <s v="Short Buildup"/>
    <n v="31372.45"/>
  </r>
  <r>
    <x v="12"/>
    <s v="Long Liquidation"/>
    <s v="DOWN"/>
    <n v="2060"/>
    <n v="7360"/>
    <n v="-140"/>
    <s v="undefined"/>
    <n v="-177.89999999999998"/>
    <n v="557.70000000000005"/>
    <x v="18"/>
    <n v="1.05"/>
    <n v="-3.05"/>
    <s v="error"/>
    <n v="11480"/>
    <n v="378880"/>
    <n v="628780"/>
    <s v="UP"/>
    <s v="Short Buildup"/>
    <n v="31372.45"/>
  </r>
  <r>
    <x v="12"/>
    <s v="Short Buildup"/>
    <s v="UP"/>
    <n v="3180"/>
    <n v="6320"/>
    <n v="80"/>
    <s v="undefined"/>
    <n v="-180.29999999999995"/>
    <n v="453.25"/>
    <x v="19"/>
    <n v="1.85"/>
    <n v="-3.65"/>
    <s v="error"/>
    <n v="170120"/>
    <n v="536000"/>
    <n v="1270760"/>
    <s v="UP"/>
    <s v="Short Buildup"/>
    <n v="31372.45"/>
  </r>
  <r>
    <x v="12"/>
    <s v="Short Buildup"/>
    <s v="UP"/>
    <n v="91120"/>
    <n v="104560"/>
    <n v="16340"/>
    <s v="undefined"/>
    <n v="-183.90000000000003"/>
    <n v="360.95"/>
    <x v="20"/>
    <n v="3.55"/>
    <n v="-3.8500000000000005"/>
    <s v="error"/>
    <n v="739320"/>
    <n v="1549920"/>
    <n v="3621980"/>
    <s v="UP"/>
    <s v="Short Buildup"/>
    <n v="31372.45"/>
  </r>
  <r>
    <x v="12"/>
    <s v="Short Buildup"/>
    <s v="UP"/>
    <n v="79980"/>
    <n v="42680"/>
    <n v="12020"/>
    <s v="undefined"/>
    <n v="-181.29999999999995"/>
    <n v="263.85000000000002"/>
    <x v="21"/>
    <n v="7"/>
    <n v="-3.1500000000000004"/>
    <s v="error"/>
    <n v="502360"/>
    <n v="1021060"/>
    <n v="4122460"/>
    <s v="UP"/>
    <s v="Short Buildup"/>
    <n v="31372.45"/>
  </r>
  <r>
    <x v="12"/>
    <s v="Short Buildup"/>
    <s v="UP"/>
    <n v="763140"/>
    <n v="237720"/>
    <n v="106000"/>
    <s v="error"/>
    <n v="-175.35"/>
    <n v="175.1"/>
    <x v="22"/>
    <n v="18.7"/>
    <n v="1.3000000000000007"/>
    <s v="error"/>
    <n v="822080"/>
    <n v="1348020"/>
    <n v="5798160"/>
    <s v="UP"/>
    <s v="Long Buildup"/>
    <n v="31372.45"/>
  </r>
  <r>
    <x v="12"/>
    <s v="Short Buildup"/>
    <s v="UP"/>
    <n v="1337480"/>
    <n v="273780"/>
    <n v="157840"/>
    <s v="error"/>
    <n v="-163.4"/>
    <n v="102.15"/>
    <x v="23"/>
    <n v="45.85"/>
    <n v="14.900000000000002"/>
    <s v="error"/>
    <n v="557640"/>
    <n v="1208140"/>
    <n v="6802520"/>
    <s v="UP"/>
    <s v="Long Buildup"/>
    <n v="31372.45"/>
  </r>
  <r>
    <x v="12"/>
    <s v="Short Buildup"/>
    <s v="UP"/>
    <n v="4428100"/>
    <n v="942720"/>
    <n v="758420"/>
    <s v="error"/>
    <n v="-138.65"/>
    <n v="50.35"/>
    <x v="24"/>
    <n v="93.9"/>
    <n v="39.950000000000003"/>
    <s v="error"/>
    <n v="376980"/>
    <n v="933200"/>
    <n v="5883980"/>
    <s v="UP"/>
    <s v="Long Buildup"/>
    <n v="31372.45"/>
  </r>
  <r>
    <x v="12"/>
    <s v="Short Buildup"/>
    <s v="UP"/>
    <n v="8267240"/>
    <n v="2328640"/>
    <n v="1550100"/>
    <s v="error"/>
    <n v="-104.80000000000001"/>
    <n v="21.65"/>
    <x v="25"/>
    <n v="165.35"/>
    <n v="75.199999999999989"/>
    <s v="error"/>
    <n v="37060"/>
    <n v="667540"/>
    <n v="3699740"/>
    <s v="UP"/>
    <s v="Long Buildup"/>
    <n v="31372.45"/>
  </r>
  <r>
    <x v="12"/>
    <s v="Short Buildup"/>
    <s v="UP"/>
    <n v="7058460"/>
    <n v="1700520"/>
    <n v="1080860"/>
    <s v="error"/>
    <n v="-70.150000000000006"/>
    <n v="8.3000000000000007"/>
    <x v="26"/>
    <n v="251.35"/>
    <n v="109.25"/>
    <s v="error"/>
    <n v="51320"/>
    <n v="145560"/>
    <n v="1108520"/>
    <s v="UP"/>
    <s v="Long Buildup"/>
    <n v="31372.45"/>
  </r>
  <r>
    <x v="12"/>
    <s v="Short Buildup"/>
    <s v="UP"/>
    <n v="6191180"/>
    <n v="1310500"/>
    <n v="675240"/>
    <s v="error"/>
    <n v="-40.85"/>
    <n v="3.6"/>
    <x v="27"/>
    <n v="345.6"/>
    <n v="136.20000000000002"/>
    <s v="error"/>
    <n v="4780"/>
    <n v="54540"/>
    <n v="495180"/>
    <s v="UP"/>
    <s v="Long Buildup"/>
    <n v="31372.45"/>
  </r>
  <r>
    <x v="12"/>
    <s v="Short Buildup"/>
    <s v="UP"/>
    <n v="4318380"/>
    <n v="1016600"/>
    <n v="431220"/>
    <s v="error"/>
    <n v="-21.85"/>
    <n v="1.65"/>
    <x v="28"/>
    <n v="441.35"/>
    <n v="156"/>
    <s v="error"/>
    <n v="9200"/>
    <n v="24180"/>
    <n v="191580"/>
    <s v="UP"/>
    <s v="Long Buildup"/>
    <n v="31372.45"/>
  </r>
  <r>
    <x v="12"/>
    <s v="Long Liquidation"/>
    <s v="DOWN"/>
    <n v="2809220"/>
    <n v="504840"/>
    <n v="-6960"/>
    <s v="error"/>
    <n v="-10.199999999999999"/>
    <n v="0.9"/>
    <x v="29"/>
    <n v="546"/>
    <n v="169.3"/>
    <s v="error"/>
    <n v="1380"/>
    <n v="6920"/>
    <n v="31900"/>
    <s v="UP"/>
    <s v="Long Buildup"/>
    <n v="31372.45"/>
  </r>
  <r>
    <x v="12"/>
    <s v="Short Buildup"/>
    <s v="UP"/>
    <n v="3463820"/>
    <n v="766800"/>
    <n v="155140"/>
    <s v="error"/>
    <n v="-5.2"/>
    <n v="0.8"/>
    <x v="30"/>
    <n v="646.75"/>
    <n v="176.25"/>
    <s v="error"/>
    <n v="-660"/>
    <n v="11460"/>
    <n v="21340"/>
    <s v="DOWN"/>
    <s v="Short covering"/>
    <n v="31372.45"/>
  </r>
  <r>
    <x v="12"/>
    <s v="Long Liquidation"/>
    <s v="DOWN"/>
    <n v="490460"/>
    <n v="148120"/>
    <n v="-2360"/>
    <s v="error"/>
    <n v="-2.5499999999999998"/>
    <n v="0.6"/>
    <x v="31"/>
    <n v="714"/>
    <n v="139"/>
    <s v="undefined"/>
    <n v="40"/>
    <n v="280"/>
    <n v="160"/>
    <s v="UP"/>
    <s v="Long Buildup"/>
    <n v="31372.45"/>
  </r>
  <r>
    <x v="12"/>
    <n v="0.88325041459369813"/>
    <m/>
    <m/>
    <n v="9406800"/>
    <m/>
    <m/>
    <m/>
    <m/>
    <x v="16"/>
    <m/>
    <m/>
    <m/>
    <m/>
    <n v="8308560"/>
    <m/>
    <m/>
    <m/>
    <m/>
  </r>
  <r>
    <x v="12"/>
    <s v="Long Liquidation"/>
    <s v="DOWN"/>
    <n v="900"/>
    <n v="4080"/>
    <n v="-460"/>
    <s v="undefined"/>
    <n v="-168.55000000000007"/>
    <n v="764.15"/>
    <x v="33"/>
    <n v="0.55000000000000004"/>
    <n v="-2.4500000000000002"/>
    <s v="error"/>
    <n v="3720"/>
    <n v="202960"/>
    <n v="129520"/>
    <s v="UP"/>
    <s v="Short Buildup"/>
    <n v="31372.45"/>
  </r>
  <r>
    <x v="12"/>
    <s v="Long Liquidation"/>
    <s v="DOWN"/>
    <n v="4640"/>
    <n v="11560"/>
    <n v="-260"/>
    <s v="undefined"/>
    <n v="-168.5"/>
    <n v="667.5"/>
    <x v="17"/>
    <n v="0.8"/>
    <n v="-2.8"/>
    <s v="error"/>
    <n v="29700"/>
    <n v="219900"/>
    <n v="268360"/>
    <s v="UP"/>
    <s v="Short Buildup"/>
    <n v="31372.45"/>
  </r>
  <r>
    <x v="12"/>
    <s v="Long Liquidation"/>
    <s v="DOWN"/>
    <n v="2060"/>
    <n v="7360"/>
    <n v="-140"/>
    <s v="undefined"/>
    <n v="-177.89999999999998"/>
    <n v="557.70000000000005"/>
    <x v="18"/>
    <n v="1.05"/>
    <n v="-3.05"/>
    <s v="error"/>
    <n v="11480"/>
    <n v="378880"/>
    <n v="628780"/>
    <s v="UP"/>
    <s v="Short Buildup"/>
    <n v="31372.45"/>
  </r>
  <r>
    <x v="12"/>
    <s v="Short Buildup"/>
    <s v="UP"/>
    <n v="3180"/>
    <n v="6320"/>
    <n v="80"/>
    <s v="undefined"/>
    <n v="-180.29999999999995"/>
    <n v="453.25"/>
    <x v="19"/>
    <n v="1.85"/>
    <n v="-3.65"/>
    <s v="error"/>
    <n v="170120"/>
    <n v="536000"/>
    <n v="1270760"/>
    <s v="UP"/>
    <s v="Short Buildup"/>
    <n v="31372.45"/>
  </r>
  <r>
    <x v="12"/>
    <s v="Short Buildup"/>
    <s v="UP"/>
    <n v="91120"/>
    <n v="104560"/>
    <n v="16340"/>
    <s v="undefined"/>
    <n v="-183.90000000000003"/>
    <n v="360.95"/>
    <x v="20"/>
    <n v="3.55"/>
    <n v="-3.8500000000000005"/>
    <s v="error"/>
    <n v="739320"/>
    <n v="1549920"/>
    <n v="3621980"/>
    <s v="UP"/>
    <s v="Short Buildup"/>
    <n v="31372.45"/>
  </r>
  <r>
    <x v="12"/>
    <s v="Short Buildup"/>
    <s v="UP"/>
    <n v="79980"/>
    <n v="42680"/>
    <n v="12020"/>
    <s v="undefined"/>
    <n v="-181.29999999999995"/>
    <n v="263.85000000000002"/>
    <x v="21"/>
    <n v="7"/>
    <n v="-3.1500000000000004"/>
    <s v="error"/>
    <n v="502360"/>
    <n v="1021060"/>
    <n v="4122460"/>
    <s v="UP"/>
    <s v="Short Buildup"/>
    <n v="31372.45"/>
  </r>
  <r>
    <x v="12"/>
    <s v="Short Buildup"/>
    <s v="UP"/>
    <n v="763140"/>
    <n v="237720"/>
    <n v="106000"/>
    <s v="error"/>
    <n v="-175.35"/>
    <n v="175.1"/>
    <x v="22"/>
    <n v="18.7"/>
    <n v="1.3000000000000007"/>
    <s v="error"/>
    <n v="822080"/>
    <n v="1348020"/>
    <n v="5798160"/>
    <s v="UP"/>
    <s v="Long Buildup"/>
    <n v="31372.45"/>
  </r>
  <r>
    <x v="12"/>
    <s v="Short Buildup"/>
    <s v="UP"/>
    <n v="1337480"/>
    <n v="273780"/>
    <n v="157840"/>
    <s v="error"/>
    <n v="-163.4"/>
    <n v="102.15"/>
    <x v="23"/>
    <n v="45.85"/>
    <n v="14.900000000000002"/>
    <s v="error"/>
    <n v="557640"/>
    <n v="1208140"/>
    <n v="6802520"/>
    <s v="UP"/>
    <s v="Long Buildup"/>
    <n v="31372.45"/>
  </r>
  <r>
    <x v="12"/>
    <s v="Short Buildup"/>
    <s v="UP"/>
    <n v="4428100"/>
    <n v="942720"/>
    <n v="758420"/>
    <s v="error"/>
    <n v="-138.65"/>
    <n v="50.35"/>
    <x v="24"/>
    <n v="93.9"/>
    <n v="39.950000000000003"/>
    <s v="error"/>
    <n v="376980"/>
    <n v="933200"/>
    <n v="5883980"/>
    <s v="UP"/>
    <s v="Long Buildup"/>
    <n v="31372.45"/>
  </r>
  <r>
    <x v="12"/>
    <s v="Short Buildup"/>
    <s v="UP"/>
    <n v="8267240"/>
    <n v="2328640"/>
    <n v="1550100"/>
    <s v="error"/>
    <n v="-104.80000000000001"/>
    <n v="21.65"/>
    <x v="25"/>
    <n v="165.35"/>
    <n v="75.199999999999989"/>
    <s v="error"/>
    <n v="37060"/>
    <n v="667540"/>
    <n v="3699740"/>
    <s v="UP"/>
    <s v="Long Buildup"/>
    <n v="31372.45"/>
  </r>
  <r>
    <x v="12"/>
    <s v="Short Buildup"/>
    <s v="UP"/>
    <n v="7058460"/>
    <n v="1700520"/>
    <n v="1080860"/>
    <s v="error"/>
    <n v="-70.150000000000006"/>
    <n v="8.3000000000000007"/>
    <x v="26"/>
    <n v="251.35"/>
    <n v="109.25"/>
    <s v="error"/>
    <n v="51320"/>
    <n v="145560"/>
    <n v="1108520"/>
    <s v="UP"/>
    <s v="Long Buildup"/>
    <n v="31372.45"/>
  </r>
  <r>
    <x v="12"/>
    <s v="Short Buildup"/>
    <s v="UP"/>
    <n v="6191180"/>
    <n v="1310500"/>
    <n v="675240"/>
    <s v="error"/>
    <n v="-40.85"/>
    <n v="3.6"/>
    <x v="27"/>
    <n v="345.6"/>
    <n v="136.20000000000002"/>
    <s v="error"/>
    <n v="4780"/>
    <n v="54540"/>
    <n v="495180"/>
    <s v="UP"/>
    <s v="Long Buildup"/>
    <n v="31372.45"/>
  </r>
  <r>
    <x v="12"/>
    <s v="Short Buildup"/>
    <s v="UP"/>
    <n v="4318380"/>
    <n v="1016600"/>
    <n v="431220"/>
    <s v="error"/>
    <n v="-21.85"/>
    <n v="1.65"/>
    <x v="28"/>
    <n v="441.35"/>
    <n v="156"/>
    <s v="error"/>
    <n v="9200"/>
    <n v="24180"/>
    <n v="191580"/>
    <s v="UP"/>
    <s v="Long Buildup"/>
    <n v="31372.45"/>
  </r>
  <r>
    <x v="12"/>
    <s v="Long Liquidation"/>
    <s v="DOWN"/>
    <n v="2809220"/>
    <n v="504840"/>
    <n v="-6960"/>
    <s v="error"/>
    <n v="-10.199999999999999"/>
    <n v="0.9"/>
    <x v="29"/>
    <n v="546"/>
    <n v="169.3"/>
    <s v="error"/>
    <n v="1380"/>
    <n v="6920"/>
    <n v="31900"/>
    <s v="UP"/>
    <s v="Long Buildup"/>
    <n v="31372.45"/>
  </r>
  <r>
    <x v="12"/>
    <s v="Short Buildup"/>
    <s v="UP"/>
    <n v="3463820"/>
    <n v="766800"/>
    <n v="155140"/>
    <s v="error"/>
    <n v="-5.2"/>
    <n v="0.8"/>
    <x v="30"/>
    <n v="646.75"/>
    <n v="176.25"/>
    <s v="error"/>
    <n v="-660"/>
    <n v="11460"/>
    <n v="21340"/>
    <s v="DOWN"/>
    <s v="Short covering"/>
    <n v="31372.45"/>
  </r>
  <r>
    <x v="12"/>
    <s v="Long Liquidation"/>
    <s v="DOWN"/>
    <n v="490460"/>
    <n v="148120"/>
    <n v="-2360"/>
    <s v="error"/>
    <n v="-2.5499999999999998"/>
    <n v="0.6"/>
    <x v="31"/>
    <n v="714"/>
    <n v="139"/>
    <s v="undefined"/>
    <n v="40"/>
    <n v="280"/>
    <n v="160"/>
    <s v="UP"/>
    <s v="Long Buildup"/>
    <n v="31372.45"/>
  </r>
  <r>
    <x v="12"/>
    <n v="0.88325041459369813"/>
    <m/>
    <m/>
    <n v="9406800"/>
    <m/>
    <m/>
    <m/>
    <m/>
    <x v="16"/>
    <m/>
    <m/>
    <m/>
    <m/>
    <n v="8308560"/>
    <m/>
    <m/>
    <m/>
    <m/>
  </r>
  <r>
    <x v="13"/>
    <s v="Long Liquidation"/>
    <s v="DOWN"/>
    <n v="900"/>
    <n v="4080"/>
    <n v="-460"/>
    <s v="undefined"/>
    <n v="-168.55000000000007"/>
    <n v="764.15"/>
    <x v="33"/>
    <n v="0.6"/>
    <n v="-2.4"/>
    <s v="error"/>
    <n v="1740"/>
    <n v="200980"/>
    <n v="132520"/>
    <s v="UP"/>
    <s v="Short Buildup"/>
    <n v="31370"/>
  </r>
  <r>
    <x v="13"/>
    <s v="Long Liquidation"/>
    <s v="DOWN"/>
    <n v="4680"/>
    <n v="11000"/>
    <n v="-820"/>
    <s v="undefined"/>
    <n v="-166.29999999999995"/>
    <n v="669.7"/>
    <x v="17"/>
    <n v="0.75"/>
    <n v="-2.85"/>
    <s v="error"/>
    <n v="28420"/>
    <n v="218620"/>
    <n v="272340"/>
    <s v="UP"/>
    <s v="Short Buildup"/>
    <n v="31370"/>
  </r>
  <r>
    <x v="13"/>
    <s v="Long Liquidation"/>
    <s v="DOWN"/>
    <n v="2400"/>
    <n v="7060"/>
    <n v="-440"/>
    <s v="undefined"/>
    <n v="-182.60000000000002"/>
    <n v="553"/>
    <x v="18"/>
    <n v="1.05"/>
    <n v="-3.05"/>
    <s v="error"/>
    <n v="11440"/>
    <n v="378840"/>
    <n v="647980"/>
    <s v="UP"/>
    <s v="Short Buildup"/>
    <n v="31370"/>
  </r>
  <r>
    <x v="13"/>
    <s v="Short Buildup"/>
    <s v="UP"/>
    <n v="3260"/>
    <n v="6400"/>
    <n v="160"/>
    <s v="undefined"/>
    <n v="-181.09999999999997"/>
    <n v="452.45"/>
    <x v="19"/>
    <n v="1.85"/>
    <n v="-3.65"/>
    <s v="error"/>
    <n v="191960"/>
    <n v="557840"/>
    <n v="1344920"/>
    <s v="UP"/>
    <s v="Short Buildup"/>
    <n v="31370"/>
  </r>
  <r>
    <x v="13"/>
    <s v="Short Buildup"/>
    <s v="UP"/>
    <n v="101140"/>
    <n v="105060"/>
    <n v="16840"/>
    <s v="undefined"/>
    <n v="-189.45000000000005"/>
    <n v="355.4"/>
    <x v="20"/>
    <n v="3.65"/>
    <n v="-3.7500000000000004"/>
    <s v="error"/>
    <n v="783820"/>
    <n v="1594420"/>
    <n v="3800140"/>
    <s v="UP"/>
    <s v="Short Buildup"/>
    <n v="31370"/>
  </r>
  <r>
    <x v="13"/>
    <s v="Short Buildup"/>
    <s v="UP"/>
    <n v="90560"/>
    <n v="45780"/>
    <n v="15120"/>
    <s v="undefined"/>
    <n v="-181.75"/>
    <n v="263.39999999999998"/>
    <x v="21"/>
    <n v="7.55"/>
    <n v="-2.6000000000000005"/>
    <s v="error"/>
    <n v="567640"/>
    <n v="1086340"/>
    <n v="4366560"/>
    <s v="UP"/>
    <s v="Short Buildup"/>
    <n v="31370"/>
  </r>
  <r>
    <x v="13"/>
    <s v="Short Buildup"/>
    <s v="UP"/>
    <n v="830240"/>
    <n v="250480"/>
    <n v="118760"/>
    <s v="error"/>
    <n v="-175"/>
    <n v="175.45"/>
    <x v="22"/>
    <n v="20.149999999999999"/>
    <n v="2.75"/>
    <s v="error"/>
    <n v="804620"/>
    <n v="1330560"/>
    <n v="6238860"/>
    <s v="UP"/>
    <s v="Long Buildup"/>
    <n v="31370"/>
  </r>
  <r>
    <x v="13"/>
    <s v="Short Buildup"/>
    <s v="UP"/>
    <n v="1492100"/>
    <n v="303180"/>
    <n v="187240"/>
    <s v="error"/>
    <n v="-163.20000000000002"/>
    <n v="102.35"/>
    <x v="23"/>
    <n v="47.55"/>
    <n v="16.599999999999998"/>
    <s v="error"/>
    <n v="490260"/>
    <n v="1140760"/>
    <n v="7279020"/>
    <s v="UP"/>
    <s v="Long Buildup"/>
    <n v="31370"/>
  </r>
  <r>
    <x v="13"/>
    <s v="Short Buildup"/>
    <s v="UP"/>
    <n v="4899200"/>
    <n v="1029280"/>
    <n v="844980"/>
    <s v="error"/>
    <n v="-138.1"/>
    <n v="50.9"/>
    <x v="24"/>
    <n v="96.45"/>
    <n v="42.5"/>
    <s v="error"/>
    <n v="294680"/>
    <n v="850900"/>
    <n v="6268540"/>
    <s v="UP"/>
    <s v="Long Buildup"/>
    <n v="31370"/>
  </r>
  <r>
    <x v="13"/>
    <s v="Short Buildup"/>
    <s v="UP"/>
    <n v="8934800"/>
    <n v="2390480"/>
    <n v="1611940"/>
    <s v="error"/>
    <n v="-104.2"/>
    <n v="22.25"/>
    <x v="25"/>
    <n v="167.95"/>
    <n v="77.799999999999983"/>
    <s v="error"/>
    <n v="-11380"/>
    <n v="619100"/>
    <n v="3912760"/>
    <s v="DOWN"/>
    <s v="Short covering"/>
    <n v="31370"/>
  </r>
  <r>
    <x v="13"/>
    <s v="Short Buildup"/>
    <s v="UP"/>
    <n v="7502580"/>
    <n v="1697620"/>
    <n v="1077960"/>
    <s v="error"/>
    <n v="-70.150000000000006"/>
    <n v="8.3000000000000007"/>
    <x v="26"/>
    <n v="253.3"/>
    <n v="111.20000000000002"/>
    <s v="error"/>
    <n v="31140"/>
    <n v="125380"/>
    <n v="1152040"/>
    <s v="UP"/>
    <s v="Long Buildup"/>
    <n v="31370"/>
  </r>
  <r>
    <x v="13"/>
    <s v="Short Buildup"/>
    <s v="UP"/>
    <n v="6484320"/>
    <n v="1310660"/>
    <n v="675400"/>
    <s v="error"/>
    <n v="-40.85"/>
    <n v="3.6"/>
    <x v="27"/>
    <n v="349.85"/>
    <n v="140.45000000000002"/>
    <s v="error"/>
    <n v="360"/>
    <n v="50120"/>
    <n v="507000"/>
    <s v="UP"/>
    <s v="Long Buildup"/>
    <n v="31370"/>
  </r>
  <r>
    <x v="13"/>
    <s v="Short Buildup"/>
    <s v="UP"/>
    <n v="4482680"/>
    <n v="1032620"/>
    <n v="447240"/>
    <s v="error"/>
    <n v="-21.8"/>
    <n v="1.7"/>
    <x v="28"/>
    <n v="448.35"/>
    <n v="163"/>
    <s v="error"/>
    <n v="5680"/>
    <n v="20660"/>
    <n v="195440"/>
    <s v="UP"/>
    <s v="Long Buildup"/>
    <n v="31370"/>
  </r>
  <r>
    <x v="13"/>
    <s v="Long Liquidation"/>
    <s v="DOWN"/>
    <n v="2997260"/>
    <n v="488240"/>
    <n v="-23560"/>
    <s v="error"/>
    <n v="-10.15"/>
    <n v="0.95"/>
    <x v="29"/>
    <n v="548.65"/>
    <n v="171.95"/>
    <s v="error"/>
    <n v="1540"/>
    <n v="7080"/>
    <n v="32780"/>
    <s v="UP"/>
    <s v="Long Buildup"/>
    <n v="31370"/>
  </r>
  <r>
    <x v="13"/>
    <s v="Short Buildup"/>
    <s v="UP"/>
    <n v="4127240"/>
    <n v="823200"/>
    <n v="211540"/>
    <s v="error"/>
    <n v="-5.25"/>
    <n v="0.75"/>
    <x v="30"/>
    <n v="646.25"/>
    <n v="175.75"/>
    <s v="error"/>
    <n v="-900"/>
    <n v="11220"/>
    <n v="21480"/>
    <s v="DOWN"/>
    <s v="Short covering"/>
    <n v="31370"/>
  </r>
  <r>
    <x v="13"/>
    <s v="Short Buildup"/>
    <s v="UP"/>
    <n v="502780"/>
    <n v="158440"/>
    <n v="7960"/>
    <s v="error"/>
    <n v="-2.5"/>
    <n v="0.65"/>
    <x v="31"/>
    <n v="714"/>
    <n v="139"/>
    <s v="undefined"/>
    <n v="40"/>
    <n v="280"/>
    <n v="160"/>
    <s v="UP"/>
    <s v="Long Buildup"/>
    <n v="31370"/>
  </r>
  <r>
    <x v="13"/>
    <n v="0.84783279074628659"/>
    <m/>
    <m/>
    <n v="9663580"/>
    <m/>
    <m/>
    <m/>
    <m/>
    <x v="16"/>
    <m/>
    <m/>
    <m/>
    <m/>
    <n v="8193100"/>
    <m/>
    <m/>
    <m/>
    <m/>
  </r>
  <r>
    <x v="13"/>
    <s v="Long Liquidation"/>
    <s v="DOWN"/>
    <n v="900"/>
    <n v="4080"/>
    <n v="-460"/>
    <s v="undefined"/>
    <n v="-168.55000000000007"/>
    <n v="764.15"/>
    <x v="33"/>
    <n v="0.6"/>
    <n v="-2.4"/>
    <s v="error"/>
    <n v="1740"/>
    <n v="200980"/>
    <n v="132520"/>
    <s v="UP"/>
    <s v="Short Buildup"/>
    <n v="31370"/>
  </r>
  <r>
    <x v="13"/>
    <s v="Long Liquidation"/>
    <s v="DOWN"/>
    <n v="4680"/>
    <n v="11000"/>
    <n v="-820"/>
    <s v="undefined"/>
    <n v="-166.29999999999995"/>
    <n v="669.7"/>
    <x v="17"/>
    <n v="0.75"/>
    <n v="-2.85"/>
    <s v="error"/>
    <n v="28420"/>
    <n v="218620"/>
    <n v="272340"/>
    <s v="UP"/>
    <s v="Short Buildup"/>
    <n v="31370"/>
  </r>
  <r>
    <x v="13"/>
    <s v="Long Liquidation"/>
    <s v="DOWN"/>
    <n v="2400"/>
    <n v="7060"/>
    <n v="-440"/>
    <s v="undefined"/>
    <n v="-182.60000000000002"/>
    <n v="553"/>
    <x v="18"/>
    <n v="1.05"/>
    <n v="-3.05"/>
    <s v="error"/>
    <n v="11440"/>
    <n v="378840"/>
    <n v="647980"/>
    <s v="UP"/>
    <s v="Short Buildup"/>
    <n v="31370"/>
  </r>
  <r>
    <x v="13"/>
    <s v="Short Buildup"/>
    <s v="UP"/>
    <n v="3260"/>
    <n v="6400"/>
    <n v="160"/>
    <s v="undefined"/>
    <n v="-181.09999999999997"/>
    <n v="452.45"/>
    <x v="19"/>
    <n v="1.85"/>
    <n v="-3.65"/>
    <s v="error"/>
    <n v="191960"/>
    <n v="557840"/>
    <n v="1344920"/>
    <s v="UP"/>
    <s v="Short Buildup"/>
    <n v="31370"/>
  </r>
  <r>
    <x v="13"/>
    <s v="Short Buildup"/>
    <s v="UP"/>
    <n v="101140"/>
    <n v="105060"/>
    <n v="16840"/>
    <s v="undefined"/>
    <n v="-189.45000000000005"/>
    <n v="355.4"/>
    <x v="20"/>
    <n v="3.65"/>
    <n v="-3.7500000000000004"/>
    <s v="error"/>
    <n v="783820"/>
    <n v="1594420"/>
    <n v="3800140"/>
    <s v="UP"/>
    <s v="Short Buildup"/>
    <n v="31370"/>
  </r>
  <r>
    <x v="13"/>
    <s v="Short Buildup"/>
    <s v="UP"/>
    <n v="90560"/>
    <n v="45780"/>
    <n v="15120"/>
    <s v="undefined"/>
    <n v="-181.75"/>
    <n v="263.39999999999998"/>
    <x v="21"/>
    <n v="7.55"/>
    <n v="-2.6000000000000005"/>
    <s v="error"/>
    <n v="567640"/>
    <n v="1086340"/>
    <n v="4366560"/>
    <s v="UP"/>
    <s v="Short Buildup"/>
    <n v="31370"/>
  </r>
  <r>
    <x v="13"/>
    <s v="Short Buildup"/>
    <s v="UP"/>
    <n v="830240"/>
    <n v="250480"/>
    <n v="118760"/>
    <s v="error"/>
    <n v="-175"/>
    <n v="175.45"/>
    <x v="22"/>
    <n v="20.149999999999999"/>
    <n v="2.75"/>
    <s v="error"/>
    <n v="804620"/>
    <n v="1330560"/>
    <n v="6238860"/>
    <s v="UP"/>
    <s v="Long Buildup"/>
    <n v="31370"/>
  </r>
  <r>
    <x v="13"/>
    <s v="Short Buildup"/>
    <s v="UP"/>
    <n v="1492100"/>
    <n v="303180"/>
    <n v="187240"/>
    <s v="error"/>
    <n v="-163.20000000000002"/>
    <n v="102.35"/>
    <x v="23"/>
    <n v="47.55"/>
    <n v="16.599999999999998"/>
    <s v="error"/>
    <n v="490260"/>
    <n v="1140760"/>
    <n v="7279020"/>
    <s v="UP"/>
    <s v="Long Buildup"/>
    <n v="31370"/>
  </r>
  <r>
    <x v="13"/>
    <s v="Short Buildup"/>
    <s v="UP"/>
    <n v="4899200"/>
    <n v="1029280"/>
    <n v="844980"/>
    <s v="error"/>
    <n v="-138.1"/>
    <n v="50.9"/>
    <x v="24"/>
    <n v="96.45"/>
    <n v="42.5"/>
    <s v="error"/>
    <n v="294680"/>
    <n v="850900"/>
    <n v="6268540"/>
    <s v="UP"/>
    <s v="Long Buildup"/>
    <n v="31370"/>
  </r>
  <r>
    <x v="13"/>
    <s v="Short Buildup"/>
    <s v="UP"/>
    <n v="8934800"/>
    <n v="2390480"/>
    <n v="1611940"/>
    <s v="error"/>
    <n v="-104.2"/>
    <n v="22.25"/>
    <x v="25"/>
    <n v="167.95"/>
    <n v="77.799999999999983"/>
    <s v="error"/>
    <n v="-11380"/>
    <n v="619100"/>
    <n v="3912760"/>
    <s v="DOWN"/>
    <s v="Short covering"/>
    <n v="31370"/>
  </r>
  <r>
    <x v="13"/>
    <s v="Short Buildup"/>
    <s v="UP"/>
    <n v="7502580"/>
    <n v="1697620"/>
    <n v="1077960"/>
    <s v="error"/>
    <n v="-70.150000000000006"/>
    <n v="8.3000000000000007"/>
    <x v="26"/>
    <n v="253.3"/>
    <n v="111.20000000000002"/>
    <s v="error"/>
    <n v="31140"/>
    <n v="125380"/>
    <n v="1152040"/>
    <s v="UP"/>
    <s v="Long Buildup"/>
    <n v="31370"/>
  </r>
  <r>
    <x v="13"/>
    <s v="Short Buildup"/>
    <s v="UP"/>
    <n v="6484320"/>
    <n v="1310660"/>
    <n v="675400"/>
    <s v="error"/>
    <n v="-40.85"/>
    <n v="3.6"/>
    <x v="27"/>
    <n v="349.85"/>
    <n v="140.45000000000002"/>
    <s v="error"/>
    <n v="360"/>
    <n v="50120"/>
    <n v="507000"/>
    <s v="UP"/>
    <s v="Long Buildup"/>
    <n v="31370"/>
  </r>
  <r>
    <x v="13"/>
    <s v="Short Buildup"/>
    <s v="UP"/>
    <n v="4482680"/>
    <n v="1032620"/>
    <n v="447240"/>
    <s v="error"/>
    <n v="-21.8"/>
    <n v="1.7"/>
    <x v="28"/>
    <n v="448.35"/>
    <n v="163"/>
    <s v="error"/>
    <n v="5680"/>
    <n v="20660"/>
    <n v="195440"/>
    <s v="UP"/>
    <s v="Long Buildup"/>
    <n v="31370"/>
  </r>
  <r>
    <x v="13"/>
    <s v="Long Liquidation"/>
    <s v="DOWN"/>
    <n v="2997260"/>
    <n v="488240"/>
    <n v="-23560"/>
    <s v="error"/>
    <n v="-10.15"/>
    <n v="0.95"/>
    <x v="29"/>
    <n v="548.65"/>
    <n v="171.95"/>
    <s v="error"/>
    <n v="1540"/>
    <n v="7080"/>
    <n v="32780"/>
    <s v="UP"/>
    <s v="Long Buildup"/>
    <n v="31370"/>
  </r>
  <r>
    <x v="13"/>
    <s v="Short Buildup"/>
    <s v="UP"/>
    <n v="4127240"/>
    <n v="823200"/>
    <n v="211540"/>
    <s v="error"/>
    <n v="-5.25"/>
    <n v="0.75"/>
    <x v="30"/>
    <n v="646.25"/>
    <n v="175.75"/>
    <s v="error"/>
    <n v="-900"/>
    <n v="11220"/>
    <n v="21480"/>
    <s v="DOWN"/>
    <s v="Short covering"/>
    <n v="31370"/>
  </r>
  <r>
    <x v="13"/>
    <s v="Short Buildup"/>
    <s v="UP"/>
    <n v="502780"/>
    <n v="158440"/>
    <n v="7960"/>
    <s v="error"/>
    <n v="-2.5"/>
    <n v="0.65"/>
    <x v="31"/>
    <n v="714"/>
    <n v="139"/>
    <s v="undefined"/>
    <n v="40"/>
    <n v="280"/>
    <n v="160"/>
    <s v="UP"/>
    <s v="Long Buildup"/>
    <n v="31370"/>
  </r>
  <r>
    <x v="13"/>
    <n v="0.84783279074628659"/>
    <m/>
    <m/>
    <n v="9663580"/>
    <m/>
    <m/>
    <m/>
    <m/>
    <x v="16"/>
    <m/>
    <m/>
    <m/>
    <m/>
    <n v="8193100"/>
    <m/>
    <m/>
    <m/>
    <m/>
  </r>
  <r>
    <x v="14"/>
    <s v="Long Liquidation"/>
    <s v="DOWN"/>
    <n v="920"/>
    <n v="4040"/>
    <n v="-500"/>
    <s v="undefined"/>
    <n v="-191.60000000000002"/>
    <n v="741.1"/>
    <x v="33"/>
    <n v="0.65"/>
    <n v="-2.35"/>
    <s v="error"/>
    <n v="780"/>
    <n v="200020"/>
    <n v="137520"/>
    <s v="UP"/>
    <s v="Short Buildup"/>
    <n v="31353.45"/>
  </r>
  <r>
    <x v="14"/>
    <s v="Long Liquidation"/>
    <s v="DOWN"/>
    <n v="4820"/>
    <n v="11020"/>
    <n v="-800"/>
    <s v="undefined"/>
    <n v="-201"/>
    <n v="635"/>
    <x v="17"/>
    <n v="0.95"/>
    <n v="-2.6500000000000004"/>
    <s v="error"/>
    <n v="29800"/>
    <n v="220000"/>
    <n v="277760"/>
    <s v="UP"/>
    <s v="Short Buildup"/>
    <n v="31353.45"/>
  </r>
  <r>
    <x v="14"/>
    <s v="Long Liquidation"/>
    <s v="DOWN"/>
    <n v="2820"/>
    <n v="7120"/>
    <n v="-380"/>
    <s v="undefined"/>
    <n v="-198.5"/>
    <n v="537.1"/>
    <x v="18"/>
    <n v="1.4"/>
    <n v="-2.6999999999999997"/>
    <s v="error"/>
    <n v="12540"/>
    <n v="379940"/>
    <n v="680940"/>
    <s v="UP"/>
    <s v="Short Buildup"/>
    <n v="31353.45"/>
  </r>
  <r>
    <x v="14"/>
    <s v="Short Buildup"/>
    <s v="UP"/>
    <n v="3920"/>
    <n v="6300"/>
    <n v="60"/>
    <s v="undefined"/>
    <n v="-193.54999999999995"/>
    <n v="440"/>
    <x v="19"/>
    <n v="2.25"/>
    <n v="-3.25"/>
    <s v="error"/>
    <n v="201460"/>
    <n v="567340"/>
    <n v="1399360"/>
    <s v="UP"/>
    <s v="Short Buildup"/>
    <n v="31353.45"/>
  </r>
  <r>
    <x v="14"/>
    <s v="Short Buildup"/>
    <s v="UP"/>
    <n v="115400"/>
    <n v="101020"/>
    <n v="12800"/>
    <s v="undefined"/>
    <n v="-205.75"/>
    <n v="339.1"/>
    <x v="20"/>
    <n v="4.3"/>
    <n v="-3.1000000000000005"/>
    <s v="error"/>
    <n v="820380"/>
    <n v="1630980"/>
    <n v="4041500"/>
    <s v="UP"/>
    <s v="Short Buildup"/>
    <n v="31353.45"/>
  </r>
  <r>
    <x v="14"/>
    <s v="Short Buildup"/>
    <s v="UP"/>
    <n v="103200"/>
    <n v="47620"/>
    <n v="16960"/>
    <s v="undefined"/>
    <n v="-202.54999999999998"/>
    <n v="242.6"/>
    <x v="21"/>
    <n v="9.1"/>
    <n v="-1.0500000000000007"/>
    <s v="error"/>
    <n v="584300"/>
    <n v="1103000"/>
    <n v="4678280"/>
    <s v="UP"/>
    <s v="Short Buildup"/>
    <n v="31353.45"/>
  </r>
  <r>
    <x v="14"/>
    <s v="Short Buildup"/>
    <s v="UP"/>
    <n v="947320"/>
    <n v="242380"/>
    <n v="110660"/>
    <s v="error"/>
    <n v="-193.14999999999998"/>
    <n v="157.30000000000001"/>
    <x v="22"/>
    <n v="23.7"/>
    <n v="6.3000000000000007"/>
    <s v="error"/>
    <n v="802980"/>
    <n v="1328920"/>
    <n v="6714560"/>
    <s v="UP"/>
    <s v="Long Buildup"/>
    <n v="31353.45"/>
  </r>
  <r>
    <x v="14"/>
    <s v="Short Buildup"/>
    <s v="UP"/>
    <n v="1750140"/>
    <n v="336880"/>
    <n v="220940"/>
    <s v="error"/>
    <n v="-176.8"/>
    <n v="88.75"/>
    <x v="23"/>
    <n v="55.4"/>
    <n v="24.45"/>
    <s v="error"/>
    <n v="480840"/>
    <n v="1131340"/>
    <n v="7913520"/>
    <s v="UP"/>
    <s v="Long Buildup"/>
    <n v="31353.45"/>
  </r>
  <r>
    <x v="14"/>
    <s v="Short Buildup"/>
    <s v="UP"/>
    <n v="5457660"/>
    <n v="1063440"/>
    <n v="879140"/>
    <s v="error"/>
    <n v="-146.1"/>
    <n v="42.9"/>
    <x v="24"/>
    <n v="109.45"/>
    <n v="55.5"/>
    <s v="error"/>
    <n v="268440"/>
    <n v="824660"/>
    <n v="6820220"/>
    <s v="UP"/>
    <s v="Long Buildup"/>
    <n v="31353.45"/>
  </r>
  <r>
    <x v="14"/>
    <s v="Short Buildup"/>
    <s v="UP"/>
    <n v="9655640"/>
    <n v="2464700"/>
    <n v="1686160"/>
    <s v="error"/>
    <n v="-108.25"/>
    <n v="18.2"/>
    <x v="25"/>
    <n v="184.2"/>
    <n v="94.049999999999983"/>
    <s v="error"/>
    <n v="-58980"/>
    <n v="571500"/>
    <n v="4109680"/>
    <s v="DOWN"/>
    <s v="Short covering"/>
    <n v="31353.45"/>
  </r>
  <r>
    <x v="14"/>
    <s v="Short Buildup"/>
    <s v="UP"/>
    <n v="7953700"/>
    <n v="1741420"/>
    <n v="1121760"/>
    <s v="error"/>
    <n v="-71.650000000000006"/>
    <n v="6.8"/>
    <x v="26"/>
    <n v="273"/>
    <n v="130.9"/>
    <s v="error"/>
    <n v="26820"/>
    <n v="121060"/>
    <n v="1188020"/>
    <s v="UP"/>
    <s v="Long Buildup"/>
    <n v="31353.45"/>
  </r>
  <r>
    <x v="14"/>
    <s v="Short Buildup"/>
    <s v="UP"/>
    <n v="6755440"/>
    <n v="1292740"/>
    <n v="657480"/>
    <s v="error"/>
    <n v="-41.300000000000004"/>
    <n v="3.15"/>
    <x v="27"/>
    <n v="369.15"/>
    <n v="159.74999999999997"/>
    <s v="error"/>
    <n v="-1240"/>
    <n v="48520"/>
    <n v="520540"/>
    <s v="DOWN"/>
    <s v="Short covering"/>
    <n v="31353.45"/>
  </r>
  <r>
    <x v="14"/>
    <s v="Short Buildup"/>
    <s v="UP"/>
    <n v="4619820"/>
    <n v="1008060"/>
    <n v="422680"/>
    <s v="error"/>
    <n v="-22"/>
    <n v="1.5"/>
    <x v="28"/>
    <n v="468.75"/>
    <n v="183.39999999999998"/>
    <s v="error"/>
    <n v="4660"/>
    <n v="19640"/>
    <n v="199800"/>
    <s v="UP"/>
    <s v="Long Buildup"/>
    <n v="31353.45"/>
  </r>
  <r>
    <x v="14"/>
    <s v="Long Liquidation"/>
    <s v="DOWN"/>
    <n v="3198360"/>
    <n v="509940"/>
    <n v="-1860"/>
    <s v="error"/>
    <n v="-10.15"/>
    <n v="0.95"/>
    <x v="29"/>
    <n v="564.70000000000005"/>
    <n v="188.00000000000006"/>
    <s v="error"/>
    <n v="1620"/>
    <n v="7160"/>
    <n v="34220"/>
    <s v="UP"/>
    <s v="Long Buildup"/>
    <n v="31353.45"/>
  </r>
  <r>
    <x v="14"/>
    <s v="Short Buildup"/>
    <s v="UP"/>
    <n v="4160500"/>
    <n v="818300"/>
    <n v="206640"/>
    <s v="error"/>
    <n v="-5.2"/>
    <n v="0.8"/>
    <x v="30"/>
    <n v="670.3"/>
    <n v="199.79999999999995"/>
    <s v="error"/>
    <n v="-1000"/>
    <n v="11120"/>
    <n v="24300"/>
    <s v="DOWN"/>
    <s v="Short covering"/>
    <n v="31353.45"/>
  </r>
  <r>
    <x v="14"/>
    <s v="Short Buildup"/>
    <s v="UP"/>
    <n v="510740"/>
    <n v="156980"/>
    <n v="6500"/>
    <s v="error"/>
    <n v="-2.5499999999999998"/>
    <n v="0.6"/>
    <x v="31"/>
    <n v="714"/>
    <n v="139"/>
    <s v="undefined"/>
    <n v="40"/>
    <n v="280"/>
    <n v="160"/>
    <s v="UP"/>
    <s v="Long Buildup"/>
    <n v="31353.45"/>
  </r>
  <r>
    <x v="14"/>
    <n v="0.8321966253429488"/>
    <m/>
    <m/>
    <n v="9811960"/>
    <m/>
    <m/>
    <m/>
    <m/>
    <x v="16"/>
    <m/>
    <m/>
    <m/>
    <m/>
    <n v="8165480"/>
    <m/>
    <m/>
    <m/>
    <m/>
  </r>
  <r>
    <x v="14"/>
    <s v="Long Liquidation"/>
    <s v="DOWN"/>
    <n v="920"/>
    <n v="4040"/>
    <n v="-500"/>
    <s v="undefined"/>
    <n v="-191.60000000000002"/>
    <n v="741.1"/>
    <x v="33"/>
    <n v="0.65"/>
    <n v="-2.35"/>
    <s v="error"/>
    <n v="780"/>
    <n v="200020"/>
    <n v="137520"/>
    <s v="UP"/>
    <s v="Short Buildup"/>
    <n v="31353.45"/>
  </r>
  <r>
    <x v="14"/>
    <s v="Long Liquidation"/>
    <s v="DOWN"/>
    <n v="4820"/>
    <n v="11020"/>
    <n v="-800"/>
    <s v="undefined"/>
    <n v="-201"/>
    <n v="635"/>
    <x v="17"/>
    <n v="0.95"/>
    <n v="-2.6500000000000004"/>
    <s v="error"/>
    <n v="29800"/>
    <n v="220000"/>
    <n v="277760"/>
    <s v="UP"/>
    <s v="Short Buildup"/>
    <n v="31353.45"/>
  </r>
  <r>
    <x v="14"/>
    <s v="Long Liquidation"/>
    <s v="DOWN"/>
    <n v="2820"/>
    <n v="7120"/>
    <n v="-380"/>
    <s v="undefined"/>
    <n v="-198.5"/>
    <n v="537.1"/>
    <x v="18"/>
    <n v="1.4"/>
    <n v="-2.6999999999999997"/>
    <s v="error"/>
    <n v="12540"/>
    <n v="379940"/>
    <n v="680940"/>
    <s v="UP"/>
    <s v="Short Buildup"/>
    <n v="31353.45"/>
  </r>
  <r>
    <x v="14"/>
    <s v="Short Buildup"/>
    <s v="UP"/>
    <n v="3920"/>
    <n v="6300"/>
    <n v="60"/>
    <s v="undefined"/>
    <n v="-193.54999999999995"/>
    <n v="440"/>
    <x v="19"/>
    <n v="2.25"/>
    <n v="-3.25"/>
    <s v="error"/>
    <n v="201460"/>
    <n v="567340"/>
    <n v="1399360"/>
    <s v="UP"/>
    <s v="Short Buildup"/>
    <n v="31353.45"/>
  </r>
  <r>
    <x v="14"/>
    <s v="Short Buildup"/>
    <s v="UP"/>
    <n v="115400"/>
    <n v="101020"/>
    <n v="12800"/>
    <s v="undefined"/>
    <n v="-205.75"/>
    <n v="339.1"/>
    <x v="20"/>
    <n v="4.3"/>
    <n v="-3.1000000000000005"/>
    <s v="error"/>
    <n v="820380"/>
    <n v="1630980"/>
    <n v="4041500"/>
    <s v="UP"/>
    <s v="Short Buildup"/>
    <n v="31353.45"/>
  </r>
  <r>
    <x v="14"/>
    <s v="Short Buildup"/>
    <s v="UP"/>
    <n v="103200"/>
    <n v="47620"/>
    <n v="16960"/>
    <s v="undefined"/>
    <n v="-202.54999999999998"/>
    <n v="242.6"/>
    <x v="21"/>
    <n v="9.1"/>
    <n v="-1.0500000000000007"/>
    <s v="error"/>
    <n v="584300"/>
    <n v="1103000"/>
    <n v="4678280"/>
    <s v="UP"/>
    <s v="Short Buildup"/>
    <n v="31353.45"/>
  </r>
  <r>
    <x v="14"/>
    <s v="Short Buildup"/>
    <s v="UP"/>
    <n v="947320"/>
    <n v="242380"/>
    <n v="110660"/>
    <s v="error"/>
    <n v="-193.14999999999998"/>
    <n v="157.30000000000001"/>
    <x v="22"/>
    <n v="23.7"/>
    <n v="6.3000000000000007"/>
    <s v="error"/>
    <n v="802980"/>
    <n v="1328920"/>
    <n v="6714560"/>
    <s v="UP"/>
    <s v="Long Buildup"/>
    <n v="31353.45"/>
  </r>
  <r>
    <x v="14"/>
    <s v="Short Buildup"/>
    <s v="UP"/>
    <n v="1750140"/>
    <n v="336880"/>
    <n v="220940"/>
    <s v="error"/>
    <n v="-176.8"/>
    <n v="88.75"/>
    <x v="23"/>
    <n v="55.4"/>
    <n v="24.45"/>
    <s v="error"/>
    <n v="480840"/>
    <n v="1131340"/>
    <n v="7913520"/>
    <s v="UP"/>
    <s v="Long Buildup"/>
    <n v="31353.45"/>
  </r>
  <r>
    <x v="14"/>
    <s v="Short Buildup"/>
    <s v="UP"/>
    <n v="5457660"/>
    <n v="1063440"/>
    <n v="879140"/>
    <s v="error"/>
    <n v="-146.1"/>
    <n v="42.9"/>
    <x v="24"/>
    <n v="109.45"/>
    <n v="55.5"/>
    <s v="error"/>
    <n v="268440"/>
    <n v="824660"/>
    <n v="6820220"/>
    <s v="UP"/>
    <s v="Long Buildup"/>
    <n v="31353.45"/>
  </r>
  <r>
    <x v="14"/>
    <s v="Short Buildup"/>
    <s v="UP"/>
    <n v="9655640"/>
    <n v="2464700"/>
    <n v="1686160"/>
    <s v="error"/>
    <n v="-108.25"/>
    <n v="18.2"/>
    <x v="25"/>
    <n v="184.2"/>
    <n v="94.049999999999983"/>
    <s v="error"/>
    <n v="-58980"/>
    <n v="571500"/>
    <n v="4109680"/>
    <s v="DOWN"/>
    <s v="Short covering"/>
    <n v="31353.45"/>
  </r>
  <r>
    <x v="14"/>
    <s v="Short Buildup"/>
    <s v="UP"/>
    <n v="7953700"/>
    <n v="1741420"/>
    <n v="1121760"/>
    <s v="error"/>
    <n v="-71.650000000000006"/>
    <n v="6.8"/>
    <x v="26"/>
    <n v="273"/>
    <n v="130.9"/>
    <s v="error"/>
    <n v="26820"/>
    <n v="121060"/>
    <n v="1188020"/>
    <s v="UP"/>
    <s v="Long Buildup"/>
    <n v="31353.45"/>
  </r>
  <r>
    <x v="14"/>
    <s v="Short Buildup"/>
    <s v="UP"/>
    <n v="6755440"/>
    <n v="1292740"/>
    <n v="657480"/>
    <s v="error"/>
    <n v="-41.300000000000004"/>
    <n v="3.15"/>
    <x v="27"/>
    <n v="369.15"/>
    <n v="159.74999999999997"/>
    <s v="error"/>
    <n v="-1240"/>
    <n v="48520"/>
    <n v="520540"/>
    <s v="DOWN"/>
    <s v="Short covering"/>
    <n v="31353.45"/>
  </r>
  <r>
    <x v="14"/>
    <s v="Short Buildup"/>
    <s v="UP"/>
    <n v="4619820"/>
    <n v="1008060"/>
    <n v="422680"/>
    <s v="error"/>
    <n v="-22"/>
    <n v="1.5"/>
    <x v="28"/>
    <n v="468.75"/>
    <n v="183.39999999999998"/>
    <s v="error"/>
    <n v="4660"/>
    <n v="19640"/>
    <n v="199800"/>
    <s v="UP"/>
    <s v="Long Buildup"/>
    <n v="31353.45"/>
  </r>
  <r>
    <x v="14"/>
    <s v="Long Liquidation"/>
    <s v="DOWN"/>
    <n v="3198360"/>
    <n v="509940"/>
    <n v="-1860"/>
    <s v="error"/>
    <n v="-10.15"/>
    <n v="0.95"/>
    <x v="29"/>
    <n v="564.70000000000005"/>
    <n v="188.00000000000006"/>
    <s v="error"/>
    <n v="1620"/>
    <n v="7160"/>
    <n v="34220"/>
    <s v="UP"/>
    <s v="Long Buildup"/>
    <n v="31353.45"/>
  </r>
  <r>
    <x v="14"/>
    <s v="Short Buildup"/>
    <s v="UP"/>
    <n v="4160500"/>
    <n v="818300"/>
    <n v="206640"/>
    <s v="error"/>
    <n v="-5.2"/>
    <n v="0.8"/>
    <x v="30"/>
    <n v="670.3"/>
    <n v="199.79999999999995"/>
    <s v="error"/>
    <n v="-1000"/>
    <n v="11120"/>
    <n v="24300"/>
    <s v="DOWN"/>
    <s v="Short covering"/>
    <n v="31353.45"/>
  </r>
  <r>
    <x v="14"/>
    <s v="Short Buildup"/>
    <s v="UP"/>
    <n v="510740"/>
    <n v="156980"/>
    <n v="6500"/>
    <s v="error"/>
    <n v="-2.5499999999999998"/>
    <n v="0.6"/>
    <x v="31"/>
    <n v="714"/>
    <n v="139"/>
    <s v="undefined"/>
    <n v="40"/>
    <n v="280"/>
    <n v="160"/>
    <s v="UP"/>
    <s v="Long Buildup"/>
    <n v="31353.45"/>
  </r>
  <r>
    <x v="14"/>
    <n v="0.8321966253429488"/>
    <m/>
    <m/>
    <n v="9811960"/>
    <m/>
    <m/>
    <m/>
    <m/>
    <x v="16"/>
    <m/>
    <m/>
    <m/>
    <m/>
    <n v="8165480"/>
    <m/>
    <m/>
    <m/>
    <m/>
  </r>
  <r>
    <x v="15"/>
    <s v="Long Liquidation"/>
    <s v="DOWN"/>
    <n v="12020"/>
    <n v="26920"/>
    <n v="-5300"/>
    <s v="undefined"/>
    <n v="-231.79999999999995"/>
    <n v="800"/>
    <x v="34"/>
    <n v="0.6"/>
    <n v="-2.1"/>
    <s v="error"/>
    <n v="-12900"/>
    <n v="401440"/>
    <n v="212380"/>
    <s v="DOWN"/>
    <s v="Long Liquidation"/>
    <n v="31325"/>
  </r>
  <r>
    <x v="15"/>
    <s v="Long Liquidation"/>
    <s v="DOWN"/>
    <n v="920"/>
    <n v="4040"/>
    <n v="-500"/>
    <s v="error"/>
    <n v="-191.60000000000002"/>
    <n v="741.1"/>
    <x v="33"/>
    <n v="0.8"/>
    <n v="-2.2000000000000002"/>
    <s v="error"/>
    <n v="2480"/>
    <n v="201720"/>
    <n v="165320"/>
    <s v="UP"/>
    <s v="Short Buildup"/>
    <n v="31325"/>
  </r>
  <r>
    <x v="15"/>
    <s v="Long Liquidation"/>
    <s v="DOWN"/>
    <n v="5400"/>
    <n v="10800"/>
    <n v="-1020"/>
    <s v="undefined"/>
    <n v="-232"/>
    <n v="604"/>
    <x v="17"/>
    <n v="1"/>
    <n v="-2.6"/>
    <s v="error"/>
    <n v="37340"/>
    <n v="227540"/>
    <n v="371460"/>
    <s v="UP"/>
    <s v="Short Buildup"/>
    <n v="31325"/>
  </r>
  <r>
    <x v="15"/>
    <s v="Long Liquidation"/>
    <s v="DOWN"/>
    <n v="2980"/>
    <n v="7040"/>
    <n v="-460"/>
    <s v="undefined"/>
    <n v="-247.60000000000002"/>
    <n v="488"/>
    <x v="18"/>
    <n v="1.35"/>
    <n v="-2.7499999999999996"/>
    <s v="error"/>
    <n v="11240"/>
    <n v="378640"/>
    <n v="802980"/>
    <s v="UP"/>
    <s v="Short Buildup"/>
    <n v="31325"/>
  </r>
  <r>
    <x v="15"/>
    <s v="Short Buildup"/>
    <s v="UP"/>
    <n v="5800"/>
    <n v="6740"/>
    <n v="500"/>
    <s v="undefined"/>
    <n v="-222.49999999999994"/>
    <n v="411.05"/>
    <x v="19"/>
    <n v="2.4500000000000002"/>
    <n v="-3.05"/>
    <s v="error"/>
    <n v="190880"/>
    <n v="556760"/>
    <n v="1714260"/>
    <s v="UP"/>
    <s v="Short Buildup"/>
    <n v="31325"/>
  </r>
  <r>
    <x v="15"/>
    <s v="Short Buildup"/>
    <s v="UP"/>
    <n v="143580"/>
    <n v="102520"/>
    <n v="14300"/>
    <s v="undefined"/>
    <n v="-234.75"/>
    <n v="310.10000000000002"/>
    <x v="20"/>
    <n v="4.8"/>
    <n v="-2.6000000000000005"/>
    <s v="error"/>
    <n v="865940"/>
    <n v="1676540"/>
    <n v="4814200"/>
    <s v="UP"/>
    <s v="Short Buildup"/>
    <n v="31325"/>
  </r>
  <r>
    <x v="15"/>
    <s v="Short Buildup"/>
    <s v="UP"/>
    <n v="146500"/>
    <n v="53120"/>
    <n v="22460"/>
    <s v="undefined"/>
    <n v="-225.54999999999998"/>
    <n v="219.6"/>
    <x v="21"/>
    <n v="11.55"/>
    <n v="1.4000000000000004"/>
    <s v="error"/>
    <n v="588480"/>
    <n v="1107180"/>
    <n v="5692540"/>
    <s v="UP"/>
    <s v="Long Buildup"/>
    <n v="31325"/>
  </r>
  <r>
    <x v="15"/>
    <s v="Short Buildup"/>
    <s v="UP"/>
    <n v="1167220"/>
    <n v="246980"/>
    <n v="115260"/>
    <s v="error"/>
    <n v="-212.54999999999998"/>
    <n v="137.9"/>
    <x v="22"/>
    <n v="31.7"/>
    <n v="14.3"/>
    <s v="error"/>
    <n v="678620"/>
    <n v="1204560"/>
    <n v="8001720"/>
    <s v="UP"/>
    <s v="Long Buildup"/>
    <n v="31325"/>
  </r>
  <r>
    <x v="15"/>
    <s v="Short Buildup"/>
    <s v="UP"/>
    <n v="2290380"/>
    <n v="398760"/>
    <n v="282820"/>
    <s v="error"/>
    <n v="-189.9"/>
    <n v="75.650000000000006"/>
    <x v="23"/>
    <n v="69.7"/>
    <n v="38.75"/>
    <s v="error"/>
    <n v="353420"/>
    <n v="1003920"/>
    <n v="9173780"/>
    <s v="UP"/>
    <s v="Long Buildup"/>
    <n v="31325"/>
  </r>
  <r>
    <x v="15"/>
    <s v="Short Buildup"/>
    <s v="UP"/>
    <n v="6418840"/>
    <n v="1091380"/>
    <n v="907080"/>
    <s v="error"/>
    <n v="-152.5"/>
    <n v="36.5"/>
    <x v="24"/>
    <n v="130"/>
    <n v="76.05"/>
    <s v="error"/>
    <n v="149880"/>
    <n v="706100"/>
    <n v="7612540"/>
    <s v="UP"/>
    <s v="Long Buildup"/>
    <n v="31325"/>
  </r>
  <r>
    <x v="15"/>
    <s v="Short Buildup"/>
    <s v="UP"/>
    <n v="10816960"/>
    <n v="2487940"/>
    <n v="1709400"/>
    <s v="error"/>
    <n v="-110.75"/>
    <n v="15.7"/>
    <x v="25"/>
    <n v="208.3"/>
    <n v="118.15"/>
    <s v="error"/>
    <n v="-94760"/>
    <n v="535720"/>
    <n v="4422620"/>
    <s v="DOWN"/>
    <s v="Short covering"/>
    <n v="31325"/>
  </r>
  <r>
    <x v="15"/>
    <s v="Short Buildup"/>
    <s v="UP"/>
    <n v="8652220"/>
    <n v="1752340"/>
    <n v="1132680"/>
    <s v="error"/>
    <n v="-72.25"/>
    <n v="6.2"/>
    <x v="26"/>
    <n v="300.25"/>
    <n v="158.15"/>
    <s v="error"/>
    <n v="13240"/>
    <n v="107480"/>
    <n v="1268920"/>
    <s v="UP"/>
    <s v="Long Buildup"/>
    <n v="31325"/>
  </r>
  <r>
    <x v="15"/>
    <s v="Short Buildup"/>
    <s v="UP"/>
    <n v="7238660"/>
    <n v="1287600"/>
    <n v="652340"/>
    <s v="error"/>
    <n v="-41.6"/>
    <n v="2.85"/>
    <x v="27"/>
    <n v="394.25"/>
    <n v="184.85"/>
    <s v="error"/>
    <n v="-3740"/>
    <n v="46020"/>
    <n v="547580"/>
    <s v="DOWN"/>
    <s v="Short covering"/>
    <n v="31325"/>
  </r>
  <r>
    <x v="15"/>
    <s v="Short Buildup"/>
    <s v="UP"/>
    <n v="4899340"/>
    <n v="1014480"/>
    <n v="429100"/>
    <s v="error"/>
    <n v="-22.05"/>
    <n v="1.45"/>
    <x v="28"/>
    <n v="491.1"/>
    <n v="205.75"/>
    <s v="error"/>
    <n v="2960"/>
    <n v="17940"/>
    <n v="207500"/>
    <s v="UP"/>
    <s v="Long Buildup"/>
    <n v="31325"/>
  </r>
  <r>
    <x v="15"/>
    <s v="Short Buildup"/>
    <s v="UP"/>
    <n v="3488100"/>
    <n v="514480"/>
    <n v="2680"/>
    <s v="error"/>
    <n v="-10.199999999999999"/>
    <n v="0.9"/>
    <x v="29"/>
    <n v="591.4"/>
    <n v="214.7"/>
    <s v="error"/>
    <n v="1640"/>
    <n v="7180"/>
    <n v="38340"/>
    <s v="UP"/>
    <s v="Long Buildup"/>
    <n v="31325"/>
  </r>
  <r>
    <x v="15"/>
    <s v="Short Buildup"/>
    <s v="UP"/>
    <n v="4597320"/>
    <n v="835680"/>
    <n v="224020"/>
    <s v="error"/>
    <n v="-5.3"/>
    <n v="0.7"/>
    <x v="30"/>
    <n v="696.65"/>
    <n v="226.14999999999998"/>
    <s v="error"/>
    <n v="-1540"/>
    <n v="10580"/>
    <n v="26740"/>
    <s v="DOWN"/>
    <s v="Short covering"/>
    <n v="31325"/>
  </r>
  <r>
    <x v="15"/>
    <n v="0.83217861926140302"/>
    <m/>
    <m/>
    <n v="9840820"/>
    <m/>
    <m/>
    <m/>
    <m/>
    <x v="16"/>
    <m/>
    <m/>
    <m/>
    <m/>
    <n v="8189320"/>
    <m/>
    <m/>
    <m/>
    <m/>
  </r>
  <r>
    <x v="15"/>
    <s v="Long Liquidation"/>
    <s v="DOWN"/>
    <n v="12020"/>
    <n v="26920"/>
    <n v="-5300"/>
    <s v="undefined"/>
    <n v="-231.79999999999995"/>
    <n v="800"/>
    <x v="34"/>
    <n v="0.6"/>
    <n v="-2.1"/>
    <s v="error"/>
    <n v="-12900"/>
    <n v="401440"/>
    <n v="212380"/>
    <s v="DOWN"/>
    <s v="Long Liquidation"/>
    <n v="31325"/>
  </r>
  <r>
    <x v="15"/>
    <s v="Long Liquidation"/>
    <s v="DOWN"/>
    <n v="920"/>
    <n v="4040"/>
    <n v="-500"/>
    <s v="error"/>
    <n v="-191.60000000000002"/>
    <n v="741.1"/>
    <x v="33"/>
    <n v="0.8"/>
    <n v="-2.2000000000000002"/>
    <s v="error"/>
    <n v="2480"/>
    <n v="201720"/>
    <n v="165320"/>
    <s v="UP"/>
    <s v="Short Buildup"/>
    <n v="31325"/>
  </r>
  <r>
    <x v="15"/>
    <s v="Long Liquidation"/>
    <s v="DOWN"/>
    <n v="5400"/>
    <n v="10800"/>
    <n v="-1020"/>
    <s v="undefined"/>
    <n v="-232"/>
    <n v="604"/>
    <x v="17"/>
    <n v="1"/>
    <n v="-2.6"/>
    <s v="error"/>
    <n v="37340"/>
    <n v="227540"/>
    <n v="371460"/>
    <s v="UP"/>
    <s v="Short Buildup"/>
    <n v="31325"/>
  </r>
  <r>
    <x v="15"/>
    <s v="Long Liquidation"/>
    <s v="DOWN"/>
    <n v="2980"/>
    <n v="7040"/>
    <n v="-460"/>
    <s v="undefined"/>
    <n v="-247.60000000000002"/>
    <n v="488"/>
    <x v="18"/>
    <n v="1.35"/>
    <n v="-2.7499999999999996"/>
    <s v="error"/>
    <n v="11240"/>
    <n v="378640"/>
    <n v="802980"/>
    <s v="UP"/>
    <s v="Short Buildup"/>
    <n v="31325"/>
  </r>
  <r>
    <x v="15"/>
    <s v="Short Buildup"/>
    <s v="UP"/>
    <n v="5800"/>
    <n v="6740"/>
    <n v="500"/>
    <s v="undefined"/>
    <n v="-222.49999999999994"/>
    <n v="411.05"/>
    <x v="19"/>
    <n v="2.4500000000000002"/>
    <n v="-3.05"/>
    <s v="error"/>
    <n v="190880"/>
    <n v="556760"/>
    <n v="1714260"/>
    <s v="UP"/>
    <s v="Short Buildup"/>
    <n v="31325"/>
  </r>
  <r>
    <x v="15"/>
    <s v="Short Buildup"/>
    <s v="UP"/>
    <n v="143580"/>
    <n v="102520"/>
    <n v="14300"/>
    <s v="undefined"/>
    <n v="-234.75"/>
    <n v="310.10000000000002"/>
    <x v="20"/>
    <n v="4.8"/>
    <n v="-2.6000000000000005"/>
    <s v="error"/>
    <n v="865940"/>
    <n v="1676540"/>
    <n v="4814200"/>
    <s v="UP"/>
    <s v="Short Buildup"/>
    <n v="31325"/>
  </r>
  <r>
    <x v="15"/>
    <s v="Short Buildup"/>
    <s v="UP"/>
    <n v="146500"/>
    <n v="53120"/>
    <n v="22460"/>
    <s v="undefined"/>
    <n v="-225.54999999999998"/>
    <n v="219.6"/>
    <x v="21"/>
    <n v="11.55"/>
    <n v="1.4000000000000004"/>
    <s v="error"/>
    <n v="588480"/>
    <n v="1107180"/>
    <n v="5692540"/>
    <s v="UP"/>
    <s v="Long Buildup"/>
    <n v="31325"/>
  </r>
  <r>
    <x v="15"/>
    <s v="Short Buildup"/>
    <s v="UP"/>
    <n v="1167220"/>
    <n v="246980"/>
    <n v="115260"/>
    <s v="error"/>
    <n v="-212.54999999999998"/>
    <n v="137.9"/>
    <x v="22"/>
    <n v="31.7"/>
    <n v="14.3"/>
    <s v="error"/>
    <n v="678620"/>
    <n v="1204560"/>
    <n v="8001720"/>
    <s v="UP"/>
    <s v="Long Buildup"/>
    <n v="31325"/>
  </r>
  <r>
    <x v="15"/>
    <s v="Short Buildup"/>
    <s v="UP"/>
    <n v="2290380"/>
    <n v="398760"/>
    <n v="282820"/>
    <s v="error"/>
    <n v="-189.9"/>
    <n v="75.650000000000006"/>
    <x v="23"/>
    <n v="69.7"/>
    <n v="38.75"/>
    <s v="error"/>
    <n v="353420"/>
    <n v="1003920"/>
    <n v="9173780"/>
    <s v="UP"/>
    <s v="Long Buildup"/>
    <n v="31325"/>
  </r>
  <r>
    <x v="15"/>
    <s v="Short Buildup"/>
    <s v="UP"/>
    <n v="6418840"/>
    <n v="1091380"/>
    <n v="907080"/>
    <s v="error"/>
    <n v="-152.5"/>
    <n v="36.5"/>
    <x v="24"/>
    <n v="130"/>
    <n v="76.05"/>
    <s v="error"/>
    <n v="149880"/>
    <n v="706100"/>
    <n v="7612540"/>
    <s v="UP"/>
    <s v="Long Buildup"/>
    <n v="31325"/>
  </r>
  <r>
    <x v="15"/>
    <s v="Short Buildup"/>
    <s v="UP"/>
    <n v="10816960"/>
    <n v="2487940"/>
    <n v="1709400"/>
    <s v="error"/>
    <n v="-110.75"/>
    <n v="15.7"/>
    <x v="25"/>
    <n v="208.3"/>
    <n v="118.15"/>
    <s v="error"/>
    <n v="-94760"/>
    <n v="535720"/>
    <n v="4422620"/>
    <s v="DOWN"/>
    <s v="Short covering"/>
    <n v="31325"/>
  </r>
  <r>
    <x v="15"/>
    <s v="Short Buildup"/>
    <s v="UP"/>
    <n v="8652220"/>
    <n v="1752340"/>
    <n v="1132680"/>
    <s v="error"/>
    <n v="-72.25"/>
    <n v="6.2"/>
    <x v="26"/>
    <n v="300.25"/>
    <n v="158.15"/>
    <s v="error"/>
    <n v="13240"/>
    <n v="107480"/>
    <n v="1268920"/>
    <s v="UP"/>
    <s v="Long Buildup"/>
    <n v="31325"/>
  </r>
  <r>
    <x v="15"/>
    <s v="Short Buildup"/>
    <s v="UP"/>
    <n v="7238660"/>
    <n v="1287600"/>
    <n v="652340"/>
    <s v="error"/>
    <n v="-41.6"/>
    <n v="2.85"/>
    <x v="27"/>
    <n v="394.25"/>
    <n v="184.85"/>
    <s v="error"/>
    <n v="-3740"/>
    <n v="46020"/>
    <n v="547580"/>
    <s v="DOWN"/>
    <s v="Short covering"/>
    <n v="31325"/>
  </r>
  <r>
    <x v="15"/>
    <s v="Short Buildup"/>
    <s v="UP"/>
    <n v="4899340"/>
    <n v="1014480"/>
    <n v="429100"/>
    <s v="error"/>
    <n v="-22.05"/>
    <n v="1.45"/>
    <x v="28"/>
    <n v="491.1"/>
    <n v="205.75"/>
    <s v="error"/>
    <n v="2960"/>
    <n v="17940"/>
    <n v="207500"/>
    <s v="UP"/>
    <s v="Long Buildup"/>
    <n v="31325"/>
  </r>
  <r>
    <x v="15"/>
    <s v="Short Buildup"/>
    <s v="UP"/>
    <n v="3488100"/>
    <n v="514480"/>
    <n v="2680"/>
    <s v="error"/>
    <n v="-10.199999999999999"/>
    <n v="0.9"/>
    <x v="29"/>
    <n v="591.4"/>
    <n v="214.7"/>
    <s v="error"/>
    <n v="1640"/>
    <n v="7180"/>
    <n v="38340"/>
    <s v="UP"/>
    <s v="Long Buildup"/>
    <n v="31325"/>
  </r>
  <r>
    <x v="15"/>
    <s v="Short Buildup"/>
    <s v="UP"/>
    <n v="4597320"/>
    <n v="835680"/>
    <n v="224020"/>
    <s v="error"/>
    <n v="-5.3"/>
    <n v="0.7"/>
    <x v="30"/>
    <n v="696.65"/>
    <n v="226.14999999999998"/>
    <s v="error"/>
    <n v="-1540"/>
    <n v="10580"/>
    <n v="26740"/>
    <s v="DOWN"/>
    <s v="Short covering"/>
    <n v="31325"/>
  </r>
  <r>
    <x v="15"/>
    <n v="0.83217861926140302"/>
    <m/>
    <m/>
    <n v="9840820"/>
    <m/>
    <m/>
    <m/>
    <m/>
    <x v="16"/>
    <m/>
    <m/>
    <m/>
    <m/>
    <n v="8189320"/>
    <m/>
    <m/>
    <m/>
    <m/>
  </r>
  <r>
    <x v="16"/>
    <s v="Long Liquidation"/>
    <s v="DOWN"/>
    <n v="12280"/>
    <n v="26940"/>
    <n v="-5280"/>
    <s v="undefined"/>
    <n v="-211.79999999999995"/>
    <n v="820"/>
    <x v="34"/>
    <n v="0.55000000000000004"/>
    <n v="-2.1500000000000004"/>
    <s v="error"/>
    <n v="-15680"/>
    <n v="398660"/>
    <n v="218660"/>
    <s v="DOWN"/>
    <s v="Long Liquidation"/>
    <n v="31338.75"/>
  </r>
  <r>
    <x v="16"/>
    <s v="Long Liquidation"/>
    <s v="DOWN"/>
    <n v="920"/>
    <n v="4040"/>
    <n v="-500"/>
    <s v="error"/>
    <n v="-191.60000000000002"/>
    <n v="741.1"/>
    <x v="33"/>
    <n v="0.75"/>
    <n v="-2.25"/>
    <s v="error"/>
    <n v="8600"/>
    <n v="207840"/>
    <n v="173340"/>
    <s v="UP"/>
    <s v="Short Buildup"/>
    <n v="31338.75"/>
  </r>
  <r>
    <x v="16"/>
    <s v="Long Liquidation"/>
    <s v="DOWN"/>
    <n v="6640"/>
    <n v="10800"/>
    <n v="-1020"/>
    <s v="undefined"/>
    <n v="-214.75"/>
    <n v="621.25"/>
    <x v="17"/>
    <n v="0.9"/>
    <n v="-2.7"/>
    <s v="error"/>
    <n v="87420"/>
    <n v="277620"/>
    <n v="405240"/>
    <s v="UP"/>
    <s v="Short Buildup"/>
    <n v="31338.75"/>
  </r>
  <r>
    <x v="16"/>
    <s v="Long Liquidation"/>
    <s v="DOWN"/>
    <n v="3040"/>
    <n v="7020"/>
    <n v="-480"/>
    <s v="undefined"/>
    <n v="-215.60000000000002"/>
    <n v="520"/>
    <x v="18"/>
    <n v="1.2"/>
    <n v="-2.8999999999999995"/>
    <s v="error"/>
    <n v="15300"/>
    <n v="382700"/>
    <n v="873640"/>
    <s v="UP"/>
    <s v="Short Buildup"/>
    <n v="31338.75"/>
  </r>
  <r>
    <x v="16"/>
    <s v="Short Buildup"/>
    <s v="UP"/>
    <n v="6640"/>
    <n v="6760"/>
    <n v="520"/>
    <s v="undefined"/>
    <n v="-208.54999999999995"/>
    <n v="425"/>
    <x v="19"/>
    <n v="2.2000000000000002"/>
    <n v="-3.3"/>
    <s v="error"/>
    <n v="173640"/>
    <n v="539520"/>
    <n v="1838800"/>
    <s v="UP"/>
    <s v="Short Buildup"/>
    <n v="31338.75"/>
  </r>
  <r>
    <x v="16"/>
    <s v="Short Buildup"/>
    <s v="UP"/>
    <n v="155000"/>
    <n v="99100"/>
    <n v="10880"/>
    <s v="undefined"/>
    <n v="-217.60000000000002"/>
    <n v="327.25"/>
    <x v="20"/>
    <n v="4.55"/>
    <n v="-2.8500000000000005"/>
    <s v="error"/>
    <n v="876000"/>
    <n v="1686600"/>
    <n v="5161080"/>
    <s v="UP"/>
    <s v="Short Buildup"/>
    <n v="31338.75"/>
  </r>
  <r>
    <x v="16"/>
    <s v="Short Buildup"/>
    <s v="UP"/>
    <n v="161140"/>
    <n v="58640"/>
    <n v="27980"/>
    <s v="undefined"/>
    <n v="-216.14999999999998"/>
    <n v="229"/>
    <x v="21"/>
    <n v="10.45"/>
    <n v="0.29999999999999893"/>
    <s v="error"/>
    <n v="682320"/>
    <n v="1201020"/>
    <n v="6242620"/>
    <s v="UP"/>
    <s v="Long Buildup"/>
    <n v="31338.75"/>
  </r>
  <r>
    <x v="16"/>
    <s v="Short Buildup"/>
    <s v="UP"/>
    <n v="1269440"/>
    <n v="254720"/>
    <n v="123000"/>
    <s v="error"/>
    <n v="-203.1"/>
    <n v="147.35"/>
    <x v="22"/>
    <n v="28.6"/>
    <n v="11.200000000000003"/>
    <s v="error"/>
    <n v="627860"/>
    <n v="1153800"/>
    <n v="8649180"/>
    <s v="UP"/>
    <s v="Long Buildup"/>
    <n v="31338.75"/>
  </r>
  <r>
    <x v="16"/>
    <s v="Short Buildup"/>
    <s v="UP"/>
    <n v="2597200"/>
    <n v="506480"/>
    <n v="390540"/>
    <s v="error"/>
    <n v="-182.85000000000002"/>
    <n v="82.7"/>
    <x v="23"/>
    <n v="64.25"/>
    <n v="33.299999999999997"/>
    <s v="error"/>
    <n v="276620"/>
    <n v="927120"/>
    <n v="9714580"/>
    <s v="UP"/>
    <s v="Long Buildup"/>
    <n v="31338.75"/>
  </r>
  <r>
    <x v="16"/>
    <s v="Short Buildup"/>
    <s v="UP"/>
    <n v="7017640"/>
    <n v="1146760"/>
    <n v="962460"/>
    <s v="error"/>
    <n v="-148.30000000000001"/>
    <n v="40.700000000000003"/>
    <x v="24"/>
    <n v="122.1"/>
    <n v="68.149999999999991"/>
    <s v="error"/>
    <n v="116440"/>
    <n v="672660"/>
    <n v="7923380"/>
    <s v="UP"/>
    <s v="Long Buildup"/>
    <n v="31338.75"/>
  </r>
  <r>
    <x v="16"/>
    <s v="Short Buildup"/>
    <s v="UP"/>
    <n v="11562120"/>
    <n v="2454200"/>
    <n v="1675660"/>
    <s v="error"/>
    <n v="-107.9"/>
    <n v="18.55"/>
    <x v="25"/>
    <n v="200"/>
    <n v="109.85"/>
    <s v="error"/>
    <n v="-110160"/>
    <n v="520320"/>
    <n v="4546240"/>
    <s v="DOWN"/>
    <s v="Short covering"/>
    <n v="31338.75"/>
  </r>
  <r>
    <x v="16"/>
    <s v="Short Buildup"/>
    <s v="UP"/>
    <n v="9079300"/>
    <n v="1711600"/>
    <n v="1091940"/>
    <s v="error"/>
    <n v="-71.100000000000009"/>
    <n v="7.35"/>
    <x v="26"/>
    <n v="287.89999999999998"/>
    <n v="145.79999999999998"/>
    <s v="error"/>
    <n v="12500"/>
    <n v="106740"/>
    <n v="1297840"/>
    <s v="UP"/>
    <s v="Long Buildup"/>
    <n v="31338.75"/>
  </r>
  <r>
    <x v="16"/>
    <s v="Short Buildup"/>
    <s v="UP"/>
    <n v="7561460"/>
    <n v="1269640"/>
    <n v="634380"/>
    <s v="error"/>
    <n v="-41.25"/>
    <n v="3.2"/>
    <x v="27"/>
    <n v="385"/>
    <n v="175.6"/>
    <s v="error"/>
    <n v="-4860"/>
    <n v="44900"/>
    <n v="560280"/>
    <s v="DOWN"/>
    <s v="Short covering"/>
    <n v="31338.75"/>
  </r>
  <r>
    <x v="16"/>
    <s v="Short Buildup"/>
    <s v="UP"/>
    <n v="5109120"/>
    <n v="1011500"/>
    <n v="426120"/>
    <s v="error"/>
    <n v="-22"/>
    <n v="1.5"/>
    <x v="28"/>
    <n v="482"/>
    <n v="196.64999999999998"/>
    <s v="error"/>
    <n v="2680"/>
    <n v="17660"/>
    <n v="211340"/>
    <s v="UP"/>
    <s v="Long Buildup"/>
    <n v="31338.75"/>
  </r>
  <r>
    <x v="16"/>
    <s v="Long Liquidation"/>
    <s v="DOWN"/>
    <n v="4125740"/>
    <n v="490420"/>
    <n v="-21380"/>
    <s v="error"/>
    <n v="-10.15"/>
    <n v="0.95"/>
    <x v="29"/>
    <n v="580"/>
    <n v="203.3"/>
    <s v="error"/>
    <n v="800"/>
    <n v="6340"/>
    <n v="39320"/>
    <s v="UP"/>
    <s v="Long Buildup"/>
    <n v="31338.75"/>
  </r>
  <r>
    <x v="16"/>
    <s v="Short Buildup"/>
    <s v="UP"/>
    <n v="4688880"/>
    <n v="828040"/>
    <n v="216380"/>
    <s v="error"/>
    <n v="-5.25"/>
    <n v="0.75"/>
    <x v="30"/>
    <n v="676.15"/>
    <n v="205.64999999999998"/>
    <s v="error"/>
    <n v="-1120"/>
    <n v="11000"/>
    <n v="27180"/>
    <s v="DOWN"/>
    <s v="Short covering"/>
    <n v="31338.75"/>
  </r>
  <r>
    <x v="16"/>
    <n v="0.82479826351872121"/>
    <m/>
    <m/>
    <n v="9886660"/>
    <m/>
    <m/>
    <m/>
    <m/>
    <x v="16"/>
    <m/>
    <m/>
    <m/>
    <m/>
    <n v="8154500"/>
    <m/>
    <m/>
    <m/>
    <m/>
  </r>
  <r>
    <x v="16"/>
    <s v="Long Liquidation"/>
    <s v="DOWN"/>
    <n v="12280"/>
    <n v="26940"/>
    <n v="-5280"/>
    <s v="undefined"/>
    <n v="-211.79999999999995"/>
    <n v="820"/>
    <x v="34"/>
    <n v="0.55000000000000004"/>
    <n v="-2.1500000000000004"/>
    <s v="error"/>
    <n v="-15680"/>
    <n v="398660"/>
    <n v="218660"/>
    <s v="DOWN"/>
    <s v="Long Liquidation"/>
    <n v="31338.75"/>
  </r>
  <r>
    <x v="16"/>
    <s v="Long Liquidation"/>
    <s v="DOWN"/>
    <n v="920"/>
    <n v="4040"/>
    <n v="-500"/>
    <s v="error"/>
    <n v="-191.60000000000002"/>
    <n v="741.1"/>
    <x v="33"/>
    <n v="0.75"/>
    <n v="-2.25"/>
    <s v="error"/>
    <n v="8600"/>
    <n v="207840"/>
    <n v="173340"/>
    <s v="UP"/>
    <s v="Short Buildup"/>
    <n v="31338.75"/>
  </r>
  <r>
    <x v="16"/>
    <s v="Long Liquidation"/>
    <s v="DOWN"/>
    <n v="6640"/>
    <n v="10800"/>
    <n v="-1020"/>
    <s v="undefined"/>
    <n v="-214.75"/>
    <n v="621.25"/>
    <x v="17"/>
    <n v="0.9"/>
    <n v="-2.7"/>
    <s v="error"/>
    <n v="87420"/>
    <n v="277620"/>
    <n v="405240"/>
    <s v="UP"/>
    <s v="Short Buildup"/>
    <n v="31338.75"/>
  </r>
  <r>
    <x v="16"/>
    <s v="Long Liquidation"/>
    <s v="DOWN"/>
    <n v="3040"/>
    <n v="7020"/>
    <n v="-480"/>
    <s v="undefined"/>
    <n v="-215.60000000000002"/>
    <n v="520"/>
    <x v="18"/>
    <n v="1.2"/>
    <n v="-2.8999999999999995"/>
    <s v="error"/>
    <n v="15300"/>
    <n v="382700"/>
    <n v="873640"/>
    <s v="UP"/>
    <s v="Short Buildup"/>
    <n v="31338.75"/>
  </r>
  <r>
    <x v="16"/>
    <s v="Short Buildup"/>
    <s v="UP"/>
    <n v="6640"/>
    <n v="6760"/>
    <n v="520"/>
    <s v="undefined"/>
    <n v="-208.54999999999995"/>
    <n v="425"/>
    <x v="19"/>
    <n v="2.2000000000000002"/>
    <n v="-3.3"/>
    <s v="error"/>
    <n v="173640"/>
    <n v="539520"/>
    <n v="1838800"/>
    <s v="UP"/>
    <s v="Short Buildup"/>
    <n v="31338.75"/>
  </r>
  <r>
    <x v="16"/>
    <s v="Short Buildup"/>
    <s v="UP"/>
    <n v="155000"/>
    <n v="99100"/>
    <n v="10880"/>
    <s v="undefined"/>
    <n v="-217.60000000000002"/>
    <n v="327.25"/>
    <x v="20"/>
    <n v="4.55"/>
    <n v="-2.8500000000000005"/>
    <s v="error"/>
    <n v="876000"/>
    <n v="1686600"/>
    <n v="5161080"/>
    <s v="UP"/>
    <s v="Short Buildup"/>
    <n v="31338.75"/>
  </r>
  <r>
    <x v="16"/>
    <s v="Short Buildup"/>
    <s v="UP"/>
    <n v="161140"/>
    <n v="58640"/>
    <n v="27980"/>
    <s v="undefined"/>
    <n v="-216.14999999999998"/>
    <n v="229"/>
    <x v="21"/>
    <n v="10.45"/>
    <n v="0.29999999999999893"/>
    <s v="error"/>
    <n v="682320"/>
    <n v="1201020"/>
    <n v="6242620"/>
    <s v="UP"/>
    <s v="Long Buildup"/>
    <n v="31338.75"/>
  </r>
  <r>
    <x v="16"/>
    <s v="Short Buildup"/>
    <s v="UP"/>
    <n v="1269440"/>
    <n v="254720"/>
    <n v="123000"/>
    <s v="error"/>
    <n v="-203.1"/>
    <n v="147.35"/>
    <x v="22"/>
    <n v="28.6"/>
    <n v="11.200000000000003"/>
    <s v="error"/>
    <n v="627860"/>
    <n v="1153800"/>
    <n v="8649180"/>
    <s v="UP"/>
    <s v="Long Buildup"/>
    <n v="31338.75"/>
  </r>
  <r>
    <x v="16"/>
    <s v="Short Buildup"/>
    <s v="UP"/>
    <n v="2597200"/>
    <n v="506480"/>
    <n v="390540"/>
    <s v="error"/>
    <n v="-182.85000000000002"/>
    <n v="82.7"/>
    <x v="23"/>
    <n v="64.25"/>
    <n v="33.299999999999997"/>
    <s v="error"/>
    <n v="276620"/>
    <n v="927120"/>
    <n v="9714580"/>
    <s v="UP"/>
    <s v="Long Buildup"/>
    <n v="31338.75"/>
  </r>
  <r>
    <x v="16"/>
    <s v="Short Buildup"/>
    <s v="UP"/>
    <n v="7017640"/>
    <n v="1146760"/>
    <n v="962460"/>
    <s v="error"/>
    <n v="-148.30000000000001"/>
    <n v="40.700000000000003"/>
    <x v="24"/>
    <n v="122.1"/>
    <n v="68.149999999999991"/>
    <s v="error"/>
    <n v="116440"/>
    <n v="672660"/>
    <n v="7923380"/>
    <s v="UP"/>
    <s v="Long Buildup"/>
    <n v="31338.75"/>
  </r>
  <r>
    <x v="16"/>
    <s v="Short Buildup"/>
    <s v="UP"/>
    <n v="11562120"/>
    <n v="2454200"/>
    <n v="1675660"/>
    <s v="error"/>
    <n v="-107.9"/>
    <n v="18.55"/>
    <x v="25"/>
    <n v="200"/>
    <n v="109.85"/>
    <s v="error"/>
    <n v="-110160"/>
    <n v="520320"/>
    <n v="4546240"/>
    <s v="DOWN"/>
    <s v="Short covering"/>
    <n v="31338.75"/>
  </r>
  <r>
    <x v="16"/>
    <s v="Short Buildup"/>
    <s v="UP"/>
    <n v="9079300"/>
    <n v="1711600"/>
    <n v="1091940"/>
    <s v="error"/>
    <n v="-71.100000000000009"/>
    <n v="7.35"/>
    <x v="26"/>
    <n v="287.89999999999998"/>
    <n v="145.79999999999998"/>
    <s v="error"/>
    <n v="12500"/>
    <n v="106740"/>
    <n v="1297840"/>
    <s v="UP"/>
    <s v="Long Buildup"/>
    <n v="31338.75"/>
  </r>
  <r>
    <x v="16"/>
    <s v="Short Buildup"/>
    <s v="UP"/>
    <n v="7561460"/>
    <n v="1269640"/>
    <n v="634380"/>
    <s v="error"/>
    <n v="-41.25"/>
    <n v="3.2"/>
    <x v="27"/>
    <n v="385"/>
    <n v="175.6"/>
    <s v="error"/>
    <n v="-4860"/>
    <n v="44900"/>
    <n v="560280"/>
    <s v="DOWN"/>
    <s v="Short covering"/>
    <n v="31338.75"/>
  </r>
  <r>
    <x v="16"/>
    <s v="Short Buildup"/>
    <s v="UP"/>
    <n v="5109120"/>
    <n v="1011500"/>
    <n v="426120"/>
    <s v="error"/>
    <n v="-22"/>
    <n v="1.5"/>
    <x v="28"/>
    <n v="482"/>
    <n v="196.64999999999998"/>
    <s v="error"/>
    <n v="2680"/>
    <n v="17660"/>
    <n v="211340"/>
    <s v="UP"/>
    <s v="Long Buildup"/>
    <n v="31338.75"/>
  </r>
  <r>
    <x v="16"/>
    <s v="Long Liquidation"/>
    <s v="DOWN"/>
    <n v="4125740"/>
    <n v="490420"/>
    <n v="-21380"/>
    <s v="error"/>
    <n v="-10.15"/>
    <n v="0.95"/>
    <x v="29"/>
    <n v="580"/>
    <n v="203.3"/>
    <s v="error"/>
    <n v="800"/>
    <n v="6340"/>
    <n v="39320"/>
    <s v="UP"/>
    <s v="Long Buildup"/>
    <n v="31338.75"/>
  </r>
  <r>
    <x v="16"/>
    <s v="Short Buildup"/>
    <s v="UP"/>
    <n v="4688880"/>
    <n v="828040"/>
    <n v="216380"/>
    <s v="error"/>
    <n v="-5.25"/>
    <n v="0.75"/>
    <x v="30"/>
    <n v="676.15"/>
    <n v="205.64999999999998"/>
    <s v="error"/>
    <n v="-1120"/>
    <n v="11000"/>
    <n v="27180"/>
    <s v="DOWN"/>
    <s v="Short covering"/>
    <n v="31338.75"/>
  </r>
  <r>
    <x v="16"/>
    <n v="0.82479826351872121"/>
    <m/>
    <m/>
    <n v="9886660"/>
    <m/>
    <m/>
    <m/>
    <m/>
    <x v="16"/>
    <m/>
    <m/>
    <m/>
    <m/>
    <n v="8154500"/>
    <m/>
    <m/>
    <m/>
    <m/>
  </r>
  <r>
    <x v="17"/>
    <s v="Long Liquidation"/>
    <s v="DOWN"/>
    <n v="12460"/>
    <n v="26800"/>
    <n v="-5420"/>
    <s v="undefined"/>
    <n v="-221"/>
    <n v="810.8"/>
    <x v="34"/>
    <n v="0.55000000000000004"/>
    <n v="-2.1500000000000004"/>
    <s v="error"/>
    <n v="-15700"/>
    <n v="398640"/>
    <n v="222540"/>
    <s v="DOWN"/>
    <s v="Long Liquidation"/>
    <n v="31335.15"/>
  </r>
  <r>
    <x v="17"/>
    <s v="Long Liquidation"/>
    <s v="DOWN"/>
    <n v="980"/>
    <n v="4020"/>
    <n v="-520"/>
    <s v="undefined"/>
    <n v="-219.40000000000009"/>
    <n v="713.3"/>
    <x v="33"/>
    <n v="0.75"/>
    <n v="-2.25"/>
    <s v="error"/>
    <n v="7500"/>
    <n v="206740"/>
    <n v="178080"/>
    <s v="UP"/>
    <s v="Short Buildup"/>
    <n v="31335.15"/>
  </r>
  <r>
    <x v="17"/>
    <s v="Long Liquidation"/>
    <s v="DOWN"/>
    <n v="7660"/>
    <n v="10920"/>
    <n v="-900"/>
    <s v="undefined"/>
    <n v="-220.45000000000005"/>
    <n v="615.54999999999995"/>
    <x v="17"/>
    <n v="0.95"/>
    <n v="-2.6500000000000004"/>
    <s v="error"/>
    <n v="82760"/>
    <n v="272960"/>
    <n v="431600"/>
    <s v="UP"/>
    <s v="Short Buildup"/>
    <n v="31335.15"/>
  </r>
  <r>
    <x v="17"/>
    <s v="Long Liquidation"/>
    <s v="DOWN"/>
    <n v="3240"/>
    <n v="7020"/>
    <n v="-480"/>
    <s v="undefined"/>
    <n v="-215.60000000000002"/>
    <n v="520"/>
    <x v="18"/>
    <n v="1.3"/>
    <n v="-2.8"/>
    <s v="error"/>
    <n v="26520"/>
    <n v="393920"/>
    <n v="911960"/>
    <s v="UP"/>
    <s v="Short Buildup"/>
    <n v="31335.15"/>
  </r>
  <r>
    <x v="17"/>
    <s v="Short Buildup"/>
    <s v="UP"/>
    <n v="6840"/>
    <n v="6740"/>
    <n v="500"/>
    <s v="undefined"/>
    <n v="-219.79999999999995"/>
    <n v="413.75"/>
    <x v="19"/>
    <n v="2.4500000000000002"/>
    <n v="-3.05"/>
    <s v="error"/>
    <n v="171720"/>
    <n v="537600"/>
    <n v="1900320"/>
    <s v="UP"/>
    <s v="Short Buildup"/>
    <n v="31335.15"/>
  </r>
  <r>
    <x v="17"/>
    <s v="Short Buildup"/>
    <s v="UP"/>
    <n v="161800"/>
    <n v="101400"/>
    <n v="13180"/>
    <s v="undefined"/>
    <n v="-225.35000000000002"/>
    <n v="319.5"/>
    <x v="20"/>
    <n v="5.15"/>
    <n v="-2.25"/>
    <s v="error"/>
    <n v="903920"/>
    <n v="1714520"/>
    <n v="5401300"/>
    <s v="UP"/>
    <s v="Short Buildup"/>
    <n v="31335.15"/>
  </r>
  <r>
    <x v="17"/>
    <s v="Short Buildup"/>
    <s v="UP"/>
    <n v="175640"/>
    <n v="57780"/>
    <n v="27120"/>
    <s v="undefined"/>
    <n v="-219.29999999999998"/>
    <n v="225.85"/>
    <x v="21"/>
    <n v="11.85"/>
    <n v="1.6999999999999993"/>
    <s v="error"/>
    <n v="747380"/>
    <n v="1266080"/>
    <n v="6562060"/>
    <s v="UP"/>
    <s v="Long Buildup"/>
    <n v="31335.15"/>
  </r>
  <r>
    <x v="17"/>
    <s v="Short Buildup"/>
    <s v="UP"/>
    <n v="1351380"/>
    <n v="270860"/>
    <n v="139140"/>
    <s v="error"/>
    <n v="-205.5"/>
    <n v="144.94999999999999"/>
    <x v="22"/>
    <n v="31.1"/>
    <n v="13.700000000000003"/>
    <s v="error"/>
    <n v="675620"/>
    <n v="1201560"/>
    <n v="9040400"/>
    <s v="UP"/>
    <s v="Long Buildup"/>
    <n v="31335.15"/>
  </r>
  <r>
    <x v="17"/>
    <s v="Short Buildup"/>
    <s v="UP"/>
    <n v="2796200"/>
    <n v="528500"/>
    <n v="412560"/>
    <s v="error"/>
    <n v="-184.4"/>
    <n v="81.150000000000006"/>
    <x v="23"/>
    <n v="68.25"/>
    <n v="37.299999999999997"/>
    <s v="error"/>
    <n v="352740"/>
    <n v="1003240"/>
    <n v="10028940"/>
    <s v="UP"/>
    <s v="Long Buildup"/>
    <n v="31335.15"/>
  </r>
  <r>
    <x v="17"/>
    <s v="Short Buildup"/>
    <s v="UP"/>
    <n v="7377360"/>
    <n v="1197360"/>
    <n v="1013060"/>
    <s v="error"/>
    <n v="-148.85"/>
    <n v="40.15"/>
    <x v="24"/>
    <n v="127.1"/>
    <n v="73.149999999999991"/>
    <s v="error"/>
    <n v="113380"/>
    <n v="669600"/>
    <n v="8113300"/>
    <s v="UP"/>
    <s v="Long Buildup"/>
    <n v="31335.15"/>
  </r>
  <r>
    <x v="17"/>
    <s v="Short Buildup"/>
    <s v="UP"/>
    <n v="12025600"/>
    <n v="2660120"/>
    <n v="1881580"/>
    <s v="error"/>
    <n v="-108.55000000000001"/>
    <n v="17.899999999999999"/>
    <x v="25"/>
    <n v="205.4"/>
    <n v="115.25"/>
    <s v="error"/>
    <n v="-111320"/>
    <n v="519160"/>
    <n v="4621340"/>
    <s v="DOWN"/>
    <s v="Short covering"/>
    <n v="31335.15"/>
  </r>
  <r>
    <x v="17"/>
    <s v="Short Buildup"/>
    <s v="UP"/>
    <n v="9393660"/>
    <n v="1799480"/>
    <n v="1179820"/>
    <s v="error"/>
    <n v="-71.45"/>
    <n v="7"/>
    <x v="26"/>
    <n v="293.3"/>
    <n v="151.20000000000002"/>
    <s v="error"/>
    <n v="8760"/>
    <n v="103000"/>
    <n v="1341680"/>
    <s v="UP"/>
    <s v="Long Buildup"/>
    <n v="31335.15"/>
  </r>
  <r>
    <x v="17"/>
    <s v="Short Buildup"/>
    <s v="UP"/>
    <n v="7748680"/>
    <n v="1295980"/>
    <n v="660720"/>
    <s v="error"/>
    <n v="-41.45"/>
    <n v="3"/>
    <x v="27"/>
    <n v="389.45"/>
    <n v="180.04999999999998"/>
    <s v="error"/>
    <n v="-7260"/>
    <n v="42500"/>
    <n v="568900"/>
    <s v="DOWN"/>
    <s v="Short covering"/>
    <n v="31335.15"/>
  </r>
  <r>
    <x v="17"/>
    <s v="Short Buildup"/>
    <s v="UP"/>
    <n v="5289200"/>
    <n v="1015300"/>
    <n v="429920"/>
    <s v="error"/>
    <n v="-22.1"/>
    <n v="1.4"/>
    <x v="28"/>
    <n v="488.65"/>
    <n v="203.29999999999995"/>
    <s v="error"/>
    <n v="3340"/>
    <n v="18320"/>
    <n v="213920"/>
    <s v="UP"/>
    <s v="Long Buildup"/>
    <n v="31335.15"/>
  </r>
  <r>
    <x v="17"/>
    <s v="Short Buildup"/>
    <s v="UP"/>
    <n v="4828460"/>
    <n v="518860"/>
    <n v="7060"/>
    <s v="error"/>
    <n v="-10.15"/>
    <n v="0.95"/>
    <x v="29"/>
    <n v="583.6"/>
    <n v="206.90000000000003"/>
    <s v="error"/>
    <n v="1960"/>
    <n v="7500"/>
    <n v="41400"/>
    <s v="UP"/>
    <s v="Long Buildup"/>
    <n v="31335.15"/>
  </r>
  <r>
    <x v="17"/>
    <s v="Short Buildup"/>
    <s v="UP"/>
    <n v="4705660"/>
    <n v="809720"/>
    <n v="198060"/>
    <s v="error"/>
    <n v="-5.25"/>
    <n v="0.75"/>
    <x v="30"/>
    <n v="685.5"/>
    <n v="215"/>
    <s v="error"/>
    <n v="-1360"/>
    <n v="10760"/>
    <n v="27240"/>
    <s v="DOWN"/>
    <s v="Short covering"/>
    <n v="31335.15"/>
  </r>
  <r>
    <x v="17"/>
    <n v="0.81138721697317195"/>
    <m/>
    <m/>
    <n v="10310860"/>
    <m/>
    <m/>
    <m/>
    <m/>
    <x v="16"/>
    <m/>
    <m/>
    <m/>
    <m/>
    <n v="8366100"/>
    <m/>
    <m/>
    <m/>
    <m/>
  </r>
  <r>
    <x v="17"/>
    <s v="Long Liquidation"/>
    <s v="DOWN"/>
    <n v="12460"/>
    <n v="26800"/>
    <n v="-5420"/>
    <s v="undefined"/>
    <n v="-221"/>
    <n v="810.8"/>
    <x v="34"/>
    <n v="0.55000000000000004"/>
    <n v="-2.1500000000000004"/>
    <s v="error"/>
    <n v="-15700"/>
    <n v="398640"/>
    <n v="222540"/>
    <s v="DOWN"/>
    <s v="Long Liquidation"/>
    <n v="31335.15"/>
  </r>
  <r>
    <x v="17"/>
    <s v="Long Liquidation"/>
    <s v="DOWN"/>
    <n v="980"/>
    <n v="4020"/>
    <n v="-520"/>
    <s v="undefined"/>
    <n v="-219.40000000000009"/>
    <n v="713.3"/>
    <x v="33"/>
    <n v="0.75"/>
    <n v="-2.25"/>
    <s v="error"/>
    <n v="7500"/>
    <n v="206740"/>
    <n v="178080"/>
    <s v="UP"/>
    <s v="Short Buildup"/>
    <n v="31335.15"/>
  </r>
  <r>
    <x v="17"/>
    <s v="Long Liquidation"/>
    <s v="DOWN"/>
    <n v="7660"/>
    <n v="10920"/>
    <n v="-900"/>
    <s v="undefined"/>
    <n v="-220.45000000000005"/>
    <n v="615.54999999999995"/>
    <x v="17"/>
    <n v="0.95"/>
    <n v="-2.6500000000000004"/>
    <s v="error"/>
    <n v="82760"/>
    <n v="272960"/>
    <n v="431600"/>
    <s v="UP"/>
    <s v="Short Buildup"/>
    <n v="31335.15"/>
  </r>
  <r>
    <x v="17"/>
    <s v="Long Liquidation"/>
    <s v="DOWN"/>
    <n v="3240"/>
    <n v="7020"/>
    <n v="-480"/>
    <s v="undefined"/>
    <n v="-215.60000000000002"/>
    <n v="520"/>
    <x v="18"/>
    <n v="1.3"/>
    <n v="-2.8"/>
    <s v="error"/>
    <n v="26520"/>
    <n v="393920"/>
    <n v="911960"/>
    <s v="UP"/>
    <s v="Short Buildup"/>
    <n v="31335.15"/>
  </r>
  <r>
    <x v="17"/>
    <s v="Short Buildup"/>
    <s v="UP"/>
    <n v="6840"/>
    <n v="6740"/>
    <n v="500"/>
    <s v="undefined"/>
    <n v="-219.79999999999995"/>
    <n v="413.75"/>
    <x v="19"/>
    <n v="2.4500000000000002"/>
    <n v="-3.05"/>
    <s v="error"/>
    <n v="171720"/>
    <n v="537600"/>
    <n v="1900320"/>
    <s v="UP"/>
    <s v="Short Buildup"/>
    <n v="31335.15"/>
  </r>
  <r>
    <x v="17"/>
    <s v="Short Buildup"/>
    <s v="UP"/>
    <n v="161800"/>
    <n v="101400"/>
    <n v="13180"/>
    <s v="undefined"/>
    <n v="-225.35000000000002"/>
    <n v="319.5"/>
    <x v="20"/>
    <n v="5.15"/>
    <n v="-2.25"/>
    <s v="error"/>
    <n v="903920"/>
    <n v="1714520"/>
    <n v="5401300"/>
    <s v="UP"/>
    <s v="Short Buildup"/>
    <n v="31335.15"/>
  </r>
  <r>
    <x v="17"/>
    <s v="Short Buildup"/>
    <s v="UP"/>
    <n v="175640"/>
    <n v="57780"/>
    <n v="27120"/>
    <s v="undefined"/>
    <n v="-219.29999999999998"/>
    <n v="225.85"/>
    <x v="21"/>
    <n v="11.85"/>
    <n v="1.6999999999999993"/>
    <s v="error"/>
    <n v="747380"/>
    <n v="1266080"/>
    <n v="6562060"/>
    <s v="UP"/>
    <s v="Long Buildup"/>
    <n v="31335.15"/>
  </r>
  <r>
    <x v="17"/>
    <s v="Short Buildup"/>
    <s v="UP"/>
    <n v="1351380"/>
    <n v="270860"/>
    <n v="139140"/>
    <s v="error"/>
    <n v="-205.5"/>
    <n v="144.94999999999999"/>
    <x v="22"/>
    <n v="31.1"/>
    <n v="13.700000000000003"/>
    <s v="error"/>
    <n v="675620"/>
    <n v="1201560"/>
    <n v="9040400"/>
    <s v="UP"/>
    <s v="Long Buildup"/>
    <n v="31335.15"/>
  </r>
  <r>
    <x v="17"/>
    <s v="Short Buildup"/>
    <s v="UP"/>
    <n v="2796200"/>
    <n v="528500"/>
    <n v="412560"/>
    <s v="error"/>
    <n v="-184.4"/>
    <n v="81.150000000000006"/>
    <x v="23"/>
    <n v="68.25"/>
    <n v="37.299999999999997"/>
    <s v="error"/>
    <n v="352740"/>
    <n v="1003240"/>
    <n v="10028940"/>
    <s v="UP"/>
    <s v="Long Buildup"/>
    <n v="31335.15"/>
  </r>
  <r>
    <x v="17"/>
    <s v="Short Buildup"/>
    <s v="UP"/>
    <n v="7377360"/>
    <n v="1197360"/>
    <n v="1013060"/>
    <s v="error"/>
    <n v="-148.85"/>
    <n v="40.15"/>
    <x v="24"/>
    <n v="127.1"/>
    <n v="73.149999999999991"/>
    <s v="error"/>
    <n v="113380"/>
    <n v="669600"/>
    <n v="8113300"/>
    <s v="UP"/>
    <s v="Long Buildup"/>
    <n v="31335.15"/>
  </r>
  <r>
    <x v="17"/>
    <s v="Short Buildup"/>
    <s v="UP"/>
    <n v="12025600"/>
    <n v="2660120"/>
    <n v="1881580"/>
    <s v="error"/>
    <n v="-108.55000000000001"/>
    <n v="17.899999999999999"/>
    <x v="25"/>
    <n v="205.4"/>
    <n v="115.25"/>
    <s v="error"/>
    <n v="-111320"/>
    <n v="519160"/>
    <n v="4621340"/>
    <s v="DOWN"/>
    <s v="Short covering"/>
    <n v="31335.15"/>
  </r>
  <r>
    <x v="17"/>
    <s v="Short Buildup"/>
    <s v="UP"/>
    <n v="9393660"/>
    <n v="1799480"/>
    <n v="1179820"/>
    <s v="error"/>
    <n v="-71.45"/>
    <n v="7"/>
    <x v="26"/>
    <n v="293.3"/>
    <n v="151.20000000000002"/>
    <s v="error"/>
    <n v="8760"/>
    <n v="103000"/>
    <n v="1341680"/>
    <s v="UP"/>
    <s v="Long Buildup"/>
    <n v="31335.15"/>
  </r>
  <r>
    <x v="17"/>
    <s v="Short Buildup"/>
    <s v="UP"/>
    <n v="7748680"/>
    <n v="1295980"/>
    <n v="660720"/>
    <s v="error"/>
    <n v="-41.45"/>
    <n v="3"/>
    <x v="27"/>
    <n v="389.45"/>
    <n v="180.04999999999998"/>
    <s v="error"/>
    <n v="-7260"/>
    <n v="42500"/>
    <n v="568900"/>
    <s v="DOWN"/>
    <s v="Short covering"/>
    <n v="31335.15"/>
  </r>
  <r>
    <x v="17"/>
    <s v="Short Buildup"/>
    <s v="UP"/>
    <n v="5289200"/>
    <n v="1015300"/>
    <n v="429920"/>
    <s v="error"/>
    <n v="-22.1"/>
    <n v="1.4"/>
    <x v="28"/>
    <n v="488.65"/>
    <n v="203.29999999999995"/>
    <s v="error"/>
    <n v="3340"/>
    <n v="18320"/>
    <n v="213920"/>
    <s v="UP"/>
    <s v="Long Buildup"/>
    <n v="31335.15"/>
  </r>
  <r>
    <x v="17"/>
    <s v="Short Buildup"/>
    <s v="UP"/>
    <n v="4828460"/>
    <n v="518860"/>
    <n v="7060"/>
    <s v="error"/>
    <n v="-10.15"/>
    <n v="0.95"/>
    <x v="29"/>
    <n v="583.6"/>
    <n v="206.90000000000003"/>
    <s v="error"/>
    <n v="1960"/>
    <n v="7500"/>
    <n v="41400"/>
    <s v="UP"/>
    <s v="Long Buildup"/>
    <n v="31335.15"/>
  </r>
  <r>
    <x v="17"/>
    <s v="Short Buildup"/>
    <s v="UP"/>
    <n v="4705660"/>
    <n v="809720"/>
    <n v="198060"/>
    <s v="error"/>
    <n v="-5.25"/>
    <n v="0.75"/>
    <x v="30"/>
    <n v="685.5"/>
    <n v="215"/>
    <s v="error"/>
    <n v="-1360"/>
    <n v="10760"/>
    <n v="27240"/>
    <s v="DOWN"/>
    <s v="Short covering"/>
    <n v="31335.15"/>
  </r>
  <r>
    <x v="17"/>
    <n v="0.81138721697317195"/>
    <m/>
    <m/>
    <n v="10310860"/>
    <m/>
    <m/>
    <m/>
    <m/>
    <x v="16"/>
    <m/>
    <m/>
    <m/>
    <m/>
    <n v="8366100"/>
    <m/>
    <m/>
    <m/>
    <m/>
  </r>
  <r>
    <x v="18"/>
    <s v="Long Liquidation"/>
    <s v="DOWN"/>
    <n v="12700"/>
    <n v="26820"/>
    <n v="-5400"/>
    <s v="undefined"/>
    <n v="-210.59999999999991"/>
    <n v="821.2"/>
    <x v="34"/>
    <n v="0.55000000000000004"/>
    <n v="-2.1500000000000004"/>
    <s v="error"/>
    <n v="-15920"/>
    <n v="398420"/>
    <n v="226240"/>
    <s v="DOWN"/>
    <s v="Long Liquidation"/>
    <n v="31345.35"/>
  </r>
  <r>
    <x v="18"/>
    <s v="Long Liquidation"/>
    <s v="DOWN"/>
    <n v="1000"/>
    <n v="3960"/>
    <n v="-580"/>
    <s v="undefined"/>
    <n v="-209.40000000000009"/>
    <n v="723.3"/>
    <x v="33"/>
    <n v="0.7"/>
    <n v="-2.2999999999999998"/>
    <s v="error"/>
    <n v="7580"/>
    <n v="206820"/>
    <n v="182780"/>
    <s v="UP"/>
    <s v="Short Buildup"/>
    <n v="31345.35"/>
  </r>
  <r>
    <x v="18"/>
    <s v="Long Liquidation"/>
    <s v="DOWN"/>
    <n v="7900"/>
    <n v="10740"/>
    <n v="-1080"/>
    <s v="undefined"/>
    <n v="-208.64999999999998"/>
    <n v="627.35"/>
    <x v="17"/>
    <n v="0.9"/>
    <n v="-2.7"/>
    <s v="error"/>
    <n v="86880"/>
    <n v="277080"/>
    <n v="441140"/>
    <s v="UP"/>
    <s v="Short Buildup"/>
    <n v="31345.35"/>
  </r>
  <r>
    <x v="18"/>
    <s v="Long Liquidation"/>
    <s v="DOWN"/>
    <n v="3240"/>
    <n v="7020"/>
    <n v="-480"/>
    <s v="undefined"/>
    <n v="-215.60000000000002"/>
    <n v="520"/>
    <x v="18"/>
    <n v="1.25"/>
    <n v="-2.8499999999999996"/>
    <s v="error"/>
    <n v="33080"/>
    <n v="400480"/>
    <n v="945960"/>
    <s v="UP"/>
    <s v="Short Buildup"/>
    <n v="31345.35"/>
  </r>
  <r>
    <x v="18"/>
    <s v="Short Buildup"/>
    <s v="UP"/>
    <n v="6900"/>
    <n v="6760"/>
    <n v="520"/>
    <s v="undefined"/>
    <n v="-209.69999999999993"/>
    <n v="423.85"/>
    <x v="19"/>
    <n v="2.35"/>
    <n v="-3.15"/>
    <s v="error"/>
    <n v="179360"/>
    <n v="545240"/>
    <n v="2011760"/>
    <s v="UP"/>
    <s v="Short Buildup"/>
    <n v="31345.35"/>
  </r>
  <r>
    <x v="18"/>
    <s v="Short Buildup"/>
    <s v="UP"/>
    <n v="169580"/>
    <n v="102220"/>
    <n v="14000"/>
    <s v="undefined"/>
    <n v="-216.85000000000002"/>
    <n v="328"/>
    <x v="20"/>
    <n v="4.6500000000000004"/>
    <n v="-2.75"/>
    <s v="error"/>
    <n v="934900"/>
    <n v="1745500"/>
    <n v="5640920"/>
    <s v="UP"/>
    <s v="Short Buildup"/>
    <n v="31345.35"/>
  </r>
  <r>
    <x v="18"/>
    <s v="Short Buildup"/>
    <s v="UP"/>
    <n v="185780"/>
    <n v="61520"/>
    <n v="30860"/>
    <s v="undefined"/>
    <n v="-209.24999999999997"/>
    <n v="235.9"/>
    <x v="21"/>
    <n v="10.5"/>
    <n v="0.34999999999999964"/>
    <s v="error"/>
    <n v="807060"/>
    <n v="1325760"/>
    <n v="6838080"/>
    <s v="UP"/>
    <s v="Long Buildup"/>
    <n v="31345.35"/>
  </r>
  <r>
    <x v="18"/>
    <s v="Short Buildup"/>
    <s v="UP"/>
    <n v="1420940"/>
    <n v="278300"/>
    <n v="146580"/>
    <s v="error"/>
    <n v="-197.75"/>
    <n v="152.69999999999999"/>
    <x v="22"/>
    <n v="28.35"/>
    <n v="10.950000000000003"/>
    <s v="error"/>
    <n v="717220"/>
    <n v="1243160"/>
    <n v="9363640"/>
    <s v="UP"/>
    <s v="Long Buildup"/>
    <n v="31345.35"/>
  </r>
  <r>
    <x v="18"/>
    <s v="Short Buildup"/>
    <s v="UP"/>
    <n v="2995900"/>
    <n v="550660"/>
    <n v="434720"/>
    <s v="error"/>
    <n v="-179.5"/>
    <n v="86.05"/>
    <x v="23"/>
    <n v="62.8"/>
    <n v="31.849999999999998"/>
    <s v="error"/>
    <n v="383800"/>
    <n v="1034300"/>
    <n v="10332640"/>
    <s v="UP"/>
    <s v="Long Buildup"/>
    <n v="31345.35"/>
  </r>
  <r>
    <x v="18"/>
    <s v="Short Buildup"/>
    <s v="UP"/>
    <n v="7693720"/>
    <n v="1214800"/>
    <n v="1030500"/>
    <s v="error"/>
    <n v="-146.25"/>
    <n v="42.75"/>
    <x v="24"/>
    <n v="118.95"/>
    <n v="65"/>
    <s v="error"/>
    <n v="101260"/>
    <n v="657480"/>
    <n v="8266600"/>
    <s v="UP"/>
    <s v="Long Buildup"/>
    <n v="31345.35"/>
  </r>
  <r>
    <x v="18"/>
    <s v="Short Buildup"/>
    <s v="UP"/>
    <n v="12364240"/>
    <n v="2690860"/>
    <n v="1912320"/>
    <s v="error"/>
    <n v="-107.7"/>
    <n v="18.75"/>
    <x v="25"/>
    <n v="195"/>
    <n v="104.85"/>
    <s v="error"/>
    <n v="-110340"/>
    <n v="520140"/>
    <n v="4678740"/>
    <s v="DOWN"/>
    <s v="Short covering"/>
    <n v="31345.35"/>
  </r>
  <r>
    <x v="18"/>
    <s v="Short Buildup"/>
    <s v="UP"/>
    <n v="9609780"/>
    <n v="1816420"/>
    <n v="1196760"/>
    <s v="error"/>
    <n v="-71.2"/>
    <n v="7.25"/>
    <x v="26"/>
    <n v="284"/>
    <n v="141.9"/>
    <s v="error"/>
    <n v="20140"/>
    <n v="114380"/>
    <n v="1355480"/>
    <s v="UP"/>
    <s v="Long Buildup"/>
    <n v="31345.35"/>
  </r>
  <r>
    <x v="18"/>
    <s v="Short Buildup"/>
    <s v="UP"/>
    <n v="7926360"/>
    <n v="1311240"/>
    <n v="675980"/>
    <s v="error"/>
    <n v="-41.300000000000004"/>
    <n v="3.15"/>
    <x v="27"/>
    <n v="380"/>
    <n v="170.6"/>
    <s v="error"/>
    <n v="-9360"/>
    <n v="40400"/>
    <n v="574740"/>
    <s v="DOWN"/>
    <s v="Short covering"/>
    <n v="31345.35"/>
  </r>
  <r>
    <x v="18"/>
    <s v="Short Buildup"/>
    <s v="UP"/>
    <n v="5427280"/>
    <n v="1008640"/>
    <n v="423260"/>
    <s v="error"/>
    <n v="-22.05"/>
    <n v="1.45"/>
    <x v="28"/>
    <n v="477.4"/>
    <n v="192.04999999999995"/>
    <s v="error"/>
    <n v="2940"/>
    <n v="17920"/>
    <n v="214500"/>
    <s v="UP"/>
    <s v="Long Buildup"/>
    <n v="31345.35"/>
  </r>
  <r>
    <x v="18"/>
    <s v="Short Buildup"/>
    <s v="UP"/>
    <n v="5602920"/>
    <n v="520800"/>
    <n v="9000"/>
    <s v="error"/>
    <n v="-10.1"/>
    <n v="1"/>
    <x v="29"/>
    <n v="586.79999999999995"/>
    <n v="210.09999999999997"/>
    <s v="error"/>
    <n v="1580"/>
    <n v="7120"/>
    <n v="41980"/>
    <s v="UP"/>
    <s v="Long Buildup"/>
    <n v="31345.35"/>
  </r>
  <r>
    <x v="18"/>
    <s v="Short Buildup"/>
    <s v="UP"/>
    <n v="4740580"/>
    <n v="800440"/>
    <n v="188780"/>
    <s v="error"/>
    <n v="-5.3"/>
    <n v="0.7"/>
    <x v="30"/>
    <n v="685"/>
    <n v="214.5"/>
    <s v="error"/>
    <n v="-1400"/>
    <n v="10720"/>
    <n v="27640"/>
    <s v="DOWN"/>
    <s v="Short covering"/>
    <n v="31345.35"/>
  </r>
  <r>
    <x v="18"/>
    <n v="0.82074304595051484"/>
    <m/>
    <m/>
    <n v="10411200"/>
    <m/>
    <m/>
    <m/>
    <m/>
    <x v="16"/>
    <m/>
    <m/>
    <m/>
    <m/>
    <n v="8544920"/>
    <m/>
    <m/>
    <m/>
    <m/>
  </r>
  <r>
    <x v="18"/>
    <s v="Long Liquidation"/>
    <s v="DOWN"/>
    <n v="12700"/>
    <n v="26820"/>
    <n v="-5400"/>
    <s v="undefined"/>
    <n v="-210.59999999999991"/>
    <n v="821.2"/>
    <x v="34"/>
    <n v="0.55000000000000004"/>
    <n v="-2.1500000000000004"/>
    <s v="error"/>
    <n v="-15920"/>
    <n v="398420"/>
    <n v="226240"/>
    <s v="DOWN"/>
    <s v="Long Liquidation"/>
    <n v="31345.35"/>
  </r>
  <r>
    <x v="18"/>
    <s v="Long Liquidation"/>
    <s v="DOWN"/>
    <n v="1000"/>
    <n v="3960"/>
    <n v="-580"/>
    <s v="undefined"/>
    <n v="-209.40000000000009"/>
    <n v="723.3"/>
    <x v="33"/>
    <n v="0.7"/>
    <n v="-2.2999999999999998"/>
    <s v="error"/>
    <n v="7580"/>
    <n v="206820"/>
    <n v="182780"/>
    <s v="UP"/>
    <s v="Short Buildup"/>
    <n v="31345.35"/>
  </r>
  <r>
    <x v="18"/>
    <s v="Long Liquidation"/>
    <s v="DOWN"/>
    <n v="7900"/>
    <n v="10740"/>
    <n v="-1080"/>
    <s v="undefined"/>
    <n v="-208.64999999999998"/>
    <n v="627.35"/>
    <x v="17"/>
    <n v="0.9"/>
    <n v="-2.7"/>
    <s v="error"/>
    <n v="86880"/>
    <n v="277080"/>
    <n v="441140"/>
    <s v="UP"/>
    <s v="Short Buildup"/>
    <n v="31345.35"/>
  </r>
  <r>
    <x v="18"/>
    <s v="Long Liquidation"/>
    <s v="DOWN"/>
    <n v="3240"/>
    <n v="7020"/>
    <n v="-480"/>
    <s v="undefined"/>
    <n v="-215.60000000000002"/>
    <n v="520"/>
    <x v="18"/>
    <n v="1.25"/>
    <n v="-2.8499999999999996"/>
    <s v="error"/>
    <n v="33080"/>
    <n v="400480"/>
    <n v="945960"/>
    <s v="UP"/>
    <s v="Short Buildup"/>
    <n v="31345.35"/>
  </r>
  <r>
    <x v="18"/>
    <s v="Short Buildup"/>
    <s v="UP"/>
    <n v="6900"/>
    <n v="6760"/>
    <n v="520"/>
    <s v="undefined"/>
    <n v="-209.69999999999993"/>
    <n v="423.85"/>
    <x v="19"/>
    <n v="2.35"/>
    <n v="-3.15"/>
    <s v="error"/>
    <n v="179360"/>
    <n v="545240"/>
    <n v="2011760"/>
    <s v="UP"/>
    <s v="Short Buildup"/>
    <n v="31345.35"/>
  </r>
  <r>
    <x v="18"/>
    <s v="Short Buildup"/>
    <s v="UP"/>
    <n v="169580"/>
    <n v="102220"/>
    <n v="14000"/>
    <s v="undefined"/>
    <n v="-216.85000000000002"/>
    <n v="328"/>
    <x v="20"/>
    <n v="4.6500000000000004"/>
    <n v="-2.75"/>
    <s v="error"/>
    <n v="934900"/>
    <n v="1745500"/>
    <n v="5640920"/>
    <s v="UP"/>
    <s v="Short Buildup"/>
    <n v="31345.35"/>
  </r>
  <r>
    <x v="18"/>
    <s v="Short Buildup"/>
    <s v="UP"/>
    <n v="185780"/>
    <n v="61520"/>
    <n v="30860"/>
    <s v="undefined"/>
    <n v="-209.24999999999997"/>
    <n v="235.9"/>
    <x v="21"/>
    <n v="10.5"/>
    <n v="0.34999999999999964"/>
    <s v="error"/>
    <n v="807060"/>
    <n v="1325760"/>
    <n v="6838080"/>
    <s v="UP"/>
    <s v="Long Buildup"/>
    <n v="31345.35"/>
  </r>
  <r>
    <x v="18"/>
    <s v="Short Buildup"/>
    <s v="UP"/>
    <n v="1420940"/>
    <n v="278300"/>
    <n v="146580"/>
    <s v="error"/>
    <n v="-197.75"/>
    <n v="152.69999999999999"/>
    <x v="22"/>
    <n v="28.35"/>
    <n v="10.950000000000003"/>
    <s v="error"/>
    <n v="717220"/>
    <n v="1243160"/>
    <n v="9363640"/>
    <s v="UP"/>
    <s v="Long Buildup"/>
    <n v="31345.35"/>
  </r>
  <r>
    <x v="18"/>
    <s v="Short Buildup"/>
    <s v="UP"/>
    <n v="2995900"/>
    <n v="550660"/>
    <n v="434720"/>
    <s v="error"/>
    <n v="-179.5"/>
    <n v="86.05"/>
    <x v="23"/>
    <n v="62.8"/>
    <n v="31.849999999999998"/>
    <s v="error"/>
    <n v="383800"/>
    <n v="1034300"/>
    <n v="10332640"/>
    <s v="UP"/>
    <s v="Long Buildup"/>
    <n v="31345.35"/>
  </r>
  <r>
    <x v="18"/>
    <s v="Short Buildup"/>
    <s v="UP"/>
    <n v="7693720"/>
    <n v="1214800"/>
    <n v="1030500"/>
    <s v="error"/>
    <n v="-146.25"/>
    <n v="42.75"/>
    <x v="24"/>
    <n v="118.95"/>
    <n v="65"/>
    <s v="error"/>
    <n v="101260"/>
    <n v="657480"/>
    <n v="8266600"/>
    <s v="UP"/>
    <s v="Long Buildup"/>
    <n v="31345.35"/>
  </r>
  <r>
    <x v="18"/>
    <s v="Short Buildup"/>
    <s v="UP"/>
    <n v="12364240"/>
    <n v="2690860"/>
    <n v="1912320"/>
    <s v="error"/>
    <n v="-107.7"/>
    <n v="18.75"/>
    <x v="25"/>
    <n v="195"/>
    <n v="104.85"/>
    <s v="error"/>
    <n v="-110340"/>
    <n v="520140"/>
    <n v="4678740"/>
    <s v="DOWN"/>
    <s v="Short covering"/>
    <n v="31345.35"/>
  </r>
  <r>
    <x v="18"/>
    <s v="Short Buildup"/>
    <s v="UP"/>
    <n v="9609780"/>
    <n v="1816420"/>
    <n v="1196760"/>
    <s v="error"/>
    <n v="-71.2"/>
    <n v="7.25"/>
    <x v="26"/>
    <n v="284"/>
    <n v="141.9"/>
    <s v="error"/>
    <n v="20140"/>
    <n v="114380"/>
    <n v="1355480"/>
    <s v="UP"/>
    <s v="Long Buildup"/>
    <n v="31345.35"/>
  </r>
  <r>
    <x v="18"/>
    <s v="Short Buildup"/>
    <s v="UP"/>
    <n v="7926360"/>
    <n v="1311240"/>
    <n v="675980"/>
    <s v="error"/>
    <n v="-41.300000000000004"/>
    <n v="3.15"/>
    <x v="27"/>
    <n v="380"/>
    <n v="170.6"/>
    <s v="error"/>
    <n v="-9360"/>
    <n v="40400"/>
    <n v="574740"/>
    <s v="DOWN"/>
    <s v="Short covering"/>
    <n v="31345.35"/>
  </r>
  <r>
    <x v="18"/>
    <s v="Short Buildup"/>
    <s v="UP"/>
    <n v="5427280"/>
    <n v="1008640"/>
    <n v="423260"/>
    <s v="error"/>
    <n v="-22.05"/>
    <n v="1.45"/>
    <x v="28"/>
    <n v="477.4"/>
    <n v="192.04999999999995"/>
    <s v="error"/>
    <n v="2940"/>
    <n v="17920"/>
    <n v="214500"/>
    <s v="UP"/>
    <s v="Long Buildup"/>
    <n v="31345.35"/>
  </r>
  <r>
    <x v="18"/>
    <s v="Short Buildup"/>
    <s v="UP"/>
    <n v="5602920"/>
    <n v="520800"/>
    <n v="9000"/>
    <s v="error"/>
    <n v="-10.1"/>
    <n v="1"/>
    <x v="29"/>
    <n v="586.79999999999995"/>
    <n v="210.09999999999997"/>
    <s v="error"/>
    <n v="1580"/>
    <n v="7120"/>
    <n v="41980"/>
    <s v="UP"/>
    <s v="Long Buildup"/>
    <n v="31345.35"/>
  </r>
  <r>
    <x v="18"/>
    <s v="Short Buildup"/>
    <s v="UP"/>
    <n v="4740580"/>
    <n v="800440"/>
    <n v="188780"/>
    <s v="error"/>
    <n v="-5.3"/>
    <n v="0.7"/>
    <x v="30"/>
    <n v="685"/>
    <n v="214.5"/>
    <s v="error"/>
    <n v="-1400"/>
    <n v="10720"/>
    <n v="27640"/>
    <s v="DOWN"/>
    <s v="Short covering"/>
    <n v="31345.35"/>
  </r>
  <r>
    <x v="18"/>
    <n v="0.82074304595051484"/>
    <m/>
    <m/>
    <n v="10411200"/>
    <m/>
    <m/>
    <m/>
    <m/>
    <x v="16"/>
    <m/>
    <m/>
    <m/>
    <m/>
    <n v="8544920"/>
    <m/>
    <m/>
    <m/>
    <m/>
  </r>
  <r>
    <x v="19"/>
    <s v="Long Liquidation"/>
    <s v="DOWN"/>
    <n v="12900"/>
    <n v="26760"/>
    <n v="-5460"/>
    <s v="undefined"/>
    <n v="-210.75"/>
    <n v="821.05"/>
    <x v="34"/>
    <n v="0.55000000000000004"/>
    <n v="-2.1500000000000004"/>
    <s v="error"/>
    <n v="-16780"/>
    <n v="397560"/>
    <n v="229960"/>
    <s v="DOWN"/>
    <s v="Long Liquidation"/>
    <n v="31338"/>
  </r>
  <r>
    <x v="19"/>
    <s v="Long Liquidation"/>
    <s v="DOWN"/>
    <n v="1060"/>
    <n v="3940"/>
    <n v="-600"/>
    <s v="undefined"/>
    <n v="-212.75"/>
    <n v="719.95"/>
    <x v="33"/>
    <n v="0.65"/>
    <n v="-2.35"/>
    <s v="error"/>
    <n v="6240"/>
    <n v="205480"/>
    <n v="184700"/>
    <s v="UP"/>
    <s v="Short Buildup"/>
    <n v="31338"/>
  </r>
  <r>
    <x v="19"/>
    <s v="Long Liquidation"/>
    <s v="DOWN"/>
    <n v="8200"/>
    <n v="10660"/>
    <n v="-1160"/>
    <s v="undefined"/>
    <n v="-219.29999999999995"/>
    <n v="616.70000000000005"/>
    <x v="17"/>
    <n v="0.9"/>
    <n v="-2.7"/>
    <s v="error"/>
    <n v="89320"/>
    <n v="279520"/>
    <n v="451060"/>
    <s v="UP"/>
    <s v="Short Buildup"/>
    <n v="31338"/>
  </r>
  <r>
    <x v="19"/>
    <s v="Long Liquidation"/>
    <s v="DOWN"/>
    <n v="4400"/>
    <n v="6920"/>
    <n v="-580"/>
    <s v="undefined"/>
    <n v="-217.70000000000005"/>
    <n v="517.9"/>
    <x v="18"/>
    <n v="1.25"/>
    <n v="-2.8499999999999996"/>
    <s v="error"/>
    <n v="44080"/>
    <n v="411480"/>
    <n v="969840"/>
    <s v="UP"/>
    <s v="Short Buildup"/>
    <n v="31338"/>
  </r>
  <r>
    <x v="19"/>
    <s v="Short Buildup"/>
    <s v="UP"/>
    <n v="7140"/>
    <n v="6800"/>
    <n v="560"/>
    <s v="undefined"/>
    <n v="-210.39999999999998"/>
    <n v="423.15"/>
    <x v="19"/>
    <n v="2.25"/>
    <n v="-3.25"/>
    <s v="error"/>
    <n v="196420"/>
    <n v="562300"/>
    <n v="2085920"/>
    <s v="UP"/>
    <s v="Short Buildup"/>
    <n v="31338"/>
  </r>
  <r>
    <x v="19"/>
    <s v="Short Buildup"/>
    <s v="UP"/>
    <n v="177520"/>
    <n v="101500"/>
    <n v="13280"/>
    <s v="undefined"/>
    <n v="-221.85000000000002"/>
    <n v="323"/>
    <x v="20"/>
    <n v="4.75"/>
    <n v="-2.6500000000000004"/>
    <s v="error"/>
    <n v="977340"/>
    <n v="1787940"/>
    <n v="5844720"/>
    <s v="UP"/>
    <s v="Short Buildup"/>
    <n v="31338"/>
  </r>
  <r>
    <x v="19"/>
    <s v="Short Buildup"/>
    <s v="UP"/>
    <n v="195120"/>
    <n v="59820"/>
    <n v="29160"/>
    <s v="undefined"/>
    <n v="-217.14999999999998"/>
    <n v="228"/>
    <x v="21"/>
    <n v="10.8"/>
    <n v="0.65000000000000036"/>
    <s v="error"/>
    <n v="847240"/>
    <n v="1365940"/>
    <n v="7158340"/>
    <s v="UP"/>
    <s v="Long Buildup"/>
    <n v="31338"/>
  </r>
  <r>
    <x v="19"/>
    <s v="Short Buildup"/>
    <s v="UP"/>
    <n v="1499540"/>
    <n v="282600"/>
    <n v="150880"/>
    <s v="error"/>
    <n v="-201.25"/>
    <n v="149.19999999999999"/>
    <x v="22"/>
    <n v="29.25"/>
    <n v="11.850000000000001"/>
    <s v="error"/>
    <n v="754140"/>
    <n v="1280080"/>
    <n v="9726720"/>
    <s v="UP"/>
    <s v="Long Buildup"/>
    <n v="31338"/>
  </r>
  <r>
    <x v="19"/>
    <s v="Short Buildup"/>
    <s v="UP"/>
    <n v="3217500"/>
    <n v="570540"/>
    <n v="454600"/>
    <s v="error"/>
    <n v="-181.25"/>
    <n v="84.3"/>
    <x v="23"/>
    <n v="65.400000000000006"/>
    <n v="34.450000000000003"/>
    <s v="error"/>
    <n v="422060"/>
    <n v="1072560"/>
    <n v="10734360"/>
    <s v="UP"/>
    <s v="Long Buildup"/>
    <n v="31338"/>
  </r>
  <r>
    <x v="19"/>
    <s v="Short Buildup"/>
    <s v="UP"/>
    <n v="8073760"/>
    <n v="1215500"/>
    <n v="1031200"/>
    <s v="error"/>
    <n v="-147"/>
    <n v="42"/>
    <x v="24"/>
    <n v="122.45"/>
    <n v="68.5"/>
    <s v="error"/>
    <n v="97780"/>
    <n v="654000"/>
    <n v="8462520"/>
    <s v="UP"/>
    <s v="Long Buildup"/>
    <n v="31338"/>
  </r>
  <r>
    <x v="19"/>
    <s v="Short Buildup"/>
    <s v="UP"/>
    <n v="12776020"/>
    <n v="2694520"/>
    <n v="1915980"/>
    <s v="error"/>
    <n v="-107.75"/>
    <n v="18.7"/>
    <x v="25"/>
    <n v="199.55"/>
    <n v="109.4"/>
    <s v="error"/>
    <n v="-106480"/>
    <n v="524000"/>
    <n v="4770720"/>
    <s v="DOWN"/>
    <s v="Short covering"/>
    <n v="31338"/>
  </r>
  <r>
    <x v="19"/>
    <s v="Short Buildup"/>
    <s v="UP"/>
    <n v="9864460"/>
    <n v="1816560"/>
    <n v="1196900"/>
    <s v="error"/>
    <n v="-71.150000000000006"/>
    <n v="7.3"/>
    <x v="26"/>
    <n v="288.14999999999998"/>
    <n v="146.04999999999998"/>
    <s v="error"/>
    <n v="20340"/>
    <n v="114580"/>
    <n v="1381000"/>
    <s v="UP"/>
    <s v="Long Buildup"/>
    <n v="31338"/>
  </r>
  <r>
    <x v="19"/>
    <s v="Short Buildup"/>
    <s v="UP"/>
    <n v="8141640"/>
    <n v="1325700"/>
    <n v="690440"/>
    <s v="error"/>
    <n v="-41.150000000000006"/>
    <n v="3.3"/>
    <x v="27"/>
    <n v="384.75"/>
    <n v="175.35"/>
    <s v="error"/>
    <n v="-9820"/>
    <n v="39940"/>
    <n v="584060"/>
    <s v="DOWN"/>
    <s v="Short covering"/>
    <n v="31338"/>
  </r>
  <r>
    <x v="19"/>
    <s v="Short Buildup"/>
    <s v="UP"/>
    <n v="5563960"/>
    <n v="1019160"/>
    <n v="433780"/>
    <s v="error"/>
    <n v="-21.85"/>
    <n v="1.65"/>
    <x v="28"/>
    <n v="486"/>
    <n v="200.64999999999998"/>
    <s v="error"/>
    <n v="2620"/>
    <n v="17600"/>
    <n v="219200"/>
    <s v="UP"/>
    <s v="Long Buildup"/>
    <n v="31338"/>
  </r>
  <r>
    <x v="19"/>
    <s v="Short Buildup"/>
    <s v="UP"/>
    <n v="6470060"/>
    <n v="590800"/>
    <n v="79000"/>
    <s v="error"/>
    <n v="-9.9499999999999993"/>
    <n v="1.1499999999999999"/>
    <x v="29"/>
    <n v="584"/>
    <n v="207.3"/>
    <s v="error"/>
    <n v="1820"/>
    <n v="7360"/>
    <n v="43620"/>
    <s v="UP"/>
    <s v="Long Buildup"/>
    <n v="31338"/>
  </r>
  <r>
    <x v="19"/>
    <s v="Short Buildup"/>
    <s v="UP"/>
    <n v="5202640"/>
    <n v="785820"/>
    <n v="174160"/>
    <s v="error"/>
    <n v="-5.25"/>
    <n v="0.75"/>
    <x v="30"/>
    <n v="672.8"/>
    <n v="202.29999999999995"/>
    <s v="error"/>
    <n v="-1480"/>
    <n v="10640"/>
    <n v="28160"/>
    <s v="DOWN"/>
    <s v="Short covering"/>
    <n v="31338"/>
  </r>
  <r>
    <x v="19"/>
    <n v="0.83013044801095304"/>
    <m/>
    <m/>
    <n v="10517600"/>
    <m/>
    <m/>
    <m/>
    <m/>
    <x v="16"/>
    <m/>
    <m/>
    <m/>
    <m/>
    <n v="8730980"/>
    <m/>
    <m/>
    <m/>
    <m/>
  </r>
  <r>
    <x v="19"/>
    <s v="Long Liquidation"/>
    <s v="DOWN"/>
    <n v="12900"/>
    <n v="26760"/>
    <n v="-5460"/>
    <s v="undefined"/>
    <n v="-210.75"/>
    <n v="821.05"/>
    <x v="34"/>
    <n v="0.55000000000000004"/>
    <n v="-2.1500000000000004"/>
    <s v="error"/>
    <n v="-16780"/>
    <n v="397560"/>
    <n v="229960"/>
    <s v="DOWN"/>
    <s v="Long Liquidation"/>
    <n v="31338"/>
  </r>
  <r>
    <x v="19"/>
    <s v="Long Liquidation"/>
    <s v="DOWN"/>
    <n v="1060"/>
    <n v="3940"/>
    <n v="-600"/>
    <s v="undefined"/>
    <n v="-212.75"/>
    <n v="719.95"/>
    <x v="33"/>
    <n v="0.65"/>
    <n v="-2.35"/>
    <s v="error"/>
    <n v="6240"/>
    <n v="205480"/>
    <n v="184700"/>
    <s v="UP"/>
    <s v="Short Buildup"/>
    <n v="31338"/>
  </r>
  <r>
    <x v="19"/>
    <s v="Long Liquidation"/>
    <s v="DOWN"/>
    <n v="8200"/>
    <n v="10660"/>
    <n v="-1160"/>
    <s v="undefined"/>
    <n v="-219.29999999999995"/>
    <n v="616.70000000000005"/>
    <x v="17"/>
    <n v="0.9"/>
    <n v="-2.7"/>
    <s v="error"/>
    <n v="89320"/>
    <n v="279520"/>
    <n v="451060"/>
    <s v="UP"/>
    <s v="Short Buildup"/>
    <n v="31338"/>
  </r>
  <r>
    <x v="19"/>
    <s v="Long Liquidation"/>
    <s v="DOWN"/>
    <n v="4400"/>
    <n v="6920"/>
    <n v="-580"/>
    <s v="undefined"/>
    <n v="-217.70000000000005"/>
    <n v="517.9"/>
    <x v="18"/>
    <n v="1.25"/>
    <n v="-2.8499999999999996"/>
    <s v="error"/>
    <n v="44080"/>
    <n v="411480"/>
    <n v="969840"/>
    <s v="UP"/>
    <s v="Short Buildup"/>
    <n v="31338"/>
  </r>
  <r>
    <x v="19"/>
    <s v="Short Buildup"/>
    <s v="UP"/>
    <n v="7140"/>
    <n v="6800"/>
    <n v="560"/>
    <s v="undefined"/>
    <n v="-210.39999999999998"/>
    <n v="423.15"/>
    <x v="19"/>
    <n v="2.25"/>
    <n v="-3.25"/>
    <s v="error"/>
    <n v="196420"/>
    <n v="562300"/>
    <n v="2085920"/>
    <s v="UP"/>
    <s v="Short Buildup"/>
    <n v="31338"/>
  </r>
  <r>
    <x v="19"/>
    <s v="Short Buildup"/>
    <s v="UP"/>
    <n v="177520"/>
    <n v="101500"/>
    <n v="13280"/>
    <s v="undefined"/>
    <n v="-221.85000000000002"/>
    <n v="323"/>
    <x v="20"/>
    <n v="4.75"/>
    <n v="-2.6500000000000004"/>
    <s v="error"/>
    <n v="977340"/>
    <n v="1787940"/>
    <n v="5844720"/>
    <s v="UP"/>
    <s v="Short Buildup"/>
    <n v="31338"/>
  </r>
  <r>
    <x v="19"/>
    <s v="Short Buildup"/>
    <s v="UP"/>
    <n v="195120"/>
    <n v="59820"/>
    <n v="29160"/>
    <s v="undefined"/>
    <n v="-217.14999999999998"/>
    <n v="228"/>
    <x v="21"/>
    <n v="10.8"/>
    <n v="0.65000000000000036"/>
    <s v="error"/>
    <n v="847240"/>
    <n v="1365940"/>
    <n v="7158340"/>
    <s v="UP"/>
    <s v="Long Buildup"/>
    <n v="31338"/>
  </r>
  <r>
    <x v="19"/>
    <s v="Short Buildup"/>
    <s v="UP"/>
    <n v="1499540"/>
    <n v="282600"/>
    <n v="150880"/>
    <s v="error"/>
    <n v="-201.25"/>
    <n v="149.19999999999999"/>
    <x v="22"/>
    <n v="29.25"/>
    <n v="11.850000000000001"/>
    <s v="error"/>
    <n v="754140"/>
    <n v="1280080"/>
    <n v="9726720"/>
    <s v="UP"/>
    <s v="Long Buildup"/>
    <n v="31338"/>
  </r>
  <r>
    <x v="19"/>
    <s v="Short Buildup"/>
    <s v="UP"/>
    <n v="3217500"/>
    <n v="570540"/>
    <n v="454600"/>
    <s v="error"/>
    <n v="-181.25"/>
    <n v="84.3"/>
    <x v="23"/>
    <n v="65.400000000000006"/>
    <n v="34.450000000000003"/>
    <s v="error"/>
    <n v="422060"/>
    <n v="1072560"/>
    <n v="10734360"/>
    <s v="UP"/>
    <s v="Long Buildup"/>
    <n v="31338"/>
  </r>
  <r>
    <x v="19"/>
    <s v="Short Buildup"/>
    <s v="UP"/>
    <n v="8073760"/>
    <n v="1215500"/>
    <n v="1031200"/>
    <s v="error"/>
    <n v="-147"/>
    <n v="42"/>
    <x v="24"/>
    <n v="122.45"/>
    <n v="68.5"/>
    <s v="error"/>
    <n v="97780"/>
    <n v="654000"/>
    <n v="8462520"/>
    <s v="UP"/>
    <s v="Long Buildup"/>
    <n v="31338"/>
  </r>
  <r>
    <x v="19"/>
    <s v="Short Buildup"/>
    <s v="UP"/>
    <n v="12776020"/>
    <n v="2694520"/>
    <n v="1915980"/>
    <s v="error"/>
    <n v="-107.75"/>
    <n v="18.7"/>
    <x v="25"/>
    <n v="199.55"/>
    <n v="109.4"/>
    <s v="error"/>
    <n v="-106480"/>
    <n v="524000"/>
    <n v="4770720"/>
    <s v="DOWN"/>
    <s v="Short covering"/>
    <n v="31338"/>
  </r>
  <r>
    <x v="19"/>
    <s v="Short Buildup"/>
    <s v="UP"/>
    <n v="9864460"/>
    <n v="1816560"/>
    <n v="1196900"/>
    <s v="error"/>
    <n v="-71.150000000000006"/>
    <n v="7.3"/>
    <x v="26"/>
    <n v="288.14999999999998"/>
    <n v="146.04999999999998"/>
    <s v="error"/>
    <n v="20340"/>
    <n v="114580"/>
    <n v="1381000"/>
    <s v="UP"/>
    <s v="Long Buildup"/>
    <n v="31338"/>
  </r>
  <r>
    <x v="19"/>
    <s v="Short Buildup"/>
    <s v="UP"/>
    <n v="8141640"/>
    <n v="1325700"/>
    <n v="690440"/>
    <s v="error"/>
    <n v="-41.150000000000006"/>
    <n v="3.3"/>
    <x v="27"/>
    <n v="384.75"/>
    <n v="175.35"/>
    <s v="error"/>
    <n v="-9820"/>
    <n v="39940"/>
    <n v="584060"/>
    <s v="DOWN"/>
    <s v="Short covering"/>
    <n v="31338"/>
  </r>
  <r>
    <x v="19"/>
    <s v="Short Buildup"/>
    <s v="UP"/>
    <n v="5563960"/>
    <n v="1019160"/>
    <n v="433780"/>
    <s v="error"/>
    <n v="-21.85"/>
    <n v="1.65"/>
    <x v="28"/>
    <n v="486"/>
    <n v="200.64999999999998"/>
    <s v="error"/>
    <n v="2620"/>
    <n v="17600"/>
    <n v="219200"/>
    <s v="UP"/>
    <s v="Long Buildup"/>
    <n v="31338"/>
  </r>
  <r>
    <x v="19"/>
    <s v="Short Buildup"/>
    <s v="UP"/>
    <n v="6470060"/>
    <n v="590800"/>
    <n v="79000"/>
    <s v="error"/>
    <n v="-9.9499999999999993"/>
    <n v="1.1499999999999999"/>
    <x v="29"/>
    <n v="584"/>
    <n v="207.3"/>
    <s v="error"/>
    <n v="1820"/>
    <n v="7360"/>
    <n v="43620"/>
    <s v="UP"/>
    <s v="Long Buildup"/>
    <n v="31338"/>
  </r>
  <r>
    <x v="19"/>
    <s v="Short Buildup"/>
    <s v="UP"/>
    <n v="5202640"/>
    <n v="785820"/>
    <n v="174160"/>
    <s v="error"/>
    <n v="-5.25"/>
    <n v="0.75"/>
    <x v="30"/>
    <n v="672.8"/>
    <n v="202.29999999999995"/>
    <s v="error"/>
    <n v="-1480"/>
    <n v="10640"/>
    <n v="28160"/>
    <s v="DOWN"/>
    <s v="Short covering"/>
    <n v="31338"/>
  </r>
  <r>
    <x v="19"/>
    <n v="0.83013044801095304"/>
    <m/>
    <m/>
    <n v="10517600"/>
    <m/>
    <m/>
    <m/>
    <m/>
    <x v="16"/>
    <m/>
    <m/>
    <m/>
    <m/>
    <n v="8730980"/>
    <m/>
    <m/>
    <m/>
    <m/>
  </r>
  <r>
    <x v="20"/>
    <s v="Long Liquidation"/>
    <s v="DOWN"/>
    <n v="13060"/>
    <n v="26680"/>
    <n v="-5540"/>
    <s v="undefined"/>
    <n v="-224.34999999999991"/>
    <n v="807.45"/>
    <x v="34"/>
    <n v="0.6"/>
    <n v="-2.1"/>
    <s v="error"/>
    <n v="-17140"/>
    <n v="397200"/>
    <n v="230780"/>
    <s v="DOWN"/>
    <s v="Long Liquidation"/>
    <n v="31326.75"/>
  </r>
  <r>
    <x v="20"/>
    <s v="Long Liquidation"/>
    <s v="DOWN"/>
    <n v="1100"/>
    <n v="3880"/>
    <n v="-660"/>
    <s v="undefined"/>
    <n v="-217.70000000000005"/>
    <n v="715"/>
    <x v="33"/>
    <n v="0.7"/>
    <n v="-2.2999999999999998"/>
    <s v="error"/>
    <n v="7120"/>
    <n v="206360"/>
    <n v="191560"/>
    <s v="UP"/>
    <s v="Short Buildup"/>
    <n v="31326.75"/>
  </r>
  <r>
    <x v="20"/>
    <s v="Long Liquidation"/>
    <s v="DOWN"/>
    <n v="8380"/>
    <n v="10580"/>
    <n v="-1240"/>
    <s v="undefined"/>
    <n v="-228.10000000000002"/>
    <n v="607.9"/>
    <x v="17"/>
    <n v="0.9"/>
    <n v="-2.7"/>
    <s v="error"/>
    <n v="86360"/>
    <n v="276560"/>
    <n v="456120"/>
    <s v="UP"/>
    <s v="Short Buildup"/>
    <n v="31326.75"/>
  </r>
  <r>
    <x v="20"/>
    <s v="Short Buildup"/>
    <s v="UP"/>
    <n v="4940"/>
    <n v="7660"/>
    <n v="160"/>
    <s v="undefined"/>
    <n v="-225.75"/>
    <n v="509.85"/>
    <x v="18"/>
    <n v="1.35"/>
    <n v="-2.7499999999999996"/>
    <s v="error"/>
    <n v="45400"/>
    <n v="412800"/>
    <n v="1003480"/>
    <s v="UP"/>
    <s v="Short Buildup"/>
    <n v="31326.75"/>
  </r>
  <r>
    <x v="20"/>
    <s v="Short Buildup"/>
    <s v="UP"/>
    <n v="7540"/>
    <n v="6740"/>
    <n v="500"/>
    <s v="undefined"/>
    <n v="-228.39999999999998"/>
    <n v="405.15"/>
    <x v="19"/>
    <n v="2.5499999999999998"/>
    <n v="-2.95"/>
    <s v="error"/>
    <n v="208000"/>
    <n v="573880"/>
    <n v="2141840"/>
    <s v="UP"/>
    <s v="Short Buildup"/>
    <n v="31326.75"/>
  </r>
  <r>
    <x v="20"/>
    <s v="Short Buildup"/>
    <s v="UP"/>
    <n v="181640"/>
    <n v="100180"/>
    <n v="11960"/>
    <s v="undefined"/>
    <n v="-235.10000000000002"/>
    <n v="309.75"/>
    <x v="20"/>
    <n v="5.3"/>
    <n v="-2.1000000000000005"/>
    <s v="error"/>
    <n v="995460"/>
    <n v="1806060"/>
    <n v="6038300"/>
    <s v="UP"/>
    <s v="Short Buildup"/>
    <n v="31326.75"/>
  </r>
  <r>
    <x v="20"/>
    <s v="Short Buildup"/>
    <s v="UP"/>
    <n v="206120"/>
    <n v="61760"/>
    <n v="31100"/>
    <s v="undefined"/>
    <n v="-227.2"/>
    <n v="217.95"/>
    <x v="21"/>
    <n v="12.1"/>
    <n v="1.9499999999999993"/>
    <s v="error"/>
    <n v="871560"/>
    <n v="1390260"/>
    <n v="7422320"/>
    <s v="UP"/>
    <s v="Long Buildup"/>
    <n v="31326.75"/>
  </r>
  <r>
    <x v="20"/>
    <s v="Short Buildup"/>
    <s v="UP"/>
    <n v="1576120"/>
    <n v="285480"/>
    <n v="153760"/>
    <s v="error"/>
    <n v="-213.35"/>
    <n v="137.1"/>
    <x v="22"/>
    <n v="31"/>
    <n v="13.600000000000001"/>
    <s v="error"/>
    <n v="771200"/>
    <n v="1297140"/>
    <n v="10064800"/>
    <s v="UP"/>
    <s v="Long Buildup"/>
    <n v="31326.75"/>
  </r>
  <r>
    <x v="20"/>
    <s v="Short Buildup"/>
    <s v="UP"/>
    <n v="3399060"/>
    <n v="593800"/>
    <n v="477860"/>
    <s v="error"/>
    <n v="-190.55"/>
    <n v="75"/>
    <x v="23"/>
    <n v="69.05"/>
    <n v="38.099999999999994"/>
    <s v="error"/>
    <n v="391660"/>
    <n v="1042160"/>
    <n v="11045000"/>
    <s v="UP"/>
    <s v="Long Buildup"/>
    <n v="31326.75"/>
  </r>
  <r>
    <x v="20"/>
    <s v="Short Buildup"/>
    <s v="UP"/>
    <n v="8462720"/>
    <n v="1270560"/>
    <n v="1086260"/>
    <s v="error"/>
    <n v="-152.55000000000001"/>
    <n v="36.450000000000003"/>
    <x v="24"/>
    <n v="129.69999999999999"/>
    <n v="75.749999999999986"/>
    <s v="error"/>
    <n v="74200"/>
    <n v="630420"/>
    <n v="8638720"/>
    <s v="UP"/>
    <s v="Long Buildup"/>
    <n v="31326.75"/>
  </r>
  <r>
    <x v="20"/>
    <s v="Short Buildup"/>
    <s v="UP"/>
    <n v="13153020"/>
    <n v="2714460"/>
    <n v="1935920"/>
    <s v="error"/>
    <n v="-110.4"/>
    <n v="16.05"/>
    <x v="25"/>
    <n v="209.75"/>
    <n v="119.6"/>
    <s v="error"/>
    <n v="-116660"/>
    <n v="513820"/>
    <n v="4854040"/>
    <s v="DOWN"/>
    <s v="Short covering"/>
    <n v="31326.75"/>
  </r>
  <r>
    <x v="20"/>
    <s v="Short Buildup"/>
    <s v="UP"/>
    <n v="10104920"/>
    <n v="1851320"/>
    <n v="1231660"/>
    <s v="error"/>
    <n v="-72.05"/>
    <n v="6.4"/>
    <x v="26"/>
    <n v="300.05"/>
    <n v="157.95000000000002"/>
    <s v="error"/>
    <n v="16960"/>
    <n v="111200"/>
    <n v="1404080"/>
    <s v="UP"/>
    <s v="Long Buildup"/>
    <n v="31326.75"/>
  </r>
  <r>
    <x v="20"/>
    <s v="Short Buildup"/>
    <s v="UP"/>
    <n v="8370000"/>
    <n v="1341620"/>
    <n v="706360"/>
    <s v="error"/>
    <n v="-41.45"/>
    <n v="3"/>
    <x v="27"/>
    <n v="397.5"/>
    <n v="188.1"/>
    <s v="error"/>
    <n v="-9360"/>
    <n v="40400"/>
    <n v="590340"/>
    <s v="DOWN"/>
    <s v="Short covering"/>
    <n v="31326.75"/>
  </r>
  <r>
    <x v="20"/>
    <s v="Short Buildup"/>
    <s v="UP"/>
    <n v="5692400"/>
    <n v="1011440"/>
    <n v="426060"/>
    <s v="error"/>
    <n v="-21.95"/>
    <n v="1.55"/>
    <x v="28"/>
    <n v="494.65"/>
    <n v="209.29999999999995"/>
    <s v="error"/>
    <n v="2180"/>
    <n v="17160"/>
    <n v="222560"/>
    <s v="UP"/>
    <s v="Long Buildup"/>
    <n v="31326.75"/>
  </r>
  <r>
    <x v="20"/>
    <s v="Short Buildup"/>
    <s v="UP"/>
    <n v="7516180"/>
    <n v="664540"/>
    <n v="152740"/>
    <s v="error"/>
    <n v="-10.1"/>
    <n v="1"/>
    <x v="29"/>
    <n v="593.15"/>
    <n v="216.45"/>
    <s v="error"/>
    <n v="2400"/>
    <n v="7940"/>
    <n v="44020"/>
    <s v="UP"/>
    <s v="Long Buildup"/>
    <n v="31326.75"/>
  </r>
  <r>
    <x v="20"/>
    <s v="Short Buildup"/>
    <s v="UP"/>
    <n v="5229700"/>
    <n v="748480"/>
    <n v="136820"/>
    <s v="error"/>
    <n v="-5.3"/>
    <n v="0.7"/>
    <x v="30"/>
    <n v="695.7"/>
    <n v="225.20000000000005"/>
    <s v="error"/>
    <n v="-1560"/>
    <n v="10560"/>
    <n v="28200"/>
    <s v="DOWN"/>
    <s v="Short covering"/>
    <n v="31326.75"/>
  </r>
  <r>
    <x v="20"/>
    <n v="0.81631676446232326"/>
    <m/>
    <m/>
    <n v="10699180"/>
    <m/>
    <m/>
    <m/>
    <m/>
    <x v="16"/>
    <m/>
    <m/>
    <m/>
    <m/>
    <n v="8733920"/>
    <m/>
    <m/>
    <m/>
    <m/>
  </r>
  <r>
    <x v="20"/>
    <s v="Long Liquidation"/>
    <s v="DOWN"/>
    <n v="13060"/>
    <n v="26680"/>
    <n v="-5540"/>
    <s v="undefined"/>
    <n v="-224.34999999999991"/>
    <n v="807.45"/>
    <x v="34"/>
    <n v="0.6"/>
    <n v="-2.1"/>
    <s v="error"/>
    <n v="-17140"/>
    <n v="397200"/>
    <n v="230780"/>
    <s v="DOWN"/>
    <s v="Long Liquidation"/>
    <n v="31326.75"/>
  </r>
  <r>
    <x v="20"/>
    <s v="Long Liquidation"/>
    <s v="DOWN"/>
    <n v="1100"/>
    <n v="3880"/>
    <n v="-660"/>
    <s v="undefined"/>
    <n v="-217.70000000000005"/>
    <n v="715"/>
    <x v="33"/>
    <n v="0.7"/>
    <n v="-2.2999999999999998"/>
    <s v="error"/>
    <n v="7120"/>
    <n v="206360"/>
    <n v="191560"/>
    <s v="UP"/>
    <s v="Short Buildup"/>
    <n v="31326.75"/>
  </r>
  <r>
    <x v="20"/>
    <s v="Long Liquidation"/>
    <s v="DOWN"/>
    <n v="8380"/>
    <n v="10580"/>
    <n v="-1240"/>
    <s v="undefined"/>
    <n v="-228.10000000000002"/>
    <n v="607.9"/>
    <x v="17"/>
    <n v="0.9"/>
    <n v="-2.7"/>
    <s v="error"/>
    <n v="86360"/>
    <n v="276560"/>
    <n v="456120"/>
    <s v="UP"/>
    <s v="Short Buildup"/>
    <n v="31326.75"/>
  </r>
  <r>
    <x v="20"/>
    <s v="Short Buildup"/>
    <s v="UP"/>
    <n v="4940"/>
    <n v="7660"/>
    <n v="160"/>
    <s v="undefined"/>
    <n v="-225.75"/>
    <n v="509.85"/>
    <x v="18"/>
    <n v="1.35"/>
    <n v="-2.7499999999999996"/>
    <s v="error"/>
    <n v="45400"/>
    <n v="412800"/>
    <n v="1003480"/>
    <s v="UP"/>
    <s v="Short Buildup"/>
    <n v="31326.75"/>
  </r>
  <r>
    <x v="20"/>
    <s v="Short Buildup"/>
    <s v="UP"/>
    <n v="7540"/>
    <n v="6740"/>
    <n v="500"/>
    <s v="undefined"/>
    <n v="-228.39999999999998"/>
    <n v="405.15"/>
    <x v="19"/>
    <n v="2.5499999999999998"/>
    <n v="-2.95"/>
    <s v="error"/>
    <n v="208000"/>
    <n v="573880"/>
    <n v="2141840"/>
    <s v="UP"/>
    <s v="Short Buildup"/>
    <n v="31326.75"/>
  </r>
  <r>
    <x v="20"/>
    <s v="Short Buildup"/>
    <s v="UP"/>
    <n v="181640"/>
    <n v="100180"/>
    <n v="11960"/>
    <s v="undefined"/>
    <n v="-235.10000000000002"/>
    <n v="309.75"/>
    <x v="20"/>
    <n v="5.3"/>
    <n v="-2.1000000000000005"/>
    <s v="error"/>
    <n v="995460"/>
    <n v="1806060"/>
    <n v="6038300"/>
    <s v="UP"/>
    <s v="Short Buildup"/>
    <n v="31326.75"/>
  </r>
  <r>
    <x v="20"/>
    <s v="Short Buildup"/>
    <s v="UP"/>
    <n v="206120"/>
    <n v="61760"/>
    <n v="31100"/>
    <s v="undefined"/>
    <n v="-227.2"/>
    <n v="217.95"/>
    <x v="21"/>
    <n v="12.1"/>
    <n v="1.9499999999999993"/>
    <s v="error"/>
    <n v="871560"/>
    <n v="1390260"/>
    <n v="7422320"/>
    <s v="UP"/>
    <s v="Long Buildup"/>
    <n v="31326.75"/>
  </r>
  <r>
    <x v="20"/>
    <s v="Short Buildup"/>
    <s v="UP"/>
    <n v="1576120"/>
    <n v="285480"/>
    <n v="153760"/>
    <s v="error"/>
    <n v="-213.35"/>
    <n v="137.1"/>
    <x v="22"/>
    <n v="31"/>
    <n v="13.600000000000001"/>
    <s v="error"/>
    <n v="771200"/>
    <n v="1297140"/>
    <n v="10064800"/>
    <s v="UP"/>
    <s v="Long Buildup"/>
    <n v="31326.75"/>
  </r>
  <r>
    <x v="20"/>
    <s v="Short Buildup"/>
    <s v="UP"/>
    <n v="3399060"/>
    <n v="593800"/>
    <n v="477860"/>
    <s v="error"/>
    <n v="-190.55"/>
    <n v="75"/>
    <x v="23"/>
    <n v="69.05"/>
    <n v="38.099999999999994"/>
    <s v="error"/>
    <n v="391660"/>
    <n v="1042160"/>
    <n v="11045000"/>
    <s v="UP"/>
    <s v="Long Buildup"/>
    <n v="31326.75"/>
  </r>
  <r>
    <x v="20"/>
    <s v="Short Buildup"/>
    <s v="UP"/>
    <n v="8462720"/>
    <n v="1270560"/>
    <n v="1086260"/>
    <s v="error"/>
    <n v="-152.55000000000001"/>
    <n v="36.450000000000003"/>
    <x v="24"/>
    <n v="129.69999999999999"/>
    <n v="75.749999999999986"/>
    <s v="error"/>
    <n v="74200"/>
    <n v="630420"/>
    <n v="8638720"/>
    <s v="UP"/>
    <s v="Long Buildup"/>
    <n v="31326.75"/>
  </r>
  <r>
    <x v="20"/>
    <s v="Short Buildup"/>
    <s v="UP"/>
    <n v="13153020"/>
    <n v="2714460"/>
    <n v="1935920"/>
    <s v="error"/>
    <n v="-110.4"/>
    <n v="16.05"/>
    <x v="25"/>
    <n v="209.75"/>
    <n v="119.6"/>
    <s v="error"/>
    <n v="-116660"/>
    <n v="513820"/>
    <n v="4854040"/>
    <s v="DOWN"/>
    <s v="Short covering"/>
    <n v="31326.75"/>
  </r>
  <r>
    <x v="20"/>
    <s v="Short Buildup"/>
    <s v="UP"/>
    <n v="10104920"/>
    <n v="1851320"/>
    <n v="1231660"/>
    <s v="error"/>
    <n v="-72.05"/>
    <n v="6.4"/>
    <x v="26"/>
    <n v="300.05"/>
    <n v="157.95000000000002"/>
    <s v="error"/>
    <n v="16960"/>
    <n v="111200"/>
    <n v="1404080"/>
    <s v="UP"/>
    <s v="Long Buildup"/>
    <n v="31326.75"/>
  </r>
  <r>
    <x v="20"/>
    <s v="Short Buildup"/>
    <s v="UP"/>
    <n v="8370000"/>
    <n v="1341620"/>
    <n v="706360"/>
    <s v="error"/>
    <n v="-41.45"/>
    <n v="3"/>
    <x v="27"/>
    <n v="397.5"/>
    <n v="188.1"/>
    <s v="error"/>
    <n v="-9360"/>
    <n v="40400"/>
    <n v="590340"/>
    <s v="DOWN"/>
    <s v="Short covering"/>
    <n v="31326.75"/>
  </r>
  <r>
    <x v="20"/>
    <s v="Short Buildup"/>
    <s v="UP"/>
    <n v="5692400"/>
    <n v="1011440"/>
    <n v="426060"/>
    <s v="error"/>
    <n v="-21.95"/>
    <n v="1.55"/>
    <x v="28"/>
    <n v="494.65"/>
    <n v="209.29999999999995"/>
    <s v="error"/>
    <n v="2180"/>
    <n v="17160"/>
    <n v="222560"/>
    <s v="UP"/>
    <s v="Long Buildup"/>
    <n v="31326.75"/>
  </r>
  <r>
    <x v="20"/>
    <s v="Short Buildup"/>
    <s v="UP"/>
    <n v="7516180"/>
    <n v="664540"/>
    <n v="152740"/>
    <s v="error"/>
    <n v="-10.1"/>
    <n v="1"/>
    <x v="29"/>
    <n v="593.15"/>
    <n v="216.45"/>
    <s v="error"/>
    <n v="2400"/>
    <n v="7940"/>
    <n v="44020"/>
    <s v="UP"/>
    <s v="Long Buildup"/>
    <n v="31326.75"/>
  </r>
  <r>
    <x v="20"/>
    <s v="Short Buildup"/>
    <s v="UP"/>
    <n v="5229700"/>
    <n v="748480"/>
    <n v="136820"/>
    <s v="error"/>
    <n v="-5.3"/>
    <n v="0.7"/>
    <x v="30"/>
    <n v="695.7"/>
    <n v="225.20000000000005"/>
    <s v="error"/>
    <n v="-1560"/>
    <n v="10560"/>
    <n v="28200"/>
    <s v="DOWN"/>
    <s v="Short covering"/>
    <n v="31326.75"/>
  </r>
  <r>
    <x v="20"/>
    <n v="0.81631676446232326"/>
    <m/>
    <m/>
    <n v="10699180"/>
    <m/>
    <m/>
    <m/>
    <m/>
    <x v="16"/>
    <m/>
    <m/>
    <m/>
    <m/>
    <n v="8733920"/>
    <m/>
    <m/>
    <m/>
    <m/>
  </r>
  <r>
    <x v="21"/>
    <s v="Long Liquidation"/>
    <s v="DOWN"/>
    <n v="13320"/>
    <n v="26580"/>
    <n v="-5640"/>
    <s v="undefined"/>
    <n v="-226.04999999999995"/>
    <n v="805.75"/>
    <x v="34"/>
    <n v="0.6"/>
    <n v="-2.1"/>
    <s v="error"/>
    <n v="-17320"/>
    <n v="397020"/>
    <n v="236840"/>
    <s v="DOWN"/>
    <s v="Long Liquidation"/>
    <n v="31320"/>
  </r>
  <r>
    <x v="21"/>
    <s v="Long Liquidation"/>
    <s v="DOWN"/>
    <n v="1120"/>
    <n v="3860"/>
    <n v="-680"/>
    <s v="undefined"/>
    <n v="-227.60000000000002"/>
    <n v="705.1"/>
    <x v="33"/>
    <n v="0.7"/>
    <n v="-2.2999999999999998"/>
    <s v="error"/>
    <n v="8120"/>
    <n v="207360"/>
    <n v="193580"/>
    <s v="UP"/>
    <s v="Short Buildup"/>
    <n v="31320"/>
  </r>
  <r>
    <x v="21"/>
    <s v="Long Liquidation"/>
    <s v="DOWN"/>
    <n v="8400"/>
    <n v="10580"/>
    <n v="-1240"/>
    <s v="undefined"/>
    <n v="-231"/>
    <n v="605"/>
    <x v="17"/>
    <n v="0.9"/>
    <n v="-2.7"/>
    <s v="error"/>
    <n v="84260"/>
    <n v="274460"/>
    <n v="458820"/>
    <s v="UP"/>
    <s v="Short Buildup"/>
    <n v="31320"/>
  </r>
  <r>
    <x v="21"/>
    <s v="Short Buildup"/>
    <s v="UP"/>
    <n v="5180"/>
    <n v="7840"/>
    <n v="340"/>
    <s v="undefined"/>
    <n v="-227.45000000000005"/>
    <n v="508.15"/>
    <x v="18"/>
    <n v="1.35"/>
    <n v="-2.7499999999999996"/>
    <s v="error"/>
    <n v="51240"/>
    <n v="418640"/>
    <n v="1032300"/>
    <s v="UP"/>
    <s v="Short Buildup"/>
    <n v="31320"/>
  </r>
  <r>
    <x v="21"/>
    <s v="Short Buildup"/>
    <s v="UP"/>
    <n v="7640"/>
    <n v="6840"/>
    <n v="600"/>
    <s v="undefined"/>
    <n v="-224.34999999999997"/>
    <n v="409.2"/>
    <x v="19"/>
    <n v="2.4"/>
    <n v="-3.1"/>
    <s v="error"/>
    <n v="217260"/>
    <n v="583140"/>
    <n v="2200780"/>
    <s v="UP"/>
    <s v="Short Buildup"/>
    <n v="31320"/>
  </r>
  <r>
    <x v="21"/>
    <s v="Short Buildup"/>
    <s v="UP"/>
    <n v="186260"/>
    <n v="100760"/>
    <n v="12540"/>
    <s v="undefined"/>
    <n v="-235.85000000000002"/>
    <n v="309"/>
    <x v="20"/>
    <n v="5.15"/>
    <n v="-2.25"/>
    <s v="error"/>
    <n v="999420"/>
    <n v="1810020"/>
    <n v="6240280"/>
    <s v="UP"/>
    <s v="Short Buildup"/>
    <n v="31320"/>
  </r>
  <r>
    <x v="21"/>
    <s v="Short Buildup"/>
    <s v="UP"/>
    <n v="214360"/>
    <n v="60860"/>
    <n v="30200"/>
    <s v="undefined"/>
    <n v="-227.74999999999997"/>
    <n v="217.4"/>
    <x v="21"/>
    <n v="12"/>
    <n v="1.8499999999999996"/>
    <s v="error"/>
    <n v="875700"/>
    <n v="1394400"/>
    <n v="7682880"/>
    <s v="UP"/>
    <s v="Long Buildup"/>
    <n v="31320"/>
  </r>
  <r>
    <x v="21"/>
    <s v="Short Buildup"/>
    <s v="UP"/>
    <n v="1633020"/>
    <n v="298680"/>
    <n v="166960"/>
    <s v="error"/>
    <n v="-215.45"/>
    <n v="135"/>
    <x v="22"/>
    <n v="31.5"/>
    <n v="14.100000000000001"/>
    <s v="error"/>
    <n v="801540"/>
    <n v="1327480"/>
    <n v="10356020"/>
    <s v="UP"/>
    <s v="Long Buildup"/>
    <n v="31320"/>
  </r>
  <r>
    <x v="21"/>
    <s v="Short Buildup"/>
    <s v="UP"/>
    <n v="3591120"/>
    <n v="640020"/>
    <n v="524080"/>
    <s v="error"/>
    <n v="-191.60000000000002"/>
    <n v="73.95"/>
    <x v="23"/>
    <n v="70.45"/>
    <n v="39.5"/>
    <s v="error"/>
    <n v="381120"/>
    <n v="1031620"/>
    <n v="11347940"/>
    <s v="UP"/>
    <s v="Long Buildup"/>
    <n v="31320"/>
  </r>
  <r>
    <x v="21"/>
    <s v="Short Buildup"/>
    <s v="UP"/>
    <n v="8778280"/>
    <n v="1342780"/>
    <n v="1158480"/>
    <s v="error"/>
    <n v="-153.80000000000001"/>
    <n v="35.200000000000003"/>
    <x v="24"/>
    <n v="131.55000000000001"/>
    <n v="77.600000000000009"/>
    <s v="error"/>
    <n v="74820"/>
    <n v="631040"/>
    <n v="8746620"/>
    <s v="UP"/>
    <s v="Long Buildup"/>
    <n v="31320"/>
  </r>
  <r>
    <x v="21"/>
    <s v="Short Buildup"/>
    <s v="UP"/>
    <n v="13559660"/>
    <n v="2776660"/>
    <n v="1998120"/>
    <s v="error"/>
    <n v="-111.10000000000001"/>
    <n v="15.35"/>
    <x v="25"/>
    <n v="212"/>
    <n v="121.85"/>
    <s v="error"/>
    <n v="-121860"/>
    <n v="508620"/>
    <n v="4909980"/>
    <s v="DOWN"/>
    <s v="Short covering"/>
    <n v="31320"/>
  </r>
  <r>
    <x v="21"/>
    <s v="Short Buildup"/>
    <s v="UP"/>
    <n v="10365220"/>
    <n v="1874240"/>
    <n v="1254580"/>
    <s v="error"/>
    <n v="-72.400000000000006"/>
    <n v="6.05"/>
    <x v="26"/>
    <n v="303.39999999999998"/>
    <n v="161.29999999999998"/>
    <s v="error"/>
    <n v="15320"/>
    <n v="109560"/>
    <n v="1418720"/>
    <s v="UP"/>
    <s v="Long Buildup"/>
    <n v="31320"/>
  </r>
  <r>
    <x v="21"/>
    <s v="Short Buildup"/>
    <s v="UP"/>
    <n v="8542300"/>
    <n v="1389680"/>
    <n v="754420"/>
    <s v="error"/>
    <n v="-41.650000000000006"/>
    <n v="2.8"/>
    <x v="27"/>
    <n v="398.05"/>
    <n v="188.65"/>
    <s v="error"/>
    <n v="-10620"/>
    <n v="39140"/>
    <n v="594760"/>
    <s v="DOWN"/>
    <s v="Short covering"/>
    <n v="31320"/>
  </r>
  <r>
    <x v="21"/>
    <s v="Short Buildup"/>
    <s v="UP"/>
    <n v="5862460"/>
    <n v="1021200"/>
    <n v="435820"/>
    <s v="error"/>
    <n v="-22.1"/>
    <n v="1.4"/>
    <x v="28"/>
    <n v="495.05"/>
    <n v="209.7"/>
    <s v="error"/>
    <n v="1180"/>
    <n v="16160"/>
    <n v="224100"/>
    <s v="UP"/>
    <s v="Long Buildup"/>
    <n v="31320"/>
  </r>
  <r>
    <x v="21"/>
    <s v="Short Buildup"/>
    <s v="UP"/>
    <n v="9535260"/>
    <n v="692060"/>
    <n v="180260"/>
    <s v="error"/>
    <n v="-10.15"/>
    <n v="0.95"/>
    <x v="29"/>
    <n v="600.45000000000005"/>
    <n v="223.75000000000006"/>
    <s v="error"/>
    <n v="2020"/>
    <n v="7560"/>
    <n v="44940"/>
    <s v="UP"/>
    <s v="Long Buildup"/>
    <n v="31320"/>
  </r>
  <r>
    <x v="21"/>
    <s v="Short Buildup"/>
    <s v="UP"/>
    <n v="5276180"/>
    <n v="747340"/>
    <n v="135680"/>
    <s v="error"/>
    <n v="-5.35"/>
    <n v="0.65"/>
    <x v="30"/>
    <n v="695.15"/>
    <n v="224.64999999999998"/>
    <s v="error"/>
    <n v="-1580"/>
    <n v="10540"/>
    <n v="28820"/>
    <s v="DOWN"/>
    <s v="Short covering"/>
    <n v="31320"/>
  </r>
  <r>
    <x v="21"/>
    <n v="0.79697963087205614"/>
    <m/>
    <m/>
    <n v="10999980"/>
    <m/>
    <m/>
    <m/>
    <m/>
    <x v="16"/>
    <m/>
    <m/>
    <m/>
    <m/>
    <n v="8766760"/>
    <m/>
    <m/>
    <m/>
    <m/>
  </r>
  <r>
    <x v="21"/>
    <s v="Long Liquidation"/>
    <s v="DOWN"/>
    <n v="13320"/>
    <n v="26580"/>
    <n v="-5640"/>
    <s v="undefined"/>
    <n v="-226.04999999999995"/>
    <n v="805.75"/>
    <x v="34"/>
    <n v="0.6"/>
    <n v="-2.1"/>
    <s v="error"/>
    <n v="-17320"/>
    <n v="397020"/>
    <n v="236840"/>
    <s v="DOWN"/>
    <s v="Long Liquidation"/>
    <n v="31320"/>
  </r>
  <r>
    <x v="21"/>
    <s v="Long Liquidation"/>
    <s v="DOWN"/>
    <n v="1120"/>
    <n v="3860"/>
    <n v="-680"/>
    <s v="undefined"/>
    <n v="-227.60000000000002"/>
    <n v="705.1"/>
    <x v="33"/>
    <n v="0.7"/>
    <n v="-2.2999999999999998"/>
    <s v="error"/>
    <n v="8120"/>
    <n v="207360"/>
    <n v="193580"/>
    <s v="UP"/>
    <s v="Short Buildup"/>
    <n v="31320"/>
  </r>
  <r>
    <x v="21"/>
    <s v="Long Liquidation"/>
    <s v="DOWN"/>
    <n v="8400"/>
    <n v="10580"/>
    <n v="-1240"/>
    <s v="undefined"/>
    <n v="-231"/>
    <n v="605"/>
    <x v="17"/>
    <n v="0.9"/>
    <n v="-2.7"/>
    <s v="error"/>
    <n v="84260"/>
    <n v="274460"/>
    <n v="458820"/>
    <s v="UP"/>
    <s v="Short Buildup"/>
    <n v="31320"/>
  </r>
  <r>
    <x v="21"/>
    <s v="Short Buildup"/>
    <s v="UP"/>
    <n v="5180"/>
    <n v="7840"/>
    <n v="340"/>
    <s v="undefined"/>
    <n v="-227.45000000000005"/>
    <n v="508.15"/>
    <x v="18"/>
    <n v="1.35"/>
    <n v="-2.7499999999999996"/>
    <s v="error"/>
    <n v="51240"/>
    <n v="418640"/>
    <n v="1032300"/>
    <s v="UP"/>
    <s v="Short Buildup"/>
    <n v="31320"/>
  </r>
  <r>
    <x v="21"/>
    <s v="Short Buildup"/>
    <s v="UP"/>
    <n v="7640"/>
    <n v="6840"/>
    <n v="600"/>
    <s v="undefined"/>
    <n v="-224.34999999999997"/>
    <n v="409.2"/>
    <x v="19"/>
    <n v="2.4"/>
    <n v="-3.1"/>
    <s v="error"/>
    <n v="217260"/>
    <n v="583140"/>
    <n v="2200780"/>
    <s v="UP"/>
    <s v="Short Buildup"/>
    <n v="31320"/>
  </r>
  <r>
    <x v="21"/>
    <s v="Short Buildup"/>
    <s v="UP"/>
    <n v="186260"/>
    <n v="100760"/>
    <n v="12540"/>
    <s v="undefined"/>
    <n v="-235.85000000000002"/>
    <n v="309"/>
    <x v="20"/>
    <n v="5.15"/>
    <n v="-2.25"/>
    <s v="error"/>
    <n v="999420"/>
    <n v="1810020"/>
    <n v="6240280"/>
    <s v="UP"/>
    <s v="Short Buildup"/>
    <n v="31320"/>
  </r>
  <r>
    <x v="21"/>
    <s v="Short Buildup"/>
    <s v="UP"/>
    <n v="214360"/>
    <n v="60860"/>
    <n v="30200"/>
    <s v="undefined"/>
    <n v="-227.74999999999997"/>
    <n v="217.4"/>
    <x v="21"/>
    <n v="12"/>
    <n v="1.8499999999999996"/>
    <s v="error"/>
    <n v="875700"/>
    <n v="1394400"/>
    <n v="7682880"/>
    <s v="UP"/>
    <s v="Long Buildup"/>
    <n v="31320"/>
  </r>
  <r>
    <x v="21"/>
    <s v="Short Buildup"/>
    <s v="UP"/>
    <n v="1633020"/>
    <n v="298680"/>
    <n v="166960"/>
    <s v="error"/>
    <n v="-215.45"/>
    <n v="135"/>
    <x v="22"/>
    <n v="31.5"/>
    <n v="14.100000000000001"/>
    <s v="error"/>
    <n v="801540"/>
    <n v="1327480"/>
    <n v="10356020"/>
    <s v="UP"/>
    <s v="Long Buildup"/>
    <n v="31320"/>
  </r>
  <r>
    <x v="21"/>
    <s v="Short Buildup"/>
    <s v="UP"/>
    <n v="3591120"/>
    <n v="640020"/>
    <n v="524080"/>
    <s v="error"/>
    <n v="-191.60000000000002"/>
    <n v="73.95"/>
    <x v="23"/>
    <n v="70.45"/>
    <n v="39.5"/>
    <s v="error"/>
    <n v="381120"/>
    <n v="1031620"/>
    <n v="11347940"/>
    <s v="UP"/>
    <s v="Long Buildup"/>
    <n v="31320"/>
  </r>
  <r>
    <x v="21"/>
    <s v="Short Buildup"/>
    <s v="UP"/>
    <n v="8778280"/>
    <n v="1342780"/>
    <n v="1158480"/>
    <s v="error"/>
    <n v="-153.80000000000001"/>
    <n v="35.200000000000003"/>
    <x v="24"/>
    <n v="131.55000000000001"/>
    <n v="77.600000000000009"/>
    <s v="error"/>
    <n v="74820"/>
    <n v="631040"/>
    <n v="8746620"/>
    <s v="UP"/>
    <s v="Long Buildup"/>
    <n v="31320"/>
  </r>
  <r>
    <x v="21"/>
    <s v="Short Buildup"/>
    <s v="UP"/>
    <n v="13559660"/>
    <n v="2776660"/>
    <n v="1998120"/>
    <s v="error"/>
    <n v="-111.10000000000001"/>
    <n v="15.35"/>
    <x v="25"/>
    <n v="212"/>
    <n v="121.85"/>
    <s v="error"/>
    <n v="-121860"/>
    <n v="508620"/>
    <n v="4909980"/>
    <s v="DOWN"/>
    <s v="Short covering"/>
    <n v="31320"/>
  </r>
  <r>
    <x v="21"/>
    <s v="Short Buildup"/>
    <s v="UP"/>
    <n v="10365220"/>
    <n v="1874240"/>
    <n v="1254580"/>
    <s v="error"/>
    <n v="-72.400000000000006"/>
    <n v="6.05"/>
    <x v="26"/>
    <n v="303.39999999999998"/>
    <n v="161.29999999999998"/>
    <s v="error"/>
    <n v="15320"/>
    <n v="109560"/>
    <n v="1418720"/>
    <s v="UP"/>
    <s v="Long Buildup"/>
    <n v="31320"/>
  </r>
  <r>
    <x v="21"/>
    <s v="Short Buildup"/>
    <s v="UP"/>
    <n v="8542300"/>
    <n v="1389680"/>
    <n v="754420"/>
    <s v="error"/>
    <n v="-41.650000000000006"/>
    <n v="2.8"/>
    <x v="27"/>
    <n v="398.05"/>
    <n v="188.65"/>
    <s v="error"/>
    <n v="-10620"/>
    <n v="39140"/>
    <n v="594760"/>
    <s v="DOWN"/>
    <s v="Short covering"/>
    <n v="31320"/>
  </r>
  <r>
    <x v="21"/>
    <s v="Short Buildup"/>
    <s v="UP"/>
    <n v="5862460"/>
    <n v="1021200"/>
    <n v="435820"/>
    <s v="error"/>
    <n v="-22.1"/>
    <n v="1.4"/>
    <x v="28"/>
    <n v="495.05"/>
    <n v="209.7"/>
    <s v="error"/>
    <n v="1180"/>
    <n v="16160"/>
    <n v="224100"/>
    <s v="UP"/>
    <s v="Long Buildup"/>
    <n v="31320"/>
  </r>
  <r>
    <x v="21"/>
    <s v="Short Buildup"/>
    <s v="UP"/>
    <n v="9535260"/>
    <n v="692060"/>
    <n v="180260"/>
    <s v="error"/>
    <n v="-10.15"/>
    <n v="0.95"/>
    <x v="29"/>
    <n v="600.45000000000005"/>
    <n v="223.75000000000006"/>
    <s v="error"/>
    <n v="2020"/>
    <n v="7560"/>
    <n v="44940"/>
    <s v="UP"/>
    <s v="Long Buildup"/>
    <n v="31320"/>
  </r>
  <r>
    <x v="21"/>
    <s v="Short Buildup"/>
    <s v="UP"/>
    <n v="5276180"/>
    <n v="747340"/>
    <n v="135680"/>
    <s v="error"/>
    <n v="-5.35"/>
    <n v="0.65"/>
    <x v="30"/>
    <n v="695.15"/>
    <n v="224.64999999999998"/>
    <s v="error"/>
    <n v="-1580"/>
    <n v="10540"/>
    <n v="28820"/>
    <s v="DOWN"/>
    <s v="Short covering"/>
    <n v="31320"/>
  </r>
  <r>
    <x v="21"/>
    <n v="0.79697963087205614"/>
    <m/>
    <m/>
    <n v="10999980"/>
    <m/>
    <m/>
    <m/>
    <m/>
    <x v="16"/>
    <m/>
    <m/>
    <m/>
    <m/>
    <n v="8766760"/>
    <m/>
    <m/>
    <m/>
    <m/>
  </r>
  <r>
    <x v="22"/>
    <s v="Long Liquidation"/>
    <s v="DOWN"/>
    <n v="13480"/>
    <n v="26420"/>
    <n v="-5800"/>
    <s v="undefined"/>
    <n v="-236.79999999999995"/>
    <n v="795"/>
    <x v="34"/>
    <n v="0.65"/>
    <n v="-2.0500000000000003"/>
    <s v="error"/>
    <n v="-14100"/>
    <n v="400240"/>
    <n v="242200"/>
    <s v="DOWN"/>
    <s v="Long Liquidation"/>
    <n v="31312.9"/>
  </r>
  <r>
    <x v="22"/>
    <s v="Long Liquidation"/>
    <s v="DOWN"/>
    <n v="1140"/>
    <n v="3860"/>
    <n v="-680"/>
    <s v="undefined"/>
    <n v="-235.45000000000005"/>
    <n v="697.25"/>
    <x v="33"/>
    <n v="0.75"/>
    <n v="-2.25"/>
    <s v="error"/>
    <n v="7220"/>
    <n v="206460"/>
    <n v="198100"/>
    <s v="UP"/>
    <s v="Short Buildup"/>
    <n v="31312.9"/>
  </r>
  <r>
    <x v="22"/>
    <s v="Long Liquidation"/>
    <s v="DOWN"/>
    <n v="8440"/>
    <n v="10540"/>
    <n v="-1280"/>
    <s v="undefined"/>
    <n v="-238.79999999999995"/>
    <n v="597.20000000000005"/>
    <x v="17"/>
    <n v="0.95"/>
    <n v="-2.6500000000000004"/>
    <s v="error"/>
    <n v="82760"/>
    <n v="272960"/>
    <n v="468180"/>
    <s v="UP"/>
    <s v="Short Buildup"/>
    <n v="31312.9"/>
  </r>
  <r>
    <x v="22"/>
    <s v="Short Buildup"/>
    <s v="UP"/>
    <n v="5880"/>
    <n v="7660"/>
    <n v="160"/>
    <s v="undefined"/>
    <n v="-251.70000000000005"/>
    <n v="483.9"/>
    <x v="18"/>
    <n v="1.25"/>
    <n v="-2.8499999999999996"/>
    <s v="error"/>
    <n v="58760"/>
    <n v="426160"/>
    <n v="1073620"/>
    <s v="UP"/>
    <s v="Short Buildup"/>
    <n v="31312.9"/>
  </r>
  <r>
    <x v="22"/>
    <s v="Short Buildup"/>
    <s v="UP"/>
    <n v="8740"/>
    <n v="6840"/>
    <n v="600"/>
    <s v="undefined"/>
    <n v="-245.09999999999997"/>
    <n v="388.45"/>
    <x v="19"/>
    <n v="2.5"/>
    <n v="-3"/>
    <s v="error"/>
    <n v="219620"/>
    <n v="585500"/>
    <n v="2270340"/>
    <s v="UP"/>
    <s v="Short Buildup"/>
    <n v="31312.9"/>
  </r>
  <r>
    <x v="22"/>
    <s v="Short Buildup"/>
    <s v="UP"/>
    <n v="206440"/>
    <n v="102560"/>
    <n v="14340"/>
    <s v="undefined"/>
    <n v="-242.85000000000002"/>
    <n v="302"/>
    <x v="20"/>
    <n v="5.55"/>
    <n v="-1.8500000000000005"/>
    <s v="error"/>
    <n v="1031420"/>
    <n v="1842020"/>
    <n v="6521980"/>
    <s v="UP"/>
    <s v="Short Buildup"/>
    <n v="31312.9"/>
  </r>
  <r>
    <x v="22"/>
    <s v="Short Buildup"/>
    <s v="UP"/>
    <n v="244700"/>
    <n v="64020"/>
    <n v="33360"/>
    <s v="undefined"/>
    <n v="-237.34999999999997"/>
    <n v="207.8"/>
    <x v="21"/>
    <n v="13.2"/>
    <n v="3.0499999999999989"/>
    <s v="error"/>
    <n v="891020"/>
    <n v="1409720"/>
    <n v="8077080"/>
    <s v="UP"/>
    <s v="Long Buildup"/>
    <n v="31312.9"/>
  </r>
  <r>
    <x v="22"/>
    <s v="Short Buildup"/>
    <s v="UP"/>
    <n v="1777440"/>
    <n v="301740"/>
    <n v="170020"/>
    <s v="error"/>
    <n v="-220.54999999999998"/>
    <n v="129.9"/>
    <x v="22"/>
    <n v="34"/>
    <n v="16.600000000000001"/>
    <s v="error"/>
    <n v="820960"/>
    <n v="1346900"/>
    <n v="10941500"/>
    <s v="UP"/>
    <s v="Long Buildup"/>
    <n v="31312.9"/>
  </r>
  <r>
    <x v="22"/>
    <s v="Short Buildup"/>
    <s v="UP"/>
    <n v="3982520"/>
    <n v="675800"/>
    <n v="559860"/>
    <s v="error"/>
    <n v="-196.20000000000002"/>
    <n v="69.349999999999994"/>
    <x v="23"/>
    <n v="74"/>
    <n v="43.05"/>
    <s v="error"/>
    <n v="387120"/>
    <n v="1037620"/>
    <n v="11892200"/>
    <s v="UP"/>
    <s v="Long Buildup"/>
    <n v="31312.9"/>
  </r>
  <r>
    <x v="22"/>
    <s v="Short Buildup"/>
    <s v="UP"/>
    <n v="9361460"/>
    <n v="1371680"/>
    <n v="1187380"/>
    <s v="error"/>
    <n v="-155.5"/>
    <n v="33.5"/>
    <x v="24"/>
    <n v="137.30000000000001"/>
    <n v="83.350000000000009"/>
    <s v="error"/>
    <n v="82060"/>
    <n v="638280"/>
    <n v="9011080"/>
    <s v="UP"/>
    <s v="Long Buildup"/>
    <n v="31312.9"/>
  </r>
  <r>
    <x v="22"/>
    <s v="Short Buildup"/>
    <s v="UP"/>
    <n v="14259040"/>
    <n v="2808360"/>
    <n v="2029820"/>
    <s v="error"/>
    <n v="-111.65"/>
    <n v="14.8"/>
    <x v="25"/>
    <n v="218.2"/>
    <n v="128.04999999999998"/>
    <s v="error"/>
    <n v="-126100"/>
    <n v="504380"/>
    <n v="5062980"/>
    <s v="DOWN"/>
    <s v="Short covering"/>
    <n v="31312.9"/>
  </r>
  <r>
    <x v="22"/>
    <s v="Short Buildup"/>
    <s v="UP"/>
    <n v="10785720"/>
    <n v="1897760"/>
    <n v="1278100"/>
    <s v="error"/>
    <n v="-72.5"/>
    <n v="5.95"/>
    <x v="26"/>
    <n v="311.05"/>
    <n v="168.95000000000002"/>
    <s v="error"/>
    <n v="11180"/>
    <n v="105420"/>
    <n v="1460160"/>
    <s v="UP"/>
    <s v="Long Buildup"/>
    <n v="31312.9"/>
  </r>
  <r>
    <x v="22"/>
    <s v="Short Buildup"/>
    <s v="UP"/>
    <n v="8834020"/>
    <n v="1387940"/>
    <n v="752680"/>
    <s v="error"/>
    <n v="-41.7"/>
    <n v="2.75"/>
    <x v="27"/>
    <n v="408.35"/>
    <n v="198.95000000000002"/>
    <s v="error"/>
    <n v="-11220"/>
    <n v="38540"/>
    <n v="603960"/>
    <s v="DOWN"/>
    <s v="Short covering"/>
    <n v="31312.9"/>
  </r>
  <r>
    <x v="22"/>
    <s v="Short Buildup"/>
    <s v="UP"/>
    <n v="6023220"/>
    <n v="1029240"/>
    <n v="443860"/>
    <s v="error"/>
    <n v="-22.1"/>
    <n v="1.4"/>
    <x v="28"/>
    <n v="508"/>
    <n v="222.64999999999998"/>
    <s v="error"/>
    <n v="1200"/>
    <n v="16180"/>
    <n v="226720"/>
    <s v="UP"/>
    <s v="Long Buildup"/>
    <n v="31312.9"/>
  </r>
  <r>
    <x v="22"/>
    <s v="Short Buildup"/>
    <s v="UP"/>
    <n v="11286160"/>
    <n v="658440"/>
    <n v="146640"/>
    <s v="error"/>
    <n v="-10.199999999999999"/>
    <n v="0.9"/>
    <x v="29"/>
    <n v="606.65"/>
    <n v="229.95"/>
    <s v="error"/>
    <n v="1880"/>
    <n v="7420"/>
    <n v="46920"/>
    <s v="UP"/>
    <s v="Long Buildup"/>
    <n v="31312.9"/>
  </r>
  <r>
    <x v="22"/>
    <s v="Short Buildup"/>
    <s v="UP"/>
    <n v="5359420"/>
    <n v="761780"/>
    <n v="150120"/>
    <s v="error"/>
    <n v="-5.35"/>
    <n v="0.65"/>
    <x v="30"/>
    <n v="708.05"/>
    <n v="237.54999999999995"/>
    <s v="error"/>
    <n v="-1460"/>
    <n v="10660"/>
    <n v="29680"/>
    <s v="DOWN"/>
    <s v="Short covering"/>
    <n v="31312.9"/>
  </r>
  <r>
    <x v="22"/>
    <n v="0.79610855592263896"/>
    <m/>
    <m/>
    <n v="11114640"/>
    <m/>
    <m/>
    <m/>
    <m/>
    <x v="16"/>
    <m/>
    <m/>
    <m/>
    <m/>
    <n v="8848460"/>
    <m/>
    <m/>
    <m/>
    <m/>
  </r>
  <r>
    <x v="22"/>
    <s v="Long Liquidation"/>
    <s v="DOWN"/>
    <n v="13480"/>
    <n v="26420"/>
    <n v="-5800"/>
    <s v="undefined"/>
    <n v="-236.79999999999995"/>
    <n v="795"/>
    <x v="34"/>
    <n v="0.65"/>
    <n v="-2.0500000000000003"/>
    <s v="error"/>
    <n v="-14100"/>
    <n v="400240"/>
    <n v="242200"/>
    <s v="DOWN"/>
    <s v="Long Liquidation"/>
    <n v="31312.9"/>
  </r>
  <r>
    <x v="22"/>
    <s v="Long Liquidation"/>
    <s v="DOWN"/>
    <n v="1140"/>
    <n v="3860"/>
    <n v="-680"/>
    <s v="undefined"/>
    <n v="-235.45000000000005"/>
    <n v="697.25"/>
    <x v="33"/>
    <n v="0.75"/>
    <n v="-2.25"/>
    <s v="error"/>
    <n v="7220"/>
    <n v="206460"/>
    <n v="198100"/>
    <s v="UP"/>
    <s v="Short Buildup"/>
    <n v="31312.9"/>
  </r>
  <r>
    <x v="22"/>
    <s v="Long Liquidation"/>
    <s v="DOWN"/>
    <n v="8440"/>
    <n v="10540"/>
    <n v="-1280"/>
    <s v="undefined"/>
    <n v="-238.79999999999995"/>
    <n v="597.20000000000005"/>
    <x v="17"/>
    <n v="0.95"/>
    <n v="-2.6500000000000004"/>
    <s v="error"/>
    <n v="82760"/>
    <n v="272960"/>
    <n v="468180"/>
    <s v="UP"/>
    <s v="Short Buildup"/>
    <n v="31312.9"/>
  </r>
  <r>
    <x v="22"/>
    <s v="Short Buildup"/>
    <s v="UP"/>
    <n v="5880"/>
    <n v="7660"/>
    <n v="160"/>
    <s v="undefined"/>
    <n v="-251.70000000000005"/>
    <n v="483.9"/>
    <x v="18"/>
    <n v="1.25"/>
    <n v="-2.8499999999999996"/>
    <s v="error"/>
    <n v="58760"/>
    <n v="426160"/>
    <n v="1073620"/>
    <s v="UP"/>
    <s v="Short Buildup"/>
    <n v="31312.9"/>
  </r>
  <r>
    <x v="22"/>
    <s v="Short Buildup"/>
    <s v="UP"/>
    <n v="8740"/>
    <n v="6840"/>
    <n v="600"/>
    <s v="undefined"/>
    <n v="-245.09999999999997"/>
    <n v="388.45"/>
    <x v="19"/>
    <n v="2.5"/>
    <n v="-3"/>
    <s v="error"/>
    <n v="219620"/>
    <n v="585500"/>
    <n v="2270340"/>
    <s v="UP"/>
    <s v="Short Buildup"/>
    <n v="31312.9"/>
  </r>
  <r>
    <x v="22"/>
    <s v="Short Buildup"/>
    <s v="UP"/>
    <n v="206440"/>
    <n v="102560"/>
    <n v="14340"/>
    <s v="undefined"/>
    <n v="-242.85000000000002"/>
    <n v="302"/>
    <x v="20"/>
    <n v="5.55"/>
    <n v="-1.8500000000000005"/>
    <s v="error"/>
    <n v="1031420"/>
    <n v="1842020"/>
    <n v="6521980"/>
    <s v="UP"/>
    <s v="Short Buildup"/>
    <n v="31312.9"/>
  </r>
  <r>
    <x v="22"/>
    <s v="Short Buildup"/>
    <s v="UP"/>
    <n v="244700"/>
    <n v="64020"/>
    <n v="33360"/>
    <s v="undefined"/>
    <n v="-237.34999999999997"/>
    <n v="207.8"/>
    <x v="21"/>
    <n v="13.2"/>
    <n v="3.0499999999999989"/>
    <s v="error"/>
    <n v="891020"/>
    <n v="1409720"/>
    <n v="8077080"/>
    <s v="UP"/>
    <s v="Long Buildup"/>
    <n v="31312.9"/>
  </r>
  <r>
    <x v="22"/>
    <s v="Short Buildup"/>
    <s v="UP"/>
    <n v="1777440"/>
    <n v="301740"/>
    <n v="170020"/>
    <s v="error"/>
    <n v="-220.54999999999998"/>
    <n v="129.9"/>
    <x v="22"/>
    <n v="34"/>
    <n v="16.600000000000001"/>
    <s v="error"/>
    <n v="820960"/>
    <n v="1346900"/>
    <n v="10941500"/>
    <s v="UP"/>
    <s v="Long Buildup"/>
    <n v="31312.9"/>
  </r>
  <r>
    <x v="22"/>
    <s v="Short Buildup"/>
    <s v="UP"/>
    <n v="3982520"/>
    <n v="675800"/>
    <n v="559860"/>
    <s v="error"/>
    <n v="-196.20000000000002"/>
    <n v="69.349999999999994"/>
    <x v="23"/>
    <n v="74"/>
    <n v="43.05"/>
    <s v="error"/>
    <n v="387120"/>
    <n v="1037620"/>
    <n v="11892200"/>
    <s v="UP"/>
    <s v="Long Buildup"/>
    <n v="31312.9"/>
  </r>
  <r>
    <x v="22"/>
    <s v="Short Buildup"/>
    <s v="UP"/>
    <n v="9361460"/>
    <n v="1371680"/>
    <n v="1187380"/>
    <s v="error"/>
    <n v="-155.5"/>
    <n v="33.5"/>
    <x v="24"/>
    <n v="137.30000000000001"/>
    <n v="83.350000000000009"/>
    <s v="error"/>
    <n v="82060"/>
    <n v="638280"/>
    <n v="9011080"/>
    <s v="UP"/>
    <s v="Long Buildup"/>
    <n v="31312.9"/>
  </r>
  <r>
    <x v="22"/>
    <s v="Short Buildup"/>
    <s v="UP"/>
    <n v="14259040"/>
    <n v="2808360"/>
    <n v="2029820"/>
    <s v="error"/>
    <n v="-111.65"/>
    <n v="14.8"/>
    <x v="25"/>
    <n v="218.2"/>
    <n v="128.04999999999998"/>
    <s v="error"/>
    <n v="-126100"/>
    <n v="504380"/>
    <n v="5062980"/>
    <s v="DOWN"/>
    <s v="Short covering"/>
    <n v="31312.9"/>
  </r>
  <r>
    <x v="22"/>
    <s v="Short Buildup"/>
    <s v="UP"/>
    <n v="10785720"/>
    <n v="1897760"/>
    <n v="1278100"/>
    <s v="error"/>
    <n v="-72.5"/>
    <n v="5.95"/>
    <x v="26"/>
    <n v="311.05"/>
    <n v="168.95000000000002"/>
    <s v="error"/>
    <n v="11180"/>
    <n v="105420"/>
    <n v="1460160"/>
    <s v="UP"/>
    <s v="Long Buildup"/>
    <n v="31312.9"/>
  </r>
  <r>
    <x v="22"/>
    <s v="Short Buildup"/>
    <s v="UP"/>
    <n v="8834020"/>
    <n v="1387940"/>
    <n v="752680"/>
    <s v="error"/>
    <n v="-41.7"/>
    <n v="2.75"/>
    <x v="27"/>
    <n v="408.35"/>
    <n v="198.95000000000002"/>
    <s v="error"/>
    <n v="-11220"/>
    <n v="38540"/>
    <n v="603960"/>
    <s v="DOWN"/>
    <s v="Short covering"/>
    <n v="31312.9"/>
  </r>
  <r>
    <x v="22"/>
    <s v="Short Buildup"/>
    <s v="UP"/>
    <n v="6023220"/>
    <n v="1029240"/>
    <n v="443860"/>
    <s v="error"/>
    <n v="-22.1"/>
    <n v="1.4"/>
    <x v="28"/>
    <n v="508"/>
    <n v="222.64999999999998"/>
    <s v="error"/>
    <n v="1200"/>
    <n v="16180"/>
    <n v="226720"/>
    <s v="UP"/>
    <s v="Long Buildup"/>
    <n v="31312.9"/>
  </r>
  <r>
    <x v="22"/>
    <s v="Short Buildup"/>
    <s v="UP"/>
    <n v="11286160"/>
    <n v="658440"/>
    <n v="146640"/>
    <s v="error"/>
    <n v="-10.199999999999999"/>
    <n v="0.9"/>
    <x v="29"/>
    <n v="606.65"/>
    <n v="229.95"/>
    <s v="error"/>
    <n v="1880"/>
    <n v="7420"/>
    <n v="46920"/>
    <s v="UP"/>
    <s v="Long Buildup"/>
    <n v="31312.9"/>
  </r>
  <r>
    <x v="22"/>
    <s v="Short Buildup"/>
    <s v="UP"/>
    <n v="5359420"/>
    <n v="761780"/>
    <n v="150120"/>
    <s v="error"/>
    <n v="-5.35"/>
    <n v="0.65"/>
    <x v="30"/>
    <n v="708.05"/>
    <n v="237.54999999999995"/>
    <s v="error"/>
    <n v="-1460"/>
    <n v="10660"/>
    <n v="29680"/>
    <s v="DOWN"/>
    <s v="Short covering"/>
    <n v="31312.9"/>
  </r>
  <r>
    <x v="22"/>
    <n v="0.79610855592263896"/>
    <m/>
    <m/>
    <n v="11114640"/>
    <m/>
    <m/>
    <m/>
    <m/>
    <x v="16"/>
    <m/>
    <m/>
    <m/>
    <m/>
    <n v="8848460"/>
    <m/>
    <m/>
    <m/>
    <m/>
  </r>
  <r>
    <x v="23"/>
    <s v="Long Liquidation"/>
    <s v="DOWN"/>
    <n v="14140"/>
    <n v="26600"/>
    <n v="-5620"/>
    <s v="undefined"/>
    <n v="-216.79999999999995"/>
    <n v="815"/>
    <x v="34"/>
    <n v="0.55000000000000004"/>
    <n v="-2.1500000000000004"/>
    <s v="error"/>
    <n v="-8180"/>
    <n v="406160"/>
    <n v="250440"/>
    <s v="DOWN"/>
    <s v="Long Liquidation"/>
    <n v="31330"/>
  </r>
  <r>
    <x v="23"/>
    <s v="Long Liquidation"/>
    <s v="DOWN"/>
    <n v="1240"/>
    <n v="3840"/>
    <n v="-700"/>
    <s v="undefined"/>
    <n v="-234"/>
    <n v="698.7"/>
    <x v="33"/>
    <n v="0.6"/>
    <n v="-2.4"/>
    <s v="error"/>
    <n v="14700"/>
    <n v="213940"/>
    <n v="213240"/>
    <s v="UP"/>
    <s v="Short Buildup"/>
    <n v="31330"/>
  </r>
  <r>
    <x v="23"/>
    <s v="Long Liquidation"/>
    <s v="DOWN"/>
    <n v="8440"/>
    <n v="10540"/>
    <n v="-1280"/>
    <s v="undefined"/>
    <n v="-238.79999999999995"/>
    <n v="597.20000000000005"/>
    <x v="17"/>
    <n v="0.8"/>
    <n v="-2.8"/>
    <s v="error"/>
    <n v="82940"/>
    <n v="273140"/>
    <n v="477500"/>
    <s v="UP"/>
    <s v="Short Buildup"/>
    <n v="31330"/>
  </r>
  <r>
    <x v="23"/>
    <s v="Short Buildup"/>
    <s v="UP"/>
    <n v="6240"/>
    <n v="8080"/>
    <n v="580"/>
    <s v="undefined"/>
    <n v="-221.60000000000002"/>
    <n v="514"/>
    <x v="18"/>
    <n v="1.2"/>
    <n v="-2.8999999999999995"/>
    <s v="error"/>
    <n v="64260"/>
    <n v="431660"/>
    <n v="1092200"/>
    <s v="UP"/>
    <s v="Short Buildup"/>
    <n v="31330"/>
  </r>
  <r>
    <x v="23"/>
    <s v="Short Buildup"/>
    <s v="UP"/>
    <n v="9340"/>
    <n v="7720"/>
    <n v="1480"/>
    <s v="undefined"/>
    <n v="-219.29999999999995"/>
    <n v="414.25"/>
    <x v="19"/>
    <n v="2.25"/>
    <n v="-3.25"/>
    <s v="error"/>
    <n v="213600"/>
    <n v="579480"/>
    <n v="2325300"/>
    <s v="UP"/>
    <s v="Short Buildup"/>
    <n v="31330"/>
  </r>
  <r>
    <x v="23"/>
    <s v="Short Buildup"/>
    <s v="UP"/>
    <n v="217220"/>
    <n v="107840"/>
    <n v="19620"/>
    <s v="undefined"/>
    <n v="-227.55"/>
    <n v="317.3"/>
    <x v="20"/>
    <n v="4.6500000000000004"/>
    <n v="-2.75"/>
    <s v="error"/>
    <n v="1051100"/>
    <n v="1861700"/>
    <n v="6749760"/>
    <s v="UP"/>
    <s v="Short Buildup"/>
    <n v="31330"/>
  </r>
  <r>
    <x v="23"/>
    <s v="Short Buildup"/>
    <s v="UP"/>
    <n v="264200"/>
    <n v="71480"/>
    <n v="40820"/>
    <s v="undefined"/>
    <n v="-220.99999999999997"/>
    <n v="224.15"/>
    <x v="21"/>
    <n v="10.9"/>
    <n v="0.75"/>
    <s v="error"/>
    <n v="916920"/>
    <n v="1435620"/>
    <n v="8394940"/>
    <s v="UP"/>
    <s v="Long Buildup"/>
    <n v="31330"/>
  </r>
  <r>
    <x v="23"/>
    <s v="Short Buildup"/>
    <s v="UP"/>
    <n v="1852900"/>
    <n v="319680"/>
    <n v="187960"/>
    <s v="error"/>
    <n v="-208.6"/>
    <n v="141.85"/>
    <x v="22"/>
    <n v="28.6"/>
    <n v="11.200000000000003"/>
    <s v="error"/>
    <n v="876180"/>
    <n v="1402120"/>
    <n v="11363140"/>
    <s v="UP"/>
    <s v="Long Buildup"/>
    <n v="31330"/>
  </r>
  <r>
    <x v="23"/>
    <s v="Short Buildup"/>
    <s v="UP"/>
    <n v="4211940"/>
    <n v="742500"/>
    <n v="626560"/>
    <s v="error"/>
    <n v="-188.9"/>
    <n v="76.650000000000006"/>
    <x v="23"/>
    <n v="64.650000000000006"/>
    <n v="33.700000000000003"/>
    <s v="error"/>
    <n v="396760"/>
    <n v="1047260"/>
    <n v="12273020"/>
    <s v="UP"/>
    <s v="Long Buildup"/>
    <n v="31330"/>
  </r>
  <r>
    <x v="23"/>
    <s v="Short Buildup"/>
    <s v="UP"/>
    <n v="9712500"/>
    <n v="1432760"/>
    <n v="1248460"/>
    <s v="error"/>
    <n v="-152.75"/>
    <n v="36.25"/>
    <x v="24"/>
    <n v="123.55"/>
    <n v="69.599999999999994"/>
    <s v="error"/>
    <n v="60660"/>
    <n v="616880"/>
    <n v="9169200"/>
    <s v="UP"/>
    <s v="Long Buildup"/>
    <n v="31330"/>
  </r>
  <r>
    <x v="23"/>
    <s v="Short Buildup"/>
    <s v="UP"/>
    <n v="14663600"/>
    <n v="2856400"/>
    <n v="2077860"/>
    <s v="error"/>
    <n v="-110.85000000000001"/>
    <n v="15.6"/>
    <x v="25"/>
    <n v="202.95"/>
    <n v="112.79999999999998"/>
    <s v="error"/>
    <n v="-154540"/>
    <n v="475940"/>
    <n v="5144280"/>
    <s v="DOWN"/>
    <s v="Short covering"/>
    <n v="31330"/>
  </r>
  <r>
    <x v="23"/>
    <s v="Short Buildup"/>
    <s v="UP"/>
    <n v="11006780"/>
    <n v="1918460"/>
    <n v="1298800"/>
    <s v="error"/>
    <n v="-72.150000000000006"/>
    <n v="6.3"/>
    <x v="26"/>
    <n v="294"/>
    <n v="151.9"/>
    <s v="error"/>
    <n v="9600"/>
    <n v="103840"/>
    <n v="1480300"/>
    <s v="UP"/>
    <s v="Long Buildup"/>
    <n v="31330"/>
  </r>
  <r>
    <x v="23"/>
    <s v="Short Buildup"/>
    <s v="UP"/>
    <n v="8974140"/>
    <n v="1383940"/>
    <n v="748680"/>
    <s v="error"/>
    <n v="-41.6"/>
    <n v="2.85"/>
    <x v="27"/>
    <n v="388"/>
    <n v="178.6"/>
    <s v="error"/>
    <n v="-12000"/>
    <n v="37760"/>
    <n v="609720"/>
    <s v="DOWN"/>
    <s v="Short covering"/>
    <n v="31330"/>
  </r>
  <r>
    <x v="23"/>
    <s v="Short Buildup"/>
    <s v="UP"/>
    <n v="6166180"/>
    <n v="1007300"/>
    <n v="421920"/>
    <s v="error"/>
    <n v="-22"/>
    <n v="1.5"/>
    <x v="28"/>
    <n v="486.45"/>
    <n v="201.09999999999997"/>
    <s v="error"/>
    <n v="1300"/>
    <n v="16280"/>
    <n v="228560"/>
    <s v="UP"/>
    <s v="Long Buildup"/>
    <n v="31330"/>
  </r>
  <r>
    <x v="23"/>
    <s v="Short Buildup"/>
    <s v="UP"/>
    <n v="13401680"/>
    <n v="641380"/>
    <n v="129580"/>
    <s v="error"/>
    <n v="-10.15"/>
    <n v="0.95"/>
    <x v="29"/>
    <n v="587.15"/>
    <n v="210.45"/>
    <s v="error"/>
    <n v="1660"/>
    <n v="7200"/>
    <n v="47400"/>
    <s v="UP"/>
    <s v="Long Buildup"/>
    <n v="31330"/>
  </r>
  <r>
    <x v="23"/>
    <s v="Short Buildup"/>
    <s v="UP"/>
    <n v="5389360"/>
    <n v="768960"/>
    <n v="157300"/>
    <s v="error"/>
    <n v="-5.3"/>
    <n v="0.7"/>
    <x v="30"/>
    <n v="687.1"/>
    <n v="216.60000000000002"/>
    <s v="error"/>
    <n v="-1220"/>
    <n v="10900"/>
    <n v="29840"/>
    <s v="DOWN"/>
    <s v="Short covering"/>
    <n v="31330"/>
  </r>
  <r>
    <x v="23"/>
    <n v="0.78884773618878834"/>
    <m/>
    <m/>
    <n v="11307480"/>
    <m/>
    <m/>
    <m/>
    <m/>
    <x v="16"/>
    <m/>
    <m/>
    <m/>
    <m/>
    <n v="8919880"/>
    <m/>
    <m/>
    <m/>
    <m/>
  </r>
  <r>
    <x v="23"/>
    <s v="Long Liquidation"/>
    <s v="DOWN"/>
    <n v="14140"/>
    <n v="26600"/>
    <n v="-5620"/>
    <s v="undefined"/>
    <n v="-216.79999999999995"/>
    <n v="815"/>
    <x v="34"/>
    <n v="0.55000000000000004"/>
    <n v="-2.1500000000000004"/>
    <s v="error"/>
    <n v="-8180"/>
    <n v="406160"/>
    <n v="250440"/>
    <s v="DOWN"/>
    <s v="Long Liquidation"/>
    <n v="31330"/>
  </r>
  <r>
    <x v="23"/>
    <s v="Long Liquidation"/>
    <s v="DOWN"/>
    <n v="1240"/>
    <n v="3840"/>
    <n v="-700"/>
    <s v="undefined"/>
    <n v="-234"/>
    <n v="698.7"/>
    <x v="33"/>
    <n v="0.6"/>
    <n v="-2.4"/>
    <s v="error"/>
    <n v="14700"/>
    <n v="213940"/>
    <n v="213240"/>
    <s v="UP"/>
    <s v="Short Buildup"/>
    <n v="31330"/>
  </r>
  <r>
    <x v="23"/>
    <s v="Long Liquidation"/>
    <s v="DOWN"/>
    <n v="8440"/>
    <n v="10540"/>
    <n v="-1280"/>
    <s v="undefined"/>
    <n v="-238.79999999999995"/>
    <n v="597.20000000000005"/>
    <x v="17"/>
    <n v="0.8"/>
    <n v="-2.8"/>
    <s v="error"/>
    <n v="82940"/>
    <n v="273140"/>
    <n v="477500"/>
    <s v="UP"/>
    <s v="Short Buildup"/>
    <n v="31330"/>
  </r>
  <r>
    <x v="23"/>
    <s v="Short Buildup"/>
    <s v="UP"/>
    <n v="6240"/>
    <n v="8080"/>
    <n v="580"/>
    <s v="undefined"/>
    <n v="-221.60000000000002"/>
    <n v="514"/>
    <x v="18"/>
    <n v="1.2"/>
    <n v="-2.8999999999999995"/>
    <s v="error"/>
    <n v="64260"/>
    <n v="431660"/>
    <n v="1092200"/>
    <s v="UP"/>
    <s v="Short Buildup"/>
    <n v="31330"/>
  </r>
  <r>
    <x v="23"/>
    <s v="Short Buildup"/>
    <s v="UP"/>
    <n v="9340"/>
    <n v="7720"/>
    <n v="1480"/>
    <s v="undefined"/>
    <n v="-219.29999999999995"/>
    <n v="414.25"/>
    <x v="19"/>
    <n v="2.25"/>
    <n v="-3.25"/>
    <s v="error"/>
    <n v="213600"/>
    <n v="579480"/>
    <n v="2325300"/>
    <s v="UP"/>
    <s v="Short Buildup"/>
    <n v="31330"/>
  </r>
  <r>
    <x v="23"/>
    <s v="Short Buildup"/>
    <s v="UP"/>
    <n v="217220"/>
    <n v="107840"/>
    <n v="19620"/>
    <s v="undefined"/>
    <n v="-227.55"/>
    <n v="317.3"/>
    <x v="20"/>
    <n v="4.6500000000000004"/>
    <n v="-2.75"/>
    <s v="error"/>
    <n v="1051100"/>
    <n v="1861700"/>
    <n v="6749760"/>
    <s v="UP"/>
    <s v="Short Buildup"/>
    <n v="31330"/>
  </r>
  <r>
    <x v="23"/>
    <s v="Short Buildup"/>
    <s v="UP"/>
    <n v="264200"/>
    <n v="71480"/>
    <n v="40820"/>
    <s v="undefined"/>
    <n v="-220.99999999999997"/>
    <n v="224.15"/>
    <x v="21"/>
    <n v="10.9"/>
    <n v="0.75"/>
    <s v="error"/>
    <n v="916920"/>
    <n v="1435620"/>
    <n v="8394940"/>
    <s v="UP"/>
    <s v="Long Buildup"/>
    <n v="31330"/>
  </r>
  <r>
    <x v="23"/>
    <s v="Short Buildup"/>
    <s v="UP"/>
    <n v="1852900"/>
    <n v="319680"/>
    <n v="187960"/>
    <s v="error"/>
    <n v="-208.6"/>
    <n v="141.85"/>
    <x v="22"/>
    <n v="28.6"/>
    <n v="11.200000000000003"/>
    <s v="error"/>
    <n v="876180"/>
    <n v="1402120"/>
    <n v="11363140"/>
    <s v="UP"/>
    <s v="Long Buildup"/>
    <n v="31330"/>
  </r>
  <r>
    <x v="23"/>
    <s v="Short Buildup"/>
    <s v="UP"/>
    <n v="4211940"/>
    <n v="742500"/>
    <n v="626560"/>
    <s v="error"/>
    <n v="-188.9"/>
    <n v="76.650000000000006"/>
    <x v="23"/>
    <n v="64.650000000000006"/>
    <n v="33.700000000000003"/>
    <s v="error"/>
    <n v="396760"/>
    <n v="1047260"/>
    <n v="12273020"/>
    <s v="UP"/>
    <s v="Long Buildup"/>
    <n v="31330"/>
  </r>
  <r>
    <x v="23"/>
    <s v="Short Buildup"/>
    <s v="UP"/>
    <n v="9712500"/>
    <n v="1432760"/>
    <n v="1248460"/>
    <s v="error"/>
    <n v="-152.75"/>
    <n v="36.25"/>
    <x v="24"/>
    <n v="123.55"/>
    <n v="69.599999999999994"/>
    <s v="error"/>
    <n v="60660"/>
    <n v="616880"/>
    <n v="9169200"/>
    <s v="UP"/>
    <s v="Long Buildup"/>
    <n v="31330"/>
  </r>
  <r>
    <x v="23"/>
    <s v="Short Buildup"/>
    <s v="UP"/>
    <n v="14663600"/>
    <n v="2856400"/>
    <n v="2077860"/>
    <s v="error"/>
    <n v="-110.85000000000001"/>
    <n v="15.6"/>
    <x v="25"/>
    <n v="202.95"/>
    <n v="112.79999999999998"/>
    <s v="error"/>
    <n v="-154540"/>
    <n v="475940"/>
    <n v="5144280"/>
    <s v="DOWN"/>
    <s v="Short covering"/>
    <n v="31330"/>
  </r>
  <r>
    <x v="23"/>
    <s v="Short Buildup"/>
    <s v="UP"/>
    <n v="11006780"/>
    <n v="1918460"/>
    <n v="1298800"/>
    <s v="error"/>
    <n v="-72.150000000000006"/>
    <n v="6.3"/>
    <x v="26"/>
    <n v="294"/>
    <n v="151.9"/>
    <s v="error"/>
    <n v="9600"/>
    <n v="103840"/>
    <n v="1480300"/>
    <s v="UP"/>
    <s v="Long Buildup"/>
    <n v="31330"/>
  </r>
  <r>
    <x v="23"/>
    <s v="Short Buildup"/>
    <s v="UP"/>
    <n v="8974140"/>
    <n v="1383940"/>
    <n v="748680"/>
    <s v="error"/>
    <n v="-41.6"/>
    <n v="2.85"/>
    <x v="27"/>
    <n v="388"/>
    <n v="178.6"/>
    <s v="error"/>
    <n v="-12000"/>
    <n v="37760"/>
    <n v="609720"/>
    <s v="DOWN"/>
    <s v="Short covering"/>
    <n v="31330"/>
  </r>
  <r>
    <x v="23"/>
    <s v="Short Buildup"/>
    <s v="UP"/>
    <n v="6166180"/>
    <n v="1007300"/>
    <n v="421920"/>
    <s v="error"/>
    <n v="-22"/>
    <n v="1.5"/>
    <x v="28"/>
    <n v="486.45"/>
    <n v="201.09999999999997"/>
    <s v="error"/>
    <n v="1300"/>
    <n v="16280"/>
    <n v="228560"/>
    <s v="UP"/>
    <s v="Long Buildup"/>
    <n v="31330"/>
  </r>
  <r>
    <x v="23"/>
    <s v="Short Buildup"/>
    <s v="UP"/>
    <n v="13401680"/>
    <n v="641380"/>
    <n v="129580"/>
    <s v="error"/>
    <n v="-10.15"/>
    <n v="0.95"/>
    <x v="29"/>
    <n v="587.15"/>
    <n v="210.45"/>
    <s v="error"/>
    <n v="1660"/>
    <n v="7200"/>
    <n v="47400"/>
    <s v="UP"/>
    <s v="Long Buildup"/>
    <n v="31330"/>
  </r>
  <r>
    <x v="23"/>
    <s v="Short Buildup"/>
    <s v="UP"/>
    <n v="5389360"/>
    <n v="768960"/>
    <n v="157300"/>
    <s v="error"/>
    <n v="-5.3"/>
    <n v="0.7"/>
    <x v="30"/>
    <n v="687.1"/>
    <n v="216.60000000000002"/>
    <s v="error"/>
    <n v="-1220"/>
    <n v="10900"/>
    <n v="29840"/>
    <s v="DOWN"/>
    <s v="Short covering"/>
    <n v="31330"/>
  </r>
  <r>
    <x v="23"/>
    <n v="0.78884773618878834"/>
    <m/>
    <m/>
    <n v="11307480"/>
    <m/>
    <m/>
    <m/>
    <m/>
    <x v="16"/>
    <m/>
    <m/>
    <m/>
    <m/>
    <n v="8919880"/>
    <m/>
    <m/>
    <m/>
    <m/>
  </r>
  <r>
    <x v="24"/>
    <s v="Long Liquidation"/>
    <s v="DOWN"/>
    <n v="14300"/>
    <n v="26720"/>
    <n v="-5500"/>
    <s v="undefined"/>
    <n v="-227.79999999999995"/>
    <n v="804"/>
    <x v="34"/>
    <n v="0.6"/>
    <n v="-2.1"/>
    <s v="error"/>
    <n v="-8380"/>
    <n v="405960"/>
    <n v="254800"/>
    <s v="DOWN"/>
    <s v="Long Liquidation"/>
    <n v="31314.2"/>
  </r>
  <r>
    <x v="24"/>
    <s v="Long Liquidation"/>
    <s v="DOWN"/>
    <n v="1540"/>
    <n v="3760"/>
    <n v="-780"/>
    <s v="undefined"/>
    <n v="-234"/>
    <n v="698.7"/>
    <x v="33"/>
    <n v="0.65"/>
    <n v="-2.35"/>
    <s v="error"/>
    <n v="14200"/>
    <n v="213440"/>
    <n v="217440"/>
    <s v="UP"/>
    <s v="Short Buildup"/>
    <n v="31314.2"/>
  </r>
  <r>
    <x v="24"/>
    <s v="Long Liquidation"/>
    <s v="DOWN"/>
    <n v="8540"/>
    <n v="10540"/>
    <n v="-1280"/>
    <s v="undefined"/>
    <n v="-224"/>
    <n v="612"/>
    <x v="17"/>
    <n v="0.85"/>
    <n v="-2.75"/>
    <s v="error"/>
    <n v="83080"/>
    <n v="273280"/>
    <n v="487520"/>
    <s v="UP"/>
    <s v="Short Buildup"/>
    <n v="31314.2"/>
  </r>
  <r>
    <x v="24"/>
    <s v="Short Buildup"/>
    <s v="UP"/>
    <n v="6280"/>
    <n v="7840"/>
    <n v="340"/>
    <s v="undefined"/>
    <n v="-234.65000000000003"/>
    <n v="500.95"/>
    <x v="18"/>
    <n v="1.3"/>
    <n v="-2.8"/>
    <s v="error"/>
    <n v="70180"/>
    <n v="437580"/>
    <n v="1118120"/>
    <s v="UP"/>
    <s v="Short Buildup"/>
    <n v="31314.2"/>
  </r>
  <r>
    <x v="24"/>
    <s v="Short Buildup"/>
    <s v="UP"/>
    <n v="9520"/>
    <n v="7540"/>
    <n v="1300"/>
    <s v="undefined"/>
    <n v="-232.54999999999995"/>
    <n v="401"/>
    <x v="19"/>
    <n v="2.4500000000000002"/>
    <n v="-3.05"/>
    <s v="error"/>
    <n v="219060"/>
    <n v="584940"/>
    <n v="2370460"/>
    <s v="UP"/>
    <s v="Short Buildup"/>
    <n v="31314.2"/>
  </r>
  <r>
    <x v="24"/>
    <s v="Short Buildup"/>
    <s v="UP"/>
    <n v="223240"/>
    <n v="107840"/>
    <n v="19620"/>
    <s v="undefined"/>
    <n v="-238.15000000000003"/>
    <n v="306.7"/>
    <x v="20"/>
    <n v="5.4"/>
    <n v="-2"/>
    <s v="error"/>
    <n v="1045300"/>
    <n v="1855900"/>
    <n v="6926200"/>
    <s v="UP"/>
    <s v="Short Buildup"/>
    <n v="31314.2"/>
  </r>
  <r>
    <x v="24"/>
    <s v="Short Buildup"/>
    <s v="UP"/>
    <n v="275860"/>
    <n v="77620"/>
    <n v="46960"/>
    <s v="undefined"/>
    <n v="-236.14999999999998"/>
    <n v="209"/>
    <x v="21"/>
    <n v="13.05"/>
    <n v="2.9000000000000004"/>
    <s v="error"/>
    <n v="918600"/>
    <n v="1437300"/>
    <n v="8652360"/>
    <s v="UP"/>
    <s v="Long Buildup"/>
    <n v="31314.2"/>
  </r>
  <r>
    <x v="24"/>
    <s v="Short Buildup"/>
    <s v="UP"/>
    <n v="1911680"/>
    <n v="323620"/>
    <n v="191900"/>
    <s v="error"/>
    <n v="-220.64999999999998"/>
    <n v="129.80000000000001"/>
    <x v="22"/>
    <n v="33.4"/>
    <n v="16"/>
    <s v="error"/>
    <n v="915260"/>
    <n v="1441200"/>
    <n v="11686140"/>
    <s v="UP"/>
    <s v="Long Buildup"/>
    <n v="31314.2"/>
  </r>
  <r>
    <x v="24"/>
    <s v="Short Buildup"/>
    <s v="UP"/>
    <n v="4376940"/>
    <n v="758940"/>
    <n v="643000"/>
    <s v="error"/>
    <n v="-196.15"/>
    <n v="69.400000000000006"/>
    <x v="23"/>
    <n v="73.05"/>
    <n v="42.099999999999994"/>
    <s v="error"/>
    <n v="412020"/>
    <n v="1062520"/>
    <n v="12543980"/>
    <s v="UP"/>
    <s v="Long Buildup"/>
    <n v="31314.2"/>
  </r>
  <r>
    <x v="24"/>
    <s v="Short Buildup"/>
    <s v="UP"/>
    <n v="10002060"/>
    <n v="1476460"/>
    <n v="1292160"/>
    <s v="error"/>
    <n v="-156.44999999999999"/>
    <n v="32.549999999999997"/>
    <x v="24"/>
    <n v="135.25"/>
    <n v="81.3"/>
    <s v="error"/>
    <n v="60860"/>
    <n v="617080"/>
    <n v="9309540"/>
    <s v="UP"/>
    <s v="Long Buildup"/>
    <n v="31314.2"/>
  </r>
  <r>
    <x v="24"/>
    <s v="Short Buildup"/>
    <s v="UP"/>
    <n v="14965680"/>
    <n v="2869440"/>
    <n v="2090900"/>
    <s v="error"/>
    <n v="-112.45"/>
    <n v="14"/>
    <x v="25"/>
    <n v="217.35"/>
    <n v="127.19999999999999"/>
    <s v="error"/>
    <n v="-160060"/>
    <n v="470420"/>
    <n v="5214720"/>
    <s v="DOWN"/>
    <s v="Short covering"/>
    <n v="31314.2"/>
  </r>
  <r>
    <x v="24"/>
    <s v="Short Buildup"/>
    <s v="UP"/>
    <n v="11188680"/>
    <n v="1922400"/>
    <n v="1302740"/>
    <s v="error"/>
    <n v="-73"/>
    <n v="5.45"/>
    <x v="26"/>
    <n v="308.5"/>
    <n v="166.4"/>
    <s v="error"/>
    <n v="11320"/>
    <n v="105560"/>
    <n v="1495020"/>
    <s v="UP"/>
    <s v="Long Buildup"/>
    <n v="31314.2"/>
  </r>
  <r>
    <x v="24"/>
    <s v="Short Buildup"/>
    <s v="UP"/>
    <n v="9114100"/>
    <n v="1373960"/>
    <n v="738700"/>
    <s v="error"/>
    <n v="-41.95"/>
    <n v="2.5"/>
    <x v="27"/>
    <n v="405.8"/>
    <n v="196.4"/>
    <s v="error"/>
    <n v="-10480"/>
    <n v="39280"/>
    <n v="612900"/>
    <s v="DOWN"/>
    <s v="Short covering"/>
    <n v="31314.2"/>
  </r>
  <r>
    <x v="24"/>
    <s v="Short Buildup"/>
    <s v="UP"/>
    <n v="6348900"/>
    <n v="1038420"/>
    <n v="453040"/>
    <s v="error"/>
    <n v="-22.15"/>
    <n v="1.35"/>
    <x v="28"/>
    <n v="506"/>
    <n v="220.64999999999998"/>
    <s v="error"/>
    <n v="1620"/>
    <n v="16600"/>
    <n v="230280"/>
    <s v="UP"/>
    <s v="Long Buildup"/>
    <n v="31314.2"/>
  </r>
  <r>
    <x v="24"/>
    <s v="Short Buildup"/>
    <s v="UP"/>
    <n v="14813120"/>
    <n v="675620"/>
    <n v="163820"/>
    <s v="error"/>
    <n v="-10.15"/>
    <n v="0.95"/>
    <x v="29"/>
    <n v="606.29999999999995"/>
    <n v="229.59999999999997"/>
    <s v="error"/>
    <n v="1100"/>
    <n v="6640"/>
    <n v="48020"/>
    <s v="UP"/>
    <s v="Long Buildup"/>
    <n v="31314.2"/>
  </r>
  <r>
    <x v="24"/>
    <s v="Short Buildup"/>
    <s v="UP"/>
    <n v="5437280"/>
    <n v="755820"/>
    <n v="144160"/>
    <s v="error"/>
    <n v="-5.4"/>
    <n v="0.6"/>
    <x v="30"/>
    <n v="700"/>
    <n v="229.5"/>
    <s v="error"/>
    <n v="-1300"/>
    <n v="10820"/>
    <n v="30040"/>
    <s v="DOWN"/>
    <s v="Short covering"/>
    <n v="31314.2"/>
  </r>
  <r>
    <x v="24"/>
    <n v="0.78507310777560346"/>
    <m/>
    <m/>
    <n v="11436540"/>
    <m/>
    <m/>
    <m/>
    <m/>
    <x v="16"/>
    <m/>
    <m/>
    <m/>
    <m/>
    <n v="8978520"/>
    <m/>
    <m/>
    <m/>
    <m/>
  </r>
  <r>
    <x v="24"/>
    <s v="Long Liquidation"/>
    <s v="DOWN"/>
    <n v="14300"/>
    <n v="26720"/>
    <n v="-5500"/>
    <s v="undefined"/>
    <n v="-227.79999999999995"/>
    <n v="804"/>
    <x v="34"/>
    <n v="0.6"/>
    <n v="-2.1"/>
    <s v="error"/>
    <n v="-8380"/>
    <n v="405960"/>
    <n v="254800"/>
    <s v="DOWN"/>
    <s v="Long Liquidation"/>
    <n v="31314.2"/>
  </r>
  <r>
    <x v="24"/>
    <s v="Long Liquidation"/>
    <s v="DOWN"/>
    <n v="1540"/>
    <n v="3760"/>
    <n v="-780"/>
    <s v="undefined"/>
    <n v="-234"/>
    <n v="698.7"/>
    <x v="33"/>
    <n v="0.65"/>
    <n v="-2.35"/>
    <s v="error"/>
    <n v="14200"/>
    <n v="213440"/>
    <n v="217440"/>
    <s v="UP"/>
    <s v="Short Buildup"/>
    <n v="31314.2"/>
  </r>
  <r>
    <x v="24"/>
    <s v="Long Liquidation"/>
    <s v="DOWN"/>
    <n v="8540"/>
    <n v="10540"/>
    <n v="-1280"/>
    <s v="undefined"/>
    <n v="-224"/>
    <n v="612"/>
    <x v="17"/>
    <n v="0.85"/>
    <n v="-2.75"/>
    <s v="error"/>
    <n v="83080"/>
    <n v="273280"/>
    <n v="487520"/>
    <s v="UP"/>
    <s v="Short Buildup"/>
    <n v="31314.2"/>
  </r>
  <r>
    <x v="24"/>
    <s v="Short Buildup"/>
    <s v="UP"/>
    <n v="6280"/>
    <n v="7840"/>
    <n v="340"/>
    <s v="undefined"/>
    <n v="-234.65000000000003"/>
    <n v="500.95"/>
    <x v="18"/>
    <n v="1.3"/>
    <n v="-2.8"/>
    <s v="error"/>
    <n v="70180"/>
    <n v="437580"/>
    <n v="1118120"/>
    <s v="UP"/>
    <s v="Short Buildup"/>
    <n v="31314.2"/>
  </r>
  <r>
    <x v="24"/>
    <s v="Short Buildup"/>
    <s v="UP"/>
    <n v="9520"/>
    <n v="7540"/>
    <n v="1300"/>
    <s v="undefined"/>
    <n v="-232.54999999999995"/>
    <n v="401"/>
    <x v="19"/>
    <n v="2.4500000000000002"/>
    <n v="-3.05"/>
    <s v="error"/>
    <n v="219060"/>
    <n v="584940"/>
    <n v="2370460"/>
    <s v="UP"/>
    <s v="Short Buildup"/>
    <n v="31314.2"/>
  </r>
  <r>
    <x v="24"/>
    <s v="Short Buildup"/>
    <s v="UP"/>
    <n v="223240"/>
    <n v="107840"/>
    <n v="19620"/>
    <s v="undefined"/>
    <n v="-238.15000000000003"/>
    <n v="306.7"/>
    <x v="20"/>
    <n v="5.4"/>
    <n v="-2"/>
    <s v="error"/>
    <n v="1045300"/>
    <n v="1855900"/>
    <n v="6926200"/>
    <s v="UP"/>
    <s v="Short Buildup"/>
    <n v="31314.2"/>
  </r>
  <r>
    <x v="24"/>
    <s v="Short Buildup"/>
    <s v="UP"/>
    <n v="275860"/>
    <n v="77620"/>
    <n v="46960"/>
    <s v="undefined"/>
    <n v="-236.14999999999998"/>
    <n v="209"/>
    <x v="21"/>
    <n v="13.05"/>
    <n v="2.9000000000000004"/>
    <s v="error"/>
    <n v="918600"/>
    <n v="1437300"/>
    <n v="8652360"/>
    <s v="UP"/>
    <s v="Long Buildup"/>
    <n v="31314.2"/>
  </r>
  <r>
    <x v="24"/>
    <s v="Short Buildup"/>
    <s v="UP"/>
    <n v="1911680"/>
    <n v="323620"/>
    <n v="191900"/>
    <s v="error"/>
    <n v="-220.64999999999998"/>
    <n v="129.80000000000001"/>
    <x v="22"/>
    <n v="33.4"/>
    <n v="16"/>
    <s v="error"/>
    <n v="915260"/>
    <n v="1441200"/>
    <n v="11686140"/>
    <s v="UP"/>
    <s v="Long Buildup"/>
    <n v="31314.2"/>
  </r>
  <r>
    <x v="24"/>
    <s v="Short Buildup"/>
    <s v="UP"/>
    <n v="4376940"/>
    <n v="758940"/>
    <n v="643000"/>
    <s v="error"/>
    <n v="-196.15"/>
    <n v="69.400000000000006"/>
    <x v="23"/>
    <n v="73.05"/>
    <n v="42.099999999999994"/>
    <s v="error"/>
    <n v="412020"/>
    <n v="1062520"/>
    <n v="12543980"/>
    <s v="UP"/>
    <s v="Long Buildup"/>
    <n v="31314.2"/>
  </r>
  <r>
    <x v="24"/>
    <s v="Short Buildup"/>
    <s v="UP"/>
    <n v="10002060"/>
    <n v="1476460"/>
    <n v="1292160"/>
    <s v="error"/>
    <n v="-156.44999999999999"/>
    <n v="32.549999999999997"/>
    <x v="24"/>
    <n v="135.25"/>
    <n v="81.3"/>
    <s v="error"/>
    <n v="60860"/>
    <n v="617080"/>
    <n v="9309540"/>
    <s v="UP"/>
    <s v="Long Buildup"/>
    <n v="31314.2"/>
  </r>
  <r>
    <x v="24"/>
    <s v="Short Buildup"/>
    <s v="UP"/>
    <n v="14965680"/>
    <n v="2869440"/>
    <n v="2090900"/>
    <s v="error"/>
    <n v="-112.45"/>
    <n v="14"/>
    <x v="25"/>
    <n v="217.35"/>
    <n v="127.19999999999999"/>
    <s v="error"/>
    <n v="-160060"/>
    <n v="470420"/>
    <n v="5214720"/>
    <s v="DOWN"/>
    <s v="Short covering"/>
    <n v="31314.2"/>
  </r>
  <r>
    <x v="24"/>
    <s v="Short Buildup"/>
    <s v="UP"/>
    <n v="11188680"/>
    <n v="1922400"/>
    <n v="1302740"/>
    <s v="error"/>
    <n v="-73"/>
    <n v="5.45"/>
    <x v="26"/>
    <n v="308.5"/>
    <n v="166.4"/>
    <s v="error"/>
    <n v="11320"/>
    <n v="105560"/>
    <n v="1495020"/>
    <s v="UP"/>
    <s v="Long Buildup"/>
    <n v="31314.2"/>
  </r>
  <r>
    <x v="24"/>
    <s v="Short Buildup"/>
    <s v="UP"/>
    <n v="9114100"/>
    <n v="1373960"/>
    <n v="738700"/>
    <s v="error"/>
    <n v="-41.95"/>
    <n v="2.5"/>
    <x v="27"/>
    <n v="405.8"/>
    <n v="196.4"/>
    <s v="error"/>
    <n v="-10480"/>
    <n v="39280"/>
    <n v="612900"/>
    <s v="DOWN"/>
    <s v="Short covering"/>
    <n v="31314.2"/>
  </r>
  <r>
    <x v="24"/>
    <s v="Short Buildup"/>
    <s v="UP"/>
    <n v="6348900"/>
    <n v="1038420"/>
    <n v="453040"/>
    <s v="error"/>
    <n v="-22.15"/>
    <n v="1.35"/>
    <x v="28"/>
    <n v="506"/>
    <n v="220.64999999999998"/>
    <s v="error"/>
    <n v="1620"/>
    <n v="16600"/>
    <n v="230280"/>
    <s v="UP"/>
    <s v="Long Buildup"/>
    <n v="31314.2"/>
  </r>
  <r>
    <x v="24"/>
    <s v="Short Buildup"/>
    <s v="UP"/>
    <n v="14813120"/>
    <n v="675620"/>
    <n v="163820"/>
    <s v="error"/>
    <n v="-10.15"/>
    <n v="0.95"/>
    <x v="29"/>
    <n v="606.29999999999995"/>
    <n v="229.59999999999997"/>
    <s v="error"/>
    <n v="1100"/>
    <n v="6640"/>
    <n v="48020"/>
    <s v="UP"/>
    <s v="Long Buildup"/>
    <n v="31314.2"/>
  </r>
  <r>
    <x v="24"/>
    <s v="Short Buildup"/>
    <s v="UP"/>
    <n v="5437280"/>
    <n v="755820"/>
    <n v="144160"/>
    <s v="error"/>
    <n v="-5.4"/>
    <n v="0.6"/>
    <x v="30"/>
    <n v="700"/>
    <n v="229.5"/>
    <s v="error"/>
    <n v="-1300"/>
    <n v="10820"/>
    <n v="30040"/>
    <s v="DOWN"/>
    <s v="Short covering"/>
    <n v="31314.2"/>
  </r>
  <r>
    <x v="24"/>
    <n v="0.78507310777560346"/>
    <m/>
    <m/>
    <n v="11436540"/>
    <m/>
    <m/>
    <m/>
    <m/>
    <x v="16"/>
    <m/>
    <m/>
    <m/>
    <m/>
    <n v="8978520"/>
    <m/>
    <m/>
    <m/>
    <m/>
  </r>
  <r>
    <x v="25"/>
    <s v="Long Liquidation"/>
    <s v="DOWN"/>
    <n v="14440"/>
    <n v="26660"/>
    <n v="-5560"/>
    <s v="undefined"/>
    <n v="-225.79999999999995"/>
    <n v="806"/>
    <x v="34"/>
    <n v="0.55000000000000004"/>
    <n v="-2.1500000000000004"/>
    <s v="error"/>
    <n v="-8820"/>
    <n v="405520"/>
    <n v="256240"/>
    <s v="DOWN"/>
    <s v="Long Liquidation"/>
    <n v="31322.15"/>
  </r>
  <r>
    <x v="25"/>
    <s v="Long Liquidation"/>
    <s v="DOWN"/>
    <n v="1600"/>
    <n v="3760"/>
    <n v="-780"/>
    <s v="undefined"/>
    <n v="-222.20000000000005"/>
    <n v="710.5"/>
    <x v="33"/>
    <n v="0.65"/>
    <n v="-2.35"/>
    <s v="error"/>
    <n v="14200"/>
    <n v="213440"/>
    <n v="220560"/>
    <s v="UP"/>
    <s v="Short Buildup"/>
    <n v="31322.15"/>
  </r>
  <r>
    <x v="25"/>
    <s v="Long Liquidation"/>
    <s v="DOWN"/>
    <n v="8540"/>
    <n v="10540"/>
    <n v="-1280"/>
    <s v="undefined"/>
    <n v="-224"/>
    <n v="612"/>
    <x v="17"/>
    <n v="0.8"/>
    <n v="-2.8"/>
    <s v="error"/>
    <n v="81060"/>
    <n v="271260"/>
    <n v="489940"/>
    <s v="UP"/>
    <s v="Short Buildup"/>
    <n v="31322.15"/>
  </r>
  <r>
    <x v="25"/>
    <s v="Short Buildup"/>
    <s v="UP"/>
    <n v="6420"/>
    <n v="7840"/>
    <n v="340"/>
    <s v="undefined"/>
    <n v="-231.60000000000002"/>
    <n v="504"/>
    <x v="18"/>
    <n v="1.25"/>
    <n v="-2.8499999999999996"/>
    <s v="error"/>
    <n v="70260"/>
    <n v="437660"/>
    <n v="1129680"/>
    <s v="UP"/>
    <s v="Short Buildup"/>
    <n v="31322.15"/>
  </r>
  <r>
    <x v="25"/>
    <s v="Short Buildup"/>
    <s v="UP"/>
    <n v="9560"/>
    <n v="7740"/>
    <n v="1500"/>
    <s v="undefined"/>
    <n v="-230.74999999999994"/>
    <n v="402.8"/>
    <x v="19"/>
    <n v="2.35"/>
    <n v="-3.15"/>
    <s v="error"/>
    <n v="217600"/>
    <n v="583480"/>
    <n v="2409480"/>
    <s v="UP"/>
    <s v="Short Buildup"/>
    <n v="31322.15"/>
  </r>
  <r>
    <x v="25"/>
    <s v="Short Buildup"/>
    <s v="UP"/>
    <n v="226940"/>
    <n v="107620"/>
    <n v="19400"/>
    <s v="undefined"/>
    <n v="-239.85000000000002"/>
    <n v="305"/>
    <x v="20"/>
    <n v="4.9000000000000004"/>
    <n v="-2.5"/>
    <s v="error"/>
    <n v="1035820"/>
    <n v="1846420"/>
    <n v="7087620"/>
    <s v="UP"/>
    <s v="Short Buildup"/>
    <n v="31322.15"/>
  </r>
  <r>
    <x v="25"/>
    <s v="Short Buildup"/>
    <s v="UP"/>
    <n v="281080"/>
    <n v="74820"/>
    <n v="44160"/>
    <s v="undefined"/>
    <n v="-233.64999999999998"/>
    <n v="211.5"/>
    <x v="21"/>
    <n v="11.65"/>
    <n v="1.5"/>
    <s v="error"/>
    <n v="939300"/>
    <n v="1458000"/>
    <n v="8836200"/>
    <s v="UP"/>
    <s v="Long Buildup"/>
    <n v="31322.15"/>
  </r>
  <r>
    <x v="25"/>
    <s v="Short Buildup"/>
    <s v="UP"/>
    <n v="1964780"/>
    <n v="324260"/>
    <n v="192540"/>
    <s v="error"/>
    <n v="-219.25"/>
    <n v="131.19999999999999"/>
    <x v="22"/>
    <n v="31.1"/>
    <n v="13.700000000000003"/>
    <s v="error"/>
    <n v="900720"/>
    <n v="1426660"/>
    <n v="11994360"/>
    <s v="UP"/>
    <s v="Long Buildup"/>
    <n v="31322.15"/>
  </r>
  <r>
    <x v="25"/>
    <s v="Short Buildup"/>
    <s v="UP"/>
    <n v="4535740"/>
    <n v="781600"/>
    <n v="665660"/>
    <s v="error"/>
    <n v="-195.3"/>
    <n v="70.25"/>
    <x v="23"/>
    <n v="69.7"/>
    <n v="38.75"/>
    <s v="error"/>
    <n v="420560"/>
    <n v="1071060"/>
    <n v="12753320"/>
    <s v="UP"/>
    <s v="Long Buildup"/>
    <n v="31322.15"/>
  </r>
  <r>
    <x v="25"/>
    <s v="Short Buildup"/>
    <s v="UP"/>
    <n v="10253480"/>
    <n v="1481140"/>
    <n v="1296840"/>
    <s v="error"/>
    <n v="-156.1"/>
    <n v="32.9"/>
    <x v="24"/>
    <n v="131.9"/>
    <n v="77.95"/>
    <s v="error"/>
    <n v="62340"/>
    <n v="618560"/>
    <n v="9409900"/>
    <s v="UP"/>
    <s v="Long Buildup"/>
    <n v="31322.15"/>
  </r>
  <r>
    <x v="25"/>
    <s v="Short Buildup"/>
    <s v="UP"/>
    <n v="15221500"/>
    <n v="2867000"/>
    <n v="2088460"/>
    <s v="error"/>
    <n v="-112.4"/>
    <n v="14.05"/>
    <x v="25"/>
    <n v="214.5"/>
    <n v="124.35"/>
    <s v="error"/>
    <n v="-165280"/>
    <n v="465200"/>
    <n v="5257760"/>
    <s v="DOWN"/>
    <s v="Short covering"/>
    <n v="31322.15"/>
  </r>
  <r>
    <x v="25"/>
    <s v="Short Buildup"/>
    <s v="UP"/>
    <n v="11339140"/>
    <n v="1903300"/>
    <n v="1283640"/>
    <s v="error"/>
    <n v="-72.850000000000009"/>
    <n v="5.6"/>
    <x v="26"/>
    <n v="305.2"/>
    <n v="163.1"/>
    <s v="error"/>
    <n v="9380"/>
    <n v="103620"/>
    <n v="1506180"/>
    <s v="UP"/>
    <s v="Long Buildup"/>
    <n v="31322.15"/>
  </r>
  <r>
    <x v="25"/>
    <s v="Short Buildup"/>
    <s v="UP"/>
    <n v="9251660"/>
    <n v="1365440"/>
    <n v="730180"/>
    <s v="error"/>
    <n v="-41.900000000000006"/>
    <n v="2.5499999999999998"/>
    <x v="27"/>
    <n v="400.65"/>
    <n v="191.24999999999997"/>
    <s v="error"/>
    <n v="-10720"/>
    <n v="39040"/>
    <n v="615720"/>
    <s v="DOWN"/>
    <s v="Short covering"/>
    <n v="31322.15"/>
  </r>
  <r>
    <x v="25"/>
    <s v="Short Buildup"/>
    <s v="UP"/>
    <n v="6448340"/>
    <n v="1037920"/>
    <n v="452540"/>
    <s v="error"/>
    <n v="-22.1"/>
    <n v="1.4"/>
    <x v="28"/>
    <n v="499"/>
    <n v="213.64999999999998"/>
    <s v="error"/>
    <n v="1620"/>
    <n v="16600"/>
    <n v="232200"/>
    <s v="UP"/>
    <s v="Long Buildup"/>
    <n v="31322.15"/>
  </r>
  <r>
    <x v="25"/>
    <s v="Short Buildup"/>
    <s v="UP"/>
    <n v="15875280"/>
    <n v="661580"/>
    <n v="149780"/>
    <s v="error"/>
    <n v="-10.15"/>
    <n v="0.95"/>
    <x v="29"/>
    <n v="598.54999999999995"/>
    <n v="221.84999999999997"/>
    <s v="error"/>
    <n v="1100"/>
    <n v="6640"/>
    <n v="48700"/>
    <s v="UP"/>
    <s v="Long Buildup"/>
    <n v="31322.15"/>
  </r>
  <r>
    <x v="25"/>
    <s v="Short Buildup"/>
    <s v="UP"/>
    <n v="5452680"/>
    <n v="754600"/>
    <n v="142940"/>
    <s v="error"/>
    <n v="-5.35"/>
    <n v="0.65"/>
    <x v="30"/>
    <n v="695.4"/>
    <n v="224.89999999999998"/>
    <s v="error"/>
    <n v="-1360"/>
    <n v="10760"/>
    <n v="30080"/>
    <s v="DOWN"/>
    <s v="Short covering"/>
    <n v="31322.15"/>
  </r>
  <r>
    <x v="25"/>
    <n v="0.78609508559174901"/>
    <m/>
    <m/>
    <n v="11415820"/>
    <m/>
    <m/>
    <m/>
    <m/>
    <x v="16"/>
    <m/>
    <m/>
    <m/>
    <m/>
    <n v="8973920"/>
    <m/>
    <m/>
    <m/>
    <m/>
  </r>
  <r>
    <x v="25"/>
    <s v="Long Liquidation"/>
    <s v="DOWN"/>
    <n v="14440"/>
    <n v="26660"/>
    <n v="-5560"/>
    <s v="undefined"/>
    <n v="-225.79999999999995"/>
    <n v="806"/>
    <x v="34"/>
    <n v="0.55000000000000004"/>
    <n v="-2.1500000000000004"/>
    <s v="error"/>
    <n v="-8820"/>
    <n v="405520"/>
    <n v="256240"/>
    <s v="DOWN"/>
    <s v="Long Liquidation"/>
    <n v="31322.15"/>
  </r>
  <r>
    <x v="25"/>
    <s v="Long Liquidation"/>
    <s v="DOWN"/>
    <n v="1600"/>
    <n v="3760"/>
    <n v="-780"/>
    <s v="undefined"/>
    <n v="-222.20000000000005"/>
    <n v="710.5"/>
    <x v="33"/>
    <n v="0.65"/>
    <n v="-2.35"/>
    <s v="error"/>
    <n v="14200"/>
    <n v="213440"/>
    <n v="220560"/>
    <s v="UP"/>
    <s v="Short Buildup"/>
    <n v="31322.15"/>
  </r>
  <r>
    <x v="25"/>
    <s v="Long Liquidation"/>
    <s v="DOWN"/>
    <n v="8540"/>
    <n v="10540"/>
    <n v="-1280"/>
    <s v="undefined"/>
    <n v="-224"/>
    <n v="612"/>
    <x v="17"/>
    <n v="0.8"/>
    <n v="-2.8"/>
    <s v="error"/>
    <n v="81060"/>
    <n v="271260"/>
    <n v="489940"/>
    <s v="UP"/>
    <s v="Short Buildup"/>
    <n v="31322.15"/>
  </r>
  <r>
    <x v="25"/>
    <s v="Short Buildup"/>
    <s v="UP"/>
    <n v="6420"/>
    <n v="7840"/>
    <n v="340"/>
    <s v="undefined"/>
    <n v="-231.60000000000002"/>
    <n v="504"/>
    <x v="18"/>
    <n v="1.25"/>
    <n v="-2.8499999999999996"/>
    <s v="error"/>
    <n v="70260"/>
    <n v="437660"/>
    <n v="1129680"/>
    <s v="UP"/>
    <s v="Short Buildup"/>
    <n v="31322.15"/>
  </r>
  <r>
    <x v="25"/>
    <s v="Short Buildup"/>
    <s v="UP"/>
    <n v="9560"/>
    <n v="7740"/>
    <n v="1500"/>
    <s v="undefined"/>
    <n v="-230.74999999999994"/>
    <n v="402.8"/>
    <x v="19"/>
    <n v="2.35"/>
    <n v="-3.15"/>
    <s v="error"/>
    <n v="217600"/>
    <n v="583480"/>
    <n v="2409480"/>
    <s v="UP"/>
    <s v="Short Buildup"/>
    <n v="31322.15"/>
  </r>
  <r>
    <x v="25"/>
    <s v="Short Buildup"/>
    <s v="UP"/>
    <n v="226940"/>
    <n v="107620"/>
    <n v="19400"/>
    <s v="undefined"/>
    <n v="-239.85000000000002"/>
    <n v="305"/>
    <x v="20"/>
    <n v="4.9000000000000004"/>
    <n v="-2.5"/>
    <s v="error"/>
    <n v="1035820"/>
    <n v="1846420"/>
    <n v="7087620"/>
    <s v="UP"/>
    <s v="Short Buildup"/>
    <n v="31322.15"/>
  </r>
  <r>
    <x v="25"/>
    <s v="Short Buildup"/>
    <s v="UP"/>
    <n v="281080"/>
    <n v="74820"/>
    <n v="44160"/>
    <s v="undefined"/>
    <n v="-233.64999999999998"/>
    <n v="211.5"/>
    <x v="21"/>
    <n v="11.65"/>
    <n v="1.5"/>
    <s v="error"/>
    <n v="939300"/>
    <n v="1458000"/>
    <n v="8836200"/>
    <s v="UP"/>
    <s v="Long Buildup"/>
    <n v="31322.15"/>
  </r>
  <r>
    <x v="25"/>
    <s v="Short Buildup"/>
    <s v="UP"/>
    <n v="1964780"/>
    <n v="324260"/>
    <n v="192540"/>
    <s v="error"/>
    <n v="-219.25"/>
    <n v="131.19999999999999"/>
    <x v="22"/>
    <n v="31.1"/>
    <n v="13.700000000000003"/>
    <s v="error"/>
    <n v="900720"/>
    <n v="1426660"/>
    <n v="11994360"/>
    <s v="UP"/>
    <s v="Long Buildup"/>
    <n v="31322.15"/>
  </r>
  <r>
    <x v="25"/>
    <s v="Short Buildup"/>
    <s v="UP"/>
    <n v="4535740"/>
    <n v="781600"/>
    <n v="665660"/>
    <s v="error"/>
    <n v="-195.3"/>
    <n v="70.25"/>
    <x v="23"/>
    <n v="69.7"/>
    <n v="38.75"/>
    <s v="error"/>
    <n v="420560"/>
    <n v="1071060"/>
    <n v="12753320"/>
    <s v="UP"/>
    <s v="Long Buildup"/>
    <n v="31322.15"/>
  </r>
  <r>
    <x v="25"/>
    <s v="Short Buildup"/>
    <s v="UP"/>
    <n v="10253480"/>
    <n v="1481140"/>
    <n v="1296840"/>
    <s v="error"/>
    <n v="-156.1"/>
    <n v="32.9"/>
    <x v="24"/>
    <n v="131.9"/>
    <n v="77.95"/>
    <s v="error"/>
    <n v="62340"/>
    <n v="618560"/>
    <n v="9409900"/>
    <s v="UP"/>
    <s v="Long Buildup"/>
    <n v="31322.15"/>
  </r>
  <r>
    <x v="25"/>
    <s v="Short Buildup"/>
    <s v="UP"/>
    <n v="15221500"/>
    <n v="2867000"/>
    <n v="2088460"/>
    <s v="error"/>
    <n v="-112.4"/>
    <n v="14.05"/>
    <x v="25"/>
    <n v="214.5"/>
    <n v="124.35"/>
    <s v="error"/>
    <n v="-165280"/>
    <n v="465200"/>
    <n v="5257760"/>
    <s v="DOWN"/>
    <s v="Short covering"/>
    <n v="31322.15"/>
  </r>
  <r>
    <x v="25"/>
    <s v="Short Buildup"/>
    <s v="UP"/>
    <n v="11339140"/>
    <n v="1903300"/>
    <n v="1283640"/>
    <s v="error"/>
    <n v="-72.850000000000009"/>
    <n v="5.6"/>
    <x v="26"/>
    <n v="305.2"/>
    <n v="163.1"/>
    <s v="error"/>
    <n v="9380"/>
    <n v="103620"/>
    <n v="1506180"/>
    <s v="UP"/>
    <s v="Long Buildup"/>
    <n v="31322.15"/>
  </r>
  <r>
    <x v="25"/>
    <s v="Short Buildup"/>
    <s v="UP"/>
    <n v="9251660"/>
    <n v="1365440"/>
    <n v="730180"/>
    <s v="error"/>
    <n v="-41.900000000000006"/>
    <n v="2.5499999999999998"/>
    <x v="27"/>
    <n v="400.65"/>
    <n v="191.24999999999997"/>
    <s v="error"/>
    <n v="-10720"/>
    <n v="39040"/>
    <n v="615720"/>
    <s v="DOWN"/>
    <s v="Short covering"/>
    <n v="31322.15"/>
  </r>
  <r>
    <x v="25"/>
    <s v="Short Buildup"/>
    <s v="UP"/>
    <n v="6448340"/>
    <n v="1037920"/>
    <n v="452540"/>
    <s v="error"/>
    <n v="-22.1"/>
    <n v="1.4"/>
    <x v="28"/>
    <n v="499"/>
    <n v="213.64999999999998"/>
    <s v="error"/>
    <n v="1620"/>
    <n v="16600"/>
    <n v="232200"/>
    <s v="UP"/>
    <s v="Long Buildup"/>
    <n v="31322.15"/>
  </r>
  <r>
    <x v="25"/>
    <s v="Short Buildup"/>
    <s v="UP"/>
    <n v="15875280"/>
    <n v="661580"/>
    <n v="149780"/>
    <s v="error"/>
    <n v="-10.15"/>
    <n v="0.95"/>
    <x v="29"/>
    <n v="598.54999999999995"/>
    <n v="221.84999999999997"/>
    <s v="error"/>
    <n v="1100"/>
    <n v="6640"/>
    <n v="48700"/>
    <s v="UP"/>
    <s v="Long Buildup"/>
    <n v="31322.15"/>
  </r>
  <r>
    <x v="25"/>
    <s v="Short Buildup"/>
    <s v="UP"/>
    <n v="5452680"/>
    <n v="754600"/>
    <n v="142940"/>
    <s v="error"/>
    <n v="-5.35"/>
    <n v="0.65"/>
    <x v="30"/>
    <n v="695.4"/>
    <n v="224.89999999999998"/>
    <s v="error"/>
    <n v="-1360"/>
    <n v="10760"/>
    <n v="30080"/>
    <s v="DOWN"/>
    <s v="Short covering"/>
    <n v="31322.15"/>
  </r>
  <r>
    <x v="25"/>
    <n v="0.78609508559174901"/>
    <m/>
    <m/>
    <n v="11415820"/>
    <m/>
    <m/>
    <m/>
    <m/>
    <x v="16"/>
    <m/>
    <m/>
    <m/>
    <m/>
    <n v="8973920"/>
    <m/>
    <m/>
    <m/>
    <m/>
  </r>
  <r>
    <x v="26"/>
    <s v="Long Liquidation"/>
    <s v="DOWN"/>
    <n v="15800"/>
    <n v="26100"/>
    <n v="-6120"/>
    <s v="undefined"/>
    <n v="-224.79999999999995"/>
    <n v="807"/>
    <x v="34"/>
    <n v="0.55000000000000004"/>
    <n v="-2.1500000000000004"/>
    <s v="error"/>
    <n v="-10560"/>
    <n v="403780"/>
    <n v="260440"/>
    <s v="DOWN"/>
    <s v="Long Liquidation"/>
    <n v="31324.85"/>
  </r>
  <r>
    <x v="26"/>
    <s v="Long Liquidation"/>
    <s v="DOWN"/>
    <n v="1600"/>
    <n v="3760"/>
    <n v="-780"/>
    <s v="undefined"/>
    <n v="-222.20000000000005"/>
    <n v="710.5"/>
    <x v="33"/>
    <n v="0.65"/>
    <n v="-2.35"/>
    <s v="error"/>
    <n v="12220"/>
    <n v="211460"/>
    <n v="223220"/>
    <s v="UP"/>
    <s v="Short Buildup"/>
    <n v="31324.85"/>
  </r>
  <r>
    <x v="26"/>
    <s v="Long Liquidation"/>
    <s v="DOWN"/>
    <n v="8540"/>
    <n v="10540"/>
    <n v="-1280"/>
    <s v="undefined"/>
    <n v="-224"/>
    <n v="612"/>
    <x v="17"/>
    <n v="0.85"/>
    <n v="-2.75"/>
    <s v="error"/>
    <n v="80660"/>
    <n v="270860"/>
    <n v="493220"/>
    <s v="UP"/>
    <s v="Short Buildup"/>
    <n v="31324.85"/>
  </r>
  <r>
    <x v="26"/>
    <s v="Short Buildup"/>
    <s v="UP"/>
    <n v="6420"/>
    <n v="7840"/>
    <n v="340"/>
    <s v="undefined"/>
    <n v="-231.60000000000002"/>
    <n v="504"/>
    <x v="18"/>
    <n v="1.25"/>
    <n v="-2.8499999999999996"/>
    <s v="error"/>
    <n v="72760"/>
    <n v="440160"/>
    <n v="1138520"/>
    <s v="UP"/>
    <s v="Short Buildup"/>
    <n v="31324.85"/>
  </r>
  <r>
    <x v="26"/>
    <s v="Short Buildup"/>
    <s v="UP"/>
    <n v="9840"/>
    <n v="7820"/>
    <n v="1580"/>
    <s v="undefined"/>
    <n v="-223.79999999999995"/>
    <n v="409.75"/>
    <x v="19"/>
    <n v="2.2999999999999998"/>
    <n v="-3.2"/>
    <s v="error"/>
    <n v="217680"/>
    <n v="583560"/>
    <n v="2443320"/>
    <s v="UP"/>
    <s v="Short Buildup"/>
    <n v="31324.85"/>
  </r>
  <r>
    <x v="26"/>
    <s v="Short Buildup"/>
    <s v="UP"/>
    <n v="229680"/>
    <n v="108560"/>
    <n v="20340"/>
    <s v="undefined"/>
    <n v="-233.25"/>
    <n v="311.60000000000002"/>
    <x v="20"/>
    <n v="4.75"/>
    <n v="-2.6500000000000004"/>
    <s v="error"/>
    <n v="1045180"/>
    <n v="1855780"/>
    <n v="7245060"/>
    <s v="UP"/>
    <s v="Short Buildup"/>
    <n v="31324.85"/>
  </r>
  <r>
    <x v="26"/>
    <s v="Short Buildup"/>
    <s v="UP"/>
    <n v="293340"/>
    <n v="75900"/>
    <n v="45240"/>
    <s v="undefined"/>
    <n v="-228.14999999999998"/>
    <n v="217"/>
    <x v="21"/>
    <n v="11.15"/>
    <n v="1"/>
    <s v="error"/>
    <n v="987580"/>
    <n v="1506280"/>
    <n v="9061700"/>
    <s v="UP"/>
    <s v="Long Buildup"/>
    <n v="31324.85"/>
  </r>
  <r>
    <x v="26"/>
    <s v="Short Buildup"/>
    <s v="UP"/>
    <n v="2014380"/>
    <n v="330920"/>
    <n v="199200"/>
    <s v="error"/>
    <n v="-214.29999999999998"/>
    <n v="136.15"/>
    <x v="22"/>
    <n v="29.2"/>
    <n v="11.8"/>
    <s v="error"/>
    <n v="908740"/>
    <n v="1434680"/>
    <n v="12264660"/>
    <s v="UP"/>
    <s v="Long Buildup"/>
    <n v="31324.85"/>
  </r>
  <r>
    <x v="26"/>
    <s v="Short Buildup"/>
    <s v="UP"/>
    <n v="4683460"/>
    <n v="808040"/>
    <n v="692100"/>
    <s v="error"/>
    <n v="-192.15"/>
    <n v="73.400000000000006"/>
    <x v="23"/>
    <n v="66"/>
    <n v="35.049999999999997"/>
    <s v="error"/>
    <n v="444020"/>
    <n v="1094520"/>
    <n v="12964240"/>
    <s v="UP"/>
    <s v="Long Buildup"/>
    <n v="31324.85"/>
  </r>
  <r>
    <x v="26"/>
    <s v="Short Buildup"/>
    <s v="UP"/>
    <n v="10573520"/>
    <n v="1530440"/>
    <n v="1346140"/>
    <s v="error"/>
    <n v="-155.30000000000001"/>
    <n v="33.700000000000003"/>
    <x v="24"/>
    <n v="126.5"/>
    <n v="72.55"/>
    <s v="error"/>
    <n v="64800"/>
    <n v="621020"/>
    <n v="9506620"/>
    <s v="UP"/>
    <s v="Long Buildup"/>
    <n v="31324.85"/>
  </r>
  <r>
    <x v="26"/>
    <s v="Short Buildup"/>
    <s v="UP"/>
    <n v="15510660"/>
    <n v="2898520"/>
    <n v="2119980"/>
    <s v="error"/>
    <n v="-112.15"/>
    <n v="14.3"/>
    <x v="25"/>
    <n v="207.7"/>
    <n v="117.54999999999998"/>
    <s v="error"/>
    <n v="-176600"/>
    <n v="453880"/>
    <n v="5300320"/>
    <s v="DOWN"/>
    <s v="Short covering"/>
    <n v="31324.85"/>
  </r>
  <r>
    <x v="26"/>
    <s v="Short Buildup"/>
    <s v="UP"/>
    <n v="11553780"/>
    <n v="1900200"/>
    <n v="1280540"/>
    <s v="error"/>
    <n v="-72.900000000000006"/>
    <n v="5.55"/>
    <x v="26"/>
    <n v="299.2"/>
    <n v="157.1"/>
    <s v="error"/>
    <n v="7680"/>
    <n v="101920"/>
    <n v="1517260"/>
    <s v="UP"/>
    <s v="Long Buildup"/>
    <n v="31324.85"/>
  </r>
  <r>
    <x v="26"/>
    <s v="Short Buildup"/>
    <s v="UP"/>
    <n v="9351920"/>
    <n v="1367380"/>
    <n v="732120"/>
    <s v="error"/>
    <n v="-41.800000000000004"/>
    <n v="2.65"/>
    <x v="27"/>
    <n v="394.1"/>
    <n v="184.70000000000002"/>
    <s v="error"/>
    <n v="-10920"/>
    <n v="38840"/>
    <n v="619080"/>
    <s v="DOWN"/>
    <s v="Short covering"/>
    <n v="31324.85"/>
  </r>
  <r>
    <x v="26"/>
    <s v="Short Buildup"/>
    <s v="UP"/>
    <n v="6566260"/>
    <n v="1022600"/>
    <n v="437220"/>
    <s v="error"/>
    <n v="-22.2"/>
    <n v="1.3"/>
    <x v="28"/>
    <n v="499.1"/>
    <n v="213.75"/>
    <s v="error"/>
    <n v="1900"/>
    <n v="16880"/>
    <n v="232980"/>
    <s v="UP"/>
    <s v="Long Buildup"/>
    <n v="31324.85"/>
  </r>
  <r>
    <x v="26"/>
    <s v="Short Buildup"/>
    <s v="UP"/>
    <n v="17089180"/>
    <n v="666740"/>
    <n v="154940"/>
    <s v="error"/>
    <n v="-10.199999999999999"/>
    <n v="0.9"/>
    <x v="29"/>
    <n v="603"/>
    <n v="226.3"/>
    <s v="error"/>
    <n v="1300"/>
    <n v="6840"/>
    <n v="48840"/>
    <s v="UP"/>
    <s v="Long Buildup"/>
    <n v="31324.85"/>
  </r>
  <r>
    <x v="26"/>
    <s v="Short Buildup"/>
    <s v="UP"/>
    <n v="5527480"/>
    <n v="739020"/>
    <n v="127360"/>
    <s v="error"/>
    <n v="-5.4"/>
    <n v="0.6"/>
    <x v="30"/>
    <n v="692.85"/>
    <n v="222.35000000000002"/>
    <s v="error"/>
    <n v="-1020"/>
    <n v="11100"/>
    <n v="31260"/>
    <s v="DOWN"/>
    <s v="Short covering"/>
    <n v="31324.85"/>
  </r>
  <r>
    <x v="26"/>
    <n v="0.78679250859237959"/>
    <m/>
    <m/>
    <n v="11504380"/>
    <m/>
    <m/>
    <m/>
    <m/>
    <x v="16"/>
    <m/>
    <m/>
    <m/>
    <m/>
    <n v="9051560"/>
    <m/>
    <m/>
    <m/>
    <m/>
  </r>
  <r>
    <x v="26"/>
    <s v="Long Liquidation"/>
    <s v="DOWN"/>
    <n v="15800"/>
    <n v="26100"/>
    <n v="-6120"/>
    <s v="undefined"/>
    <n v="-224.79999999999995"/>
    <n v="807"/>
    <x v="34"/>
    <n v="0.55000000000000004"/>
    <n v="-2.1500000000000004"/>
    <s v="error"/>
    <n v="-10560"/>
    <n v="403780"/>
    <n v="260440"/>
    <s v="DOWN"/>
    <s v="Long Liquidation"/>
    <n v="31324.85"/>
  </r>
  <r>
    <x v="26"/>
    <s v="Long Liquidation"/>
    <s v="DOWN"/>
    <n v="1600"/>
    <n v="3760"/>
    <n v="-780"/>
    <s v="undefined"/>
    <n v="-222.20000000000005"/>
    <n v="710.5"/>
    <x v="33"/>
    <n v="0.65"/>
    <n v="-2.35"/>
    <s v="error"/>
    <n v="12220"/>
    <n v="211460"/>
    <n v="223220"/>
    <s v="UP"/>
    <s v="Short Buildup"/>
    <n v="31324.85"/>
  </r>
  <r>
    <x v="26"/>
    <s v="Long Liquidation"/>
    <s v="DOWN"/>
    <n v="8540"/>
    <n v="10540"/>
    <n v="-1280"/>
    <s v="undefined"/>
    <n v="-224"/>
    <n v="612"/>
    <x v="17"/>
    <n v="0.85"/>
    <n v="-2.75"/>
    <s v="error"/>
    <n v="80660"/>
    <n v="270860"/>
    <n v="493220"/>
    <s v="UP"/>
    <s v="Short Buildup"/>
    <n v="31324.85"/>
  </r>
  <r>
    <x v="26"/>
    <s v="Short Buildup"/>
    <s v="UP"/>
    <n v="6420"/>
    <n v="7840"/>
    <n v="340"/>
    <s v="undefined"/>
    <n v="-231.60000000000002"/>
    <n v="504"/>
    <x v="18"/>
    <n v="1.25"/>
    <n v="-2.8499999999999996"/>
    <s v="error"/>
    <n v="72760"/>
    <n v="440160"/>
    <n v="1138520"/>
    <s v="UP"/>
    <s v="Short Buildup"/>
    <n v="31324.85"/>
  </r>
  <r>
    <x v="26"/>
    <s v="Short Buildup"/>
    <s v="UP"/>
    <n v="9840"/>
    <n v="7820"/>
    <n v="1580"/>
    <s v="undefined"/>
    <n v="-223.79999999999995"/>
    <n v="409.75"/>
    <x v="19"/>
    <n v="2.2999999999999998"/>
    <n v="-3.2"/>
    <s v="error"/>
    <n v="217680"/>
    <n v="583560"/>
    <n v="2443320"/>
    <s v="UP"/>
    <s v="Short Buildup"/>
    <n v="31324.85"/>
  </r>
  <r>
    <x v="26"/>
    <s v="Short Buildup"/>
    <s v="UP"/>
    <n v="229680"/>
    <n v="108560"/>
    <n v="20340"/>
    <s v="undefined"/>
    <n v="-233.25"/>
    <n v="311.60000000000002"/>
    <x v="20"/>
    <n v="4.75"/>
    <n v="-2.6500000000000004"/>
    <s v="error"/>
    <n v="1045180"/>
    <n v="1855780"/>
    <n v="7245060"/>
    <s v="UP"/>
    <s v="Short Buildup"/>
    <n v="31324.85"/>
  </r>
  <r>
    <x v="26"/>
    <s v="Short Buildup"/>
    <s v="UP"/>
    <n v="293340"/>
    <n v="75900"/>
    <n v="45240"/>
    <s v="undefined"/>
    <n v="-228.14999999999998"/>
    <n v="217"/>
    <x v="21"/>
    <n v="11.15"/>
    <n v="1"/>
    <s v="error"/>
    <n v="987580"/>
    <n v="1506280"/>
    <n v="9061700"/>
    <s v="UP"/>
    <s v="Long Buildup"/>
    <n v="31324.85"/>
  </r>
  <r>
    <x v="26"/>
    <s v="Short Buildup"/>
    <s v="UP"/>
    <n v="2014380"/>
    <n v="330920"/>
    <n v="199200"/>
    <s v="error"/>
    <n v="-214.29999999999998"/>
    <n v="136.15"/>
    <x v="22"/>
    <n v="29.2"/>
    <n v="11.8"/>
    <s v="error"/>
    <n v="908740"/>
    <n v="1434680"/>
    <n v="12264660"/>
    <s v="UP"/>
    <s v="Long Buildup"/>
    <n v="31324.85"/>
  </r>
  <r>
    <x v="26"/>
    <s v="Short Buildup"/>
    <s v="UP"/>
    <n v="4683460"/>
    <n v="808040"/>
    <n v="692100"/>
    <s v="error"/>
    <n v="-192.15"/>
    <n v="73.400000000000006"/>
    <x v="23"/>
    <n v="66"/>
    <n v="35.049999999999997"/>
    <s v="error"/>
    <n v="444020"/>
    <n v="1094520"/>
    <n v="12964240"/>
    <s v="UP"/>
    <s v="Long Buildup"/>
    <n v="31324.85"/>
  </r>
  <r>
    <x v="26"/>
    <s v="Short Buildup"/>
    <s v="UP"/>
    <n v="10573520"/>
    <n v="1530440"/>
    <n v="1346140"/>
    <s v="error"/>
    <n v="-155.30000000000001"/>
    <n v="33.700000000000003"/>
    <x v="24"/>
    <n v="126.5"/>
    <n v="72.55"/>
    <s v="error"/>
    <n v="64800"/>
    <n v="621020"/>
    <n v="9506620"/>
    <s v="UP"/>
    <s v="Long Buildup"/>
    <n v="31324.85"/>
  </r>
  <r>
    <x v="26"/>
    <s v="Short Buildup"/>
    <s v="UP"/>
    <n v="15510660"/>
    <n v="2898520"/>
    <n v="2119980"/>
    <s v="error"/>
    <n v="-112.15"/>
    <n v="14.3"/>
    <x v="25"/>
    <n v="207.7"/>
    <n v="117.54999999999998"/>
    <s v="error"/>
    <n v="-176600"/>
    <n v="453880"/>
    <n v="5300320"/>
    <s v="DOWN"/>
    <s v="Short covering"/>
    <n v="31324.85"/>
  </r>
  <r>
    <x v="26"/>
    <s v="Short Buildup"/>
    <s v="UP"/>
    <n v="11553780"/>
    <n v="1900200"/>
    <n v="1280540"/>
    <s v="error"/>
    <n v="-72.900000000000006"/>
    <n v="5.55"/>
    <x v="26"/>
    <n v="299.2"/>
    <n v="157.1"/>
    <s v="error"/>
    <n v="7680"/>
    <n v="101920"/>
    <n v="1517260"/>
    <s v="UP"/>
    <s v="Long Buildup"/>
    <n v="31324.85"/>
  </r>
  <r>
    <x v="26"/>
    <s v="Short Buildup"/>
    <s v="UP"/>
    <n v="9351920"/>
    <n v="1367380"/>
    <n v="732120"/>
    <s v="error"/>
    <n v="-41.800000000000004"/>
    <n v="2.65"/>
    <x v="27"/>
    <n v="394.1"/>
    <n v="184.70000000000002"/>
    <s v="error"/>
    <n v="-10920"/>
    <n v="38840"/>
    <n v="619080"/>
    <s v="DOWN"/>
    <s v="Short covering"/>
    <n v="31324.85"/>
  </r>
  <r>
    <x v="26"/>
    <s v="Short Buildup"/>
    <s v="UP"/>
    <n v="6566260"/>
    <n v="1022600"/>
    <n v="437220"/>
    <s v="error"/>
    <n v="-22.2"/>
    <n v="1.3"/>
    <x v="28"/>
    <n v="499.1"/>
    <n v="213.75"/>
    <s v="error"/>
    <n v="1900"/>
    <n v="16880"/>
    <n v="232980"/>
    <s v="UP"/>
    <s v="Long Buildup"/>
    <n v="31324.85"/>
  </r>
  <r>
    <x v="26"/>
    <s v="Short Buildup"/>
    <s v="UP"/>
    <n v="17089180"/>
    <n v="666740"/>
    <n v="154940"/>
    <s v="error"/>
    <n v="-10.199999999999999"/>
    <n v="0.9"/>
    <x v="29"/>
    <n v="603"/>
    <n v="226.3"/>
    <s v="error"/>
    <n v="1300"/>
    <n v="6840"/>
    <n v="48840"/>
    <s v="UP"/>
    <s v="Long Buildup"/>
    <n v="31324.85"/>
  </r>
  <r>
    <x v="26"/>
    <s v="Short Buildup"/>
    <s v="UP"/>
    <n v="5527480"/>
    <n v="739020"/>
    <n v="127360"/>
    <s v="error"/>
    <n v="-5.4"/>
    <n v="0.6"/>
    <x v="30"/>
    <n v="692.85"/>
    <n v="222.35000000000002"/>
    <s v="error"/>
    <n v="-1020"/>
    <n v="11100"/>
    <n v="31260"/>
    <s v="DOWN"/>
    <s v="Short covering"/>
    <n v="31324.85"/>
  </r>
  <r>
    <x v="26"/>
    <n v="0.78679250859237959"/>
    <m/>
    <m/>
    <n v="11504380"/>
    <m/>
    <m/>
    <m/>
    <m/>
    <x v="16"/>
    <m/>
    <m/>
    <m/>
    <m/>
    <n v="9051560"/>
    <m/>
    <m/>
    <m/>
    <m/>
  </r>
  <r>
    <x v="27"/>
    <s v="Long Liquidation"/>
    <s v="DOWN"/>
    <n v="16280"/>
    <n v="26100"/>
    <n v="-6120"/>
    <s v="undefined"/>
    <n v="-221.69999999999993"/>
    <n v="810.1"/>
    <x v="34"/>
    <n v="0.55000000000000004"/>
    <n v="-2.1500000000000004"/>
    <s v="error"/>
    <n v="-11400"/>
    <n v="402940"/>
    <n v="261340"/>
    <s v="DOWN"/>
    <s v="Long Liquidation"/>
    <n v="31328.05"/>
  </r>
  <r>
    <x v="27"/>
    <s v="Long Liquidation"/>
    <s v="DOWN"/>
    <n v="1600"/>
    <n v="3760"/>
    <n v="-780"/>
    <s v="undefined"/>
    <n v="-222.20000000000005"/>
    <n v="710.5"/>
    <x v="33"/>
    <n v="0.6"/>
    <n v="-2.4"/>
    <s v="error"/>
    <n v="12220"/>
    <n v="211460"/>
    <n v="224920"/>
    <s v="UP"/>
    <s v="Short Buildup"/>
    <n v="31328.05"/>
  </r>
  <r>
    <x v="27"/>
    <s v="Long Liquidation"/>
    <s v="DOWN"/>
    <n v="8540"/>
    <n v="10540"/>
    <n v="-1280"/>
    <s v="undefined"/>
    <n v="-224"/>
    <n v="612"/>
    <x v="17"/>
    <n v="0.85"/>
    <n v="-2.75"/>
    <s v="error"/>
    <n v="80660"/>
    <n v="270860"/>
    <n v="496860"/>
    <s v="UP"/>
    <s v="Short Buildup"/>
    <n v="31328.05"/>
  </r>
  <r>
    <x v="27"/>
    <s v="Short Buildup"/>
    <s v="UP"/>
    <n v="7040"/>
    <n v="7760"/>
    <n v="260"/>
    <s v="undefined"/>
    <n v="-223"/>
    <n v="512.6"/>
    <x v="18"/>
    <n v="1.25"/>
    <n v="-2.8499999999999996"/>
    <s v="error"/>
    <n v="70600"/>
    <n v="438000"/>
    <n v="1155880"/>
    <s v="UP"/>
    <s v="Short Buildup"/>
    <n v="31328.05"/>
  </r>
  <r>
    <x v="27"/>
    <s v="Short Buildup"/>
    <s v="UP"/>
    <n v="9940"/>
    <n v="7820"/>
    <n v="1580"/>
    <s v="undefined"/>
    <n v="-224.34999999999997"/>
    <n v="409.2"/>
    <x v="19"/>
    <n v="2.25"/>
    <n v="-3.25"/>
    <s v="error"/>
    <n v="223080"/>
    <n v="588960"/>
    <n v="2481240"/>
    <s v="UP"/>
    <s v="Short Buildup"/>
    <n v="31328.05"/>
  </r>
  <r>
    <x v="27"/>
    <s v="Short Buildup"/>
    <s v="UP"/>
    <n v="231820"/>
    <n v="107480"/>
    <n v="19260"/>
    <s v="undefined"/>
    <n v="-232.75"/>
    <n v="312.10000000000002"/>
    <x v="20"/>
    <n v="4.8"/>
    <n v="-2.6000000000000005"/>
    <s v="error"/>
    <n v="1042560"/>
    <n v="1853160"/>
    <n v="7437620"/>
    <s v="UP"/>
    <s v="Short Buildup"/>
    <n v="31328.05"/>
  </r>
  <r>
    <x v="27"/>
    <s v="Short Buildup"/>
    <s v="UP"/>
    <n v="308760"/>
    <n v="80700"/>
    <n v="50040"/>
    <s v="undefined"/>
    <n v="-225.7"/>
    <n v="219.45"/>
    <x v="21"/>
    <n v="11.3"/>
    <n v="1.1500000000000004"/>
    <s v="error"/>
    <n v="1023260"/>
    <n v="1541960"/>
    <n v="9287140"/>
    <s v="UP"/>
    <s v="Long Buildup"/>
    <n v="31328.05"/>
  </r>
  <r>
    <x v="27"/>
    <s v="Short Buildup"/>
    <s v="UP"/>
    <n v="2063620"/>
    <n v="340780"/>
    <n v="209060"/>
    <s v="error"/>
    <n v="-214.1"/>
    <n v="136.35"/>
    <x v="22"/>
    <n v="29.45"/>
    <n v="12.05"/>
    <s v="error"/>
    <n v="941580"/>
    <n v="1467520"/>
    <n v="12487240"/>
    <s v="UP"/>
    <s v="Long Buildup"/>
    <n v="31328.05"/>
  </r>
  <r>
    <x v="27"/>
    <s v="Short Buildup"/>
    <s v="UP"/>
    <n v="4822720"/>
    <n v="819720"/>
    <n v="703780"/>
    <s v="error"/>
    <n v="-192.20000000000002"/>
    <n v="73.349999999999994"/>
    <x v="23"/>
    <n v="66.3"/>
    <n v="35.349999999999994"/>
    <s v="error"/>
    <n v="462560"/>
    <n v="1113060"/>
    <n v="13181640"/>
    <s v="UP"/>
    <s v="Long Buildup"/>
    <n v="31328.05"/>
  </r>
  <r>
    <x v="27"/>
    <s v="Short Buildup"/>
    <s v="UP"/>
    <n v="10870780"/>
    <n v="1557360"/>
    <n v="1373060"/>
    <s v="error"/>
    <n v="-154.6"/>
    <n v="34.4"/>
    <x v="24"/>
    <n v="127.85"/>
    <n v="73.899999999999991"/>
    <s v="error"/>
    <n v="66360"/>
    <n v="622580"/>
    <n v="9600620"/>
    <s v="UP"/>
    <s v="Long Buildup"/>
    <n v="31328.05"/>
  </r>
  <r>
    <x v="27"/>
    <s v="Short Buildup"/>
    <s v="UP"/>
    <n v="15773400"/>
    <n v="2887600"/>
    <n v="2109060"/>
    <s v="error"/>
    <n v="-111.45"/>
    <n v="15"/>
    <x v="25"/>
    <n v="207.95"/>
    <n v="117.79999999999998"/>
    <s v="error"/>
    <n v="-188700"/>
    <n v="441780"/>
    <n v="5345560"/>
    <s v="DOWN"/>
    <s v="Short covering"/>
    <n v="31328.05"/>
  </r>
  <r>
    <x v="27"/>
    <s v="Short Buildup"/>
    <s v="UP"/>
    <n v="11739480"/>
    <n v="1855880"/>
    <n v="1236220"/>
    <s v="error"/>
    <n v="-72.400000000000006"/>
    <n v="6.05"/>
    <x v="26"/>
    <n v="299.7"/>
    <n v="157.6"/>
    <s v="error"/>
    <n v="10820"/>
    <n v="105060"/>
    <n v="1531360"/>
    <s v="UP"/>
    <s v="Long Buildup"/>
    <n v="31328.05"/>
  </r>
  <r>
    <x v="27"/>
    <s v="Short Buildup"/>
    <s v="UP"/>
    <n v="9460020"/>
    <n v="1372520"/>
    <n v="737260"/>
    <s v="error"/>
    <n v="-41.7"/>
    <n v="2.75"/>
    <x v="27"/>
    <n v="396"/>
    <n v="186.6"/>
    <s v="error"/>
    <n v="-10840"/>
    <n v="38920"/>
    <n v="623720"/>
    <s v="DOWN"/>
    <s v="Short covering"/>
    <n v="31328.05"/>
  </r>
  <r>
    <x v="27"/>
    <s v="Short Buildup"/>
    <s v="UP"/>
    <n v="6657400"/>
    <n v="1023980"/>
    <n v="438600"/>
    <s v="error"/>
    <n v="-22.15"/>
    <n v="1.35"/>
    <x v="28"/>
    <n v="493.35"/>
    <n v="208"/>
    <s v="error"/>
    <n v="1880"/>
    <n v="16860"/>
    <n v="233580"/>
    <s v="UP"/>
    <s v="Long Buildup"/>
    <n v="31328.05"/>
  </r>
  <r>
    <x v="27"/>
    <s v="Short Buildup"/>
    <s v="UP"/>
    <n v="19763480"/>
    <n v="628500"/>
    <n v="116700"/>
    <s v="error"/>
    <n v="-10.25"/>
    <n v="0.85"/>
    <x v="29"/>
    <n v="595.20000000000005"/>
    <n v="218.50000000000006"/>
    <s v="error"/>
    <n v="1360"/>
    <n v="6900"/>
    <n v="49020"/>
    <s v="UP"/>
    <s v="Long Buildup"/>
    <n v="31328.05"/>
  </r>
  <r>
    <x v="27"/>
    <s v="Short Buildup"/>
    <s v="UP"/>
    <n v="5542020"/>
    <n v="730800"/>
    <n v="119140"/>
    <s v="error"/>
    <n v="-5.45"/>
    <n v="0.55000000000000004"/>
    <x v="30"/>
    <n v="692.85"/>
    <n v="222.35000000000002"/>
    <s v="error"/>
    <n v="-1020"/>
    <n v="11100"/>
    <n v="31260"/>
    <s v="DOWN"/>
    <s v="Short covering"/>
    <n v="31328.05"/>
  </r>
  <r>
    <x v="27"/>
    <n v="0.79669147478907276"/>
    <m/>
    <m/>
    <n v="11461300"/>
    <m/>
    <m/>
    <m/>
    <m/>
    <x v="16"/>
    <m/>
    <m/>
    <m/>
    <m/>
    <n v="9131120"/>
    <m/>
    <m/>
    <m/>
    <m/>
  </r>
  <r>
    <x v="27"/>
    <s v="Long Liquidation"/>
    <s v="DOWN"/>
    <n v="16280"/>
    <n v="26100"/>
    <n v="-6120"/>
    <s v="undefined"/>
    <n v="-221.69999999999993"/>
    <n v="810.1"/>
    <x v="34"/>
    <n v="0.55000000000000004"/>
    <n v="-2.1500000000000004"/>
    <s v="error"/>
    <n v="-11400"/>
    <n v="402940"/>
    <n v="261340"/>
    <s v="DOWN"/>
    <s v="Long Liquidation"/>
    <n v="31328.05"/>
  </r>
  <r>
    <x v="27"/>
    <s v="Long Liquidation"/>
    <s v="DOWN"/>
    <n v="1600"/>
    <n v="3760"/>
    <n v="-780"/>
    <s v="undefined"/>
    <n v="-222.20000000000005"/>
    <n v="710.5"/>
    <x v="33"/>
    <n v="0.6"/>
    <n v="-2.4"/>
    <s v="error"/>
    <n v="12220"/>
    <n v="211460"/>
    <n v="224920"/>
    <s v="UP"/>
    <s v="Short Buildup"/>
    <n v="31328.05"/>
  </r>
  <r>
    <x v="27"/>
    <s v="Long Liquidation"/>
    <s v="DOWN"/>
    <n v="8540"/>
    <n v="10540"/>
    <n v="-1280"/>
    <s v="undefined"/>
    <n v="-224"/>
    <n v="612"/>
    <x v="17"/>
    <n v="0.85"/>
    <n v="-2.75"/>
    <s v="error"/>
    <n v="80660"/>
    <n v="270860"/>
    <n v="496860"/>
    <s v="UP"/>
    <s v="Short Buildup"/>
    <n v="31328.05"/>
  </r>
  <r>
    <x v="27"/>
    <s v="Short Buildup"/>
    <s v="UP"/>
    <n v="7040"/>
    <n v="7760"/>
    <n v="260"/>
    <s v="undefined"/>
    <n v="-223"/>
    <n v="512.6"/>
    <x v="18"/>
    <n v="1.25"/>
    <n v="-2.8499999999999996"/>
    <s v="error"/>
    <n v="70600"/>
    <n v="438000"/>
    <n v="1155880"/>
    <s v="UP"/>
    <s v="Short Buildup"/>
    <n v="31328.05"/>
  </r>
  <r>
    <x v="27"/>
    <s v="Short Buildup"/>
    <s v="UP"/>
    <n v="9940"/>
    <n v="7820"/>
    <n v="1580"/>
    <s v="undefined"/>
    <n v="-224.34999999999997"/>
    <n v="409.2"/>
    <x v="19"/>
    <n v="2.25"/>
    <n v="-3.25"/>
    <s v="error"/>
    <n v="223080"/>
    <n v="588960"/>
    <n v="2481240"/>
    <s v="UP"/>
    <s v="Short Buildup"/>
    <n v="31328.05"/>
  </r>
  <r>
    <x v="27"/>
    <s v="Short Buildup"/>
    <s v="UP"/>
    <n v="231820"/>
    <n v="107480"/>
    <n v="19260"/>
    <s v="undefined"/>
    <n v="-232.75"/>
    <n v="312.10000000000002"/>
    <x v="20"/>
    <n v="4.8"/>
    <n v="-2.6000000000000005"/>
    <s v="error"/>
    <n v="1042560"/>
    <n v="1853160"/>
    <n v="7437620"/>
    <s v="UP"/>
    <s v="Short Buildup"/>
    <n v="31328.05"/>
  </r>
  <r>
    <x v="27"/>
    <s v="Short Buildup"/>
    <s v="UP"/>
    <n v="308760"/>
    <n v="80700"/>
    <n v="50040"/>
    <s v="undefined"/>
    <n v="-225.7"/>
    <n v="219.45"/>
    <x v="21"/>
    <n v="11.3"/>
    <n v="1.1500000000000004"/>
    <s v="error"/>
    <n v="1023260"/>
    <n v="1541960"/>
    <n v="9287140"/>
    <s v="UP"/>
    <s v="Long Buildup"/>
    <n v="31328.05"/>
  </r>
  <r>
    <x v="27"/>
    <s v="Short Buildup"/>
    <s v="UP"/>
    <n v="2063620"/>
    <n v="340780"/>
    <n v="209060"/>
    <s v="error"/>
    <n v="-214.1"/>
    <n v="136.35"/>
    <x v="22"/>
    <n v="29.45"/>
    <n v="12.05"/>
    <s v="error"/>
    <n v="941580"/>
    <n v="1467520"/>
    <n v="12487240"/>
    <s v="UP"/>
    <s v="Long Buildup"/>
    <n v="31328.05"/>
  </r>
  <r>
    <x v="27"/>
    <s v="Short Buildup"/>
    <s v="UP"/>
    <n v="4822720"/>
    <n v="819720"/>
    <n v="703780"/>
    <s v="error"/>
    <n v="-192.20000000000002"/>
    <n v="73.349999999999994"/>
    <x v="23"/>
    <n v="66.3"/>
    <n v="35.349999999999994"/>
    <s v="error"/>
    <n v="462560"/>
    <n v="1113060"/>
    <n v="13181640"/>
    <s v="UP"/>
    <s v="Long Buildup"/>
    <n v="31328.05"/>
  </r>
  <r>
    <x v="27"/>
    <s v="Short Buildup"/>
    <s v="UP"/>
    <n v="10870780"/>
    <n v="1557360"/>
    <n v="1373060"/>
    <s v="error"/>
    <n v="-154.6"/>
    <n v="34.4"/>
    <x v="24"/>
    <n v="127.85"/>
    <n v="73.899999999999991"/>
    <s v="error"/>
    <n v="66360"/>
    <n v="622580"/>
    <n v="9600620"/>
    <s v="UP"/>
    <s v="Long Buildup"/>
    <n v="31328.05"/>
  </r>
  <r>
    <x v="27"/>
    <s v="Short Buildup"/>
    <s v="UP"/>
    <n v="15773400"/>
    <n v="2887600"/>
    <n v="2109060"/>
    <s v="error"/>
    <n v="-111.45"/>
    <n v="15"/>
    <x v="25"/>
    <n v="207.95"/>
    <n v="117.79999999999998"/>
    <s v="error"/>
    <n v="-188700"/>
    <n v="441780"/>
    <n v="5345560"/>
    <s v="DOWN"/>
    <s v="Short covering"/>
    <n v="31328.05"/>
  </r>
  <r>
    <x v="27"/>
    <s v="Short Buildup"/>
    <s v="UP"/>
    <n v="11739480"/>
    <n v="1855880"/>
    <n v="1236220"/>
    <s v="error"/>
    <n v="-72.400000000000006"/>
    <n v="6.05"/>
    <x v="26"/>
    <n v="299.7"/>
    <n v="157.6"/>
    <s v="error"/>
    <n v="10820"/>
    <n v="105060"/>
    <n v="1531360"/>
    <s v="UP"/>
    <s v="Long Buildup"/>
    <n v="31328.05"/>
  </r>
  <r>
    <x v="27"/>
    <s v="Short Buildup"/>
    <s v="UP"/>
    <n v="9460020"/>
    <n v="1372520"/>
    <n v="737260"/>
    <s v="error"/>
    <n v="-41.7"/>
    <n v="2.75"/>
    <x v="27"/>
    <n v="396"/>
    <n v="186.6"/>
    <s v="error"/>
    <n v="-10840"/>
    <n v="38920"/>
    <n v="623720"/>
    <s v="DOWN"/>
    <s v="Short covering"/>
    <n v="31328.05"/>
  </r>
  <r>
    <x v="27"/>
    <s v="Short Buildup"/>
    <s v="UP"/>
    <n v="6657400"/>
    <n v="1023980"/>
    <n v="438600"/>
    <s v="error"/>
    <n v="-22.15"/>
    <n v="1.35"/>
    <x v="28"/>
    <n v="493.35"/>
    <n v="208"/>
    <s v="error"/>
    <n v="1880"/>
    <n v="16860"/>
    <n v="233580"/>
    <s v="UP"/>
    <s v="Long Buildup"/>
    <n v="31328.05"/>
  </r>
  <r>
    <x v="27"/>
    <s v="Short Buildup"/>
    <s v="UP"/>
    <n v="19763480"/>
    <n v="628500"/>
    <n v="116700"/>
    <s v="error"/>
    <n v="-10.25"/>
    <n v="0.85"/>
    <x v="29"/>
    <n v="595.20000000000005"/>
    <n v="218.50000000000006"/>
    <s v="error"/>
    <n v="1360"/>
    <n v="6900"/>
    <n v="49020"/>
    <s v="UP"/>
    <s v="Long Buildup"/>
    <n v="31328.05"/>
  </r>
  <r>
    <x v="27"/>
    <s v="Short Buildup"/>
    <s v="UP"/>
    <n v="5542020"/>
    <n v="730800"/>
    <n v="119140"/>
    <s v="error"/>
    <n v="-5.45"/>
    <n v="0.55000000000000004"/>
    <x v="30"/>
    <n v="692.85"/>
    <n v="222.35000000000002"/>
    <s v="error"/>
    <n v="-1020"/>
    <n v="11100"/>
    <n v="31260"/>
    <s v="DOWN"/>
    <s v="Short covering"/>
    <n v="31328.05"/>
  </r>
  <r>
    <x v="27"/>
    <n v="0.79669147478907276"/>
    <m/>
    <m/>
    <n v="11461300"/>
    <m/>
    <m/>
    <m/>
    <m/>
    <x v="16"/>
    <m/>
    <m/>
    <m/>
    <m/>
    <n v="9131120"/>
    <m/>
    <m/>
    <m/>
    <m/>
  </r>
  <r>
    <x v="28"/>
    <s v="Long Liquidation"/>
    <s v="DOWN"/>
    <n v="16360"/>
    <n v="26100"/>
    <n v="-6120"/>
    <s v="undefined"/>
    <n v="-221.79999999999995"/>
    <n v="810"/>
    <x v="34"/>
    <n v="0.55000000000000004"/>
    <n v="-2.1500000000000004"/>
    <s v="error"/>
    <n v="-13080"/>
    <n v="401260"/>
    <n v="264640"/>
    <s v="DOWN"/>
    <s v="Long Liquidation"/>
    <n v="31330.9"/>
  </r>
  <r>
    <x v="28"/>
    <s v="Long Liquidation"/>
    <s v="DOWN"/>
    <n v="1600"/>
    <n v="3760"/>
    <n v="-780"/>
    <s v="undefined"/>
    <n v="-222.20000000000005"/>
    <n v="710.5"/>
    <x v="33"/>
    <n v="0.65"/>
    <n v="-2.35"/>
    <s v="error"/>
    <n v="11780"/>
    <n v="211020"/>
    <n v="228980"/>
    <s v="UP"/>
    <s v="Short Buildup"/>
    <n v="31330.9"/>
  </r>
  <r>
    <x v="28"/>
    <s v="Long Liquidation"/>
    <s v="DOWN"/>
    <n v="8540"/>
    <n v="10540"/>
    <n v="-1280"/>
    <s v="undefined"/>
    <n v="-224"/>
    <n v="612"/>
    <x v="17"/>
    <n v="0.75"/>
    <n v="-2.85"/>
    <s v="error"/>
    <n v="79700"/>
    <n v="269900"/>
    <n v="503300"/>
    <s v="UP"/>
    <s v="Short Buildup"/>
    <n v="31330.9"/>
  </r>
  <r>
    <x v="28"/>
    <s v="Long Liquidation"/>
    <s v="DOWN"/>
    <n v="7120"/>
    <n v="7400"/>
    <n v="-100"/>
    <s v="undefined"/>
    <n v="-224.75"/>
    <n v="510.85"/>
    <x v="18"/>
    <n v="1.1499999999999999"/>
    <n v="-2.9499999999999997"/>
    <s v="error"/>
    <n v="73040"/>
    <n v="440440"/>
    <n v="1162940"/>
    <s v="UP"/>
    <s v="Short Buildup"/>
    <n v="31330.9"/>
  </r>
  <r>
    <x v="28"/>
    <s v="Short Buildup"/>
    <s v="UP"/>
    <n v="10000"/>
    <n v="7720"/>
    <n v="1480"/>
    <s v="undefined"/>
    <n v="-224.89999999999998"/>
    <n v="408.65"/>
    <x v="19"/>
    <n v="2.2000000000000002"/>
    <n v="-3.3"/>
    <s v="error"/>
    <n v="227000"/>
    <n v="592880"/>
    <n v="2518420"/>
    <s v="UP"/>
    <s v="Short Buildup"/>
    <n v="31330.9"/>
  </r>
  <r>
    <x v="28"/>
    <s v="Short Buildup"/>
    <s v="UP"/>
    <n v="236880"/>
    <n v="105520"/>
    <n v="17300"/>
    <s v="undefined"/>
    <n v="-231.95000000000005"/>
    <n v="312.89999999999998"/>
    <x v="20"/>
    <n v="4.7"/>
    <n v="-2.7"/>
    <s v="error"/>
    <n v="1045160"/>
    <n v="1855760"/>
    <n v="7524080"/>
    <s v="UP"/>
    <s v="Short Buildup"/>
    <n v="31330.9"/>
  </r>
  <r>
    <x v="28"/>
    <s v="Short Buildup"/>
    <s v="UP"/>
    <n v="313260"/>
    <n v="80440"/>
    <n v="49780"/>
    <s v="undefined"/>
    <n v="-224.7"/>
    <n v="220.45"/>
    <x v="21"/>
    <n v="10.9"/>
    <n v="0.75"/>
    <s v="error"/>
    <n v="1039940"/>
    <n v="1558640"/>
    <n v="9421840"/>
    <s v="UP"/>
    <s v="Long Buildup"/>
    <n v="31330.9"/>
  </r>
  <r>
    <x v="28"/>
    <s v="Short Buildup"/>
    <s v="UP"/>
    <n v="2097140"/>
    <n v="344060"/>
    <n v="212340"/>
    <s v="error"/>
    <n v="-211.54999999999998"/>
    <n v="138.9"/>
    <x v="22"/>
    <n v="28.45"/>
    <n v="11.05"/>
    <s v="error"/>
    <n v="953660"/>
    <n v="1479600"/>
    <n v="12665100"/>
    <s v="UP"/>
    <s v="Long Buildup"/>
    <n v="31330.9"/>
  </r>
  <r>
    <x v="28"/>
    <s v="Short Buildup"/>
    <s v="UP"/>
    <n v="4933180"/>
    <n v="831660"/>
    <n v="715720"/>
    <s v="error"/>
    <n v="-190.4"/>
    <n v="75.150000000000006"/>
    <x v="23"/>
    <n v="64.099999999999994"/>
    <n v="33.149999999999991"/>
    <s v="error"/>
    <n v="481500"/>
    <n v="1132000"/>
    <n v="13358920"/>
    <s v="UP"/>
    <s v="Long Buildup"/>
    <n v="31330.9"/>
  </r>
  <r>
    <x v="28"/>
    <s v="Short Buildup"/>
    <s v="UP"/>
    <n v="11104600"/>
    <n v="1592340"/>
    <n v="1408040"/>
    <s v="error"/>
    <n v="-154.35"/>
    <n v="34.65"/>
    <x v="24"/>
    <n v="123.75"/>
    <n v="69.8"/>
    <s v="error"/>
    <n v="78200"/>
    <n v="634420"/>
    <n v="9678720"/>
    <s v="UP"/>
    <s v="Long Buildup"/>
    <n v="31330.9"/>
  </r>
  <r>
    <x v="28"/>
    <s v="Short Buildup"/>
    <s v="UP"/>
    <n v="15989740"/>
    <n v="2907820"/>
    <n v="2129280"/>
    <s v="error"/>
    <n v="-111.7"/>
    <n v="14.75"/>
    <x v="25"/>
    <n v="204.95"/>
    <n v="114.79999999999998"/>
    <s v="error"/>
    <n v="-194340"/>
    <n v="436140"/>
    <n v="5381880"/>
    <s v="DOWN"/>
    <s v="Short covering"/>
    <n v="31330.9"/>
  </r>
  <r>
    <x v="28"/>
    <s v="Short Buildup"/>
    <s v="UP"/>
    <n v="11897140"/>
    <n v="1881420"/>
    <n v="1261760"/>
    <s v="error"/>
    <n v="-72.600000000000009"/>
    <n v="5.85"/>
    <x v="26"/>
    <n v="296.2"/>
    <n v="154.1"/>
    <s v="error"/>
    <n v="11160"/>
    <n v="105400"/>
    <n v="1539400"/>
    <s v="UP"/>
    <s v="Long Buildup"/>
    <n v="31330.9"/>
  </r>
  <r>
    <x v="28"/>
    <s v="Short Buildup"/>
    <s v="UP"/>
    <n v="9520300"/>
    <n v="1375020"/>
    <n v="739760"/>
    <s v="error"/>
    <n v="-41.75"/>
    <n v="2.7"/>
    <x v="27"/>
    <n v="392.15"/>
    <n v="182.74999999999997"/>
    <s v="error"/>
    <n v="-10400"/>
    <n v="39360"/>
    <n v="625340"/>
    <s v="DOWN"/>
    <s v="Short covering"/>
    <n v="31330.9"/>
  </r>
  <r>
    <x v="28"/>
    <s v="Short Buildup"/>
    <s v="UP"/>
    <n v="6793460"/>
    <n v="1034220"/>
    <n v="448840"/>
    <s v="error"/>
    <n v="-22.15"/>
    <n v="1.35"/>
    <x v="28"/>
    <n v="493.75"/>
    <n v="208.39999999999998"/>
    <s v="error"/>
    <n v="1780"/>
    <n v="16760"/>
    <n v="233720"/>
    <s v="UP"/>
    <s v="Long Buildup"/>
    <n v="31330.9"/>
  </r>
  <r>
    <x v="28"/>
    <s v="Short Buildup"/>
    <s v="UP"/>
    <n v="20513120"/>
    <n v="642000"/>
    <n v="130200"/>
    <s v="error"/>
    <n v="-10.199999999999999"/>
    <n v="0.9"/>
    <x v="29"/>
    <n v="593.6"/>
    <n v="216.90000000000003"/>
    <s v="error"/>
    <n v="1280"/>
    <n v="6820"/>
    <n v="49160"/>
    <s v="UP"/>
    <s v="Long Buildup"/>
    <n v="31330.9"/>
  </r>
  <r>
    <x v="28"/>
    <s v="Short Buildup"/>
    <s v="UP"/>
    <n v="5556440"/>
    <n v="723700"/>
    <n v="112040"/>
    <s v="error"/>
    <n v="-5.4"/>
    <n v="0.6"/>
    <x v="30"/>
    <n v="695"/>
    <n v="224.5"/>
    <s v="error"/>
    <n v="-1360"/>
    <n v="10760"/>
    <n v="31820"/>
    <s v="DOWN"/>
    <s v="Short covering"/>
    <n v="31330.9"/>
  </r>
  <r>
    <x v="28"/>
    <n v="0.79414051834673727"/>
    <m/>
    <m/>
    <n v="11573720"/>
    <m/>
    <m/>
    <m/>
    <m/>
    <x v="16"/>
    <m/>
    <m/>
    <m/>
    <m/>
    <n v="9191160"/>
    <m/>
    <m/>
    <m/>
    <m/>
  </r>
  <r>
    <x v="28"/>
    <s v="Long Liquidation"/>
    <s v="DOWN"/>
    <n v="16360"/>
    <n v="26100"/>
    <n v="-6120"/>
    <s v="undefined"/>
    <n v="-221.79999999999995"/>
    <n v="810"/>
    <x v="34"/>
    <n v="0.55000000000000004"/>
    <n v="-2.1500000000000004"/>
    <s v="error"/>
    <n v="-13080"/>
    <n v="401260"/>
    <n v="264640"/>
    <s v="DOWN"/>
    <s v="Long Liquidation"/>
    <n v="31330.9"/>
  </r>
  <r>
    <x v="28"/>
    <s v="Long Liquidation"/>
    <s v="DOWN"/>
    <n v="1600"/>
    <n v="3760"/>
    <n v="-780"/>
    <s v="undefined"/>
    <n v="-222.20000000000005"/>
    <n v="710.5"/>
    <x v="33"/>
    <n v="0.65"/>
    <n v="-2.35"/>
    <s v="error"/>
    <n v="11780"/>
    <n v="211020"/>
    <n v="228980"/>
    <s v="UP"/>
    <s v="Short Buildup"/>
    <n v="31330.9"/>
  </r>
  <r>
    <x v="28"/>
    <s v="Long Liquidation"/>
    <s v="DOWN"/>
    <n v="8540"/>
    <n v="10540"/>
    <n v="-1280"/>
    <s v="undefined"/>
    <n v="-224"/>
    <n v="612"/>
    <x v="17"/>
    <n v="0.75"/>
    <n v="-2.85"/>
    <s v="error"/>
    <n v="79700"/>
    <n v="269900"/>
    <n v="503300"/>
    <s v="UP"/>
    <s v="Short Buildup"/>
    <n v="31330.9"/>
  </r>
  <r>
    <x v="28"/>
    <s v="Long Liquidation"/>
    <s v="DOWN"/>
    <n v="7120"/>
    <n v="7400"/>
    <n v="-100"/>
    <s v="undefined"/>
    <n v="-224.75"/>
    <n v="510.85"/>
    <x v="18"/>
    <n v="1.1499999999999999"/>
    <n v="-2.9499999999999997"/>
    <s v="error"/>
    <n v="73040"/>
    <n v="440440"/>
    <n v="1162940"/>
    <s v="UP"/>
    <s v="Short Buildup"/>
    <n v="31330.9"/>
  </r>
  <r>
    <x v="28"/>
    <s v="Short Buildup"/>
    <s v="UP"/>
    <n v="10000"/>
    <n v="7720"/>
    <n v="1480"/>
    <s v="undefined"/>
    <n v="-224.89999999999998"/>
    <n v="408.65"/>
    <x v="19"/>
    <n v="2.2000000000000002"/>
    <n v="-3.3"/>
    <s v="error"/>
    <n v="227000"/>
    <n v="592880"/>
    <n v="2518420"/>
    <s v="UP"/>
    <s v="Short Buildup"/>
    <n v="31330.9"/>
  </r>
  <r>
    <x v="28"/>
    <s v="Short Buildup"/>
    <s v="UP"/>
    <n v="236880"/>
    <n v="105520"/>
    <n v="17300"/>
    <s v="undefined"/>
    <n v="-231.95000000000005"/>
    <n v="312.89999999999998"/>
    <x v="20"/>
    <n v="4.7"/>
    <n v="-2.7"/>
    <s v="error"/>
    <n v="1045160"/>
    <n v="1855760"/>
    <n v="7524080"/>
    <s v="UP"/>
    <s v="Short Buildup"/>
    <n v="31330.9"/>
  </r>
  <r>
    <x v="28"/>
    <s v="Short Buildup"/>
    <s v="UP"/>
    <n v="313260"/>
    <n v="80440"/>
    <n v="49780"/>
    <s v="undefined"/>
    <n v="-224.7"/>
    <n v="220.45"/>
    <x v="21"/>
    <n v="10.9"/>
    <n v="0.75"/>
    <s v="error"/>
    <n v="1039940"/>
    <n v="1558640"/>
    <n v="9421840"/>
    <s v="UP"/>
    <s v="Long Buildup"/>
    <n v="31330.9"/>
  </r>
  <r>
    <x v="28"/>
    <s v="Short Buildup"/>
    <s v="UP"/>
    <n v="2097140"/>
    <n v="344060"/>
    <n v="212340"/>
    <s v="error"/>
    <n v="-211.54999999999998"/>
    <n v="138.9"/>
    <x v="22"/>
    <n v="28.45"/>
    <n v="11.05"/>
    <s v="error"/>
    <n v="953660"/>
    <n v="1479600"/>
    <n v="12665100"/>
    <s v="UP"/>
    <s v="Long Buildup"/>
    <n v="31330.9"/>
  </r>
  <r>
    <x v="28"/>
    <s v="Short Buildup"/>
    <s v="UP"/>
    <n v="4933180"/>
    <n v="831660"/>
    <n v="715720"/>
    <s v="error"/>
    <n v="-190.4"/>
    <n v="75.150000000000006"/>
    <x v="23"/>
    <n v="64.099999999999994"/>
    <n v="33.149999999999991"/>
    <s v="error"/>
    <n v="481500"/>
    <n v="1132000"/>
    <n v="13358920"/>
    <s v="UP"/>
    <s v="Long Buildup"/>
    <n v="31330.9"/>
  </r>
  <r>
    <x v="28"/>
    <s v="Short Buildup"/>
    <s v="UP"/>
    <n v="11104600"/>
    <n v="1592340"/>
    <n v="1408040"/>
    <s v="error"/>
    <n v="-154.35"/>
    <n v="34.65"/>
    <x v="24"/>
    <n v="123.75"/>
    <n v="69.8"/>
    <s v="error"/>
    <n v="78200"/>
    <n v="634420"/>
    <n v="9678720"/>
    <s v="UP"/>
    <s v="Long Buildup"/>
    <n v="31330.9"/>
  </r>
  <r>
    <x v="28"/>
    <s v="Short Buildup"/>
    <s v="UP"/>
    <n v="15989740"/>
    <n v="2907820"/>
    <n v="2129280"/>
    <s v="error"/>
    <n v="-111.7"/>
    <n v="14.75"/>
    <x v="25"/>
    <n v="204.95"/>
    <n v="114.79999999999998"/>
    <s v="error"/>
    <n v="-194340"/>
    <n v="436140"/>
    <n v="5381880"/>
    <s v="DOWN"/>
    <s v="Short covering"/>
    <n v="31330.9"/>
  </r>
  <r>
    <x v="28"/>
    <s v="Short Buildup"/>
    <s v="UP"/>
    <n v="11897140"/>
    <n v="1881420"/>
    <n v="1261760"/>
    <s v="error"/>
    <n v="-72.600000000000009"/>
    <n v="5.85"/>
    <x v="26"/>
    <n v="296.2"/>
    <n v="154.1"/>
    <s v="error"/>
    <n v="11160"/>
    <n v="105400"/>
    <n v="1539400"/>
    <s v="UP"/>
    <s v="Long Buildup"/>
    <n v="31330.9"/>
  </r>
  <r>
    <x v="28"/>
    <s v="Short Buildup"/>
    <s v="UP"/>
    <n v="9520300"/>
    <n v="1375020"/>
    <n v="739760"/>
    <s v="error"/>
    <n v="-41.75"/>
    <n v="2.7"/>
    <x v="27"/>
    <n v="392.15"/>
    <n v="182.74999999999997"/>
    <s v="error"/>
    <n v="-10400"/>
    <n v="39360"/>
    <n v="625340"/>
    <s v="DOWN"/>
    <s v="Short covering"/>
    <n v="31330.9"/>
  </r>
  <r>
    <x v="28"/>
    <s v="Short Buildup"/>
    <s v="UP"/>
    <n v="6793460"/>
    <n v="1034220"/>
    <n v="448840"/>
    <s v="error"/>
    <n v="-22.15"/>
    <n v="1.35"/>
    <x v="28"/>
    <n v="493.75"/>
    <n v="208.39999999999998"/>
    <s v="error"/>
    <n v="1780"/>
    <n v="16760"/>
    <n v="233720"/>
    <s v="UP"/>
    <s v="Long Buildup"/>
    <n v="31330.9"/>
  </r>
  <r>
    <x v="28"/>
    <s v="Short Buildup"/>
    <s v="UP"/>
    <n v="20513120"/>
    <n v="642000"/>
    <n v="130200"/>
    <s v="error"/>
    <n v="-10.199999999999999"/>
    <n v="0.9"/>
    <x v="29"/>
    <n v="593.6"/>
    <n v="216.90000000000003"/>
    <s v="error"/>
    <n v="1280"/>
    <n v="6820"/>
    <n v="49160"/>
    <s v="UP"/>
    <s v="Long Buildup"/>
    <n v="31330.9"/>
  </r>
  <r>
    <x v="28"/>
    <s v="Short Buildup"/>
    <s v="UP"/>
    <n v="5556440"/>
    <n v="723700"/>
    <n v="112040"/>
    <s v="error"/>
    <n v="-5.4"/>
    <n v="0.6"/>
    <x v="30"/>
    <n v="695"/>
    <n v="224.5"/>
    <s v="error"/>
    <n v="-1360"/>
    <n v="10760"/>
    <n v="31820"/>
    <s v="DOWN"/>
    <s v="Short covering"/>
    <n v="31330.9"/>
  </r>
  <r>
    <x v="28"/>
    <n v="0.79414051834673727"/>
    <m/>
    <m/>
    <n v="11573720"/>
    <m/>
    <m/>
    <m/>
    <m/>
    <x v="16"/>
    <m/>
    <m/>
    <m/>
    <m/>
    <n v="9191160"/>
    <m/>
    <m/>
    <m/>
    <m/>
  </r>
  <r>
    <x v="29"/>
    <s v="Long Liquidation"/>
    <s v="DOWN"/>
    <n v="16780"/>
    <n v="26000"/>
    <n v="-6220"/>
    <s v="undefined"/>
    <n v="-221.94999999999993"/>
    <n v="809.85"/>
    <x v="34"/>
    <n v="0.55000000000000004"/>
    <n v="-2.1500000000000004"/>
    <s v="error"/>
    <n v="-12740"/>
    <n v="401600"/>
    <n v="265660"/>
    <s v="DOWN"/>
    <s v="Long Liquidation"/>
    <n v="31328.15"/>
  </r>
  <r>
    <x v="29"/>
    <s v="Long Liquidation"/>
    <s v="DOWN"/>
    <n v="1920"/>
    <n v="3620"/>
    <n v="-920"/>
    <s v="undefined"/>
    <n v="-221.70000000000005"/>
    <n v="711"/>
    <x v="33"/>
    <n v="0.7"/>
    <n v="-2.2999999999999998"/>
    <s v="error"/>
    <n v="11780"/>
    <n v="211020"/>
    <n v="232900"/>
    <s v="UP"/>
    <s v="Short Buildup"/>
    <n v="31328.15"/>
  </r>
  <r>
    <x v="29"/>
    <s v="Long Liquidation"/>
    <s v="DOWN"/>
    <n v="8560"/>
    <n v="10440"/>
    <n v="-1380"/>
    <s v="undefined"/>
    <n v="-228"/>
    <n v="608"/>
    <x v="17"/>
    <n v="0.8"/>
    <n v="-2.8"/>
    <s v="error"/>
    <n v="75640"/>
    <n v="265840"/>
    <n v="509940"/>
    <s v="UP"/>
    <s v="Short Buildup"/>
    <n v="31328.15"/>
  </r>
  <r>
    <x v="29"/>
    <s v="Long Liquidation"/>
    <s v="DOWN"/>
    <n v="7120"/>
    <n v="7400"/>
    <n v="-100"/>
    <s v="undefined"/>
    <n v="-224.75"/>
    <n v="510.85"/>
    <x v="18"/>
    <n v="1.2"/>
    <n v="-2.8999999999999995"/>
    <s v="error"/>
    <n v="70060"/>
    <n v="437460"/>
    <n v="1182260"/>
    <s v="UP"/>
    <s v="Short Buildup"/>
    <n v="31328.15"/>
  </r>
  <r>
    <x v="29"/>
    <s v="Short Buildup"/>
    <s v="UP"/>
    <n v="10180"/>
    <n v="7720"/>
    <n v="1480"/>
    <s v="undefined"/>
    <n v="-220.64999999999998"/>
    <n v="412.9"/>
    <x v="19"/>
    <n v="2.15"/>
    <n v="-3.35"/>
    <s v="error"/>
    <n v="229080"/>
    <n v="594960"/>
    <n v="2579040"/>
    <s v="UP"/>
    <s v="Short Buildup"/>
    <n v="31328.15"/>
  </r>
  <r>
    <x v="29"/>
    <s v="Short Buildup"/>
    <s v="UP"/>
    <n v="237900"/>
    <n v="105220"/>
    <n v="17000"/>
    <s v="undefined"/>
    <n v="-232.95000000000005"/>
    <n v="311.89999999999998"/>
    <x v="20"/>
    <n v="4.5999999999999996"/>
    <n v="-2.8000000000000007"/>
    <s v="error"/>
    <n v="1035700"/>
    <n v="1846300"/>
    <n v="7653900"/>
    <s v="UP"/>
    <s v="Short Buildup"/>
    <n v="31328.15"/>
  </r>
  <r>
    <x v="29"/>
    <s v="Short Buildup"/>
    <s v="UP"/>
    <n v="318040"/>
    <n v="81000"/>
    <n v="50340"/>
    <s v="undefined"/>
    <n v="-225.45"/>
    <n v="219.7"/>
    <x v="21"/>
    <n v="10.85"/>
    <n v="0.69999999999999929"/>
    <s v="error"/>
    <n v="1044580"/>
    <n v="1563280"/>
    <n v="9562280"/>
    <s v="UP"/>
    <s v="Long Buildup"/>
    <n v="31328.15"/>
  </r>
  <r>
    <x v="29"/>
    <s v="Short Buildup"/>
    <s v="UP"/>
    <n v="2131760"/>
    <n v="338820"/>
    <n v="207100"/>
    <s v="error"/>
    <n v="-213.29999999999998"/>
    <n v="137.15"/>
    <x v="22"/>
    <n v="28.5"/>
    <n v="11.100000000000001"/>
    <s v="error"/>
    <n v="974280"/>
    <n v="1500220"/>
    <n v="12856340"/>
    <s v="UP"/>
    <s v="Long Buildup"/>
    <n v="31328.15"/>
  </r>
  <r>
    <x v="29"/>
    <s v="Short Buildup"/>
    <s v="UP"/>
    <n v="5040800"/>
    <n v="835400"/>
    <n v="719460"/>
    <s v="error"/>
    <n v="-191.65"/>
    <n v="73.900000000000006"/>
    <x v="23"/>
    <n v="65.05"/>
    <n v="34.099999999999994"/>
    <s v="error"/>
    <n v="494360"/>
    <n v="1144860"/>
    <n v="13536760"/>
    <s v="UP"/>
    <s v="Long Buildup"/>
    <n v="31328.15"/>
  </r>
  <r>
    <x v="29"/>
    <s v="Short Buildup"/>
    <s v="UP"/>
    <n v="11306280"/>
    <n v="1603160"/>
    <n v="1418860"/>
    <s v="error"/>
    <n v="-154.75"/>
    <n v="34.25"/>
    <x v="24"/>
    <n v="126"/>
    <n v="72.05"/>
    <s v="error"/>
    <n v="78500"/>
    <n v="634720"/>
    <n v="9740500"/>
    <s v="UP"/>
    <s v="Long Buildup"/>
    <n v="31328.15"/>
  </r>
  <r>
    <x v="29"/>
    <s v="Short Buildup"/>
    <s v="UP"/>
    <n v="16151200"/>
    <n v="2921600"/>
    <n v="2143060"/>
    <s v="error"/>
    <n v="-111.8"/>
    <n v="14.65"/>
    <x v="25"/>
    <n v="207.25"/>
    <n v="117.1"/>
    <s v="error"/>
    <n v="-194760"/>
    <n v="435720"/>
    <n v="5417960"/>
    <s v="DOWN"/>
    <s v="Short covering"/>
    <n v="31328.15"/>
  </r>
  <r>
    <x v="29"/>
    <s v="Short Buildup"/>
    <s v="UP"/>
    <n v="11990860"/>
    <n v="1864820"/>
    <n v="1245160"/>
    <s v="error"/>
    <n v="-72.650000000000006"/>
    <n v="5.8"/>
    <x v="26"/>
    <n v="297.85000000000002"/>
    <n v="155.75000000000003"/>
    <s v="error"/>
    <n v="9680"/>
    <n v="103920"/>
    <n v="1543220"/>
    <s v="UP"/>
    <s v="Long Buildup"/>
    <n v="31328.15"/>
  </r>
  <r>
    <x v="29"/>
    <s v="Short Buildup"/>
    <s v="UP"/>
    <n v="9581380"/>
    <n v="1366860"/>
    <n v="731600"/>
    <s v="error"/>
    <n v="-41.800000000000004"/>
    <n v="2.65"/>
    <x v="27"/>
    <n v="394.55"/>
    <n v="185.15"/>
    <s v="error"/>
    <n v="-6840"/>
    <n v="42920"/>
    <n v="628280"/>
    <s v="DOWN"/>
    <s v="Short covering"/>
    <n v="31328.15"/>
  </r>
  <r>
    <x v="29"/>
    <s v="Short Buildup"/>
    <s v="UP"/>
    <n v="6911340"/>
    <n v="1040280"/>
    <n v="454900"/>
    <s v="error"/>
    <n v="-22.15"/>
    <n v="1.35"/>
    <x v="28"/>
    <n v="495.4"/>
    <n v="210.04999999999995"/>
    <s v="error"/>
    <n v="1780"/>
    <n v="16760"/>
    <n v="234520"/>
    <s v="UP"/>
    <s v="Long Buildup"/>
    <n v="31328.15"/>
  </r>
  <r>
    <x v="29"/>
    <s v="Short Buildup"/>
    <s v="UP"/>
    <n v="21305040"/>
    <n v="658660"/>
    <n v="146860"/>
    <s v="error"/>
    <n v="-10.199999999999999"/>
    <n v="0.9"/>
    <x v="29"/>
    <n v="595"/>
    <n v="218.3"/>
    <s v="error"/>
    <n v="1600"/>
    <n v="7140"/>
    <n v="49480"/>
    <s v="UP"/>
    <s v="Long Buildup"/>
    <n v="31328.15"/>
  </r>
  <r>
    <x v="29"/>
    <s v="Short Buildup"/>
    <s v="UP"/>
    <n v="5564460"/>
    <n v="720220"/>
    <n v="108560"/>
    <s v="error"/>
    <n v="-5.45"/>
    <n v="0.55000000000000004"/>
    <x v="30"/>
    <n v="695.5"/>
    <n v="225"/>
    <s v="error"/>
    <n v="-2060"/>
    <n v="10060"/>
    <n v="31940"/>
    <s v="DOWN"/>
    <s v="Short covering"/>
    <n v="31328.15"/>
  </r>
  <r>
    <x v="29"/>
    <n v="0.79515184769161484"/>
    <m/>
    <m/>
    <n v="11591220"/>
    <m/>
    <m/>
    <m/>
    <m/>
    <x v="16"/>
    <m/>
    <m/>
    <m/>
    <m/>
    <n v="9216780"/>
    <m/>
    <m/>
    <m/>
    <m/>
  </r>
  <r>
    <x v="29"/>
    <s v="Long Liquidation"/>
    <s v="DOWN"/>
    <n v="16780"/>
    <n v="26000"/>
    <n v="-6220"/>
    <s v="undefined"/>
    <n v="-221.94999999999993"/>
    <n v="809.85"/>
    <x v="34"/>
    <n v="0.55000000000000004"/>
    <n v="-2.1500000000000004"/>
    <s v="error"/>
    <n v="-12740"/>
    <n v="401600"/>
    <n v="265660"/>
    <s v="DOWN"/>
    <s v="Long Liquidation"/>
    <n v="31328.15"/>
  </r>
  <r>
    <x v="29"/>
    <s v="Long Liquidation"/>
    <s v="DOWN"/>
    <n v="1920"/>
    <n v="3620"/>
    <n v="-920"/>
    <s v="undefined"/>
    <n v="-221.70000000000005"/>
    <n v="711"/>
    <x v="33"/>
    <n v="0.7"/>
    <n v="-2.2999999999999998"/>
    <s v="error"/>
    <n v="11780"/>
    <n v="211020"/>
    <n v="232900"/>
    <s v="UP"/>
    <s v="Short Buildup"/>
    <n v="31328.15"/>
  </r>
  <r>
    <x v="29"/>
    <s v="Long Liquidation"/>
    <s v="DOWN"/>
    <n v="8560"/>
    <n v="10440"/>
    <n v="-1380"/>
    <s v="undefined"/>
    <n v="-228"/>
    <n v="608"/>
    <x v="17"/>
    <n v="0.8"/>
    <n v="-2.8"/>
    <s v="error"/>
    <n v="75640"/>
    <n v="265840"/>
    <n v="509940"/>
    <s v="UP"/>
    <s v="Short Buildup"/>
    <n v="31328.15"/>
  </r>
  <r>
    <x v="29"/>
    <s v="Long Liquidation"/>
    <s v="DOWN"/>
    <n v="7120"/>
    <n v="7400"/>
    <n v="-100"/>
    <s v="undefined"/>
    <n v="-224.75"/>
    <n v="510.85"/>
    <x v="18"/>
    <n v="1.2"/>
    <n v="-2.8999999999999995"/>
    <s v="error"/>
    <n v="70060"/>
    <n v="437460"/>
    <n v="1182260"/>
    <s v="UP"/>
    <s v="Short Buildup"/>
    <n v="31328.15"/>
  </r>
  <r>
    <x v="29"/>
    <s v="Short Buildup"/>
    <s v="UP"/>
    <n v="10180"/>
    <n v="7720"/>
    <n v="1480"/>
    <s v="undefined"/>
    <n v="-220.64999999999998"/>
    <n v="412.9"/>
    <x v="19"/>
    <n v="2.15"/>
    <n v="-3.35"/>
    <s v="error"/>
    <n v="229080"/>
    <n v="594960"/>
    <n v="2579040"/>
    <s v="UP"/>
    <s v="Short Buildup"/>
    <n v="31328.15"/>
  </r>
  <r>
    <x v="29"/>
    <s v="Short Buildup"/>
    <s v="UP"/>
    <n v="237900"/>
    <n v="105220"/>
    <n v="17000"/>
    <s v="undefined"/>
    <n v="-232.95000000000005"/>
    <n v="311.89999999999998"/>
    <x v="20"/>
    <n v="4.5999999999999996"/>
    <n v="-2.8000000000000007"/>
    <s v="error"/>
    <n v="1035700"/>
    <n v="1846300"/>
    <n v="7653900"/>
    <s v="UP"/>
    <s v="Short Buildup"/>
    <n v="31328.15"/>
  </r>
  <r>
    <x v="29"/>
    <s v="Short Buildup"/>
    <s v="UP"/>
    <n v="318040"/>
    <n v="81000"/>
    <n v="50340"/>
    <s v="undefined"/>
    <n v="-225.45"/>
    <n v="219.7"/>
    <x v="21"/>
    <n v="10.85"/>
    <n v="0.69999999999999929"/>
    <s v="error"/>
    <n v="1044580"/>
    <n v="1563280"/>
    <n v="9562280"/>
    <s v="UP"/>
    <s v="Long Buildup"/>
    <n v="31328.15"/>
  </r>
  <r>
    <x v="29"/>
    <s v="Short Buildup"/>
    <s v="UP"/>
    <n v="2131760"/>
    <n v="338820"/>
    <n v="207100"/>
    <s v="error"/>
    <n v="-213.29999999999998"/>
    <n v="137.15"/>
    <x v="22"/>
    <n v="28.5"/>
    <n v="11.100000000000001"/>
    <s v="error"/>
    <n v="974280"/>
    <n v="1500220"/>
    <n v="12856340"/>
    <s v="UP"/>
    <s v="Long Buildup"/>
    <n v="31328.15"/>
  </r>
  <r>
    <x v="29"/>
    <s v="Short Buildup"/>
    <s v="UP"/>
    <n v="5040800"/>
    <n v="835400"/>
    <n v="719460"/>
    <s v="error"/>
    <n v="-191.65"/>
    <n v="73.900000000000006"/>
    <x v="23"/>
    <n v="65.05"/>
    <n v="34.099999999999994"/>
    <s v="error"/>
    <n v="494360"/>
    <n v="1144860"/>
    <n v="13536760"/>
    <s v="UP"/>
    <s v="Long Buildup"/>
    <n v="31328.15"/>
  </r>
  <r>
    <x v="29"/>
    <s v="Short Buildup"/>
    <s v="UP"/>
    <n v="11306280"/>
    <n v="1603160"/>
    <n v="1418860"/>
    <s v="error"/>
    <n v="-154.75"/>
    <n v="34.25"/>
    <x v="24"/>
    <n v="126"/>
    <n v="72.05"/>
    <s v="error"/>
    <n v="78500"/>
    <n v="634720"/>
    <n v="9740500"/>
    <s v="UP"/>
    <s v="Long Buildup"/>
    <n v="31328.15"/>
  </r>
  <r>
    <x v="29"/>
    <s v="Short Buildup"/>
    <s v="UP"/>
    <n v="16151200"/>
    <n v="2921600"/>
    <n v="2143060"/>
    <s v="error"/>
    <n v="-111.8"/>
    <n v="14.65"/>
    <x v="25"/>
    <n v="207.25"/>
    <n v="117.1"/>
    <s v="error"/>
    <n v="-194760"/>
    <n v="435720"/>
    <n v="5417960"/>
    <s v="DOWN"/>
    <s v="Short covering"/>
    <n v="31328.15"/>
  </r>
  <r>
    <x v="29"/>
    <s v="Short Buildup"/>
    <s v="UP"/>
    <n v="11990860"/>
    <n v="1864820"/>
    <n v="1245160"/>
    <s v="error"/>
    <n v="-72.650000000000006"/>
    <n v="5.8"/>
    <x v="26"/>
    <n v="297.85000000000002"/>
    <n v="155.75000000000003"/>
    <s v="error"/>
    <n v="9680"/>
    <n v="103920"/>
    <n v="1543220"/>
    <s v="UP"/>
    <s v="Long Buildup"/>
    <n v="31328.15"/>
  </r>
  <r>
    <x v="29"/>
    <s v="Short Buildup"/>
    <s v="UP"/>
    <n v="9581380"/>
    <n v="1366860"/>
    <n v="731600"/>
    <s v="error"/>
    <n v="-41.800000000000004"/>
    <n v="2.65"/>
    <x v="27"/>
    <n v="394.55"/>
    <n v="185.15"/>
    <s v="error"/>
    <n v="-6840"/>
    <n v="42920"/>
    <n v="628280"/>
    <s v="DOWN"/>
    <s v="Short covering"/>
    <n v="31328.15"/>
  </r>
  <r>
    <x v="29"/>
    <s v="Short Buildup"/>
    <s v="UP"/>
    <n v="6911340"/>
    <n v="1040280"/>
    <n v="454900"/>
    <s v="error"/>
    <n v="-22.15"/>
    <n v="1.35"/>
    <x v="28"/>
    <n v="495.4"/>
    <n v="210.04999999999995"/>
    <s v="error"/>
    <n v="1780"/>
    <n v="16760"/>
    <n v="234520"/>
    <s v="UP"/>
    <s v="Long Buildup"/>
    <n v="31328.15"/>
  </r>
  <r>
    <x v="29"/>
    <s v="Short Buildup"/>
    <s v="UP"/>
    <n v="21305040"/>
    <n v="658660"/>
    <n v="146860"/>
    <s v="error"/>
    <n v="-10.199999999999999"/>
    <n v="0.9"/>
    <x v="29"/>
    <n v="595"/>
    <n v="218.3"/>
    <s v="error"/>
    <n v="1600"/>
    <n v="7140"/>
    <n v="49480"/>
    <s v="UP"/>
    <s v="Long Buildup"/>
    <n v="31328.15"/>
  </r>
  <r>
    <x v="29"/>
    <s v="Short Buildup"/>
    <s v="UP"/>
    <n v="5564460"/>
    <n v="720220"/>
    <n v="108560"/>
    <s v="error"/>
    <n v="-5.45"/>
    <n v="0.55000000000000004"/>
    <x v="30"/>
    <n v="695.5"/>
    <n v="225"/>
    <s v="error"/>
    <n v="-2060"/>
    <n v="10060"/>
    <n v="31940"/>
    <s v="DOWN"/>
    <s v="Short covering"/>
    <n v="31328.15"/>
  </r>
  <r>
    <x v="29"/>
    <n v="0.79515184769161484"/>
    <m/>
    <m/>
    <n v="11591220"/>
    <m/>
    <m/>
    <m/>
    <m/>
    <x v="16"/>
    <m/>
    <m/>
    <m/>
    <m/>
    <n v="9216780"/>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r>
    <x v="30"/>
    <m/>
    <m/>
    <m/>
    <m/>
    <m/>
    <m/>
    <m/>
    <m/>
    <x v="35"/>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8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customListSort="0">
  <location ref="A3:C36" firstHeaderRow="1" firstDataRow="2" firstDataCol="1" rowPageCount="1" colPageCount="1"/>
  <pivotFields count="19">
    <pivotField axis="axisRow" showAll="0" defaultSubtotal="0">
      <items count="301">
        <item m="1" x="95"/>
        <item x="15"/>
        <item x="16"/>
        <item x="17"/>
        <item x="18"/>
        <item m="1" x="213"/>
        <item m="1" x="90"/>
        <item m="1" x="229"/>
        <item m="1" x="226"/>
        <item m="1" x="102"/>
        <item m="1" x="251"/>
        <item m="1" x="244"/>
        <item m="1" x="118"/>
        <item x="26"/>
        <item m="1" x="275"/>
        <item x="27"/>
        <item x="28"/>
        <item x="29"/>
        <item m="1" x="235"/>
        <item m="1" x="230"/>
        <item m="1" x="106"/>
        <item m="1" x="256"/>
        <item m="1" x="127"/>
        <item m="1" x="159"/>
        <item m="1" x="35"/>
        <item m="1" x="261"/>
        <item m="1" x="178"/>
        <item m="1" x="133"/>
        <item m="1" x="173"/>
        <item m="1" x="128"/>
        <item m="1" x="50"/>
        <item m="1" x="282"/>
        <item m="1" x="152"/>
        <item m="1" x="148"/>
        <item m="1" x="298"/>
        <item m="1" x="269"/>
        <item m="1" x="141"/>
        <item m="1" x="134"/>
        <item m="1" x="287"/>
        <item m="1" x="155"/>
        <item m="1" x="31"/>
        <item m="1" x="300"/>
        <item m="1" x="169"/>
        <item m="1" x="45"/>
        <item m="1" x="75"/>
        <item m="1" x="211"/>
        <item m="1" x="87"/>
        <item m="1" x="46"/>
        <item m="1" x="188"/>
        <item m="1" x="68"/>
        <item m="1" x="62"/>
        <item m="1" x="200"/>
        <item m="1" x="78"/>
        <item m="1" x="216"/>
        <item m="1" x="214"/>
        <item m="1" x="91"/>
        <item m="1" x="231"/>
        <item m="1" x="227"/>
        <item m="1" x="104"/>
        <item m="1" x="209"/>
        <item m="1" x="205"/>
        <item m="1" x="81"/>
        <item m="1" x="220"/>
        <item m="1" x="254"/>
        <item m="1" x="125"/>
        <item m="1" x="279"/>
        <item m="1" x="149"/>
        <item m="1" x="146"/>
        <item m="1" x="296"/>
        <item m="1" x="165"/>
        <item m="1" x="160"/>
        <item m="1" x="263"/>
        <item m="1" x="136"/>
        <item m="1" x="129"/>
        <item m="1" x="284"/>
        <item m="1" x="153"/>
        <item m="1" x="150"/>
        <item m="1" x="299"/>
        <item m="1" x="168"/>
        <item m="1" x="43"/>
        <item m="1" x="42"/>
        <item m="1" x="182"/>
        <item m="1" x="59"/>
        <item m="1" x="44"/>
        <item m="1" x="185"/>
        <item m="1" x="64"/>
        <item m="1" x="60"/>
        <item m="1" x="198"/>
        <item m="1" x="77"/>
        <item m="1" x="76"/>
        <item m="1" x="212"/>
        <item m="1" x="88"/>
        <item m="1" x="228"/>
        <item m="1" x="225"/>
        <item m="1" x="101"/>
        <item m="1" x="207"/>
        <item m="1" x="202"/>
        <item m="1" x="80"/>
        <item m="1" x="218"/>
        <item m="1" x="215"/>
        <item m="1" x="92"/>
        <item m="1" x="232"/>
        <item m="1" x="273"/>
        <item m="1" x="143"/>
        <item m="1" x="293"/>
        <item m="1" x="161"/>
        <item m="1" x="157"/>
        <item m="1" x="259"/>
        <item m="1" x="131"/>
        <item m="1" x="126"/>
        <item m="1" x="281"/>
        <item m="1" x="151"/>
        <item m="1" x="147"/>
        <item m="1" x="297"/>
        <item m="1" x="166"/>
        <item m="1" x="162"/>
        <item m="1" x="39"/>
        <item m="1" x="138"/>
        <item m="1" x="66"/>
        <item m="1" x="249"/>
        <item m="1" x="172"/>
        <item m="1" x="89"/>
        <item m="1" x="294"/>
        <item m="1" x="203"/>
        <item m="1" x="122"/>
        <item m="1" x="54"/>
        <item m="1" x="234"/>
        <item m="1" x="163"/>
        <item m="1" x="132"/>
        <item x="30"/>
        <item m="1" x="167"/>
        <item m="1" x="266"/>
        <item m="1" x="139"/>
        <item m="1" x="290"/>
        <item m="1" x="286"/>
        <item m="1" x="154"/>
        <item m="1" x="255"/>
        <item m="1" x="250"/>
        <item m="1" x="123"/>
        <item m="1" x="277"/>
        <item m="1" x="274"/>
        <item m="1" x="144"/>
        <item m="1" x="295"/>
        <item m="1" x="239"/>
        <item m="1" x="112"/>
        <item m="1" x="267"/>
        <item m="1" x="260"/>
        <item m="1" x="268"/>
        <item m="1" x="140"/>
        <item m="1" x="291"/>
        <item m="1" x="158"/>
        <item m="1" x="192"/>
        <item m="1" x="187"/>
        <item m="1" x="67"/>
        <item m="1" x="204"/>
        <item m="1" x="164"/>
        <item m="1" x="40"/>
        <item m="1" x="181"/>
        <item m="1" x="58"/>
        <item m="1" x="55"/>
        <item m="1" x="195"/>
        <item m="1" x="74"/>
        <item m="1" x="71"/>
        <item m="1" x="208"/>
        <item m="1" x="84"/>
        <item m="1" x="107"/>
        <item m="1" x="257"/>
        <item m="1" x="85"/>
        <item m="1" x="223"/>
        <item m="1" x="99"/>
        <item m="1" x="245"/>
        <item m="1" x="240"/>
        <item m="1" x="114"/>
        <item m="1" x="270"/>
        <item m="1" x="262"/>
        <item m="1" x="135"/>
        <item m="1" x="288"/>
        <item m="1" x="283"/>
        <item m="1" x="253"/>
        <item m="1" x="246"/>
        <item m="1" x="120"/>
        <item m="1" x="276"/>
        <item m="1" x="145"/>
        <item m="1" x="170"/>
        <item m="1" x="47"/>
        <item m="1" x="189"/>
        <item m="1" x="184"/>
        <item m="1" x="63"/>
        <item m="1" x="201"/>
        <item m="1" x="37"/>
        <item m="1" x="180"/>
        <item m="1" x="175"/>
        <item m="1" x="52"/>
        <item m="1" x="194"/>
        <item m="1" x="73"/>
        <item m="1" x="69"/>
        <item m="1" x="206"/>
        <item m="1" x="82"/>
        <item m="1" x="79"/>
        <item m="1" x="217"/>
        <item m="1" x="83"/>
        <item m="1" x="222"/>
        <item m="1" x="97"/>
        <item m="1" x="93"/>
        <item m="1" x="237"/>
        <item m="1" x="111"/>
        <item m="1" x="264"/>
        <item m="1" x="258"/>
        <item m="1" x="130"/>
        <item m="1" x="285"/>
        <item m="1" x="280"/>
        <item m="1" x="248"/>
        <item m="1" x="242"/>
        <item m="1" x="117"/>
        <item m="1" x="272"/>
        <item m="1" x="265"/>
        <item m="1" x="137"/>
        <item m="1" x="289"/>
        <item m="1" x="156"/>
        <item m="1" x="183"/>
        <item m="1" x="61"/>
        <item m="1" x="199"/>
        <item m="1" x="34"/>
        <item m="1" x="177"/>
        <item m="1" x="171"/>
        <item m="1" x="49"/>
        <item m="1" x="191"/>
        <item m="1" x="186"/>
        <item m="1" x="65"/>
        <item x="0"/>
        <item x="1"/>
        <item x="2"/>
        <item x="3"/>
        <item x="4"/>
        <item x="5"/>
        <item x="6"/>
        <item m="1" x="105"/>
        <item x="9"/>
        <item x="10"/>
        <item x="11"/>
        <item x="12"/>
        <item x="13"/>
        <item x="14"/>
        <item x="21"/>
        <item x="22"/>
        <item x="23"/>
        <item x="24"/>
        <item x="25"/>
        <item m="1" x="210"/>
        <item m="1" x="236"/>
        <item m="1" x="109"/>
        <item m="1" x="119"/>
        <item m="1" x="113"/>
        <item m="1" x="103"/>
        <item m="1" x="252"/>
        <item m="1" x="124"/>
        <item m="1" x="278"/>
        <item m="1" x="32"/>
        <item m="1" x="174"/>
        <item m="1" x="51"/>
        <item m="1" x="41"/>
        <item m="1" x="36"/>
        <item m="1" x="179"/>
        <item m="1" x="56"/>
        <item m="1" x="196"/>
        <item m="1" x="193"/>
        <item m="1" x="72"/>
        <item m="1" x="86"/>
        <item m="1" x="224"/>
        <item m="1" x="221"/>
        <item m="1" x="96"/>
        <item m="1" x="241"/>
        <item m="1" x="115"/>
        <item m="1" x="110"/>
        <item m="1" x="100"/>
        <item m="1" x="247"/>
        <item m="1" x="121"/>
        <item m="1" x="116"/>
        <item m="1" x="271"/>
        <item m="1" x="142"/>
        <item m="1" x="292"/>
        <item m="1" x="38"/>
        <item m="1" x="33"/>
        <item m="1" x="176"/>
        <item m="1" x="53"/>
        <item m="1" x="48"/>
        <item m="1" x="190"/>
        <item m="1" x="70"/>
        <item m="1" x="57"/>
        <item m="1" x="197"/>
        <item m="1" x="219"/>
        <item m="1" x="94"/>
        <item m="1" x="238"/>
        <item m="1" x="233"/>
        <item m="1" x="108"/>
        <item m="1" x="98"/>
        <item m="1" x="243"/>
        <item x="7"/>
        <item x="8"/>
        <item x="19"/>
        <item x="20"/>
      </items>
    </pivotField>
    <pivotField showAll="0"/>
    <pivotField showAll="0"/>
    <pivotField showAll="0"/>
    <pivotField showAll="0"/>
    <pivotField dataField="1" showAll="0"/>
    <pivotField showAll="0"/>
    <pivotField showAll="0"/>
    <pivotField dataField="1" showAll="0"/>
    <pivotField axis="axisPage" showAll="0">
      <items count="41">
        <item m="1" x="36"/>
        <item m="1" x="37"/>
        <item x="34"/>
        <item x="33"/>
        <item x="17"/>
        <item x="18"/>
        <item x="19"/>
        <item x="20"/>
        <item x="21"/>
        <item x="22"/>
        <item x="23"/>
        <item x="24"/>
        <item x="25"/>
        <item x="26"/>
        <item x="27"/>
        <item x="28"/>
        <item x="29"/>
        <item x="30"/>
        <item x="35"/>
        <item m="1" x="39"/>
        <item x="0"/>
        <item x="1"/>
        <item x="2"/>
        <item x="3"/>
        <item x="4"/>
        <item x="5"/>
        <item x="6"/>
        <item x="7"/>
        <item x="8"/>
        <item x="9"/>
        <item x="10"/>
        <item x="11"/>
        <item x="12"/>
        <item x="13"/>
        <item x="14"/>
        <item x="15"/>
        <item x="31"/>
        <item x="32"/>
        <item m="1" x="38"/>
        <item x="16"/>
        <item t="default"/>
      </items>
    </pivotField>
    <pivotField showAll="0"/>
    <pivotField showAll="0"/>
    <pivotField showAll="0"/>
    <pivotField showAll="0"/>
    <pivotField showAll="0"/>
    <pivotField showAll="0"/>
    <pivotField showAll="0"/>
    <pivotField showAll="0"/>
    <pivotField showAll="0"/>
  </pivotFields>
  <rowFields count="1">
    <field x="0"/>
  </rowFields>
  <rowItems count="32">
    <i>
      <x v="1"/>
    </i>
    <i>
      <x v="2"/>
    </i>
    <i>
      <x v="3"/>
    </i>
    <i>
      <x v="4"/>
    </i>
    <i>
      <x v="13"/>
    </i>
    <i>
      <x v="15"/>
    </i>
    <i>
      <x v="16"/>
    </i>
    <i>
      <x v="17"/>
    </i>
    <i>
      <x v="129"/>
    </i>
    <i>
      <x v="229"/>
    </i>
    <i>
      <x v="230"/>
    </i>
    <i>
      <x v="231"/>
    </i>
    <i>
      <x v="232"/>
    </i>
    <i>
      <x v="233"/>
    </i>
    <i>
      <x v="234"/>
    </i>
    <i>
      <x v="235"/>
    </i>
    <i>
      <x v="237"/>
    </i>
    <i>
      <x v="238"/>
    </i>
    <i>
      <x v="239"/>
    </i>
    <i>
      <x v="240"/>
    </i>
    <i>
      <x v="241"/>
    </i>
    <i>
      <x v="242"/>
    </i>
    <i>
      <x v="243"/>
    </i>
    <i>
      <x v="244"/>
    </i>
    <i>
      <x v="245"/>
    </i>
    <i>
      <x v="246"/>
    </i>
    <i>
      <x v="247"/>
    </i>
    <i>
      <x v="297"/>
    </i>
    <i>
      <x v="298"/>
    </i>
    <i>
      <x v="299"/>
    </i>
    <i>
      <x v="300"/>
    </i>
    <i t="grand">
      <x/>
    </i>
  </rowItems>
  <colFields count="1">
    <field x="-2"/>
  </colFields>
  <colItems count="2">
    <i>
      <x/>
    </i>
    <i i="1">
      <x v="1"/>
    </i>
  </colItems>
  <pageFields count="1">
    <pageField fld="9" hier="-1"/>
  </pageFields>
  <dataFields count="2">
    <dataField name=" Call change in OI" fld="5" subtotal="max" baseField="0" baseItem="0"/>
    <dataField name=" Call LTP" fld="8" subtotal="max"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48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C36" firstHeaderRow="1" firstDataRow="2" firstDataCol="1" rowPageCount="1" colPageCount="1"/>
  <pivotFields count="19">
    <pivotField axis="axisRow" showAll="0">
      <items count="302">
        <item m="1" x="95"/>
        <item x="15"/>
        <item x="16"/>
        <item x="17"/>
        <item x="18"/>
        <item m="1" x="213"/>
        <item m="1" x="90"/>
        <item m="1" x="229"/>
        <item m="1" x="226"/>
        <item m="1" x="102"/>
        <item m="1" x="251"/>
        <item m="1" x="244"/>
        <item m="1" x="118"/>
        <item x="26"/>
        <item m="1" x="275"/>
        <item x="27"/>
        <item x="28"/>
        <item x="29"/>
        <item m="1" x="235"/>
        <item m="1" x="230"/>
        <item m="1" x="106"/>
        <item m="1" x="256"/>
        <item m="1" x="127"/>
        <item m="1" x="159"/>
        <item m="1" x="35"/>
        <item m="1" x="261"/>
        <item m="1" x="178"/>
        <item m="1" x="133"/>
        <item m="1" x="173"/>
        <item m="1" x="128"/>
        <item m="1" x="50"/>
        <item m="1" x="282"/>
        <item m="1" x="152"/>
        <item m="1" x="148"/>
        <item m="1" x="298"/>
        <item m="1" x="269"/>
        <item m="1" x="141"/>
        <item m="1" x="134"/>
        <item m="1" x="287"/>
        <item m="1" x="155"/>
        <item m="1" x="31"/>
        <item m="1" x="300"/>
        <item m="1" x="169"/>
        <item m="1" x="45"/>
        <item m="1" x="75"/>
        <item m="1" x="211"/>
        <item m="1" x="87"/>
        <item m="1" x="46"/>
        <item m="1" x="188"/>
        <item m="1" x="68"/>
        <item m="1" x="62"/>
        <item m="1" x="200"/>
        <item m="1" x="78"/>
        <item m="1" x="216"/>
        <item m="1" x="214"/>
        <item m="1" x="91"/>
        <item m="1" x="231"/>
        <item m="1" x="227"/>
        <item m="1" x="104"/>
        <item m="1" x="209"/>
        <item m="1" x="205"/>
        <item m="1" x="81"/>
        <item m="1" x="220"/>
        <item m="1" x="254"/>
        <item m="1" x="125"/>
        <item m="1" x="279"/>
        <item m="1" x="149"/>
        <item m="1" x="146"/>
        <item m="1" x="296"/>
        <item m="1" x="165"/>
        <item m="1" x="160"/>
        <item m="1" x="263"/>
        <item m="1" x="136"/>
        <item m="1" x="129"/>
        <item m="1" x="284"/>
        <item m="1" x="153"/>
        <item m="1" x="150"/>
        <item m="1" x="299"/>
        <item m="1" x="168"/>
        <item m="1" x="43"/>
        <item m="1" x="42"/>
        <item m="1" x="182"/>
        <item m="1" x="59"/>
        <item m="1" x="44"/>
        <item m="1" x="185"/>
        <item m="1" x="64"/>
        <item m="1" x="60"/>
        <item m="1" x="198"/>
        <item m="1" x="77"/>
        <item m="1" x="76"/>
        <item m="1" x="212"/>
        <item m="1" x="88"/>
        <item m="1" x="228"/>
        <item m="1" x="225"/>
        <item m="1" x="101"/>
        <item m="1" x="207"/>
        <item m="1" x="202"/>
        <item m="1" x="80"/>
        <item m="1" x="218"/>
        <item m="1" x="215"/>
        <item m="1" x="92"/>
        <item m="1" x="232"/>
        <item m="1" x="273"/>
        <item m="1" x="143"/>
        <item m="1" x="293"/>
        <item m="1" x="161"/>
        <item m="1" x="157"/>
        <item m="1" x="259"/>
        <item m="1" x="131"/>
        <item m="1" x="126"/>
        <item m="1" x="281"/>
        <item m="1" x="151"/>
        <item m="1" x="147"/>
        <item m="1" x="297"/>
        <item m="1" x="166"/>
        <item m="1" x="162"/>
        <item m="1" x="39"/>
        <item m="1" x="138"/>
        <item m="1" x="66"/>
        <item m="1" x="249"/>
        <item m="1" x="172"/>
        <item m="1" x="89"/>
        <item m="1" x="294"/>
        <item m="1" x="203"/>
        <item m="1" x="122"/>
        <item m="1" x="54"/>
        <item m="1" x="234"/>
        <item m="1" x="163"/>
        <item m="1" x="132"/>
        <item x="30"/>
        <item m="1" x="167"/>
        <item m="1" x="266"/>
        <item m="1" x="139"/>
        <item m="1" x="290"/>
        <item m="1" x="286"/>
        <item m="1" x="154"/>
        <item m="1" x="255"/>
        <item m="1" x="250"/>
        <item m="1" x="123"/>
        <item m="1" x="277"/>
        <item m="1" x="274"/>
        <item m="1" x="144"/>
        <item m="1" x="295"/>
        <item m="1" x="239"/>
        <item m="1" x="112"/>
        <item m="1" x="267"/>
        <item m="1" x="260"/>
        <item m="1" x="268"/>
        <item m="1" x="140"/>
        <item m="1" x="291"/>
        <item m="1" x="158"/>
        <item m="1" x="192"/>
        <item m="1" x="187"/>
        <item m="1" x="67"/>
        <item m="1" x="204"/>
        <item m="1" x="164"/>
        <item m="1" x="40"/>
        <item m="1" x="181"/>
        <item m="1" x="58"/>
        <item m="1" x="55"/>
        <item m="1" x="195"/>
        <item m="1" x="74"/>
        <item m="1" x="71"/>
        <item m="1" x="208"/>
        <item m="1" x="84"/>
        <item m="1" x="107"/>
        <item m="1" x="257"/>
        <item m="1" x="85"/>
        <item m="1" x="223"/>
        <item m="1" x="99"/>
        <item m="1" x="245"/>
        <item m="1" x="240"/>
        <item m="1" x="114"/>
        <item m="1" x="270"/>
        <item m="1" x="262"/>
        <item m="1" x="135"/>
        <item m="1" x="288"/>
        <item m="1" x="283"/>
        <item m="1" x="253"/>
        <item m="1" x="246"/>
        <item m="1" x="120"/>
        <item m="1" x="276"/>
        <item m="1" x="145"/>
        <item m="1" x="170"/>
        <item m="1" x="47"/>
        <item m="1" x="189"/>
        <item m="1" x="184"/>
        <item m="1" x="63"/>
        <item m="1" x="201"/>
        <item m="1" x="37"/>
        <item m="1" x="180"/>
        <item m="1" x="175"/>
        <item m="1" x="52"/>
        <item m="1" x="194"/>
        <item m="1" x="73"/>
        <item m="1" x="69"/>
        <item m="1" x="206"/>
        <item m="1" x="82"/>
        <item m="1" x="79"/>
        <item m="1" x="217"/>
        <item m="1" x="83"/>
        <item m="1" x="222"/>
        <item m="1" x="97"/>
        <item m="1" x="93"/>
        <item m="1" x="237"/>
        <item m="1" x="111"/>
        <item m="1" x="264"/>
        <item m="1" x="258"/>
        <item m="1" x="130"/>
        <item m="1" x="285"/>
        <item m="1" x="280"/>
        <item m="1" x="248"/>
        <item m="1" x="242"/>
        <item m="1" x="117"/>
        <item m="1" x="272"/>
        <item m="1" x="265"/>
        <item m="1" x="137"/>
        <item m="1" x="289"/>
        <item m="1" x="156"/>
        <item m="1" x="183"/>
        <item m="1" x="61"/>
        <item m="1" x="199"/>
        <item m="1" x="34"/>
        <item m="1" x="177"/>
        <item m="1" x="171"/>
        <item m="1" x="49"/>
        <item m="1" x="191"/>
        <item m="1" x="186"/>
        <item m="1" x="65"/>
        <item x="0"/>
        <item x="1"/>
        <item x="2"/>
        <item x="3"/>
        <item x="4"/>
        <item x="5"/>
        <item x="6"/>
        <item m="1" x="105"/>
        <item x="9"/>
        <item x="10"/>
        <item x="11"/>
        <item x="12"/>
        <item x="13"/>
        <item x="14"/>
        <item x="21"/>
        <item x="22"/>
        <item x="23"/>
        <item x="24"/>
        <item x="25"/>
        <item m="1" x="210"/>
        <item m="1" x="236"/>
        <item m="1" x="109"/>
        <item m="1" x="119"/>
        <item m="1" x="113"/>
        <item m="1" x="103"/>
        <item m="1" x="252"/>
        <item m="1" x="124"/>
        <item m="1" x="278"/>
        <item m="1" x="32"/>
        <item m="1" x="174"/>
        <item m="1" x="51"/>
        <item m="1" x="41"/>
        <item m="1" x="36"/>
        <item m="1" x="179"/>
        <item m="1" x="56"/>
        <item m="1" x="196"/>
        <item m="1" x="193"/>
        <item m="1" x="72"/>
        <item m="1" x="86"/>
        <item m="1" x="224"/>
        <item m="1" x="221"/>
        <item m="1" x="96"/>
        <item m="1" x="241"/>
        <item m="1" x="115"/>
        <item m="1" x="110"/>
        <item m="1" x="100"/>
        <item m="1" x="247"/>
        <item m="1" x="121"/>
        <item m="1" x="116"/>
        <item m="1" x="271"/>
        <item m="1" x="142"/>
        <item m="1" x="292"/>
        <item m="1" x="38"/>
        <item m="1" x="33"/>
        <item m="1" x="176"/>
        <item m="1" x="53"/>
        <item m="1" x="48"/>
        <item m="1" x="190"/>
        <item m="1" x="70"/>
        <item m="1" x="57"/>
        <item m="1" x="197"/>
        <item m="1" x="219"/>
        <item m="1" x="94"/>
        <item m="1" x="238"/>
        <item m="1" x="233"/>
        <item m="1" x="108"/>
        <item m="1" x="98"/>
        <item m="1" x="243"/>
        <item x="7"/>
        <item x="8"/>
        <item x="19"/>
        <item x="20"/>
        <item t="default"/>
      </items>
    </pivotField>
    <pivotField showAll="0"/>
    <pivotField showAll="0"/>
    <pivotField showAll="0"/>
    <pivotField showAll="0"/>
    <pivotField showAll="0"/>
    <pivotField showAll="0"/>
    <pivotField showAll="0"/>
    <pivotField showAll="0"/>
    <pivotField axis="axisPage" showAll="0">
      <items count="41">
        <item m="1" x="36"/>
        <item m="1" x="37"/>
        <item x="34"/>
        <item x="33"/>
        <item x="17"/>
        <item x="18"/>
        <item x="19"/>
        <item x="20"/>
        <item x="21"/>
        <item x="22"/>
        <item x="23"/>
        <item x="24"/>
        <item x="25"/>
        <item x="26"/>
        <item x="27"/>
        <item x="28"/>
        <item x="29"/>
        <item x="30"/>
        <item x="35"/>
        <item m="1" x="39"/>
        <item x="0"/>
        <item x="1"/>
        <item x="2"/>
        <item x="3"/>
        <item x="4"/>
        <item x="5"/>
        <item x="6"/>
        <item x="7"/>
        <item x="8"/>
        <item x="9"/>
        <item x="10"/>
        <item x="11"/>
        <item x="12"/>
        <item x="13"/>
        <item x="14"/>
        <item x="15"/>
        <item x="31"/>
        <item x="32"/>
        <item m="1" x="38"/>
        <item x="16"/>
        <item t="default"/>
      </items>
    </pivotField>
    <pivotField dataField="1" showAll="0"/>
    <pivotField showAll="0"/>
    <pivotField showAll="0"/>
    <pivotField dataField="1" showAll="0"/>
    <pivotField showAll="0"/>
    <pivotField showAll="0"/>
    <pivotField showAll="0"/>
    <pivotField showAll="0"/>
    <pivotField showAll="0"/>
  </pivotFields>
  <rowFields count="1">
    <field x="0"/>
  </rowFields>
  <rowItems count="32">
    <i>
      <x v="1"/>
    </i>
    <i>
      <x v="2"/>
    </i>
    <i>
      <x v="3"/>
    </i>
    <i>
      <x v="4"/>
    </i>
    <i>
      <x v="13"/>
    </i>
    <i>
      <x v="15"/>
    </i>
    <i>
      <x v="16"/>
    </i>
    <i>
      <x v="17"/>
    </i>
    <i>
      <x v="129"/>
    </i>
    <i>
      <x v="229"/>
    </i>
    <i>
      <x v="230"/>
    </i>
    <i>
      <x v="231"/>
    </i>
    <i>
      <x v="232"/>
    </i>
    <i>
      <x v="233"/>
    </i>
    <i>
      <x v="234"/>
    </i>
    <i>
      <x v="235"/>
    </i>
    <i>
      <x v="237"/>
    </i>
    <i>
      <x v="238"/>
    </i>
    <i>
      <x v="239"/>
    </i>
    <i>
      <x v="240"/>
    </i>
    <i>
      <x v="241"/>
    </i>
    <i>
      <x v="242"/>
    </i>
    <i>
      <x v="243"/>
    </i>
    <i>
      <x v="244"/>
    </i>
    <i>
      <x v="245"/>
    </i>
    <i>
      <x v="246"/>
    </i>
    <i>
      <x v="247"/>
    </i>
    <i>
      <x v="297"/>
    </i>
    <i>
      <x v="298"/>
    </i>
    <i>
      <x v="299"/>
    </i>
    <i>
      <x v="300"/>
    </i>
    <i t="grand">
      <x/>
    </i>
  </rowItems>
  <colFields count="1">
    <field x="-2"/>
  </colFields>
  <colItems count="2">
    <i>
      <x/>
    </i>
    <i i="1">
      <x v="1"/>
    </i>
  </colItems>
  <pageFields count="1">
    <pageField fld="9" hier="-1"/>
  </pageFields>
  <dataFields count="2">
    <dataField name=" Put Change in OI" fld="13" subtotal="max" baseField="0" baseItem="0"/>
    <dataField name=" Put LTP" fld="10" subtotal="max"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3" cacheId="48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C36" firstHeaderRow="1" firstDataRow="2" firstDataCol="1" rowPageCount="1" colPageCount="1"/>
  <pivotFields count="19">
    <pivotField axis="axisRow" showAll="0">
      <items count="302">
        <item m="1" x="95"/>
        <item x="15"/>
        <item x="16"/>
        <item x="17"/>
        <item x="18"/>
        <item m="1" x="213"/>
        <item m="1" x="90"/>
        <item m="1" x="229"/>
        <item m="1" x="226"/>
        <item m="1" x="102"/>
        <item m="1" x="251"/>
        <item m="1" x="244"/>
        <item m="1" x="118"/>
        <item x="26"/>
        <item m="1" x="275"/>
        <item x="27"/>
        <item x="28"/>
        <item x="29"/>
        <item m="1" x="235"/>
        <item m="1" x="230"/>
        <item m="1" x="106"/>
        <item m="1" x="256"/>
        <item m="1" x="127"/>
        <item m="1" x="159"/>
        <item m="1" x="35"/>
        <item m="1" x="261"/>
        <item m="1" x="178"/>
        <item m="1" x="133"/>
        <item m="1" x="173"/>
        <item m="1" x="128"/>
        <item m="1" x="50"/>
        <item m="1" x="282"/>
        <item m="1" x="152"/>
        <item m="1" x="148"/>
        <item m="1" x="298"/>
        <item m="1" x="269"/>
        <item m="1" x="141"/>
        <item m="1" x="134"/>
        <item m="1" x="287"/>
        <item m="1" x="155"/>
        <item m="1" x="31"/>
        <item m="1" x="300"/>
        <item m="1" x="169"/>
        <item m="1" x="45"/>
        <item m="1" x="75"/>
        <item m="1" x="211"/>
        <item m="1" x="87"/>
        <item m="1" x="46"/>
        <item m="1" x="188"/>
        <item m="1" x="68"/>
        <item m="1" x="62"/>
        <item m="1" x="200"/>
        <item m="1" x="78"/>
        <item m="1" x="216"/>
        <item m="1" x="214"/>
        <item m="1" x="91"/>
        <item m="1" x="231"/>
        <item m="1" x="227"/>
        <item m="1" x="104"/>
        <item m="1" x="209"/>
        <item m="1" x="205"/>
        <item m="1" x="81"/>
        <item m="1" x="220"/>
        <item m="1" x="254"/>
        <item m="1" x="125"/>
        <item m="1" x="279"/>
        <item m="1" x="149"/>
        <item m="1" x="146"/>
        <item m="1" x="296"/>
        <item m="1" x="165"/>
        <item m="1" x="160"/>
        <item m="1" x="263"/>
        <item m="1" x="136"/>
        <item m="1" x="129"/>
        <item m="1" x="284"/>
        <item m="1" x="153"/>
        <item m="1" x="150"/>
        <item m="1" x="299"/>
        <item m="1" x="168"/>
        <item m="1" x="43"/>
        <item m="1" x="42"/>
        <item m="1" x="182"/>
        <item m="1" x="59"/>
        <item m="1" x="44"/>
        <item m="1" x="185"/>
        <item m="1" x="64"/>
        <item m="1" x="60"/>
        <item m="1" x="198"/>
        <item m="1" x="77"/>
        <item m="1" x="76"/>
        <item m="1" x="212"/>
        <item m="1" x="88"/>
        <item m="1" x="228"/>
        <item m="1" x="225"/>
        <item m="1" x="101"/>
        <item m="1" x="207"/>
        <item m="1" x="202"/>
        <item m="1" x="80"/>
        <item m="1" x="218"/>
        <item m="1" x="215"/>
        <item m="1" x="92"/>
        <item m="1" x="232"/>
        <item m="1" x="273"/>
        <item m="1" x="143"/>
        <item m="1" x="293"/>
        <item m="1" x="161"/>
        <item m="1" x="157"/>
        <item m="1" x="259"/>
        <item m="1" x="131"/>
        <item m="1" x="126"/>
        <item m="1" x="281"/>
        <item m="1" x="151"/>
        <item m="1" x="147"/>
        <item m="1" x="297"/>
        <item m="1" x="166"/>
        <item m="1" x="162"/>
        <item m="1" x="39"/>
        <item m="1" x="138"/>
        <item m="1" x="66"/>
        <item m="1" x="249"/>
        <item m="1" x="172"/>
        <item m="1" x="89"/>
        <item m="1" x="294"/>
        <item m="1" x="203"/>
        <item m="1" x="122"/>
        <item m="1" x="54"/>
        <item m="1" x="234"/>
        <item m="1" x="163"/>
        <item m="1" x="132"/>
        <item x="30"/>
        <item m="1" x="167"/>
        <item m="1" x="266"/>
        <item m="1" x="139"/>
        <item m="1" x="290"/>
        <item m="1" x="286"/>
        <item m="1" x="154"/>
        <item m="1" x="255"/>
        <item m="1" x="250"/>
        <item m="1" x="123"/>
        <item m="1" x="277"/>
        <item m="1" x="274"/>
        <item m="1" x="144"/>
        <item m="1" x="295"/>
        <item m="1" x="239"/>
        <item m="1" x="112"/>
        <item m="1" x="267"/>
        <item m="1" x="260"/>
        <item m="1" x="268"/>
        <item m="1" x="140"/>
        <item m="1" x="291"/>
        <item m="1" x="158"/>
        <item m="1" x="192"/>
        <item m="1" x="187"/>
        <item m="1" x="67"/>
        <item m="1" x="204"/>
        <item m="1" x="164"/>
        <item m="1" x="40"/>
        <item m="1" x="181"/>
        <item m="1" x="58"/>
        <item m="1" x="55"/>
        <item m="1" x="195"/>
        <item m="1" x="74"/>
        <item m="1" x="71"/>
        <item m="1" x="208"/>
        <item m="1" x="84"/>
        <item m="1" x="107"/>
        <item m="1" x="257"/>
        <item m="1" x="85"/>
        <item m="1" x="223"/>
        <item m="1" x="99"/>
        <item m="1" x="245"/>
        <item m="1" x="240"/>
        <item m="1" x="114"/>
        <item m="1" x="270"/>
        <item m="1" x="262"/>
        <item m="1" x="135"/>
        <item m="1" x="288"/>
        <item m="1" x="283"/>
        <item m="1" x="253"/>
        <item m="1" x="246"/>
        <item m="1" x="120"/>
        <item m="1" x="276"/>
        <item m="1" x="145"/>
        <item m="1" x="170"/>
        <item m="1" x="47"/>
        <item m="1" x="189"/>
        <item m="1" x="184"/>
        <item m="1" x="63"/>
        <item m="1" x="201"/>
        <item m="1" x="37"/>
        <item m="1" x="180"/>
        <item m="1" x="175"/>
        <item m="1" x="52"/>
        <item m="1" x="194"/>
        <item m="1" x="73"/>
        <item m="1" x="69"/>
        <item m="1" x="206"/>
        <item m="1" x="82"/>
        <item m="1" x="79"/>
        <item m="1" x="217"/>
        <item m="1" x="83"/>
        <item m="1" x="222"/>
        <item m="1" x="97"/>
        <item m="1" x="93"/>
        <item m="1" x="237"/>
        <item m="1" x="111"/>
        <item m="1" x="264"/>
        <item m="1" x="258"/>
        <item m="1" x="130"/>
        <item m="1" x="285"/>
        <item m="1" x="280"/>
        <item m="1" x="248"/>
        <item m="1" x="242"/>
        <item m="1" x="117"/>
        <item m="1" x="272"/>
        <item m="1" x="265"/>
        <item m="1" x="137"/>
        <item m="1" x="289"/>
        <item m="1" x="156"/>
        <item m="1" x="183"/>
        <item m="1" x="61"/>
        <item m="1" x="199"/>
        <item m="1" x="34"/>
        <item m="1" x="177"/>
        <item m="1" x="171"/>
        <item m="1" x="49"/>
        <item m="1" x="191"/>
        <item m="1" x="186"/>
        <item m="1" x="65"/>
        <item x="0"/>
        <item x="1"/>
        <item x="2"/>
        <item x="3"/>
        <item x="4"/>
        <item x="5"/>
        <item x="6"/>
        <item m="1" x="105"/>
        <item x="9"/>
        <item x="10"/>
        <item x="11"/>
        <item x="12"/>
        <item x="13"/>
        <item x="14"/>
        <item x="21"/>
        <item x="22"/>
        <item x="23"/>
        <item x="24"/>
        <item x="25"/>
        <item m="1" x="210"/>
        <item m="1" x="236"/>
        <item m="1" x="109"/>
        <item m="1" x="119"/>
        <item m="1" x="113"/>
        <item m="1" x="103"/>
        <item m="1" x="252"/>
        <item m="1" x="124"/>
        <item m="1" x="278"/>
        <item m="1" x="32"/>
        <item m="1" x="174"/>
        <item m="1" x="51"/>
        <item m="1" x="41"/>
        <item m="1" x="36"/>
        <item m="1" x="179"/>
        <item m="1" x="56"/>
        <item m="1" x="196"/>
        <item m="1" x="193"/>
        <item m="1" x="72"/>
        <item m="1" x="86"/>
        <item m="1" x="224"/>
        <item m="1" x="221"/>
        <item m="1" x="96"/>
        <item m="1" x="241"/>
        <item m="1" x="115"/>
        <item m="1" x="110"/>
        <item m="1" x="100"/>
        <item m="1" x="247"/>
        <item m="1" x="121"/>
        <item m="1" x="116"/>
        <item m="1" x="271"/>
        <item m="1" x="142"/>
        <item m="1" x="292"/>
        <item m="1" x="38"/>
        <item m="1" x="33"/>
        <item m="1" x="176"/>
        <item m="1" x="53"/>
        <item m="1" x="48"/>
        <item m="1" x="190"/>
        <item m="1" x="70"/>
        <item m="1" x="57"/>
        <item m="1" x="197"/>
        <item m="1" x="219"/>
        <item m="1" x="94"/>
        <item m="1" x="238"/>
        <item m="1" x="233"/>
        <item m="1" x="108"/>
        <item m="1" x="98"/>
        <item m="1" x="243"/>
        <item x="7"/>
        <item x="8"/>
        <item x="19"/>
        <item x="20"/>
        <item t="default"/>
      </items>
    </pivotField>
    <pivotField showAll="0"/>
    <pivotField showAll="0"/>
    <pivotField showAll="0"/>
    <pivotField showAll="0"/>
    <pivotField showAll="0"/>
    <pivotField dataField="1" showAll="0"/>
    <pivotField showAll="0"/>
    <pivotField showAll="0"/>
    <pivotField axis="axisPage" showAll="0">
      <items count="41">
        <item m="1" x="36"/>
        <item m="1" x="37"/>
        <item x="34"/>
        <item x="33"/>
        <item x="17"/>
        <item x="18"/>
        <item x="19"/>
        <item x="20"/>
        <item x="21"/>
        <item x="22"/>
        <item x="23"/>
        <item x="24"/>
        <item x="25"/>
        <item x="26"/>
        <item x="27"/>
        <item x="28"/>
        <item x="29"/>
        <item x="30"/>
        <item x="35"/>
        <item m="1" x="39"/>
        <item x="0"/>
        <item x="1"/>
        <item x="2"/>
        <item x="3"/>
        <item x="4"/>
        <item x="5"/>
        <item x="6"/>
        <item x="7"/>
        <item x="8"/>
        <item x="9"/>
        <item x="10"/>
        <item x="11"/>
        <item x="12"/>
        <item x="13"/>
        <item x="14"/>
        <item x="15"/>
        <item x="31"/>
        <item x="32"/>
        <item m="1" x="38"/>
        <item x="16"/>
        <item t="default"/>
      </items>
    </pivotField>
    <pivotField showAll="0"/>
    <pivotField showAll="0"/>
    <pivotField dataField="1" showAll="0"/>
    <pivotField showAll="0"/>
    <pivotField showAll="0"/>
    <pivotField showAll="0"/>
    <pivotField showAll="0"/>
    <pivotField showAll="0"/>
    <pivotField showAll="0"/>
  </pivotFields>
  <rowFields count="1">
    <field x="0"/>
  </rowFields>
  <rowItems count="32">
    <i>
      <x v="1"/>
    </i>
    <i>
      <x v="2"/>
    </i>
    <i>
      <x v="3"/>
    </i>
    <i>
      <x v="4"/>
    </i>
    <i>
      <x v="13"/>
    </i>
    <i>
      <x v="15"/>
    </i>
    <i>
      <x v="16"/>
    </i>
    <i>
      <x v="17"/>
    </i>
    <i>
      <x v="129"/>
    </i>
    <i>
      <x v="229"/>
    </i>
    <i>
      <x v="230"/>
    </i>
    <i>
      <x v="231"/>
    </i>
    <i>
      <x v="232"/>
    </i>
    <i>
      <x v="233"/>
    </i>
    <i>
      <x v="234"/>
    </i>
    <i>
      <x v="235"/>
    </i>
    <i>
      <x v="237"/>
    </i>
    <i>
      <x v="238"/>
    </i>
    <i>
      <x v="239"/>
    </i>
    <i>
      <x v="240"/>
    </i>
    <i>
      <x v="241"/>
    </i>
    <i>
      <x v="242"/>
    </i>
    <i>
      <x v="243"/>
    </i>
    <i>
      <x v="244"/>
    </i>
    <i>
      <x v="245"/>
    </i>
    <i>
      <x v="246"/>
    </i>
    <i>
      <x v="247"/>
    </i>
    <i>
      <x v="297"/>
    </i>
    <i>
      <x v="298"/>
    </i>
    <i>
      <x v="299"/>
    </i>
    <i>
      <x v="300"/>
    </i>
    <i t="grand">
      <x/>
    </i>
  </rowItems>
  <colFields count="1">
    <field x="-2"/>
  </colFields>
  <colItems count="2">
    <i>
      <x/>
    </i>
    <i i="1">
      <x v="1"/>
    </i>
  </colItems>
  <pageFields count="1">
    <pageField fld="9" hier="-1"/>
  </pageFields>
  <dataFields count="2">
    <dataField name=" Put IV" fld="12" subtotal="max" baseField="0" baseItem="0"/>
    <dataField name=" Call IV" fld="6" subtotal="max"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ivotTable4" cacheId="48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location ref="A3:B35" firstHeaderRow="1" firstDataRow="1" firstDataCol="1" rowPageCount="1" colPageCount="1"/>
  <pivotFields count="19">
    <pivotField axis="axisRow" showAll="0">
      <items count="302">
        <item m="1" x="95"/>
        <item x="15"/>
        <item x="16"/>
        <item x="17"/>
        <item x="18"/>
        <item m="1" x="213"/>
        <item m="1" x="90"/>
        <item m="1" x="229"/>
        <item m="1" x="226"/>
        <item m="1" x="102"/>
        <item m="1" x="251"/>
        <item m="1" x="244"/>
        <item m="1" x="118"/>
        <item x="26"/>
        <item m="1" x="275"/>
        <item x="27"/>
        <item x="28"/>
        <item x="29"/>
        <item m="1" x="235"/>
        <item m="1" x="230"/>
        <item m="1" x="106"/>
        <item m="1" x="256"/>
        <item m="1" x="127"/>
        <item m="1" x="159"/>
        <item m="1" x="35"/>
        <item m="1" x="261"/>
        <item m="1" x="178"/>
        <item m="1" x="133"/>
        <item m="1" x="173"/>
        <item m="1" x="128"/>
        <item m="1" x="50"/>
        <item m="1" x="282"/>
        <item m="1" x="152"/>
        <item m="1" x="148"/>
        <item m="1" x="298"/>
        <item m="1" x="269"/>
        <item m="1" x="141"/>
        <item m="1" x="134"/>
        <item m="1" x="287"/>
        <item m="1" x="155"/>
        <item m="1" x="31"/>
        <item m="1" x="300"/>
        <item m="1" x="169"/>
        <item m="1" x="45"/>
        <item m="1" x="75"/>
        <item m="1" x="211"/>
        <item m="1" x="87"/>
        <item m="1" x="46"/>
        <item m="1" x="188"/>
        <item m="1" x="68"/>
        <item m="1" x="62"/>
        <item m="1" x="200"/>
        <item m="1" x="78"/>
        <item m="1" x="216"/>
        <item m="1" x="214"/>
        <item m="1" x="91"/>
        <item m="1" x="231"/>
        <item m="1" x="227"/>
        <item m="1" x="104"/>
        <item m="1" x="209"/>
        <item m="1" x="205"/>
        <item m="1" x="81"/>
        <item m="1" x="220"/>
        <item m="1" x="254"/>
        <item m="1" x="125"/>
        <item m="1" x="279"/>
        <item m="1" x="149"/>
        <item m="1" x="146"/>
        <item m="1" x="296"/>
        <item m="1" x="165"/>
        <item m="1" x="160"/>
        <item m="1" x="263"/>
        <item m="1" x="136"/>
        <item m="1" x="129"/>
        <item m="1" x="284"/>
        <item m="1" x="153"/>
        <item m="1" x="150"/>
        <item m="1" x="299"/>
        <item m="1" x="168"/>
        <item m="1" x="43"/>
        <item m="1" x="42"/>
        <item m="1" x="182"/>
        <item m="1" x="59"/>
        <item m="1" x="44"/>
        <item m="1" x="185"/>
        <item m="1" x="64"/>
        <item m="1" x="60"/>
        <item m="1" x="198"/>
        <item m="1" x="77"/>
        <item m="1" x="76"/>
        <item m="1" x="212"/>
        <item m="1" x="88"/>
        <item m="1" x="228"/>
        <item m="1" x="225"/>
        <item m="1" x="101"/>
        <item m="1" x="207"/>
        <item m="1" x="202"/>
        <item m="1" x="80"/>
        <item m="1" x="218"/>
        <item m="1" x="215"/>
        <item m="1" x="92"/>
        <item m="1" x="232"/>
        <item m="1" x="273"/>
        <item m="1" x="143"/>
        <item m="1" x="293"/>
        <item m="1" x="161"/>
        <item m="1" x="157"/>
        <item m="1" x="259"/>
        <item m="1" x="131"/>
        <item m="1" x="126"/>
        <item m="1" x="281"/>
        <item m="1" x="151"/>
        <item m="1" x="147"/>
        <item m="1" x="297"/>
        <item m="1" x="166"/>
        <item m="1" x="162"/>
        <item m="1" x="39"/>
        <item m="1" x="138"/>
        <item m="1" x="66"/>
        <item m="1" x="249"/>
        <item m="1" x="172"/>
        <item m="1" x="89"/>
        <item m="1" x="294"/>
        <item m="1" x="203"/>
        <item m="1" x="122"/>
        <item m="1" x="54"/>
        <item m="1" x="234"/>
        <item m="1" x="163"/>
        <item m="1" x="132"/>
        <item x="30"/>
        <item m="1" x="167"/>
        <item m="1" x="266"/>
        <item m="1" x="139"/>
        <item m="1" x="290"/>
        <item m="1" x="286"/>
        <item m="1" x="154"/>
        <item m="1" x="255"/>
        <item m="1" x="250"/>
        <item m="1" x="123"/>
        <item m="1" x="277"/>
        <item m="1" x="274"/>
        <item m="1" x="144"/>
        <item m="1" x="295"/>
        <item m="1" x="239"/>
        <item m="1" x="112"/>
        <item m="1" x="267"/>
        <item m="1" x="260"/>
        <item m="1" x="268"/>
        <item m="1" x="140"/>
        <item m="1" x="291"/>
        <item m="1" x="158"/>
        <item m="1" x="192"/>
        <item m="1" x="187"/>
        <item m="1" x="67"/>
        <item m="1" x="204"/>
        <item m="1" x="164"/>
        <item m="1" x="40"/>
        <item m="1" x="181"/>
        <item m="1" x="58"/>
        <item m="1" x="55"/>
        <item m="1" x="195"/>
        <item m="1" x="74"/>
        <item m="1" x="71"/>
        <item m="1" x="208"/>
        <item m="1" x="84"/>
        <item m="1" x="107"/>
        <item m="1" x="257"/>
        <item m="1" x="85"/>
        <item m="1" x="223"/>
        <item m="1" x="99"/>
        <item m="1" x="245"/>
        <item m="1" x="240"/>
        <item m="1" x="114"/>
        <item m="1" x="270"/>
        <item m="1" x="262"/>
        <item m="1" x="135"/>
        <item m="1" x="288"/>
        <item m="1" x="283"/>
        <item m="1" x="253"/>
        <item m="1" x="246"/>
        <item m="1" x="120"/>
        <item m="1" x="276"/>
        <item m="1" x="145"/>
        <item m="1" x="170"/>
        <item m="1" x="47"/>
        <item m="1" x="189"/>
        <item m="1" x="184"/>
        <item m="1" x="63"/>
        <item m="1" x="201"/>
        <item m="1" x="37"/>
        <item m="1" x="180"/>
        <item m="1" x="175"/>
        <item m="1" x="52"/>
        <item m="1" x="194"/>
        <item m="1" x="73"/>
        <item m="1" x="69"/>
        <item m="1" x="206"/>
        <item m="1" x="82"/>
        <item m="1" x="79"/>
        <item m="1" x="217"/>
        <item m="1" x="83"/>
        <item m="1" x="222"/>
        <item m="1" x="97"/>
        <item m="1" x="93"/>
        <item m="1" x="237"/>
        <item m="1" x="111"/>
        <item m="1" x="264"/>
        <item m="1" x="258"/>
        <item m="1" x="130"/>
        <item m="1" x="285"/>
        <item m="1" x="280"/>
        <item m="1" x="248"/>
        <item m="1" x="242"/>
        <item m="1" x="117"/>
        <item m="1" x="272"/>
        <item m="1" x="265"/>
        <item m="1" x="137"/>
        <item m="1" x="289"/>
        <item m="1" x="156"/>
        <item m="1" x="183"/>
        <item m="1" x="61"/>
        <item m="1" x="199"/>
        <item m="1" x="34"/>
        <item m="1" x="177"/>
        <item m="1" x="171"/>
        <item m="1" x="49"/>
        <item m="1" x="191"/>
        <item m="1" x="186"/>
        <item m="1" x="65"/>
        <item x="0"/>
        <item x="1"/>
        <item x="2"/>
        <item x="3"/>
        <item x="4"/>
        <item x="5"/>
        <item x="6"/>
        <item m="1" x="105"/>
        <item x="9"/>
        <item x="10"/>
        <item x="11"/>
        <item x="12"/>
        <item x="13"/>
        <item x="14"/>
        <item x="21"/>
        <item x="22"/>
        <item x="23"/>
        <item x="24"/>
        <item x="25"/>
        <item m="1" x="210"/>
        <item m="1" x="236"/>
        <item m="1" x="109"/>
        <item m="1" x="119"/>
        <item m="1" x="113"/>
        <item m="1" x="103"/>
        <item m="1" x="252"/>
        <item m="1" x="124"/>
        <item m="1" x="278"/>
        <item m="1" x="32"/>
        <item m="1" x="174"/>
        <item m="1" x="51"/>
        <item m="1" x="41"/>
        <item m="1" x="36"/>
        <item m="1" x="179"/>
        <item m="1" x="56"/>
        <item m="1" x="196"/>
        <item m="1" x="193"/>
        <item m="1" x="72"/>
        <item m="1" x="86"/>
        <item m="1" x="224"/>
        <item m="1" x="221"/>
        <item m="1" x="96"/>
        <item m="1" x="241"/>
        <item m="1" x="115"/>
        <item m="1" x="110"/>
        <item m="1" x="100"/>
        <item m="1" x="247"/>
        <item m="1" x="121"/>
        <item m="1" x="116"/>
        <item m="1" x="271"/>
        <item m="1" x="142"/>
        <item m="1" x="292"/>
        <item m="1" x="38"/>
        <item m="1" x="33"/>
        <item m="1" x="176"/>
        <item m="1" x="53"/>
        <item m="1" x="48"/>
        <item m="1" x="190"/>
        <item m="1" x="70"/>
        <item m="1" x="57"/>
        <item m="1" x="197"/>
        <item m="1" x="219"/>
        <item m="1" x="94"/>
        <item m="1" x="238"/>
        <item m="1" x="233"/>
        <item m="1" x="108"/>
        <item m="1" x="98"/>
        <item m="1" x="243"/>
        <item x="7"/>
        <item x="8"/>
        <item x="19"/>
        <item x="20"/>
        <item t="default"/>
      </items>
    </pivotField>
    <pivotField dataField="1" showAll="0"/>
    <pivotField showAll="0"/>
    <pivotField showAll="0"/>
    <pivotField showAll="0"/>
    <pivotField showAll="0"/>
    <pivotField showAll="0"/>
    <pivotField showAll="0"/>
    <pivotField showAll="0"/>
    <pivotField axis="axisPage" showAll="0">
      <items count="41">
        <item m="1" x="36"/>
        <item m="1" x="37"/>
        <item x="34"/>
        <item x="33"/>
        <item x="17"/>
        <item x="18"/>
        <item x="19"/>
        <item x="20"/>
        <item x="21"/>
        <item x="22"/>
        <item x="23"/>
        <item x="24"/>
        <item x="25"/>
        <item x="26"/>
        <item x="27"/>
        <item x="28"/>
        <item x="29"/>
        <item x="30"/>
        <item x="35"/>
        <item m="1" x="39"/>
        <item x="0"/>
        <item x="1"/>
        <item x="2"/>
        <item x="3"/>
        <item x="4"/>
        <item x="5"/>
        <item x="6"/>
        <item x="7"/>
        <item x="8"/>
        <item x="9"/>
        <item x="10"/>
        <item x="11"/>
        <item x="12"/>
        <item x="13"/>
        <item x="14"/>
        <item x="15"/>
        <item x="31"/>
        <item x="32"/>
        <item m="1" x="38"/>
        <item x="16"/>
        <item t="default"/>
      </items>
    </pivotField>
    <pivotField showAll="0"/>
    <pivotField showAll="0"/>
    <pivotField showAll="0"/>
    <pivotField showAll="0"/>
    <pivotField showAll="0"/>
    <pivotField showAll="0"/>
    <pivotField showAll="0"/>
    <pivotField showAll="0"/>
    <pivotField showAll="0"/>
  </pivotFields>
  <rowFields count="1">
    <field x="0"/>
  </rowFields>
  <rowItems count="32">
    <i>
      <x v="1"/>
    </i>
    <i>
      <x v="2"/>
    </i>
    <i>
      <x v="3"/>
    </i>
    <i>
      <x v="4"/>
    </i>
    <i>
      <x v="13"/>
    </i>
    <i>
      <x v="15"/>
    </i>
    <i>
      <x v="16"/>
    </i>
    <i>
      <x v="17"/>
    </i>
    <i>
      <x v="129"/>
    </i>
    <i>
      <x v="229"/>
    </i>
    <i>
      <x v="230"/>
    </i>
    <i>
      <x v="231"/>
    </i>
    <i>
      <x v="232"/>
    </i>
    <i>
      <x v="233"/>
    </i>
    <i>
      <x v="234"/>
    </i>
    <i>
      <x v="235"/>
    </i>
    <i>
      <x v="237"/>
    </i>
    <i>
      <x v="238"/>
    </i>
    <i>
      <x v="239"/>
    </i>
    <i>
      <x v="240"/>
    </i>
    <i>
      <x v="241"/>
    </i>
    <i>
      <x v="242"/>
    </i>
    <i>
      <x v="243"/>
    </i>
    <i>
      <x v="244"/>
    </i>
    <i>
      <x v="245"/>
    </i>
    <i>
      <x v="246"/>
    </i>
    <i>
      <x v="247"/>
    </i>
    <i>
      <x v="297"/>
    </i>
    <i>
      <x v="298"/>
    </i>
    <i>
      <x v="299"/>
    </i>
    <i>
      <x v="300"/>
    </i>
    <i t="grand">
      <x/>
    </i>
  </rowItems>
  <colItems count="1">
    <i/>
  </colItems>
  <pageFields count="1">
    <pageField fld="9" hier="-1"/>
  </pageFields>
  <dataFields count="1">
    <dataField name="PCR" fld="1" subtotal="max"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rike1" sourceName="strike">
  <pivotTables>
    <pivotTable tabId="32" name="PivotTable1"/>
    <pivotTable tabId="34" name="PivotTable3"/>
    <pivotTable tabId="35" name="PivotTable4"/>
    <pivotTable tabId="33" name="PivotTable2"/>
  </pivotTables>
  <data>
    <tabular pivotCacheId="1">
      <items count="40">
        <i x="0" s="1"/>
        <i x="1" s="1"/>
        <i x="2" s="1"/>
        <i x="3" s="1"/>
        <i x="4" s="1"/>
        <i x="5" s="1"/>
        <i x="6" s="1"/>
        <i x="7" s="1"/>
        <i x="8" s="1"/>
        <i x="9" s="1"/>
        <i x="10" s="1"/>
        <i x="11" s="1"/>
        <i x="12" s="1"/>
        <i x="13" s="1"/>
        <i x="14" s="1"/>
        <i x="15" s="1"/>
        <i x="34" s="1"/>
        <i x="33" s="1"/>
        <i x="17" s="1"/>
        <i x="18" s="1"/>
        <i x="19" s="1"/>
        <i x="20" s="1"/>
        <i x="21" s="1"/>
        <i x="22" s="1"/>
        <i x="23" s="1"/>
        <i x="24" s="1"/>
        <i x="25" s="1"/>
        <i x="26" s="1"/>
        <i x="27" s="1"/>
        <i x="28" s="1"/>
        <i x="29" s="1"/>
        <i x="30" s="1"/>
        <i x="31" s="1"/>
        <i x="32" s="1"/>
        <i x="16" s="1"/>
        <i x="39" s="1" nd="1"/>
        <i x="36" s="1" nd="1"/>
        <i x="37" s="1" nd="1"/>
        <i x="38" s="1" nd="1"/>
        <i x="3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rike" cache="Slicer_strike1" caption="strike" columnCount="19" showCaption="0" style="SlicerStyleLight1"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57"/>
  </sheetPr>
  <dimension ref="A2:D66"/>
  <sheetViews>
    <sheetView topLeftCell="A16" workbookViewId="0">
      <selection activeCell="K11" sqref="K11"/>
    </sheetView>
  </sheetViews>
  <sheetFormatPr defaultColWidth="9.140625" defaultRowHeight="12.75" x14ac:dyDescent="0.2"/>
  <cols>
    <col min="1" max="1" width="9.140625" style="4"/>
    <col min="2" max="2" width="27.7109375" style="4" customWidth="1"/>
    <col min="3" max="3" width="18.7109375" style="4" customWidth="1"/>
    <col min="4" max="4" width="18.85546875" style="4" customWidth="1"/>
    <col min="5" max="16384" width="9.140625" style="4"/>
  </cols>
  <sheetData>
    <row r="2" spans="1:4" x14ac:dyDescent="0.2">
      <c r="B2" s="5" t="s">
        <v>32</v>
      </c>
      <c r="C2" s="6" t="s">
        <v>95</v>
      </c>
    </row>
    <row r="3" spans="1:4" x14ac:dyDescent="0.2">
      <c r="A3" s="5" t="s">
        <v>23</v>
      </c>
      <c r="B3" s="5" t="s">
        <v>24</v>
      </c>
      <c r="C3" s="6" t="s">
        <v>94</v>
      </c>
      <c r="D3" s="5" t="s">
        <v>25</v>
      </c>
    </row>
    <row r="5" spans="1:4" x14ac:dyDescent="0.2">
      <c r="A5" s="4">
        <v>1</v>
      </c>
      <c r="B5" s="4" t="s">
        <v>26</v>
      </c>
      <c r="C5" s="4" t="s">
        <v>27</v>
      </c>
    </row>
    <row r="7" spans="1:4" x14ac:dyDescent="0.2">
      <c r="A7" s="4">
        <v>2</v>
      </c>
      <c r="B7" s="4" t="s">
        <v>28</v>
      </c>
      <c r="C7" s="4" t="s">
        <v>29</v>
      </c>
      <c r="D7" s="4" t="s">
        <v>30</v>
      </c>
    </row>
    <row r="8" spans="1:4" x14ac:dyDescent="0.2">
      <c r="A8" s="4">
        <v>999957</v>
      </c>
      <c r="B8" s="4" t="s">
        <v>93</v>
      </c>
      <c r="D8" s="4" t="s">
        <v>98</v>
      </c>
    </row>
    <row r="9" spans="1:4" x14ac:dyDescent="0.2">
      <c r="A9" s="4">
        <v>999958</v>
      </c>
      <c r="B9" s="4" t="s">
        <v>93</v>
      </c>
      <c r="D9" s="4" t="s">
        <v>99</v>
      </c>
    </row>
    <row r="10" spans="1:4" x14ac:dyDescent="0.2">
      <c r="A10" s="4">
        <v>999959</v>
      </c>
      <c r="B10" s="4" t="s">
        <v>93</v>
      </c>
      <c r="D10" s="4" t="s">
        <v>100</v>
      </c>
    </row>
    <row r="15" spans="1:4" x14ac:dyDescent="0.2">
      <c r="B15" s="7" t="s">
        <v>31</v>
      </c>
    </row>
    <row r="16" spans="1:4" x14ac:dyDescent="0.2">
      <c r="B16" s="7"/>
    </row>
    <row r="17" spans="1:3" x14ac:dyDescent="0.2">
      <c r="B17" s="17" t="s">
        <v>91</v>
      </c>
    </row>
    <row r="18" spans="1:3" ht="38.25" x14ac:dyDescent="0.2">
      <c r="B18" s="16" t="s">
        <v>92</v>
      </c>
      <c r="C18" s="4" t="s">
        <v>73</v>
      </c>
    </row>
    <row r="19" spans="1:3" ht="48.75" customHeight="1" x14ac:dyDescent="0.2">
      <c r="B19" s="16" t="s">
        <v>81</v>
      </c>
      <c r="C19" s="4" t="s">
        <v>73</v>
      </c>
    </row>
    <row r="20" spans="1:3" ht="25.5" x14ac:dyDescent="0.2">
      <c r="B20" s="16" t="s">
        <v>82</v>
      </c>
      <c r="C20" s="4" t="s">
        <v>83</v>
      </c>
    </row>
    <row r="21" spans="1:3" x14ac:dyDescent="0.2">
      <c r="B21" s="16"/>
    </row>
    <row r="22" spans="1:3" x14ac:dyDescent="0.2">
      <c r="B22" s="17" t="s">
        <v>79</v>
      </c>
    </row>
    <row r="23" spans="1:3" ht="44.25" customHeight="1" x14ac:dyDescent="0.2">
      <c r="A23" s="4">
        <v>1</v>
      </c>
      <c r="B23" s="16" t="s">
        <v>80</v>
      </c>
      <c r="C23" s="4" t="s">
        <v>73</v>
      </c>
    </row>
    <row r="24" spans="1:3" ht="51" x14ac:dyDescent="0.2">
      <c r="A24" s="4">
        <v>2</v>
      </c>
      <c r="B24" s="16" t="s">
        <v>81</v>
      </c>
      <c r="C24" s="4" t="s">
        <v>73</v>
      </c>
    </row>
    <row r="25" spans="1:3" ht="25.5" x14ac:dyDescent="0.2">
      <c r="A25" s="4">
        <v>3</v>
      </c>
      <c r="B25" s="16" t="s">
        <v>82</v>
      </c>
      <c r="C25" s="4" t="s">
        <v>83</v>
      </c>
    </row>
    <row r="26" spans="1:3" x14ac:dyDescent="0.2">
      <c r="B26" s="16"/>
    </row>
    <row r="27" spans="1:3" x14ac:dyDescent="0.2">
      <c r="B27" s="7"/>
    </row>
    <row r="28" spans="1:3" x14ac:dyDescent="0.2">
      <c r="B28" s="5" t="s">
        <v>69</v>
      </c>
    </row>
    <row r="29" spans="1:3" ht="51" x14ac:dyDescent="0.2">
      <c r="A29" s="4">
        <v>1</v>
      </c>
      <c r="B29" s="16" t="s">
        <v>70</v>
      </c>
      <c r="C29" s="4" t="s">
        <v>71</v>
      </c>
    </row>
    <row r="30" spans="1:3" ht="38.25" x14ac:dyDescent="0.2">
      <c r="A30" s="4">
        <v>2</v>
      </c>
      <c r="B30" s="16" t="s">
        <v>72</v>
      </c>
      <c r="C30" s="4" t="s">
        <v>73</v>
      </c>
    </row>
    <row r="31" spans="1:3" ht="76.5" x14ac:dyDescent="0.2">
      <c r="A31" s="4">
        <v>3</v>
      </c>
      <c r="B31" s="16" t="s">
        <v>74</v>
      </c>
      <c r="C31" s="4" t="s">
        <v>73</v>
      </c>
    </row>
    <row r="32" spans="1:3" ht="51" x14ac:dyDescent="0.2">
      <c r="A32" s="4">
        <v>4</v>
      </c>
      <c r="B32" s="16" t="s">
        <v>75</v>
      </c>
      <c r="C32" s="4" t="s">
        <v>73</v>
      </c>
    </row>
    <row r="33" spans="1:3" ht="25.5" x14ac:dyDescent="0.2">
      <c r="A33" s="4">
        <v>5</v>
      </c>
      <c r="B33" s="16" t="s">
        <v>76</v>
      </c>
      <c r="C33" s="4" t="s">
        <v>73</v>
      </c>
    </row>
    <row r="34" spans="1:3" ht="51" x14ac:dyDescent="0.2">
      <c r="A34" s="4">
        <v>6</v>
      </c>
      <c r="B34" s="16" t="s">
        <v>77</v>
      </c>
      <c r="C34" s="4" t="s">
        <v>73</v>
      </c>
    </row>
    <row r="35" spans="1:3" ht="63.75" x14ac:dyDescent="0.2">
      <c r="A35" s="4">
        <v>7</v>
      </c>
      <c r="B35" s="16" t="s">
        <v>78</v>
      </c>
      <c r="C35" s="4" t="s">
        <v>73</v>
      </c>
    </row>
    <row r="36" spans="1:3" x14ac:dyDescent="0.2">
      <c r="B36" s="16"/>
    </row>
    <row r="37" spans="1:3" x14ac:dyDescent="0.2">
      <c r="B37" s="16"/>
    </row>
    <row r="38" spans="1:3" s="13" customFormat="1" x14ac:dyDescent="0.2">
      <c r="A38" s="11"/>
      <c r="B38" s="5" t="s">
        <v>50</v>
      </c>
    </row>
    <row r="39" spans="1:3" s="13" customFormat="1" ht="63.75" x14ac:dyDescent="0.2">
      <c r="A39" s="13">
        <v>1</v>
      </c>
      <c r="B39" s="10" t="s">
        <v>51</v>
      </c>
      <c r="C39" s="13" t="s">
        <v>52</v>
      </c>
    </row>
    <row r="40" spans="1:3" s="13" customFormat="1" x14ac:dyDescent="0.2">
      <c r="B40" s="12"/>
    </row>
    <row r="41" spans="1:3" s="13" customFormat="1" x14ac:dyDescent="0.2">
      <c r="B41" s="12"/>
    </row>
    <row r="42" spans="1:3" x14ac:dyDescent="0.2">
      <c r="B42" s="5" t="s">
        <v>47</v>
      </c>
    </row>
    <row r="43" spans="1:3" ht="25.5" x14ac:dyDescent="0.2">
      <c r="A43" s="4">
        <v>1</v>
      </c>
      <c r="B43" s="10" t="s">
        <v>48</v>
      </c>
    </row>
    <row r="44" spans="1:3" ht="25.5" x14ac:dyDescent="0.2">
      <c r="A44" s="4">
        <v>2</v>
      </c>
      <c r="B44" s="10" t="s">
        <v>49</v>
      </c>
    </row>
    <row r="45" spans="1:3" x14ac:dyDescent="0.2">
      <c r="B45" s="7"/>
    </row>
    <row r="46" spans="1:3" x14ac:dyDescent="0.2">
      <c r="B46" s="7"/>
    </row>
    <row r="47" spans="1:3" x14ac:dyDescent="0.2">
      <c r="B47" s="5" t="s">
        <v>44</v>
      </c>
    </row>
    <row r="48" spans="1:3" ht="25.5" x14ac:dyDescent="0.2">
      <c r="A48" s="4">
        <v>1</v>
      </c>
      <c r="B48" s="10" t="s">
        <v>45</v>
      </c>
    </row>
    <row r="49" spans="1:3" x14ac:dyDescent="0.2">
      <c r="B49" s="5"/>
    </row>
    <row r="51" spans="1:3" x14ac:dyDescent="0.2">
      <c r="B51" s="5" t="s">
        <v>42</v>
      </c>
    </row>
    <row r="52" spans="1:3" ht="76.5" x14ac:dyDescent="0.2">
      <c r="A52" s="4">
        <v>1</v>
      </c>
      <c r="B52" s="10" t="s">
        <v>38</v>
      </c>
      <c r="C52" s="8" t="s">
        <v>39</v>
      </c>
    </row>
    <row r="53" spans="1:3" ht="25.5" x14ac:dyDescent="0.2">
      <c r="A53" s="4">
        <v>2</v>
      </c>
      <c r="B53" s="10" t="s">
        <v>41</v>
      </c>
      <c r="C53" s="4" t="s">
        <v>43</v>
      </c>
    </row>
    <row r="54" spans="1:3" x14ac:dyDescent="0.2">
      <c r="B54" s="5"/>
    </row>
    <row r="56" spans="1:3" x14ac:dyDescent="0.2">
      <c r="B56" s="12" t="s">
        <v>37</v>
      </c>
    </row>
    <row r="57" spans="1:3" x14ac:dyDescent="0.2">
      <c r="A57" s="9"/>
    </row>
    <row r="58" spans="1:3" ht="38.25" x14ac:dyDescent="0.2">
      <c r="A58" s="4">
        <v>1</v>
      </c>
      <c r="B58" s="8" t="s">
        <v>35</v>
      </c>
    </row>
    <row r="59" spans="1:3" x14ac:dyDescent="0.2">
      <c r="A59" s="4">
        <v>2</v>
      </c>
      <c r="B59" s="4" t="s">
        <v>36</v>
      </c>
    </row>
    <row r="61" spans="1:3" x14ac:dyDescent="0.2">
      <c r="B61" s="12" t="s">
        <v>96</v>
      </c>
    </row>
    <row r="63" spans="1:3" x14ac:dyDescent="0.2">
      <c r="A63" s="4">
        <v>1</v>
      </c>
      <c r="B63" s="4" t="s">
        <v>97</v>
      </c>
    </row>
    <row r="66" spans="2:2" x14ac:dyDescent="0.2">
      <c r="B66" s="16"/>
    </row>
  </sheetData>
  <phoneticPr fontId="5"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AK207"/>
  <sheetViews>
    <sheetView topLeftCell="A2" workbookViewId="0">
      <pane xSplit="8" ySplit="1" topLeftCell="V68" activePane="bottomRight" state="frozen"/>
      <selection activeCell="A2" sqref="A2"/>
      <selection pane="topRight" activeCell="I2" sqref="I2"/>
      <selection pane="bottomLeft" activeCell="A3" sqref="A3"/>
      <selection pane="bottomRight" activeCell="A102" sqref="A102:XFD102"/>
    </sheetView>
  </sheetViews>
  <sheetFormatPr defaultRowHeight="12.75" x14ac:dyDescent="0.2"/>
  <cols>
    <col min="1" max="1" width="14.7109375" customWidth="1"/>
    <col min="2" max="2" width="9.42578125" customWidth="1"/>
    <col min="3" max="3" width="10.7109375" customWidth="1"/>
    <col min="4" max="4" width="14.140625" customWidth="1"/>
    <col min="5" max="5" width="13.140625" customWidth="1"/>
    <col min="26" max="26" width="12.5703125" customWidth="1"/>
    <col min="31" max="37" width="0" hidden="1" customWidth="1"/>
  </cols>
  <sheetData>
    <row r="1" spans="1:37" ht="10.5" hidden="1"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row r="2" spans="1:37" s="1" customFormat="1" ht="37.5" customHeight="1" x14ac:dyDescent="0.2">
      <c r="A2" s="1" t="s">
        <v>0</v>
      </c>
      <c r="B2" s="1" t="s">
        <v>21</v>
      </c>
      <c r="C2" s="1" t="s">
        <v>57</v>
      </c>
      <c r="D2" s="1" t="s">
        <v>53</v>
      </c>
      <c r="E2" s="1" t="s">
        <v>54</v>
      </c>
      <c r="F2" s="1" t="s">
        <v>55</v>
      </c>
      <c r="G2" s="1" t="s">
        <v>56</v>
      </c>
      <c r="H2" s="1" t="s">
        <v>1</v>
      </c>
      <c r="I2" s="1" t="s">
        <v>20</v>
      </c>
      <c r="J2" s="1" t="s">
        <v>2</v>
      </c>
      <c r="K2" s="1" t="s">
        <v>3</v>
      </c>
      <c r="L2" s="1" t="s">
        <v>4</v>
      </c>
      <c r="M2" s="1" t="s">
        <v>5</v>
      </c>
      <c r="N2" s="1" t="s">
        <v>6</v>
      </c>
      <c r="O2" s="1" t="s">
        <v>34</v>
      </c>
      <c r="P2" s="1" t="s">
        <v>7</v>
      </c>
      <c r="Q2" s="1" t="s">
        <v>8</v>
      </c>
      <c r="R2" s="1" t="s">
        <v>9</v>
      </c>
      <c r="S2" s="1" t="s">
        <v>10</v>
      </c>
      <c r="T2" s="1" t="s">
        <v>11</v>
      </c>
      <c r="U2" s="1" t="s">
        <v>12</v>
      </c>
      <c r="V2" s="1" t="s">
        <v>13</v>
      </c>
      <c r="W2" s="1" t="s">
        <v>14</v>
      </c>
      <c r="X2" s="1" t="s">
        <v>18</v>
      </c>
      <c r="Y2" s="1" t="s">
        <v>17</v>
      </c>
      <c r="Z2" s="1" t="s">
        <v>19</v>
      </c>
      <c r="AA2" s="1" t="s">
        <v>16</v>
      </c>
      <c r="AB2" s="1" t="s">
        <v>15</v>
      </c>
      <c r="AC2" s="1" t="s">
        <v>68</v>
      </c>
      <c r="AD2" s="1" t="s">
        <v>58</v>
      </c>
      <c r="AE2" s="1" t="s">
        <v>63</v>
      </c>
      <c r="AF2" s="1" t="s">
        <v>64</v>
      </c>
      <c r="AG2" s="1" t="s">
        <v>65</v>
      </c>
      <c r="AH2" s="1" t="s">
        <v>61</v>
      </c>
      <c r="AI2" s="1" t="s">
        <v>60</v>
      </c>
      <c r="AJ2" s="1" t="s">
        <v>62</v>
      </c>
      <c r="AK2" s="1" t="s">
        <v>59</v>
      </c>
    </row>
    <row r="3" spans="1:37" hidden="1" x14ac:dyDescent="0.2">
      <c r="E3" s="15"/>
    </row>
    <row r="4" spans="1:37" hidden="1" x14ac:dyDescent="0.2">
      <c r="A4">
        <v>102036224</v>
      </c>
      <c r="B4" t="s">
        <v>93</v>
      </c>
      <c r="C4" t="s">
        <v>345</v>
      </c>
      <c r="D4" t="s">
        <v>102</v>
      </c>
      <c r="E4" s="15">
        <v>43874</v>
      </c>
      <c r="F4">
        <v>26800</v>
      </c>
      <c r="G4" t="s">
        <v>346</v>
      </c>
      <c r="H4">
        <v>36224</v>
      </c>
      <c r="I4">
        <v>20</v>
      </c>
      <c r="J4">
        <f>RTD("greekserver.rtdfunctions",,"102036224 5")</f>
        <v>40</v>
      </c>
      <c r="K4">
        <f>RTD("greekserver.rtdfunctions",,"102036224 4")/100</f>
        <v>4491.2</v>
      </c>
      <c r="L4">
        <f>RTD("greekserver.rtdfunctions",,"102036224 7")</f>
        <v>20</v>
      </c>
      <c r="M4">
        <f>RTD("greekserver.rtdfunctions",,"102036224 6")/100</f>
        <v>4528.6499999999996</v>
      </c>
      <c r="N4">
        <f>RTD("greekserver.rtdfunctions",,"102036224 8")/100</f>
        <v>0</v>
      </c>
      <c r="O4">
        <f>RTD("greekserver.rtdfunctions",,"102036224 12")</f>
        <v>0</v>
      </c>
      <c r="P4">
        <f>RTD("greekserver.rtdfunctions",,"102036224 24")/100</f>
        <v>4491.2</v>
      </c>
      <c r="Q4">
        <f>RTD("greekserver.rtdfunctions",,"102036224 25")</f>
        <v>40</v>
      </c>
      <c r="R4">
        <f>RTD("greekserver.rtdfunctions",,"102036224 26")/100</f>
        <v>4528.6499999999996</v>
      </c>
      <c r="S4">
        <f>RTD("greekserver.rtdfunctions",,"102036224 27")</f>
        <v>20</v>
      </c>
      <c r="T4">
        <f>RTD("greekserver.rtdfunctions",,"102036224 13")/100</f>
        <v>0</v>
      </c>
      <c r="U4">
        <f>RTD("greekserver.rtdfunctions",,"102036224 14")/100</f>
        <v>4743.2</v>
      </c>
      <c r="V4">
        <f>RTD("greekserver.rtdfunctions",,"102036224 15")/100</f>
        <v>0</v>
      </c>
      <c r="W4">
        <f>RTD("greekserver.rtdfunctions",,"102036224 16")/100</f>
        <v>0</v>
      </c>
      <c r="X4">
        <f>RTD("greekserver.rtdfunctions",,"102036224 10")/100</f>
        <v>4743.2</v>
      </c>
      <c r="Y4">
        <f>RTD("greekserver.rtdfunctions",,"102036224 11")</f>
        <v>20</v>
      </c>
      <c r="Z4" t="str">
        <f>nseltodate(RTD("greekserver.rtdfunctions",,"102036224 20"))</f>
        <v>01:34:10 PM</v>
      </c>
      <c r="AA4">
        <f>RTD("greekserver.rtdfunctions",,"102036224 18")/100</f>
        <v>0</v>
      </c>
      <c r="AB4">
        <f>RTD("greekserver.rtdfunctions",,"102036224 17")/100</f>
        <v>0</v>
      </c>
      <c r="AC4">
        <f>RTD("greekserver.rtdfunctions",,"102036224 40")/100</f>
        <v>0</v>
      </c>
      <c r="AD4">
        <f>RTD("greekserver.rtdfunctions",,"102036224 34")/100</f>
        <v>0</v>
      </c>
    </row>
    <row r="5" spans="1:37" x14ac:dyDescent="0.2">
      <c r="A5">
        <v>102036225</v>
      </c>
      <c r="B5" t="s">
        <v>93</v>
      </c>
      <c r="C5" t="s">
        <v>345</v>
      </c>
      <c r="D5" t="s">
        <v>102</v>
      </c>
      <c r="E5" s="15">
        <v>43874</v>
      </c>
      <c r="F5">
        <v>26800</v>
      </c>
      <c r="G5" t="s">
        <v>347</v>
      </c>
      <c r="H5">
        <v>36225</v>
      </c>
      <c r="I5">
        <v>20</v>
      </c>
      <c r="J5">
        <f>RTD("greekserver.rtdfunctions",,"102036225 5")</f>
        <v>500</v>
      </c>
      <c r="K5">
        <f>RTD("greekserver.rtdfunctions",,"102036225 4")/100</f>
        <v>0.05</v>
      </c>
      <c r="L5">
        <f>RTD("greekserver.rtdfunctions",,"102036225 7")</f>
        <v>120</v>
      </c>
      <c r="M5">
        <f>RTD("greekserver.rtdfunctions",,"102036225 6")/100</f>
        <v>0.2</v>
      </c>
      <c r="N5">
        <f>RTD("greekserver.rtdfunctions",,"102036225 8")/100</f>
        <v>0.27</v>
      </c>
      <c r="O5">
        <f>RTD("greekserver.rtdfunctions",,"102036225 12")</f>
        <v>3440</v>
      </c>
      <c r="P5">
        <f>RTD("greekserver.rtdfunctions",,"102036225 24")/100</f>
        <v>0.05</v>
      </c>
      <c r="Q5">
        <f>RTD("greekserver.rtdfunctions",,"102036225 25")</f>
        <v>500</v>
      </c>
      <c r="R5">
        <f>RTD("greekserver.rtdfunctions",,"102036225 26")/100</f>
        <v>0.2</v>
      </c>
      <c r="S5">
        <f>RTD("greekserver.rtdfunctions",,"102036225 27")</f>
        <v>120</v>
      </c>
      <c r="T5">
        <f>RTD("greekserver.rtdfunctions",,"102036225 13")/100</f>
        <v>0.75</v>
      </c>
      <c r="U5">
        <f>RTD("greekserver.rtdfunctions",,"102036225 14")/100</f>
        <v>0.3</v>
      </c>
      <c r="V5">
        <f>RTD("greekserver.rtdfunctions",,"102036225 15")/100</f>
        <v>0.75</v>
      </c>
      <c r="W5">
        <f>RTD("greekserver.rtdfunctions",,"102036225 16")/100</f>
        <v>0.15</v>
      </c>
      <c r="X5">
        <f>RTD("greekserver.rtdfunctions",,"102036225 10")/100</f>
        <v>0.15</v>
      </c>
      <c r="Y5">
        <f>RTD("greekserver.rtdfunctions",,"102036225 11")</f>
        <v>20</v>
      </c>
      <c r="Z5" t="str">
        <f>nseltodate(RTD("greekserver.rtdfunctions",,"102036225 20"))</f>
        <v>10:29:39 AM</v>
      </c>
      <c r="AA5">
        <f>RTD("greekserver.rtdfunctions",,"102036225 18")/100</f>
        <v>0</v>
      </c>
      <c r="AB5">
        <f>RTD("greekserver.rtdfunctions",,"102036225 17")/100</f>
        <v>0</v>
      </c>
      <c r="AC5">
        <f>RTD("greekserver.rtdfunctions",,"102036225 40")/100</f>
        <v>37.200000000000003</v>
      </c>
      <c r="AD5">
        <f>RTD("greekserver.rtdfunctions",,"102036225 34")/100</f>
        <v>0</v>
      </c>
    </row>
    <row r="6" spans="1:37" hidden="1" x14ac:dyDescent="0.2">
      <c r="A6">
        <v>102036230</v>
      </c>
      <c r="B6" t="s">
        <v>93</v>
      </c>
      <c r="C6" t="s">
        <v>345</v>
      </c>
      <c r="D6" t="s">
        <v>102</v>
      </c>
      <c r="E6" s="15">
        <v>43874</v>
      </c>
      <c r="F6">
        <v>26900</v>
      </c>
      <c r="G6" t="s">
        <v>346</v>
      </c>
      <c r="H6">
        <v>36230</v>
      </c>
      <c r="I6">
        <v>20</v>
      </c>
      <c r="J6">
        <f>RTD("greekserver.rtdfunctions",,"102036230 5")</f>
        <v>100</v>
      </c>
      <c r="K6">
        <f>RTD("greekserver.rtdfunctions",,"102036230 4")/100</f>
        <v>4348.05</v>
      </c>
      <c r="L6">
        <f>RTD("greekserver.rtdfunctions",,"102036230 7")</f>
        <v>100</v>
      </c>
      <c r="M6">
        <f>RTD("greekserver.rtdfunctions",,"102036230 6")/100</f>
        <v>4463.45</v>
      </c>
      <c r="N6">
        <f>RTD("greekserver.rtdfunctions",,"102036230 8")/100</f>
        <v>0</v>
      </c>
      <c r="O6">
        <f>RTD("greekserver.rtdfunctions",,"102036230 12")</f>
        <v>0</v>
      </c>
      <c r="P6">
        <f>RTD("greekserver.rtdfunctions",,"102036230 24")/100</f>
        <v>4348.05</v>
      </c>
      <c r="Q6">
        <f>RTD("greekserver.rtdfunctions",,"102036230 25")</f>
        <v>100</v>
      </c>
      <c r="R6">
        <f>RTD("greekserver.rtdfunctions",,"102036230 26")/100</f>
        <v>4463.45</v>
      </c>
      <c r="S6">
        <f>RTD("greekserver.rtdfunctions",,"102036230 27")</f>
        <v>100</v>
      </c>
      <c r="T6">
        <f>RTD("greekserver.rtdfunctions",,"102036230 13")/100</f>
        <v>0</v>
      </c>
      <c r="U6">
        <f>RTD("greekserver.rtdfunctions",,"102036230 14")/100</f>
        <v>2965.45</v>
      </c>
      <c r="V6">
        <f>RTD("greekserver.rtdfunctions",,"102036230 15")/100</f>
        <v>0</v>
      </c>
      <c r="W6">
        <f>RTD("greekserver.rtdfunctions",,"102036230 16")/100</f>
        <v>0</v>
      </c>
      <c r="X6">
        <f>RTD("greekserver.rtdfunctions",,"102036230 10")/100</f>
        <v>0</v>
      </c>
      <c r="Y6">
        <f>RTD("greekserver.rtdfunctions",,"102036230 11")</f>
        <v>0</v>
      </c>
      <c r="Z6" t="str">
        <f>nseltodate(RTD("greekserver.rtdfunctions",,"102036230 20"))</f>
        <v>N/A</v>
      </c>
      <c r="AA6">
        <f>RTD("greekserver.rtdfunctions",,"102036230 18")/100</f>
        <v>0</v>
      </c>
      <c r="AB6">
        <f>RTD("greekserver.rtdfunctions",,"102036230 17")/100</f>
        <v>0</v>
      </c>
      <c r="AC6">
        <f>RTD("greekserver.rtdfunctions",,"102036230 40")/100</f>
        <v>0</v>
      </c>
      <c r="AD6">
        <f>RTD("greekserver.rtdfunctions",,"102036230 34")/100</f>
        <v>0</v>
      </c>
    </row>
    <row r="7" spans="1:37" hidden="1" x14ac:dyDescent="0.2">
      <c r="A7">
        <v>102036224</v>
      </c>
      <c r="B7" t="s">
        <v>93</v>
      </c>
      <c r="C7" t="s">
        <v>345</v>
      </c>
      <c r="D7" t="s">
        <v>102</v>
      </c>
      <c r="E7" s="15">
        <v>43874</v>
      </c>
      <c r="F7">
        <v>26800</v>
      </c>
      <c r="G7" t="s">
        <v>346</v>
      </c>
      <c r="H7">
        <v>36224</v>
      </c>
      <c r="I7">
        <v>20</v>
      </c>
      <c r="J7">
        <f>RTD("greekserver.rtdfunctions",,"102036224 5")</f>
        <v>40</v>
      </c>
      <c r="K7">
        <f>RTD("greekserver.rtdfunctions",,"102036224 4")/100</f>
        <v>4491.2</v>
      </c>
      <c r="L7">
        <f>RTD("greekserver.rtdfunctions",,"102036224 7")</f>
        <v>20</v>
      </c>
      <c r="M7">
        <f>RTD("greekserver.rtdfunctions",,"102036224 6")/100</f>
        <v>4528.6499999999996</v>
      </c>
      <c r="N7">
        <f>RTD("greekserver.rtdfunctions",,"102036224 8")/100</f>
        <v>0</v>
      </c>
      <c r="O7">
        <f>RTD("greekserver.rtdfunctions",,"102036224 12")</f>
        <v>0</v>
      </c>
      <c r="P7">
        <f>RTD("greekserver.rtdfunctions",,"102036224 24")/100</f>
        <v>4491.2</v>
      </c>
      <c r="Q7">
        <f>RTD("greekserver.rtdfunctions",,"102036224 25")</f>
        <v>40</v>
      </c>
      <c r="R7">
        <f>RTD("greekserver.rtdfunctions",,"102036224 26")/100</f>
        <v>4528.6499999999996</v>
      </c>
      <c r="S7">
        <f>RTD("greekserver.rtdfunctions",,"102036224 27")</f>
        <v>20</v>
      </c>
      <c r="T7">
        <f>RTD("greekserver.rtdfunctions",,"102036224 13")/100</f>
        <v>0</v>
      </c>
      <c r="U7">
        <f>RTD("greekserver.rtdfunctions",,"102036224 14")/100</f>
        <v>4743.2</v>
      </c>
      <c r="V7">
        <f>RTD("greekserver.rtdfunctions",,"102036224 15")/100</f>
        <v>0</v>
      </c>
      <c r="W7">
        <f>RTD("greekserver.rtdfunctions",,"102036224 16")/100</f>
        <v>0</v>
      </c>
      <c r="X7">
        <f>RTD("greekserver.rtdfunctions",,"102036224 10")/100</f>
        <v>4743.2</v>
      </c>
      <c r="Y7">
        <f>RTD("greekserver.rtdfunctions",,"102036224 11")</f>
        <v>20</v>
      </c>
      <c r="Z7" t="str">
        <f>nseltodate(RTD("greekserver.rtdfunctions",,"102036224 20"))</f>
        <v>01:34:10 PM</v>
      </c>
      <c r="AA7">
        <f>RTD("greekserver.rtdfunctions",,"102036224 18")/100</f>
        <v>0</v>
      </c>
      <c r="AB7">
        <f>RTD("greekserver.rtdfunctions",,"102036224 17")/100</f>
        <v>0</v>
      </c>
      <c r="AC7">
        <f>RTD("greekserver.rtdfunctions",,"102036224 40")/100</f>
        <v>0</v>
      </c>
      <c r="AD7">
        <f>RTD("greekserver.rtdfunctions",,"102036224 34")/100</f>
        <v>0</v>
      </c>
    </row>
    <row r="8" spans="1:37" x14ac:dyDescent="0.2">
      <c r="A8">
        <v>102036225</v>
      </c>
      <c r="B8" t="s">
        <v>93</v>
      </c>
      <c r="C8" t="s">
        <v>345</v>
      </c>
      <c r="D8" t="s">
        <v>102</v>
      </c>
      <c r="E8" s="15">
        <v>43874</v>
      </c>
      <c r="F8">
        <v>26800</v>
      </c>
      <c r="G8" t="s">
        <v>347</v>
      </c>
      <c r="H8">
        <v>36225</v>
      </c>
      <c r="I8">
        <v>20</v>
      </c>
      <c r="J8">
        <f>RTD("greekserver.rtdfunctions",,"102036225 5")</f>
        <v>500</v>
      </c>
      <c r="K8">
        <f>RTD("greekserver.rtdfunctions",,"102036225 4")/100</f>
        <v>0.05</v>
      </c>
      <c r="L8">
        <f>RTD("greekserver.rtdfunctions",,"102036225 7")</f>
        <v>120</v>
      </c>
      <c r="M8">
        <f>RTD("greekserver.rtdfunctions",,"102036225 6")/100</f>
        <v>0.2</v>
      </c>
      <c r="N8">
        <f>RTD("greekserver.rtdfunctions",,"102036225 8")/100</f>
        <v>0.27</v>
      </c>
      <c r="O8">
        <f>RTD("greekserver.rtdfunctions",,"102036225 12")</f>
        <v>3440</v>
      </c>
      <c r="P8">
        <f>RTD("greekserver.rtdfunctions",,"102036225 24")/100</f>
        <v>0.05</v>
      </c>
      <c r="Q8">
        <f>RTD("greekserver.rtdfunctions",,"102036225 25")</f>
        <v>500</v>
      </c>
      <c r="R8">
        <f>RTD("greekserver.rtdfunctions",,"102036225 26")/100</f>
        <v>0.2</v>
      </c>
      <c r="S8">
        <f>RTD("greekserver.rtdfunctions",,"102036225 27")</f>
        <v>120</v>
      </c>
      <c r="T8">
        <f>RTD("greekserver.rtdfunctions",,"102036225 13")/100</f>
        <v>0.75</v>
      </c>
      <c r="U8">
        <f>RTD("greekserver.rtdfunctions",,"102036225 14")/100</f>
        <v>0.3</v>
      </c>
      <c r="V8">
        <f>RTD("greekserver.rtdfunctions",,"102036225 15")/100</f>
        <v>0.75</v>
      </c>
      <c r="W8">
        <f>RTD("greekserver.rtdfunctions",,"102036225 16")/100</f>
        <v>0.15</v>
      </c>
      <c r="X8">
        <f>RTD("greekserver.rtdfunctions",,"102036225 10")/100</f>
        <v>0.15</v>
      </c>
      <c r="Y8">
        <f>RTD("greekserver.rtdfunctions",,"102036225 11")</f>
        <v>20</v>
      </c>
      <c r="Z8" t="str">
        <f>nseltodate(RTD("greekserver.rtdfunctions",,"102036225 20"))</f>
        <v>10:29:39 AM</v>
      </c>
      <c r="AA8">
        <f>RTD("greekserver.rtdfunctions",,"102036225 18")/100</f>
        <v>0</v>
      </c>
      <c r="AB8">
        <f>RTD("greekserver.rtdfunctions",,"102036225 17")/100</f>
        <v>0</v>
      </c>
      <c r="AC8">
        <f>RTD("greekserver.rtdfunctions",,"102036225 40")/100</f>
        <v>37.200000000000003</v>
      </c>
      <c r="AD8">
        <f>RTD("greekserver.rtdfunctions",,"102036225 34")/100</f>
        <v>0</v>
      </c>
    </row>
    <row r="9" spans="1:37" hidden="1" x14ac:dyDescent="0.2">
      <c r="A9">
        <v>102036230</v>
      </c>
      <c r="B9" t="s">
        <v>93</v>
      </c>
      <c r="C9" t="s">
        <v>345</v>
      </c>
      <c r="D9" t="s">
        <v>102</v>
      </c>
      <c r="E9" s="15">
        <v>43874</v>
      </c>
      <c r="F9">
        <v>26900</v>
      </c>
      <c r="G9" t="s">
        <v>346</v>
      </c>
      <c r="H9">
        <v>36230</v>
      </c>
      <c r="I9">
        <v>20</v>
      </c>
      <c r="J9">
        <f>RTD("greekserver.rtdfunctions",,"102036230 5")</f>
        <v>100</v>
      </c>
      <c r="K9">
        <f>RTD("greekserver.rtdfunctions",,"102036230 4")/100</f>
        <v>4348.05</v>
      </c>
      <c r="L9">
        <f>RTD("greekserver.rtdfunctions",,"102036230 7")</f>
        <v>100</v>
      </c>
      <c r="M9">
        <f>RTD("greekserver.rtdfunctions",,"102036230 6")/100</f>
        <v>4463.45</v>
      </c>
      <c r="N9">
        <f>RTD("greekserver.rtdfunctions",,"102036230 8")/100</f>
        <v>0</v>
      </c>
      <c r="O9">
        <f>RTD("greekserver.rtdfunctions",,"102036230 12")</f>
        <v>0</v>
      </c>
      <c r="P9">
        <f>RTD("greekserver.rtdfunctions",,"102036230 24")/100</f>
        <v>4348.05</v>
      </c>
      <c r="Q9">
        <f>RTD("greekserver.rtdfunctions",,"102036230 25")</f>
        <v>100</v>
      </c>
      <c r="R9">
        <f>RTD("greekserver.rtdfunctions",,"102036230 26")/100</f>
        <v>4463.45</v>
      </c>
      <c r="S9">
        <f>RTD("greekserver.rtdfunctions",,"102036230 27")</f>
        <v>100</v>
      </c>
      <c r="T9">
        <f>RTD("greekserver.rtdfunctions",,"102036230 13")/100</f>
        <v>0</v>
      </c>
      <c r="U9">
        <f>RTD("greekserver.rtdfunctions",,"102036230 14")/100</f>
        <v>2965.45</v>
      </c>
      <c r="V9">
        <f>RTD("greekserver.rtdfunctions",,"102036230 15")/100</f>
        <v>0</v>
      </c>
      <c r="W9">
        <f>RTD("greekserver.rtdfunctions",,"102036230 16")/100</f>
        <v>0</v>
      </c>
      <c r="X9">
        <f>RTD("greekserver.rtdfunctions",,"102036230 10")/100</f>
        <v>0</v>
      </c>
      <c r="Y9">
        <f>RTD("greekserver.rtdfunctions",,"102036230 11")</f>
        <v>0</v>
      </c>
      <c r="Z9" t="str">
        <f>nseltodate(RTD("greekserver.rtdfunctions",,"102036230 20"))</f>
        <v>N/A</v>
      </c>
      <c r="AA9">
        <f>RTD("greekserver.rtdfunctions",,"102036230 18")/100</f>
        <v>0</v>
      </c>
      <c r="AB9">
        <f>RTD("greekserver.rtdfunctions",,"102036230 17")/100</f>
        <v>0</v>
      </c>
      <c r="AC9">
        <f>RTD("greekserver.rtdfunctions",,"102036230 40")/100</f>
        <v>0</v>
      </c>
      <c r="AD9">
        <f>RTD("greekserver.rtdfunctions",,"102036230 34")/100</f>
        <v>0</v>
      </c>
    </row>
    <row r="10" spans="1:37" x14ac:dyDescent="0.2">
      <c r="A10">
        <v>102036231</v>
      </c>
      <c r="B10" t="s">
        <v>93</v>
      </c>
      <c r="C10" t="s">
        <v>345</v>
      </c>
      <c r="D10" t="s">
        <v>102</v>
      </c>
      <c r="E10" s="15">
        <v>43874</v>
      </c>
      <c r="F10">
        <v>26900</v>
      </c>
      <c r="G10" t="s">
        <v>347</v>
      </c>
      <c r="H10">
        <v>36231</v>
      </c>
      <c r="I10">
        <v>20</v>
      </c>
      <c r="J10">
        <f>RTD("greekserver.rtdfunctions",,"102036231 5")</f>
        <v>500</v>
      </c>
      <c r="K10">
        <f>RTD("greekserver.rtdfunctions",,"102036231 4")/100</f>
        <v>0.15</v>
      </c>
      <c r="L10">
        <f>RTD("greekserver.rtdfunctions",,"102036231 7")</f>
        <v>20</v>
      </c>
      <c r="M10">
        <f>RTD("greekserver.rtdfunctions",,"102036231 6")/100</f>
        <v>0.3</v>
      </c>
      <c r="N10">
        <f>RTD("greekserver.rtdfunctions",,"102036231 8")/100</f>
        <v>0.25</v>
      </c>
      <c r="O10">
        <f>RTD("greekserver.rtdfunctions",,"102036231 12")</f>
        <v>10020</v>
      </c>
      <c r="P10">
        <f>RTD("greekserver.rtdfunctions",,"102036231 24")/100</f>
        <v>0.15</v>
      </c>
      <c r="Q10">
        <f>RTD("greekserver.rtdfunctions",,"102036231 25")</f>
        <v>500</v>
      </c>
      <c r="R10">
        <f>RTD("greekserver.rtdfunctions",,"102036231 26")/100</f>
        <v>0.3</v>
      </c>
      <c r="S10">
        <f>RTD("greekserver.rtdfunctions",,"102036231 27")</f>
        <v>20</v>
      </c>
      <c r="T10">
        <f>RTD("greekserver.rtdfunctions",,"102036231 13")/100</f>
        <v>0.5</v>
      </c>
      <c r="U10">
        <f>RTD("greekserver.rtdfunctions",,"102036231 14")/100</f>
        <v>0.55000000000000004</v>
      </c>
      <c r="V10">
        <f>RTD("greekserver.rtdfunctions",,"102036231 15")/100</f>
        <v>0.5</v>
      </c>
      <c r="W10">
        <f>RTD("greekserver.rtdfunctions",,"102036231 16")/100</f>
        <v>0.15</v>
      </c>
      <c r="X10">
        <f>RTD("greekserver.rtdfunctions",,"102036231 10")/100</f>
        <v>0.15</v>
      </c>
      <c r="Y10">
        <f>RTD("greekserver.rtdfunctions",,"102036231 11")</f>
        <v>20</v>
      </c>
      <c r="Z10" t="str">
        <f>nseltodate(RTD("greekserver.rtdfunctions",,"102036231 20"))</f>
        <v>09:46:03 AM</v>
      </c>
      <c r="AA10">
        <f>RTD("greekserver.rtdfunctions",,"102036231 18")/100</f>
        <v>0</v>
      </c>
      <c r="AB10">
        <f>RTD("greekserver.rtdfunctions",,"102036231 17")/100</f>
        <v>0</v>
      </c>
      <c r="AC10">
        <f>RTD("greekserver.rtdfunctions",,"102036231 40")/100</f>
        <v>2</v>
      </c>
      <c r="AD10">
        <f>RTD("greekserver.rtdfunctions",,"102036231 34")/100</f>
        <v>0</v>
      </c>
    </row>
    <row r="11" spans="1:37" hidden="1" x14ac:dyDescent="0.2">
      <c r="A11">
        <v>102036232</v>
      </c>
      <c r="B11" t="s">
        <v>93</v>
      </c>
      <c r="C11" t="s">
        <v>345</v>
      </c>
      <c r="D11" t="s">
        <v>102</v>
      </c>
      <c r="E11" s="15">
        <v>43874</v>
      </c>
      <c r="F11">
        <v>27000</v>
      </c>
      <c r="G11" t="s">
        <v>346</v>
      </c>
      <c r="H11">
        <v>36232</v>
      </c>
      <c r="I11">
        <v>20</v>
      </c>
      <c r="J11">
        <f>RTD("greekserver.rtdfunctions",,"102036232 5")</f>
        <v>100</v>
      </c>
      <c r="K11">
        <f>RTD("greekserver.rtdfunctions",,"102036232 4")/100</f>
        <v>4248.05</v>
      </c>
      <c r="L11">
        <f>RTD("greekserver.rtdfunctions",,"102036232 7")</f>
        <v>100</v>
      </c>
      <c r="M11">
        <f>RTD("greekserver.rtdfunctions",,"102036232 6")/100</f>
        <v>4363.45</v>
      </c>
      <c r="N11">
        <f>RTD("greekserver.rtdfunctions",,"102036232 8")/100</f>
        <v>0</v>
      </c>
      <c r="O11">
        <f>RTD("greekserver.rtdfunctions",,"102036232 12")</f>
        <v>0</v>
      </c>
      <c r="P11">
        <f>RTD("greekserver.rtdfunctions",,"102036232 24")/100</f>
        <v>4248.05</v>
      </c>
      <c r="Q11">
        <f>RTD("greekserver.rtdfunctions",,"102036232 25")</f>
        <v>100</v>
      </c>
      <c r="R11">
        <f>RTD("greekserver.rtdfunctions",,"102036232 26")/100</f>
        <v>4363.45</v>
      </c>
      <c r="S11">
        <f>RTD("greekserver.rtdfunctions",,"102036232 27")</f>
        <v>100</v>
      </c>
      <c r="T11">
        <f>RTD("greekserver.rtdfunctions",,"102036232 13")/100</f>
        <v>0</v>
      </c>
      <c r="U11">
        <f>RTD("greekserver.rtdfunctions",,"102036232 14")/100</f>
        <v>2865.65</v>
      </c>
      <c r="V11">
        <f>RTD("greekserver.rtdfunctions",,"102036232 15")/100</f>
        <v>0</v>
      </c>
      <c r="W11">
        <f>RTD("greekserver.rtdfunctions",,"102036232 16")/100</f>
        <v>0</v>
      </c>
      <c r="X11">
        <f>RTD("greekserver.rtdfunctions",,"102036232 10")/100</f>
        <v>0</v>
      </c>
      <c r="Y11">
        <f>RTD("greekserver.rtdfunctions",,"102036232 11")</f>
        <v>0</v>
      </c>
      <c r="Z11" t="str">
        <f>nseltodate(RTD("greekserver.rtdfunctions",,"102036232 20"))</f>
        <v>N/A</v>
      </c>
      <c r="AA11">
        <f>RTD("greekserver.rtdfunctions",,"102036232 18")/100</f>
        <v>0</v>
      </c>
      <c r="AB11">
        <f>RTD("greekserver.rtdfunctions",,"102036232 17")/100</f>
        <v>0</v>
      </c>
      <c r="AC11">
        <f>RTD("greekserver.rtdfunctions",,"102036232 40")/100</f>
        <v>0</v>
      </c>
      <c r="AD11">
        <f>RTD("greekserver.rtdfunctions",,"102036232 34")/100</f>
        <v>0</v>
      </c>
    </row>
    <row r="12" spans="1:37" x14ac:dyDescent="0.2">
      <c r="A12">
        <v>102036233</v>
      </c>
      <c r="B12" t="s">
        <v>93</v>
      </c>
      <c r="C12" t="s">
        <v>345</v>
      </c>
      <c r="D12" t="s">
        <v>102</v>
      </c>
      <c r="E12" s="15">
        <v>43874</v>
      </c>
      <c r="F12">
        <v>27000</v>
      </c>
      <c r="G12" t="s">
        <v>347</v>
      </c>
      <c r="H12">
        <v>36233</v>
      </c>
      <c r="I12">
        <v>20</v>
      </c>
      <c r="J12">
        <f>RTD("greekserver.rtdfunctions",,"102036233 5")</f>
        <v>0</v>
      </c>
      <c r="K12">
        <f>RTD("greekserver.rtdfunctions",,"102036233 4")/100</f>
        <v>0</v>
      </c>
      <c r="L12">
        <f>RTD("greekserver.rtdfunctions",,"102036233 7")</f>
        <v>500</v>
      </c>
      <c r="M12">
        <f>RTD("greekserver.rtdfunctions",,"102036233 6")/100</f>
        <v>0.6</v>
      </c>
      <c r="N12">
        <f>RTD("greekserver.rtdfunctions",,"102036233 8")/100</f>
        <v>0</v>
      </c>
      <c r="O12">
        <f>RTD("greekserver.rtdfunctions",,"102036233 12")</f>
        <v>0</v>
      </c>
      <c r="P12">
        <f>RTD("greekserver.rtdfunctions",,"102036233 24")/100</f>
        <v>0</v>
      </c>
      <c r="Q12">
        <f>RTD("greekserver.rtdfunctions",,"102036233 25")</f>
        <v>0</v>
      </c>
      <c r="R12">
        <f>RTD("greekserver.rtdfunctions",,"102036233 26")/100</f>
        <v>0.6</v>
      </c>
      <c r="S12">
        <f>RTD("greekserver.rtdfunctions",,"102036233 27")</f>
        <v>500</v>
      </c>
      <c r="T12">
        <f>RTD("greekserver.rtdfunctions",,"102036233 13")/100</f>
        <v>0</v>
      </c>
      <c r="U12">
        <f>RTD("greekserver.rtdfunctions",,"102036233 14")/100</f>
        <v>0.1</v>
      </c>
      <c r="V12">
        <f>RTD("greekserver.rtdfunctions",,"102036233 15")/100</f>
        <v>0</v>
      </c>
      <c r="W12">
        <f>RTD("greekserver.rtdfunctions",,"102036233 16")/100</f>
        <v>0</v>
      </c>
      <c r="X12">
        <f>RTD("greekserver.rtdfunctions",,"102036233 10")/100</f>
        <v>0</v>
      </c>
      <c r="Y12">
        <f>RTD("greekserver.rtdfunctions",,"102036233 11")</f>
        <v>0</v>
      </c>
      <c r="Z12" t="str">
        <f>nseltodate(RTD("greekserver.rtdfunctions",,"102036233 20"))</f>
        <v>N/A</v>
      </c>
      <c r="AA12">
        <f>RTD("greekserver.rtdfunctions",,"102036233 18")/100</f>
        <v>0</v>
      </c>
      <c r="AB12">
        <f>RTD("greekserver.rtdfunctions",,"102036233 17")/100</f>
        <v>0</v>
      </c>
      <c r="AC12">
        <f>RTD("greekserver.rtdfunctions",,"102036233 40")/100</f>
        <v>0</v>
      </c>
      <c r="AD12">
        <f>RTD("greekserver.rtdfunctions",,"102036233 34")/100</f>
        <v>0</v>
      </c>
    </row>
    <row r="13" spans="1:37" hidden="1" x14ac:dyDescent="0.2">
      <c r="A13">
        <v>102036238</v>
      </c>
      <c r="B13" t="s">
        <v>93</v>
      </c>
      <c r="C13" t="s">
        <v>345</v>
      </c>
      <c r="D13" t="s">
        <v>102</v>
      </c>
      <c r="E13" s="15">
        <v>43874</v>
      </c>
      <c r="F13">
        <v>27100</v>
      </c>
      <c r="G13" t="s">
        <v>346</v>
      </c>
      <c r="H13">
        <v>36238</v>
      </c>
      <c r="I13">
        <v>20</v>
      </c>
      <c r="J13">
        <f>RTD("greekserver.rtdfunctions",,"102036238 5")</f>
        <v>100</v>
      </c>
      <c r="K13">
        <f>RTD("greekserver.rtdfunctions",,"102036238 4")/100</f>
        <v>4148.05</v>
      </c>
      <c r="L13">
        <f>RTD("greekserver.rtdfunctions",,"102036238 7")</f>
        <v>100</v>
      </c>
      <c r="M13">
        <f>RTD("greekserver.rtdfunctions",,"102036238 6")/100</f>
        <v>4263.45</v>
      </c>
      <c r="N13">
        <f>RTD("greekserver.rtdfunctions",,"102036238 8")/100</f>
        <v>0</v>
      </c>
      <c r="O13">
        <f>RTD("greekserver.rtdfunctions",,"102036238 12")</f>
        <v>0</v>
      </c>
      <c r="P13">
        <f>RTD("greekserver.rtdfunctions",,"102036238 24")/100</f>
        <v>4148.05</v>
      </c>
      <c r="Q13">
        <f>RTD("greekserver.rtdfunctions",,"102036238 25")</f>
        <v>100</v>
      </c>
      <c r="R13">
        <f>RTD("greekserver.rtdfunctions",,"102036238 26")/100</f>
        <v>4263.45</v>
      </c>
      <c r="S13">
        <f>RTD("greekserver.rtdfunctions",,"102036238 27")</f>
        <v>100</v>
      </c>
      <c r="T13">
        <f>RTD("greekserver.rtdfunctions",,"102036238 13")/100</f>
        <v>0</v>
      </c>
      <c r="U13">
        <f>RTD("greekserver.rtdfunctions",,"102036238 14")/100</f>
        <v>2765.85</v>
      </c>
      <c r="V13">
        <f>RTD("greekserver.rtdfunctions",,"102036238 15")/100</f>
        <v>0</v>
      </c>
      <c r="W13">
        <f>RTD("greekserver.rtdfunctions",,"102036238 16")/100</f>
        <v>0</v>
      </c>
      <c r="X13">
        <f>RTD("greekserver.rtdfunctions",,"102036238 10")/100</f>
        <v>0</v>
      </c>
      <c r="Y13">
        <f>RTD("greekserver.rtdfunctions",,"102036238 11")</f>
        <v>0</v>
      </c>
      <c r="Z13" t="str">
        <f>nseltodate(RTD("greekserver.rtdfunctions",,"102036238 20"))</f>
        <v>N/A</v>
      </c>
      <c r="AA13">
        <f>RTD("greekserver.rtdfunctions",,"102036238 18")/100</f>
        <v>0</v>
      </c>
      <c r="AB13">
        <f>RTD("greekserver.rtdfunctions",,"102036238 17")/100</f>
        <v>0</v>
      </c>
      <c r="AC13">
        <f>RTD("greekserver.rtdfunctions",,"102036238 40")/100</f>
        <v>0</v>
      </c>
      <c r="AD13">
        <f>RTD("greekserver.rtdfunctions",,"102036238 34")/100</f>
        <v>0</v>
      </c>
    </row>
    <row r="14" spans="1:37" x14ac:dyDescent="0.2">
      <c r="A14">
        <v>102036239</v>
      </c>
      <c r="B14" t="s">
        <v>93</v>
      </c>
      <c r="C14" t="s">
        <v>345</v>
      </c>
      <c r="D14" t="s">
        <v>102</v>
      </c>
      <c r="E14" s="15">
        <v>43874</v>
      </c>
      <c r="F14">
        <v>27100</v>
      </c>
      <c r="G14" t="s">
        <v>347</v>
      </c>
      <c r="H14">
        <v>36239</v>
      </c>
      <c r="I14">
        <v>20</v>
      </c>
      <c r="J14">
        <f>RTD("greekserver.rtdfunctions",,"102036239 5")</f>
        <v>0</v>
      </c>
      <c r="K14">
        <f>RTD("greekserver.rtdfunctions",,"102036239 4")/100</f>
        <v>0</v>
      </c>
      <c r="L14">
        <f>RTD("greekserver.rtdfunctions",,"102036239 7")</f>
        <v>20</v>
      </c>
      <c r="M14">
        <f>RTD("greekserver.rtdfunctions",,"102036239 6")/100</f>
        <v>0.25</v>
      </c>
      <c r="N14">
        <f>RTD("greekserver.rtdfunctions",,"102036239 8")/100</f>
        <v>0</v>
      </c>
      <c r="O14">
        <f>RTD("greekserver.rtdfunctions",,"102036239 12")</f>
        <v>0</v>
      </c>
      <c r="P14">
        <f>RTD("greekserver.rtdfunctions",,"102036239 24")/100</f>
        <v>0</v>
      </c>
      <c r="Q14">
        <f>RTD("greekserver.rtdfunctions",,"102036239 25")</f>
        <v>0</v>
      </c>
      <c r="R14">
        <f>RTD("greekserver.rtdfunctions",,"102036239 26")/100</f>
        <v>0.25</v>
      </c>
      <c r="S14">
        <f>RTD("greekserver.rtdfunctions",,"102036239 27")</f>
        <v>20</v>
      </c>
      <c r="T14">
        <f>RTD("greekserver.rtdfunctions",,"102036239 13")/100</f>
        <v>0</v>
      </c>
      <c r="U14">
        <f>RTD("greekserver.rtdfunctions",,"102036239 14")/100</f>
        <v>0.2</v>
      </c>
      <c r="V14">
        <f>RTD("greekserver.rtdfunctions",,"102036239 15")/100</f>
        <v>0</v>
      </c>
      <c r="W14">
        <f>RTD("greekserver.rtdfunctions",,"102036239 16")/100</f>
        <v>0</v>
      </c>
      <c r="X14">
        <f>RTD("greekserver.rtdfunctions",,"102036239 10")/100</f>
        <v>0.2</v>
      </c>
      <c r="Y14">
        <f>RTD("greekserver.rtdfunctions",,"102036239 11")</f>
        <v>20</v>
      </c>
      <c r="Z14" t="str">
        <f>nseltodate(RTD("greekserver.rtdfunctions",,"102036239 20"))</f>
        <v>11:48:47 AM</v>
      </c>
      <c r="AA14">
        <f>RTD("greekserver.rtdfunctions",,"102036239 18")/100</f>
        <v>0</v>
      </c>
      <c r="AB14">
        <f>RTD("greekserver.rtdfunctions",,"102036239 17")/100</f>
        <v>0</v>
      </c>
      <c r="AC14">
        <f>RTD("greekserver.rtdfunctions",,"102036239 40")/100</f>
        <v>0</v>
      </c>
      <c r="AD14">
        <f>RTD("greekserver.rtdfunctions",,"102036239 34")/100</f>
        <v>0</v>
      </c>
    </row>
    <row r="15" spans="1:37" hidden="1" x14ac:dyDescent="0.2">
      <c r="A15">
        <v>102036240</v>
      </c>
      <c r="B15" t="s">
        <v>93</v>
      </c>
      <c r="C15" t="s">
        <v>345</v>
      </c>
      <c r="D15" t="s">
        <v>102</v>
      </c>
      <c r="E15" s="15">
        <v>43874</v>
      </c>
      <c r="F15">
        <v>27200</v>
      </c>
      <c r="G15" t="s">
        <v>346</v>
      </c>
      <c r="H15">
        <v>36240</v>
      </c>
      <c r="I15">
        <v>20</v>
      </c>
      <c r="J15">
        <f>RTD("greekserver.rtdfunctions",,"102036240 5")</f>
        <v>100</v>
      </c>
      <c r="K15">
        <f>RTD("greekserver.rtdfunctions",,"102036240 4")/100</f>
        <v>4048.05</v>
      </c>
      <c r="L15">
        <f>RTD("greekserver.rtdfunctions",,"102036240 7")</f>
        <v>100</v>
      </c>
      <c r="M15">
        <f>RTD("greekserver.rtdfunctions",,"102036240 6")/100</f>
        <v>4163.45</v>
      </c>
      <c r="N15">
        <f>RTD("greekserver.rtdfunctions",,"102036240 8")/100</f>
        <v>0</v>
      </c>
      <c r="O15">
        <f>RTD("greekserver.rtdfunctions",,"102036240 12")</f>
        <v>0</v>
      </c>
      <c r="P15">
        <f>RTD("greekserver.rtdfunctions",,"102036240 24")/100</f>
        <v>4048.05</v>
      </c>
      <c r="Q15">
        <f>RTD("greekserver.rtdfunctions",,"102036240 25")</f>
        <v>100</v>
      </c>
      <c r="R15">
        <f>RTD("greekserver.rtdfunctions",,"102036240 26")/100</f>
        <v>4163.45</v>
      </c>
      <c r="S15">
        <f>RTD("greekserver.rtdfunctions",,"102036240 27")</f>
        <v>100</v>
      </c>
      <c r="T15">
        <f>RTD("greekserver.rtdfunctions",,"102036240 13")/100</f>
        <v>0</v>
      </c>
      <c r="U15">
        <f>RTD("greekserver.rtdfunctions",,"102036240 14")/100</f>
        <v>2666.1</v>
      </c>
      <c r="V15">
        <f>RTD("greekserver.rtdfunctions",,"102036240 15")/100</f>
        <v>0</v>
      </c>
      <c r="W15">
        <f>RTD("greekserver.rtdfunctions",,"102036240 16")/100</f>
        <v>0</v>
      </c>
      <c r="X15">
        <f>RTD("greekserver.rtdfunctions",,"102036240 10")/100</f>
        <v>0</v>
      </c>
      <c r="Y15">
        <f>RTD("greekserver.rtdfunctions",,"102036240 11")</f>
        <v>0</v>
      </c>
      <c r="Z15" t="str">
        <f>nseltodate(RTD("greekserver.rtdfunctions",,"102036240 20"))</f>
        <v>N/A</v>
      </c>
      <c r="AA15">
        <f>RTD("greekserver.rtdfunctions",,"102036240 18")/100</f>
        <v>0</v>
      </c>
      <c r="AB15">
        <f>RTD("greekserver.rtdfunctions",,"102036240 17")/100</f>
        <v>0</v>
      </c>
      <c r="AC15">
        <f>RTD("greekserver.rtdfunctions",,"102036240 40")/100</f>
        <v>0</v>
      </c>
      <c r="AD15">
        <f>RTD("greekserver.rtdfunctions",,"102036240 34")/100</f>
        <v>0</v>
      </c>
    </row>
    <row r="16" spans="1:37" x14ac:dyDescent="0.2">
      <c r="A16">
        <v>102036241</v>
      </c>
      <c r="B16" t="s">
        <v>93</v>
      </c>
      <c r="C16" t="s">
        <v>345</v>
      </c>
      <c r="D16" t="s">
        <v>102</v>
      </c>
      <c r="E16" s="15">
        <v>43874</v>
      </c>
      <c r="F16">
        <v>27200</v>
      </c>
      <c r="G16" t="s">
        <v>347</v>
      </c>
      <c r="H16">
        <v>36241</v>
      </c>
      <c r="I16">
        <v>20</v>
      </c>
      <c r="J16">
        <f>RTD("greekserver.rtdfunctions",,"102036241 5")</f>
        <v>0</v>
      </c>
      <c r="K16">
        <f>RTD("greekserver.rtdfunctions",,"102036241 4")/100</f>
        <v>0</v>
      </c>
      <c r="L16">
        <f>RTD("greekserver.rtdfunctions",,"102036241 7")</f>
        <v>20</v>
      </c>
      <c r="M16">
        <f>RTD("greekserver.rtdfunctions",,"102036241 6")/100</f>
        <v>0.5</v>
      </c>
      <c r="N16">
        <f>RTD("greekserver.rtdfunctions",,"102036241 8")/100</f>
        <v>0</v>
      </c>
      <c r="O16">
        <f>RTD("greekserver.rtdfunctions",,"102036241 12")</f>
        <v>0</v>
      </c>
      <c r="P16">
        <f>RTD("greekserver.rtdfunctions",,"102036241 24")/100</f>
        <v>0</v>
      </c>
      <c r="Q16">
        <f>RTD("greekserver.rtdfunctions",,"102036241 25")</f>
        <v>0</v>
      </c>
      <c r="R16">
        <f>RTD("greekserver.rtdfunctions",,"102036241 26")/100</f>
        <v>0.5</v>
      </c>
      <c r="S16">
        <f>RTD("greekserver.rtdfunctions",,"102036241 27")</f>
        <v>20</v>
      </c>
      <c r="T16">
        <f>RTD("greekserver.rtdfunctions",,"102036241 13")/100</f>
        <v>0</v>
      </c>
      <c r="U16">
        <f>RTD("greekserver.rtdfunctions",,"102036241 14")/100</f>
        <v>1.05</v>
      </c>
      <c r="V16">
        <f>RTD("greekserver.rtdfunctions",,"102036241 15")/100</f>
        <v>0</v>
      </c>
      <c r="W16">
        <f>RTD("greekserver.rtdfunctions",,"102036241 16")/100</f>
        <v>0</v>
      </c>
      <c r="X16">
        <f>RTD("greekserver.rtdfunctions",,"102036241 10")/100</f>
        <v>1.05</v>
      </c>
      <c r="Y16">
        <f>RTD("greekserver.rtdfunctions",,"102036241 11")</f>
        <v>20</v>
      </c>
      <c r="Z16" t="str">
        <f>nseltodate(RTD("greekserver.rtdfunctions",,"102036241 20"))</f>
        <v>01:43:26 PM</v>
      </c>
      <c r="AA16">
        <f>RTD("greekserver.rtdfunctions",,"102036241 18")/100</f>
        <v>0</v>
      </c>
      <c r="AB16">
        <f>RTD("greekserver.rtdfunctions",,"102036241 17")/100</f>
        <v>0</v>
      </c>
      <c r="AC16">
        <f>RTD("greekserver.rtdfunctions",,"102036241 40")/100</f>
        <v>0</v>
      </c>
      <c r="AD16">
        <f>RTD("greekserver.rtdfunctions",,"102036241 34")/100</f>
        <v>0</v>
      </c>
    </row>
    <row r="17" spans="1:30" hidden="1" x14ac:dyDescent="0.2">
      <c r="A17">
        <v>102036242</v>
      </c>
      <c r="B17" t="s">
        <v>93</v>
      </c>
      <c r="C17" t="s">
        <v>345</v>
      </c>
      <c r="D17" t="s">
        <v>102</v>
      </c>
      <c r="E17" s="15">
        <v>43874</v>
      </c>
      <c r="F17">
        <v>27300</v>
      </c>
      <c r="G17" t="s">
        <v>346</v>
      </c>
      <c r="H17">
        <v>36242</v>
      </c>
      <c r="I17">
        <v>20</v>
      </c>
      <c r="J17">
        <f>RTD("greekserver.rtdfunctions",,"102036242 5")</f>
        <v>100</v>
      </c>
      <c r="K17">
        <f>RTD("greekserver.rtdfunctions",,"102036242 4")/100</f>
        <v>3948.05</v>
      </c>
      <c r="L17">
        <f>RTD("greekserver.rtdfunctions",,"102036242 7")</f>
        <v>100</v>
      </c>
      <c r="M17">
        <f>RTD("greekserver.rtdfunctions",,"102036242 6")/100</f>
        <v>4063.45</v>
      </c>
      <c r="N17">
        <f>RTD("greekserver.rtdfunctions",,"102036242 8")/100</f>
        <v>0</v>
      </c>
      <c r="O17">
        <f>RTD("greekserver.rtdfunctions",,"102036242 12")</f>
        <v>0</v>
      </c>
      <c r="P17">
        <f>RTD("greekserver.rtdfunctions",,"102036242 24")/100</f>
        <v>3948.05</v>
      </c>
      <c r="Q17">
        <f>RTD("greekserver.rtdfunctions",,"102036242 25")</f>
        <v>100</v>
      </c>
      <c r="R17">
        <f>RTD("greekserver.rtdfunctions",,"102036242 26")/100</f>
        <v>4063.45</v>
      </c>
      <c r="S17">
        <f>RTD("greekserver.rtdfunctions",,"102036242 27")</f>
        <v>100</v>
      </c>
      <c r="T17">
        <f>RTD("greekserver.rtdfunctions",,"102036242 13")/100</f>
        <v>0</v>
      </c>
      <c r="U17">
        <f>RTD("greekserver.rtdfunctions",,"102036242 14")/100</f>
        <v>2566.4</v>
      </c>
      <c r="V17">
        <f>RTD("greekserver.rtdfunctions",,"102036242 15")/100</f>
        <v>0</v>
      </c>
      <c r="W17">
        <f>RTD("greekserver.rtdfunctions",,"102036242 16")/100</f>
        <v>0</v>
      </c>
      <c r="X17">
        <f>RTD("greekserver.rtdfunctions",,"102036242 10")/100</f>
        <v>0</v>
      </c>
      <c r="Y17">
        <f>RTD("greekserver.rtdfunctions",,"102036242 11")</f>
        <v>0</v>
      </c>
      <c r="Z17" t="str">
        <f>nseltodate(RTD("greekserver.rtdfunctions",,"102036242 20"))</f>
        <v>N/A</v>
      </c>
      <c r="AA17">
        <f>RTD("greekserver.rtdfunctions",,"102036242 18")/100</f>
        <v>0</v>
      </c>
      <c r="AB17">
        <f>RTD("greekserver.rtdfunctions",,"102036242 17")/100</f>
        <v>0</v>
      </c>
      <c r="AC17">
        <f>RTD("greekserver.rtdfunctions",,"102036242 40")/100</f>
        <v>0</v>
      </c>
      <c r="AD17">
        <f>RTD("greekserver.rtdfunctions",,"102036242 34")/100</f>
        <v>0</v>
      </c>
    </row>
    <row r="18" spans="1:30" x14ac:dyDescent="0.2">
      <c r="A18">
        <v>102036243</v>
      </c>
      <c r="B18" t="s">
        <v>93</v>
      </c>
      <c r="C18" t="s">
        <v>345</v>
      </c>
      <c r="D18" t="s">
        <v>102</v>
      </c>
      <c r="E18" s="15">
        <v>43874</v>
      </c>
      <c r="F18">
        <v>27300</v>
      </c>
      <c r="G18" t="s">
        <v>347</v>
      </c>
      <c r="H18">
        <v>36243</v>
      </c>
      <c r="I18">
        <v>20</v>
      </c>
      <c r="J18">
        <f>RTD("greekserver.rtdfunctions",,"102036243 5")</f>
        <v>20</v>
      </c>
      <c r="K18">
        <f>RTD("greekserver.rtdfunctions",,"102036243 4")/100</f>
        <v>0.05</v>
      </c>
      <c r="L18">
        <f>RTD("greekserver.rtdfunctions",,"102036243 7")</f>
        <v>20</v>
      </c>
      <c r="M18">
        <f>RTD("greekserver.rtdfunctions",,"102036243 6")/100</f>
        <v>0.5</v>
      </c>
      <c r="N18">
        <f>RTD("greekserver.rtdfunctions",,"102036243 8")/100</f>
        <v>0</v>
      </c>
      <c r="O18">
        <f>RTD("greekserver.rtdfunctions",,"102036243 12")</f>
        <v>0</v>
      </c>
      <c r="P18">
        <f>RTD("greekserver.rtdfunctions",,"102036243 24")/100</f>
        <v>0.05</v>
      </c>
      <c r="Q18">
        <f>RTD("greekserver.rtdfunctions",,"102036243 25")</f>
        <v>20</v>
      </c>
      <c r="R18">
        <f>RTD("greekserver.rtdfunctions",,"102036243 26")/100</f>
        <v>0.5</v>
      </c>
      <c r="S18">
        <f>RTD("greekserver.rtdfunctions",,"102036243 27")</f>
        <v>20</v>
      </c>
      <c r="T18">
        <f>RTD("greekserver.rtdfunctions",,"102036243 13")/100</f>
        <v>0</v>
      </c>
      <c r="U18">
        <f>RTD("greekserver.rtdfunctions",,"102036243 14")/100</f>
        <v>0.65</v>
      </c>
      <c r="V18">
        <f>RTD("greekserver.rtdfunctions",,"102036243 15")/100</f>
        <v>0</v>
      </c>
      <c r="W18">
        <f>RTD("greekserver.rtdfunctions",,"102036243 16")/100</f>
        <v>0</v>
      </c>
      <c r="X18">
        <f>RTD("greekserver.rtdfunctions",,"102036243 10")/100</f>
        <v>0.65</v>
      </c>
      <c r="Y18">
        <f>RTD("greekserver.rtdfunctions",,"102036243 11")</f>
        <v>20</v>
      </c>
      <c r="Z18" t="str">
        <f>nseltodate(RTD("greekserver.rtdfunctions",,"102036243 20"))</f>
        <v>12:28:48 PM</v>
      </c>
      <c r="AA18">
        <f>RTD("greekserver.rtdfunctions",,"102036243 18")/100</f>
        <v>0</v>
      </c>
      <c r="AB18">
        <f>RTD("greekserver.rtdfunctions",,"102036243 17")/100</f>
        <v>0</v>
      </c>
      <c r="AC18">
        <f>RTD("greekserver.rtdfunctions",,"102036243 40")/100</f>
        <v>0</v>
      </c>
      <c r="AD18">
        <f>RTD("greekserver.rtdfunctions",,"102036243 34")/100</f>
        <v>0</v>
      </c>
    </row>
    <row r="19" spans="1:30" hidden="1" x14ac:dyDescent="0.2">
      <c r="A19">
        <v>102036254</v>
      </c>
      <c r="B19" t="s">
        <v>93</v>
      </c>
      <c r="C19" t="s">
        <v>345</v>
      </c>
      <c r="D19" t="s">
        <v>102</v>
      </c>
      <c r="E19" s="15">
        <v>43874</v>
      </c>
      <c r="F19">
        <v>27400</v>
      </c>
      <c r="G19" t="s">
        <v>346</v>
      </c>
      <c r="H19">
        <v>36254</v>
      </c>
      <c r="I19">
        <v>20</v>
      </c>
      <c r="J19">
        <f>RTD("greekserver.rtdfunctions",,"102036254 5")</f>
        <v>100</v>
      </c>
      <c r="K19">
        <f>RTD("greekserver.rtdfunctions",,"102036254 4")/100</f>
        <v>3848.05</v>
      </c>
      <c r="L19">
        <f>RTD("greekserver.rtdfunctions",,"102036254 7")</f>
        <v>100</v>
      </c>
      <c r="M19">
        <f>RTD("greekserver.rtdfunctions",,"102036254 6")/100</f>
        <v>3963.45</v>
      </c>
      <c r="N19">
        <f>RTD("greekserver.rtdfunctions",,"102036254 8")/100</f>
        <v>0</v>
      </c>
      <c r="O19">
        <f>RTD("greekserver.rtdfunctions",,"102036254 12")</f>
        <v>0</v>
      </c>
      <c r="P19">
        <f>RTD("greekserver.rtdfunctions",,"102036254 24")/100</f>
        <v>3848.05</v>
      </c>
      <c r="Q19">
        <f>RTD("greekserver.rtdfunctions",,"102036254 25")</f>
        <v>100</v>
      </c>
      <c r="R19">
        <f>RTD("greekserver.rtdfunctions",,"102036254 26")/100</f>
        <v>3963.45</v>
      </c>
      <c r="S19">
        <f>RTD("greekserver.rtdfunctions",,"102036254 27")</f>
        <v>100</v>
      </c>
      <c r="T19">
        <f>RTD("greekserver.rtdfunctions",,"102036254 13")/100</f>
        <v>0</v>
      </c>
      <c r="U19">
        <f>RTD("greekserver.rtdfunctions",,"102036254 14")/100</f>
        <v>2466.8000000000002</v>
      </c>
      <c r="V19">
        <f>RTD("greekserver.rtdfunctions",,"102036254 15")/100</f>
        <v>0</v>
      </c>
      <c r="W19">
        <f>RTD("greekserver.rtdfunctions",,"102036254 16")/100</f>
        <v>0</v>
      </c>
      <c r="X19">
        <f>RTD("greekserver.rtdfunctions",,"102036254 10")/100</f>
        <v>0</v>
      </c>
      <c r="Y19">
        <f>RTD("greekserver.rtdfunctions",,"102036254 11")</f>
        <v>0</v>
      </c>
      <c r="Z19" t="str">
        <f>nseltodate(RTD("greekserver.rtdfunctions",,"102036254 20"))</f>
        <v>N/A</v>
      </c>
      <c r="AA19">
        <f>RTD("greekserver.rtdfunctions",,"102036254 18")/100</f>
        <v>0</v>
      </c>
      <c r="AB19">
        <f>RTD("greekserver.rtdfunctions",,"102036254 17")/100</f>
        <v>0</v>
      </c>
      <c r="AC19">
        <f>RTD("greekserver.rtdfunctions",,"102036254 40")/100</f>
        <v>0</v>
      </c>
      <c r="AD19">
        <f>RTD("greekserver.rtdfunctions",,"102036254 34")/100</f>
        <v>0</v>
      </c>
    </row>
    <row r="20" spans="1:30" x14ac:dyDescent="0.2">
      <c r="A20">
        <v>102036255</v>
      </c>
      <c r="B20" t="s">
        <v>93</v>
      </c>
      <c r="C20" t="s">
        <v>345</v>
      </c>
      <c r="D20" t="s">
        <v>102</v>
      </c>
      <c r="E20" s="15">
        <v>43874</v>
      </c>
      <c r="F20">
        <v>27400</v>
      </c>
      <c r="G20" t="s">
        <v>347</v>
      </c>
      <c r="H20">
        <v>36255</v>
      </c>
      <c r="I20">
        <v>20</v>
      </c>
      <c r="J20">
        <f>RTD("greekserver.rtdfunctions",,"102036255 5")</f>
        <v>0</v>
      </c>
      <c r="K20">
        <f>RTD("greekserver.rtdfunctions",,"102036255 4")/100</f>
        <v>0</v>
      </c>
      <c r="L20">
        <f>RTD("greekserver.rtdfunctions",,"102036255 7")</f>
        <v>20</v>
      </c>
      <c r="M20">
        <f>RTD("greekserver.rtdfunctions",,"102036255 6")/100</f>
        <v>0.5</v>
      </c>
      <c r="N20">
        <f>RTD("greekserver.rtdfunctions",,"102036255 8")/100</f>
        <v>0</v>
      </c>
      <c r="O20">
        <f>RTD("greekserver.rtdfunctions",,"102036255 12")</f>
        <v>0</v>
      </c>
      <c r="P20">
        <f>RTD("greekserver.rtdfunctions",,"102036255 24")/100</f>
        <v>0</v>
      </c>
      <c r="Q20">
        <f>RTD("greekserver.rtdfunctions",,"102036255 25")</f>
        <v>0</v>
      </c>
      <c r="R20">
        <f>RTD("greekserver.rtdfunctions",,"102036255 26")/100</f>
        <v>0.5</v>
      </c>
      <c r="S20">
        <f>RTD("greekserver.rtdfunctions",,"102036255 27")</f>
        <v>20</v>
      </c>
      <c r="T20">
        <f>RTD("greekserver.rtdfunctions",,"102036255 13")/100</f>
        <v>0</v>
      </c>
      <c r="U20">
        <f>RTD("greekserver.rtdfunctions",,"102036255 14")/100</f>
        <v>1</v>
      </c>
      <c r="V20">
        <f>RTD("greekserver.rtdfunctions",,"102036255 15")/100</f>
        <v>0</v>
      </c>
      <c r="W20">
        <f>RTD("greekserver.rtdfunctions",,"102036255 16")/100</f>
        <v>0</v>
      </c>
      <c r="X20">
        <f>RTD("greekserver.rtdfunctions",,"102036255 10")/100</f>
        <v>1</v>
      </c>
      <c r="Y20">
        <f>RTD("greekserver.rtdfunctions",,"102036255 11")</f>
        <v>40</v>
      </c>
      <c r="Z20" t="str">
        <f>nseltodate(RTD("greekserver.rtdfunctions",,"102036255 20"))</f>
        <v>03:04:59 PM</v>
      </c>
      <c r="AA20">
        <f>RTD("greekserver.rtdfunctions",,"102036255 18")/100</f>
        <v>0</v>
      </c>
      <c r="AB20">
        <f>RTD("greekserver.rtdfunctions",,"102036255 17")/100</f>
        <v>0</v>
      </c>
      <c r="AC20">
        <f>RTD("greekserver.rtdfunctions",,"102036255 40")/100</f>
        <v>0</v>
      </c>
      <c r="AD20">
        <f>RTD("greekserver.rtdfunctions",,"102036255 34")/100</f>
        <v>0</v>
      </c>
    </row>
    <row r="21" spans="1:30" hidden="1" x14ac:dyDescent="0.2">
      <c r="A21">
        <v>102036256</v>
      </c>
      <c r="B21" t="s">
        <v>93</v>
      </c>
      <c r="C21" t="s">
        <v>345</v>
      </c>
      <c r="D21" t="s">
        <v>102</v>
      </c>
      <c r="E21" s="15">
        <v>43874</v>
      </c>
      <c r="F21">
        <v>27500</v>
      </c>
      <c r="G21" t="s">
        <v>346</v>
      </c>
      <c r="H21">
        <v>36256</v>
      </c>
      <c r="I21">
        <v>20</v>
      </c>
      <c r="J21">
        <f>RTD("greekserver.rtdfunctions",,"102036256 5")</f>
        <v>100</v>
      </c>
      <c r="K21">
        <f>RTD("greekserver.rtdfunctions",,"102036256 4")/100</f>
        <v>3748.05</v>
      </c>
      <c r="L21">
        <f>RTD("greekserver.rtdfunctions",,"102036256 7")</f>
        <v>100</v>
      </c>
      <c r="M21">
        <f>RTD("greekserver.rtdfunctions",,"102036256 6")/100</f>
        <v>3863.45</v>
      </c>
      <c r="N21">
        <f>RTD("greekserver.rtdfunctions",,"102036256 8")/100</f>
        <v>0</v>
      </c>
      <c r="O21">
        <f>RTD("greekserver.rtdfunctions",,"102036256 12")</f>
        <v>0</v>
      </c>
      <c r="P21">
        <f>RTD("greekserver.rtdfunctions",,"102036256 24")/100</f>
        <v>3748.05</v>
      </c>
      <c r="Q21">
        <f>RTD("greekserver.rtdfunctions",,"102036256 25")</f>
        <v>100</v>
      </c>
      <c r="R21">
        <f>RTD("greekserver.rtdfunctions",,"102036256 26")/100</f>
        <v>3863.45</v>
      </c>
      <c r="S21">
        <f>RTD("greekserver.rtdfunctions",,"102036256 27")</f>
        <v>100</v>
      </c>
      <c r="T21">
        <f>RTD("greekserver.rtdfunctions",,"102036256 13")/100</f>
        <v>0</v>
      </c>
      <c r="U21">
        <f>RTD("greekserver.rtdfunctions",,"102036256 14")/100</f>
        <v>2367.1999999999998</v>
      </c>
      <c r="V21">
        <f>RTD("greekserver.rtdfunctions",,"102036256 15")/100</f>
        <v>0</v>
      </c>
      <c r="W21">
        <f>RTD("greekserver.rtdfunctions",,"102036256 16")/100</f>
        <v>0</v>
      </c>
      <c r="X21">
        <f>RTD("greekserver.rtdfunctions",,"102036256 10")/100</f>
        <v>0</v>
      </c>
      <c r="Y21">
        <f>RTD("greekserver.rtdfunctions",,"102036256 11")</f>
        <v>0</v>
      </c>
      <c r="Z21" t="str">
        <f>nseltodate(RTD("greekserver.rtdfunctions",,"102036256 20"))</f>
        <v>N/A</v>
      </c>
      <c r="AA21">
        <f>RTD("greekserver.rtdfunctions",,"102036256 18")/100</f>
        <v>0</v>
      </c>
      <c r="AB21">
        <f>RTD("greekserver.rtdfunctions",,"102036256 17")/100</f>
        <v>0</v>
      </c>
      <c r="AC21">
        <f>RTD("greekserver.rtdfunctions",,"102036256 40")/100</f>
        <v>0</v>
      </c>
      <c r="AD21">
        <f>RTD("greekserver.rtdfunctions",,"102036256 34")/100</f>
        <v>0</v>
      </c>
    </row>
    <row r="22" spans="1:30" x14ac:dyDescent="0.2">
      <c r="A22">
        <v>102036257</v>
      </c>
      <c r="B22" t="s">
        <v>93</v>
      </c>
      <c r="C22" t="s">
        <v>345</v>
      </c>
      <c r="D22" t="s">
        <v>102</v>
      </c>
      <c r="E22" s="15">
        <v>43874</v>
      </c>
      <c r="F22">
        <v>27500</v>
      </c>
      <c r="G22" t="s">
        <v>347</v>
      </c>
      <c r="H22">
        <v>36257</v>
      </c>
      <c r="I22">
        <v>20</v>
      </c>
      <c r="J22">
        <f>RTD("greekserver.rtdfunctions",,"102036257 5")</f>
        <v>0</v>
      </c>
      <c r="K22">
        <f>RTD("greekserver.rtdfunctions",,"102036257 4")/100</f>
        <v>0</v>
      </c>
      <c r="L22">
        <f>RTD("greekserver.rtdfunctions",,"102036257 7")</f>
        <v>20</v>
      </c>
      <c r="M22">
        <f>RTD("greekserver.rtdfunctions",,"102036257 6")/100</f>
        <v>0.3</v>
      </c>
      <c r="N22">
        <f>RTD("greekserver.rtdfunctions",,"102036257 8")/100</f>
        <v>0</v>
      </c>
      <c r="O22">
        <f>RTD("greekserver.rtdfunctions",,"102036257 12")</f>
        <v>0</v>
      </c>
      <c r="P22">
        <f>RTD("greekserver.rtdfunctions",,"102036257 24")/100</f>
        <v>0</v>
      </c>
      <c r="Q22">
        <f>RTD("greekserver.rtdfunctions",,"102036257 25")</f>
        <v>0</v>
      </c>
      <c r="R22">
        <f>RTD("greekserver.rtdfunctions",,"102036257 26")/100</f>
        <v>0.3</v>
      </c>
      <c r="S22">
        <f>RTD("greekserver.rtdfunctions",,"102036257 27")</f>
        <v>20</v>
      </c>
      <c r="T22">
        <f>RTD("greekserver.rtdfunctions",,"102036257 13")/100</f>
        <v>0</v>
      </c>
      <c r="U22">
        <f>RTD("greekserver.rtdfunctions",,"102036257 14")/100</f>
        <v>1.8</v>
      </c>
      <c r="V22">
        <f>RTD("greekserver.rtdfunctions",,"102036257 15")/100</f>
        <v>0</v>
      </c>
      <c r="W22">
        <f>RTD("greekserver.rtdfunctions",,"102036257 16")/100</f>
        <v>0</v>
      </c>
      <c r="X22">
        <f>RTD("greekserver.rtdfunctions",,"102036257 10")/100</f>
        <v>1.8</v>
      </c>
      <c r="Y22">
        <f>RTD("greekserver.rtdfunctions",,"102036257 11")</f>
        <v>20</v>
      </c>
      <c r="Z22" t="str">
        <f>nseltodate(RTD("greekserver.rtdfunctions",,"102036257 20"))</f>
        <v>02:39:52 PM</v>
      </c>
      <c r="AA22">
        <f>RTD("greekserver.rtdfunctions",,"102036257 18")/100</f>
        <v>0</v>
      </c>
      <c r="AB22">
        <f>RTD("greekserver.rtdfunctions",,"102036257 17")/100</f>
        <v>0</v>
      </c>
      <c r="AC22">
        <f>RTD("greekserver.rtdfunctions",,"102036257 40")/100</f>
        <v>0</v>
      </c>
      <c r="AD22">
        <f>RTD("greekserver.rtdfunctions",,"102036257 34")/100</f>
        <v>0</v>
      </c>
    </row>
    <row r="23" spans="1:30" hidden="1" x14ac:dyDescent="0.2">
      <c r="A23">
        <v>102056784</v>
      </c>
      <c r="B23" t="s">
        <v>93</v>
      </c>
      <c r="C23" t="s">
        <v>345</v>
      </c>
      <c r="D23" t="s">
        <v>102</v>
      </c>
      <c r="E23" s="15">
        <v>43874</v>
      </c>
      <c r="F23">
        <v>27600</v>
      </c>
      <c r="G23" t="s">
        <v>346</v>
      </c>
      <c r="H23">
        <v>56784</v>
      </c>
      <c r="I23">
        <v>20</v>
      </c>
      <c r="J23">
        <f>RTD("greekserver.rtdfunctions",,"102056784 5")</f>
        <v>100</v>
      </c>
      <c r="K23">
        <f>RTD("greekserver.rtdfunctions",,"102056784 4")/100</f>
        <v>3648.05</v>
      </c>
      <c r="L23">
        <f>RTD("greekserver.rtdfunctions",,"102056784 7")</f>
        <v>100</v>
      </c>
      <c r="M23">
        <f>RTD("greekserver.rtdfunctions",,"102056784 6")/100</f>
        <v>3763.45</v>
      </c>
      <c r="N23">
        <f>RTD("greekserver.rtdfunctions",,"102056784 8")/100</f>
        <v>0</v>
      </c>
      <c r="O23">
        <f>RTD("greekserver.rtdfunctions",,"102056784 12")</f>
        <v>0</v>
      </c>
      <c r="P23">
        <f>RTD("greekserver.rtdfunctions",,"102056784 24")/100</f>
        <v>3648.05</v>
      </c>
      <c r="Q23">
        <f>RTD("greekserver.rtdfunctions",,"102056784 25")</f>
        <v>100</v>
      </c>
      <c r="R23">
        <f>RTD("greekserver.rtdfunctions",,"102056784 26")/100</f>
        <v>3763.45</v>
      </c>
      <c r="S23">
        <f>RTD("greekserver.rtdfunctions",,"102056784 27")</f>
        <v>100</v>
      </c>
      <c r="T23">
        <f>RTD("greekserver.rtdfunctions",,"102056784 13")/100</f>
        <v>0</v>
      </c>
      <c r="U23">
        <f>RTD("greekserver.rtdfunctions",,"102056784 14")/100</f>
        <v>3105.9</v>
      </c>
      <c r="V23">
        <f>RTD("greekserver.rtdfunctions",,"102056784 15")/100</f>
        <v>0</v>
      </c>
      <c r="W23">
        <f>RTD("greekserver.rtdfunctions",,"102056784 16")/100</f>
        <v>0</v>
      </c>
      <c r="X23">
        <f>RTD("greekserver.rtdfunctions",,"102056784 10")/100</f>
        <v>0</v>
      </c>
      <c r="Y23">
        <f>RTD("greekserver.rtdfunctions",,"102056784 11")</f>
        <v>0</v>
      </c>
      <c r="Z23" t="str">
        <f>nseltodate(RTD("greekserver.rtdfunctions",,"102056784 20"))</f>
        <v>N/A</v>
      </c>
      <c r="AA23">
        <f>RTD("greekserver.rtdfunctions",,"102056784 18")/100</f>
        <v>0</v>
      </c>
      <c r="AB23">
        <f>RTD("greekserver.rtdfunctions",,"102056784 17")/100</f>
        <v>0</v>
      </c>
      <c r="AC23">
        <f>RTD("greekserver.rtdfunctions",,"102056784 40")/100</f>
        <v>0</v>
      </c>
      <c r="AD23">
        <f>RTD("greekserver.rtdfunctions",,"102056784 34")/100</f>
        <v>0</v>
      </c>
    </row>
    <row r="24" spans="1:30" x14ac:dyDescent="0.2">
      <c r="A24">
        <v>102056799</v>
      </c>
      <c r="B24" t="s">
        <v>93</v>
      </c>
      <c r="C24" t="s">
        <v>345</v>
      </c>
      <c r="D24" t="s">
        <v>102</v>
      </c>
      <c r="E24" s="15">
        <v>43874</v>
      </c>
      <c r="F24">
        <v>27600</v>
      </c>
      <c r="G24" t="s">
        <v>347</v>
      </c>
      <c r="H24">
        <v>56799</v>
      </c>
      <c r="I24">
        <v>20</v>
      </c>
      <c r="J24">
        <f>RTD("greekserver.rtdfunctions",,"102056799 5")</f>
        <v>0</v>
      </c>
      <c r="K24">
        <f>RTD("greekserver.rtdfunctions",,"102056799 4")/100</f>
        <v>0</v>
      </c>
      <c r="L24">
        <f>RTD("greekserver.rtdfunctions",,"102056799 7")</f>
        <v>20</v>
      </c>
      <c r="M24">
        <f>RTD("greekserver.rtdfunctions",,"102056799 6")/100</f>
        <v>0.5</v>
      </c>
      <c r="N24">
        <f>RTD("greekserver.rtdfunctions",,"102056799 8")/100</f>
        <v>0</v>
      </c>
      <c r="O24">
        <f>RTD("greekserver.rtdfunctions",,"102056799 12")</f>
        <v>0</v>
      </c>
      <c r="P24">
        <f>RTD("greekserver.rtdfunctions",,"102056799 24")/100</f>
        <v>0</v>
      </c>
      <c r="Q24">
        <f>RTD("greekserver.rtdfunctions",,"102056799 25")</f>
        <v>0</v>
      </c>
      <c r="R24">
        <f>RTD("greekserver.rtdfunctions",,"102056799 26")/100</f>
        <v>0.5</v>
      </c>
      <c r="S24">
        <f>RTD("greekserver.rtdfunctions",,"102056799 27")</f>
        <v>20</v>
      </c>
      <c r="T24">
        <f>RTD("greekserver.rtdfunctions",,"102056799 13")/100</f>
        <v>0</v>
      </c>
      <c r="U24">
        <f>RTD("greekserver.rtdfunctions",,"102056799 14")/100</f>
        <v>0.35</v>
      </c>
      <c r="V24">
        <f>RTD("greekserver.rtdfunctions",,"102056799 15")/100</f>
        <v>0</v>
      </c>
      <c r="W24">
        <f>RTD("greekserver.rtdfunctions",,"102056799 16")/100</f>
        <v>0</v>
      </c>
      <c r="X24">
        <f>RTD("greekserver.rtdfunctions",,"102056799 10")/100</f>
        <v>0</v>
      </c>
      <c r="Y24">
        <f>RTD("greekserver.rtdfunctions",,"102056799 11")</f>
        <v>0</v>
      </c>
      <c r="Z24" t="str">
        <f>nseltodate(RTD("greekserver.rtdfunctions",,"102056799 20"))</f>
        <v>N/A</v>
      </c>
      <c r="AA24">
        <f>RTD("greekserver.rtdfunctions",,"102056799 18")/100</f>
        <v>0</v>
      </c>
      <c r="AB24">
        <f>RTD("greekserver.rtdfunctions",,"102056799 17")/100</f>
        <v>0</v>
      </c>
      <c r="AC24">
        <f>RTD("greekserver.rtdfunctions",,"102056799 40")/100</f>
        <v>0</v>
      </c>
      <c r="AD24">
        <f>RTD("greekserver.rtdfunctions",,"102056799 34")/100</f>
        <v>0</v>
      </c>
    </row>
    <row r="25" spans="1:30" hidden="1" x14ac:dyDescent="0.2">
      <c r="A25">
        <v>102046891</v>
      </c>
      <c r="B25" t="s">
        <v>93</v>
      </c>
      <c r="C25" t="s">
        <v>345</v>
      </c>
      <c r="D25" t="s">
        <v>102</v>
      </c>
      <c r="E25" s="15">
        <v>43874</v>
      </c>
      <c r="F25">
        <v>27700</v>
      </c>
      <c r="G25" t="s">
        <v>346</v>
      </c>
      <c r="H25">
        <v>46891</v>
      </c>
      <c r="I25">
        <v>20</v>
      </c>
      <c r="J25">
        <f>RTD("greekserver.rtdfunctions",,"102046891 5")</f>
        <v>100</v>
      </c>
      <c r="K25">
        <f>RTD("greekserver.rtdfunctions",,"102046891 4")/100</f>
        <v>3548.05</v>
      </c>
      <c r="L25">
        <f>RTD("greekserver.rtdfunctions",,"102046891 7")</f>
        <v>100</v>
      </c>
      <c r="M25">
        <f>RTD("greekserver.rtdfunctions",,"102046891 6")/100</f>
        <v>3663.45</v>
      </c>
      <c r="N25">
        <f>RTD("greekserver.rtdfunctions",,"102046891 8")/100</f>
        <v>0</v>
      </c>
      <c r="O25">
        <f>RTD("greekserver.rtdfunctions",,"102046891 12")</f>
        <v>0</v>
      </c>
      <c r="P25">
        <f>RTD("greekserver.rtdfunctions",,"102046891 24")/100</f>
        <v>3548.05</v>
      </c>
      <c r="Q25">
        <f>RTD("greekserver.rtdfunctions",,"102046891 25")</f>
        <v>100</v>
      </c>
      <c r="R25">
        <f>RTD("greekserver.rtdfunctions",,"102046891 26")/100</f>
        <v>3663.45</v>
      </c>
      <c r="S25">
        <f>RTD("greekserver.rtdfunctions",,"102046891 27")</f>
        <v>100</v>
      </c>
      <c r="T25">
        <f>RTD("greekserver.rtdfunctions",,"102046891 13")/100</f>
        <v>0</v>
      </c>
      <c r="U25">
        <f>RTD("greekserver.rtdfunctions",,"102046891 14")/100</f>
        <v>3098.25</v>
      </c>
      <c r="V25">
        <f>RTD("greekserver.rtdfunctions",,"102046891 15")/100</f>
        <v>0</v>
      </c>
      <c r="W25">
        <f>RTD("greekserver.rtdfunctions",,"102046891 16")/100</f>
        <v>0</v>
      </c>
      <c r="X25">
        <f>RTD("greekserver.rtdfunctions",,"102046891 10")/100</f>
        <v>0</v>
      </c>
      <c r="Y25">
        <f>RTD("greekserver.rtdfunctions",,"102046891 11")</f>
        <v>0</v>
      </c>
      <c r="Z25" t="str">
        <f>nseltodate(RTD("greekserver.rtdfunctions",,"102046891 20"))</f>
        <v>N/A</v>
      </c>
      <c r="AA25">
        <f>RTD("greekserver.rtdfunctions",,"102046891 18")/100</f>
        <v>0</v>
      </c>
      <c r="AB25">
        <f>RTD("greekserver.rtdfunctions",,"102046891 17")/100</f>
        <v>0</v>
      </c>
      <c r="AC25">
        <f>RTD("greekserver.rtdfunctions",,"102046891 40")/100</f>
        <v>0</v>
      </c>
      <c r="AD25">
        <f>RTD("greekserver.rtdfunctions",,"102046891 34")/100</f>
        <v>0</v>
      </c>
    </row>
    <row r="26" spans="1:30" x14ac:dyDescent="0.2">
      <c r="A26">
        <v>102046896</v>
      </c>
      <c r="B26" t="s">
        <v>93</v>
      </c>
      <c r="C26" t="s">
        <v>345</v>
      </c>
      <c r="D26" t="s">
        <v>102</v>
      </c>
      <c r="E26" s="15">
        <v>43874</v>
      </c>
      <c r="F26">
        <v>27700</v>
      </c>
      <c r="G26" t="s">
        <v>347</v>
      </c>
      <c r="H26">
        <v>46896</v>
      </c>
      <c r="I26">
        <v>20</v>
      </c>
      <c r="J26">
        <f>RTD("greekserver.rtdfunctions",,"102046896 5")</f>
        <v>0</v>
      </c>
      <c r="K26">
        <f>RTD("greekserver.rtdfunctions",,"102046896 4")/100</f>
        <v>0</v>
      </c>
      <c r="L26">
        <f>RTD("greekserver.rtdfunctions",,"102046896 7")</f>
        <v>20</v>
      </c>
      <c r="M26">
        <f>RTD("greekserver.rtdfunctions",,"102046896 6")/100</f>
        <v>0.5</v>
      </c>
      <c r="N26">
        <f>RTD("greekserver.rtdfunctions",,"102046896 8")/100</f>
        <v>0</v>
      </c>
      <c r="O26">
        <f>RTD("greekserver.rtdfunctions",,"102046896 12")</f>
        <v>0</v>
      </c>
      <c r="P26">
        <f>RTD("greekserver.rtdfunctions",,"102046896 24")/100</f>
        <v>0</v>
      </c>
      <c r="Q26">
        <f>RTD("greekserver.rtdfunctions",,"102046896 25")</f>
        <v>0</v>
      </c>
      <c r="R26">
        <f>RTD("greekserver.rtdfunctions",,"102046896 26")/100</f>
        <v>0.5</v>
      </c>
      <c r="S26">
        <f>RTD("greekserver.rtdfunctions",,"102046896 27")</f>
        <v>20</v>
      </c>
      <c r="T26">
        <f>RTD("greekserver.rtdfunctions",,"102046896 13")/100</f>
        <v>0</v>
      </c>
      <c r="U26">
        <f>RTD("greekserver.rtdfunctions",,"102046896 14")/100</f>
        <v>5.3</v>
      </c>
      <c r="V26">
        <f>RTD("greekserver.rtdfunctions",,"102046896 15")/100</f>
        <v>0</v>
      </c>
      <c r="W26">
        <f>RTD("greekserver.rtdfunctions",,"102046896 16")/100</f>
        <v>0</v>
      </c>
      <c r="X26">
        <f>RTD("greekserver.rtdfunctions",,"102046896 10")/100</f>
        <v>0</v>
      </c>
      <c r="Y26">
        <f>RTD("greekserver.rtdfunctions",,"102046896 11")</f>
        <v>0</v>
      </c>
      <c r="Z26" t="str">
        <f>nseltodate(RTD("greekserver.rtdfunctions",,"102046896 20"))</f>
        <v>N/A</v>
      </c>
      <c r="AA26">
        <f>RTD("greekserver.rtdfunctions",,"102046896 18")/100</f>
        <v>0</v>
      </c>
      <c r="AB26">
        <f>RTD("greekserver.rtdfunctions",,"102046896 17")/100</f>
        <v>0</v>
      </c>
      <c r="AC26">
        <f>RTD("greekserver.rtdfunctions",,"102046896 40")/100</f>
        <v>0</v>
      </c>
      <c r="AD26">
        <f>RTD("greekserver.rtdfunctions",,"102046896 34")/100</f>
        <v>0</v>
      </c>
    </row>
    <row r="27" spans="1:30" hidden="1" x14ac:dyDescent="0.2">
      <c r="A27">
        <v>102046900</v>
      </c>
      <c r="B27" t="s">
        <v>93</v>
      </c>
      <c r="C27" t="s">
        <v>345</v>
      </c>
      <c r="D27" t="s">
        <v>102</v>
      </c>
      <c r="E27" s="15">
        <v>43874</v>
      </c>
      <c r="F27">
        <v>27800</v>
      </c>
      <c r="G27" t="s">
        <v>346</v>
      </c>
      <c r="H27">
        <v>46900</v>
      </c>
      <c r="I27">
        <v>20</v>
      </c>
      <c r="J27">
        <f>RTD("greekserver.rtdfunctions",,"102046900 5")</f>
        <v>100</v>
      </c>
      <c r="K27">
        <f>RTD("greekserver.rtdfunctions",,"102046900 4")/100</f>
        <v>3448.05</v>
      </c>
      <c r="L27">
        <f>RTD("greekserver.rtdfunctions",,"102046900 7")</f>
        <v>100</v>
      </c>
      <c r="M27">
        <f>RTD("greekserver.rtdfunctions",,"102046900 6")/100</f>
        <v>3563.45</v>
      </c>
      <c r="N27">
        <f>RTD("greekserver.rtdfunctions",,"102046900 8")/100</f>
        <v>0</v>
      </c>
      <c r="O27">
        <f>RTD("greekserver.rtdfunctions",,"102046900 12")</f>
        <v>0</v>
      </c>
      <c r="P27">
        <f>RTD("greekserver.rtdfunctions",,"102046900 24")/100</f>
        <v>3448.05</v>
      </c>
      <c r="Q27">
        <f>RTD("greekserver.rtdfunctions",,"102046900 25")</f>
        <v>100</v>
      </c>
      <c r="R27">
        <f>RTD("greekserver.rtdfunctions",,"102046900 26")/100</f>
        <v>3563.45</v>
      </c>
      <c r="S27">
        <f>RTD("greekserver.rtdfunctions",,"102046900 27")</f>
        <v>100</v>
      </c>
      <c r="T27">
        <f>RTD("greekserver.rtdfunctions",,"102046900 13")/100</f>
        <v>0</v>
      </c>
      <c r="U27">
        <f>RTD("greekserver.rtdfunctions",,"102046900 14")/100</f>
        <v>2999.9</v>
      </c>
      <c r="V27">
        <f>RTD("greekserver.rtdfunctions",,"102046900 15")/100</f>
        <v>0</v>
      </c>
      <c r="W27">
        <f>RTD("greekserver.rtdfunctions",,"102046900 16")/100</f>
        <v>0</v>
      </c>
      <c r="X27">
        <f>RTD("greekserver.rtdfunctions",,"102046900 10")/100</f>
        <v>0</v>
      </c>
      <c r="Y27">
        <f>RTD("greekserver.rtdfunctions",,"102046900 11")</f>
        <v>0</v>
      </c>
      <c r="Z27" t="str">
        <f>nseltodate(RTD("greekserver.rtdfunctions",,"102046900 20"))</f>
        <v>N/A</v>
      </c>
      <c r="AA27">
        <f>RTD("greekserver.rtdfunctions",,"102046900 18")/100</f>
        <v>0</v>
      </c>
      <c r="AB27">
        <f>RTD("greekserver.rtdfunctions",,"102046900 17")/100</f>
        <v>0</v>
      </c>
      <c r="AC27">
        <f>RTD("greekserver.rtdfunctions",,"102046900 40")/100</f>
        <v>0</v>
      </c>
      <c r="AD27">
        <f>RTD("greekserver.rtdfunctions",,"102046900 34")/100</f>
        <v>0</v>
      </c>
    </row>
    <row r="28" spans="1:30" x14ac:dyDescent="0.2">
      <c r="A28">
        <v>102046901</v>
      </c>
      <c r="B28" t="s">
        <v>93</v>
      </c>
      <c r="C28" t="s">
        <v>345</v>
      </c>
      <c r="D28" t="s">
        <v>102</v>
      </c>
      <c r="E28" s="15">
        <v>43874</v>
      </c>
      <c r="F28">
        <v>27800</v>
      </c>
      <c r="G28" t="s">
        <v>347</v>
      </c>
      <c r="H28">
        <v>46901</v>
      </c>
      <c r="I28">
        <v>20</v>
      </c>
      <c r="J28">
        <f>RTD("greekserver.rtdfunctions",,"102046901 5")</f>
        <v>0</v>
      </c>
      <c r="K28">
        <f>RTD("greekserver.rtdfunctions",,"102046901 4")/100</f>
        <v>0</v>
      </c>
      <c r="L28">
        <f>RTD("greekserver.rtdfunctions",,"102046901 7")</f>
        <v>20</v>
      </c>
      <c r="M28">
        <f>RTD("greekserver.rtdfunctions",,"102046901 6")/100</f>
        <v>0.5</v>
      </c>
      <c r="N28">
        <f>RTD("greekserver.rtdfunctions",,"102046901 8")/100</f>
        <v>0</v>
      </c>
      <c r="O28">
        <f>RTD("greekserver.rtdfunctions",,"102046901 12")</f>
        <v>0</v>
      </c>
      <c r="P28">
        <f>RTD("greekserver.rtdfunctions",,"102046901 24")/100</f>
        <v>0</v>
      </c>
      <c r="Q28">
        <f>RTD("greekserver.rtdfunctions",,"102046901 25")</f>
        <v>0</v>
      </c>
      <c r="R28">
        <f>RTD("greekserver.rtdfunctions",,"102046901 26")/100</f>
        <v>0.5</v>
      </c>
      <c r="S28">
        <f>RTD("greekserver.rtdfunctions",,"102046901 27")</f>
        <v>20</v>
      </c>
      <c r="T28">
        <f>RTD("greekserver.rtdfunctions",,"102046901 13")/100</f>
        <v>0</v>
      </c>
      <c r="U28">
        <f>RTD("greekserver.rtdfunctions",,"102046901 14")/100</f>
        <v>6.6</v>
      </c>
      <c r="V28">
        <f>RTD("greekserver.rtdfunctions",,"102046901 15")/100</f>
        <v>0</v>
      </c>
      <c r="W28">
        <f>RTD("greekserver.rtdfunctions",,"102046901 16")/100</f>
        <v>0</v>
      </c>
      <c r="X28">
        <f>RTD("greekserver.rtdfunctions",,"102046901 10")/100</f>
        <v>0</v>
      </c>
      <c r="Y28">
        <f>RTD("greekserver.rtdfunctions",,"102046901 11")</f>
        <v>0</v>
      </c>
      <c r="Z28" t="str">
        <f>nseltodate(RTD("greekserver.rtdfunctions",,"102046901 20"))</f>
        <v>N/A</v>
      </c>
      <c r="AA28">
        <f>RTD("greekserver.rtdfunctions",,"102046901 18")/100</f>
        <v>0</v>
      </c>
      <c r="AB28">
        <f>RTD("greekserver.rtdfunctions",,"102046901 17")/100</f>
        <v>0</v>
      </c>
      <c r="AC28">
        <f>RTD("greekserver.rtdfunctions",,"102046901 40")/100</f>
        <v>0</v>
      </c>
      <c r="AD28">
        <f>RTD("greekserver.rtdfunctions",,"102046901 34")/100</f>
        <v>0</v>
      </c>
    </row>
    <row r="29" spans="1:30" hidden="1" x14ac:dyDescent="0.2">
      <c r="A29">
        <v>102046538</v>
      </c>
      <c r="B29" t="s">
        <v>93</v>
      </c>
      <c r="C29" t="s">
        <v>345</v>
      </c>
      <c r="D29" t="s">
        <v>102</v>
      </c>
      <c r="E29" s="15">
        <v>43874</v>
      </c>
      <c r="F29">
        <v>27900</v>
      </c>
      <c r="G29" t="s">
        <v>346</v>
      </c>
      <c r="H29">
        <v>46538</v>
      </c>
      <c r="I29">
        <v>20</v>
      </c>
      <c r="J29">
        <f>RTD("greekserver.rtdfunctions",,"102046538 5")</f>
        <v>100</v>
      </c>
      <c r="K29">
        <f>RTD("greekserver.rtdfunctions",,"102046538 4")/100</f>
        <v>3348.05</v>
      </c>
      <c r="L29">
        <f>RTD("greekserver.rtdfunctions",,"102046538 7")</f>
        <v>100</v>
      </c>
      <c r="M29">
        <f>RTD("greekserver.rtdfunctions",,"102046538 6")/100</f>
        <v>3463.45</v>
      </c>
      <c r="N29">
        <f>RTD("greekserver.rtdfunctions",,"102046538 8")/100</f>
        <v>0</v>
      </c>
      <c r="O29">
        <f>RTD("greekserver.rtdfunctions",,"102046538 12")</f>
        <v>0</v>
      </c>
      <c r="P29">
        <f>RTD("greekserver.rtdfunctions",,"102046538 24")/100</f>
        <v>3348.05</v>
      </c>
      <c r="Q29">
        <f>RTD("greekserver.rtdfunctions",,"102046538 25")</f>
        <v>100</v>
      </c>
      <c r="R29">
        <f>RTD("greekserver.rtdfunctions",,"102046538 26")/100</f>
        <v>3463.45</v>
      </c>
      <c r="S29">
        <f>RTD("greekserver.rtdfunctions",,"102046538 27")</f>
        <v>100</v>
      </c>
      <c r="T29">
        <f>RTD("greekserver.rtdfunctions",,"102046538 13")/100</f>
        <v>0</v>
      </c>
      <c r="U29">
        <f>RTD("greekserver.rtdfunctions",,"102046538 14")/100</f>
        <v>3151.2</v>
      </c>
      <c r="V29">
        <f>RTD("greekserver.rtdfunctions",,"102046538 15")/100</f>
        <v>0</v>
      </c>
      <c r="W29">
        <f>RTD("greekserver.rtdfunctions",,"102046538 16")/100</f>
        <v>0</v>
      </c>
      <c r="X29">
        <f>RTD("greekserver.rtdfunctions",,"102046538 10")/100</f>
        <v>0</v>
      </c>
      <c r="Y29">
        <f>RTD("greekserver.rtdfunctions",,"102046538 11")</f>
        <v>0</v>
      </c>
      <c r="Z29" t="str">
        <f>nseltodate(RTD("greekserver.rtdfunctions",,"102046538 20"))</f>
        <v>N/A</v>
      </c>
      <c r="AA29">
        <f>RTD("greekserver.rtdfunctions",,"102046538 18")/100</f>
        <v>0</v>
      </c>
      <c r="AB29">
        <f>RTD("greekserver.rtdfunctions",,"102046538 17")/100</f>
        <v>0</v>
      </c>
      <c r="AC29">
        <f>RTD("greekserver.rtdfunctions",,"102046538 40")/100</f>
        <v>0</v>
      </c>
      <c r="AD29">
        <f>RTD("greekserver.rtdfunctions",,"102046538 34")/100</f>
        <v>0</v>
      </c>
    </row>
    <row r="30" spans="1:30" x14ac:dyDescent="0.2">
      <c r="A30">
        <v>102046539</v>
      </c>
      <c r="B30" t="s">
        <v>93</v>
      </c>
      <c r="C30" t="s">
        <v>345</v>
      </c>
      <c r="D30" t="s">
        <v>102</v>
      </c>
      <c r="E30" s="15">
        <v>43874</v>
      </c>
      <c r="F30">
        <v>27900</v>
      </c>
      <c r="G30" t="s">
        <v>347</v>
      </c>
      <c r="H30">
        <v>46539</v>
      </c>
      <c r="I30">
        <v>20</v>
      </c>
      <c r="J30">
        <f>RTD("greekserver.rtdfunctions",,"102046539 5")</f>
        <v>0</v>
      </c>
      <c r="K30">
        <f>RTD("greekserver.rtdfunctions",,"102046539 4")/100</f>
        <v>0</v>
      </c>
      <c r="L30">
        <f>RTD("greekserver.rtdfunctions",,"102046539 7")</f>
        <v>20</v>
      </c>
      <c r="M30">
        <f>RTD("greekserver.rtdfunctions",,"102046539 6")/100</f>
        <v>0.5</v>
      </c>
      <c r="N30">
        <f>RTD("greekserver.rtdfunctions",,"102046539 8")/100</f>
        <v>0</v>
      </c>
      <c r="O30">
        <f>RTD("greekserver.rtdfunctions",,"102046539 12")</f>
        <v>0</v>
      </c>
      <c r="P30">
        <f>RTD("greekserver.rtdfunctions",,"102046539 24")/100</f>
        <v>0</v>
      </c>
      <c r="Q30">
        <f>RTD("greekserver.rtdfunctions",,"102046539 25")</f>
        <v>0</v>
      </c>
      <c r="R30">
        <f>RTD("greekserver.rtdfunctions",,"102046539 26")/100</f>
        <v>0.5</v>
      </c>
      <c r="S30">
        <f>RTD("greekserver.rtdfunctions",,"102046539 27")</f>
        <v>20</v>
      </c>
      <c r="T30">
        <f>RTD("greekserver.rtdfunctions",,"102046539 13")/100</f>
        <v>0</v>
      </c>
      <c r="U30">
        <f>RTD("greekserver.rtdfunctions",,"102046539 14")/100</f>
        <v>3.05</v>
      </c>
      <c r="V30">
        <f>RTD("greekserver.rtdfunctions",,"102046539 15")/100</f>
        <v>0</v>
      </c>
      <c r="W30">
        <f>RTD("greekserver.rtdfunctions",,"102046539 16")/100</f>
        <v>0</v>
      </c>
      <c r="X30">
        <f>RTD("greekserver.rtdfunctions",,"102046539 10")/100</f>
        <v>3.05</v>
      </c>
      <c r="Y30">
        <f>RTD("greekserver.rtdfunctions",,"102046539 11")</f>
        <v>20</v>
      </c>
      <c r="Z30" t="str">
        <f>nseltodate(RTD("greekserver.rtdfunctions",,"102046539 20"))</f>
        <v>01:03:12 PM</v>
      </c>
      <c r="AA30">
        <f>RTD("greekserver.rtdfunctions",,"102046539 18")/100</f>
        <v>0</v>
      </c>
      <c r="AB30">
        <f>RTD("greekserver.rtdfunctions",,"102046539 17")/100</f>
        <v>0</v>
      </c>
      <c r="AC30">
        <f>RTD("greekserver.rtdfunctions",,"102046539 40")/100</f>
        <v>0</v>
      </c>
      <c r="AD30">
        <f>RTD("greekserver.rtdfunctions",,"102046539 34")/100</f>
        <v>0</v>
      </c>
    </row>
    <row r="31" spans="1:30" hidden="1" x14ac:dyDescent="0.2">
      <c r="A31">
        <v>102046541</v>
      </c>
      <c r="B31" t="s">
        <v>93</v>
      </c>
      <c r="C31" t="s">
        <v>345</v>
      </c>
      <c r="D31" t="s">
        <v>102</v>
      </c>
      <c r="E31" s="15">
        <v>43874</v>
      </c>
      <c r="F31">
        <v>28000</v>
      </c>
      <c r="G31" t="s">
        <v>346</v>
      </c>
      <c r="H31">
        <v>46541</v>
      </c>
      <c r="I31">
        <v>20</v>
      </c>
      <c r="J31">
        <f>RTD("greekserver.rtdfunctions",,"102046541 5")</f>
        <v>20</v>
      </c>
      <c r="K31">
        <f>RTD("greekserver.rtdfunctions",,"102046541 4")/100</f>
        <v>3267.55</v>
      </c>
      <c r="L31">
        <f>RTD("greekserver.rtdfunctions",,"102046541 7")</f>
        <v>20</v>
      </c>
      <c r="M31">
        <f>RTD("greekserver.rtdfunctions",,"102046541 6")/100</f>
        <v>3326.9</v>
      </c>
      <c r="N31">
        <f>RTD("greekserver.rtdfunctions",,"102046541 8")/100</f>
        <v>0</v>
      </c>
      <c r="O31">
        <f>RTD("greekserver.rtdfunctions",,"102046541 12")</f>
        <v>0</v>
      </c>
      <c r="P31">
        <f>RTD("greekserver.rtdfunctions",,"102046541 24")/100</f>
        <v>3267.55</v>
      </c>
      <c r="Q31">
        <f>RTD("greekserver.rtdfunctions",,"102046541 25")</f>
        <v>20</v>
      </c>
      <c r="R31">
        <f>RTD("greekserver.rtdfunctions",,"102046541 26")/100</f>
        <v>3326.9</v>
      </c>
      <c r="S31">
        <f>RTD("greekserver.rtdfunctions",,"102046541 27")</f>
        <v>20</v>
      </c>
      <c r="T31">
        <f>RTD("greekserver.rtdfunctions",,"102046541 13")/100</f>
        <v>0</v>
      </c>
      <c r="U31">
        <f>RTD("greekserver.rtdfunctions",,"102046541 14")/100</f>
        <v>3173.65</v>
      </c>
      <c r="V31">
        <f>RTD("greekserver.rtdfunctions",,"102046541 15")/100</f>
        <v>0</v>
      </c>
      <c r="W31">
        <f>RTD("greekserver.rtdfunctions",,"102046541 16")/100</f>
        <v>0</v>
      </c>
      <c r="X31">
        <f>RTD("greekserver.rtdfunctions",,"102046541 10")/100</f>
        <v>3173.65</v>
      </c>
      <c r="Y31">
        <f>RTD("greekserver.rtdfunctions",,"102046541 11")</f>
        <v>20</v>
      </c>
      <c r="Z31" t="str">
        <f>nseltodate(RTD("greekserver.rtdfunctions",,"102046541 20"))</f>
        <v>09:48:53 AM</v>
      </c>
      <c r="AA31">
        <f>RTD("greekserver.rtdfunctions",,"102046541 18")/100</f>
        <v>0</v>
      </c>
      <c r="AB31">
        <f>RTD("greekserver.rtdfunctions",,"102046541 17")/100</f>
        <v>0</v>
      </c>
      <c r="AC31">
        <f>RTD("greekserver.rtdfunctions",,"102046541 40")/100</f>
        <v>0</v>
      </c>
      <c r="AD31">
        <f>RTD("greekserver.rtdfunctions",,"102046541 34")/100</f>
        <v>0</v>
      </c>
    </row>
    <row r="32" spans="1:30" x14ac:dyDescent="0.2">
      <c r="A32">
        <v>102046546</v>
      </c>
      <c r="B32" t="s">
        <v>93</v>
      </c>
      <c r="C32" t="s">
        <v>345</v>
      </c>
      <c r="D32" t="s">
        <v>102</v>
      </c>
      <c r="E32" s="15">
        <v>43874</v>
      </c>
      <c r="F32">
        <v>28000</v>
      </c>
      <c r="G32" t="s">
        <v>347</v>
      </c>
      <c r="H32">
        <v>46546</v>
      </c>
      <c r="I32">
        <v>20</v>
      </c>
      <c r="J32">
        <f>RTD("greekserver.rtdfunctions",,"102046546 5")</f>
        <v>0</v>
      </c>
      <c r="K32">
        <f>RTD("greekserver.rtdfunctions",,"102046546 4")/100</f>
        <v>0</v>
      </c>
      <c r="L32">
        <f>RTD("greekserver.rtdfunctions",,"102046546 7")</f>
        <v>1780</v>
      </c>
      <c r="M32">
        <f>RTD("greekserver.rtdfunctions",,"102046546 6")/100</f>
        <v>0.15</v>
      </c>
      <c r="N32">
        <f>RTD("greekserver.rtdfunctions",,"102046546 8")/100</f>
        <v>0.16</v>
      </c>
      <c r="O32">
        <f>RTD("greekserver.rtdfunctions",,"102046546 12")</f>
        <v>1220</v>
      </c>
      <c r="P32">
        <f>RTD("greekserver.rtdfunctions",,"102046546 24")/100</f>
        <v>0</v>
      </c>
      <c r="Q32">
        <f>RTD("greekserver.rtdfunctions",,"102046546 25")</f>
        <v>0</v>
      </c>
      <c r="R32">
        <f>RTD("greekserver.rtdfunctions",,"102046546 26")/100</f>
        <v>0.15</v>
      </c>
      <c r="S32">
        <f>RTD("greekserver.rtdfunctions",,"102046546 27")</f>
        <v>1780</v>
      </c>
      <c r="T32">
        <f>RTD("greekserver.rtdfunctions",,"102046546 13")/100</f>
        <v>0.2</v>
      </c>
      <c r="U32">
        <f>RTD("greekserver.rtdfunctions",,"102046546 14")/100</f>
        <v>0.3</v>
      </c>
      <c r="V32">
        <f>RTD("greekserver.rtdfunctions",,"102046546 15")/100</f>
        <v>0.2</v>
      </c>
      <c r="W32">
        <f>RTD("greekserver.rtdfunctions",,"102046546 16")/100</f>
        <v>0.15</v>
      </c>
      <c r="X32">
        <f>RTD("greekserver.rtdfunctions",,"102046546 10")/100</f>
        <v>0.2</v>
      </c>
      <c r="Y32">
        <f>RTD("greekserver.rtdfunctions",,"102046546 11")</f>
        <v>260</v>
      </c>
      <c r="Z32" t="str">
        <f>nseltodate(RTD("greekserver.rtdfunctions",,"102046546 20"))</f>
        <v>10:38:15 AM</v>
      </c>
      <c r="AA32">
        <f>RTD("greekserver.rtdfunctions",,"102046546 18")/100</f>
        <v>0</v>
      </c>
      <c r="AB32">
        <f>RTD("greekserver.rtdfunctions",,"102046546 17")/100</f>
        <v>0</v>
      </c>
      <c r="AC32">
        <f>RTD("greekserver.rtdfunctions",,"102046546 40")/100</f>
        <v>112</v>
      </c>
      <c r="AD32">
        <f>RTD("greekserver.rtdfunctions",,"102046546 34")/100</f>
        <v>0</v>
      </c>
    </row>
    <row r="33" spans="1:30" hidden="1" x14ac:dyDescent="0.2">
      <c r="A33">
        <v>102042442</v>
      </c>
      <c r="B33" t="s">
        <v>93</v>
      </c>
      <c r="C33" t="s">
        <v>345</v>
      </c>
      <c r="D33" t="s">
        <v>102</v>
      </c>
      <c r="E33" s="15">
        <v>43874</v>
      </c>
      <c r="F33">
        <v>28100</v>
      </c>
      <c r="G33" t="s">
        <v>346</v>
      </c>
      <c r="H33">
        <v>42442</v>
      </c>
      <c r="I33">
        <v>20</v>
      </c>
      <c r="J33">
        <f>RTD("greekserver.rtdfunctions",,"102042442 5")</f>
        <v>100</v>
      </c>
      <c r="K33">
        <f>RTD("greekserver.rtdfunctions",,"102042442 4")/100</f>
        <v>3148.05</v>
      </c>
      <c r="L33">
        <f>RTD("greekserver.rtdfunctions",,"102042442 7")</f>
        <v>100</v>
      </c>
      <c r="M33">
        <f>RTD("greekserver.rtdfunctions",,"102042442 6")/100</f>
        <v>3263.45</v>
      </c>
      <c r="N33">
        <f>RTD("greekserver.rtdfunctions",,"102042442 8")/100</f>
        <v>0</v>
      </c>
      <c r="O33">
        <f>RTD("greekserver.rtdfunctions",,"102042442 12")</f>
        <v>0</v>
      </c>
      <c r="P33">
        <f>RTD("greekserver.rtdfunctions",,"102042442 24")/100</f>
        <v>3148.05</v>
      </c>
      <c r="Q33">
        <f>RTD("greekserver.rtdfunctions",,"102042442 25")</f>
        <v>100</v>
      </c>
      <c r="R33">
        <f>RTD("greekserver.rtdfunctions",,"102042442 26")/100</f>
        <v>3263.45</v>
      </c>
      <c r="S33">
        <f>RTD("greekserver.rtdfunctions",,"102042442 27")</f>
        <v>100</v>
      </c>
      <c r="T33">
        <f>RTD("greekserver.rtdfunctions",,"102042442 13")/100</f>
        <v>0</v>
      </c>
      <c r="U33">
        <f>RTD("greekserver.rtdfunctions",,"102042442 14")/100</f>
        <v>3088.85</v>
      </c>
      <c r="V33">
        <f>RTD("greekserver.rtdfunctions",,"102042442 15")/100</f>
        <v>0</v>
      </c>
      <c r="W33">
        <f>RTD("greekserver.rtdfunctions",,"102042442 16")/100</f>
        <v>0</v>
      </c>
      <c r="X33">
        <f>RTD("greekserver.rtdfunctions",,"102042442 10")/100</f>
        <v>0</v>
      </c>
      <c r="Y33">
        <f>RTD("greekserver.rtdfunctions",,"102042442 11")</f>
        <v>0</v>
      </c>
      <c r="Z33" t="str">
        <f>nseltodate(RTD("greekserver.rtdfunctions",,"102042442 20"))</f>
        <v>N/A</v>
      </c>
      <c r="AA33">
        <f>RTD("greekserver.rtdfunctions",,"102042442 18")/100</f>
        <v>0</v>
      </c>
      <c r="AB33">
        <f>RTD("greekserver.rtdfunctions",,"102042442 17")/100</f>
        <v>0</v>
      </c>
      <c r="AC33">
        <f>RTD("greekserver.rtdfunctions",,"102042442 40")/100</f>
        <v>0</v>
      </c>
      <c r="AD33">
        <f>RTD("greekserver.rtdfunctions",,"102042442 34")/100</f>
        <v>0</v>
      </c>
    </row>
    <row r="34" spans="1:30" x14ac:dyDescent="0.2">
      <c r="A34">
        <v>102042443</v>
      </c>
      <c r="B34" t="s">
        <v>93</v>
      </c>
      <c r="C34" t="s">
        <v>345</v>
      </c>
      <c r="D34" t="s">
        <v>102</v>
      </c>
      <c r="E34" s="15">
        <v>43874</v>
      </c>
      <c r="F34">
        <v>28100</v>
      </c>
      <c r="G34" t="s">
        <v>347</v>
      </c>
      <c r="H34">
        <v>42443</v>
      </c>
      <c r="I34">
        <v>20</v>
      </c>
      <c r="J34">
        <f>RTD("greekserver.rtdfunctions",,"102042443 5")</f>
        <v>20</v>
      </c>
      <c r="K34">
        <f>RTD("greekserver.rtdfunctions",,"102042443 4")/100</f>
        <v>0.05</v>
      </c>
      <c r="L34">
        <f>RTD("greekserver.rtdfunctions",,"102042443 7")</f>
        <v>20</v>
      </c>
      <c r="M34">
        <f>RTD("greekserver.rtdfunctions",,"102042443 6")/100</f>
        <v>0.5</v>
      </c>
      <c r="N34">
        <f>RTD("greekserver.rtdfunctions",,"102042443 8")/100</f>
        <v>0</v>
      </c>
      <c r="O34">
        <f>RTD("greekserver.rtdfunctions",,"102042443 12")</f>
        <v>0</v>
      </c>
      <c r="P34">
        <f>RTD("greekserver.rtdfunctions",,"102042443 24")/100</f>
        <v>0.05</v>
      </c>
      <c r="Q34">
        <f>RTD("greekserver.rtdfunctions",,"102042443 25")</f>
        <v>20</v>
      </c>
      <c r="R34">
        <f>RTD("greekserver.rtdfunctions",,"102042443 26")/100</f>
        <v>0.5</v>
      </c>
      <c r="S34">
        <f>RTD("greekserver.rtdfunctions",,"102042443 27")</f>
        <v>20</v>
      </c>
      <c r="T34">
        <f>RTD("greekserver.rtdfunctions",,"102042443 13")/100</f>
        <v>0</v>
      </c>
      <c r="U34">
        <f>RTD("greekserver.rtdfunctions",,"102042443 14")/100</f>
        <v>3.05</v>
      </c>
      <c r="V34">
        <f>RTD("greekserver.rtdfunctions",,"102042443 15")/100</f>
        <v>0</v>
      </c>
      <c r="W34">
        <f>RTD("greekserver.rtdfunctions",,"102042443 16")/100</f>
        <v>0</v>
      </c>
      <c r="X34">
        <f>RTD("greekserver.rtdfunctions",,"102042443 10")/100</f>
        <v>3.05</v>
      </c>
      <c r="Y34">
        <f>RTD("greekserver.rtdfunctions",,"102042443 11")</f>
        <v>20</v>
      </c>
      <c r="Z34" t="str">
        <f>nseltodate(RTD("greekserver.rtdfunctions",,"102042443 20"))</f>
        <v>03:24:27 PM</v>
      </c>
      <c r="AA34">
        <f>RTD("greekserver.rtdfunctions",,"102042443 18")/100</f>
        <v>0</v>
      </c>
      <c r="AB34">
        <f>RTD("greekserver.rtdfunctions",,"102042443 17")/100</f>
        <v>0</v>
      </c>
      <c r="AC34">
        <f>RTD("greekserver.rtdfunctions",,"102042443 40")/100</f>
        <v>0</v>
      </c>
      <c r="AD34">
        <f>RTD("greekserver.rtdfunctions",,"102042443 34")/100</f>
        <v>0</v>
      </c>
    </row>
    <row r="35" spans="1:30" hidden="1" x14ac:dyDescent="0.2">
      <c r="A35">
        <v>102039782</v>
      </c>
      <c r="B35" t="s">
        <v>93</v>
      </c>
      <c r="C35" t="s">
        <v>345</v>
      </c>
      <c r="D35" t="s">
        <v>102</v>
      </c>
      <c r="E35" s="15">
        <v>43874</v>
      </c>
      <c r="F35">
        <v>28200</v>
      </c>
      <c r="G35" t="s">
        <v>346</v>
      </c>
      <c r="H35">
        <v>39782</v>
      </c>
      <c r="I35">
        <v>20</v>
      </c>
      <c r="J35">
        <f>RTD("greekserver.rtdfunctions",,"102039782 5")</f>
        <v>100</v>
      </c>
      <c r="K35">
        <f>RTD("greekserver.rtdfunctions",,"102039782 4")/100</f>
        <v>3048.05</v>
      </c>
      <c r="L35">
        <f>RTD("greekserver.rtdfunctions",,"102039782 7")</f>
        <v>100</v>
      </c>
      <c r="M35">
        <f>RTD("greekserver.rtdfunctions",,"102039782 6")/100</f>
        <v>3163.45</v>
      </c>
      <c r="N35">
        <f>RTD("greekserver.rtdfunctions",,"102039782 8")/100</f>
        <v>0</v>
      </c>
      <c r="O35">
        <f>RTD("greekserver.rtdfunctions",,"102039782 12")</f>
        <v>0</v>
      </c>
      <c r="P35">
        <f>RTD("greekserver.rtdfunctions",,"102039782 24")/100</f>
        <v>3048.05</v>
      </c>
      <c r="Q35">
        <f>RTD("greekserver.rtdfunctions",,"102039782 25")</f>
        <v>100</v>
      </c>
      <c r="R35">
        <f>RTD("greekserver.rtdfunctions",,"102039782 26")/100</f>
        <v>3163.45</v>
      </c>
      <c r="S35">
        <f>RTD("greekserver.rtdfunctions",,"102039782 27")</f>
        <v>100</v>
      </c>
      <c r="T35">
        <f>RTD("greekserver.rtdfunctions",,"102039782 13")/100</f>
        <v>0</v>
      </c>
      <c r="U35">
        <f>RTD("greekserver.rtdfunctions",,"102039782 14")/100</f>
        <v>3216.1</v>
      </c>
      <c r="V35">
        <f>RTD("greekserver.rtdfunctions",,"102039782 15")/100</f>
        <v>0</v>
      </c>
      <c r="W35">
        <f>RTD("greekserver.rtdfunctions",,"102039782 16")/100</f>
        <v>0</v>
      </c>
      <c r="X35">
        <f>RTD("greekserver.rtdfunctions",,"102039782 10")/100</f>
        <v>0</v>
      </c>
      <c r="Y35">
        <f>RTD("greekserver.rtdfunctions",,"102039782 11")</f>
        <v>0</v>
      </c>
      <c r="Z35" t="str">
        <f>nseltodate(RTD("greekserver.rtdfunctions",,"102039782 20"))</f>
        <v>N/A</v>
      </c>
      <c r="AA35">
        <f>RTD("greekserver.rtdfunctions",,"102039782 18")/100</f>
        <v>0</v>
      </c>
      <c r="AB35">
        <f>RTD("greekserver.rtdfunctions",,"102039782 17")/100</f>
        <v>0</v>
      </c>
      <c r="AC35">
        <f>RTD("greekserver.rtdfunctions",,"102039782 40")/100</f>
        <v>0</v>
      </c>
      <c r="AD35">
        <f>RTD("greekserver.rtdfunctions",,"102039782 34")/100</f>
        <v>0</v>
      </c>
    </row>
    <row r="36" spans="1:30" x14ac:dyDescent="0.2">
      <c r="A36">
        <v>102039783</v>
      </c>
      <c r="B36" t="s">
        <v>93</v>
      </c>
      <c r="C36" t="s">
        <v>345</v>
      </c>
      <c r="D36" t="s">
        <v>102</v>
      </c>
      <c r="E36" s="15">
        <v>43874</v>
      </c>
      <c r="F36">
        <v>28200</v>
      </c>
      <c r="G36" t="s">
        <v>347</v>
      </c>
      <c r="H36">
        <v>39783</v>
      </c>
      <c r="I36">
        <v>20</v>
      </c>
      <c r="J36">
        <f>RTD("greekserver.rtdfunctions",,"102039783 5")</f>
        <v>0</v>
      </c>
      <c r="K36">
        <f>RTD("greekserver.rtdfunctions",,"102039783 4")/100</f>
        <v>0</v>
      </c>
      <c r="L36">
        <f>RTD("greekserver.rtdfunctions",,"102039783 7")</f>
        <v>20</v>
      </c>
      <c r="M36">
        <f>RTD("greekserver.rtdfunctions",,"102039783 6")/100</f>
        <v>0.5</v>
      </c>
      <c r="N36">
        <f>RTD("greekserver.rtdfunctions",,"102039783 8")/100</f>
        <v>0</v>
      </c>
      <c r="O36">
        <f>RTD("greekserver.rtdfunctions",,"102039783 12")</f>
        <v>0</v>
      </c>
      <c r="P36">
        <f>RTD("greekserver.rtdfunctions",,"102039783 24")/100</f>
        <v>0</v>
      </c>
      <c r="Q36">
        <f>RTD("greekserver.rtdfunctions",,"102039783 25")</f>
        <v>0</v>
      </c>
      <c r="R36">
        <f>RTD("greekserver.rtdfunctions",,"102039783 26")/100</f>
        <v>0.5</v>
      </c>
      <c r="S36">
        <f>RTD("greekserver.rtdfunctions",,"102039783 27")</f>
        <v>20</v>
      </c>
      <c r="T36">
        <f>RTD("greekserver.rtdfunctions",,"102039783 13")/100</f>
        <v>0</v>
      </c>
      <c r="U36">
        <f>RTD("greekserver.rtdfunctions",,"102039783 14")/100</f>
        <v>11.25</v>
      </c>
      <c r="V36">
        <f>RTD("greekserver.rtdfunctions",,"102039783 15")/100</f>
        <v>0</v>
      </c>
      <c r="W36">
        <f>RTD("greekserver.rtdfunctions",,"102039783 16")/100</f>
        <v>0</v>
      </c>
      <c r="X36">
        <f>RTD("greekserver.rtdfunctions",,"102039783 10")/100</f>
        <v>0</v>
      </c>
      <c r="Y36">
        <f>RTD("greekserver.rtdfunctions",,"102039783 11")</f>
        <v>0</v>
      </c>
      <c r="Z36" t="str">
        <f>nseltodate(RTD("greekserver.rtdfunctions",,"102039783 20"))</f>
        <v>N/A</v>
      </c>
      <c r="AA36">
        <f>RTD("greekserver.rtdfunctions",,"102039783 18")/100</f>
        <v>0</v>
      </c>
      <c r="AB36">
        <f>RTD("greekserver.rtdfunctions",,"102039783 17")/100</f>
        <v>0</v>
      </c>
      <c r="AC36">
        <f>RTD("greekserver.rtdfunctions",,"102039783 40")/100</f>
        <v>0</v>
      </c>
      <c r="AD36">
        <f>RTD("greekserver.rtdfunctions",,"102039783 34")/100</f>
        <v>0</v>
      </c>
    </row>
    <row r="37" spans="1:30" hidden="1" x14ac:dyDescent="0.2">
      <c r="A37">
        <v>102039784</v>
      </c>
      <c r="B37" t="s">
        <v>93</v>
      </c>
      <c r="C37" t="s">
        <v>345</v>
      </c>
      <c r="D37" t="s">
        <v>102</v>
      </c>
      <c r="E37" s="15">
        <v>43874</v>
      </c>
      <c r="F37">
        <v>28300</v>
      </c>
      <c r="G37" t="s">
        <v>346</v>
      </c>
      <c r="H37">
        <v>39784</v>
      </c>
      <c r="I37">
        <v>20</v>
      </c>
      <c r="J37">
        <f>RTD("greekserver.rtdfunctions",,"102039784 5")</f>
        <v>500</v>
      </c>
      <c r="K37">
        <f>RTD("greekserver.rtdfunctions",,"102039784 4")/100</f>
        <v>2948</v>
      </c>
      <c r="L37">
        <f>RTD("greekserver.rtdfunctions",,"102039784 7")</f>
        <v>100</v>
      </c>
      <c r="M37">
        <f>RTD("greekserver.rtdfunctions",,"102039784 6")/100</f>
        <v>3063.45</v>
      </c>
      <c r="N37">
        <f>RTD("greekserver.rtdfunctions",,"102039784 8")/100</f>
        <v>0</v>
      </c>
      <c r="O37">
        <f>RTD("greekserver.rtdfunctions",,"102039784 12")</f>
        <v>0</v>
      </c>
      <c r="P37">
        <f>RTD("greekserver.rtdfunctions",,"102039784 24")/100</f>
        <v>2948</v>
      </c>
      <c r="Q37">
        <f>RTD("greekserver.rtdfunctions",,"102039784 25")</f>
        <v>500</v>
      </c>
      <c r="R37">
        <f>RTD("greekserver.rtdfunctions",,"102039784 26")/100</f>
        <v>3063.45</v>
      </c>
      <c r="S37">
        <f>RTD("greekserver.rtdfunctions",,"102039784 27")</f>
        <v>100</v>
      </c>
      <c r="T37">
        <f>RTD("greekserver.rtdfunctions",,"102039784 13")/100</f>
        <v>0</v>
      </c>
      <c r="U37">
        <f>RTD("greekserver.rtdfunctions",,"102039784 14")/100</f>
        <v>3118.95</v>
      </c>
      <c r="V37">
        <f>RTD("greekserver.rtdfunctions",,"102039784 15")/100</f>
        <v>0</v>
      </c>
      <c r="W37">
        <f>RTD("greekserver.rtdfunctions",,"102039784 16")/100</f>
        <v>0</v>
      </c>
      <c r="X37">
        <f>RTD("greekserver.rtdfunctions",,"102039784 10")/100</f>
        <v>0</v>
      </c>
      <c r="Y37">
        <f>RTD("greekserver.rtdfunctions",,"102039784 11")</f>
        <v>0</v>
      </c>
      <c r="Z37" t="str">
        <f>nseltodate(RTD("greekserver.rtdfunctions",,"102039784 20"))</f>
        <v>N/A</v>
      </c>
      <c r="AA37">
        <f>RTD("greekserver.rtdfunctions",,"102039784 18")/100</f>
        <v>0</v>
      </c>
      <c r="AB37">
        <f>RTD("greekserver.rtdfunctions",,"102039784 17")/100</f>
        <v>0</v>
      </c>
      <c r="AC37">
        <f>RTD("greekserver.rtdfunctions",,"102039784 40")/100</f>
        <v>0</v>
      </c>
      <c r="AD37">
        <f>RTD("greekserver.rtdfunctions",,"102039784 34")/100</f>
        <v>0</v>
      </c>
    </row>
    <row r="38" spans="1:30" x14ac:dyDescent="0.2">
      <c r="A38">
        <v>102039785</v>
      </c>
      <c r="B38" t="s">
        <v>93</v>
      </c>
      <c r="C38" t="s">
        <v>345</v>
      </c>
      <c r="D38" t="s">
        <v>102</v>
      </c>
      <c r="E38" s="15">
        <v>43874</v>
      </c>
      <c r="F38">
        <v>28300</v>
      </c>
      <c r="G38" t="s">
        <v>347</v>
      </c>
      <c r="H38">
        <v>39785</v>
      </c>
      <c r="I38">
        <v>20</v>
      </c>
      <c r="J38">
        <f>RTD("greekserver.rtdfunctions",,"102039785 5")</f>
        <v>0</v>
      </c>
      <c r="K38">
        <f>RTD("greekserver.rtdfunctions",,"102039785 4")/100</f>
        <v>0</v>
      </c>
      <c r="L38">
        <f>RTD("greekserver.rtdfunctions",,"102039785 7")</f>
        <v>20</v>
      </c>
      <c r="M38">
        <f>RTD("greekserver.rtdfunctions",,"102039785 6")/100</f>
        <v>0.5</v>
      </c>
      <c r="N38">
        <f>RTD("greekserver.rtdfunctions",,"102039785 8")/100</f>
        <v>0</v>
      </c>
      <c r="O38">
        <f>RTD("greekserver.rtdfunctions",,"102039785 12")</f>
        <v>0</v>
      </c>
      <c r="P38">
        <f>RTD("greekserver.rtdfunctions",,"102039785 24")/100</f>
        <v>0</v>
      </c>
      <c r="Q38">
        <f>RTD("greekserver.rtdfunctions",,"102039785 25")</f>
        <v>0</v>
      </c>
      <c r="R38">
        <f>RTD("greekserver.rtdfunctions",,"102039785 26")/100</f>
        <v>0.5</v>
      </c>
      <c r="S38">
        <f>RTD("greekserver.rtdfunctions",,"102039785 27")</f>
        <v>20</v>
      </c>
      <c r="T38">
        <f>RTD("greekserver.rtdfunctions",,"102039785 13")/100</f>
        <v>0</v>
      </c>
      <c r="U38">
        <f>RTD("greekserver.rtdfunctions",,"102039785 14")/100</f>
        <v>13.5</v>
      </c>
      <c r="V38">
        <f>RTD("greekserver.rtdfunctions",,"102039785 15")/100</f>
        <v>0</v>
      </c>
      <c r="W38">
        <f>RTD("greekserver.rtdfunctions",,"102039785 16")/100</f>
        <v>0</v>
      </c>
      <c r="X38">
        <f>RTD("greekserver.rtdfunctions",,"102039785 10")/100</f>
        <v>0</v>
      </c>
      <c r="Y38">
        <f>RTD("greekserver.rtdfunctions",,"102039785 11")</f>
        <v>0</v>
      </c>
      <c r="Z38" t="str">
        <f>nseltodate(RTD("greekserver.rtdfunctions",,"102039785 20"))</f>
        <v>N/A</v>
      </c>
      <c r="AA38">
        <f>RTD("greekserver.rtdfunctions",,"102039785 18")/100</f>
        <v>0</v>
      </c>
      <c r="AB38">
        <f>RTD("greekserver.rtdfunctions",,"102039785 17")/100</f>
        <v>0</v>
      </c>
      <c r="AC38">
        <f>RTD("greekserver.rtdfunctions",,"102039785 40")/100</f>
        <v>0</v>
      </c>
      <c r="AD38">
        <f>RTD("greekserver.rtdfunctions",,"102039785 34")/100</f>
        <v>0</v>
      </c>
    </row>
    <row r="39" spans="1:30" hidden="1" x14ac:dyDescent="0.2">
      <c r="A39">
        <v>102039788</v>
      </c>
      <c r="B39" t="s">
        <v>93</v>
      </c>
      <c r="C39" t="s">
        <v>345</v>
      </c>
      <c r="D39" t="s">
        <v>102</v>
      </c>
      <c r="E39" s="15">
        <v>43874</v>
      </c>
      <c r="F39">
        <v>28400</v>
      </c>
      <c r="G39" t="s">
        <v>346</v>
      </c>
      <c r="H39">
        <v>39788</v>
      </c>
      <c r="I39">
        <v>20</v>
      </c>
      <c r="J39">
        <f>RTD("greekserver.rtdfunctions",,"102039788 5")</f>
        <v>100</v>
      </c>
      <c r="K39">
        <f>RTD("greekserver.rtdfunctions",,"102039788 4")/100</f>
        <v>2848.1</v>
      </c>
      <c r="L39">
        <f>RTD("greekserver.rtdfunctions",,"102039788 7")</f>
        <v>100</v>
      </c>
      <c r="M39">
        <f>RTD("greekserver.rtdfunctions",,"102039788 6")/100</f>
        <v>2963.45</v>
      </c>
      <c r="N39">
        <f>RTD("greekserver.rtdfunctions",,"102039788 8")/100</f>
        <v>0</v>
      </c>
      <c r="O39">
        <f>RTD("greekserver.rtdfunctions",,"102039788 12")</f>
        <v>0</v>
      </c>
      <c r="P39">
        <f>RTD("greekserver.rtdfunctions",,"102039788 24")/100</f>
        <v>2848.1</v>
      </c>
      <c r="Q39">
        <f>RTD("greekserver.rtdfunctions",,"102039788 25")</f>
        <v>100</v>
      </c>
      <c r="R39">
        <f>RTD("greekserver.rtdfunctions",,"102039788 26")/100</f>
        <v>2963.45</v>
      </c>
      <c r="S39">
        <f>RTD("greekserver.rtdfunctions",,"102039788 27")</f>
        <v>100</v>
      </c>
      <c r="T39">
        <f>RTD("greekserver.rtdfunctions",,"102039788 13")/100</f>
        <v>0</v>
      </c>
      <c r="U39">
        <f>RTD("greekserver.rtdfunctions",,"102039788 14")/100</f>
        <v>3022.2</v>
      </c>
      <c r="V39">
        <f>RTD("greekserver.rtdfunctions",,"102039788 15")/100</f>
        <v>0</v>
      </c>
      <c r="W39">
        <f>RTD("greekserver.rtdfunctions",,"102039788 16")/100</f>
        <v>0</v>
      </c>
      <c r="X39">
        <f>RTD("greekserver.rtdfunctions",,"102039788 10")/100</f>
        <v>0</v>
      </c>
      <c r="Y39">
        <f>RTD("greekserver.rtdfunctions",,"102039788 11")</f>
        <v>0</v>
      </c>
      <c r="Z39" t="str">
        <f>nseltodate(RTD("greekserver.rtdfunctions",,"102039788 20"))</f>
        <v>N/A</v>
      </c>
      <c r="AA39">
        <f>RTD("greekserver.rtdfunctions",,"102039788 18")/100</f>
        <v>0</v>
      </c>
      <c r="AB39">
        <f>RTD("greekserver.rtdfunctions",,"102039788 17")/100</f>
        <v>0</v>
      </c>
      <c r="AC39">
        <f>RTD("greekserver.rtdfunctions",,"102039788 40")/100</f>
        <v>0</v>
      </c>
      <c r="AD39">
        <f>RTD("greekserver.rtdfunctions",,"102039788 34")/100</f>
        <v>0</v>
      </c>
    </row>
    <row r="40" spans="1:30" x14ac:dyDescent="0.2">
      <c r="A40">
        <v>102039789</v>
      </c>
      <c r="B40" t="s">
        <v>93</v>
      </c>
      <c r="C40" t="s">
        <v>345</v>
      </c>
      <c r="D40" t="s">
        <v>102</v>
      </c>
      <c r="E40" s="15">
        <v>43874</v>
      </c>
      <c r="F40">
        <v>28400</v>
      </c>
      <c r="G40" t="s">
        <v>347</v>
      </c>
      <c r="H40">
        <v>39789</v>
      </c>
      <c r="I40">
        <v>20</v>
      </c>
      <c r="J40">
        <f>RTD("greekserver.rtdfunctions",,"102039789 5")</f>
        <v>0</v>
      </c>
      <c r="K40">
        <f>RTD("greekserver.rtdfunctions",,"102039789 4")/100</f>
        <v>0</v>
      </c>
      <c r="L40">
        <f>RTD("greekserver.rtdfunctions",,"102039789 7")</f>
        <v>20</v>
      </c>
      <c r="M40">
        <f>RTD("greekserver.rtdfunctions",,"102039789 6")/100</f>
        <v>0.5</v>
      </c>
      <c r="N40">
        <f>RTD("greekserver.rtdfunctions",,"102039789 8")/100</f>
        <v>0</v>
      </c>
      <c r="O40">
        <f>RTD("greekserver.rtdfunctions",,"102039789 12")</f>
        <v>0</v>
      </c>
      <c r="P40">
        <f>RTD("greekserver.rtdfunctions",,"102039789 24")/100</f>
        <v>0</v>
      </c>
      <c r="Q40">
        <f>RTD("greekserver.rtdfunctions",,"102039789 25")</f>
        <v>0</v>
      </c>
      <c r="R40">
        <f>RTD("greekserver.rtdfunctions",,"102039789 26")/100</f>
        <v>0.5</v>
      </c>
      <c r="S40">
        <f>RTD("greekserver.rtdfunctions",,"102039789 27")</f>
        <v>20</v>
      </c>
      <c r="T40">
        <f>RTD("greekserver.rtdfunctions",,"102039789 13")/100</f>
        <v>0</v>
      </c>
      <c r="U40">
        <f>RTD("greekserver.rtdfunctions",,"102039789 14")/100</f>
        <v>16.149999999999999</v>
      </c>
      <c r="V40">
        <f>RTD("greekserver.rtdfunctions",,"102039789 15")/100</f>
        <v>0</v>
      </c>
      <c r="W40">
        <f>RTD("greekserver.rtdfunctions",,"102039789 16")/100</f>
        <v>0</v>
      </c>
      <c r="X40">
        <f>RTD("greekserver.rtdfunctions",,"102039789 10")/100</f>
        <v>0</v>
      </c>
      <c r="Y40">
        <f>RTD("greekserver.rtdfunctions",,"102039789 11")</f>
        <v>0</v>
      </c>
      <c r="Z40" t="str">
        <f>nseltodate(RTD("greekserver.rtdfunctions",,"102039789 20"))</f>
        <v>N/A</v>
      </c>
      <c r="AA40">
        <f>RTD("greekserver.rtdfunctions",,"102039789 18")/100</f>
        <v>0</v>
      </c>
      <c r="AB40">
        <f>RTD("greekserver.rtdfunctions",,"102039789 17")/100</f>
        <v>0</v>
      </c>
      <c r="AC40">
        <f>RTD("greekserver.rtdfunctions",,"102039789 40")/100</f>
        <v>0</v>
      </c>
      <c r="AD40">
        <f>RTD("greekserver.rtdfunctions",,"102039789 34")/100</f>
        <v>0</v>
      </c>
    </row>
    <row r="41" spans="1:30" hidden="1" x14ac:dyDescent="0.2">
      <c r="A41">
        <v>102039796</v>
      </c>
      <c r="B41" t="s">
        <v>93</v>
      </c>
      <c r="C41" t="s">
        <v>345</v>
      </c>
      <c r="D41" t="s">
        <v>102</v>
      </c>
      <c r="E41" s="15">
        <v>43874</v>
      </c>
      <c r="F41">
        <v>28500</v>
      </c>
      <c r="G41" t="s">
        <v>346</v>
      </c>
      <c r="H41">
        <v>39796</v>
      </c>
      <c r="I41">
        <v>20</v>
      </c>
      <c r="J41">
        <f>RTD("greekserver.rtdfunctions",,"102039796 5")</f>
        <v>100</v>
      </c>
      <c r="K41">
        <f>RTD("greekserver.rtdfunctions",,"102039796 4")/100</f>
        <v>2748.1</v>
      </c>
      <c r="L41">
        <f>RTD("greekserver.rtdfunctions",,"102039796 7")</f>
        <v>100</v>
      </c>
      <c r="M41">
        <f>RTD("greekserver.rtdfunctions",,"102039796 6")/100</f>
        <v>2863.45</v>
      </c>
      <c r="N41">
        <f>RTD("greekserver.rtdfunctions",,"102039796 8")/100</f>
        <v>0</v>
      </c>
      <c r="O41">
        <f>RTD("greekserver.rtdfunctions",,"102039796 12")</f>
        <v>0</v>
      </c>
      <c r="P41">
        <f>RTD("greekserver.rtdfunctions",,"102039796 24")/100</f>
        <v>2748.1</v>
      </c>
      <c r="Q41">
        <f>RTD("greekserver.rtdfunctions",,"102039796 25")</f>
        <v>100</v>
      </c>
      <c r="R41">
        <f>RTD("greekserver.rtdfunctions",,"102039796 26")/100</f>
        <v>2863.45</v>
      </c>
      <c r="S41">
        <f>RTD("greekserver.rtdfunctions",,"102039796 27")</f>
        <v>100</v>
      </c>
      <c r="T41">
        <f>RTD("greekserver.rtdfunctions",,"102039796 13")/100</f>
        <v>0</v>
      </c>
      <c r="U41">
        <f>RTD("greekserver.rtdfunctions",,"102039796 14")/100</f>
        <v>2544.4499999999998</v>
      </c>
      <c r="V41">
        <f>RTD("greekserver.rtdfunctions",,"102039796 15")/100</f>
        <v>0</v>
      </c>
      <c r="W41">
        <f>RTD("greekserver.rtdfunctions",,"102039796 16")/100</f>
        <v>0</v>
      </c>
      <c r="X41">
        <f>RTD("greekserver.rtdfunctions",,"102039796 10")/100</f>
        <v>2544.4499999999998</v>
      </c>
      <c r="Y41">
        <f>RTD("greekserver.rtdfunctions",,"102039796 11")</f>
        <v>20</v>
      </c>
      <c r="Z41" t="str">
        <f>nseltodate(RTD("greekserver.rtdfunctions",,"102039796 20"))</f>
        <v>03:01:12 PM</v>
      </c>
      <c r="AA41">
        <f>RTD("greekserver.rtdfunctions",,"102039796 18")/100</f>
        <v>0</v>
      </c>
      <c r="AB41">
        <f>RTD("greekserver.rtdfunctions",,"102039796 17")/100</f>
        <v>0</v>
      </c>
      <c r="AC41">
        <f>RTD("greekserver.rtdfunctions",,"102039796 40")/100</f>
        <v>0</v>
      </c>
      <c r="AD41">
        <f>RTD("greekserver.rtdfunctions",,"102039796 34")/100</f>
        <v>0</v>
      </c>
    </row>
    <row r="42" spans="1:30" x14ac:dyDescent="0.2">
      <c r="A42">
        <v>102039797</v>
      </c>
      <c r="B42" t="s">
        <v>93</v>
      </c>
      <c r="C42" t="s">
        <v>345</v>
      </c>
      <c r="D42" t="s">
        <v>102</v>
      </c>
      <c r="E42" s="15">
        <v>43874</v>
      </c>
      <c r="F42">
        <v>28500</v>
      </c>
      <c r="G42" t="s">
        <v>347</v>
      </c>
      <c r="H42">
        <v>39797</v>
      </c>
      <c r="I42">
        <v>20</v>
      </c>
      <c r="J42">
        <f>RTD("greekserver.rtdfunctions",,"102039797 5")</f>
        <v>20</v>
      </c>
      <c r="K42">
        <f>RTD("greekserver.rtdfunctions",,"102039797 4")/100</f>
        <v>0.2</v>
      </c>
      <c r="L42">
        <f>RTD("greekserver.rtdfunctions",,"102039797 7")</f>
        <v>800</v>
      </c>
      <c r="M42">
        <f>RTD("greekserver.rtdfunctions",,"102039797 6")/100</f>
        <v>0.25</v>
      </c>
      <c r="N42">
        <f>RTD("greekserver.rtdfunctions",,"102039797 8")/100</f>
        <v>0.24</v>
      </c>
      <c r="O42">
        <f>RTD("greekserver.rtdfunctions",,"102039797 12")</f>
        <v>2480</v>
      </c>
      <c r="P42">
        <f>RTD("greekserver.rtdfunctions",,"102039797 24")/100</f>
        <v>0.2</v>
      </c>
      <c r="Q42">
        <f>RTD("greekserver.rtdfunctions",,"102039797 25")</f>
        <v>20</v>
      </c>
      <c r="R42">
        <f>RTD("greekserver.rtdfunctions",,"102039797 26")/100</f>
        <v>0.25</v>
      </c>
      <c r="S42">
        <f>RTD("greekserver.rtdfunctions",,"102039797 27")</f>
        <v>800</v>
      </c>
      <c r="T42">
        <f>RTD("greekserver.rtdfunctions",,"102039797 13")/100</f>
        <v>0.3</v>
      </c>
      <c r="U42">
        <f>RTD("greekserver.rtdfunctions",,"102039797 14")/100</f>
        <v>1.35</v>
      </c>
      <c r="V42">
        <f>RTD("greekserver.rtdfunctions",,"102039797 15")/100</f>
        <v>0.3</v>
      </c>
      <c r="W42">
        <f>RTD("greekserver.rtdfunctions",,"102039797 16")/100</f>
        <v>0.2</v>
      </c>
      <c r="X42">
        <f>RTD("greekserver.rtdfunctions",,"102039797 10")/100</f>
        <v>0.2</v>
      </c>
      <c r="Y42">
        <f>RTD("greekserver.rtdfunctions",,"102039797 11")</f>
        <v>200</v>
      </c>
      <c r="Z42" t="str">
        <f>nseltodate(RTD("greekserver.rtdfunctions",,"102039797 20"))</f>
        <v>09:53:10 AM</v>
      </c>
      <c r="AA42">
        <f>RTD("greekserver.rtdfunctions",,"102039797 18")/100</f>
        <v>0</v>
      </c>
      <c r="AB42">
        <f>RTD("greekserver.rtdfunctions",,"102039797 17")/100</f>
        <v>0</v>
      </c>
      <c r="AC42">
        <f>RTD("greekserver.rtdfunctions",,"102039797 40")/100</f>
        <v>461.2</v>
      </c>
      <c r="AD42">
        <f>RTD("greekserver.rtdfunctions",,"102039797 34")/100</f>
        <v>0</v>
      </c>
    </row>
    <row r="43" spans="1:30" hidden="1" x14ac:dyDescent="0.2">
      <c r="A43">
        <v>102039798</v>
      </c>
      <c r="B43" t="s">
        <v>93</v>
      </c>
      <c r="C43" t="s">
        <v>345</v>
      </c>
      <c r="D43" t="s">
        <v>102</v>
      </c>
      <c r="E43" s="15">
        <v>43874</v>
      </c>
      <c r="F43">
        <v>28600</v>
      </c>
      <c r="G43" t="s">
        <v>346</v>
      </c>
      <c r="H43">
        <v>39798</v>
      </c>
      <c r="I43">
        <v>20</v>
      </c>
      <c r="J43">
        <f>RTD("greekserver.rtdfunctions",,"102039798 5")</f>
        <v>100</v>
      </c>
      <c r="K43">
        <f>RTD("greekserver.rtdfunctions",,"102039798 4")/100</f>
        <v>2648.05</v>
      </c>
      <c r="L43">
        <f>RTD("greekserver.rtdfunctions",,"102039798 7")</f>
        <v>100</v>
      </c>
      <c r="M43">
        <f>RTD("greekserver.rtdfunctions",,"102039798 6")/100</f>
        <v>2763.45</v>
      </c>
      <c r="N43">
        <f>RTD("greekserver.rtdfunctions",,"102039798 8")/100</f>
        <v>0</v>
      </c>
      <c r="O43">
        <f>RTD("greekserver.rtdfunctions",,"102039798 12")</f>
        <v>0</v>
      </c>
      <c r="P43">
        <f>RTD("greekserver.rtdfunctions",,"102039798 24")/100</f>
        <v>2648.05</v>
      </c>
      <c r="Q43">
        <f>RTD("greekserver.rtdfunctions",,"102039798 25")</f>
        <v>100</v>
      </c>
      <c r="R43">
        <f>RTD("greekserver.rtdfunctions",,"102039798 26")/100</f>
        <v>2763.45</v>
      </c>
      <c r="S43">
        <f>RTD("greekserver.rtdfunctions",,"102039798 27")</f>
        <v>100</v>
      </c>
      <c r="T43">
        <f>RTD("greekserver.rtdfunctions",,"102039798 13")/100</f>
        <v>0</v>
      </c>
      <c r="U43">
        <f>RTD("greekserver.rtdfunctions",,"102039798 14")/100</f>
        <v>2830.05</v>
      </c>
      <c r="V43">
        <f>RTD("greekserver.rtdfunctions",,"102039798 15")/100</f>
        <v>0</v>
      </c>
      <c r="W43">
        <f>RTD("greekserver.rtdfunctions",,"102039798 16")/100</f>
        <v>0</v>
      </c>
      <c r="X43">
        <f>RTD("greekserver.rtdfunctions",,"102039798 10")/100</f>
        <v>0</v>
      </c>
      <c r="Y43">
        <f>RTD("greekserver.rtdfunctions",,"102039798 11")</f>
        <v>0</v>
      </c>
      <c r="Z43" t="str">
        <f>nseltodate(RTD("greekserver.rtdfunctions",,"102039798 20"))</f>
        <v>N/A</v>
      </c>
      <c r="AA43">
        <f>RTD("greekserver.rtdfunctions",,"102039798 18")/100</f>
        <v>0</v>
      </c>
      <c r="AB43">
        <f>RTD("greekserver.rtdfunctions",,"102039798 17")/100</f>
        <v>0</v>
      </c>
      <c r="AC43">
        <f>RTD("greekserver.rtdfunctions",,"102039798 40")/100</f>
        <v>0</v>
      </c>
      <c r="AD43">
        <f>RTD("greekserver.rtdfunctions",,"102039798 34")/100</f>
        <v>0</v>
      </c>
    </row>
    <row r="44" spans="1:30" x14ac:dyDescent="0.2">
      <c r="A44">
        <v>102039799</v>
      </c>
      <c r="B44" t="s">
        <v>93</v>
      </c>
      <c r="C44" t="s">
        <v>345</v>
      </c>
      <c r="D44" t="s">
        <v>102</v>
      </c>
      <c r="E44" s="15">
        <v>43874</v>
      </c>
      <c r="F44">
        <v>28600</v>
      </c>
      <c r="G44" t="s">
        <v>347</v>
      </c>
      <c r="H44">
        <v>39799</v>
      </c>
      <c r="I44">
        <v>20</v>
      </c>
      <c r="J44">
        <f>RTD("greekserver.rtdfunctions",,"102039799 5")</f>
        <v>0</v>
      </c>
      <c r="K44">
        <f>RTD("greekserver.rtdfunctions",,"102039799 4")/100</f>
        <v>0</v>
      </c>
      <c r="L44">
        <f>RTD("greekserver.rtdfunctions",,"102039799 7")</f>
        <v>20</v>
      </c>
      <c r="M44">
        <f>RTD("greekserver.rtdfunctions",,"102039799 6")/100</f>
        <v>0.5</v>
      </c>
      <c r="N44">
        <f>RTD("greekserver.rtdfunctions",,"102039799 8")/100</f>
        <v>0</v>
      </c>
      <c r="O44">
        <f>RTD("greekserver.rtdfunctions",,"102039799 12")</f>
        <v>0</v>
      </c>
      <c r="P44">
        <f>RTD("greekserver.rtdfunctions",,"102039799 24")/100</f>
        <v>0</v>
      </c>
      <c r="Q44">
        <f>RTD("greekserver.rtdfunctions",,"102039799 25")</f>
        <v>0</v>
      </c>
      <c r="R44">
        <f>RTD("greekserver.rtdfunctions",,"102039799 26")/100</f>
        <v>0.5</v>
      </c>
      <c r="S44">
        <f>RTD("greekserver.rtdfunctions",,"102039799 27")</f>
        <v>20</v>
      </c>
      <c r="T44">
        <f>RTD("greekserver.rtdfunctions",,"102039799 13")/100</f>
        <v>0</v>
      </c>
      <c r="U44">
        <f>RTD("greekserver.rtdfunctions",,"102039799 14")/100</f>
        <v>2</v>
      </c>
      <c r="V44">
        <f>RTD("greekserver.rtdfunctions",,"102039799 15")/100</f>
        <v>0</v>
      </c>
      <c r="W44">
        <f>RTD("greekserver.rtdfunctions",,"102039799 16")/100</f>
        <v>0</v>
      </c>
      <c r="X44">
        <f>RTD("greekserver.rtdfunctions",,"102039799 10")/100</f>
        <v>2</v>
      </c>
      <c r="Y44">
        <f>RTD("greekserver.rtdfunctions",,"102039799 11")</f>
        <v>80</v>
      </c>
      <c r="Z44" t="str">
        <f>nseltodate(RTD("greekserver.rtdfunctions",,"102039799 20"))</f>
        <v>01:11:52 PM</v>
      </c>
      <c r="AA44">
        <f>RTD("greekserver.rtdfunctions",,"102039799 18")/100</f>
        <v>0</v>
      </c>
      <c r="AB44">
        <f>RTD("greekserver.rtdfunctions",,"102039799 17")/100</f>
        <v>0</v>
      </c>
      <c r="AC44">
        <f>RTD("greekserver.rtdfunctions",,"102039799 40")/100</f>
        <v>0</v>
      </c>
      <c r="AD44">
        <f>RTD("greekserver.rtdfunctions",,"102039799 34")/100</f>
        <v>0</v>
      </c>
    </row>
    <row r="45" spans="1:30" hidden="1" x14ac:dyDescent="0.2">
      <c r="A45">
        <v>102039510</v>
      </c>
      <c r="B45" t="s">
        <v>93</v>
      </c>
      <c r="C45" t="s">
        <v>345</v>
      </c>
      <c r="D45" t="s">
        <v>102</v>
      </c>
      <c r="E45" s="15">
        <v>43874</v>
      </c>
      <c r="F45">
        <v>28700</v>
      </c>
      <c r="G45" t="s">
        <v>346</v>
      </c>
      <c r="H45">
        <v>39510</v>
      </c>
      <c r="I45">
        <v>20</v>
      </c>
      <c r="J45">
        <f>RTD("greekserver.rtdfunctions",,"102039510 5")</f>
        <v>100</v>
      </c>
      <c r="K45">
        <f>RTD("greekserver.rtdfunctions",,"102039510 4")/100</f>
        <v>2548.0500000000002</v>
      </c>
      <c r="L45">
        <f>RTD("greekserver.rtdfunctions",,"102039510 7")</f>
        <v>100</v>
      </c>
      <c r="M45">
        <f>RTD("greekserver.rtdfunctions",,"102039510 6")/100</f>
        <v>2663.45</v>
      </c>
      <c r="N45">
        <f>RTD("greekserver.rtdfunctions",,"102039510 8")/100</f>
        <v>0</v>
      </c>
      <c r="O45">
        <f>RTD("greekserver.rtdfunctions",,"102039510 12")</f>
        <v>0</v>
      </c>
      <c r="P45">
        <f>RTD("greekserver.rtdfunctions",,"102039510 24")/100</f>
        <v>2548.0500000000002</v>
      </c>
      <c r="Q45">
        <f>RTD("greekserver.rtdfunctions",,"102039510 25")</f>
        <v>100</v>
      </c>
      <c r="R45">
        <f>RTD("greekserver.rtdfunctions",,"102039510 26")/100</f>
        <v>2663.45</v>
      </c>
      <c r="S45">
        <f>RTD("greekserver.rtdfunctions",,"102039510 27")</f>
        <v>100</v>
      </c>
      <c r="T45">
        <f>RTD("greekserver.rtdfunctions",,"102039510 13")/100</f>
        <v>0</v>
      </c>
      <c r="U45">
        <f>RTD("greekserver.rtdfunctions",,"102039510 14")/100</f>
        <v>3338.55</v>
      </c>
      <c r="V45">
        <f>RTD("greekserver.rtdfunctions",,"102039510 15")/100</f>
        <v>0</v>
      </c>
      <c r="W45">
        <f>RTD("greekserver.rtdfunctions",,"102039510 16")/100</f>
        <v>0</v>
      </c>
      <c r="X45">
        <f>RTD("greekserver.rtdfunctions",,"102039510 10")/100</f>
        <v>0</v>
      </c>
      <c r="Y45">
        <f>RTD("greekserver.rtdfunctions",,"102039510 11")</f>
        <v>0</v>
      </c>
      <c r="Z45" t="str">
        <f>nseltodate(RTD("greekserver.rtdfunctions",,"102039510 20"))</f>
        <v>N/A</v>
      </c>
      <c r="AA45">
        <f>RTD("greekserver.rtdfunctions",,"102039510 18")/100</f>
        <v>0</v>
      </c>
      <c r="AB45">
        <f>RTD("greekserver.rtdfunctions",,"102039510 17")/100</f>
        <v>0</v>
      </c>
      <c r="AC45">
        <f>RTD("greekserver.rtdfunctions",,"102039510 40")/100</f>
        <v>0</v>
      </c>
      <c r="AD45">
        <f>RTD("greekserver.rtdfunctions",,"102039510 34")/100</f>
        <v>0</v>
      </c>
    </row>
    <row r="46" spans="1:30" x14ac:dyDescent="0.2">
      <c r="A46">
        <v>102039511</v>
      </c>
      <c r="B46" t="s">
        <v>93</v>
      </c>
      <c r="C46" t="s">
        <v>345</v>
      </c>
      <c r="D46" t="s">
        <v>102</v>
      </c>
      <c r="E46" s="15">
        <v>43874</v>
      </c>
      <c r="F46">
        <v>28700</v>
      </c>
      <c r="G46" t="s">
        <v>347</v>
      </c>
      <c r="H46">
        <v>39511</v>
      </c>
      <c r="I46">
        <v>20</v>
      </c>
      <c r="J46">
        <f>RTD("greekserver.rtdfunctions",,"102039511 5")</f>
        <v>0</v>
      </c>
      <c r="K46">
        <f>RTD("greekserver.rtdfunctions",,"102039511 4")/100</f>
        <v>0</v>
      </c>
      <c r="L46">
        <f>RTD("greekserver.rtdfunctions",,"102039511 7")</f>
        <v>20</v>
      </c>
      <c r="M46">
        <f>RTD("greekserver.rtdfunctions",,"102039511 6")/100</f>
        <v>0.5</v>
      </c>
      <c r="N46">
        <f>RTD("greekserver.rtdfunctions",,"102039511 8")/100</f>
        <v>0.05</v>
      </c>
      <c r="O46">
        <f>RTD("greekserver.rtdfunctions",,"102039511 12")</f>
        <v>120</v>
      </c>
      <c r="P46">
        <f>RTD("greekserver.rtdfunctions",,"102039511 24")/100</f>
        <v>0</v>
      </c>
      <c r="Q46">
        <f>RTD("greekserver.rtdfunctions",,"102039511 25")</f>
        <v>0</v>
      </c>
      <c r="R46">
        <f>RTD("greekserver.rtdfunctions",,"102039511 26")/100</f>
        <v>0.5</v>
      </c>
      <c r="S46">
        <f>RTD("greekserver.rtdfunctions",,"102039511 27")</f>
        <v>20</v>
      </c>
      <c r="T46">
        <f>RTD("greekserver.rtdfunctions",,"102039511 13")/100</f>
        <v>0.05</v>
      </c>
      <c r="U46">
        <f>RTD("greekserver.rtdfunctions",,"102039511 14")/100</f>
        <v>2.9</v>
      </c>
      <c r="V46">
        <f>RTD("greekserver.rtdfunctions",,"102039511 15")/100</f>
        <v>0.05</v>
      </c>
      <c r="W46">
        <f>RTD("greekserver.rtdfunctions",,"102039511 16")/100</f>
        <v>0.05</v>
      </c>
      <c r="X46">
        <f>RTD("greekserver.rtdfunctions",,"102039511 10")/100</f>
        <v>0.05</v>
      </c>
      <c r="Y46">
        <f>RTD("greekserver.rtdfunctions",,"102039511 11")</f>
        <v>120</v>
      </c>
      <c r="Z46" t="str">
        <f>nseltodate(RTD("greekserver.rtdfunctions",,"102039511 20"))</f>
        <v>10:24:36 AM</v>
      </c>
      <c r="AA46">
        <f>RTD("greekserver.rtdfunctions",,"102039511 18")/100</f>
        <v>0</v>
      </c>
      <c r="AB46">
        <f>RTD("greekserver.rtdfunctions",,"102039511 17")/100</f>
        <v>0</v>
      </c>
      <c r="AC46">
        <f>RTD("greekserver.rtdfunctions",,"102039511 40")/100</f>
        <v>1.2</v>
      </c>
      <c r="AD46">
        <f>RTD("greekserver.rtdfunctions",,"102039511 34")/100</f>
        <v>0</v>
      </c>
    </row>
    <row r="47" spans="1:30" hidden="1" x14ac:dyDescent="0.2">
      <c r="A47">
        <v>102039518</v>
      </c>
      <c r="B47" t="s">
        <v>93</v>
      </c>
      <c r="C47" t="s">
        <v>345</v>
      </c>
      <c r="D47" t="s">
        <v>102</v>
      </c>
      <c r="E47" s="15">
        <v>43874</v>
      </c>
      <c r="F47">
        <v>28800</v>
      </c>
      <c r="G47" t="s">
        <v>346</v>
      </c>
      <c r="H47">
        <v>39518</v>
      </c>
      <c r="I47">
        <v>20</v>
      </c>
      <c r="J47">
        <f>RTD("greekserver.rtdfunctions",,"102039518 5")</f>
        <v>100</v>
      </c>
      <c r="K47">
        <f>RTD("greekserver.rtdfunctions",,"102039518 4")/100</f>
        <v>2448.0500000000002</v>
      </c>
      <c r="L47">
        <f>RTD("greekserver.rtdfunctions",,"102039518 7")</f>
        <v>100</v>
      </c>
      <c r="M47">
        <f>RTD("greekserver.rtdfunctions",,"102039518 6")/100</f>
        <v>2563.4499999999998</v>
      </c>
      <c r="N47">
        <f>RTD("greekserver.rtdfunctions",,"102039518 8")/100</f>
        <v>0</v>
      </c>
      <c r="O47">
        <f>RTD("greekserver.rtdfunctions",,"102039518 12")</f>
        <v>0</v>
      </c>
      <c r="P47">
        <f>RTD("greekserver.rtdfunctions",,"102039518 24")/100</f>
        <v>2448.0500000000002</v>
      </c>
      <c r="Q47">
        <f>RTD("greekserver.rtdfunctions",,"102039518 25")</f>
        <v>100</v>
      </c>
      <c r="R47">
        <f>RTD("greekserver.rtdfunctions",,"102039518 26")/100</f>
        <v>2563.4499999999998</v>
      </c>
      <c r="S47">
        <f>RTD("greekserver.rtdfunctions",,"102039518 27")</f>
        <v>100</v>
      </c>
      <c r="T47">
        <f>RTD("greekserver.rtdfunctions",,"102039518 13")/100</f>
        <v>0</v>
      </c>
      <c r="U47">
        <f>RTD("greekserver.rtdfunctions",,"102039518 14")/100</f>
        <v>3248.9</v>
      </c>
      <c r="V47">
        <f>RTD("greekserver.rtdfunctions",,"102039518 15")/100</f>
        <v>0</v>
      </c>
      <c r="W47">
        <f>RTD("greekserver.rtdfunctions",,"102039518 16")/100</f>
        <v>0</v>
      </c>
      <c r="X47">
        <f>RTD("greekserver.rtdfunctions",,"102039518 10")/100</f>
        <v>0</v>
      </c>
      <c r="Y47">
        <f>RTD("greekserver.rtdfunctions",,"102039518 11")</f>
        <v>0</v>
      </c>
      <c r="Z47" t="str">
        <f>nseltodate(RTD("greekserver.rtdfunctions",,"102039518 20"))</f>
        <v>N/A</v>
      </c>
      <c r="AA47">
        <f>RTD("greekserver.rtdfunctions",,"102039518 18")/100</f>
        <v>0</v>
      </c>
      <c r="AB47">
        <f>RTD("greekserver.rtdfunctions",,"102039518 17")/100</f>
        <v>0</v>
      </c>
      <c r="AC47">
        <f>RTD("greekserver.rtdfunctions",,"102039518 40")/100</f>
        <v>0</v>
      </c>
      <c r="AD47">
        <f>RTD("greekserver.rtdfunctions",,"102039518 34")/100</f>
        <v>0</v>
      </c>
    </row>
    <row r="48" spans="1:30" x14ac:dyDescent="0.2">
      <c r="A48">
        <v>102039519</v>
      </c>
      <c r="B48" t="s">
        <v>93</v>
      </c>
      <c r="C48" t="s">
        <v>345</v>
      </c>
      <c r="D48" t="s">
        <v>102</v>
      </c>
      <c r="E48" s="15">
        <v>43874</v>
      </c>
      <c r="F48">
        <v>28800</v>
      </c>
      <c r="G48" t="s">
        <v>347</v>
      </c>
      <c r="H48">
        <v>39519</v>
      </c>
      <c r="I48">
        <v>20</v>
      </c>
      <c r="J48">
        <f>RTD("greekserver.rtdfunctions",,"102039519 5")</f>
        <v>40</v>
      </c>
      <c r="K48">
        <f>RTD("greekserver.rtdfunctions",,"102039519 4")/100</f>
        <v>0.15</v>
      </c>
      <c r="L48">
        <f>RTD("greekserver.rtdfunctions",,"102039519 7")</f>
        <v>20</v>
      </c>
      <c r="M48">
        <f>RTD("greekserver.rtdfunctions",,"102039519 6")/100</f>
        <v>0.45</v>
      </c>
      <c r="N48">
        <f>RTD("greekserver.rtdfunctions",,"102039519 8")/100</f>
        <v>0</v>
      </c>
      <c r="O48">
        <f>RTD("greekserver.rtdfunctions",,"102039519 12")</f>
        <v>0</v>
      </c>
      <c r="P48">
        <f>RTD("greekserver.rtdfunctions",,"102039519 24")/100</f>
        <v>0.15</v>
      </c>
      <c r="Q48">
        <f>RTD("greekserver.rtdfunctions",,"102039519 25")</f>
        <v>40</v>
      </c>
      <c r="R48">
        <f>RTD("greekserver.rtdfunctions",,"102039519 26")/100</f>
        <v>0.45</v>
      </c>
      <c r="S48">
        <f>RTD("greekserver.rtdfunctions",,"102039519 27")</f>
        <v>20</v>
      </c>
      <c r="T48">
        <f>RTD("greekserver.rtdfunctions",,"102039519 13")/100</f>
        <v>0</v>
      </c>
      <c r="U48">
        <f>RTD("greekserver.rtdfunctions",,"102039519 14")/100</f>
        <v>1.6</v>
      </c>
      <c r="V48">
        <f>RTD("greekserver.rtdfunctions",,"102039519 15")/100</f>
        <v>0</v>
      </c>
      <c r="W48">
        <f>RTD("greekserver.rtdfunctions",,"102039519 16")/100</f>
        <v>0</v>
      </c>
      <c r="X48">
        <f>RTD("greekserver.rtdfunctions",,"102039519 10")/100</f>
        <v>1.65</v>
      </c>
      <c r="Y48">
        <f>RTD("greekserver.rtdfunctions",,"102039519 11")</f>
        <v>20</v>
      </c>
      <c r="Z48" t="str">
        <f>nseltodate(RTD("greekserver.rtdfunctions",,"102039519 20"))</f>
        <v>03:24:08 PM</v>
      </c>
      <c r="AA48">
        <f>RTD("greekserver.rtdfunctions",,"102039519 18")/100</f>
        <v>0</v>
      </c>
      <c r="AB48">
        <f>RTD("greekserver.rtdfunctions",,"102039519 17")/100</f>
        <v>0</v>
      </c>
      <c r="AC48">
        <f>RTD("greekserver.rtdfunctions",,"102039519 40")/100</f>
        <v>0</v>
      </c>
      <c r="AD48">
        <f>RTD("greekserver.rtdfunctions",,"102039519 34")/100</f>
        <v>0</v>
      </c>
    </row>
    <row r="49" spans="1:30" hidden="1" x14ac:dyDescent="0.2">
      <c r="A49">
        <v>102039528</v>
      </c>
      <c r="B49" t="s">
        <v>93</v>
      </c>
      <c r="C49" t="s">
        <v>345</v>
      </c>
      <c r="D49" t="s">
        <v>102</v>
      </c>
      <c r="E49" s="15">
        <v>43874</v>
      </c>
      <c r="F49">
        <v>28900</v>
      </c>
      <c r="G49" t="s">
        <v>346</v>
      </c>
      <c r="H49">
        <v>39528</v>
      </c>
      <c r="I49">
        <v>20</v>
      </c>
      <c r="J49">
        <f>RTD("greekserver.rtdfunctions",,"102039528 5")</f>
        <v>100</v>
      </c>
      <c r="K49">
        <f>RTD("greekserver.rtdfunctions",,"102039528 4")/100</f>
        <v>2348.0500000000002</v>
      </c>
      <c r="L49">
        <f>RTD("greekserver.rtdfunctions",,"102039528 7")</f>
        <v>100</v>
      </c>
      <c r="M49">
        <f>RTD("greekserver.rtdfunctions",,"102039528 6")/100</f>
        <v>2463.4499999999998</v>
      </c>
      <c r="N49">
        <f>RTD("greekserver.rtdfunctions",,"102039528 8")/100</f>
        <v>0</v>
      </c>
      <c r="O49">
        <f>RTD("greekserver.rtdfunctions",,"102039528 12")</f>
        <v>0</v>
      </c>
      <c r="P49">
        <f>RTD("greekserver.rtdfunctions",,"102039528 24")/100</f>
        <v>2348.0500000000002</v>
      </c>
      <c r="Q49">
        <f>RTD("greekserver.rtdfunctions",,"102039528 25")</f>
        <v>100</v>
      </c>
      <c r="R49">
        <f>RTD("greekserver.rtdfunctions",,"102039528 26")/100</f>
        <v>2463.4499999999998</v>
      </c>
      <c r="S49">
        <f>RTD("greekserver.rtdfunctions",,"102039528 27")</f>
        <v>100</v>
      </c>
      <c r="T49">
        <f>RTD("greekserver.rtdfunctions",,"102039528 13")/100</f>
        <v>0</v>
      </c>
      <c r="U49">
        <f>RTD("greekserver.rtdfunctions",,"102039528 14")/100</f>
        <v>3160</v>
      </c>
      <c r="V49">
        <f>RTD("greekserver.rtdfunctions",,"102039528 15")/100</f>
        <v>0</v>
      </c>
      <c r="W49">
        <f>RTD("greekserver.rtdfunctions",,"102039528 16")/100</f>
        <v>0</v>
      </c>
      <c r="X49">
        <f>RTD("greekserver.rtdfunctions",,"102039528 10")/100</f>
        <v>0</v>
      </c>
      <c r="Y49">
        <f>RTD("greekserver.rtdfunctions",,"102039528 11")</f>
        <v>0</v>
      </c>
      <c r="Z49" t="str">
        <f>nseltodate(RTD("greekserver.rtdfunctions",,"102039528 20"))</f>
        <v>N/A</v>
      </c>
      <c r="AA49">
        <f>RTD("greekserver.rtdfunctions",,"102039528 18")/100</f>
        <v>0</v>
      </c>
      <c r="AB49">
        <f>RTD("greekserver.rtdfunctions",,"102039528 17")/100</f>
        <v>0</v>
      </c>
      <c r="AC49">
        <f>RTD("greekserver.rtdfunctions",,"102039528 40")/100</f>
        <v>0</v>
      </c>
      <c r="AD49">
        <f>RTD("greekserver.rtdfunctions",,"102039528 34")/100</f>
        <v>0</v>
      </c>
    </row>
    <row r="50" spans="1:30" x14ac:dyDescent="0.2">
      <c r="A50">
        <v>102039529</v>
      </c>
      <c r="B50" t="s">
        <v>93</v>
      </c>
      <c r="C50" t="s">
        <v>345</v>
      </c>
      <c r="D50" t="s">
        <v>102</v>
      </c>
      <c r="E50" s="15">
        <v>43874</v>
      </c>
      <c r="F50">
        <v>28900</v>
      </c>
      <c r="G50" t="s">
        <v>347</v>
      </c>
      <c r="H50">
        <v>39529</v>
      </c>
      <c r="I50">
        <v>20</v>
      </c>
      <c r="J50">
        <f>RTD("greekserver.rtdfunctions",,"102039529 5")</f>
        <v>220</v>
      </c>
      <c r="K50">
        <f>RTD("greekserver.rtdfunctions",,"102039529 4")/100</f>
        <v>0.15</v>
      </c>
      <c r="L50">
        <f>RTD("greekserver.rtdfunctions",,"102039529 7")</f>
        <v>20</v>
      </c>
      <c r="M50">
        <f>RTD("greekserver.rtdfunctions",,"102039529 6")/100</f>
        <v>0.5</v>
      </c>
      <c r="N50">
        <f>RTD("greekserver.rtdfunctions",,"102039529 8")/100</f>
        <v>0.15</v>
      </c>
      <c r="O50">
        <f>RTD("greekserver.rtdfunctions",,"102039529 12")</f>
        <v>20</v>
      </c>
      <c r="P50">
        <f>RTD("greekserver.rtdfunctions",,"102039529 24")/100</f>
        <v>0.15</v>
      </c>
      <c r="Q50">
        <f>RTD("greekserver.rtdfunctions",,"102039529 25")</f>
        <v>220</v>
      </c>
      <c r="R50">
        <f>RTD("greekserver.rtdfunctions",,"102039529 26")/100</f>
        <v>0.5</v>
      </c>
      <c r="S50">
        <f>RTD("greekserver.rtdfunctions",,"102039529 27")</f>
        <v>20</v>
      </c>
      <c r="T50">
        <f>RTD("greekserver.rtdfunctions",,"102039529 13")/100</f>
        <v>0.15</v>
      </c>
      <c r="U50">
        <f>RTD("greekserver.rtdfunctions",,"102039529 14")/100</f>
        <v>2.2999999999999998</v>
      </c>
      <c r="V50">
        <f>RTD("greekserver.rtdfunctions",,"102039529 15")/100</f>
        <v>0.15</v>
      </c>
      <c r="W50">
        <f>RTD("greekserver.rtdfunctions",,"102039529 16")/100</f>
        <v>0.15</v>
      </c>
      <c r="X50">
        <f>RTD("greekserver.rtdfunctions",,"102039529 10")/100</f>
        <v>0.15</v>
      </c>
      <c r="Y50">
        <f>RTD("greekserver.rtdfunctions",,"102039529 11")</f>
        <v>20</v>
      </c>
      <c r="Z50" t="str">
        <f>nseltodate(RTD("greekserver.rtdfunctions",,"102039529 20"))</f>
        <v>09:29:57 AM</v>
      </c>
      <c r="AA50">
        <f>RTD("greekserver.rtdfunctions",,"102039529 18")/100</f>
        <v>0</v>
      </c>
      <c r="AB50">
        <f>RTD("greekserver.rtdfunctions",,"102039529 17")/100</f>
        <v>0</v>
      </c>
      <c r="AC50">
        <f>RTD("greekserver.rtdfunctions",,"102039529 40")/100</f>
        <v>6.8</v>
      </c>
      <c r="AD50">
        <f>RTD("greekserver.rtdfunctions",,"102039529 34")/100</f>
        <v>0</v>
      </c>
    </row>
    <row r="51" spans="1:30" hidden="1" x14ac:dyDescent="0.2">
      <c r="A51">
        <v>102039530</v>
      </c>
      <c r="B51" t="s">
        <v>93</v>
      </c>
      <c r="C51" t="s">
        <v>345</v>
      </c>
      <c r="D51" t="s">
        <v>102</v>
      </c>
      <c r="E51" s="15">
        <v>43874</v>
      </c>
      <c r="F51">
        <v>29000</v>
      </c>
      <c r="G51" t="s">
        <v>346</v>
      </c>
      <c r="H51">
        <v>39530</v>
      </c>
      <c r="I51">
        <v>20</v>
      </c>
      <c r="J51">
        <f>RTD("greekserver.rtdfunctions",,"102039530 5")</f>
        <v>80</v>
      </c>
      <c r="K51">
        <f>RTD("greekserver.rtdfunctions",,"102039530 4")/100</f>
        <v>2267.5500000000002</v>
      </c>
      <c r="L51">
        <f>RTD("greekserver.rtdfunctions",,"102039530 7")</f>
        <v>20</v>
      </c>
      <c r="M51">
        <f>RTD("greekserver.rtdfunctions",,"102039530 6")/100</f>
        <v>2338</v>
      </c>
      <c r="N51">
        <f>RTD("greekserver.rtdfunctions",,"102039530 8")/100</f>
        <v>0</v>
      </c>
      <c r="O51">
        <f>RTD("greekserver.rtdfunctions",,"102039530 12")</f>
        <v>0</v>
      </c>
      <c r="P51">
        <f>RTD("greekserver.rtdfunctions",,"102039530 24")/100</f>
        <v>2267.5500000000002</v>
      </c>
      <c r="Q51">
        <f>RTD("greekserver.rtdfunctions",,"102039530 25")</f>
        <v>80</v>
      </c>
      <c r="R51">
        <f>RTD("greekserver.rtdfunctions",,"102039530 26")/100</f>
        <v>2338</v>
      </c>
      <c r="S51">
        <f>RTD("greekserver.rtdfunctions",,"102039530 27")</f>
        <v>20</v>
      </c>
      <c r="T51">
        <f>RTD("greekserver.rtdfunctions",,"102039530 13")/100</f>
        <v>0</v>
      </c>
      <c r="U51">
        <f>RTD("greekserver.rtdfunctions",,"102039530 14")/100</f>
        <v>2424.8000000000002</v>
      </c>
      <c r="V51">
        <f>RTD("greekserver.rtdfunctions",,"102039530 15")/100</f>
        <v>0</v>
      </c>
      <c r="W51">
        <f>RTD("greekserver.rtdfunctions",,"102039530 16")/100</f>
        <v>0</v>
      </c>
      <c r="X51">
        <f>RTD("greekserver.rtdfunctions",,"102039530 10")/100</f>
        <v>2424.8000000000002</v>
      </c>
      <c r="Y51">
        <f>RTD("greekserver.rtdfunctions",,"102039530 11")</f>
        <v>20</v>
      </c>
      <c r="Z51" t="str">
        <f>nseltodate(RTD("greekserver.rtdfunctions",,"102039530 20"))</f>
        <v>10:05:17 AM</v>
      </c>
      <c r="AA51">
        <f>RTD("greekserver.rtdfunctions",,"102039530 18")/100</f>
        <v>0</v>
      </c>
      <c r="AB51">
        <f>RTD("greekserver.rtdfunctions",,"102039530 17")/100</f>
        <v>0</v>
      </c>
      <c r="AC51">
        <f>RTD("greekserver.rtdfunctions",,"102039530 40")/100</f>
        <v>0</v>
      </c>
      <c r="AD51">
        <f>RTD("greekserver.rtdfunctions",,"102039530 34")/100</f>
        <v>0</v>
      </c>
    </row>
    <row r="52" spans="1:30" x14ac:dyDescent="0.2">
      <c r="A52">
        <v>102039532</v>
      </c>
      <c r="B52" t="s">
        <v>93</v>
      </c>
      <c r="C52" t="s">
        <v>345</v>
      </c>
      <c r="D52" t="s">
        <v>102</v>
      </c>
      <c r="E52" s="15">
        <v>43874</v>
      </c>
      <c r="F52">
        <v>29000</v>
      </c>
      <c r="G52" t="s">
        <v>347</v>
      </c>
      <c r="H52">
        <v>39532</v>
      </c>
      <c r="I52">
        <v>20</v>
      </c>
      <c r="J52">
        <f>RTD("greekserver.rtdfunctions",,"102039532 5")</f>
        <v>1340</v>
      </c>
      <c r="K52">
        <f>RTD("greekserver.rtdfunctions",,"102039532 4")/100</f>
        <v>0.2</v>
      </c>
      <c r="L52">
        <f>RTD("greekserver.rtdfunctions",,"102039532 7")</f>
        <v>900</v>
      </c>
      <c r="M52">
        <f>RTD("greekserver.rtdfunctions",,"102039532 6")/100</f>
        <v>0.3</v>
      </c>
      <c r="N52">
        <f>RTD("greekserver.rtdfunctions",,"102039532 8")/100</f>
        <v>0.25</v>
      </c>
      <c r="O52">
        <f>RTD("greekserver.rtdfunctions",,"102039532 12")</f>
        <v>8420</v>
      </c>
      <c r="P52">
        <f>RTD("greekserver.rtdfunctions",,"102039532 24")/100</f>
        <v>0.2</v>
      </c>
      <c r="Q52">
        <f>RTD("greekserver.rtdfunctions",,"102039532 25")</f>
        <v>1340</v>
      </c>
      <c r="R52">
        <f>RTD("greekserver.rtdfunctions",,"102039532 26")/100</f>
        <v>0.3</v>
      </c>
      <c r="S52">
        <f>RTD("greekserver.rtdfunctions",,"102039532 27")</f>
        <v>900</v>
      </c>
      <c r="T52">
        <f>RTD("greekserver.rtdfunctions",,"102039532 13")/100</f>
        <v>0.4</v>
      </c>
      <c r="U52">
        <f>RTD("greekserver.rtdfunctions",,"102039532 14")/100</f>
        <v>0.95</v>
      </c>
      <c r="V52">
        <f>RTD("greekserver.rtdfunctions",,"102039532 15")/100</f>
        <v>0.4</v>
      </c>
      <c r="W52">
        <f>RTD("greekserver.rtdfunctions",,"102039532 16")/100</f>
        <v>0.1</v>
      </c>
      <c r="X52">
        <f>RTD("greekserver.rtdfunctions",,"102039532 10")/100</f>
        <v>0.25</v>
      </c>
      <c r="Y52">
        <f>RTD("greekserver.rtdfunctions",,"102039532 11")</f>
        <v>20</v>
      </c>
      <c r="Z52" t="str">
        <f>nseltodate(RTD("greekserver.rtdfunctions",,"102039532 20"))</f>
        <v>10:46:24 AM</v>
      </c>
      <c r="AA52">
        <f>RTD("greekserver.rtdfunctions",,"102039532 18")/100</f>
        <v>0</v>
      </c>
      <c r="AB52">
        <f>RTD("greekserver.rtdfunctions",,"102039532 17")/100</f>
        <v>0</v>
      </c>
      <c r="AC52">
        <f>RTD("greekserver.rtdfunctions",,"102039532 40")/100</f>
        <v>243.6</v>
      </c>
      <c r="AD52">
        <f>RTD("greekserver.rtdfunctions",,"102039532 34")/100</f>
        <v>0</v>
      </c>
    </row>
    <row r="53" spans="1:30" hidden="1" x14ac:dyDescent="0.2">
      <c r="A53">
        <v>102039533</v>
      </c>
      <c r="B53" t="s">
        <v>93</v>
      </c>
      <c r="C53" t="s">
        <v>345</v>
      </c>
      <c r="D53" t="s">
        <v>102</v>
      </c>
      <c r="E53" s="15">
        <v>43874</v>
      </c>
      <c r="F53">
        <v>29100</v>
      </c>
      <c r="G53" t="s">
        <v>346</v>
      </c>
      <c r="H53">
        <v>39533</v>
      </c>
      <c r="I53">
        <v>20</v>
      </c>
      <c r="J53">
        <f>RTD("greekserver.rtdfunctions",,"102039533 5")</f>
        <v>100</v>
      </c>
      <c r="K53">
        <f>RTD("greekserver.rtdfunctions",,"102039533 4")/100</f>
        <v>2148.0500000000002</v>
      </c>
      <c r="L53">
        <f>RTD("greekserver.rtdfunctions",,"102039533 7")</f>
        <v>100</v>
      </c>
      <c r="M53">
        <f>RTD("greekserver.rtdfunctions",,"102039533 6")/100</f>
        <v>2263.4499999999998</v>
      </c>
      <c r="N53">
        <f>RTD("greekserver.rtdfunctions",,"102039533 8")/100</f>
        <v>0</v>
      </c>
      <c r="O53">
        <f>RTD("greekserver.rtdfunctions",,"102039533 12")</f>
        <v>0</v>
      </c>
      <c r="P53">
        <f>RTD("greekserver.rtdfunctions",,"102039533 24")/100</f>
        <v>2148.0500000000002</v>
      </c>
      <c r="Q53">
        <f>RTD("greekserver.rtdfunctions",,"102039533 25")</f>
        <v>100</v>
      </c>
      <c r="R53">
        <f>RTD("greekserver.rtdfunctions",,"102039533 26")/100</f>
        <v>2263.4499999999998</v>
      </c>
      <c r="S53">
        <f>RTD("greekserver.rtdfunctions",,"102039533 27")</f>
        <v>100</v>
      </c>
      <c r="T53">
        <f>RTD("greekserver.rtdfunctions",,"102039533 13")/100</f>
        <v>0</v>
      </c>
      <c r="U53">
        <f>RTD("greekserver.rtdfunctions",,"102039533 14")/100</f>
        <v>2984.65</v>
      </c>
      <c r="V53">
        <f>RTD("greekserver.rtdfunctions",,"102039533 15")/100</f>
        <v>0</v>
      </c>
      <c r="W53">
        <f>RTD("greekserver.rtdfunctions",,"102039533 16")/100</f>
        <v>0</v>
      </c>
      <c r="X53">
        <f>RTD("greekserver.rtdfunctions",,"102039533 10")/100</f>
        <v>0</v>
      </c>
      <c r="Y53">
        <f>RTD("greekserver.rtdfunctions",,"102039533 11")</f>
        <v>0</v>
      </c>
      <c r="Z53" t="str">
        <f>nseltodate(RTD("greekserver.rtdfunctions",,"102039533 20"))</f>
        <v>N/A</v>
      </c>
      <c r="AA53">
        <f>RTD("greekserver.rtdfunctions",,"102039533 18")/100</f>
        <v>0</v>
      </c>
      <c r="AB53">
        <f>RTD("greekserver.rtdfunctions",,"102039533 17")/100</f>
        <v>0</v>
      </c>
      <c r="AC53">
        <f>RTD("greekserver.rtdfunctions",,"102039533 40")/100</f>
        <v>0</v>
      </c>
      <c r="AD53">
        <f>RTD("greekserver.rtdfunctions",,"102039533 34")/100</f>
        <v>0</v>
      </c>
    </row>
    <row r="54" spans="1:30" x14ac:dyDescent="0.2">
      <c r="A54">
        <v>102039535</v>
      </c>
      <c r="B54" t="s">
        <v>93</v>
      </c>
      <c r="C54" t="s">
        <v>345</v>
      </c>
      <c r="D54" t="s">
        <v>102</v>
      </c>
      <c r="E54" s="15">
        <v>43874</v>
      </c>
      <c r="F54">
        <v>29100</v>
      </c>
      <c r="G54" t="s">
        <v>347</v>
      </c>
      <c r="H54">
        <v>39535</v>
      </c>
      <c r="I54">
        <v>20</v>
      </c>
      <c r="J54">
        <f>RTD("greekserver.rtdfunctions",,"102039535 5")</f>
        <v>300</v>
      </c>
      <c r="K54">
        <f>RTD("greekserver.rtdfunctions",,"102039535 4")/100</f>
        <v>0.1</v>
      </c>
      <c r="L54">
        <f>RTD("greekserver.rtdfunctions",,"102039535 7")</f>
        <v>900</v>
      </c>
      <c r="M54">
        <f>RTD("greekserver.rtdfunctions",,"102039535 6")/100</f>
        <v>0.45</v>
      </c>
      <c r="N54">
        <f>RTD("greekserver.rtdfunctions",,"102039535 8")/100</f>
        <v>0.32</v>
      </c>
      <c r="O54">
        <f>RTD("greekserver.rtdfunctions",,"102039535 12")</f>
        <v>40</v>
      </c>
      <c r="P54">
        <f>RTD("greekserver.rtdfunctions",,"102039535 24")/100</f>
        <v>0.1</v>
      </c>
      <c r="Q54">
        <f>RTD("greekserver.rtdfunctions",,"102039535 25")</f>
        <v>300</v>
      </c>
      <c r="R54">
        <f>RTD("greekserver.rtdfunctions",,"102039535 26")/100</f>
        <v>0.45</v>
      </c>
      <c r="S54">
        <f>RTD("greekserver.rtdfunctions",,"102039535 27")</f>
        <v>900</v>
      </c>
      <c r="T54">
        <f>RTD("greekserver.rtdfunctions",,"102039535 13")/100</f>
        <v>0.5</v>
      </c>
      <c r="U54">
        <f>RTD("greekserver.rtdfunctions",,"102039535 14")/100</f>
        <v>1.95</v>
      </c>
      <c r="V54">
        <f>RTD("greekserver.rtdfunctions",,"102039535 15")/100</f>
        <v>0.5</v>
      </c>
      <c r="W54">
        <f>RTD("greekserver.rtdfunctions",,"102039535 16")/100</f>
        <v>0.15</v>
      </c>
      <c r="X54">
        <f>RTD("greekserver.rtdfunctions",,"102039535 10")/100</f>
        <v>0.15</v>
      </c>
      <c r="Y54">
        <f>RTD("greekserver.rtdfunctions",,"102039535 11")</f>
        <v>20</v>
      </c>
      <c r="Z54" t="str">
        <f>nseltodate(RTD("greekserver.rtdfunctions",,"102039535 20"))</f>
        <v>10:40:08 AM</v>
      </c>
      <c r="AA54">
        <f>RTD("greekserver.rtdfunctions",,"102039535 18")/100</f>
        <v>0</v>
      </c>
      <c r="AB54">
        <f>RTD("greekserver.rtdfunctions",,"102039535 17")/100</f>
        <v>0</v>
      </c>
      <c r="AC54">
        <f>RTD("greekserver.rtdfunctions",,"102039535 40")/100</f>
        <v>6.8</v>
      </c>
      <c r="AD54">
        <f>RTD("greekserver.rtdfunctions",,"102039535 34")/100</f>
        <v>0</v>
      </c>
    </row>
    <row r="55" spans="1:30" hidden="1" x14ac:dyDescent="0.2">
      <c r="A55">
        <v>102039550</v>
      </c>
      <c r="B55" t="s">
        <v>93</v>
      </c>
      <c r="C55" t="s">
        <v>345</v>
      </c>
      <c r="D55" t="s">
        <v>102</v>
      </c>
      <c r="E55" s="15">
        <v>43874</v>
      </c>
      <c r="F55">
        <v>29200</v>
      </c>
      <c r="G55" t="s">
        <v>346</v>
      </c>
      <c r="H55">
        <v>39550</v>
      </c>
      <c r="I55">
        <v>20</v>
      </c>
      <c r="J55">
        <f>RTD("greekserver.rtdfunctions",,"102039550 5")</f>
        <v>100</v>
      </c>
      <c r="K55">
        <f>RTD("greekserver.rtdfunctions",,"102039550 4")/100</f>
        <v>2048.1</v>
      </c>
      <c r="L55">
        <f>RTD("greekserver.rtdfunctions",,"102039550 7")</f>
        <v>100</v>
      </c>
      <c r="M55">
        <f>RTD("greekserver.rtdfunctions",,"102039550 6")/100</f>
        <v>2163.4499999999998</v>
      </c>
      <c r="N55">
        <f>RTD("greekserver.rtdfunctions",,"102039550 8")/100</f>
        <v>0</v>
      </c>
      <c r="O55">
        <f>RTD("greekserver.rtdfunctions",,"102039550 12")</f>
        <v>0</v>
      </c>
      <c r="P55">
        <f>RTD("greekserver.rtdfunctions",,"102039550 24")/100</f>
        <v>2048.1</v>
      </c>
      <c r="Q55">
        <f>RTD("greekserver.rtdfunctions",,"102039550 25")</f>
        <v>100</v>
      </c>
      <c r="R55">
        <f>RTD("greekserver.rtdfunctions",,"102039550 26")/100</f>
        <v>2163.4499999999998</v>
      </c>
      <c r="S55">
        <f>RTD("greekserver.rtdfunctions",,"102039550 27")</f>
        <v>100</v>
      </c>
      <c r="T55">
        <f>RTD("greekserver.rtdfunctions",,"102039550 13")/100</f>
        <v>0</v>
      </c>
      <c r="U55">
        <f>RTD("greekserver.rtdfunctions",,"102039550 14")/100</f>
        <v>2898.25</v>
      </c>
      <c r="V55">
        <f>RTD("greekserver.rtdfunctions",,"102039550 15")/100</f>
        <v>0</v>
      </c>
      <c r="W55">
        <f>RTD("greekserver.rtdfunctions",,"102039550 16")/100</f>
        <v>0</v>
      </c>
      <c r="X55">
        <f>RTD("greekserver.rtdfunctions",,"102039550 10")/100</f>
        <v>0</v>
      </c>
      <c r="Y55">
        <f>RTD("greekserver.rtdfunctions",,"102039550 11")</f>
        <v>0</v>
      </c>
      <c r="Z55" t="str">
        <f>nseltodate(RTD("greekserver.rtdfunctions",,"102039550 20"))</f>
        <v>N/A</v>
      </c>
      <c r="AA55">
        <f>RTD("greekserver.rtdfunctions",,"102039550 18")/100</f>
        <v>0</v>
      </c>
      <c r="AB55">
        <f>RTD("greekserver.rtdfunctions",,"102039550 17")/100</f>
        <v>0</v>
      </c>
      <c r="AC55">
        <f>RTD("greekserver.rtdfunctions",,"102039550 40")/100</f>
        <v>0</v>
      </c>
      <c r="AD55">
        <f>RTD("greekserver.rtdfunctions",,"102039550 34")/100</f>
        <v>0</v>
      </c>
    </row>
    <row r="56" spans="1:30" x14ac:dyDescent="0.2">
      <c r="A56">
        <v>102039551</v>
      </c>
      <c r="B56" t="s">
        <v>93</v>
      </c>
      <c r="C56" t="s">
        <v>345</v>
      </c>
      <c r="D56" t="s">
        <v>102</v>
      </c>
      <c r="E56" s="15">
        <v>43874</v>
      </c>
      <c r="F56">
        <v>29200</v>
      </c>
      <c r="G56" t="s">
        <v>347</v>
      </c>
      <c r="H56">
        <v>39551</v>
      </c>
      <c r="I56">
        <v>20</v>
      </c>
      <c r="J56">
        <f>RTD("greekserver.rtdfunctions",,"102039551 5")</f>
        <v>0</v>
      </c>
      <c r="K56">
        <f>RTD("greekserver.rtdfunctions",,"102039551 4")/100</f>
        <v>0</v>
      </c>
      <c r="L56">
        <f>RTD("greekserver.rtdfunctions",,"102039551 7")</f>
        <v>20</v>
      </c>
      <c r="M56">
        <f>RTD("greekserver.rtdfunctions",,"102039551 6")/100</f>
        <v>0.5</v>
      </c>
      <c r="N56">
        <f>RTD("greekserver.rtdfunctions",,"102039551 8")/100</f>
        <v>0.32</v>
      </c>
      <c r="O56">
        <f>RTD("greekserver.rtdfunctions",,"102039551 12")</f>
        <v>740</v>
      </c>
      <c r="P56">
        <f>RTD("greekserver.rtdfunctions",,"102039551 24")/100</f>
        <v>0</v>
      </c>
      <c r="Q56">
        <f>RTD("greekserver.rtdfunctions",,"102039551 25")</f>
        <v>0</v>
      </c>
      <c r="R56">
        <f>RTD("greekserver.rtdfunctions",,"102039551 26")/100</f>
        <v>0.5</v>
      </c>
      <c r="S56">
        <f>RTD("greekserver.rtdfunctions",,"102039551 27")</f>
        <v>20</v>
      </c>
      <c r="T56">
        <f>RTD("greekserver.rtdfunctions",,"102039551 13")/100</f>
        <v>0.5</v>
      </c>
      <c r="U56">
        <f>RTD("greekserver.rtdfunctions",,"102039551 14")/100</f>
        <v>1.25</v>
      </c>
      <c r="V56">
        <f>RTD("greekserver.rtdfunctions",,"102039551 15")/100</f>
        <v>0.5</v>
      </c>
      <c r="W56">
        <f>RTD("greekserver.rtdfunctions",,"102039551 16")/100</f>
        <v>0.25</v>
      </c>
      <c r="X56">
        <f>RTD("greekserver.rtdfunctions",,"102039551 10")/100</f>
        <v>0.35</v>
      </c>
      <c r="Y56">
        <f>RTD("greekserver.rtdfunctions",,"102039551 11")</f>
        <v>60</v>
      </c>
      <c r="Z56" t="str">
        <f>nseltodate(RTD("greekserver.rtdfunctions",,"102039551 20"))</f>
        <v>09:57:26 AM</v>
      </c>
      <c r="AA56">
        <f>RTD("greekserver.rtdfunctions",,"102039551 18")/100</f>
        <v>0</v>
      </c>
      <c r="AB56">
        <f>RTD("greekserver.rtdfunctions",,"102039551 17")/100</f>
        <v>0</v>
      </c>
      <c r="AC56">
        <f>RTD("greekserver.rtdfunctions",,"102039551 40")/100</f>
        <v>8.8000000000000007</v>
      </c>
      <c r="AD56">
        <f>RTD("greekserver.rtdfunctions",,"102039551 34")/100</f>
        <v>0</v>
      </c>
    </row>
    <row r="57" spans="1:30" hidden="1" x14ac:dyDescent="0.2">
      <c r="A57">
        <v>102039553</v>
      </c>
      <c r="B57" t="s">
        <v>93</v>
      </c>
      <c r="C57" t="s">
        <v>345</v>
      </c>
      <c r="D57" t="s">
        <v>102</v>
      </c>
      <c r="E57" s="15">
        <v>43874</v>
      </c>
      <c r="F57">
        <v>29300</v>
      </c>
      <c r="G57" t="s">
        <v>346</v>
      </c>
      <c r="H57">
        <v>39553</v>
      </c>
      <c r="I57">
        <v>20</v>
      </c>
      <c r="J57">
        <f>RTD("greekserver.rtdfunctions",,"102039553 5")</f>
        <v>100</v>
      </c>
      <c r="K57">
        <f>RTD("greekserver.rtdfunctions",,"102039553 4")/100</f>
        <v>1948.05</v>
      </c>
      <c r="L57">
        <f>RTD("greekserver.rtdfunctions",,"102039553 7")</f>
        <v>100</v>
      </c>
      <c r="M57">
        <f>RTD("greekserver.rtdfunctions",,"102039553 6")/100</f>
        <v>2063.4499999999998</v>
      </c>
      <c r="N57">
        <f>RTD("greekserver.rtdfunctions",,"102039553 8")/100</f>
        <v>0</v>
      </c>
      <c r="O57">
        <f>RTD("greekserver.rtdfunctions",,"102039553 12")</f>
        <v>0</v>
      </c>
      <c r="P57">
        <f>RTD("greekserver.rtdfunctions",,"102039553 24")/100</f>
        <v>1948.05</v>
      </c>
      <c r="Q57">
        <f>RTD("greekserver.rtdfunctions",,"102039553 25")</f>
        <v>100</v>
      </c>
      <c r="R57">
        <f>RTD("greekserver.rtdfunctions",,"102039553 26")/100</f>
        <v>2063.4499999999998</v>
      </c>
      <c r="S57">
        <f>RTD("greekserver.rtdfunctions",,"102039553 27")</f>
        <v>100</v>
      </c>
      <c r="T57">
        <f>RTD("greekserver.rtdfunctions",,"102039553 13")/100</f>
        <v>0</v>
      </c>
      <c r="U57">
        <f>RTD("greekserver.rtdfunctions",,"102039553 14")/100</f>
        <v>1882.8</v>
      </c>
      <c r="V57">
        <f>RTD("greekserver.rtdfunctions",,"102039553 15")/100</f>
        <v>0</v>
      </c>
      <c r="W57">
        <f>RTD("greekserver.rtdfunctions",,"102039553 16")/100</f>
        <v>0</v>
      </c>
      <c r="X57">
        <f>RTD("greekserver.rtdfunctions",,"102039553 10")/100</f>
        <v>1882.8</v>
      </c>
      <c r="Y57">
        <f>RTD("greekserver.rtdfunctions",,"102039553 11")</f>
        <v>20</v>
      </c>
      <c r="Z57" t="str">
        <f>nseltodate(RTD("greekserver.rtdfunctions",,"102039553 20"))</f>
        <v>11:13:12 AM</v>
      </c>
      <c r="AA57">
        <f>RTD("greekserver.rtdfunctions",,"102039553 18")/100</f>
        <v>0</v>
      </c>
      <c r="AB57">
        <f>RTD("greekserver.rtdfunctions",,"102039553 17")/100</f>
        <v>0</v>
      </c>
      <c r="AC57">
        <f>RTD("greekserver.rtdfunctions",,"102039553 40")/100</f>
        <v>0</v>
      </c>
      <c r="AD57">
        <f>RTD("greekserver.rtdfunctions",,"102039553 34")/100</f>
        <v>0</v>
      </c>
    </row>
    <row r="58" spans="1:30" x14ac:dyDescent="0.2">
      <c r="A58">
        <v>102039554</v>
      </c>
      <c r="B58" t="s">
        <v>93</v>
      </c>
      <c r="C58" t="s">
        <v>345</v>
      </c>
      <c r="D58" t="s">
        <v>102</v>
      </c>
      <c r="E58" s="15">
        <v>43874</v>
      </c>
      <c r="F58">
        <v>29300</v>
      </c>
      <c r="G58" t="s">
        <v>347</v>
      </c>
      <c r="H58">
        <v>39554</v>
      </c>
      <c r="I58">
        <v>20</v>
      </c>
      <c r="J58">
        <f>RTD("greekserver.rtdfunctions",,"102039554 5")</f>
        <v>480</v>
      </c>
      <c r="K58">
        <f>RTD("greekserver.rtdfunctions",,"102039554 4")/100</f>
        <v>0.25</v>
      </c>
      <c r="L58">
        <f>RTD("greekserver.rtdfunctions",,"102039554 7")</f>
        <v>900</v>
      </c>
      <c r="M58">
        <f>RTD("greekserver.rtdfunctions",,"102039554 6")/100</f>
        <v>0.45</v>
      </c>
      <c r="N58">
        <f>RTD("greekserver.rtdfunctions",,"102039554 8")/100</f>
        <v>0.3</v>
      </c>
      <c r="O58">
        <f>RTD("greekserver.rtdfunctions",,"102039554 12")</f>
        <v>40</v>
      </c>
      <c r="P58">
        <f>RTD("greekserver.rtdfunctions",,"102039554 24")/100</f>
        <v>0.25</v>
      </c>
      <c r="Q58">
        <f>RTD("greekserver.rtdfunctions",,"102039554 25")</f>
        <v>480</v>
      </c>
      <c r="R58">
        <f>RTD("greekserver.rtdfunctions",,"102039554 26")/100</f>
        <v>0.45</v>
      </c>
      <c r="S58">
        <f>RTD("greekserver.rtdfunctions",,"102039554 27")</f>
        <v>900</v>
      </c>
      <c r="T58">
        <f>RTD("greekserver.rtdfunctions",,"102039554 13")/100</f>
        <v>0.3</v>
      </c>
      <c r="U58">
        <f>RTD("greekserver.rtdfunctions",,"102039554 14")/100</f>
        <v>1.3</v>
      </c>
      <c r="V58">
        <f>RTD("greekserver.rtdfunctions",,"102039554 15")/100</f>
        <v>0.3</v>
      </c>
      <c r="W58">
        <f>RTD("greekserver.rtdfunctions",,"102039554 16")/100</f>
        <v>0.3</v>
      </c>
      <c r="X58">
        <f>RTD("greekserver.rtdfunctions",,"102039554 10")/100</f>
        <v>0.3</v>
      </c>
      <c r="Y58">
        <f>RTD("greekserver.rtdfunctions",,"102039554 11")</f>
        <v>20</v>
      </c>
      <c r="Z58" t="str">
        <f>nseltodate(RTD("greekserver.rtdfunctions",,"102039554 20"))</f>
        <v>10:47:21 AM</v>
      </c>
      <c r="AA58">
        <f>RTD("greekserver.rtdfunctions",,"102039554 18")/100</f>
        <v>0</v>
      </c>
      <c r="AB58">
        <f>RTD("greekserver.rtdfunctions",,"102039554 17")/100</f>
        <v>0</v>
      </c>
      <c r="AC58">
        <f>RTD("greekserver.rtdfunctions",,"102039554 40")/100</f>
        <v>31.8</v>
      </c>
      <c r="AD58">
        <f>RTD("greekserver.rtdfunctions",,"102039554 34")/100</f>
        <v>0</v>
      </c>
    </row>
    <row r="59" spans="1:30" hidden="1" x14ac:dyDescent="0.2">
      <c r="A59">
        <v>102039558</v>
      </c>
      <c r="B59" t="s">
        <v>93</v>
      </c>
      <c r="C59" t="s">
        <v>345</v>
      </c>
      <c r="D59" t="s">
        <v>102</v>
      </c>
      <c r="E59" s="15">
        <v>43874</v>
      </c>
      <c r="F59">
        <v>29400</v>
      </c>
      <c r="G59" t="s">
        <v>346</v>
      </c>
      <c r="H59">
        <v>39558</v>
      </c>
      <c r="I59">
        <v>20</v>
      </c>
      <c r="J59">
        <f>RTD("greekserver.rtdfunctions",,"102039558 5")</f>
        <v>100</v>
      </c>
      <c r="K59">
        <f>RTD("greekserver.rtdfunctions",,"102039558 4")/100</f>
        <v>1848.1</v>
      </c>
      <c r="L59">
        <f>RTD("greekserver.rtdfunctions",,"102039558 7")</f>
        <v>100</v>
      </c>
      <c r="M59">
        <f>RTD("greekserver.rtdfunctions",,"102039558 6")/100</f>
        <v>1963.45</v>
      </c>
      <c r="N59">
        <f>RTD("greekserver.rtdfunctions",,"102039558 8")/100</f>
        <v>0</v>
      </c>
      <c r="O59">
        <f>RTD("greekserver.rtdfunctions",,"102039558 12")</f>
        <v>0</v>
      </c>
      <c r="P59">
        <f>RTD("greekserver.rtdfunctions",,"102039558 24")/100</f>
        <v>1848.1</v>
      </c>
      <c r="Q59">
        <f>RTD("greekserver.rtdfunctions",,"102039558 25")</f>
        <v>100</v>
      </c>
      <c r="R59">
        <f>RTD("greekserver.rtdfunctions",,"102039558 26")/100</f>
        <v>1963.45</v>
      </c>
      <c r="S59">
        <f>RTD("greekserver.rtdfunctions",,"102039558 27")</f>
        <v>100</v>
      </c>
      <c r="T59">
        <f>RTD("greekserver.rtdfunctions",,"102039558 13")/100</f>
        <v>0</v>
      </c>
      <c r="U59">
        <f>RTD("greekserver.rtdfunctions",,"102039558 14")/100</f>
        <v>2728.3</v>
      </c>
      <c r="V59">
        <f>RTD("greekserver.rtdfunctions",,"102039558 15")/100</f>
        <v>0</v>
      </c>
      <c r="W59">
        <f>RTD("greekserver.rtdfunctions",,"102039558 16")/100</f>
        <v>0</v>
      </c>
      <c r="X59">
        <f>RTD("greekserver.rtdfunctions",,"102039558 10")/100</f>
        <v>0</v>
      </c>
      <c r="Y59">
        <f>RTD("greekserver.rtdfunctions",,"102039558 11")</f>
        <v>0</v>
      </c>
      <c r="Z59" t="str">
        <f>nseltodate(RTD("greekserver.rtdfunctions",,"102039558 20"))</f>
        <v>N/A</v>
      </c>
      <c r="AA59">
        <f>RTD("greekserver.rtdfunctions",,"102039558 18")/100</f>
        <v>0</v>
      </c>
      <c r="AB59">
        <f>RTD("greekserver.rtdfunctions",,"102039558 17")/100</f>
        <v>0</v>
      </c>
      <c r="AC59">
        <f>RTD("greekserver.rtdfunctions",,"102039558 40")/100</f>
        <v>0</v>
      </c>
      <c r="AD59">
        <f>RTD("greekserver.rtdfunctions",,"102039558 34")/100</f>
        <v>0</v>
      </c>
    </row>
    <row r="60" spans="1:30" x14ac:dyDescent="0.2">
      <c r="A60">
        <v>102039559</v>
      </c>
      <c r="B60" t="s">
        <v>93</v>
      </c>
      <c r="C60" t="s">
        <v>345</v>
      </c>
      <c r="D60" t="s">
        <v>102</v>
      </c>
      <c r="E60" s="15">
        <v>43874</v>
      </c>
      <c r="F60">
        <v>29400</v>
      </c>
      <c r="G60" t="s">
        <v>347</v>
      </c>
      <c r="H60">
        <v>39559</v>
      </c>
      <c r="I60">
        <v>20</v>
      </c>
      <c r="J60">
        <f>RTD("greekserver.rtdfunctions",,"102039559 5")</f>
        <v>20</v>
      </c>
      <c r="K60">
        <f>RTD("greekserver.rtdfunctions",,"102039559 4")/100</f>
        <v>0.3</v>
      </c>
      <c r="L60">
        <f>RTD("greekserver.rtdfunctions",,"102039559 7")</f>
        <v>900</v>
      </c>
      <c r="M60">
        <f>RTD("greekserver.rtdfunctions",,"102039559 6")/100</f>
        <v>0.55000000000000004</v>
      </c>
      <c r="N60">
        <f>RTD("greekserver.rtdfunctions",,"102039559 8")/100</f>
        <v>0.15</v>
      </c>
      <c r="O60">
        <f>RTD("greekserver.rtdfunctions",,"102039559 12")</f>
        <v>700</v>
      </c>
      <c r="P60">
        <f>RTD("greekserver.rtdfunctions",,"102039559 24")/100</f>
        <v>0.3</v>
      </c>
      <c r="Q60">
        <f>RTD("greekserver.rtdfunctions",,"102039559 25")</f>
        <v>20</v>
      </c>
      <c r="R60">
        <f>RTD("greekserver.rtdfunctions",,"102039559 26")/100</f>
        <v>0.55000000000000004</v>
      </c>
      <c r="S60">
        <f>RTD("greekserver.rtdfunctions",,"102039559 27")</f>
        <v>900</v>
      </c>
      <c r="T60">
        <f>RTD("greekserver.rtdfunctions",,"102039559 13")/100</f>
        <v>0.1</v>
      </c>
      <c r="U60">
        <f>RTD("greekserver.rtdfunctions",,"102039559 14")/100</f>
        <v>1.25</v>
      </c>
      <c r="V60">
        <f>RTD("greekserver.rtdfunctions",,"102039559 15")/100</f>
        <v>0.45</v>
      </c>
      <c r="W60">
        <f>RTD("greekserver.rtdfunctions",,"102039559 16")/100</f>
        <v>0.1</v>
      </c>
      <c r="X60">
        <f>RTD("greekserver.rtdfunctions",,"102039559 10")/100</f>
        <v>0.45</v>
      </c>
      <c r="Y60">
        <f>RTD("greekserver.rtdfunctions",,"102039559 11")</f>
        <v>20</v>
      </c>
      <c r="Z60" t="str">
        <f>nseltodate(RTD("greekserver.rtdfunctions",,"102039559 20"))</f>
        <v>10:33:02 AM</v>
      </c>
      <c r="AA60">
        <f>RTD("greekserver.rtdfunctions",,"102039559 18")/100</f>
        <v>0</v>
      </c>
      <c r="AB60">
        <f>RTD("greekserver.rtdfunctions",,"102039559 17")/100</f>
        <v>0</v>
      </c>
      <c r="AC60">
        <f>RTD("greekserver.rtdfunctions",,"102039559 40")/100</f>
        <v>35.200000000000003</v>
      </c>
      <c r="AD60">
        <f>RTD("greekserver.rtdfunctions",,"102039559 34")/100</f>
        <v>0</v>
      </c>
    </row>
    <row r="61" spans="1:30" hidden="1" x14ac:dyDescent="0.2">
      <c r="A61">
        <v>102039560</v>
      </c>
      <c r="B61" t="s">
        <v>93</v>
      </c>
      <c r="C61" t="s">
        <v>345</v>
      </c>
      <c r="D61" t="s">
        <v>102</v>
      </c>
      <c r="E61" s="15">
        <v>43874</v>
      </c>
      <c r="F61">
        <v>29500</v>
      </c>
      <c r="G61" t="s">
        <v>346</v>
      </c>
      <c r="H61">
        <v>39560</v>
      </c>
      <c r="I61">
        <v>20</v>
      </c>
      <c r="J61">
        <f>RTD("greekserver.rtdfunctions",,"102039560 5")</f>
        <v>160</v>
      </c>
      <c r="K61">
        <f>RTD("greekserver.rtdfunctions",,"102039560 4")/100</f>
        <v>1799.9</v>
      </c>
      <c r="L61">
        <f>RTD("greekserver.rtdfunctions",,"102039560 7")</f>
        <v>20</v>
      </c>
      <c r="M61">
        <f>RTD("greekserver.rtdfunctions",,"102039560 6")/100</f>
        <v>1819.4</v>
      </c>
      <c r="N61">
        <f>RTD("greekserver.rtdfunctions",,"102039560 8")/100</f>
        <v>1879.95</v>
      </c>
      <c r="O61">
        <f>RTD("greekserver.rtdfunctions",,"102039560 12")</f>
        <v>240</v>
      </c>
      <c r="P61">
        <f>RTD("greekserver.rtdfunctions",,"102039560 24")/100</f>
        <v>1799.9</v>
      </c>
      <c r="Q61">
        <f>RTD("greekserver.rtdfunctions",,"102039560 25")</f>
        <v>160</v>
      </c>
      <c r="R61">
        <f>RTD("greekserver.rtdfunctions",,"102039560 26")/100</f>
        <v>1819.4</v>
      </c>
      <c r="S61">
        <f>RTD("greekserver.rtdfunctions",,"102039560 27")</f>
        <v>20</v>
      </c>
      <c r="T61">
        <f>RTD("greekserver.rtdfunctions",,"102039560 13")/100</f>
        <v>1935.35</v>
      </c>
      <c r="U61">
        <f>RTD("greekserver.rtdfunctions",,"102039560 14")/100</f>
        <v>2055.6</v>
      </c>
      <c r="V61">
        <f>RTD("greekserver.rtdfunctions",,"102039560 15")/100</f>
        <v>1935.35</v>
      </c>
      <c r="W61">
        <f>RTD("greekserver.rtdfunctions",,"102039560 16")/100</f>
        <v>1800</v>
      </c>
      <c r="X61">
        <f>RTD("greekserver.rtdfunctions",,"102039560 10")/100</f>
        <v>1800</v>
      </c>
      <c r="Y61">
        <f>RTD("greekserver.rtdfunctions",,"102039560 11")</f>
        <v>20</v>
      </c>
      <c r="Z61" t="str">
        <f>nseltodate(RTD("greekserver.rtdfunctions",,"102039560 20"))</f>
        <v>10:21:19 AM</v>
      </c>
      <c r="AA61">
        <f>RTD("greekserver.rtdfunctions",,"102039560 18")/100</f>
        <v>0</v>
      </c>
      <c r="AB61">
        <f>RTD("greekserver.rtdfunctions",,"102039560 17")/100</f>
        <v>0</v>
      </c>
      <c r="AC61">
        <f>RTD("greekserver.rtdfunctions",,"102039560 40")/100</f>
        <v>15.6</v>
      </c>
      <c r="AD61">
        <f>RTD("greekserver.rtdfunctions",,"102039560 34")/100</f>
        <v>0</v>
      </c>
    </row>
    <row r="62" spans="1:30" x14ac:dyDescent="0.2">
      <c r="A62">
        <v>102039561</v>
      </c>
      <c r="B62" t="s">
        <v>93</v>
      </c>
      <c r="C62" t="s">
        <v>345</v>
      </c>
      <c r="D62" t="s">
        <v>102</v>
      </c>
      <c r="E62" s="15">
        <v>43874</v>
      </c>
      <c r="F62">
        <v>29500</v>
      </c>
      <c r="G62" t="s">
        <v>347</v>
      </c>
      <c r="H62">
        <v>39561</v>
      </c>
      <c r="I62">
        <v>20</v>
      </c>
      <c r="J62">
        <f>RTD("greekserver.rtdfunctions",,"102039561 5")</f>
        <v>100</v>
      </c>
      <c r="K62">
        <f>RTD("greekserver.rtdfunctions",,"102039561 4")/100</f>
        <v>0.3</v>
      </c>
      <c r="L62">
        <f>RTD("greekserver.rtdfunctions",,"102039561 7")</f>
        <v>80</v>
      </c>
      <c r="M62">
        <f>RTD("greekserver.rtdfunctions",,"102039561 6")/100</f>
        <v>0.4</v>
      </c>
      <c r="N62">
        <f>RTD("greekserver.rtdfunctions",,"102039561 8")/100</f>
        <v>0.38</v>
      </c>
      <c r="O62">
        <f>RTD("greekserver.rtdfunctions",,"102039561 12")</f>
        <v>31980</v>
      </c>
      <c r="P62">
        <f>RTD("greekserver.rtdfunctions",,"102039561 24")/100</f>
        <v>0.3</v>
      </c>
      <c r="Q62">
        <f>RTD("greekserver.rtdfunctions",,"102039561 25")</f>
        <v>100</v>
      </c>
      <c r="R62">
        <f>RTD("greekserver.rtdfunctions",,"102039561 26")/100</f>
        <v>0.4</v>
      </c>
      <c r="S62">
        <f>RTD("greekserver.rtdfunctions",,"102039561 27")</f>
        <v>80</v>
      </c>
      <c r="T62">
        <f>RTD("greekserver.rtdfunctions",,"102039561 13")/100</f>
        <v>0.1</v>
      </c>
      <c r="U62">
        <f>RTD("greekserver.rtdfunctions",,"102039561 14")/100</f>
        <v>1.2</v>
      </c>
      <c r="V62">
        <f>RTD("greekserver.rtdfunctions",,"102039561 15")/100</f>
        <v>0.45</v>
      </c>
      <c r="W62">
        <f>RTD("greekserver.rtdfunctions",,"102039561 16")/100</f>
        <v>0.1</v>
      </c>
      <c r="X62">
        <f>RTD("greekserver.rtdfunctions",,"102039561 10")/100</f>
        <v>0.3</v>
      </c>
      <c r="Y62">
        <f>RTD("greekserver.rtdfunctions",,"102039561 11")</f>
        <v>20</v>
      </c>
      <c r="Z62" t="str">
        <f>nseltodate(RTD("greekserver.rtdfunctions",,"102039561 20"))</f>
        <v>10:47:29 AM</v>
      </c>
      <c r="AA62">
        <f>RTD("greekserver.rtdfunctions",,"102039561 18")/100</f>
        <v>0</v>
      </c>
      <c r="AB62">
        <f>RTD("greekserver.rtdfunctions",,"102039561 17")/100</f>
        <v>0</v>
      </c>
      <c r="AC62">
        <f>RTD("greekserver.rtdfunctions",,"102039561 40")/100</f>
        <v>1610.6</v>
      </c>
      <c r="AD62">
        <f>RTD("greekserver.rtdfunctions",,"102039561 34")/100</f>
        <v>0</v>
      </c>
    </row>
    <row r="63" spans="1:30" hidden="1" x14ac:dyDescent="0.2">
      <c r="A63">
        <v>102039570</v>
      </c>
      <c r="B63" t="s">
        <v>93</v>
      </c>
      <c r="C63" t="s">
        <v>345</v>
      </c>
      <c r="D63" t="s">
        <v>102</v>
      </c>
      <c r="E63" s="15">
        <v>43874</v>
      </c>
      <c r="F63">
        <v>29600</v>
      </c>
      <c r="G63" t="s">
        <v>346</v>
      </c>
      <c r="H63">
        <v>39570</v>
      </c>
      <c r="I63">
        <v>20</v>
      </c>
      <c r="J63">
        <f>RTD("greekserver.rtdfunctions",,"102039570 5")</f>
        <v>500</v>
      </c>
      <c r="K63">
        <f>RTD("greekserver.rtdfunctions",,"102039570 4")/100</f>
        <v>1658.05</v>
      </c>
      <c r="L63">
        <f>RTD("greekserver.rtdfunctions",,"102039570 7")</f>
        <v>100</v>
      </c>
      <c r="M63">
        <f>RTD("greekserver.rtdfunctions",,"102039570 6")/100</f>
        <v>1763.45</v>
      </c>
      <c r="N63">
        <f>RTD("greekserver.rtdfunctions",,"102039570 8")/100</f>
        <v>0</v>
      </c>
      <c r="O63">
        <f>RTD("greekserver.rtdfunctions",,"102039570 12")</f>
        <v>0</v>
      </c>
      <c r="P63">
        <f>RTD("greekserver.rtdfunctions",,"102039570 24")/100</f>
        <v>1658.05</v>
      </c>
      <c r="Q63">
        <f>RTD("greekserver.rtdfunctions",,"102039570 25")</f>
        <v>500</v>
      </c>
      <c r="R63">
        <f>RTD("greekserver.rtdfunctions",,"102039570 26")/100</f>
        <v>1763.45</v>
      </c>
      <c r="S63">
        <f>RTD("greekserver.rtdfunctions",,"102039570 27")</f>
        <v>100</v>
      </c>
      <c r="T63">
        <f>RTD("greekserver.rtdfunctions",,"102039570 13")/100</f>
        <v>0</v>
      </c>
      <c r="U63">
        <f>RTD("greekserver.rtdfunctions",,"102039570 14")/100</f>
        <v>1626.9</v>
      </c>
      <c r="V63">
        <f>RTD("greekserver.rtdfunctions",,"102039570 15")/100</f>
        <v>0</v>
      </c>
      <c r="W63">
        <f>RTD("greekserver.rtdfunctions",,"102039570 16")/100</f>
        <v>0</v>
      </c>
      <c r="X63">
        <f>RTD("greekserver.rtdfunctions",,"102039570 10")/100</f>
        <v>1626.9</v>
      </c>
      <c r="Y63">
        <f>RTD("greekserver.rtdfunctions",,"102039570 11")</f>
        <v>20</v>
      </c>
      <c r="Z63" t="str">
        <f>nseltodate(RTD("greekserver.rtdfunctions",,"102039570 20"))</f>
        <v>03:23:13 PM</v>
      </c>
      <c r="AA63">
        <f>RTD("greekserver.rtdfunctions",,"102039570 18")/100</f>
        <v>0</v>
      </c>
      <c r="AB63">
        <f>RTD("greekserver.rtdfunctions",,"102039570 17")/100</f>
        <v>0</v>
      </c>
      <c r="AC63">
        <f>RTD("greekserver.rtdfunctions",,"102039570 40")/100</f>
        <v>0</v>
      </c>
      <c r="AD63">
        <f>RTD("greekserver.rtdfunctions",,"102039570 34")/100</f>
        <v>0</v>
      </c>
    </row>
    <row r="64" spans="1:30" x14ac:dyDescent="0.2">
      <c r="A64">
        <v>102039571</v>
      </c>
      <c r="B64" t="s">
        <v>93</v>
      </c>
      <c r="C64" t="s">
        <v>345</v>
      </c>
      <c r="D64" t="s">
        <v>102</v>
      </c>
      <c r="E64" s="15">
        <v>43874</v>
      </c>
      <c r="F64">
        <v>29600</v>
      </c>
      <c r="G64" t="s">
        <v>347</v>
      </c>
      <c r="H64">
        <v>39571</v>
      </c>
      <c r="I64">
        <v>20</v>
      </c>
      <c r="J64">
        <f>RTD("greekserver.rtdfunctions",,"102039571 5")</f>
        <v>2320</v>
      </c>
      <c r="K64">
        <f>RTD("greekserver.rtdfunctions",,"102039571 4")/100</f>
        <v>0.4</v>
      </c>
      <c r="L64">
        <f>RTD("greekserver.rtdfunctions",,"102039571 7")</f>
        <v>3800</v>
      </c>
      <c r="M64">
        <f>RTD("greekserver.rtdfunctions",,"102039571 6")/100</f>
        <v>0.5</v>
      </c>
      <c r="N64">
        <f>RTD("greekserver.rtdfunctions",,"102039571 8")/100</f>
        <v>0.37</v>
      </c>
      <c r="O64">
        <f>RTD("greekserver.rtdfunctions",,"102039571 12")</f>
        <v>26460</v>
      </c>
      <c r="P64">
        <f>RTD("greekserver.rtdfunctions",,"102039571 24")/100</f>
        <v>0.4</v>
      </c>
      <c r="Q64">
        <f>RTD("greekserver.rtdfunctions",,"102039571 25")</f>
        <v>2320</v>
      </c>
      <c r="R64">
        <f>RTD("greekserver.rtdfunctions",,"102039571 26")/100</f>
        <v>0.5</v>
      </c>
      <c r="S64">
        <f>RTD("greekserver.rtdfunctions",,"102039571 27")</f>
        <v>3800</v>
      </c>
      <c r="T64">
        <f>RTD("greekserver.rtdfunctions",,"102039571 13")/100</f>
        <v>0.1</v>
      </c>
      <c r="U64">
        <f>RTD("greekserver.rtdfunctions",,"102039571 14")/100</f>
        <v>1.1000000000000001</v>
      </c>
      <c r="V64">
        <f>RTD("greekserver.rtdfunctions",,"102039571 15")/100</f>
        <v>0.8</v>
      </c>
      <c r="W64">
        <f>RTD("greekserver.rtdfunctions",,"102039571 16")/100</f>
        <v>0.1</v>
      </c>
      <c r="X64">
        <f>RTD("greekserver.rtdfunctions",,"102039571 10")/100</f>
        <v>0.4</v>
      </c>
      <c r="Y64">
        <f>RTD("greekserver.rtdfunctions",,"102039571 11")</f>
        <v>180</v>
      </c>
      <c r="Z64" t="str">
        <f>nseltodate(RTD("greekserver.rtdfunctions",,"102039571 20"))</f>
        <v>10:46:05 AM</v>
      </c>
      <c r="AA64">
        <f>RTD("greekserver.rtdfunctions",,"102039571 18")/100</f>
        <v>0</v>
      </c>
      <c r="AB64">
        <f>RTD("greekserver.rtdfunctions",,"102039571 17")/100</f>
        <v>0</v>
      </c>
      <c r="AC64">
        <f>RTD("greekserver.rtdfunctions",,"102039571 40")/100</f>
        <v>919.8</v>
      </c>
      <c r="AD64">
        <f>RTD("greekserver.rtdfunctions",,"102039571 34")/100</f>
        <v>0</v>
      </c>
    </row>
    <row r="65" spans="1:30" hidden="1" x14ac:dyDescent="0.2">
      <c r="A65">
        <v>102039572</v>
      </c>
      <c r="B65" t="s">
        <v>93</v>
      </c>
      <c r="C65" t="s">
        <v>345</v>
      </c>
      <c r="D65" t="s">
        <v>102</v>
      </c>
      <c r="E65" s="15">
        <v>43874</v>
      </c>
      <c r="F65">
        <v>29700</v>
      </c>
      <c r="G65" t="s">
        <v>346</v>
      </c>
      <c r="H65">
        <v>39572</v>
      </c>
      <c r="I65">
        <v>20</v>
      </c>
      <c r="J65">
        <f>RTD("greekserver.rtdfunctions",,"102039572 5")</f>
        <v>200</v>
      </c>
      <c r="K65">
        <f>RTD("greekserver.rtdfunctions",,"102039572 4")/100</f>
        <v>1597.1</v>
      </c>
      <c r="L65">
        <f>RTD("greekserver.rtdfunctions",,"102039572 7")</f>
        <v>20</v>
      </c>
      <c r="M65">
        <f>RTD("greekserver.rtdfunctions",,"102039572 6")/100</f>
        <v>1626.25</v>
      </c>
      <c r="N65">
        <f>RTD("greekserver.rtdfunctions",,"102039572 8")/100</f>
        <v>0</v>
      </c>
      <c r="O65">
        <f>RTD("greekserver.rtdfunctions",,"102039572 12")</f>
        <v>0</v>
      </c>
      <c r="P65">
        <f>RTD("greekserver.rtdfunctions",,"102039572 24")/100</f>
        <v>1597.1</v>
      </c>
      <c r="Q65">
        <f>RTD("greekserver.rtdfunctions",,"102039572 25")</f>
        <v>200</v>
      </c>
      <c r="R65">
        <f>RTD("greekserver.rtdfunctions",,"102039572 26")/100</f>
        <v>1626.25</v>
      </c>
      <c r="S65">
        <f>RTD("greekserver.rtdfunctions",,"102039572 27")</f>
        <v>20</v>
      </c>
      <c r="T65">
        <f>RTD("greekserver.rtdfunctions",,"102039572 13")/100</f>
        <v>0</v>
      </c>
      <c r="U65">
        <f>RTD("greekserver.rtdfunctions",,"102039572 14")/100</f>
        <v>1857</v>
      </c>
      <c r="V65">
        <f>RTD("greekserver.rtdfunctions",,"102039572 15")/100</f>
        <v>0</v>
      </c>
      <c r="W65">
        <f>RTD("greekserver.rtdfunctions",,"102039572 16")/100</f>
        <v>0</v>
      </c>
      <c r="X65">
        <f>RTD("greekserver.rtdfunctions",,"102039572 10")/100</f>
        <v>1857</v>
      </c>
      <c r="Y65">
        <f>RTD("greekserver.rtdfunctions",,"102039572 11")</f>
        <v>20</v>
      </c>
      <c r="Z65" t="str">
        <f>nseltodate(RTD("greekserver.rtdfunctions",,"102039572 20"))</f>
        <v>03:00:36 PM</v>
      </c>
      <c r="AA65">
        <f>RTD("greekserver.rtdfunctions",,"102039572 18")/100</f>
        <v>0</v>
      </c>
      <c r="AB65">
        <f>RTD("greekserver.rtdfunctions",,"102039572 17")/100</f>
        <v>0</v>
      </c>
      <c r="AC65">
        <f>RTD("greekserver.rtdfunctions",,"102039572 40")/100</f>
        <v>0</v>
      </c>
      <c r="AD65">
        <f>RTD("greekserver.rtdfunctions",,"102039572 34")/100</f>
        <v>0</v>
      </c>
    </row>
    <row r="66" spans="1:30" x14ac:dyDescent="0.2">
      <c r="A66">
        <v>102039574</v>
      </c>
      <c r="B66" t="s">
        <v>93</v>
      </c>
      <c r="C66" t="s">
        <v>345</v>
      </c>
      <c r="D66" t="s">
        <v>102</v>
      </c>
      <c r="E66" s="15">
        <v>43874</v>
      </c>
      <c r="F66">
        <v>29700</v>
      </c>
      <c r="G66" t="s">
        <v>347</v>
      </c>
      <c r="H66">
        <v>39574</v>
      </c>
      <c r="I66">
        <v>20</v>
      </c>
      <c r="J66">
        <f>RTD("greekserver.rtdfunctions",,"102039574 5")</f>
        <v>120</v>
      </c>
      <c r="K66">
        <f>RTD("greekserver.rtdfunctions",,"102039574 4")/100</f>
        <v>0.25</v>
      </c>
      <c r="L66">
        <f>RTD("greekserver.rtdfunctions",,"102039574 7")</f>
        <v>120</v>
      </c>
      <c r="M66">
        <f>RTD("greekserver.rtdfunctions",,"102039574 6")/100</f>
        <v>0.35</v>
      </c>
      <c r="N66">
        <f>RTD("greekserver.rtdfunctions",,"102039574 8")/100</f>
        <v>0.25</v>
      </c>
      <c r="O66">
        <f>RTD("greekserver.rtdfunctions",,"102039574 12")</f>
        <v>5880</v>
      </c>
      <c r="P66">
        <f>RTD("greekserver.rtdfunctions",,"102039574 24")/100</f>
        <v>0.25</v>
      </c>
      <c r="Q66">
        <f>RTD("greekserver.rtdfunctions",,"102039574 25")</f>
        <v>120</v>
      </c>
      <c r="R66">
        <f>RTD("greekserver.rtdfunctions",,"102039574 26")/100</f>
        <v>0.35</v>
      </c>
      <c r="S66">
        <f>RTD("greekserver.rtdfunctions",,"102039574 27")</f>
        <v>120</v>
      </c>
      <c r="T66">
        <f>RTD("greekserver.rtdfunctions",,"102039574 13")/100</f>
        <v>0.15</v>
      </c>
      <c r="U66">
        <f>RTD("greekserver.rtdfunctions",,"102039574 14")/100</f>
        <v>1.1499999999999999</v>
      </c>
      <c r="V66">
        <f>RTD("greekserver.rtdfunctions",,"102039574 15")/100</f>
        <v>0.5</v>
      </c>
      <c r="W66">
        <f>RTD("greekserver.rtdfunctions",,"102039574 16")/100</f>
        <v>0.15</v>
      </c>
      <c r="X66">
        <f>RTD("greekserver.rtdfunctions",,"102039574 10")/100</f>
        <v>0.25</v>
      </c>
      <c r="Y66">
        <f>RTD("greekserver.rtdfunctions",,"102039574 11")</f>
        <v>80</v>
      </c>
      <c r="Z66" t="str">
        <f>nseltodate(RTD("greekserver.rtdfunctions",,"102039574 20"))</f>
        <v>10:38:51 AM</v>
      </c>
      <c r="AA66">
        <f>RTD("greekserver.rtdfunctions",,"102039574 18")/100</f>
        <v>0</v>
      </c>
      <c r="AB66">
        <f>RTD("greekserver.rtdfunctions",,"102039574 17")/100</f>
        <v>0</v>
      </c>
      <c r="AC66">
        <f>RTD("greekserver.rtdfunctions",,"102039574 40")/100</f>
        <v>141.80000000000001</v>
      </c>
      <c r="AD66">
        <f>RTD("greekserver.rtdfunctions",,"102039574 34")/100</f>
        <v>0</v>
      </c>
    </row>
    <row r="67" spans="1:30" hidden="1" x14ac:dyDescent="0.2">
      <c r="A67">
        <v>102039582</v>
      </c>
      <c r="B67" t="s">
        <v>93</v>
      </c>
      <c r="C67" t="s">
        <v>345</v>
      </c>
      <c r="D67" t="s">
        <v>102</v>
      </c>
      <c r="E67" s="15">
        <v>43874</v>
      </c>
      <c r="F67">
        <v>29800</v>
      </c>
      <c r="G67" t="s">
        <v>346</v>
      </c>
      <c r="H67">
        <v>39582</v>
      </c>
      <c r="I67">
        <v>20</v>
      </c>
      <c r="J67">
        <f>RTD("greekserver.rtdfunctions",,"102039582 5")</f>
        <v>300</v>
      </c>
      <c r="K67">
        <f>RTD("greekserver.rtdfunctions",,"102039582 4")/100</f>
        <v>1499.4</v>
      </c>
      <c r="L67">
        <f>RTD("greekserver.rtdfunctions",,"102039582 7")</f>
        <v>40</v>
      </c>
      <c r="M67">
        <f>RTD("greekserver.rtdfunctions",,"102039582 6")/100</f>
        <v>1518.5</v>
      </c>
      <c r="N67">
        <f>RTD("greekserver.rtdfunctions",,"102039582 8")/100</f>
        <v>1615.01</v>
      </c>
      <c r="O67">
        <f>RTD("greekserver.rtdfunctions",,"102039582 12")</f>
        <v>60</v>
      </c>
      <c r="P67">
        <f>RTD("greekserver.rtdfunctions",,"102039582 24")/100</f>
        <v>1499.4</v>
      </c>
      <c r="Q67">
        <f>RTD("greekserver.rtdfunctions",,"102039582 25")</f>
        <v>300</v>
      </c>
      <c r="R67">
        <f>RTD("greekserver.rtdfunctions",,"102039582 26")/100</f>
        <v>1518.5</v>
      </c>
      <c r="S67">
        <f>RTD("greekserver.rtdfunctions",,"102039582 27")</f>
        <v>40</v>
      </c>
      <c r="T67">
        <f>RTD("greekserver.rtdfunctions",,"102039582 13")/100</f>
        <v>1620</v>
      </c>
      <c r="U67">
        <f>RTD("greekserver.rtdfunctions",,"102039582 14")/100</f>
        <v>1544.8</v>
      </c>
      <c r="V67">
        <f>RTD("greekserver.rtdfunctions",,"102039582 15")/100</f>
        <v>1620</v>
      </c>
      <c r="W67">
        <f>RTD("greekserver.rtdfunctions",,"102039582 16")/100</f>
        <v>1605.05</v>
      </c>
      <c r="X67">
        <f>RTD("greekserver.rtdfunctions",,"102039582 10")/100</f>
        <v>1605.05</v>
      </c>
      <c r="Y67">
        <f>RTD("greekserver.rtdfunctions",,"102039582 11")</f>
        <v>20</v>
      </c>
      <c r="Z67" t="str">
        <f>nseltodate(RTD("greekserver.rtdfunctions",,"102039582 20"))</f>
        <v>09:22:40 AM</v>
      </c>
      <c r="AA67">
        <f>RTD("greekserver.rtdfunctions",,"102039582 18")/100</f>
        <v>0</v>
      </c>
      <c r="AB67">
        <f>RTD("greekserver.rtdfunctions",,"102039582 17")/100</f>
        <v>0</v>
      </c>
      <c r="AC67">
        <f>RTD("greekserver.rtdfunctions",,"102039582 40")/100</f>
        <v>13.6</v>
      </c>
      <c r="AD67">
        <f>RTD("greekserver.rtdfunctions",,"102039582 34")/100</f>
        <v>0</v>
      </c>
    </row>
    <row r="68" spans="1:30" x14ac:dyDescent="0.2">
      <c r="A68">
        <v>102039583</v>
      </c>
      <c r="B68" t="s">
        <v>93</v>
      </c>
      <c r="C68" t="s">
        <v>345</v>
      </c>
      <c r="D68" t="s">
        <v>102</v>
      </c>
      <c r="E68" s="15">
        <v>43874</v>
      </c>
      <c r="F68">
        <v>29800</v>
      </c>
      <c r="G68" t="s">
        <v>347</v>
      </c>
      <c r="H68">
        <v>39583</v>
      </c>
      <c r="I68">
        <v>20</v>
      </c>
      <c r="J68">
        <f>RTD("greekserver.rtdfunctions",,"102039583 5")</f>
        <v>540</v>
      </c>
      <c r="K68">
        <f>RTD("greekserver.rtdfunctions",,"102039583 4")/100</f>
        <v>0.25</v>
      </c>
      <c r="L68">
        <f>RTD("greekserver.rtdfunctions",,"102039583 7")</f>
        <v>20</v>
      </c>
      <c r="M68">
        <f>RTD("greekserver.rtdfunctions",,"102039583 6")/100</f>
        <v>0.35</v>
      </c>
      <c r="N68">
        <f>RTD("greekserver.rtdfunctions",,"102039583 8")/100</f>
        <v>0.27</v>
      </c>
      <c r="O68">
        <f>RTD("greekserver.rtdfunctions",,"102039583 12")</f>
        <v>15900</v>
      </c>
      <c r="P68">
        <f>RTD("greekserver.rtdfunctions",,"102039583 24")/100</f>
        <v>0.25</v>
      </c>
      <c r="Q68">
        <f>RTD("greekserver.rtdfunctions",,"102039583 25")</f>
        <v>540</v>
      </c>
      <c r="R68">
        <f>RTD("greekserver.rtdfunctions",,"102039583 26")/100</f>
        <v>0.35</v>
      </c>
      <c r="S68">
        <f>RTD("greekserver.rtdfunctions",,"102039583 27")</f>
        <v>20</v>
      </c>
      <c r="T68">
        <f>RTD("greekserver.rtdfunctions",,"102039583 13")/100</f>
        <v>0.05</v>
      </c>
      <c r="U68">
        <f>RTD("greekserver.rtdfunctions",,"102039583 14")/100</f>
        <v>0.85</v>
      </c>
      <c r="V68">
        <f>RTD("greekserver.rtdfunctions",,"102039583 15")/100</f>
        <v>0.45</v>
      </c>
      <c r="W68">
        <f>RTD("greekserver.rtdfunctions",,"102039583 16")/100</f>
        <v>0.05</v>
      </c>
      <c r="X68">
        <f>RTD("greekserver.rtdfunctions",,"102039583 10")/100</f>
        <v>0.3</v>
      </c>
      <c r="Y68">
        <f>RTD("greekserver.rtdfunctions",,"102039583 11")</f>
        <v>20</v>
      </c>
      <c r="Z68" t="str">
        <f>nseltodate(RTD("greekserver.rtdfunctions",,"102039583 20"))</f>
        <v>10:42:38 AM</v>
      </c>
      <c r="AA68">
        <f>RTD("greekserver.rtdfunctions",,"102039583 18")/100</f>
        <v>0</v>
      </c>
      <c r="AB68">
        <f>RTD("greekserver.rtdfunctions",,"102039583 17")/100</f>
        <v>0</v>
      </c>
      <c r="AC68">
        <f>RTD("greekserver.rtdfunctions",,"102039583 40")/100</f>
        <v>429.6</v>
      </c>
      <c r="AD68">
        <f>RTD("greekserver.rtdfunctions",,"102039583 34")/100</f>
        <v>0</v>
      </c>
    </row>
    <row r="69" spans="1:30" hidden="1" x14ac:dyDescent="0.2">
      <c r="A69">
        <v>102039584</v>
      </c>
      <c r="B69" t="s">
        <v>93</v>
      </c>
      <c r="C69" t="s">
        <v>345</v>
      </c>
      <c r="D69" t="s">
        <v>102</v>
      </c>
      <c r="E69" s="15">
        <v>43874</v>
      </c>
      <c r="F69">
        <v>29900</v>
      </c>
      <c r="G69" t="s">
        <v>346</v>
      </c>
      <c r="H69">
        <v>39584</v>
      </c>
      <c r="I69">
        <v>20</v>
      </c>
      <c r="J69">
        <f>RTD("greekserver.rtdfunctions",,"102039584 5")</f>
        <v>500</v>
      </c>
      <c r="K69">
        <f>RTD("greekserver.rtdfunctions",,"102039584 4")/100</f>
        <v>1358</v>
      </c>
      <c r="L69">
        <f>RTD("greekserver.rtdfunctions",,"102039584 7")</f>
        <v>100</v>
      </c>
      <c r="M69">
        <f>RTD("greekserver.rtdfunctions",,"102039584 6")/100</f>
        <v>1463.45</v>
      </c>
      <c r="N69">
        <f>RTD("greekserver.rtdfunctions",,"102039584 8")/100</f>
        <v>1530</v>
      </c>
      <c r="O69">
        <f>RTD("greekserver.rtdfunctions",,"102039584 12")</f>
        <v>20</v>
      </c>
      <c r="P69">
        <f>RTD("greekserver.rtdfunctions",,"102039584 24")/100</f>
        <v>1358</v>
      </c>
      <c r="Q69">
        <f>RTD("greekserver.rtdfunctions",,"102039584 25")</f>
        <v>500</v>
      </c>
      <c r="R69">
        <f>RTD("greekserver.rtdfunctions",,"102039584 26")/100</f>
        <v>1463.45</v>
      </c>
      <c r="S69">
        <f>RTD("greekserver.rtdfunctions",,"102039584 27")</f>
        <v>100</v>
      </c>
      <c r="T69">
        <f>RTD("greekserver.rtdfunctions",,"102039584 13")/100</f>
        <v>1530</v>
      </c>
      <c r="U69">
        <f>RTD("greekserver.rtdfunctions",,"102039584 14")/100</f>
        <v>1640</v>
      </c>
      <c r="V69">
        <f>RTD("greekserver.rtdfunctions",,"102039584 15")/100</f>
        <v>1530</v>
      </c>
      <c r="W69">
        <f>RTD("greekserver.rtdfunctions",,"102039584 16")/100</f>
        <v>1530</v>
      </c>
      <c r="X69">
        <f>RTD("greekserver.rtdfunctions",,"102039584 10")/100</f>
        <v>1530</v>
      </c>
      <c r="Y69">
        <f>RTD("greekserver.rtdfunctions",,"102039584 11")</f>
        <v>20</v>
      </c>
      <c r="Z69" t="str">
        <f>nseltodate(RTD("greekserver.rtdfunctions",,"102039584 20"))</f>
        <v>09:21:30 AM</v>
      </c>
      <c r="AA69">
        <f>RTD("greekserver.rtdfunctions",,"102039584 18")/100</f>
        <v>0</v>
      </c>
      <c r="AB69">
        <f>RTD("greekserver.rtdfunctions",,"102039584 17")/100</f>
        <v>0</v>
      </c>
      <c r="AC69">
        <f>RTD("greekserver.rtdfunctions",,"102039584 40")/100</f>
        <v>5.8</v>
      </c>
      <c r="AD69">
        <f>RTD("greekserver.rtdfunctions",,"102039584 34")/100</f>
        <v>0</v>
      </c>
    </row>
    <row r="70" spans="1:30" x14ac:dyDescent="0.2">
      <c r="A70">
        <v>102039585</v>
      </c>
      <c r="B70" t="s">
        <v>93</v>
      </c>
      <c r="C70" t="s">
        <v>345</v>
      </c>
      <c r="D70" t="s">
        <v>102</v>
      </c>
      <c r="E70" s="15">
        <v>43874</v>
      </c>
      <c r="F70">
        <v>29900</v>
      </c>
      <c r="G70" t="s">
        <v>347</v>
      </c>
      <c r="H70">
        <v>39585</v>
      </c>
      <c r="I70">
        <v>20</v>
      </c>
      <c r="J70">
        <f>RTD("greekserver.rtdfunctions",,"102039585 5")</f>
        <v>120</v>
      </c>
      <c r="K70">
        <f>RTD("greekserver.rtdfunctions",,"102039585 4")/100</f>
        <v>0.4</v>
      </c>
      <c r="L70">
        <f>RTD("greekserver.rtdfunctions",,"102039585 7")</f>
        <v>20</v>
      </c>
      <c r="M70">
        <f>RTD("greekserver.rtdfunctions",,"102039585 6")/100</f>
        <v>0.45</v>
      </c>
      <c r="N70">
        <f>RTD("greekserver.rtdfunctions",,"102039585 8")/100</f>
        <v>0.43</v>
      </c>
      <c r="O70">
        <f>RTD("greekserver.rtdfunctions",,"102039585 12")</f>
        <v>17200</v>
      </c>
      <c r="P70">
        <f>RTD("greekserver.rtdfunctions",,"102039585 24")/100</f>
        <v>0.4</v>
      </c>
      <c r="Q70">
        <f>RTD("greekserver.rtdfunctions",,"102039585 25")</f>
        <v>120</v>
      </c>
      <c r="R70">
        <f>RTD("greekserver.rtdfunctions",,"102039585 26")/100</f>
        <v>0.45</v>
      </c>
      <c r="S70">
        <f>RTD("greekserver.rtdfunctions",,"102039585 27")</f>
        <v>20</v>
      </c>
      <c r="T70">
        <f>RTD("greekserver.rtdfunctions",,"102039585 13")/100</f>
        <v>0.05</v>
      </c>
      <c r="U70">
        <f>RTD("greekserver.rtdfunctions",,"102039585 14")/100</f>
        <v>1.4</v>
      </c>
      <c r="V70">
        <f>RTD("greekserver.rtdfunctions",,"102039585 15")/100</f>
        <v>0.65</v>
      </c>
      <c r="W70">
        <f>RTD("greekserver.rtdfunctions",,"102039585 16")/100</f>
        <v>0.05</v>
      </c>
      <c r="X70">
        <f>RTD("greekserver.rtdfunctions",,"102039585 10")/100</f>
        <v>0.4</v>
      </c>
      <c r="Y70">
        <f>RTD("greekserver.rtdfunctions",,"102039585 11")</f>
        <v>40</v>
      </c>
      <c r="Z70" t="str">
        <f>nseltodate(RTD("greekserver.rtdfunctions",,"102039585 20"))</f>
        <v>10:42:38 AM</v>
      </c>
      <c r="AA70">
        <f>RTD("greekserver.rtdfunctions",,"102039585 18")/100</f>
        <v>0</v>
      </c>
      <c r="AB70">
        <f>RTD("greekserver.rtdfunctions",,"102039585 17")/100</f>
        <v>0</v>
      </c>
      <c r="AC70">
        <f>RTD("greekserver.rtdfunctions",,"102039585 40")/100</f>
        <v>557.6</v>
      </c>
      <c r="AD70">
        <f>RTD("greekserver.rtdfunctions",,"102039585 34")/100</f>
        <v>0</v>
      </c>
    </row>
    <row r="71" spans="1:30" hidden="1" x14ac:dyDescent="0.2">
      <c r="A71">
        <v>102039588</v>
      </c>
      <c r="B71" t="s">
        <v>93</v>
      </c>
      <c r="C71" t="s">
        <v>345</v>
      </c>
      <c r="D71" t="s">
        <v>102</v>
      </c>
      <c r="E71" s="15">
        <v>43874</v>
      </c>
      <c r="F71">
        <v>30000</v>
      </c>
      <c r="G71" t="s">
        <v>346</v>
      </c>
      <c r="H71">
        <v>39588</v>
      </c>
      <c r="I71">
        <v>20</v>
      </c>
      <c r="J71">
        <f>RTD("greekserver.rtdfunctions",,"102039588 5")</f>
        <v>80</v>
      </c>
      <c r="K71">
        <f>RTD("greekserver.rtdfunctions",,"102039588 4")/100</f>
        <v>1306</v>
      </c>
      <c r="L71">
        <f>RTD("greekserver.rtdfunctions",,"102039588 7")</f>
        <v>20</v>
      </c>
      <c r="M71">
        <f>RTD("greekserver.rtdfunctions",,"102039588 6")/100</f>
        <v>1320.2</v>
      </c>
      <c r="N71">
        <f>RTD("greekserver.rtdfunctions",,"102039588 8")/100</f>
        <v>1353</v>
      </c>
      <c r="O71">
        <f>RTD("greekserver.rtdfunctions",,"102039588 12")</f>
        <v>7080</v>
      </c>
      <c r="P71">
        <f>RTD("greekserver.rtdfunctions",,"102039588 24")/100</f>
        <v>1306</v>
      </c>
      <c r="Q71">
        <f>RTD("greekserver.rtdfunctions",,"102039588 25")</f>
        <v>80</v>
      </c>
      <c r="R71">
        <f>RTD("greekserver.rtdfunctions",,"102039588 26")/100</f>
        <v>1320.2</v>
      </c>
      <c r="S71">
        <f>RTD("greekserver.rtdfunctions",,"102039588 27")</f>
        <v>20</v>
      </c>
      <c r="T71">
        <f>RTD("greekserver.rtdfunctions",,"102039588 13")/100</f>
        <v>1430.05</v>
      </c>
      <c r="U71">
        <f>RTD("greekserver.rtdfunctions",,"102039588 14")/100</f>
        <v>1525.15</v>
      </c>
      <c r="V71">
        <f>RTD("greekserver.rtdfunctions",,"102039588 15")/100</f>
        <v>1430.05</v>
      </c>
      <c r="W71">
        <f>RTD("greekserver.rtdfunctions",,"102039588 16")/100</f>
        <v>1300</v>
      </c>
      <c r="X71">
        <f>RTD("greekserver.rtdfunctions",,"102039588 10")/100</f>
        <v>1312</v>
      </c>
      <c r="Y71">
        <f>RTD("greekserver.rtdfunctions",,"102039588 11")</f>
        <v>140</v>
      </c>
      <c r="Z71" t="str">
        <f>nseltodate(RTD("greekserver.rtdfunctions",,"102039588 20"))</f>
        <v>10:37:27 AM</v>
      </c>
      <c r="AA71">
        <f>RTD("greekserver.rtdfunctions",,"102039588 18")/100</f>
        <v>0</v>
      </c>
      <c r="AB71">
        <f>RTD("greekserver.rtdfunctions",,"102039588 17")/100</f>
        <v>0</v>
      </c>
      <c r="AC71">
        <f>RTD("greekserver.rtdfunctions",,"102039588 40")/100</f>
        <v>103</v>
      </c>
      <c r="AD71">
        <f>RTD("greekserver.rtdfunctions",,"102039588 34")/100</f>
        <v>0</v>
      </c>
    </row>
    <row r="72" spans="1:30" x14ac:dyDescent="0.2">
      <c r="A72">
        <v>102039589</v>
      </c>
      <c r="B72" t="s">
        <v>93</v>
      </c>
      <c r="C72" t="s">
        <v>345</v>
      </c>
      <c r="D72" t="s">
        <v>102</v>
      </c>
      <c r="E72" s="15">
        <v>43874</v>
      </c>
      <c r="F72">
        <v>30000</v>
      </c>
      <c r="G72" t="s">
        <v>347</v>
      </c>
      <c r="H72">
        <v>39589</v>
      </c>
      <c r="I72">
        <v>20</v>
      </c>
      <c r="J72">
        <f>RTD("greekserver.rtdfunctions",,"102039589 5")</f>
        <v>4740</v>
      </c>
      <c r="K72">
        <f>RTD("greekserver.rtdfunctions",,"102039589 4")/100</f>
        <v>0.35</v>
      </c>
      <c r="L72">
        <f>RTD("greekserver.rtdfunctions",,"102039589 7")</f>
        <v>1980</v>
      </c>
      <c r="M72">
        <f>RTD("greekserver.rtdfunctions",,"102039589 6")/100</f>
        <v>0.45</v>
      </c>
      <c r="N72">
        <f>RTD("greekserver.rtdfunctions",,"102039589 8")/100</f>
        <v>0.38</v>
      </c>
      <c r="O72">
        <f>RTD("greekserver.rtdfunctions",,"102039589 12")</f>
        <v>64180</v>
      </c>
      <c r="P72">
        <f>RTD("greekserver.rtdfunctions",,"102039589 24")/100</f>
        <v>0.35</v>
      </c>
      <c r="Q72">
        <f>RTD("greekserver.rtdfunctions",,"102039589 25")</f>
        <v>4740</v>
      </c>
      <c r="R72">
        <f>RTD("greekserver.rtdfunctions",,"102039589 26")/100</f>
        <v>0.45</v>
      </c>
      <c r="S72">
        <f>RTD("greekserver.rtdfunctions",,"102039589 27")</f>
        <v>1980</v>
      </c>
      <c r="T72">
        <f>RTD("greekserver.rtdfunctions",,"102039589 13")/100</f>
        <v>0.9</v>
      </c>
      <c r="U72">
        <f>RTD("greekserver.rtdfunctions",,"102039589 14")/100</f>
        <v>1.35</v>
      </c>
      <c r="V72">
        <f>RTD("greekserver.rtdfunctions",,"102039589 15")/100</f>
        <v>0.9</v>
      </c>
      <c r="W72">
        <f>RTD("greekserver.rtdfunctions",,"102039589 16")/100</f>
        <v>0.2</v>
      </c>
      <c r="X72">
        <f>RTD("greekserver.rtdfunctions",,"102039589 10")/100</f>
        <v>0.35</v>
      </c>
      <c r="Y72">
        <f>RTD("greekserver.rtdfunctions",,"102039589 11")</f>
        <v>20</v>
      </c>
      <c r="Z72" t="str">
        <f>nseltodate(RTD("greekserver.rtdfunctions",,"102039589 20"))</f>
        <v>10:46:37 AM</v>
      </c>
      <c r="AA72">
        <f>RTD("greekserver.rtdfunctions",,"102039589 18")/100</f>
        <v>0</v>
      </c>
      <c r="AB72">
        <f>RTD("greekserver.rtdfunctions",,"102039589 17")/100</f>
        <v>0</v>
      </c>
      <c r="AC72">
        <f>RTD("greekserver.rtdfunctions",,"102039589 40")/100</f>
        <v>2206.6</v>
      </c>
      <c r="AD72">
        <f>RTD("greekserver.rtdfunctions",,"102039589 34")/100</f>
        <v>0</v>
      </c>
    </row>
    <row r="73" spans="1:30" hidden="1" x14ac:dyDescent="0.2">
      <c r="A73">
        <v>102039592</v>
      </c>
      <c r="B73" t="s">
        <v>93</v>
      </c>
      <c r="C73" t="s">
        <v>345</v>
      </c>
      <c r="D73" t="s">
        <v>102</v>
      </c>
      <c r="E73" s="15">
        <v>43874</v>
      </c>
      <c r="F73">
        <v>30100</v>
      </c>
      <c r="G73" t="s">
        <v>346</v>
      </c>
      <c r="H73">
        <v>39592</v>
      </c>
      <c r="I73">
        <v>20</v>
      </c>
      <c r="J73">
        <f>RTD("greekserver.rtdfunctions",,"102039592 5")</f>
        <v>140</v>
      </c>
      <c r="K73">
        <f>RTD("greekserver.rtdfunctions",,"102039592 4")/100</f>
        <v>1199.95</v>
      </c>
      <c r="L73">
        <f>RTD("greekserver.rtdfunctions",,"102039592 7")</f>
        <v>60</v>
      </c>
      <c r="M73">
        <f>RTD("greekserver.rtdfunctions",,"102039592 6")/100</f>
        <v>1226.4000000000001</v>
      </c>
      <c r="N73">
        <f>RTD("greekserver.rtdfunctions",,"102039592 8")/100</f>
        <v>1279.69</v>
      </c>
      <c r="O73">
        <f>RTD("greekserver.rtdfunctions",,"102039592 12")</f>
        <v>140</v>
      </c>
      <c r="P73">
        <f>RTD("greekserver.rtdfunctions",,"102039592 24")/100</f>
        <v>1199.95</v>
      </c>
      <c r="Q73">
        <f>RTD("greekserver.rtdfunctions",,"102039592 25")</f>
        <v>140</v>
      </c>
      <c r="R73">
        <f>RTD("greekserver.rtdfunctions",,"102039592 26")/100</f>
        <v>1226.4000000000001</v>
      </c>
      <c r="S73">
        <f>RTD("greekserver.rtdfunctions",,"102039592 27")</f>
        <v>60</v>
      </c>
      <c r="T73">
        <f>RTD("greekserver.rtdfunctions",,"102039592 13")/100</f>
        <v>1309.45</v>
      </c>
      <c r="U73">
        <f>RTD("greekserver.rtdfunctions",,"102039592 14")/100</f>
        <v>1400.3</v>
      </c>
      <c r="V73">
        <f>RTD("greekserver.rtdfunctions",,"102039592 15")/100</f>
        <v>1314.35</v>
      </c>
      <c r="W73">
        <f>RTD("greekserver.rtdfunctions",,"102039592 16")/100</f>
        <v>1200.8</v>
      </c>
      <c r="X73">
        <f>RTD("greekserver.rtdfunctions",,"102039592 10")/100</f>
        <v>1204.5999999999999</v>
      </c>
      <c r="Y73">
        <f>RTD("greekserver.rtdfunctions",,"102039592 11")</f>
        <v>20</v>
      </c>
      <c r="Z73" t="str">
        <f>nseltodate(RTD("greekserver.rtdfunctions",,"102039592 20"))</f>
        <v>10:01:13 AM</v>
      </c>
      <c r="AA73">
        <f>RTD("greekserver.rtdfunctions",,"102039592 18")/100</f>
        <v>0</v>
      </c>
      <c r="AB73">
        <f>RTD("greekserver.rtdfunctions",,"102039592 17")/100</f>
        <v>0</v>
      </c>
      <c r="AC73">
        <f>RTD("greekserver.rtdfunctions",,"102039592 40")/100</f>
        <v>6</v>
      </c>
      <c r="AD73">
        <f>RTD("greekserver.rtdfunctions",,"102039592 34")/100</f>
        <v>0</v>
      </c>
    </row>
    <row r="74" spans="1:30" x14ac:dyDescent="0.2">
      <c r="A74">
        <v>102039593</v>
      </c>
      <c r="B74" t="s">
        <v>93</v>
      </c>
      <c r="C74" t="s">
        <v>345</v>
      </c>
      <c r="D74" t="s">
        <v>102</v>
      </c>
      <c r="E74" s="15">
        <v>43874</v>
      </c>
      <c r="F74">
        <v>30100</v>
      </c>
      <c r="G74" t="s">
        <v>347</v>
      </c>
      <c r="H74">
        <v>39593</v>
      </c>
      <c r="I74">
        <v>20</v>
      </c>
      <c r="J74">
        <f>RTD("greekserver.rtdfunctions",,"102039593 5")</f>
        <v>700</v>
      </c>
      <c r="K74">
        <f>RTD("greekserver.rtdfunctions",,"102039593 4")/100</f>
        <v>0.45</v>
      </c>
      <c r="L74">
        <f>RTD("greekserver.rtdfunctions",,"102039593 7")</f>
        <v>1240</v>
      </c>
      <c r="M74">
        <f>RTD("greekserver.rtdfunctions",,"102039593 6")/100</f>
        <v>0.55000000000000004</v>
      </c>
      <c r="N74">
        <f>RTD("greekserver.rtdfunctions",,"102039593 8")/100</f>
        <v>0.45</v>
      </c>
      <c r="O74">
        <f>RTD("greekserver.rtdfunctions",,"102039593 12")</f>
        <v>28780</v>
      </c>
      <c r="P74">
        <f>RTD("greekserver.rtdfunctions",,"102039593 24")/100</f>
        <v>0.45</v>
      </c>
      <c r="Q74">
        <f>RTD("greekserver.rtdfunctions",,"102039593 25")</f>
        <v>700</v>
      </c>
      <c r="R74">
        <f>RTD("greekserver.rtdfunctions",,"102039593 26")/100</f>
        <v>0.55000000000000004</v>
      </c>
      <c r="S74">
        <f>RTD("greekserver.rtdfunctions",,"102039593 27")</f>
        <v>1240</v>
      </c>
      <c r="T74">
        <f>RTD("greekserver.rtdfunctions",,"102039593 13")/100</f>
        <v>0.25</v>
      </c>
      <c r="U74">
        <f>RTD("greekserver.rtdfunctions",,"102039593 14")/100</f>
        <v>1.75</v>
      </c>
      <c r="V74">
        <f>RTD("greekserver.rtdfunctions",,"102039593 15")/100</f>
        <v>0.65</v>
      </c>
      <c r="W74">
        <f>RTD("greekserver.rtdfunctions",,"102039593 16")/100</f>
        <v>0.25</v>
      </c>
      <c r="X74">
        <f>RTD("greekserver.rtdfunctions",,"102039593 10")/100</f>
        <v>0.55000000000000004</v>
      </c>
      <c r="Y74">
        <f>RTD("greekserver.rtdfunctions",,"102039593 11")</f>
        <v>60</v>
      </c>
      <c r="Z74" t="str">
        <f>nseltodate(RTD("greekserver.rtdfunctions",,"102039593 20"))</f>
        <v>10:47:28 AM</v>
      </c>
      <c r="AA74">
        <f>RTD("greekserver.rtdfunctions",,"102039593 18")/100</f>
        <v>0</v>
      </c>
      <c r="AB74">
        <f>RTD("greekserver.rtdfunctions",,"102039593 17")/100</f>
        <v>0</v>
      </c>
      <c r="AC74">
        <f>RTD("greekserver.rtdfunctions",,"102039593 40")/100</f>
        <v>654</v>
      </c>
      <c r="AD74">
        <f>RTD("greekserver.rtdfunctions",,"102039593 34")/100</f>
        <v>0</v>
      </c>
    </row>
    <row r="75" spans="1:30" hidden="1" x14ac:dyDescent="0.2">
      <c r="A75">
        <v>102039594</v>
      </c>
      <c r="B75" t="s">
        <v>93</v>
      </c>
      <c r="C75" t="s">
        <v>345</v>
      </c>
      <c r="D75" t="s">
        <v>102</v>
      </c>
      <c r="E75" s="15">
        <v>43874</v>
      </c>
      <c r="F75">
        <v>30200</v>
      </c>
      <c r="G75" t="s">
        <v>346</v>
      </c>
      <c r="H75">
        <v>39594</v>
      </c>
      <c r="I75">
        <v>20</v>
      </c>
      <c r="J75">
        <f>RTD("greekserver.rtdfunctions",,"102039594 5")</f>
        <v>480</v>
      </c>
      <c r="K75">
        <f>RTD("greekserver.rtdfunctions",,"102039594 4")/100</f>
        <v>1102.25</v>
      </c>
      <c r="L75">
        <f>RTD("greekserver.rtdfunctions",,"102039594 7")</f>
        <v>20</v>
      </c>
      <c r="M75">
        <f>RTD("greekserver.rtdfunctions",,"102039594 6")/100</f>
        <v>1111.5</v>
      </c>
      <c r="N75">
        <f>RTD("greekserver.rtdfunctions",,"102039594 8")/100</f>
        <v>1115.6199999999999</v>
      </c>
      <c r="O75">
        <f>RTD("greekserver.rtdfunctions",,"102039594 12")</f>
        <v>740</v>
      </c>
      <c r="P75">
        <f>RTD("greekserver.rtdfunctions",,"102039594 24")/100</f>
        <v>1102.25</v>
      </c>
      <c r="Q75">
        <f>RTD("greekserver.rtdfunctions",,"102039594 25")</f>
        <v>480</v>
      </c>
      <c r="R75">
        <f>RTD("greekserver.rtdfunctions",,"102039594 26")/100</f>
        <v>1111.5</v>
      </c>
      <c r="S75">
        <f>RTD("greekserver.rtdfunctions",,"102039594 27")</f>
        <v>20</v>
      </c>
      <c r="T75">
        <f>RTD("greekserver.rtdfunctions",,"102039594 13")/100</f>
        <v>1220</v>
      </c>
      <c r="U75">
        <f>RTD("greekserver.rtdfunctions",,"102039594 14")/100</f>
        <v>1286.5</v>
      </c>
      <c r="V75">
        <f>RTD("greekserver.rtdfunctions",,"102039594 15")/100</f>
        <v>1220</v>
      </c>
      <c r="W75">
        <f>RTD("greekserver.rtdfunctions",,"102039594 16")/100</f>
        <v>1089.1500000000001</v>
      </c>
      <c r="X75">
        <f>RTD("greekserver.rtdfunctions",,"102039594 10")/100</f>
        <v>1112</v>
      </c>
      <c r="Y75">
        <f>RTD("greekserver.rtdfunctions",,"102039594 11")</f>
        <v>40</v>
      </c>
      <c r="Z75" t="str">
        <f>nseltodate(RTD("greekserver.rtdfunctions",,"102039594 20"))</f>
        <v>10:47:27 AM</v>
      </c>
      <c r="AA75">
        <f>RTD("greekserver.rtdfunctions",,"102039594 18")/100</f>
        <v>0</v>
      </c>
      <c r="AB75">
        <f>RTD("greekserver.rtdfunctions",,"102039594 17")/100</f>
        <v>0</v>
      </c>
      <c r="AC75">
        <f>RTD("greekserver.rtdfunctions",,"102039594 40")/100</f>
        <v>39.799999999999997</v>
      </c>
      <c r="AD75">
        <f>RTD("greekserver.rtdfunctions",,"102039594 34")/100</f>
        <v>0</v>
      </c>
    </row>
    <row r="76" spans="1:30" x14ac:dyDescent="0.2">
      <c r="A76">
        <v>102039595</v>
      </c>
      <c r="B76" t="s">
        <v>93</v>
      </c>
      <c r="C76" t="s">
        <v>345</v>
      </c>
      <c r="D76" t="s">
        <v>102</v>
      </c>
      <c r="E76" s="15">
        <v>43874</v>
      </c>
      <c r="F76">
        <v>30200</v>
      </c>
      <c r="G76" t="s">
        <v>347</v>
      </c>
      <c r="H76">
        <v>39595</v>
      </c>
      <c r="I76">
        <v>20</v>
      </c>
      <c r="J76">
        <f>RTD("greekserver.rtdfunctions",,"102039595 5")</f>
        <v>1000</v>
      </c>
      <c r="K76">
        <f>RTD("greekserver.rtdfunctions",,"102039595 4")/100</f>
        <v>0.45</v>
      </c>
      <c r="L76">
        <f>RTD("greekserver.rtdfunctions",,"102039595 7")</f>
        <v>60</v>
      </c>
      <c r="M76">
        <f>RTD("greekserver.rtdfunctions",,"102039595 6")/100</f>
        <v>0.5</v>
      </c>
      <c r="N76">
        <f>RTD("greekserver.rtdfunctions",,"102039595 8")/100</f>
        <v>0.46</v>
      </c>
      <c r="O76">
        <f>RTD("greekserver.rtdfunctions",,"102039595 12")</f>
        <v>75880</v>
      </c>
      <c r="P76">
        <f>RTD("greekserver.rtdfunctions",,"102039595 24")/100</f>
        <v>0.45</v>
      </c>
      <c r="Q76">
        <f>RTD("greekserver.rtdfunctions",,"102039595 25")</f>
        <v>1000</v>
      </c>
      <c r="R76">
        <f>RTD("greekserver.rtdfunctions",,"102039595 26")/100</f>
        <v>0.5</v>
      </c>
      <c r="S76">
        <f>RTD("greekserver.rtdfunctions",,"102039595 27")</f>
        <v>60</v>
      </c>
      <c r="T76">
        <f>RTD("greekserver.rtdfunctions",,"102039595 13")/100</f>
        <v>0.25</v>
      </c>
      <c r="U76">
        <f>RTD("greekserver.rtdfunctions",,"102039595 14")/100</f>
        <v>2</v>
      </c>
      <c r="V76">
        <f>RTD("greekserver.rtdfunctions",,"102039595 15")/100</f>
        <v>0.6</v>
      </c>
      <c r="W76">
        <f>RTD("greekserver.rtdfunctions",,"102039595 16")/100</f>
        <v>0.25</v>
      </c>
      <c r="X76">
        <f>RTD("greekserver.rtdfunctions",,"102039595 10")/100</f>
        <v>0.5</v>
      </c>
      <c r="Y76">
        <f>RTD("greekserver.rtdfunctions",,"102039595 11")</f>
        <v>60</v>
      </c>
      <c r="Z76" t="str">
        <f>nseltodate(RTD("greekserver.rtdfunctions",,"102039595 20"))</f>
        <v>10:47:32 AM</v>
      </c>
      <c r="AA76">
        <f>RTD("greekserver.rtdfunctions",,"102039595 18")/100</f>
        <v>0</v>
      </c>
      <c r="AB76">
        <f>RTD("greekserver.rtdfunctions",,"102039595 17")/100</f>
        <v>0</v>
      </c>
      <c r="AC76">
        <f>RTD("greekserver.rtdfunctions",,"102039595 40")/100</f>
        <v>1105.8</v>
      </c>
      <c r="AD76">
        <f>RTD("greekserver.rtdfunctions",,"102039595 34")/100</f>
        <v>0</v>
      </c>
    </row>
    <row r="77" spans="1:30" hidden="1" x14ac:dyDescent="0.2">
      <c r="A77">
        <v>102039608</v>
      </c>
      <c r="B77" t="s">
        <v>93</v>
      </c>
      <c r="C77" t="s">
        <v>345</v>
      </c>
      <c r="D77" t="s">
        <v>102</v>
      </c>
      <c r="E77" s="15">
        <v>43874</v>
      </c>
      <c r="F77">
        <v>30300</v>
      </c>
      <c r="G77" t="s">
        <v>346</v>
      </c>
      <c r="H77">
        <v>39608</v>
      </c>
      <c r="I77">
        <v>20</v>
      </c>
      <c r="J77">
        <f>RTD("greekserver.rtdfunctions",,"102039608 5")</f>
        <v>200</v>
      </c>
      <c r="K77">
        <f>RTD("greekserver.rtdfunctions",,"102039608 4")/100</f>
        <v>1003.8</v>
      </c>
      <c r="L77">
        <f>RTD("greekserver.rtdfunctions",,"102039608 7")</f>
        <v>20</v>
      </c>
      <c r="M77">
        <f>RTD("greekserver.rtdfunctions",,"102039608 6")/100</f>
        <v>1021.5</v>
      </c>
      <c r="N77">
        <f>RTD("greekserver.rtdfunctions",,"102039608 8")/100</f>
        <v>1007.07</v>
      </c>
      <c r="O77">
        <f>RTD("greekserver.rtdfunctions",,"102039608 12")</f>
        <v>2280</v>
      </c>
      <c r="P77">
        <f>RTD("greekserver.rtdfunctions",,"102039608 24")/100</f>
        <v>1003.8</v>
      </c>
      <c r="Q77">
        <f>RTD("greekserver.rtdfunctions",,"102039608 25")</f>
        <v>200</v>
      </c>
      <c r="R77">
        <f>RTD("greekserver.rtdfunctions",,"102039608 26")/100</f>
        <v>1021.5</v>
      </c>
      <c r="S77">
        <f>RTD("greekserver.rtdfunctions",,"102039608 27")</f>
        <v>20</v>
      </c>
      <c r="T77">
        <f>RTD("greekserver.rtdfunctions",,"102039608 13")/100</f>
        <v>1115</v>
      </c>
      <c r="U77">
        <f>RTD("greekserver.rtdfunctions",,"102039608 14")/100</f>
        <v>1238.2</v>
      </c>
      <c r="V77">
        <f>RTD("greekserver.rtdfunctions",,"102039608 15")/100</f>
        <v>1115</v>
      </c>
      <c r="W77">
        <f>RTD("greekserver.rtdfunctions",,"102039608 16")/100</f>
        <v>999.95</v>
      </c>
      <c r="X77">
        <f>RTD("greekserver.rtdfunctions",,"102039608 10")/100</f>
        <v>1005</v>
      </c>
      <c r="Y77">
        <f>RTD("greekserver.rtdfunctions",,"102039608 11")</f>
        <v>20</v>
      </c>
      <c r="Z77" t="str">
        <f>nseltodate(RTD("greekserver.rtdfunctions",,"102039608 20"))</f>
        <v>10:20:57 AM</v>
      </c>
      <c r="AA77">
        <f>RTD("greekserver.rtdfunctions",,"102039608 18")/100</f>
        <v>0</v>
      </c>
      <c r="AB77">
        <f>RTD("greekserver.rtdfunctions",,"102039608 17")/100</f>
        <v>0</v>
      </c>
      <c r="AC77">
        <f>RTD("greekserver.rtdfunctions",,"102039608 40")/100</f>
        <v>22.4</v>
      </c>
      <c r="AD77">
        <f>RTD("greekserver.rtdfunctions",,"102039608 34")/100</f>
        <v>0</v>
      </c>
    </row>
    <row r="78" spans="1:30" x14ac:dyDescent="0.2">
      <c r="A78">
        <v>102039609</v>
      </c>
      <c r="B78" t="s">
        <v>93</v>
      </c>
      <c r="C78" t="s">
        <v>345</v>
      </c>
      <c r="D78" t="s">
        <v>102</v>
      </c>
      <c r="E78" s="15">
        <v>43874</v>
      </c>
      <c r="F78">
        <v>30300</v>
      </c>
      <c r="G78" t="s">
        <v>347</v>
      </c>
      <c r="H78">
        <v>39609</v>
      </c>
      <c r="I78">
        <v>20</v>
      </c>
      <c r="J78">
        <f>RTD("greekserver.rtdfunctions",,"102039609 5")</f>
        <v>20</v>
      </c>
      <c r="K78">
        <f>RTD("greekserver.rtdfunctions",,"102039609 4")/100</f>
        <v>0.4</v>
      </c>
      <c r="L78">
        <f>RTD("greekserver.rtdfunctions",,"102039609 7")</f>
        <v>2460</v>
      </c>
      <c r="M78">
        <f>RTD("greekserver.rtdfunctions",,"102039609 6")/100</f>
        <v>0.5</v>
      </c>
      <c r="N78">
        <f>RTD("greekserver.rtdfunctions",,"102039609 8")/100</f>
        <v>0.37</v>
      </c>
      <c r="O78">
        <f>RTD("greekserver.rtdfunctions",,"102039609 12")</f>
        <v>65020</v>
      </c>
      <c r="P78">
        <f>RTD("greekserver.rtdfunctions",,"102039609 24")/100</f>
        <v>0.4</v>
      </c>
      <c r="Q78">
        <f>RTD("greekserver.rtdfunctions",,"102039609 25")</f>
        <v>20</v>
      </c>
      <c r="R78">
        <f>RTD("greekserver.rtdfunctions",,"102039609 26")/100</f>
        <v>0.5</v>
      </c>
      <c r="S78">
        <f>RTD("greekserver.rtdfunctions",,"102039609 27")</f>
        <v>2460</v>
      </c>
      <c r="T78">
        <f>RTD("greekserver.rtdfunctions",,"102039609 13")/100</f>
        <v>0.8</v>
      </c>
      <c r="U78">
        <f>RTD("greekserver.rtdfunctions",,"102039609 14")/100</f>
        <v>1.7</v>
      </c>
      <c r="V78">
        <f>RTD("greekserver.rtdfunctions",,"102039609 15")/100</f>
        <v>0.8</v>
      </c>
      <c r="W78">
        <f>RTD("greekserver.rtdfunctions",,"102039609 16")/100</f>
        <v>0.2</v>
      </c>
      <c r="X78">
        <f>RTD("greekserver.rtdfunctions",,"102039609 10")/100</f>
        <v>0.4</v>
      </c>
      <c r="Y78">
        <f>RTD("greekserver.rtdfunctions",,"102039609 11")</f>
        <v>40</v>
      </c>
      <c r="Z78" t="str">
        <f>nseltodate(RTD("greekserver.rtdfunctions",,"102039609 20"))</f>
        <v>10:47:28 AM</v>
      </c>
      <c r="AA78">
        <f>RTD("greekserver.rtdfunctions",,"102039609 18")/100</f>
        <v>0</v>
      </c>
      <c r="AB78">
        <f>RTD("greekserver.rtdfunctions",,"102039609 17")/100</f>
        <v>0</v>
      </c>
      <c r="AC78">
        <f>RTD("greekserver.rtdfunctions",,"102039609 40")/100</f>
        <v>1385.4</v>
      </c>
      <c r="AD78">
        <f>RTD("greekserver.rtdfunctions",,"102039609 34")/100</f>
        <v>0</v>
      </c>
    </row>
    <row r="79" spans="1:30" hidden="1" x14ac:dyDescent="0.2">
      <c r="A79">
        <v>102039628</v>
      </c>
      <c r="B79" t="s">
        <v>93</v>
      </c>
      <c r="C79" t="s">
        <v>345</v>
      </c>
      <c r="D79" t="s">
        <v>102</v>
      </c>
      <c r="E79" s="15">
        <v>43874</v>
      </c>
      <c r="F79">
        <v>30400</v>
      </c>
      <c r="G79" t="s">
        <v>346</v>
      </c>
      <c r="H79">
        <v>39628</v>
      </c>
      <c r="I79">
        <v>20</v>
      </c>
      <c r="J79">
        <f>RTD("greekserver.rtdfunctions",,"102039628 5")</f>
        <v>900</v>
      </c>
      <c r="K79">
        <f>RTD("greekserver.rtdfunctions",,"102039628 4")/100</f>
        <v>903.2</v>
      </c>
      <c r="L79">
        <f>RTD("greekserver.rtdfunctions",,"102039628 7")</f>
        <v>40</v>
      </c>
      <c r="M79">
        <f>RTD("greekserver.rtdfunctions",,"102039628 6")/100</f>
        <v>918.4</v>
      </c>
      <c r="N79">
        <f>RTD("greekserver.rtdfunctions",,"102039628 8")/100</f>
        <v>952.63</v>
      </c>
      <c r="O79">
        <f>RTD("greekserver.rtdfunctions",,"102039628 12")</f>
        <v>720</v>
      </c>
      <c r="P79">
        <f>RTD("greekserver.rtdfunctions",,"102039628 24")/100</f>
        <v>903.2</v>
      </c>
      <c r="Q79">
        <f>RTD("greekserver.rtdfunctions",,"102039628 25")</f>
        <v>900</v>
      </c>
      <c r="R79">
        <f>RTD("greekserver.rtdfunctions",,"102039628 26")/100</f>
        <v>918.4</v>
      </c>
      <c r="S79">
        <f>RTD("greekserver.rtdfunctions",,"102039628 27")</f>
        <v>40</v>
      </c>
      <c r="T79">
        <f>RTD("greekserver.rtdfunctions",,"102039628 13")/100</f>
        <v>1039.3</v>
      </c>
      <c r="U79">
        <f>RTD("greekserver.rtdfunctions",,"102039628 14")/100</f>
        <v>1129.2</v>
      </c>
      <c r="V79">
        <f>RTD("greekserver.rtdfunctions",,"102039628 15")/100</f>
        <v>1039.3</v>
      </c>
      <c r="W79">
        <f>RTD("greekserver.rtdfunctions",,"102039628 16")/100</f>
        <v>885</v>
      </c>
      <c r="X79">
        <f>RTD("greekserver.rtdfunctions",,"102039628 10")/100</f>
        <v>899.3</v>
      </c>
      <c r="Y79">
        <f>RTD("greekserver.rtdfunctions",,"102039628 11")</f>
        <v>40</v>
      </c>
      <c r="Z79" t="str">
        <f>nseltodate(RTD("greekserver.rtdfunctions",,"102039628 20"))</f>
        <v>10:23:22 AM</v>
      </c>
      <c r="AA79">
        <f>RTD("greekserver.rtdfunctions",,"102039628 18")/100</f>
        <v>0</v>
      </c>
      <c r="AB79">
        <f>RTD("greekserver.rtdfunctions",,"102039628 17")/100</f>
        <v>0</v>
      </c>
      <c r="AC79">
        <f>RTD("greekserver.rtdfunctions",,"102039628 40")/100</f>
        <v>26</v>
      </c>
      <c r="AD79">
        <f>RTD("greekserver.rtdfunctions",,"102039628 34")/100</f>
        <v>0</v>
      </c>
    </row>
    <row r="80" spans="1:30" x14ac:dyDescent="0.2">
      <c r="A80">
        <v>102039629</v>
      </c>
      <c r="B80" t="s">
        <v>93</v>
      </c>
      <c r="C80" t="s">
        <v>345</v>
      </c>
      <c r="D80" t="s">
        <v>102</v>
      </c>
      <c r="E80" s="15">
        <v>43874</v>
      </c>
      <c r="F80">
        <v>30400</v>
      </c>
      <c r="G80" t="s">
        <v>347</v>
      </c>
      <c r="H80">
        <v>39629</v>
      </c>
      <c r="I80">
        <v>20</v>
      </c>
      <c r="J80">
        <f>RTD("greekserver.rtdfunctions",,"102039629 5")</f>
        <v>800</v>
      </c>
      <c r="K80">
        <f>RTD("greekserver.rtdfunctions",,"102039629 4")/100</f>
        <v>0.4</v>
      </c>
      <c r="L80">
        <f>RTD("greekserver.rtdfunctions",,"102039629 7")</f>
        <v>3080</v>
      </c>
      <c r="M80">
        <f>RTD("greekserver.rtdfunctions",,"102039629 6")/100</f>
        <v>0.45</v>
      </c>
      <c r="N80">
        <f>RTD("greekserver.rtdfunctions",,"102039629 8")/100</f>
        <v>0.4</v>
      </c>
      <c r="O80">
        <f>RTD("greekserver.rtdfunctions",,"102039629 12")</f>
        <v>63380</v>
      </c>
      <c r="P80">
        <f>RTD("greekserver.rtdfunctions",,"102039629 24")/100</f>
        <v>0.4</v>
      </c>
      <c r="Q80">
        <f>RTD("greekserver.rtdfunctions",,"102039629 25")</f>
        <v>800</v>
      </c>
      <c r="R80">
        <f>RTD("greekserver.rtdfunctions",,"102039629 26")/100</f>
        <v>0.45</v>
      </c>
      <c r="S80">
        <f>RTD("greekserver.rtdfunctions",,"102039629 27")</f>
        <v>3080</v>
      </c>
      <c r="T80">
        <f>RTD("greekserver.rtdfunctions",,"102039629 13")/100</f>
        <v>0.2</v>
      </c>
      <c r="U80">
        <f>RTD("greekserver.rtdfunctions",,"102039629 14")/100</f>
        <v>2</v>
      </c>
      <c r="V80">
        <f>RTD("greekserver.rtdfunctions",,"102039629 15")/100</f>
        <v>0.9</v>
      </c>
      <c r="W80">
        <f>RTD("greekserver.rtdfunctions",,"102039629 16")/100</f>
        <v>0.2</v>
      </c>
      <c r="X80">
        <f>RTD("greekserver.rtdfunctions",,"102039629 10")/100</f>
        <v>0.4</v>
      </c>
      <c r="Y80">
        <f>RTD("greekserver.rtdfunctions",,"102039629 11")</f>
        <v>180</v>
      </c>
      <c r="Z80" t="str">
        <f>nseltodate(RTD("greekserver.rtdfunctions",,"102039629 20"))</f>
        <v>10:47:32 AM</v>
      </c>
      <c r="AA80">
        <f>RTD("greekserver.rtdfunctions",,"102039629 18")/100</f>
        <v>0</v>
      </c>
      <c r="AB80">
        <f>RTD("greekserver.rtdfunctions",,"102039629 17")/100</f>
        <v>0</v>
      </c>
      <c r="AC80">
        <f>RTD("greekserver.rtdfunctions",,"102039629 40")/100</f>
        <v>2558</v>
      </c>
      <c r="AD80">
        <f>RTD("greekserver.rtdfunctions",,"102039629 34")/100</f>
        <v>0</v>
      </c>
    </row>
    <row r="81" spans="1:30" hidden="1" x14ac:dyDescent="0.2">
      <c r="A81">
        <v>102039632</v>
      </c>
      <c r="B81" t="s">
        <v>93</v>
      </c>
      <c r="C81" t="s">
        <v>345</v>
      </c>
      <c r="D81" t="s">
        <v>102</v>
      </c>
      <c r="E81" s="15">
        <v>43874</v>
      </c>
      <c r="F81">
        <v>30500</v>
      </c>
      <c r="G81" t="s">
        <v>346</v>
      </c>
      <c r="H81">
        <v>39632</v>
      </c>
      <c r="I81">
        <v>20</v>
      </c>
      <c r="J81">
        <f>RTD("greekserver.rtdfunctions",,"102039632 5")</f>
        <v>160</v>
      </c>
      <c r="K81">
        <f>RTD("greekserver.rtdfunctions",,"102039632 4")/100</f>
        <v>808.1</v>
      </c>
      <c r="L81">
        <f>RTD("greekserver.rtdfunctions",,"102039632 7")</f>
        <v>20</v>
      </c>
      <c r="M81">
        <f>RTD("greekserver.rtdfunctions",,"102039632 6")/100</f>
        <v>812.9</v>
      </c>
      <c r="N81">
        <f>RTD("greekserver.rtdfunctions",,"102039632 8")/100</f>
        <v>876.49</v>
      </c>
      <c r="O81">
        <f>RTD("greekserver.rtdfunctions",,"102039632 12")</f>
        <v>17180</v>
      </c>
      <c r="P81">
        <f>RTD("greekserver.rtdfunctions",,"102039632 24")/100</f>
        <v>808.1</v>
      </c>
      <c r="Q81">
        <f>RTD("greekserver.rtdfunctions",,"102039632 25")</f>
        <v>160</v>
      </c>
      <c r="R81">
        <f>RTD("greekserver.rtdfunctions",,"102039632 26")/100</f>
        <v>812.9</v>
      </c>
      <c r="S81">
        <f>RTD("greekserver.rtdfunctions",,"102039632 27")</f>
        <v>20</v>
      </c>
      <c r="T81">
        <f>RTD("greekserver.rtdfunctions",,"102039632 13")/100</f>
        <v>1000.75</v>
      </c>
      <c r="U81">
        <f>RTD("greekserver.rtdfunctions",,"102039632 14")/100</f>
        <v>1031.8</v>
      </c>
      <c r="V81">
        <f>RTD("greekserver.rtdfunctions",,"102039632 15")/100</f>
        <v>1000.75</v>
      </c>
      <c r="W81">
        <f>RTD("greekserver.rtdfunctions",,"102039632 16")/100</f>
        <v>790</v>
      </c>
      <c r="X81">
        <f>RTD("greekserver.rtdfunctions",,"102039632 10")/100</f>
        <v>814</v>
      </c>
      <c r="Y81">
        <f>RTD("greekserver.rtdfunctions",,"102039632 11")</f>
        <v>60</v>
      </c>
      <c r="Z81" t="str">
        <f>nseltodate(RTD("greekserver.rtdfunctions",,"102039632 20"))</f>
        <v>10:45:41 AM</v>
      </c>
      <c r="AA81">
        <f>RTD("greekserver.rtdfunctions",,"102039632 18")/100</f>
        <v>0</v>
      </c>
      <c r="AB81">
        <f>RTD("greekserver.rtdfunctions",,"102039632 17")/100</f>
        <v>0</v>
      </c>
      <c r="AC81">
        <f>RTD("greekserver.rtdfunctions",,"102039632 40")/100</f>
        <v>260</v>
      </c>
      <c r="AD81">
        <f>RTD("greekserver.rtdfunctions",,"102039632 34")/100</f>
        <v>0</v>
      </c>
    </row>
    <row r="82" spans="1:30" x14ac:dyDescent="0.2">
      <c r="A82">
        <v>102039635</v>
      </c>
      <c r="B82" t="s">
        <v>93</v>
      </c>
      <c r="C82" t="s">
        <v>345</v>
      </c>
      <c r="D82" t="s">
        <v>102</v>
      </c>
      <c r="E82" s="15">
        <v>43874</v>
      </c>
      <c r="F82">
        <v>30500</v>
      </c>
      <c r="G82" t="s">
        <v>347</v>
      </c>
      <c r="H82">
        <v>39635</v>
      </c>
      <c r="I82">
        <v>20</v>
      </c>
      <c r="J82">
        <f>RTD("greekserver.rtdfunctions",,"102039635 5")</f>
        <v>1220</v>
      </c>
      <c r="K82">
        <f>RTD("greekserver.rtdfunctions",,"102039635 4")/100</f>
        <v>0.4</v>
      </c>
      <c r="L82">
        <f>RTD("greekserver.rtdfunctions",,"102039635 7")</f>
        <v>3160</v>
      </c>
      <c r="M82">
        <f>RTD("greekserver.rtdfunctions",,"102039635 6")/100</f>
        <v>0.45</v>
      </c>
      <c r="N82">
        <f>RTD("greekserver.rtdfunctions",,"102039635 8")/100</f>
        <v>0.53</v>
      </c>
      <c r="O82">
        <f>RTD("greekserver.rtdfunctions",,"102039635 12")</f>
        <v>306640</v>
      </c>
      <c r="P82">
        <f>RTD("greekserver.rtdfunctions",,"102039635 24")/100</f>
        <v>0.4</v>
      </c>
      <c r="Q82">
        <f>RTD("greekserver.rtdfunctions",,"102039635 25")</f>
        <v>1220</v>
      </c>
      <c r="R82">
        <f>RTD("greekserver.rtdfunctions",,"102039635 26")/100</f>
        <v>0.45</v>
      </c>
      <c r="S82">
        <f>RTD("greekserver.rtdfunctions",,"102039635 27")</f>
        <v>3160</v>
      </c>
      <c r="T82">
        <f>RTD("greekserver.rtdfunctions",,"102039635 13")/100</f>
        <v>0.9</v>
      </c>
      <c r="U82">
        <f>RTD("greekserver.rtdfunctions",,"102039635 14")/100</f>
        <v>2.7</v>
      </c>
      <c r="V82">
        <f>RTD("greekserver.rtdfunctions",,"102039635 15")/100</f>
        <v>0.9</v>
      </c>
      <c r="W82">
        <f>RTD("greekserver.rtdfunctions",,"102039635 16")/100</f>
        <v>0.3</v>
      </c>
      <c r="X82">
        <f>RTD("greekserver.rtdfunctions",,"102039635 10")/100</f>
        <v>0.35</v>
      </c>
      <c r="Y82">
        <f>RTD("greekserver.rtdfunctions",,"102039635 11")</f>
        <v>200</v>
      </c>
      <c r="Z82" t="str">
        <f>nseltodate(RTD("greekserver.rtdfunctions",,"102039635 20"))</f>
        <v>10:47:27 AM</v>
      </c>
      <c r="AA82">
        <f>RTD("greekserver.rtdfunctions",,"102039635 18")/100</f>
        <v>0</v>
      </c>
      <c r="AB82">
        <f>RTD("greekserver.rtdfunctions",,"102039635 17")/100</f>
        <v>0</v>
      </c>
      <c r="AC82">
        <f>RTD("greekserver.rtdfunctions",,"102039635 40")/100</f>
        <v>3943.8</v>
      </c>
      <c r="AD82">
        <f>RTD("greekserver.rtdfunctions",,"102039635 34")/100</f>
        <v>0</v>
      </c>
    </row>
    <row r="83" spans="1:30" hidden="1" x14ac:dyDescent="0.2">
      <c r="A83">
        <v>102039636</v>
      </c>
      <c r="B83" t="s">
        <v>93</v>
      </c>
      <c r="C83" t="s">
        <v>345</v>
      </c>
      <c r="D83" t="s">
        <v>102</v>
      </c>
      <c r="E83" s="15">
        <v>43874</v>
      </c>
      <c r="F83">
        <v>30600</v>
      </c>
      <c r="G83" t="s">
        <v>346</v>
      </c>
      <c r="H83">
        <v>39636</v>
      </c>
      <c r="I83">
        <v>20</v>
      </c>
      <c r="J83">
        <f>RTD("greekserver.rtdfunctions",,"102039636 5")</f>
        <v>100</v>
      </c>
      <c r="K83">
        <f>RTD("greekserver.rtdfunctions",,"102039636 4")/100</f>
        <v>707.65</v>
      </c>
      <c r="L83">
        <f>RTD("greekserver.rtdfunctions",,"102039636 7")</f>
        <v>40</v>
      </c>
      <c r="M83">
        <f>RTD("greekserver.rtdfunctions",,"102039636 6")/100</f>
        <v>712</v>
      </c>
      <c r="N83">
        <f>RTD("greekserver.rtdfunctions",,"102039636 8")/100</f>
        <v>754.76</v>
      </c>
      <c r="O83">
        <f>RTD("greekserver.rtdfunctions",,"102039636 12")</f>
        <v>1920</v>
      </c>
      <c r="P83">
        <f>RTD("greekserver.rtdfunctions",,"102039636 24")/100</f>
        <v>707.65</v>
      </c>
      <c r="Q83">
        <f>RTD("greekserver.rtdfunctions",,"102039636 25")</f>
        <v>100</v>
      </c>
      <c r="R83">
        <f>RTD("greekserver.rtdfunctions",,"102039636 26")/100</f>
        <v>712</v>
      </c>
      <c r="S83">
        <f>RTD("greekserver.rtdfunctions",,"102039636 27")</f>
        <v>40</v>
      </c>
      <c r="T83">
        <f>RTD("greekserver.rtdfunctions",,"102039636 13")/100</f>
        <v>898.8</v>
      </c>
      <c r="U83">
        <f>RTD("greekserver.rtdfunctions",,"102039636 14")/100</f>
        <v>932.7</v>
      </c>
      <c r="V83">
        <f>RTD("greekserver.rtdfunctions",,"102039636 15")/100</f>
        <v>898.8</v>
      </c>
      <c r="W83">
        <f>RTD("greekserver.rtdfunctions",,"102039636 16")/100</f>
        <v>697.25</v>
      </c>
      <c r="X83">
        <f>RTD("greekserver.rtdfunctions",,"102039636 10")/100</f>
        <v>711</v>
      </c>
      <c r="Y83">
        <f>RTD("greekserver.rtdfunctions",,"102039636 11")</f>
        <v>20</v>
      </c>
      <c r="Z83" t="str">
        <f>nseltodate(RTD("greekserver.rtdfunctions",,"102039636 20"))</f>
        <v>10:43:53 AM</v>
      </c>
      <c r="AA83">
        <f>RTD("greekserver.rtdfunctions",,"102039636 18")/100</f>
        <v>0</v>
      </c>
      <c r="AB83">
        <f>RTD("greekserver.rtdfunctions",,"102039636 17")/100</f>
        <v>0</v>
      </c>
      <c r="AC83">
        <f>RTD("greekserver.rtdfunctions",,"102039636 40")/100</f>
        <v>36.200000000000003</v>
      </c>
      <c r="AD83">
        <f>RTD("greekserver.rtdfunctions",,"102039636 34")/100</f>
        <v>0</v>
      </c>
    </row>
    <row r="84" spans="1:30" x14ac:dyDescent="0.2">
      <c r="A84">
        <v>102039637</v>
      </c>
      <c r="B84" t="s">
        <v>93</v>
      </c>
      <c r="C84" t="s">
        <v>345</v>
      </c>
      <c r="D84" t="s">
        <v>102</v>
      </c>
      <c r="E84" s="15">
        <v>43874</v>
      </c>
      <c r="F84">
        <v>30600</v>
      </c>
      <c r="G84" t="s">
        <v>347</v>
      </c>
      <c r="H84">
        <v>39637</v>
      </c>
      <c r="I84">
        <v>20</v>
      </c>
      <c r="J84">
        <f>RTD("greekserver.rtdfunctions",,"102039637 5")</f>
        <v>6400</v>
      </c>
      <c r="K84">
        <f>RTD("greekserver.rtdfunctions",,"102039637 4")/100</f>
        <v>0.55000000000000004</v>
      </c>
      <c r="L84">
        <f>RTD("greekserver.rtdfunctions",,"102039637 7")</f>
        <v>1900</v>
      </c>
      <c r="M84">
        <f>RTD("greekserver.rtdfunctions",,"102039637 6")/100</f>
        <v>0.6</v>
      </c>
      <c r="N84">
        <f>RTD("greekserver.rtdfunctions",,"102039637 8")/100</f>
        <v>0.69</v>
      </c>
      <c r="O84">
        <f>RTD("greekserver.rtdfunctions",,"102039637 12")</f>
        <v>240420</v>
      </c>
      <c r="P84">
        <f>RTD("greekserver.rtdfunctions",,"102039637 24")/100</f>
        <v>0.55000000000000004</v>
      </c>
      <c r="Q84">
        <f>RTD("greekserver.rtdfunctions",,"102039637 25")</f>
        <v>6400</v>
      </c>
      <c r="R84">
        <f>RTD("greekserver.rtdfunctions",,"102039637 26")/100</f>
        <v>0.6</v>
      </c>
      <c r="S84">
        <f>RTD("greekserver.rtdfunctions",,"102039637 27")</f>
        <v>1900</v>
      </c>
      <c r="T84">
        <f>RTD("greekserver.rtdfunctions",,"102039637 13")/100</f>
        <v>1.1499999999999999</v>
      </c>
      <c r="U84">
        <f>RTD("greekserver.rtdfunctions",,"102039637 14")/100</f>
        <v>3</v>
      </c>
      <c r="V84">
        <f>RTD("greekserver.rtdfunctions",,"102039637 15")/100</f>
        <v>1.3</v>
      </c>
      <c r="W84">
        <f>RTD("greekserver.rtdfunctions",,"102039637 16")/100</f>
        <v>0.45</v>
      </c>
      <c r="X84">
        <f>RTD("greekserver.rtdfunctions",,"102039637 10")/100</f>
        <v>0.6</v>
      </c>
      <c r="Y84">
        <f>RTD("greekserver.rtdfunctions",,"102039637 11")</f>
        <v>180</v>
      </c>
      <c r="Z84" t="str">
        <f>nseltodate(RTD("greekserver.rtdfunctions",,"102039637 20"))</f>
        <v>10:47:32 AM</v>
      </c>
      <c r="AA84">
        <f>RTD("greekserver.rtdfunctions",,"102039637 18")/100</f>
        <v>0</v>
      </c>
      <c r="AB84">
        <f>RTD("greekserver.rtdfunctions",,"102039637 17")/100</f>
        <v>0</v>
      </c>
      <c r="AC84">
        <f>RTD("greekserver.rtdfunctions",,"102039637 40")/100</f>
        <v>2111.1999999999998</v>
      </c>
      <c r="AD84">
        <f>RTD("greekserver.rtdfunctions",,"102039637 34")/100</f>
        <v>0</v>
      </c>
    </row>
    <row r="85" spans="1:30" hidden="1" x14ac:dyDescent="0.2">
      <c r="A85">
        <v>102039638</v>
      </c>
      <c r="B85" t="s">
        <v>93</v>
      </c>
      <c r="C85" t="s">
        <v>345</v>
      </c>
      <c r="D85" t="s">
        <v>102</v>
      </c>
      <c r="E85" s="15">
        <v>43874</v>
      </c>
      <c r="F85">
        <v>30700</v>
      </c>
      <c r="G85" t="s">
        <v>346</v>
      </c>
      <c r="H85">
        <v>39638</v>
      </c>
      <c r="I85">
        <v>20</v>
      </c>
      <c r="J85">
        <f>RTD("greekserver.rtdfunctions",,"102039638 5")</f>
        <v>20</v>
      </c>
      <c r="K85">
        <f>RTD("greekserver.rtdfunctions",,"102039638 4")/100</f>
        <v>605.4</v>
      </c>
      <c r="L85">
        <f>RTD("greekserver.rtdfunctions",,"102039638 7")</f>
        <v>20</v>
      </c>
      <c r="M85">
        <f>RTD("greekserver.rtdfunctions",,"102039638 6")/100</f>
        <v>618.20000000000005</v>
      </c>
      <c r="N85">
        <f>RTD("greekserver.rtdfunctions",,"102039638 8")/100</f>
        <v>653.96</v>
      </c>
      <c r="O85">
        <f>RTD("greekserver.rtdfunctions",,"102039638 12")</f>
        <v>8560</v>
      </c>
      <c r="P85">
        <f>RTD("greekserver.rtdfunctions",,"102039638 24")/100</f>
        <v>605.4</v>
      </c>
      <c r="Q85">
        <f>RTD("greekserver.rtdfunctions",,"102039638 25")</f>
        <v>20</v>
      </c>
      <c r="R85">
        <f>RTD("greekserver.rtdfunctions",,"102039638 26")/100</f>
        <v>618.20000000000005</v>
      </c>
      <c r="S85">
        <f>RTD("greekserver.rtdfunctions",,"102039638 27")</f>
        <v>20</v>
      </c>
      <c r="T85">
        <f>RTD("greekserver.rtdfunctions",,"102039638 13")/100</f>
        <v>801</v>
      </c>
      <c r="U85">
        <f>RTD("greekserver.rtdfunctions",,"102039638 14")/100</f>
        <v>836</v>
      </c>
      <c r="V85">
        <f>RTD("greekserver.rtdfunctions",,"102039638 15")/100</f>
        <v>801</v>
      </c>
      <c r="W85">
        <f>RTD("greekserver.rtdfunctions",,"102039638 16")/100</f>
        <v>590</v>
      </c>
      <c r="X85">
        <f>RTD("greekserver.rtdfunctions",,"102039638 10")/100</f>
        <v>608</v>
      </c>
      <c r="Y85">
        <f>RTD("greekserver.rtdfunctions",,"102039638 11")</f>
        <v>20</v>
      </c>
      <c r="Z85" t="str">
        <f>nseltodate(RTD("greekserver.rtdfunctions",,"102039638 20"))</f>
        <v>10:44:25 AM</v>
      </c>
      <c r="AA85">
        <f>RTD("greekserver.rtdfunctions",,"102039638 18")/100</f>
        <v>0</v>
      </c>
      <c r="AB85">
        <f>RTD("greekserver.rtdfunctions",,"102039638 17")/100</f>
        <v>0</v>
      </c>
      <c r="AC85">
        <f>RTD("greekserver.rtdfunctions",,"102039638 40")/100</f>
        <v>104.4</v>
      </c>
      <c r="AD85">
        <f>RTD("greekserver.rtdfunctions",,"102039638 34")/100</f>
        <v>0</v>
      </c>
    </row>
    <row r="86" spans="1:30" x14ac:dyDescent="0.2">
      <c r="A86">
        <v>102039643</v>
      </c>
      <c r="B86" t="s">
        <v>93</v>
      </c>
      <c r="C86" t="s">
        <v>345</v>
      </c>
      <c r="D86" t="s">
        <v>102</v>
      </c>
      <c r="E86" s="15">
        <v>43874</v>
      </c>
      <c r="F86">
        <v>30700</v>
      </c>
      <c r="G86" t="s">
        <v>347</v>
      </c>
      <c r="H86">
        <v>39643</v>
      </c>
      <c r="I86">
        <v>20</v>
      </c>
      <c r="J86">
        <f>RTD("greekserver.rtdfunctions",,"102039643 5")</f>
        <v>1360</v>
      </c>
      <c r="K86">
        <f>RTD("greekserver.rtdfunctions",,"102039643 4")/100</f>
        <v>0.7</v>
      </c>
      <c r="L86">
        <f>RTD("greekserver.rtdfunctions",,"102039643 7")</f>
        <v>4700</v>
      </c>
      <c r="M86">
        <f>RTD("greekserver.rtdfunctions",,"102039643 6")/100</f>
        <v>0.75</v>
      </c>
      <c r="N86">
        <f>RTD("greekserver.rtdfunctions",,"102039643 8")/100</f>
        <v>0.88</v>
      </c>
      <c r="O86">
        <f>RTD("greekserver.rtdfunctions",,"102039643 12")</f>
        <v>521120</v>
      </c>
      <c r="P86">
        <f>RTD("greekserver.rtdfunctions",,"102039643 24")/100</f>
        <v>0.7</v>
      </c>
      <c r="Q86">
        <f>RTD("greekserver.rtdfunctions",,"102039643 25")</f>
        <v>1360</v>
      </c>
      <c r="R86">
        <f>RTD("greekserver.rtdfunctions",,"102039643 26")/100</f>
        <v>0.75</v>
      </c>
      <c r="S86">
        <f>RTD("greekserver.rtdfunctions",,"102039643 27")</f>
        <v>4700</v>
      </c>
      <c r="T86">
        <f>RTD("greekserver.rtdfunctions",,"102039643 13")/100</f>
        <v>0.9</v>
      </c>
      <c r="U86">
        <f>RTD("greekserver.rtdfunctions",,"102039643 14")/100</f>
        <v>3.6</v>
      </c>
      <c r="V86">
        <f>RTD("greekserver.rtdfunctions",,"102039643 15")/100</f>
        <v>1.25</v>
      </c>
      <c r="W86">
        <f>RTD("greekserver.rtdfunctions",,"102039643 16")/100</f>
        <v>0.55000000000000004</v>
      </c>
      <c r="X86">
        <f>RTD("greekserver.rtdfunctions",,"102039643 10")/100</f>
        <v>0.75</v>
      </c>
      <c r="Y86">
        <f>RTD("greekserver.rtdfunctions",,"102039643 11")</f>
        <v>180</v>
      </c>
      <c r="Z86" t="str">
        <f>nseltodate(RTD("greekserver.rtdfunctions",,"102039643 20"))</f>
        <v>10:47:31 AM</v>
      </c>
      <c r="AA86">
        <f>RTD("greekserver.rtdfunctions",,"102039643 18")/100</f>
        <v>0</v>
      </c>
      <c r="AB86">
        <f>RTD("greekserver.rtdfunctions",,"102039643 17")/100</f>
        <v>0</v>
      </c>
      <c r="AC86">
        <f>RTD("greekserver.rtdfunctions",,"102039643 40")/100</f>
        <v>2617.6</v>
      </c>
      <c r="AD86">
        <f>RTD("greekserver.rtdfunctions",,"102039643 34")/100</f>
        <v>0</v>
      </c>
    </row>
    <row r="87" spans="1:30" hidden="1" x14ac:dyDescent="0.2">
      <c r="A87">
        <v>102039662</v>
      </c>
      <c r="B87" t="s">
        <v>93</v>
      </c>
      <c r="C87" t="s">
        <v>345</v>
      </c>
      <c r="D87" t="s">
        <v>102</v>
      </c>
      <c r="E87" s="15">
        <v>43874</v>
      </c>
      <c r="F87">
        <v>30800</v>
      </c>
      <c r="G87" t="s">
        <v>346</v>
      </c>
      <c r="H87">
        <v>39662</v>
      </c>
      <c r="I87">
        <v>20</v>
      </c>
      <c r="J87">
        <f>RTD("greekserver.rtdfunctions",,"102039662 5")</f>
        <v>80</v>
      </c>
      <c r="K87">
        <f>RTD("greekserver.rtdfunctions",,"102039662 4")/100</f>
        <v>508.6</v>
      </c>
      <c r="L87">
        <f>RTD("greekserver.rtdfunctions",,"102039662 7")</f>
        <v>40</v>
      </c>
      <c r="M87">
        <f>RTD("greekserver.rtdfunctions",,"102039662 6")/100</f>
        <v>512</v>
      </c>
      <c r="N87">
        <f>RTD("greekserver.rtdfunctions",,"102039662 8")/100</f>
        <v>541.91999999999996</v>
      </c>
      <c r="O87">
        <f>RTD("greekserver.rtdfunctions",,"102039662 12")</f>
        <v>7140</v>
      </c>
      <c r="P87">
        <f>RTD("greekserver.rtdfunctions",,"102039662 24")/100</f>
        <v>508.6</v>
      </c>
      <c r="Q87">
        <f>RTD("greekserver.rtdfunctions",,"102039662 25")</f>
        <v>80</v>
      </c>
      <c r="R87">
        <f>RTD("greekserver.rtdfunctions",,"102039662 26")/100</f>
        <v>512</v>
      </c>
      <c r="S87">
        <f>RTD("greekserver.rtdfunctions",,"102039662 27")</f>
        <v>40</v>
      </c>
      <c r="T87">
        <f>RTD("greekserver.rtdfunctions",,"102039662 13")/100</f>
        <v>711.1</v>
      </c>
      <c r="U87">
        <f>RTD("greekserver.rtdfunctions",,"102039662 14")/100</f>
        <v>735.6</v>
      </c>
      <c r="V87">
        <f>RTD("greekserver.rtdfunctions",,"102039662 15")/100</f>
        <v>711.1</v>
      </c>
      <c r="W87">
        <f>RTD("greekserver.rtdfunctions",,"102039662 16")/100</f>
        <v>482.95</v>
      </c>
      <c r="X87">
        <f>RTD("greekserver.rtdfunctions",,"102039662 10")/100</f>
        <v>512.5</v>
      </c>
      <c r="Y87">
        <f>RTD("greekserver.rtdfunctions",,"102039662 11")</f>
        <v>20</v>
      </c>
      <c r="Z87" t="str">
        <f>nseltodate(RTD("greekserver.rtdfunctions",,"102039662 20"))</f>
        <v>10:47:17 AM</v>
      </c>
      <c r="AA87">
        <f>RTD("greekserver.rtdfunctions",,"102039662 18")/100</f>
        <v>0</v>
      </c>
      <c r="AB87">
        <f>RTD("greekserver.rtdfunctions",,"102039662 17")/100</f>
        <v>0</v>
      </c>
      <c r="AC87">
        <f>RTD("greekserver.rtdfunctions",,"102039662 40")/100</f>
        <v>73.8</v>
      </c>
      <c r="AD87">
        <f>RTD("greekserver.rtdfunctions",,"102039662 34")/100</f>
        <v>0</v>
      </c>
    </row>
    <row r="88" spans="1:30" x14ac:dyDescent="0.2">
      <c r="A88">
        <v>102039663</v>
      </c>
      <c r="B88" t="s">
        <v>93</v>
      </c>
      <c r="C88" t="s">
        <v>345</v>
      </c>
      <c r="D88" t="s">
        <v>102</v>
      </c>
      <c r="E88" s="15">
        <v>43874</v>
      </c>
      <c r="F88">
        <v>30800</v>
      </c>
      <c r="G88" t="s">
        <v>347</v>
      </c>
      <c r="H88">
        <v>39663</v>
      </c>
      <c r="I88">
        <v>20</v>
      </c>
      <c r="J88">
        <f>RTD("greekserver.rtdfunctions",,"102039663 5")</f>
        <v>1960</v>
      </c>
      <c r="K88">
        <f>RTD("greekserver.rtdfunctions",,"102039663 4")/100</f>
        <v>1.05</v>
      </c>
      <c r="L88">
        <f>RTD("greekserver.rtdfunctions",,"102039663 7")</f>
        <v>720</v>
      </c>
      <c r="M88">
        <f>RTD("greekserver.rtdfunctions",,"102039663 6")/100</f>
        <v>1.1000000000000001</v>
      </c>
      <c r="N88">
        <f>RTD("greekserver.rtdfunctions",,"102039663 8")/100</f>
        <v>1.23</v>
      </c>
      <c r="O88">
        <f>RTD("greekserver.rtdfunctions",,"102039663 12")</f>
        <v>1210340</v>
      </c>
      <c r="P88">
        <f>RTD("greekserver.rtdfunctions",,"102039663 24")/100</f>
        <v>1.05</v>
      </c>
      <c r="Q88">
        <f>RTD("greekserver.rtdfunctions",,"102039663 25")</f>
        <v>1960</v>
      </c>
      <c r="R88">
        <f>RTD("greekserver.rtdfunctions",,"102039663 26")/100</f>
        <v>1.1000000000000001</v>
      </c>
      <c r="S88">
        <f>RTD("greekserver.rtdfunctions",,"102039663 27")</f>
        <v>720</v>
      </c>
      <c r="T88">
        <f>RTD("greekserver.rtdfunctions",,"102039663 13")/100</f>
        <v>1.25</v>
      </c>
      <c r="U88">
        <f>RTD("greekserver.rtdfunctions",,"102039663 14")/100</f>
        <v>4.0999999999999996</v>
      </c>
      <c r="V88">
        <f>RTD("greekserver.rtdfunctions",,"102039663 15")/100</f>
        <v>2.15</v>
      </c>
      <c r="W88">
        <f>RTD("greekserver.rtdfunctions",,"102039663 16")/100</f>
        <v>0.8</v>
      </c>
      <c r="X88">
        <f>RTD("greekserver.rtdfunctions",,"102039663 10")/100</f>
        <v>1.05</v>
      </c>
      <c r="Y88">
        <f>RTD("greekserver.rtdfunctions",,"102039663 11")</f>
        <v>280</v>
      </c>
      <c r="Z88" t="str">
        <f>nseltodate(RTD("greekserver.rtdfunctions",,"102039663 20"))</f>
        <v>10:47:31 AM</v>
      </c>
      <c r="AA88">
        <f>RTD("greekserver.rtdfunctions",,"102039663 18")/100</f>
        <v>0</v>
      </c>
      <c r="AB88">
        <f>RTD("greekserver.rtdfunctions",,"102039663 17")/100</f>
        <v>0</v>
      </c>
      <c r="AC88">
        <f>RTD("greekserver.rtdfunctions",,"102039663 40")/100</f>
        <v>4419.6000000000004</v>
      </c>
      <c r="AD88">
        <f>RTD("greekserver.rtdfunctions",,"102039663 34")/100</f>
        <v>0</v>
      </c>
    </row>
    <row r="89" spans="1:30" hidden="1" x14ac:dyDescent="0.2">
      <c r="A89">
        <v>102039664</v>
      </c>
      <c r="B89" t="s">
        <v>93</v>
      </c>
      <c r="C89" t="s">
        <v>345</v>
      </c>
      <c r="D89" t="s">
        <v>102</v>
      </c>
      <c r="E89" s="15">
        <v>43874</v>
      </c>
      <c r="F89">
        <v>30900</v>
      </c>
      <c r="G89" t="s">
        <v>346</v>
      </c>
      <c r="H89">
        <v>39664</v>
      </c>
      <c r="I89">
        <v>20</v>
      </c>
      <c r="J89">
        <f>RTD("greekserver.rtdfunctions",,"102039664 5")</f>
        <v>80</v>
      </c>
      <c r="K89">
        <f>RTD("greekserver.rtdfunctions",,"102039664 4")/100</f>
        <v>410.55</v>
      </c>
      <c r="L89">
        <f>RTD("greekserver.rtdfunctions",,"102039664 7")</f>
        <v>80</v>
      </c>
      <c r="M89">
        <f>RTD("greekserver.rtdfunctions",,"102039664 6")/100</f>
        <v>413.55</v>
      </c>
      <c r="N89">
        <f>RTD("greekserver.rtdfunctions",,"102039664 8")/100</f>
        <v>443.5</v>
      </c>
      <c r="O89">
        <f>RTD("greekserver.rtdfunctions",,"102039664 12")</f>
        <v>10320</v>
      </c>
      <c r="P89">
        <f>RTD("greekserver.rtdfunctions",,"102039664 24")/100</f>
        <v>410.55</v>
      </c>
      <c r="Q89">
        <f>RTD("greekserver.rtdfunctions",,"102039664 25")</f>
        <v>80</v>
      </c>
      <c r="R89">
        <f>RTD("greekserver.rtdfunctions",,"102039664 26")/100</f>
        <v>413.55</v>
      </c>
      <c r="S89">
        <f>RTD("greekserver.rtdfunctions",,"102039664 27")</f>
        <v>80</v>
      </c>
      <c r="T89">
        <f>RTD("greekserver.rtdfunctions",,"102039664 13")/100</f>
        <v>615.04999999999995</v>
      </c>
      <c r="U89">
        <f>RTD("greekserver.rtdfunctions",,"102039664 14")/100</f>
        <v>633.54999999999995</v>
      </c>
      <c r="V89">
        <f>RTD("greekserver.rtdfunctions",,"102039664 15")/100</f>
        <v>615.04999999999995</v>
      </c>
      <c r="W89">
        <f>RTD("greekserver.rtdfunctions",,"102039664 16")/100</f>
        <v>384.8</v>
      </c>
      <c r="X89">
        <f>RTD("greekserver.rtdfunctions",,"102039664 10")/100</f>
        <v>415.5</v>
      </c>
      <c r="Y89">
        <f>RTD("greekserver.rtdfunctions",,"102039664 11")</f>
        <v>20</v>
      </c>
      <c r="Z89" t="str">
        <f>nseltodate(RTD("greekserver.rtdfunctions",,"102039664 20"))</f>
        <v>10:47:01 AM</v>
      </c>
      <c r="AA89">
        <f>RTD("greekserver.rtdfunctions",,"102039664 18")/100</f>
        <v>0</v>
      </c>
      <c r="AB89">
        <f>RTD("greekserver.rtdfunctions",,"102039664 17")/100</f>
        <v>0</v>
      </c>
      <c r="AC89">
        <f>RTD("greekserver.rtdfunctions",,"102039664 40")/100</f>
        <v>78.599999999999994</v>
      </c>
      <c r="AD89">
        <f>RTD("greekserver.rtdfunctions",,"102039664 34")/100</f>
        <v>0</v>
      </c>
    </row>
    <row r="90" spans="1:30" x14ac:dyDescent="0.2">
      <c r="A90">
        <v>102039665</v>
      </c>
      <c r="B90" t="s">
        <v>93</v>
      </c>
      <c r="C90" t="s">
        <v>345</v>
      </c>
      <c r="D90" t="s">
        <v>102</v>
      </c>
      <c r="E90" s="15">
        <v>43874</v>
      </c>
      <c r="F90">
        <v>30900</v>
      </c>
      <c r="G90" t="s">
        <v>347</v>
      </c>
      <c r="H90">
        <v>39665</v>
      </c>
      <c r="I90">
        <v>20</v>
      </c>
      <c r="J90">
        <f>RTD("greekserver.rtdfunctions",,"102039665 5")</f>
        <v>720</v>
      </c>
      <c r="K90">
        <f>RTD("greekserver.rtdfunctions",,"102039665 4")/100</f>
        <v>2</v>
      </c>
      <c r="L90">
        <f>RTD("greekserver.rtdfunctions",,"102039665 7")</f>
        <v>4100</v>
      </c>
      <c r="M90">
        <f>RTD("greekserver.rtdfunctions",,"102039665 6")/100</f>
        <v>2.0499999999999998</v>
      </c>
      <c r="N90">
        <f>RTD("greekserver.rtdfunctions",,"102039665 8")/100</f>
        <v>2.17</v>
      </c>
      <c r="O90">
        <f>RTD("greekserver.rtdfunctions",,"102039665 12")</f>
        <v>2646840</v>
      </c>
      <c r="P90">
        <f>RTD("greekserver.rtdfunctions",,"102039665 24")/100</f>
        <v>2</v>
      </c>
      <c r="Q90">
        <f>RTD("greekserver.rtdfunctions",,"102039665 25")</f>
        <v>720</v>
      </c>
      <c r="R90">
        <f>RTD("greekserver.rtdfunctions",,"102039665 26")/100</f>
        <v>2.0499999999999998</v>
      </c>
      <c r="S90">
        <f>RTD("greekserver.rtdfunctions",,"102039665 27")</f>
        <v>4100</v>
      </c>
      <c r="T90">
        <f>RTD("greekserver.rtdfunctions",,"102039665 13")/100</f>
        <v>1.9</v>
      </c>
      <c r="U90">
        <f>RTD("greekserver.rtdfunctions",,"102039665 14")/100</f>
        <v>5.5</v>
      </c>
      <c r="V90">
        <f>RTD("greekserver.rtdfunctions",,"102039665 15")/100</f>
        <v>3.8</v>
      </c>
      <c r="W90">
        <f>RTD("greekserver.rtdfunctions",,"102039665 16")/100</f>
        <v>1.1499999999999999</v>
      </c>
      <c r="X90">
        <f>RTD("greekserver.rtdfunctions",,"102039665 10")/100</f>
        <v>2</v>
      </c>
      <c r="Y90">
        <f>RTD("greekserver.rtdfunctions",,"102039665 11")</f>
        <v>20</v>
      </c>
      <c r="Z90" t="str">
        <f>nseltodate(RTD("greekserver.rtdfunctions",,"102039665 20"))</f>
        <v>10:47:31 AM</v>
      </c>
      <c r="AA90">
        <f>RTD("greekserver.rtdfunctions",,"102039665 18")/100</f>
        <v>0</v>
      </c>
      <c r="AB90">
        <f>RTD("greekserver.rtdfunctions",,"102039665 17")/100</f>
        <v>0</v>
      </c>
      <c r="AC90">
        <f>RTD("greekserver.rtdfunctions",,"102039665 40")/100</f>
        <v>5953.2</v>
      </c>
      <c r="AD90">
        <f>RTD("greekserver.rtdfunctions",,"102039665 34")/100</f>
        <v>0</v>
      </c>
    </row>
    <row r="91" spans="1:30" hidden="1" x14ac:dyDescent="0.2">
      <c r="A91">
        <v>102039670</v>
      </c>
      <c r="B91" t="s">
        <v>93</v>
      </c>
      <c r="C91" t="s">
        <v>345</v>
      </c>
      <c r="D91" t="s">
        <v>102</v>
      </c>
      <c r="E91" s="15">
        <v>43874</v>
      </c>
      <c r="F91">
        <v>31000</v>
      </c>
      <c r="G91" t="s">
        <v>346</v>
      </c>
      <c r="H91">
        <v>39670</v>
      </c>
      <c r="I91">
        <v>20</v>
      </c>
      <c r="J91">
        <f>RTD("greekserver.rtdfunctions",,"102039670 5")</f>
        <v>80</v>
      </c>
      <c r="K91">
        <f>RTD("greekserver.rtdfunctions",,"102039670 4")/100</f>
        <v>312.85000000000002</v>
      </c>
      <c r="L91">
        <f>RTD("greekserver.rtdfunctions",,"102039670 7")</f>
        <v>60</v>
      </c>
      <c r="M91">
        <f>RTD("greekserver.rtdfunctions",,"102039670 6")/100</f>
        <v>314.8</v>
      </c>
      <c r="N91">
        <f>RTD("greekserver.rtdfunctions",,"102039670 8")/100</f>
        <v>353.32</v>
      </c>
      <c r="O91">
        <f>RTD("greekserver.rtdfunctions",,"102039670 12")</f>
        <v>239640</v>
      </c>
      <c r="P91">
        <f>RTD("greekserver.rtdfunctions",,"102039670 24")/100</f>
        <v>312.85000000000002</v>
      </c>
      <c r="Q91">
        <f>RTD("greekserver.rtdfunctions",,"102039670 25")</f>
        <v>80</v>
      </c>
      <c r="R91">
        <f>RTD("greekserver.rtdfunctions",,"102039670 26")/100</f>
        <v>314.8</v>
      </c>
      <c r="S91">
        <f>RTD("greekserver.rtdfunctions",,"102039670 27")</f>
        <v>60</v>
      </c>
      <c r="T91">
        <f>RTD("greekserver.rtdfunctions",,"102039670 13")/100</f>
        <v>537.1</v>
      </c>
      <c r="U91">
        <f>RTD("greekserver.rtdfunctions",,"102039670 14")/100</f>
        <v>544.85</v>
      </c>
      <c r="V91">
        <f>RTD("greekserver.rtdfunctions",,"102039670 15")/100</f>
        <v>545.25</v>
      </c>
      <c r="W91">
        <f>RTD("greekserver.rtdfunctions",,"102039670 16")/100</f>
        <v>285</v>
      </c>
      <c r="X91">
        <f>RTD("greekserver.rtdfunctions",,"102039670 10")/100</f>
        <v>316.8</v>
      </c>
      <c r="Y91">
        <f>RTD("greekserver.rtdfunctions",,"102039670 11")</f>
        <v>20</v>
      </c>
      <c r="Z91" t="str">
        <f>nseltodate(RTD("greekserver.rtdfunctions",,"102039670 20"))</f>
        <v>10:47:18 AM</v>
      </c>
      <c r="AA91">
        <f>RTD("greekserver.rtdfunctions",,"102039670 18")/100</f>
        <v>0</v>
      </c>
      <c r="AB91">
        <f>RTD("greekserver.rtdfunctions",,"102039670 17")/100</f>
        <v>0</v>
      </c>
      <c r="AC91">
        <f>RTD("greekserver.rtdfunctions",,"102039670 40")/100</f>
        <v>1052.2</v>
      </c>
      <c r="AD91">
        <f>RTD("greekserver.rtdfunctions",,"102039670 34")/100</f>
        <v>0</v>
      </c>
    </row>
    <row r="92" spans="1:30" x14ac:dyDescent="0.2">
      <c r="A92">
        <v>102039671</v>
      </c>
      <c r="B92" t="s">
        <v>93</v>
      </c>
      <c r="C92" t="s">
        <v>345</v>
      </c>
      <c r="D92" t="s">
        <v>102</v>
      </c>
      <c r="E92" s="15">
        <v>43874</v>
      </c>
      <c r="F92">
        <v>31000</v>
      </c>
      <c r="G92" t="s">
        <v>347</v>
      </c>
      <c r="H92">
        <v>39671</v>
      </c>
      <c r="I92">
        <v>20</v>
      </c>
      <c r="J92">
        <f>RTD("greekserver.rtdfunctions",,"102039671 5")</f>
        <v>1780</v>
      </c>
      <c r="K92">
        <f>RTD("greekserver.rtdfunctions",,"102039671 4")/100</f>
        <v>4.3499999999999996</v>
      </c>
      <c r="L92">
        <f>RTD("greekserver.rtdfunctions",,"102039671 7")</f>
        <v>140</v>
      </c>
      <c r="M92">
        <f>RTD("greekserver.rtdfunctions",,"102039671 6")/100</f>
        <v>4.4000000000000004</v>
      </c>
      <c r="N92">
        <f>RTD("greekserver.rtdfunctions",,"102039671 8")/100</f>
        <v>4.2699999999999996</v>
      </c>
      <c r="O92">
        <f>RTD("greekserver.rtdfunctions",,"102039671 12")</f>
        <v>7804060</v>
      </c>
      <c r="P92">
        <f>RTD("greekserver.rtdfunctions",,"102039671 24")/100</f>
        <v>4.3499999999999996</v>
      </c>
      <c r="Q92">
        <f>RTD("greekserver.rtdfunctions",,"102039671 25")</f>
        <v>1780</v>
      </c>
      <c r="R92">
        <f>RTD("greekserver.rtdfunctions",,"102039671 26")/100</f>
        <v>4.4000000000000004</v>
      </c>
      <c r="S92">
        <f>RTD("greekserver.rtdfunctions",,"102039671 27")</f>
        <v>140</v>
      </c>
      <c r="T92">
        <f>RTD("greekserver.rtdfunctions",,"102039671 13")/100</f>
        <v>4.7</v>
      </c>
      <c r="U92">
        <f>RTD("greekserver.rtdfunctions",,"102039671 14")/100</f>
        <v>7.4</v>
      </c>
      <c r="V92">
        <f>RTD("greekserver.rtdfunctions",,"102039671 15")/100</f>
        <v>8.0500000000000007</v>
      </c>
      <c r="W92">
        <f>RTD("greekserver.rtdfunctions",,"102039671 16")/100</f>
        <v>1.3</v>
      </c>
      <c r="X92">
        <f>RTD("greekserver.rtdfunctions",,"102039671 10")/100</f>
        <v>4.4000000000000004</v>
      </c>
      <c r="Y92">
        <f>RTD("greekserver.rtdfunctions",,"102039671 11")</f>
        <v>40</v>
      </c>
      <c r="Z92" t="str">
        <f>nseltodate(RTD("greekserver.rtdfunctions",,"102039671 20"))</f>
        <v>10:47:31 AM</v>
      </c>
      <c r="AA92">
        <f>RTD("greekserver.rtdfunctions",,"102039671 18")/100</f>
        <v>0</v>
      </c>
      <c r="AB92">
        <f>RTD("greekserver.rtdfunctions",,"102039671 17")/100</f>
        <v>0</v>
      </c>
      <c r="AC92">
        <f>RTD("greekserver.rtdfunctions",,"102039671 40")/100</f>
        <v>18254.2</v>
      </c>
      <c r="AD92">
        <f>RTD("greekserver.rtdfunctions",,"102039671 34")/100</f>
        <v>0</v>
      </c>
    </row>
    <row r="93" spans="1:30" hidden="1" x14ac:dyDescent="0.2">
      <c r="A93">
        <v>102039672</v>
      </c>
      <c r="B93" t="s">
        <v>93</v>
      </c>
      <c r="C93" t="s">
        <v>345</v>
      </c>
      <c r="D93" t="s">
        <v>102</v>
      </c>
      <c r="E93" s="15">
        <v>43874</v>
      </c>
      <c r="F93">
        <v>31100</v>
      </c>
      <c r="G93" t="s">
        <v>346</v>
      </c>
      <c r="H93">
        <v>39672</v>
      </c>
      <c r="I93">
        <v>20</v>
      </c>
      <c r="J93">
        <f>RTD("greekserver.rtdfunctions",,"102039672 5")</f>
        <v>20</v>
      </c>
      <c r="K93">
        <f>RTD("greekserver.rtdfunctions",,"102039672 4")/100</f>
        <v>219.5</v>
      </c>
      <c r="L93">
        <f>RTD("greekserver.rtdfunctions",,"102039672 7")</f>
        <v>20</v>
      </c>
      <c r="M93">
        <f>RTD("greekserver.rtdfunctions",,"102039672 6")/100</f>
        <v>220.9</v>
      </c>
      <c r="N93">
        <f>RTD("greekserver.rtdfunctions",,"102039672 8")/100</f>
        <v>244.37</v>
      </c>
      <c r="O93">
        <f>RTD("greekserver.rtdfunctions",,"102039672 12")</f>
        <v>326060</v>
      </c>
      <c r="P93">
        <f>RTD("greekserver.rtdfunctions",,"102039672 24")/100</f>
        <v>219.5</v>
      </c>
      <c r="Q93">
        <f>RTD("greekserver.rtdfunctions",,"102039672 25")</f>
        <v>20</v>
      </c>
      <c r="R93">
        <f>RTD("greekserver.rtdfunctions",,"102039672 26")/100</f>
        <v>220.9</v>
      </c>
      <c r="S93">
        <f>RTD("greekserver.rtdfunctions",,"102039672 27")</f>
        <v>20</v>
      </c>
      <c r="T93">
        <f>RTD("greekserver.rtdfunctions",,"102039672 13")/100</f>
        <v>436.4</v>
      </c>
      <c r="U93">
        <f>RTD("greekserver.rtdfunctions",,"102039672 14")/100</f>
        <v>445.15</v>
      </c>
      <c r="V93">
        <f>RTD("greekserver.rtdfunctions",,"102039672 15")/100</f>
        <v>449.65</v>
      </c>
      <c r="W93">
        <f>RTD("greekserver.rtdfunctions",,"102039672 16")/100</f>
        <v>188.5</v>
      </c>
      <c r="X93">
        <f>RTD("greekserver.rtdfunctions",,"102039672 10")/100</f>
        <v>221.4</v>
      </c>
      <c r="Y93">
        <f>RTD("greekserver.rtdfunctions",,"102039672 11")</f>
        <v>20</v>
      </c>
      <c r="Z93" t="str">
        <f>nseltodate(RTD("greekserver.rtdfunctions",,"102039672 20"))</f>
        <v>10:47:21 AM</v>
      </c>
      <c r="AA93">
        <f>RTD("greekserver.rtdfunctions",,"102039672 18")/100</f>
        <v>0</v>
      </c>
      <c r="AB93">
        <f>RTD("greekserver.rtdfunctions",,"102039672 17")/100</f>
        <v>0</v>
      </c>
      <c r="AC93">
        <f>RTD("greekserver.rtdfunctions",,"102039672 40")/100</f>
        <v>810</v>
      </c>
      <c r="AD93">
        <f>RTD("greekserver.rtdfunctions",,"102039672 34")/100</f>
        <v>0</v>
      </c>
    </row>
    <row r="94" spans="1:30" x14ac:dyDescent="0.2">
      <c r="A94">
        <v>102039673</v>
      </c>
      <c r="B94" t="s">
        <v>93</v>
      </c>
      <c r="C94" t="s">
        <v>345</v>
      </c>
      <c r="D94" t="s">
        <v>102</v>
      </c>
      <c r="E94" s="15">
        <v>43874</v>
      </c>
      <c r="F94">
        <v>31100</v>
      </c>
      <c r="G94" t="s">
        <v>347</v>
      </c>
      <c r="H94">
        <v>39673</v>
      </c>
      <c r="I94">
        <v>20</v>
      </c>
      <c r="J94">
        <f>RTD("greekserver.rtdfunctions",,"102039673 5")</f>
        <v>240</v>
      </c>
      <c r="K94">
        <f>RTD("greekserver.rtdfunctions",,"102039673 4")/100</f>
        <v>10.7</v>
      </c>
      <c r="L94">
        <f>RTD("greekserver.rtdfunctions",,"102039673 7")</f>
        <v>80</v>
      </c>
      <c r="M94">
        <f>RTD("greekserver.rtdfunctions",,"102039673 6")/100</f>
        <v>10.75</v>
      </c>
      <c r="N94">
        <f>RTD("greekserver.rtdfunctions",,"102039673 8")/100</f>
        <v>9.44</v>
      </c>
      <c r="O94">
        <f>RTD("greekserver.rtdfunctions",,"102039673 12")</f>
        <v>9727800</v>
      </c>
      <c r="P94">
        <f>RTD("greekserver.rtdfunctions",,"102039673 24")/100</f>
        <v>10.7</v>
      </c>
      <c r="Q94">
        <f>RTD("greekserver.rtdfunctions",,"102039673 25")</f>
        <v>240</v>
      </c>
      <c r="R94">
        <f>RTD("greekserver.rtdfunctions",,"102039673 26")/100</f>
        <v>10.75</v>
      </c>
      <c r="S94">
        <f>RTD("greekserver.rtdfunctions",,"102039673 27")</f>
        <v>80</v>
      </c>
      <c r="T94">
        <f>RTD("greekserver.rtdfunctions",,"102039673 13")/100</f>
        <v>4.8</v>
      </c>
      <c r="U94">
        <f>RTD("greekserver.rtdfunctions",,"102039673 14")/100</f>
        <v>10.15</v>
      </c>
      <c r="V94">
        <f>RTD("greekserver.rtdfunctions",,"102039673 15")/100</f>
        <v>18.7</v>
      </c>
      <c r="W94">
        <f>RTD("greekserver.rtdfunctions",,"102039673 16")/100</f>
        <v>3.2</v>
      </c>
      <c r="X94">
        <f>RTD("greekserver.rtdfunctions",,"102039673 10")/100</f>
        <v>10.7</v>
      </c>
      <c r="Y94">
        <f>RTD("greekserver.rtdfunctions",,"102039673 11")</f>
        <v>20</v>
      </c>
      <c r="Z94" t="str">
        <f>nseltodate(RTD("greekserver.rtdfunctions",,"102039673 20"))</f>
        <v>10:47:30 AM</v>
      </c>
      <c r="AA94">
        <f>RTD("greekserver.rtdfunctions",,"102039673 18")/100</f>
        <v>0</v>
      </c>
      <c r="AB94">
        <f>RTD("greekserver.rtdfunctions",,"102039673 17")/100</f>
        <v>0</v>
      </c>
      <c r="AC94">
        <f>RTD("greekserver.rtdfunctions",,"102039673 40")/100</f>
        <v>15855.6</v>
      </c>
      <c r="AD94">
        <f>RTD("greekserver.rtdfunctions",,"102039673 34")/100</f>
        <v>0</v>
      </c>
    </row>
    <row r="95" spans="1:30" hidden="1" x14ac:dyDescent="0.2">
      <c r="A95">
        <v>102039674</v>
      </c>
      <c r="B95" t="s">
        <v>93</v>
      </c>
      <c r="C95" t="s">
        <v>345</v>
      </c>
      <c r="D95" t="s">
        <v>102</v>
      </c>
      <c r="E95" s="15">
        <v>43874</v>
      </c>
      <c r="F95">
        <v>31200</v>
      </c>
      <c r="G95" t="s">
        <v>346</v>
      </c>
      <c r="H95">
        <v>39674</v>
      </c>
      <c r="I95">
        <v>20</v>
      </c>
      <c r="J95">
        <f>RTD("greekserver.rtdfunctions",,"102039674 5")</f>
        <v>40</v>
      </c>
      <c r="K95">
        <f>RTD("greekserver.rtdfunctions",,"102039674 4")/100</f>
        <v>137.15</v>
      </c>
      <c r="L95">
        <f>RTD("greekserver.rtdfunctions",,"102039674 7")</f>
        <v>140</v>
      </c>
      <c r="M95">
        <f>RTD("greekserver.rtdfunctions",,"102039674 6")/100</f>
        <v>138.1</v>
      </c>
      <c r="N95">
        <f>RTD("greekserver.rtdfunctions",,"102039674 8")/100</f>
        <v>169.91</v>
      </c>
      <c r="O95">
        <f>RTD("greekserver.rtdfunctions",,"102039674 12")</f>
        <v>2180940</v>
      </c>
      <c r="P95">
        <f>RTD("greekserver.rtdfunctions",,"102039674 24")/100</f>
        <v>137.15</v>
      </c>
      <c r="Q95">
        <f>RTD("greekserver.rtdfunctions",,"102039674 25")</f>
        <v>40</v>
      </c>
      <c r="R95">
        <f>RTD("greekserver.rtdfunctions",,"102039674 26")/100</f>
        <v>138.1</v>
      </c>
      <c r="S95">
        <f>RTD("greekserver.rtdfunctions",,"102039674 27")</f>
        <v>140</v>
      </c>
      <c r="T95">
        <f>RTD("greekserver.rtdfunctions",,"102039674 13")/100</f>
        <v>347.15</v>
      </c>
      <c r="U95">
        <f>RTD("greekserver.rtdfunctions",,"102039674 14")/100</f>
        <v>350.45</v>
      </c>
      <c r="V95">
        <f>RTD("greekserver.rtdfunctions",,"102039674 15")/100</f>
        <v>354.85</v>
      </c>
      <c r="W95">
        <f>RTD("greekserver.rtdfunctions",,"102039674 16")/100</f>
        <v>116.2</v>
      </c>
      <c r="X95">
        <f>RTD("greekserver.rtdfunctions",,"102039674 10")/100</f>
        <v>137.75</v>
      </c>
      <c r="Y95">
        <f>RTD("greekserver.rtdfunctions",,"102039674 11")</f>
        <v>40</v>
      </c>
      <c r="Z95" t="str">
        <f>nseltodate(RTD("greekserver.rtdfunctions",,"102039674 20"))</f>
        <v>10:47:29 AM</v>
      </c>
      <c r="AA95">
        <f>RTD("greekserver.rtdfunctions",,"102039674 18")/100</f>
        <v>0</v>
      </c>
      <c r="AB95">
        <f>RTD("greekserver.rtdfunctions",,"102039674 17")/100</f>
        <v>0</v>
      </c>
      <c r="AC95">
        <f>RTD("greekserver.rtdfunctions",,"102039674 40")/100</f>
        <v>3437.2</v>
      </c>
      <c r="AD95">
        <f>RTD("greekserver.rtdfunctions",,"102039674 34")/100</f>
        <v>0</v>
      </c>
    </row>
    <row r="96" spans="1:30" x14ac:dyDescent="0.2">
      <c r="A96">
        <v>102039675</v>
      </c>
      <c r="B96" t="s">
        <v>93</v>
      </c>
      <c r="C96" t="s">
        <v>345</v>
      </c>
      <c r="D96" t="s">
        <v>102</v>
      </c>
      <c r="E96" s="15">
        <v>43874</v>
      </c>
      <c r="F96">
        <v>31200</v>
      </c>
      <c r="G96" t="s">
        <v>347</v>
      </c>
      <c r="H96">
        <v>39675</v>
      </c>
      <c r="I96">
        <v>20</v>
      </c>
      <c r="J96">
        <f>RTD("greekserver.rtdfunctions",,"102039675 5")</f>
        <v>120</v>
      </c>
      <c r="K96">
        <f>RTD("greekserver.rtdfunctions",,"102039675 4")/100</f>
        <v>28</v>
      </c>
      <c r="L96">
        <f>RTD("greekserver.rtdfunctions",,"102039675 7")</f>
        <v>40</v>
      </c>
      <c r="M96">
        <f>RTD("greekserver.rtdfunctions",,"102039675 6")/100</f>
        <v>28.1</v>
      </c>
      <c r="N96">
        <f>RTD("greekserver.rtdfunctions",,"102039675 8")/100</f>
        <v>23.97</v>
      </c>
      <c r="O96">
        <f>RTD("greekserver.rtdfunctions",,"102039675 12")</f>
        <v>13074940</v>
      </c>
      <c r="P96">
        <f>RTD("greekserver.rtdfunctions",,"102039675 24")/100</f>
        <v>28</v>
      </c>
      <c r="Q96">
        <f>RTD("greekserver.rtdfunctions",,"102039675 25")</f>
        <v>120</v>
      </c>
      <c r="R96">
        <f>RTD("greekserver.rtdfunctions",,"102039675 26")/100</f>
        <v>28.1</v>
      </c>
      <c r="S96">
        <f>RTD("greekserver.rtdfunctions",,"102039675 27")</f>
        <v>40</v>
      </c>
      <c r="T96">
        <f>RTD("greekserver.rtdfunctions",,"102039675 13")/100</f>
        <v>20.100000000000001</v>
      </c>
      <c r="U96">
        <f>RTD("greekserver.rtdfunctions",,"102039675 14")/100</f>
        <v>17.399999999999999</v>
      </c>
      <c r="V96">
        <f>RTD("greekserver.rtdfunctions",,"102039675 15")/100</f>
        <v>42.6</v>
      </c>
      <c r="W96">
        <f>RTD("greekserver.rtdfunctions",,"102039675 16")/100</f>
        <v>4.45</v>
      </c>
      <c r="X96">
        <f>RTD("greekserver.rtdfunctions",,"102039675 10")/100</f>
        <v>28</v>
      </c>
      <c r="Y96">
        <f>RTD("greekserver.rtdfunctions",,"102039675 11")</f>
        <v>20</v>
      </c>
      <c r="Z96" t="str">
        <f>nseltodate(RTD("greekserver.rtdfunctions",,"102039675 20"))</f>
        <v>10:47:31 AM</v>
      </c>
      <c r="AA96">
        <f>RTD("greekserver.rtdfunctions",,"102039675 18")/100</f>
        <v>0</v>
      </c>
      <c r="AB96">
        <f>RTD("greekserver.rtdfunctions",,"102039675 17")/100</f>
        <v>0</v>
      </c>
      <c r="AC96">
        <f>RTD("greekserver.rtdfunctions",,"102039675 40")/100</f>
        <v>15110.4</v>
      </c>
      <c r="AD96">
        <f>RTD("greekserver.rtdfunctions",,"102039675 34")/100</f>
        <v>0</v>
      </c>
    </row>
    <row r="97" spans="1:30" hidden="1" x14ac:dyDescent="0.2">
      <c r="A97">
        <v>102039678</v>
      </c>
      <c r="B97" t="s">
        <v>93</v>
      </c>
      <c r="C97" t="s">
        <v>345</v>
      </c>
      <c r="D97" t="s">
        <v>102</v>
      </c>
      <c r="E97" s="15">
        <v>43874</v>
      </c>
      <c r="F97">
        <v>31300</v>
      </c>
      <c r="G97" t="s">
        <v>346</v>
      </c>
      <c r="H97">
        <v>39678</v>
      </c>
      <c r="I97">
        <v>20</v>
      </c>
      <c r="J97">
        <f>RTD("greekserver.rtdfunctions",,"102039678 5")</f>
        <v>3540</v>
      </c>
      <c r="K97">
        <f>RTD("greekserver.rtdfunctions",,"102039678 4")/100</f>
        <v>74</v>
      </c>
      <c r="L97">
        <f>RTD("greekserver.rtdfunctions",,"102039678 7")</f>
        <v>340</v>
      </c>
      <c r="M97">
        <f>RTD("greekserver.rtdfunctions",,"102039678 6")/100</f>
        <v>74.400000000000006</v>
      </c>
      <c r="N97">
        <f>RTD("greekserver.rtdfunctions",,"102039678 8")/100</f>
        <v>95.07</v>
      </c>
      <c r="O97">
        <f>RTD("greekserver.rtdfunctions",,"102039678 12")</f>
        <v>5165400</v>
      </c>
      <c r="P97">
        <f>RTD("greekserver.rtdfunctions",,"102039678 24")/100</f>
        <v>74</v>
      </c>
      <c r="Q97">
        <f>RTD("greekserver.rtdfunctions",,"102039678 25")</f>
        <v>3540</v>
      </c>
      <c r="R97">
        <f>RTD("greekserver.rtdfunctions",,"102039678 26")/100</f>
        <v>74.400000000000006</v>
      </c>
      <c r="S97">
        <f>RTD("greekserver.rtdfunctions",,"102039678 27")</f>
        <v>340</v>
      </c>
      <c r="T97">
        <f>RTD("greekserver.rtdfunctions",,"102039678 13")/100</f>
        <v>253.9</v>
      </c>
      <c r="U97">
        <f>RTD("greekserver.rtdfunctions",,"102039678 14")/100</f>
        <v>265.55</v>
      </c>
      <c r="V97">
        <f>RTD("greekserver.rtdfunctions",,"102039678 15")/100</f>
        <v>269.5</v>
      </c>
      <c r="W97">
        <f>RTD("greekserver.rtdfunctions",,"102039678 16")/100</f>
        <v>63.25</v>
      </c>
      <c r="X97">
        <f>RTD("greekserver.rtdfunctions",,"102039678 10")/100</f>
        <v>74</v>
      </c>
      <c r="Y97">
        <f>RTD("greekserver.rtdfunctions",,"102039678 11")</f>
        <v>180</v>
      </c>
      <c r="Z97" t="str">
        <f>nseltodate(RTD("greekserver.rtdfunctions",,"102039678 20"))</f>
        <v>10:47:31 AM</v>
      </c>
      <c r="AA97">
        <f>RTD("greekserver.rtdfunctions",,"102039678 18")/100</f>
        <v>0</v>
      </c>
      <c r="AB97">
        <f>RTD("greekserver.rtdfunctions",,"102039678 17")/100</f>
        <v>0</v>
      </c>
      <c r="AC97">
        <f>RTD("greekserver.rtdfunctions",,"102039678 40")/100</f>
        <v>8397</v>
      </c>
      <c r="AD97">
        <f>RTD("greekserver.rtdfunctions",,"102039678 34")/100</f>
        <v>0</v>
      </c>
    </row>
    <row r="98" spans="1:30" x14ac:dyDescent="0.2">
      <c r="A98">
        <v>102039679</v>
      </c>
      <c r="B98" t="s">
        <v>93</v>
      </c>
      <c r="C98" t="s">
        <v>345</v>
      </c>
      <c r="D98" t="s">
        <v>102</v>
      </c>
      <c r="E98" s="15">
        <v>43874</v>
      </c>
      <c r="F98">
        <v>31300</v>
      </c>
      <c r="G98" t="s">
        <v>347</v>
      </c>
      <c r="H98">
        <v>39679</v>
      </c>
      <c r="I98">
        <v>20</v>
      </c>
      <c r="J98">
        <f>RTD("greekserver.rtdfunctions",,"102039679 5")</f>
        <v>40</v>
      </c>
      <c r="K98">
        <f>RTD("greekserver.rtdfunctions",,"102039679 4")/100</f>
        <v>64.650000000000006</v>
      </c>
      <c r="L98">
        <f>RTD("greekserver.rtdfunctions",,"102039679 7")</f>
        <v>80</v>
      </c>
      <c r="M98">
        <f>RTD("greekserver.rtdfunctions",,"102039679 6")/100</f>
        <v>64.95</v>
      </c>
      <c r="N98">
        <f>RTD("greekserver.rtdfunctions",,"102039679 8")/100</f>
        <v>52.13</v>
      </c>
      <c r="O98">
        <f>RTD("greekserver.rtdfunctions",,"102039679 12")</f>
        <v>13745240</v>
      </c>
      <c r="P98">
        <f>RTD("greekserver.rtdfunctions",,"102039679 24")/100</f>
        <v>64.650000000000006</v>
      </c>
      <c r="Q98">
        <f>RTD("greekserver.rtdfunctions",,"102039679 25")</f>
        <v>40</v>
      </c>
      <c r="R98">
        <f>RTD("greekserver.rtdfunctions",,"102039679 26")/100</f>
        <v>64.95</v>
      </c>
      <c r="S98">
        <f>RTD("greekserver.rtdfunctions",,"102039679 27")</f>
        <v>80</v>
      </c>
      <c r="T98">
        <f>RTD("greekserver.rtdfunctions",,"102039679 13")/100</f>
        <v>11.1</v>
      </c>
      <c r="U98">
        <f>RTD("greekserver.rtdfunctions",,"102039679 14")/100</f>
        <v>30.95</v>
      </c>
      <c r="V98">
        <f>RTD("greekserver.rtdfunctions",,"102039679 15")/100</f>
        <v>85</v>
      </c>
      <c r="W98">
        <f>RTD("greekserver.rtdfunctions",,"102039679 16")/100</f>
        <v>11.1</v>
      </c>
      <c r="X98">
        <f>RTD("greekserver.rtdfunctions",,"102039679 10")/100</f>
        <v>64.599999999999994</v>
      </c>
      <c r="Y98">
        <f>RTD("greekserver.rtdfunctions",,"102039679 11")</f>
        <v>20</v>
      </c>
      <c r="Z98" t="str">
        <f>nseltodate(RTD("greekserver.rtdfunctions",,"102039679 20"))</f>
        <v>10:47:31 AM</v>
      </c>
      <c r="AA98">
        <f>RTD("greekserver.rtdfunctions",,"102039679 18")/100</f>
        <v>0</v>
      </c>
      <c r="AB98">
        <f>RTD("greekserver.rtdfunctions",,"102039679 17")/100</f>
        <v>0</v>
      </c>
      <c r="AC98">
        <f>RTD("greekserver.rtdfunctions",,"102039679 40")/100</f>
        <v>11438</v>
      </c>
      <c r="AD98">
        <f>RTD("greekserver.rtdfunctions",,"102039679 34")/100</f>
        <v>0</v>
      </c>
    </row>
    <row r="99" spans="1:30" hidden="1" x14ac:dyDescent="0.2">
      <c r="A99">
        <v>102039684</v>
      </c>
      <c r="B99" t="s">
        <v>93</v>
      </c>
      <c r="C99" t="s">
        <v>345</v>
      </c>
      <c r="D99" t="s">
        <v>102</v>
      </c>
      <c r="E99" s="15">
        <v>43874</v>
      </c>
      <c r="F99">
        <v>31400</v>
      </c>
      <c r="G99" t="s">
        <v>346</v>
      </c>
      <c r="H99">
        <v>39684</v>
      </c>
      <c r="I99">
        <v>20</v>
      </c>
      <c r="J99">
        <f>RTD("greekserver.rtdfunctions",,"102039684 5")</f>
        <v>200</v>
      </c>
      <c r="K99">
        <f>RTD("greekserver.rtdfunctions",,"102039684 4")/100</f>
        <v>34.4</v>
      </c>
      <c r="L99">
        <f>RTD("greekserver.rtdfunctions",,"102039684 7")</f>
        <v>480</v>
      </c>
      <c r="M99">
        <f>RTD("greekserver.rtdfunctions",,"102039684 6")/100</f>
        <v>34.6</v>
      </c>
      <c r="N99">
        <f>RTD("greekserver.rtdfunctions",,"102039684 8")/100</f>
        <v>55.34</v>
      </c>
      <c r="O99">
        <f>RTD("greekserver.rtdfunctions",,"102039684 12")</f>
        <v>11568920</v>
      </c>
      <c r="P99">
        <f>RTD("greekserver.rtdfunctions",,"102039684 24")/100</f>
        <v>34.4</v>
      </c>
      <c r="Q99">
        <f>RTD("greekserver.rtdfunctions",,"102039684 25")</f>
        <v>200</v>
      </c>
      <c r="R99">
        <f>RTD("greekserver.rtdfunctions",,"102039684 26")/100</f>
        <v>34.6</v>
      </c>
      <c r="S99">
        <f>RTD("greekserver.rtdfunctions",,"102039684 27")</f>
        <v>480</v>
      </c>
      <c r="T99">
        <f>RTD("greekserver.rtdfunctions",,"102039684 13")/100</f>
        <v>264.89999999999998</v>
      </c>
      <c r="U99">
        <f>RTD("greekserver.rtdfunctions",,"102039684 14")/100</f>
        <v>189</v>
      </c>
      <c r="V99">
        <f>RTD("greekserver.rtdfunctions",,"102039684 15")/100</f>
        <v>264.89999999999998</v>
      </c>
      <c r="W99">
        <f>RTD("greekserver.rtdfunctions",,"102039684 16")/100</f>
        <v>29</v>
      </c>
      <c r="X99">
        <f>RTD("greekserver.rtdfunctions",,"102039684 10")/100</f>
        <v>34.4</v>
      </c>
      <c r="Y99">
        <f>RTD("greekserver.rtdfunctions",,"102039684 11")</f>
        <v>600</v>
      </c>
      <c r="Z99" t="str">
        <f>nseltodate(RTD("greekserver.rtdfunctions",,"102039684 20"))</f>
        <v>10:47:31 AM</v>
      </c>
      <c r="AA99">
        <f>RTD("greekserver.rtdfunctions",,"102039684 18")/100</f>
        <v>0</v>
      </c>
      <c r="AB99">
        <f>RTD("greekserver.rtdfunctions",,"102039684 17")/100</f>
        <v>0</v>
      </c>
      <c r="AC99">
        <f>RTD("greekserver.rtdfunctions",,"102039684 40")/100</f>
        <v>15978.2</v>
      </c>
      <c r="AD99">
        <f>RTD("greekserver.rtdfunctions",,"102039684 34")/100</f>
        <v>0</v>
      </c>
    </row>
    <row r="100" spans="1:30" x14ac:dyDescent="0.2">
      <c r="A100">
        <v>102039685</v>
      </c>
      <c r="B100" t="s">
        <v>93</v>
      </c>
      <c r="C100" t="s">
        <v>345</v>
      </c>
      <c r="D100" t="s">
        <v>102</v>
      </c>
      <c r="E100" s="15">
        <v>43874</v>
      </c>
      <c r="F100">
        <v>31400</v>
      </c>
      <c r="G100" t="s">
        <v>347</v>
      </c>
      <c r="H100">
        <v>39685</v>
      </c>
      <c r="I100">
        <v>20</v>
      </c>
      <c r="J100">
        <f>RTD("greekserver.rtdfunctions",,"102039685 5")</f>
        <v>20</v>
      </c>
      <c r="K100">
        <f>RTD("greekserver.rtdfunctions",,"102039685 4")/100</f>
        <v>125.25</v>
      </c>
      <c r="L100">
        <f>RTD("greekserver.rtdfunctions",,"102039685 7")</f>
        <v>40</v>
      </c>
      <c r="M100">
        <f>RTD("greekserver.rtdfunctions",,"102039685 6")/100</f>
        <v>125.9</v>
      </c>
      <c r="N100">
        <f>RTD("greekserver.rtdfunctions",,"102039685 8")/100</f>
        <v>95.59</v>
      </c>
      <c r="O100">
        <f>RTD("greekserver.rtdfunctions",,"102039685 12")</f>
        <v>9810960</v>
      </c>
      <c r="P100">
        <f>RTD("greekserver.rtdfunctions",,"102039685 24")/100</f>
        <v>125.25</v>
      </c>
      <c r="Q100">
        <f>RTD("greekserver.rtdfunctions",,"102039685 25")</f>
        <v>20</v>
      </c>
      <c r="R100">
        <f>RTD("greekserver.rtdfunctions",,"102039685 26")/100</f>
        <v>125.9</v>
      </c>
      <c r="S100">
        <f>RTD("greekserver.rtdfunctions",,"102039685 27")</f>
        <v>40</v>
      </c>
      <c r="T100">
        <f>RTD("greekserver.rtdfunctions",,"102039685 13")/100</f>
        <v>45.75</v>
      </c>
      <c r="U100">
        <f>RTD("greekserver.rtdfunctions",,"102039685 14")/100</f>
        <v>53.95</v>
      </c>
      <c r="V100">
        <f>RTD("greekserver.rtdfunctions",,"102039685 15")/100</f>
        <v>150.44999999999999</v>
      </c>
      <c r="W100">
        <f>RTD("greekserver.rtdfunctions",,"102039685 16")/100</f>
        <v>29</v>
      </c>
      <c r="X100">
        <f>RTD("greekserver.rtdfunctions",,"102039685 10")/100</f>
        <v>125.1</v>
      </c>
      <c r="Y100">
        <f>RTD("greekserver.rtdfunctions",,"102039685 11")</f>
        <v>40</v>
      </c>
      <c r="Z100" t="str">
        <f>nseltodate(RTD("greekserver.rtdfunctions",,"102039685 20"))</f>
        <v>10:47:30 AM</v>
      </c>
      <c r="AA100">
        <f>RTD("greekserver.rtdfunctions",,"102039685 18")/100</f>
        <v>0</v>
      </c>
      <c r="AB100">
        <f>RTD("greekserver.rtdfunctions",,"102039685 17")/100</f>
        <v>0</v>
      </c>
      <c r="AC100">
        <f>RTD("greekserver.rtdfunctions",,"102039685 40")/100</f>
        <v>6357.2</v>
      </c>
      <c r="AD100">
        <f>RTD("greekserver.rtdfunctions",,"102039685 34")/100</f>
        <v>0</v>
      </c>
    </row>
    <row r="101" spans="1:30" hidden="1" x14ac:dyDescent="0.2">
      <c r="A101">
        <v>102039696</v>
      </c>
      <c r="B101" t="s">
        <v>93</v>
      </c>
      <c r="C101" t="s">
        <v>345</v>
      </c>
      <c r="D101" t="s">
        <v>102</v>
      </c>
      <c r="E101" s="15">
        <v>43874</v>
      </c>
      <c r="F101">
        <v>31500</v>
      </c>
      <c r="G101" t="s">
        <v>346</v>
      </c>
      <c r="H101">
        <v>39696</v>
      </c>
      <c r="I101">
        <v>20</v>
      </c>
      <c r="J101">
        <f>RTD("greekserver.rtdfunctions",,"102039696 5")</f>
        <v>240</v>
      </c>
      <c r="K101">
        <f>RTD("greekserver.rtdfunctions",,"102039696 4")/100</f>
        <v>14.75</v>
      </c>
      <c r="L101">
        <f>RTD("greekserver.rtdfunctions",,"102039696 7")</f>
        <v>620</v>
      </c>
      <c r="M101">
        <f>RTD("greekserver.rtdfunctions",,"102039696 6")/100</f>
        <v>14.85</v>
      </c>
      <c r="N101">
        <f>RTD("greekserver.rtdfunctions",,"102039696 8")/100</f>
        <v>31.59</v>
      </c>
      <c r="O101">
        <f>RTD("greekserver.rtdfunctions",,"102039696 12")</f>
        <v>16311560</v>
      </c>
      <c r="P101">
        <f>RTD("greekserver.rtdfunctions",,"102039696 24")/100</f>
        <v>14.75</v>
      </c>
      <c r="Q101">
        <f>RTD("greekserver.rtdfunctions",,"102039696 25")</f>
        <v>240</v>
      </c>
      <c r="R101">
        <f>RTD("greekserver.rtdfunctions",,"102039696 26")/100</f>
        <v>14.85</v>
      </c>
      <c r="S101">
        <f>RTD("greekserver.rtdfunctions",,"102039696 27")</f>
        <v>620</v>
      </c>
      <c r="T101">
        <f>RTD("greekserver.rtdfunctions",,"102039696 13")/100</f>
        <v>119.65</v>
      </c>
      <c r="U101">
        <f>RTD("greekserver.rtdfunctions",,"102039696 14")/100</f>
        <v>126.45</v>
      </c>
      <c r="V101">
        <f>RTD("greekserver.rtdfunctions",,"102039696 15")/100</f>
        <v>155.80000000000001</v>
      </c>
      <c r="W101">
        <f>RTD("greekserver.rtdfunctions",,"102039696 16")/100</f>
        <v>12.55</v>
      </c>
      <c r="X101">
        <f>RTD("greekserver.rtdfunctions",,"102039696 10")/100</f>
        <v>14.85</v>
      </c>
      <c r="Y101">
        <f>RTD("greekserver.rtdfunctions",,"102039696 11")</f>
        <v>20</v>
      </c>
      <c r="Z101" t="str">
        <f>nseltodate(RTD("greekserver.rtdfunctions",,"102039696 20"))</f>
        <v>10:47:30 AM</v>
      </c>
      <c r="AA101">
        <f>RTD("greekserver.rtdfunctions",,"102039696 18")/100</f>
        <v>0</v>
      </c>
      <c r="AB101">
        <f>RTD("greekserver.rtdfunctions",,"102039696 17")/100</f>
        <v>0</v>
      </c>
      <c r="AC101">
        <f>RTD("greekserver.rtdfunctions",,"102039696 40")/100</f>
        <v>29348</v>
      </c>
      <c r="AD101">
        <f>RTD("greekserver.rtdfunctions",,"102039696 34")/100</f>
        <v>0</v>
      </c>
    </row>
    <row r="102" spans="1:30" x14ac:dyDescent="0.2">
      <c r="A102">
        <v>102039697</v>
      </c>
      <c r="B102" t="s">
        <v>93</v>
      </c>
      <c r="C102" t="s">
        <v>345</v>
      </c>
      <c r="D102" t="s">
        <v>102</v>
      </c>
      <c r="E102" s="15">
        <v>43874</v>
      </c>
      <c r="F102">
        <v>31500</v>
      </c>
      <c r="G102" t="s">
        <v>347</v>
      </c>
      <c r="H102">
        <v>39697</v>
      </c>
      <c r="I102">
        <v>20</v>
      </c>
      <c r="J102">
        <f>RTD("greekserver.rtdfunctions",,"102039697 5")</f>
        <v>40</v>
      </c>
      <c r="K102">
        <f>RTD("greekserver.rtdfunctions",,"102039697 4")/100</f>
        <v>205.2</v>
      </c>
      <c r="L102">
        <f>RTD("greekserver.rtdfunctions",,"102039697 7")</f>
        <v>540</v>
      </c>
      <c r="M102">
        <f>RTD("greekserver.rtdfunctions",,"102039697 6")/100</f>
        <v>206</v>
      </c>
      <c r="N102">
        <f>RTD("greekserver.rtdfunctions",,"102039697 8")/100</f>
        <v>156.29</v>
      </c>
      <c r="O102">
        <f>RTD("greekserver.rtdfunctions",,"102039697 12")</f>
        <v>5449280</v>
      </c>
      <c r="P102">
        <f>RTD("greekserver.rtdfunctions",,"102039697 24")/100</f>
        <v>205.2</v>
      </c>
      <c r="Q102">
        <f>RTD("greekserver.rtdfunctions",,"102039697 25")</f>
        <v>40</v>
      </c>
      <c r="R102">
        <f>RTD("greekserver.rtdfunctions",,"102039697 26")/100</f>
        <v>206</v>
      </c>
      <c r="S102">
        <f>RTD("greekserver.rtdfunctions",,"102039697 27")</f>
        <v>540</v>
      </c>
      <c r="T102">
        <f>RTD("greekserver.rtdfunctions",,"102039697 13")/100</f>
        <v>65</v>
      </c>
      <c r="U102">
        <f>RTD("greekserver.rtdfunctions",,"102039697 14")/100</f>
        <v>90.15</v>
      </c>
      <c r="V102">
        <f>RTD("greekserver.rtdfunctions",,"102039697 15")/100</f>
        <v>232.5</v>
      </c>
      <c r="W102">
        <f>RTD("greekserver.rtdfunctions",,"102039697 16")/100</f>
        <v>34.1</v>
      </c>
      <c r="X102">
        <f>RTD("greekserver.rtdfunctions",,"102039697 10")/100</f>
        <v>206</v>
      </c>
      <c r="Y102">
        <f>RTD("greekserver.rtdfunctions",,"102039697 11")</f>
        <v>20</v>
      </c>
      <c r="Z102" t="str">
        <f>nseltodate(RTD("greekserver.rtdfunctions",,"102039697 20"))</f>
        <v>10:47:30 AM</v>
      </c>
      <c r="AA102">
        <f>RTD("greekserver.rtdfunctions",,"102039697 18")/100</f>
        <v>0</v>
      </c>
      <c r="AB102">
        <f>RTD("greekserver.rtdfunctions",,"102039697 17")/100</f>
        <v>0</v>
      </c>
      <c r="AC102">
        <f>RTD("greekserver.rtdfunctions",,"102039697 40")/100</f>
        <v>4330.2</v>
      </c>
      <c r="AD102">
        <f>RTD("greekserver.rtdfunctions",,"102039697 34")/100</f>
        <v>0</v>
      </c>
    </row>
    <row r="103" spans="1:30" hidden="1" x14ac:dyDescent="0.2">
      <c r="A103">
        <v>102039704</v>
      </c>
      <c r="B103" t="s">
        <v>93</v>
      </c>
      <c r="C103" t="s">
        <v>345</v>
      </c>
      <c r="D103" t="s">
        <v>102</v>
      </c>
      <c r="E103" s="15">
        <v>43874</v>
      </c>
      <c r="F103">
        <v>31600</v>
      </c>
      <c r="G103" t="s">
        <v>346</v>
      </c>
      <c r="H103">
        <v>39704</v>
      </c>
      <c r="I103">
        <v>20</v>
      </c>
      <c r="J103">
        <f>RTD("greekserver.rtdfunctions",,"102039704 5")</f>
        <v>2680</v>
      </c>
      <c r="K103">
        <f>RTD("greekserver.rtdfunctions",,"102039704 4")/100</f>
        <v>5.8</v>
      </c>
      <c r="L103">
        <f>RTD("greekserver.rtdfunctions",,"102039704 7")</f>
        <v>520</v>
      </c>
      <c r="M103">
        <f>RTD("greekserver.rtdfunctions",,"102039704 6")/100</f>
        <v>5.85</v>
      </c>
      <c r="N103">
        <f>RTD("greekserver.rtdfunctions",,"102039704 8")/100</f>
        <v>14.39</v>
      </c>
      <c r="O103">
        <f>RTD("greekserver.rtdfunctions",,"102039704 12")</f>
        <v>12107580</v>
      </c>
      <c r="P103">
        <f>RTD("greekserver.rtdfunctions",,"102039704 24")/100</f>
        <v>5.8</v>
      </c>
      <c r="Q103">
        <f>RTD("greekserver.rtdfunctions",,"102039704 25")</f>
        <v>2680</v>
      </c>
      <c r="R103">
        <f>RTD("greekserver.rtdfunctions",,"102039704 26")/100</f>
        <v>5.85</v>
      </c>
      <c r="S103">
        <f>RTD("greekserver.rtdfunctions",,"102039704 27")</f>
        <v>520</v>
      </c>
      <c r="T103">
        <f>RTD("greekserver.rtdfunctions",,"102039704 13")/100</f>
        <v>88.9</v>
      </c>
      <c r="U103">
        <f>RTD("greekserver.rtdfunctions",,"102039704 14")/100</f>
        <v>78.45</v>
      </c>
      <c r="V103">
        <f>RTD("greekserver.rtdfunctions",,"102039704 15")/100</f>
        <v>88.9</v>
      </c>
      <c r="W103">
        <f>RTD("greekserver.rtdfunctions",,"102039704 16")/100</f>
        <v>5.05</v>
      </c>
      <c r="X103">
        <f>RTD("greekserver.rtdfunctions",,"102039704 10")/100</f>
        <v>5.8</v>
      </c>
      <c r="Y103">
        <f>RTD("greekserver.rtdfunctions",,"102039704 11")</f>
        <v>20</v>
      </c>
      <c r="Z103" t="str">
        <f>nseltodate(RTD("greekserver.rtdfunctions",,"102039704 20"))</f>
        <v>10:47:31 AM</v>
      </c>
      <c r="AA103">
        <f>RTD("greekserver.rtdfunctions",,"102039704 18")/100</f>
        <v>0</v>
      </c>
      <c r="AB103">
        <f>RTD("greekserver.rtdfunctions",,"102039704 17")/100</f>
        <v>0</v>
      </c>
      <c r="AC103">
        <f>RTD("greekserver.rtdfunctions",,"102039704 40")/100</f>
        <v>18868.400000000001</v>
      </c>
      <c r="AD103">
        <f>RTD("greekserver.rtdfunctions",,"102039704 34")/100</f>
        <v>0</v>
      </c>
    </row>
    <row r="104" spans="1:30" x14ac:dyDescent="0.2">
      <c r="A104">
        <v>102039705</v>
      </c>
      <c r="B104" t="s">
        <v>93</v>
      </c>
      <c r="C104" t="s">
        <v>345</v>
      </c>
      <c r="D104" t="s">
        <v>102</v>
      </c>
      <c r="E104" s="15">
        <v>43874</v>
      </c>
      <c r="F104">
        <v>31600</v>
      </c>
      <c r="G104" t="s">
        <v>347</v>
      </c>
      <c r="H104">
        <v>39705</v>
      </c>
      <c r="I104">
        <v>20</v>
      </c>
      <c r="J104">
        <f>RTD("greekserver.rtdfunctions",,"102039705 5")</f>
        <v>20</v>
      </c>
      <c r="K104">
        <f>RTD("greekserver.rtdfunctions",,"102039705 4")/100</f>
        <v>296.25</v>
      </c>
      <c r="L104">
        <f>RTD("greekserver.rtdfunctions",,"102039705 7")</f>
        <v>20</v>
      </c>
      <c r="M104">
        <f>RTD("greekserver.rtdfunctions",,"102039705 6")/100</f>
        <v>297.35000000000002</v>
      </c>
      <c r="N104">
        <f>RTD("greekserver.rtdfunctions",,"102039705 8")/100</f>
        <v>233.07</v>
      </c>
      <c r="O104">
        <f>RTD("greekserver.rtdfunctions",,"102039705 12")</f>
        <v>1547640</v>
      </c>
      <c r="P104">
        <f>RTD("greekserver.rtdfunctions",,"102039705 24")/100</f>
        <v>296.25</v>
      </c>
      <c r="Q104">
        <f>RTD("greekserver.rtdfunctions",,"102039705 25")</f>
        <v>20</v>
      </c>
      <c r="R104">
        <f>RTD("greekserver.rtdfunctions",,"102039705 26")/100</f>
        <v>297.35000000000002</v>
      </c>
      <c r="S104">
        <f>RTD("greekserver.rtdfunctions",,"102039705 27")</f>
        <v>20</v>
      </c>
      <c r="T104">
        <f>RTD("greekserver.rtdfunctions",,"102039705 13")/100</f>
        <v>104</v>
      </c>
      <c r="U104">
        <f>RTD("greekserver.rtdfunctions",,"102039705 14")/100</f>
        <v>142.1</v>
      </c>
      <c r="V104">
        <f>RTD("greekserver.rtdfunctions",,"102039705 15")/100</f>
        <v>324</v>
      </c>
      <c r="W104">
        <f>RTD("greekserver.rtdfunctions",,"102039705 16")/100</f>
        <v>104</v>
      </c>
      <c r="X104">
        <f>RTD("greekserver.rtdfunctions",,"102039705 10")/100</f>
        <v>296</v>
      </c>
      <c r="Y104">
        <f>RTD("greekserver.rtdfunctions",,"102039705 11")</f>
        <v>20</v>
      </c>
      <c r="Z104" t="str">
        <f>nseltodate(RTD("greekserver.rtdfunctions",,"102039705 20"))</f>
        <v>10:47:26 AM</v>
      </c>
      <c r="AA104">
        <f>RTD("greekserver.rtdfunctions",,"102039705 18")/100</f>
        <v>0</v>
      </c>
      <c r="AB104">
        <f>RTD("greekserver.rtdfunctions",,"102039705 17")/100</f>
        <v>0</v>
      </c>
      <c r="AC104">
        <f>RTD("greekserver.rtdfunctions",,"102039705 40")/100</f>
        <v>1042.8</v>
      </c>
      <c r="AD104">
        <f>RTD("greekserver.rtdfunctions",,"102039705 34")/100</f>
        <v>0</v>
      </c>
    </row>
    <row r="105" spans="1:30" hidden="1" x14ac:dyDescent="0.2">
      <c r="A105">
        <v>102039716</v>
      </c>
      <c r="B105" t="s">
        <v>93</v>
      </c>
      <c r="C105" t="s">
        <v>345</v>
      </c>
      <c r="D105" t="s">
        <v>102</v>
      </c>
      <c r="E105" s="15">
        <v>43874</v>
      </c>
      <c r="F105">
        <v>31700</v>
      </c>
      <c r="G105" t="s">
        <v>346</v>
      </c>
      <c r="H105">
        <v>39716</v>
      </c>
      <c r="I105">
        <v>20</v>
      </c>
      <c r="J105">
        <f>RTD("greekserver.rtdfunctions",,"102039716 5")</f>
        <v>7460</v>
      </c>
      <c r="K105">
        <f>RTD("greekserver.rtdfunctions",,"102039716 4")/100</f>
        <v>2.7</v>
      </c>
      <c r="L105">
        <f>RTD("greekserver.rtdfunctions",,"102039716 7")</f>
        <v>4580</v>
      </c>
      <c r="M105">
        <f>RTD("greekserver.rtdfunctions",,"102039716 6")/100</f>
        <v>2.75</v>
      </c>
      <c r="N105">
        <f>RTD("greekserver.rtdfunctions",,"102039716 8")/100</f>
        <v>7.01</v>
      </c>
      <c r="O105">
        <f>RTD("greekserver.rtdfunctions",,"102039716 12")</f>
        <v>9640640</v>
      </c>
      <c r="P105">
        <f>RTD("greekserver.rtdfunctions",,"102039716 24")/100</f>
        <v>2.7</v>
      </c>
      <c r="Q105">
        <f>RTD("greekserver.rtdfunctions",,"102039716 25")</f>
        <v>7460</v>
      </c>
      <c r="R105">
        <f>RTD("greekserver.rtdfunctions",,"102039716 26")/100</f>
        <v>2.75</v>
      </c>
      <c r="S105">
        <f>RTD("greekserver.rtdfunctions",,"102039716 27")</f>
        <v>4580</v>
      </c>
      <c r="T105">
        <f>RTD("greekserver.rtdfunctions",,"102039716 13")/100</f>
        <v>53.55</v>
      </c>
      <c r="U105">
        <f>RTD("greekserver.rtdfunctions",,"102039716 14")/100</f>
        <v>44.45</v>
      </c>
      <c r="V105">
        <f>RTD("greekserver.rtdfunctions",,"102039716 15")/100</f>
        <v>53.6</v>
      </c>
      <c r="W105">
        <f>RTD("greekserver.rtdfunctions",,"102039716 16")/100</f>
        <v>2.35</v>
      </c>
      <c r="X105">
        <f>RTD("greekserver.rtdfunctions",,"102039716 10")/100</f>
        <v>2.7</v>
      </c>
      <c r="Y105">
        <f>RTD("greekserver.rtdfunctions",,"102039716 11")</f>
        <v>40</v>
      </c>
      <c r="Z105" t="str">
        <f>nseltodate(RTD("greekserver.rtdfunctions",,"102039716 20"))</f>
        <v>10:47:32 AM</v>
      </c>
      <c r="AA105">
        <f>RTD("greekserver.rtdfunctions",,"102039716 18")/100</f>
        <v>0</v>
      </c>
      <c r="AB105">
        <f>RTD("greekserver.rtdfunctions",,"102039716 17")/100</f>
        <v>0</v>
      </c>
      <c r="AC105">
        <f>RTD("greekserver.rtdfunctions",,"102039716 40")/100</f>
        <v>13777</v>
      </c>
      <c r="AD105">
        <f>RTD("greekserver.rtdfunctions",,"102039716 34")/100</f>
        <v>0</v>
      </c>
    </row>
    <row r="106" spans="1:30" x14ac:dyDescent="0.2">
      <c r="A106">
        <v>102039717</v>
      </c>
      <c r="B106" t="s">
        <v>93</v>
      </c>
      <c r="C106" t="s">
        <v>345</v>
      </c>
      <c r="D106" t="s">
        <v>102</v>
      </c>
      <c r="E106" s="15">
        <v>43874</v>
      </c>
      <c r="F106">
        <v>31700</v>
      </c>
      <c r="G106" t="s">
        <v>347</v>
      </c>
      <c r="H106">
        <v>39717</v>
      </c>
      <c r="I106">
        <v>20</v>
      </c>
      <c r="J106">
        <f>RTD("greekserver.rtdfunctions",,"102039717 5")</f>
        <v>60</v>
      </c>
      <c r="K106">
        <f>RTD("greekserver.rtdfunctions",,"102039717 4")/100</f>
        <v>392.4</v>
      </c>
      <c r="L106">
        <f>RTD("greekserver.rtdfunctions",,"102039717 7")</f>
        <v>80</v>
      </c>
      <c r="M106">
        <f>RTD("greekserver.rtdfunctions",,"102039717 6")/100</f>
        <v>394.05</v>
      </c>
      <c r="N106">
        <f>RTD("greekserver.rtdfunctions",,"102039717 8")/100</f>
        <v>314.39999999999998</v>
      </c>
      <c r="O106">
        <f>RTD("greekserver.rtdfunctions",,"102039717 12")</f>
        <v>630820</v>
      </c>
      <c r="P106">
        <f>RTD("greekserver.rtdfunctions",,"102039717 24")/100</f>
        <v>392.4</v>
      </c>
      <c r="Q106">
        <f>RTD("greekserver.rtdfunctions",,"102039717 25")</f>
        <v>60</v>
      </c>
      <c r="R106">
        <f>RTD("greekserver.rtdfunctions",,"102039717 26")/100</f>
        <v>394.05</v>
      </c>
      <c r="S106">
        <f>RTD("greekserver.rtdfunctions",,"102039717 27")</f>
        <v>80</v>
      </c>
      <c r="T106">
        <f>RTD("greekserver.rtdfunctions",,"102039717 13")/100</f>
        <v>182.55</v>
      </c>
      <c r="U106">
        <f>RTD("greekserver.rtdfunctions",,"102039717 14")/100</f>
        <v>209.4</v>
      </c>
      <c r="V106">
        <f>RTD("greekserver.rtdfunctions",,"102039717 15")/100</f>
        <v>419.35</v>
      </c>
      <c r="W106">
        <f>RTD("greekserver.rtdfunctions",,"102039717 16")/100</f>
        <v>182.1</v>
      </c>
      <c r="X106">
        <f>RTD("greekserver.rtdfunctions",,"102039717 10")/100</f>
        <v>392</v>
      </c>
      <c r="Y106">
        <f>RTD("greekserver.rtdfunctions",,"102039717 11")</f>
        <v>80</v>
      </c>
      <c r="Z106" t="str">
        <f>nseltodate(RTD("greekserver.rtdfunctions",,"102039717 20"))</f>
        <v>10:47:24 AM</v>
      </c>
      <c r="AA106">
        <f>RTD("greekserver.rtdfunctions",,"102039717 18")/100</f>
        <v>0</v>
      </c>
      <c r="AB106">
        <f>RTD("greekserver.rtdfunctions",,"102039717 17")/100</f>
        <v>0</v>
      </c>
      <c r="AC106">
        <f>RTD("greekserver.rtdfunctions",,"102039717 40")/100</f>
        <v>429.2</v>
      </c>
      <c r="AD106">
        <f>RTD("greekserver.rtdfunctions",,"102039717 34")/100</f>
        <v>0</v>
      </c>
    </row>
    <row r="107" spans="1:30" hidden="1" x14ac:dyDescent="0.2">
      <c r="A107">
        <v>102039718</v>
      </c>
      <c r="B107" t="s">
        <v>93</v>
      </c>
      <c r="C107" t="s">
        <v>345</v>
      </c>
      <c r="D107" t="s">
        <v>102</v>
      </c>
      <c r="E107" s="15">
        <v>43874</v>
      </c>
      <c r="F107">
        <v>31800</v>
      </c>
      <c r="G107" t="s">
        <v>346</v>
      </c>
      <c r="H107">
        <v>39718</v>
      </c>
      <c r="I107">
        <v>20</v>
      </c>
      <c r="J107">
        <f>RTD("greekserver.rtdfunctions",,"102039718 5")</f>
        <v>18060</v>
      </c>
      <c r="K107">
        <f>RTD("greekserver.rtdfunctions",,"102039718 4")/100</f>
        <v>1.35</v>
      </c>
      <c r="L107">
        <f>RTD("greekserver.rtdfunctions",,"102039718 7")</f>
        <v>21520</v>
      </c>
      <c r="M107">
        <f>RTD("greekserver.rtdfunctions",,"102039718 6")/100</f>
        <v>1.4</v>
      </c>
      <c r="N107">
        <f>RTD("greekserver.rtdfunctions",,"102039718 8")/100</f>
        <v>2.94</v>
      </c>
      <c r="O107">
        <f>RTD("greekserver.rtdfunctions",,"102039718 12")</f>
        <v>7089360</v>
      </c>
      <c r="P107">
        <f>RTD("greekserver.rtdfunctions",,"102039718 24")/100</f>
        <v>1.35</v>
      </c>
      <c r="Q107">
        <f>RTD("greekserver.rtdfunctions",,"102039718 25")</f>
        <v>18060</v>
      </c>
      <c r="R107">
        <f>RTD("greekserver.rtdfunctions",,"102039718 26")/100</f>
        <v>1.4</v>
      </c>
      <c r="S107">
        <f>RTD("greekserver.rtdfunctions",,"102039718 27")</f>
        <v>21520</v>
      </c>
      <c r="T107">
        <f>RTD("greekserver.rtdfunctions",,"102039718 13")/100</f>
        <v>22.35</v>
      </c>
      <c r="U107">
        <f>RTD("greekserver.rtdfunctions",,"102039718 14")/100</f>
        <v>23.5</v>
      </c>
      <c r="V107">
        <f>RTD("greekserver.rtdfunctions",,"102039718 15")/100</f>
        <v>22.35</v>
      </c>
      <c r="W107">
        <f>RTD("greekserver.rtdfunctions",,"102039718 16")/100</f>
        <v>1.2</v>
      </c>
      <c r="X107">
        <f>RTD("greekserver.rtdfunctions",,"102039718 10")/100</f>
        <v>1.35</v>
      </c>
      <c r="Y107">
        <f>RTD("greekserver.rtdfunctions",,"102039718 11")</f>
        <v>1200</v>
      </c>
      <c r="Z107" t="str">
        <f>nseltodate(RTD("greekserver.rtdfunctions",,"102039718 20"))</f>
        <v>10:47:31 AM</v>
      </c>
      <c r="AA107">
        <f>RTD("greekserver.rtdfunctions",,"102039718 18")/100</f>
        <v>0</v>
      </c>
      <c r="AB107">
        <f>RTD("greekserver.rtdfunctions",,"102039718 17")/100</f>
        <v>0</v>
      </c>
      <c r="AC107">
        <f>RTD("greekserver.rtdfunctions",,"102039718 40")/100</f>
        <v>10387.200000000001</v>
      </c>
      <c r="AD107">
        <f>RTD("greekserver.rtdfunctions",,"102039718 34")/100</f>
        <v>0</v>
      </c>
    </row>
    <row r="108" spans="1:30" x14ac:dyDescent="0.2">
      <c r="A108">
        <v>102039719</v>
      </c>
      <c r="B108" t="s">
        <v>93</v>
      </c>
      <c r="C108" t="s">
        <v>345</v>
      </c>
      <c r="D108" t="s">
        <v>102</v>
      </c>
      <c r="E108" s="15">
        <v>43874</v>
      </c>
      <c r="F108">
        <v>31800</v>
      </c>
      <c r="G108" t="s">
        <v>347</v>
      </c>
      <c r="H108">
        <v>39719</v>
      </c>
      <c r="I108">
        <v>20</v>
      </c>
      <c r="J108">
        <f>RTD("greekserver.rtdfunctions",,"102039719 5")</f>
        <v>40</v>
      </c>
      <c r="K108">
        <f>RTD("greekserver.rtdfunctions",,"102039719 4")/100</f>
        <v>489.95</v>
      </c>
      <c r="L108">
        <f>RTD("greekserver.rtdfunctions",,"102039719 7")</f>
        <v>40</v>
      </c>
      <c r="M108">
        <f>RTD("greekserver.rtdfunctions",,"102039719 6")/100</f>
        <v>492</v>
      </c>
      <c r="N108">
        <f>RTD("greekserver.rtdfunctions",,"102039719 8")/100</f>
        <v>406.47</v>
      </c>
      <c r="O108">
        <f>RTD("greekserver.rtdfunctions",,"102039719 12")</f>
        <v>234980</v>
      </c>
      <c r="P108">
        <f>RTD("greekserver.rtdfunctions",,"102039719 24")/100</f>
        <v>489.95</v>
      </c>
      <c r="Q108">
        <f>RTD("greekserver.rtdfunctions",,"102039719 25")</f>
        <v>40</v>
      </c>
      <c r="R108">
        <f>RTD("greekserver.rtdfunctions",,"102039719 26")/100</f>
        <v>492</v>
      </c>
      <c r="S108">
        <f>RTD("greekserver.rtdfunctions",,"102039719 27")</f>
        <v>40</v>
      </c>
      <c r="T108">
        <f>RTD("greekserver.rtdfunctions",,"102039719 13")/100</f>
        <v>314.05</v>
      </c>
      <c r="U108">
        <f>RTD("greekserver.rtdfunctions",,"102039719 14")/100</f>
        <v>285.35000000000002</v>
      </c>
      <c r="V108">
        <f>RTD("greekserver.rtdfunctions",,"102039719 15")/100</f>
        <v>519.20000000000005</v>
      </c>
      <c r="W108">
        <f>RTD("greekserver.rtdfunctions",,"102039719 16")/100</f>
        <v>278</v>
      </c>
      <c r="X108">
        <f>RTD("greekserver.rtdfunctions",,"102039719 10")/100</f>
        <v>491.85</v>
      </c>
      <c r="Y108">
        <f>RTD("greekserver.rtdfunctions",,"102039719 11")</f>
        <v>20</v>
      </c>
      <c r="Z108" t="str">
        <f>nseltodate(RTD("greekserver.rtdfunctions",,"102039719 20"))</f>
        <v>10:47:24 AM</v>
      </c>
      <c r="AA108">
        <f>RTD("greekserver.rtdfunctions",,"102039719 18")/100</f>
        <v>0</v>
      </c>
      <c r="AB108">
        <f>RTD("greekserver.rtdfunctions",,"102039719 17")/100</f>
        <v>0</v>
      </c>
      <c r="AC108">
        <f>RTD("greekserver.rtdfunctions",,"102039719 40")/100</f>
        <v>167.6</v>
      </c>
      <c r="AD108">
        <f>RTD("greekserver.rtdfunctions",,"102039719 34")/100</f>
        <v>0</v>
      </c>
    </row>
    <row r="109" spans="1:30" hidden="1" x14ac:dyDescent="0.2">
      <c r="A109">
        <v>102039720</v>
      </c>
      <c r="B109" t="s">
        <v>93</v>
      </c>
      <c r="C109" t="s">
        <v>345</v>
      </c>
      <c r="D109" t="s">
        <v>102</v>
      </c>
      <c r="E109" s="15">
        <v>43874</v>
      </c>
      <c r="F109">
        <v>31900</v>
      </c>
      <c r="G109" t="s">
        <v>346</v>
      </c>
      <c r="H109">
        <v>39720</v>
      </c>
      <c r="I109">
        <v>20</v>
      </c>
      <c r="J109">
        <f>RTD("greekserver.rtdfunctions",,"102039720 5")</f>
        <v>398940</v>
      </c>
      <c r="K109">
        <f>RTD("greekserver.rtdfunctions",,"102039720 4")/100</f>
        <v>0.9</v>
      </c>
      <c r="L109">
        <f>RTD("greekserver.rtdfunctions",,"102039720 7")</f>
        <v>21080</v>
      </c>
      <c r="M109">
        <f>RTD("greekserver.rtdfunctions",,"102039720 6")/100</f>
        <v>0.95</v>
      </c>
      <c r="N109">
        <f>RTD("greekserver.rtdfunctions",,"102039720 8")/100</f>
        <v>1.04</v>
      </c>
      <c r="O109">
        <f>RTD("greekserver.rtdfunctions",,"102039720 12")</f>
        <v>23491680</v>
      </c>
      <c r="P109">
        <f>RTD("greekserver.rtdfunctions",,"102039720 24")/100</f>
        <v>0.9</v>
      </c>
      <c r="Q109">
        <f>RTD("greekserver.rtdfunctions",,"102039720 25")</f>
        <v>398940</v>
      </c>
      <c r="R109">
        <f>RTD("greekserver.rtdfunctions",,"102039720 26")/100</f>
        <v>0.95</v>
      </c>
      <c r="S109">
        <f>RTD("greekserver.rtdfunctions",,"102039720 27")</f>
        <v>21080</v>
      </c>
      <c r="T109">
        <f>RTD("greekserver.rtdfunctions",,"102039720 13")/100</f>
        <v>8.5500000000000007</v>
      </c>
      <c r="U109">
        <f>RTD("greekserver.rtdfunctions",,"102039720 14")/100</f>
        <v>11.1</v>
      </c>
      <c r="V109">
        <f>RTD("greekserver.rtdfunctions",,"102039720 15")/100</f>
        <v>8.6999999999999993</v>
      </c>
      <c r="W109">
        <f>RTD("greekserver.rtdfunctions",,"102039720 16")/100</f>
        <v>0.8</v>
      </c>
      <c r="X109">
        <f>RTD("greekserver.rtdfunctions",,"102039720 10")/100</f>
        <v>0.9</v>
      </c>
      <c r="Y109">
        <f>RTD("greekserver.rtdfunctions",,"102039720 11")</f>
        <v>2500</v>
      </c>
      <c r="Z109" t="str">
        <f>nseltodate(RTD("greekserver.rtdfunctions",,"102039720 20"))</f>
        <v>10:47:32 AM</v>
      </c>
      <c r="AA109">
        <f>RTD("greekserver.rtdfunctions",,"102039720 18")/100</f>
        <v>0</v>
      </c>
      <c r="AB109">
        <f>RTD("greekserver.rtdfunctions",,"102039720 17")/100</f>
        <v>0</v>
      </c>
      <c r="AC109">
        <f>RTD("greekserver.rtdfunctions",,"102039720 40")/100</f>
        <v>6683.2</v>
      </c>
      <c r="AD109">
        <f>RTD("greekserver.rtdfunctions",,"102039720 34")/100</f>
        <v>0</v>
      </c>
    </row>
    <row r="110" spans="1:30" x14ac:dyDescent="0.2">
      <c r="A110">
        <v>102039721</v>
      </c>
      <c r="B110" t="s">
        <v>93</v>
      </c>
      <c r="C110" t="s">
        <v>345</v>
      </c>
      <c r="D110" t="s">
        <v>102</v>
      </c>
      <c r="E110" s="15">
        <v>43874</v>
      </c>
      <c r="F110">
        <v>31900</v>
      </c>
      <c r="G110" t="s">
        <v>347</v>
      </c>
      <c r="H110">
        <v>39721</v>
      </c>
      <c r="I110">
        <v>20</v>
      </c>
      <c r="J110">
        <f>RTD("greekserver.rtdfunctions",,"102039721 5")</f>
        <v>20</v>
      </c>
      <c r="K110">
        <f>RTD("greekserver.rtdfunctions",,"102039721 4")/100</f>
        <v>589.9</v>
      </c>
      <c r="L110">
        <f>RTD("greekserver.rtdfunctions",,"102039721 7")</f>
        <v>180</v>
      </c>
      <c r="M110">
        <f>RTD("greekserver.rtdfunctions",,"102039721 6")/100</f>
        <v>592.9</v>
      </c>
      <c r="N110">
        <f>RTD("greekserver.rtdfunctions",,"102039721 8")/100</f>
        <v>522.47</v>
      </c>
      <c r="O110">
        <f>RTD("greekserver.rtdfunctions",,"102039721 12")</f>
        <v>49560</v>
      </c>
      <c r="P110">
        <f>RTD("greekserver.rtdfunctions",,"102039721 24")/100</f>
        <v>589.9</v>
      </c>
      <c r="Q110">
        <f>RTD("greekserver.rtdfunctions",,"102039721 25")</f>
        <v>20</v>
      </c>
      <c r="R110">
        <f>RTD("greekserver.rtdfunctions",,"102039721 26")/100</f>
        <v>592.9</v>
      </c>
      <c r="S110">
        <f>RTD("greekserver.rtdfunctions",,"102039721 27")</f>
        <v>180</v>
      </c>
      <c r="T110">
        <f>RTD("greekserver.rtdfunctions",,"102039721 13")/100</f>
        <v>383</v>
      </c>
      <c r="U110">
        <f>RTD("greekserver.rtdfunctions",,"102039721 14")/100</f>
        <v>376.7</v>
      </c>
      <c r="V110">
        <f>RTD("greekserver.rtdfunctions",,"102039721 15")/100</f>
        <v>618.15</v>
      </c>
      <c r="W110">
        <f>RTD("greekserver.rtdfunctions",,"102039721 16")/100</f>
        <v>377</v>
      </c>
      <c r="X110">
        <f>RTD("greekserver.rtdfunctions",,"102039721 10")/100</f>
        <v>586</v>
      </c>
      <c r="Y110">
        <f>RTD("greekserver.rtdfunctions",,"102039721 11")</f>
        <v>40</v>
      </c>
      <c r="Z110" t="str">
        <f>nseltodate(RTD("greekserver.rtdfunctions",,"102039721 20"))</f>
        <v>10:47:02 AM</v>
      </c>
      <c r="AA110">
        <f>RTD("greekserver.rtdfunctions",,"102039721 18")/100</f>
        <v>0</v>
      </c>
      <c r="AB110">
        <f>RTD("greekserver.rtdfunctions",,"102039721 17")/100</f>
        <v>0</v>
      </c>
      <c r="AC110">
        <f>RTD("greekserver.rtdfunctions",,"102039721 40")/100</f>
        <v>71.400000000000006</v>
      </c>
      <c r="AD110">
        <f>RTD("greekserver.rtdfunctions",,"102039721 34")/100</f>
        <v>0</v>
      </c>
    </row>
    <row r="111" spans="1:30" hidden="1" x14ac:dyDescent="0.2">
      <c r="A111">
        <v>102039726</v>
      </c>
      <c r="B111" t="s">
        <v>93</v>
      </c>
      <c r="C111" t="s">
        <v>345</v>
      </c>
      <c r="D111" t="s">
        <v>102</v>
      </c>
      <c r="E111" s="15">
        <v>43874</v>
      </c>
      <c r="F111">
        <v>32000</v>
      </c>
      <c r="G111" t="s">
        <v>346</v>
      </c>
      <c r="H111">
        <v>39726</v>
      </c>
      <c r="I111">
        <v>20</v>
      </c>
      <c r="J111">
        <f>RTD("greekserver.rtdfunctions",,"102039726 5")</f>
        <v>319120</v>
      </c>
      <c r="K111">
        <f>RTD("greekserver.rtdfunctions",,"102039726 4")/100</f>
        <v>0.55000000000000004</v>
      </c>
      <c r="L111">
        <f>RTD("greekserver.rtdfunctions",,"102039726 7")</f>
        <v>3600</v>
      </c>
      <c r="M111">
        <f>RTD("greekserver.rtdfunctions",,"102039726 6")/100</f>
        <v>0.6</v>
      </c>
      <c r="N111">
        <f>RTD("greekserver.rtdfunctions",,"102039726 8")/100</f>
        <v>0.9</v>
      </c>
      <c r="O111">
        <f>RTD("greekserver.rtdfunctions",,"102039726 12")</f>
        <v>5606560</v>
      </c>
      <c r="P111">
        <f>RTD("greekserver.rtdfunctions",,"102039726 24")/100</f>
        <v>0.55000000000000004</v>
      </c>
      <c r="Q111">
        <f>RTD("greekserver.rtdfunctions",,"102039726 25")</f>
        <v>319120</v>
      </c>
      <c r="R111">
        <f>RTD("greekserver.rtdfunctions",,"102039726 26")/100</f>
        <v>0.6</v>
      </c>
      <c r="S111">
        <f>RTD("greekserver.rtdfunctions",,"102039726 27")</f>
        <v>3600</v>
      </c>
      <c r="T111">
        <f>RTD("greekserver.rtdfunctions",,"102039726 13")/100</f>
        <v>3.8</v>
      </c>
      <c r="U111">
        <f>RTD("greekserver.rtdfunctions",,"102039726 14")/100</f>
        <v>6</v>
      </c>
      <c r="V111">
        <f>RTD("greekserver.rtdfunctions",,"102039726 15")/100</f>
        <v>4.8499999999999996</v>
      </c>
      <c r="W111">
        <f>RTD("greekserver.rtdfunctions",,"102039726 16")/100</f>
        <v>0.55000000000000004</v>
      </c>
      <c r="X111">
        <f>RTD("greekserver.rtdfunctions",,"102039726 10")/100</f>
        <v>0.6</v>
      </c>
      <c r="Y111">
        <f>RTD("greekserver.rtdfunctions",,"102039726 11")</f>
        <v>200</v>
      </c>
      <c r="Z111" t="str">
        <f>nseltodate(RTD("greekserver.rtdfunctions",,"102039726 20"))</f>
        <v>10:47:27 AM</v>
      </c>
      <c r="AA111">
        <f>RTD("greekserver.rtdfunctions",,"102039726 18")/100</f>
        <v>0</v>
      </c>
      <c r="AB111">
        <f>RTD("greekserver.rtdfunctions",,"102039726 17")/100</f>
        <v>0</v>
      </c>
      <c r="AC111">
        <f>RTD("greekserver.rtdfunctions",,"102039726 40")/100</f>
        <v>7250.6</v>
      </c>
      <c r="AD111">
        <f>RTD("greekserver.rtdfunctions",,"102039726 34")/100</f>
        <v>0</v>
      </c>
    </row>
    <row r="112" spans="1:30" x14ac:dyDescent="0.2">
      <c r="A112">
        <v>102039727</v>
      </c>
      <c r="B112" t="s">
        <v>93</v>
      </c>
      <c r="C112" t="s">
        <v>345</v>
      </c>
      <c r="D112" t="s">
        <v>102</v>
      </c>
      <c r="E112" s="15">
        <v>43874</v>
      </c>
      <c r="F112">
        <v>32000</v>
      </c>
      <c r="G112" t="s">
        <v>347</v>
      </c>
      <c r="H112">
        <v>39727</v>
      </c>
      <c r="I112">
        <v>20</v>
      </c>
      <c r="J112">
        <f>RTD("greekserver.rtdfunctions",,"102039727 5")</f>
        <v>20</v>
      </c>
      <c r="K112">
        <f>RTD("greekserver.rtdfunctions",,"102039727 4")/100</f>
        <v>689</v>
      </c>
      <c r="L112">
        <f>RTD("greekserver.rtdfunctions",,"102039727 7")</f>
        <v>20</v>
      </c>
      <c r="M112">
        <f>RTD("greekserver.rtdfunctions",,"102039727 6")/100</f>
        <v>691.7</v>
      </c>
      <c r="N112">
        <f>RTD("greekserver.rtdfunctions",,"102039727 8")/100</f>
        <v>619.55999999999995</v>
      </c>
      <c r="O112">
        <f>RTD("greekserver.rtdfunctions",,"102039727 12")</f>
        <v>31940</v>
      </c>
      <c r="P112">
        <f>RTD("greekserver.rtdfunctions",,"102039727 24")/100</f>
        <v>689</v>
      </c>
      <c r="Q112">
        <f>RTD("greekserver.rtdfunctions",,"102039727 25")</f>
        <v>20</v>
      </c>
      <c r="R112">
        <f>RTD("greekserver.rtdfunctions",,"102039727 26")/100</f>
        <v>691.7</v>
      </c>
      <c r="S112">
        <f>RTD("greekserver.rtdfunctions",,"102039727 27")</f>
        <v>20</v>
      </c>
      <c r="T112">
        <f>RTD("greekserver.rtdfunctions",,"102039727 13")/100</f>
        <v>464.95</v>
      </c>
      <c r="U112">
        <f>RTD("greekserver.rtdfunctions",,"102039727 14")/100</f>
        <v>470.5</v>
      </c>
      <c r="V112">
        <f>RTD("greekserver.rtdfunctions",,"102039727 15")/100</f>
        <v>719.95</v>
      </c>
      <c r="W112">
        <f>RTD("greekserver.rtdfunctions",,"102039727 16")/100</f>
        <v>459.2</v>
      </c>
      <c r="X112">
        <f>RTD("greekserver.rtdfunctions",,"102039727 10")/100</f>
        <v>695.5</v>
      </c>
      <c r="Y112">
        <f>RTD("greekserver.rtdfunctions",,"102039727 11")</f>
        <v>20</v>
      </c>
      <c r="Z112" t="str">
        <f>nseltodate(RTD("greekserver.rtdfunctions",,"102039727 20"))</f>
        <v>10:44:25 AM</v>
      </c>
      <c r="AA112">
        <f>RTD("greekserver.rtdfunctions",,"102039727 18")/100</f>
        <v>0</v>
      </c>
      <c r="AB112">
        <f>RTD("greekserver.rtdfunctions",,"102039727 17")/100</f>
        <v>0</v>
      </c>
      <c r="AC112">
        <f>RTD("greekserver.rtdfunctions",,"102039727 40")/100</f>
        <v>100.6</v>
      </c>
      <c r="AD112">
        <f>RTD("greekserver.rtdfunctions",,"102039727 34")/100</f>
        <v>0</v>
      </c>
    </row>
    <row r="113" spans="1:30" hidden="1" x14ac:dyDescent="0.2">
      <c r="A113">
        <v>102039728</v>
      </c>
      <c r="B113" t="s">
        <v>93</v>
      </c>
      <c r="C113" t="s">
        <v>345</v>
      </c>
      <c r="D113" t="s">
        <v>102</v>
      </c>
      <c r="E113" s="15">
        <v>43874</v>
      </c>
      <c r="F113">
        <v>32100</v>
      </c>
      <c r="G113" t="s">
        <v>346</v>
      </c>
      <c r="H113">
        <v>39728</v>
      </c>
      <c r="I113">
        <v>20</v>
      </c>
      <c r="J113">
        <f>RTD("greekserver.rtdfunctions",,"102039728 5")</f>
        <v>6000</v>
      </c>
      <c r="K113">
        <f>RTD("greekserver.rtdfunctions",,"102039728 4")/100</f>
        <v>0.4</v>
      </c>
      <c r="L113">
        <f>RTD("greekserver.rtdfunctions",,"102039728 7")</f>
        <v>2580</v>
      </c>
      <c r="M113">
        <f>RTD("greekserver.rtdfunctions",,"102039728 6")/100</f>
        <v>0.45</v>
      </c>
      <c r="N113">
        <f>RTD("greekserver.rtdfunctions",,"102039728 8")/100</f>
        <v>0.67</v>
      </c>
      <c r="O113">
        <f>RTD("greekserver.rtdfunctions",,"102039728 12")</f>
        <v>609980</v>
      </c>
      <c r="P113">
        <f>RTD("greekserver.rtdfunctions",,"102039728 24")/100</f>
        <v>0.4</v>
      </c>
      <c r="Q113">
        <f>RTD("greekserver.rtdfunctions",,"102039728 25")</f>
        <v>6000</v>
      </c>
      <c r="R113">
        <f>RTD("greekserver.rtdfunctions",,"102039728 26")/100</f>
        <v>0.45</v>
      </c>
      <c r="S113">
        <f>RTD("greekserver.rtdfunctions",,"102039728 27")</f>
        <v>2580</v>
      </c>
      <c r="T113">
        <f>RTD("greekserver.rtdfunctions",,"102039728 13")/100</f>
        <v>3.4</v>
      </c>
      <c r="U113">
        <f>RTD("greekserver.rtdfunctions",,"102039728 14")/100</f>
        <v>3.15</v>
      </c>
      <c r="V113">
        <f>RTD("greekserver.rtdfunctions",,"102039728 15")/100</f>
        <v>3.5</v>
      </c>
      <c r="W113">
        <f>RTD("greekserver.rtdfunctions",,"102039728 16")/100</f>
        <v>0.4</v>
      </c>
      <c r="X113">
        <f>RTD("greekserver.rtdfunctions",,"102039728 10")/100</f>
        <v>0.45</v>
      </c>
      <c r="Y113">
        <f>RTD("greekserver.rtdfunctions",,"102039728 11")</f>
        <v>100</v>
      </c>
      <c r="Z113" t="str">
        <f>nseltodate(RTD("greekserver.rtdfunctions",,"102039728 20"))</f>
        <v>10:47:29 AM</v>
      </c>
      <c r="AA113">
        <f>RTD("greekserver.rtdfunctions",,"102039728 18")/100</f>
        <v>0</v>
      </c>
      <c r="AB113">
        <f>RTD("greekserver.rtdfunctions",,"102039728 17")/100</f>
        <v>0</v>
      </c>
      <c r="AC113">
        <f>RTD("greekserver.rtdfunctions",,"102039728 40")/100</f>
        <v>1395.8</v>
      </c>
      <c r="AD113">
        <f>RTD("greekserver.rtdfunctions",,"102039728 34")/100</f>
        <v>0</v>
      </c>
    </row>
    <row r="114" spans="1:30" x14ac:dyDescent="0.2">
      <c r="A114">
        <v>102039729</v>
      </c>
      <c r="B114" t="s">
        <v>93</v>
      </c>
      <c r="C114" t="s">
        <v>345</v>
      </c>
      <c r="D114" t="s">
        <v>102</v>
      </c>
      <c r="E114" s="15">
        <v>43874</v>
      </c>
      <c r="F114">
        <v>32100</v>
      </c>
      <c r="G114" t="s">
        <v>347</v>
      </c>
      <c r="H114">
        <v>39729</v>
      </c>
      <c r="I114">
        <v>20</v>
      </c>
      <c r="J114">
        <f>RTD("greekserver.rtdfunctions",,"102039729 5")</f>
        <v>1480</v>
      </c>
      <c r="K114">
        <f>RTD("greekserver.rtdfunctions",,"102039729 4")/100</f>
        <v>781.4</v>
      </c>
      <c r="L114">
        <f>RTD("greekserver.rtdfunctions",,"102039729 7")</f>
        <v>400</v>
      </c>
      <c r="M114">
        <f>RTD("greekserver.rtdfunctions",,"102039729 6")/100</f>
        <v>795.85</v>
      </c>
      <c r="N114">
        <f>RTD("greekserver.rtdfunctions",,"102039729 8")/100</f>
        <v>754.91</v>
      </c>
      <c r="O114">
        <f>RTD("greekserver.rtdfunctions",,"102039729 12")</f>
        <v>340</v>
      </c>
      <c r="P114">
        <f>RTD("greekserver.rtdfunctions",,"102039729 24")/100</f>
        <v>781.4</v>
      </c>
      <c r="Q114">
        <f>RTD("greekserver.rtdfunctions",,"102039729 25")</f>
        <v>1480</v>
      </c>
      <c r="R114">
        <f>RTD("greekserver.rtdfunctions",,"102039729 26")/100</f>
        <v>795.85</v>
      </c>
      <c r="S114">
        <f>RTD("greekserver.rtdfunctions",,"102039729 27")</f>
        <v>400</v>
      </c>
      <c r="T114">
        <f>RTD("greekserver.rtdfunctions",,"102039729 13")/100</f>
        <v>691.7</v>
      </c>
      <c r="U114">
        <f>RTD("greekserver.rtdfunctions",,"102039729 14")/100</f>
        <v>575</v>
      </c>
      <c r="V114">
        <f>RTD("greekserver.rtdfunctions",,"102039729 15")/100</f>
        <v>810.6</v>
      </c>
      <c r="W114">
        <f>RTD("greekserver.rtdfunctions",,"102039729 16")/100</f>
        <v>680.25</v>
      </c>
      <c r="X114">
        <f>RTD("greekserver.rtdfunctions",,"102039729 10")/100</f>
        <v>800.55</v>
      </c>
      <c r="Y114">
        <f>RTD("greekserver.rtdfunctions",,"102039729 11")</f>
        <v>20</v>
      </c>
      <c r="Z114" t="str">
        <f>nseltodate(RTD("greekserver.rtdfunctions",,"102039729 20"))</f>
        <v>10:30:12 AM</v>
      </c>
      <c r="AA114">
        <f>RTD("greekserver.rtdfunctions",,"102039729 18")/100</f>
        <v>0</v>
      </c>
      <c r="AB114">
        <f>RTD("greekserver.rtdfunctions",,"102039729 17")/100</f>
        <v>0</v>
      </c>
      <c r="AC114">
        <f>RTD("greekserver.rtdfunctions",,"102039729 40")/100</f>
        <v>3.2</v>
      </c>
      <c r="AD114">
        <f>RTD("greekserver.rtdfunctions",,"102039729 34")/100</f>
        <v>0</v>
      </c>
    </row>
    <row r="115" spans="1:30" hidden="1" x14ac:dyDescent="0.2">
      <c r="A115">
        <v>102039731</v>
      </c>
      <c r="B115" t="s">
        <v>93</v>
      </c>
      <c r="C115" t="s">
        <v>345</v>
      </c>
      <c r="D115" t="s">
        <v>102</v>
      </c>
      <c r="E115" s="15">
        <v>43874</v>
      </c>
      <c r="F115">
        <v>32200</v>
      </c>
      <c r="G115" t="s">
        <v>346</v>
      </c>
      <c r="H115">
        <v>39731</v>
      </c>
      <c r="I115">
        <v>20</v>
      </c>
      <c r="J115">
        <f>RTD("greekserver.rtdfunctions",,"102039731 5")</f>
        <v>4360</v>
      </c>
      <c r="K115">
        <f>RTD("greekserver.rtdfunctions",,"102039731 4")/100</f>
        <v>0.4</v>
      </c>
      <c r="L115">
        <f>RTD("greekserver.rtdfunctions",,"102039731 7")</f>
        <v>6280</v>
      </c>
      <c r="M115">
        <f>RTD("greekserver.rtdfunctions",,"102039731 6")/100</f>
        <v>0.45</v>
      </c>
      <c r="N115">
        <f>RTD("greekserver.rtdfunctions",,"102039731 8")/100</f>
        <v>0.48</v>
      </c>
      <c r="O115">
        <f>RTD("greekserver.rtdfunctions",,"102039731 12")</f>
        <v>304360</v>
      </c>
      <c r="P115">
        <f>RTD("greekserver.rtdfunctions",,"102039731 24")/100</f>
        <v>0.4</v>
      </c>
      <c r="Q115">
        <f>RTD("greekserver.rtdfunctions",,"102039731 25")</f>
        <v>4360</v>
      </c>
      <c r="R115">
        <f>RTD("greekserver.rtdfunctions",,"102039731 26")/100</f>
        <v>0.45</v>
      </c>
      <c r="S115">
        <f>RTD("greekserver.rtdfunctions",,"102039731 27")</f>
        <v>6280</v>
      </c>
      <c r="T115">
        <f>RTD("greekserver.rtdfunctions",,"102039731 13")/100</f>
        <v>2.4</v>
      </c>
      <c r="U115">
        <f>RTD("greekserver.rtdfunctions",,"102039731 14")/100</f>
        <v>2.35</v>
      </c>
      <c r="V115">
        <f>RTD("greekserver.rtdfunctions",,"102039731 15")/100</f>
        <v>2.4500000000000002</v>
      </c>
      <c r="W115">
        <f>RTD("greekserver.rtdfunctions",,"102039731 16")/100</f>
        <v>0.3</v>
      </c>
      <c r="X115">
        <f>RTD("greekserver.rtdfunctions",,"102039731 10")/100</f>
        <v>0.45</v>
      </c>
      <c r="Y115">
        <f>RTD("greekserver.rtdfunctions",,"102039731 11")</f>
        <v>80</v>
      </c>
      <c r="Z115" t="str">
        <f>nseltodate(RTD("greekserver.rtdfunctions",,"102039731 20"))</f>
        <v>10:45:51 AM</v>
      </c>
      <c r="AA115">
        <f>RTD("greekserver.rtdfunctions",,"102039731 18")/100</f>
        <v>0</v>
      </c>
      <c r="AB115">
        <f>RTD("greekserver.rtdfunctions",,"102039731 17")/100</f>
        <v>0</v>
      </c>
      <c r="AC115">
        <f>RTD("greekserver.rtdfunctions",,"102039731 40")/100</f>
        <v>847</v>
      </c>
      <c r="AD115">
        <f>RTD("greekserver.rtdfunctions",,"102039731 34")/100</f>
        <v>0</v>
      </c>
    </row>
    <row r="116" spans="1:30" x14ac:dyDescent="0.2">
      <c r="A116">
        <v>102039733</v>
      </c>
      <c r="B116" t="s">
        <v>93</v>
      </c>
      <c r="C116" t="s">
        <v>345</v>
      </c>
      <c r="D116" t="s">
        <v>102</v>
      </c>
      <c r="E116" s="15">
        <v>43874</v>
      </c>
      <c r="F116">
        <v>32200</v>
      </c>
      <c r="G116" t="s">
        <v>347</v>
      </c>
      <c r="H116">
        <v>39733</v>
      </c>
      <c r="I116">
        <v>20</v>
      </c>
      <c r="J116">
        <f>RTD("greekserver.rtdfunctions",,"102039733 5")</f>
        <v>1080</v>
      </c>
      <c r="K116">
        <f>RTD("greekserver.rtdfunctions",,"102039733 4")/100</f>
        <v>880.4</v>
      </c>
      <c r="L116">
        <f>RTD("greekserver.rtdfunctions",,"102039733 7")</f>
        <v>1080</v>
      </c>
      <c r="M116">
        <f>RTD("greekserver.rtdfunctions",,"102039733 6")/100</f>
        <v>901.4</v>
      </c>
      <c r="N116">
        <f>RTD("greekserver.rtdfunctions",,"102039733 8")/100</f>
        <v>854.31</v>
      </c>
      <c r="O116">
        <f>RTD("greekserver.rtdfunctions",,"102039733 12")</f>
        <v>260</v>
      </c>
      <c r="P116">
        <f>RTD("greekserver.rtdfunctions",,"102039733 24")/100</f>
        <v>880.4</v>
      </c>
      <c r="Q116">
        <f>RTD("greekserver.rtdfunctions",,"102039733 25")</f>
        <v>1080</v>
      </c>
      <c r="R116">
        <f>RTD("greekserver.rtdfunctions",,"102039733 26")/100</f>
        <v>901.4</v>
      </c>
      <c r="S116">
        <f>RTD("greekserver.rtdfunctions",,"102039733 27")</f>
        <v>1080</v>
      </c>
      <c r="T116">
        <f>RTD("greekserver.rtdfunctions",,"102039733 13")/100</f>
        <v>791.5</v>
      </c>
      <c r="U116">
        <f>RTD("greekserver.rtdfunctions",,"102039733 14")/100</f>
        <v>672.65</v>
      </c>
      <c r="V116">
        <f>RTD("greekserver.rtdfunctions",,"102039733 15")/100</f>
        <v>910.9</v>
      </c>
      <c r="W116">
        <f>RTD("greekserver.rtdfunctions",,"102039733 16")/100</f>
        <v>777.5</v>
      </c>
      <c r="X116">
        <f>RTD("greekserver.rtdfunctions",,"102039733 10")/100</f>
        <v>897</v>
      </c>
      <c r="Y116">
        <f>RTD("greekserver.rtdfunctions",,"102039733 11")</f>
        <v>20</v>
      </c>
      <c r="Z116" t="str">
        <f>nseltodate(RTD("greekserver.rtdfunctions",,"102039733 20"))</f>
        <v>10:37:39 AM</v>
      </c>
      <c r="AA116">
        <f>RTD("greekserver.rtdfunctions",,"102039733 18")/100</f>
        <v>0</v>
      </c>
      <c r="AB116">
        <f>RTD("greekserver.rtdfunctions",,"102039733 17")/100</f>
        <v>0</v>
      </c>
      <c r="AC116">
        <f>RTD("greekserver.rtdfunctions",,"102039733 40")/100</f>
        <v>14.2</v>
      </c>
      <c r="AD116">
        <f>RTD("greekserver.rtdfunctions",,"102039733 34")/100</f>
        <v>0</v>
      </c>
    </row>
    <row r="117" spans="1:30" hidden="1" x14ac:dyDescent="0.2">
      <c r="A117">
        <v>102039734</v>
      </c>
      <c r="B117" t="s">
        <v>93</v>
      </c>
      <c r="C117" t="s">
        <v>345</v>
      </c>
      <c r="D117" t="s">
        <v>102</v>
      </c>
      <c r="E117" s="15">
        <v>43874</v>
      </c>
      <c r="F117">
        <v>32300</v>
      </c>
      <c r="G117" t="s">
        <v>346</v>
      </c>
      <c r="H117">
        <v>39734</v>
      </c>
      <c r="I117">
        <v>20</v>
      </c>
      <c r="J117">
        <f>RTD("greekserver.rtdfunctions",,"102039734 5")</f>
        <v>7200</v>
      </c>
      <c r="K117">
        <f>RTD("greekserver.rtdfunctions",,"102039734 4")/100</f>
        <v>0.3</v>
      </c>
      <c r="L117">
        <f>RTD("greekserver.rtdfunctions",,"102039734 7")</f>
        <v>1120</v>
      </c>
      <c r="M117">
        <f>RTD("greekserver.rtdfunctions",,"102039734 6")/100</f>
        <v>0.35</v>
      </c>
      <c r="N117">
        <f>RTD("greekserver.rtdfunctions",,"102039734 8")/100</f>
        <v>0.43</v>
      </c>
      <c r="O117">
        <f>RTD("greekserver.rtdfunctions",,"102039734 12")</f>
        <v>72220</v>
      </c>
      <c r="P117">
        <f>RTD("greekserver.rtdfunctions",,"102039734 24")/100</f>
        <v>0.3</v>
      </c>
      <c r="Q117">
        <f>RTD("greekserver.rtdfunctions",,"102039734 25")</f>
        <v>7200</v>
      </c>
      <c r="R117">
        <f>RTD("greekserver.rtdfunctions",,"102039734 26")/100</f>
        <v>0.35</v>
      </c>
      <c r="S117">
        <f>RTD("greekserver.rtdfunctions",,"102039734 27")</f>
        <v>1120</v>
      </c>
      <c r="T117">
        <f>RTD("greekserver.rtdfunctions",,"102039734 13")/100</f>
        <v>1.5</v>
      </c>
      <c r="U117">
        <f>RTD("greekserver.rtdfunctions",,"102039734 14")/100</f>
        <v>1.6</v>
      </c>
      <c r="V117">
        <f>RTD("greekserver.rtdfunctions",,"102039734 15")/100</f>
        <v>2.7</v>
      </c>
      <c r="W117">
        <f>RTD("greekserver.rtdfunctions",,"102039734 16")/100</f>
        <v>0.1</v>
      </c>
      <c r="X117">
        <f>RTD("greekserver.rtdfunctions",,"102039734 10")/100</f>
        <v>0.35</v>
      </c>
      <c r="Y117">
        <f>RTD("greekserver.rtdfunctions",,"102039734 11")</f>
        <v>20</v>
      </c>
      <c r="Z117" t="str">
        <f>nseltodate(RTD("greekserver.rtdfunctions",,"102039734 20"))</f>
        <v>10:45:28 AM</v>
      </c>
      <c r="AA117">
        <f>RTD("greekserver.rtdfunctions",,"102039734 18")/100</f>
        <v>0</v>
      </c>
      <c r="AB117">
        <f>RTD("greekserver.rtdfunctions",,"102039734 17")/100</f>
        <v>0</v>
      </c>
      <c r="AC117">
        <f>RTD("greekserver.rtdfunctions",,"102039734 40")/100</f>
        <v>431.6</v>
      </c>
      <c r="AD117">
        <f>RTD("greekserver.rtdfunctions",,"102039734 34")/100</f>
        <v>0</v>
      </c>
    </row>
    <row r="118" spans="1:30" x14ac:dyDescent="0.2">
      <c r="A118">
        <v>102039735</v>
      </c>
      <c r="B118" t="s">
        <v>93</v>
      </c>
      <c r="C118" t="s">
        <v>345</v>
      </c>
      <c r="D118" t="s">
        <v>102</v>
      </c>
      <c r="E118" s="15">
        <v>43874</v>
      </c>
      <c r="F118">
        <v>32300</v>
      </c>
      <c r="G118" t="s">
        <v>347</v>
      </c>
      <c r="H118">
        <v>39735</v>
      </c>
      <c r="I118">
        <v>20</v>
      </c>
      <c r="J118">
        <f>RTD("greekserver.rtdfunctions",,"102039735 5")</f>
        <v>1000</v>
      </c>
      <c r="K118">
        <f>RTD("greekserver.rtdfunctions",,"102039735 4")/100</f>
        <v>981.3</v>
      </c>
      <c r="L118">
        <f>RTD("greekserver.rtdfunctions",,"102039735 7")</f>
        <v>440</v>
      </c>
      <c r="M118">
        <f>RTD("greekserver.rtdfunctions",,"102039735 6")/100</f>
        <v>1000.75</v>
      </c>
      <c r="N118">
        <f>RTD("greekserver.rtdfunctions",,"102039735 8")/100</f>
        <v>887.62</v>
      </c>
      <c r="O118">
        <f>RTD("greekserver.rtdfunctions",,"102039735 12")</f>
        <v>140</v>
      </c>
      <c r="P118">
        <f>RTD("greekserver.rtdfunctions",,"102039735 24")/100</f>
        <v>981.3</v>
      </c>
      <c r="Q118">
        <f>RTD("greekserver.rtdfunctions",,"102039735 25")</f>
        <v>1000</v>
      </c>
      <c r="R118">
        <f>RTD("greekserver.rtdfunctions",,"102039735 26")/100</f>
        <v>1000.75</v>
      </c>
      <c r="S118">
        <f>RTD("greekserver.rtdfunctions",,"102039735 27")</f>
        <v>440</v>
      </c>
      <c r="T118">
        <f>RTD("greekserver.rtdfunctions",,"102039735 13")/100</f>
        <v>875</v>
      </c>
      <c r="U118">
        <f>RTD("greekserver.rtdfunctions",,"102039735 14")/100</f>
        <v>775</v>
      </c>
      <c r="V118">
        <f>RTD("greekserver.rtdfunctions",,"102039735 15")/100</f>
        <v>907.6</v>
      </c>
      <c r="W118">
        <f>RTD("greekserver.rtdfunctions",,"102039735 16")/100</f>
        <v>875</v>
      </c>
      <c r="X118">
        <f>RTD("greekserver.rtdfunctions",,"102039735 10")/100</f>
        <v>907.6</v>
      </c>
      <c r="Y118">
        <f>RTD("greekserver.rtdfunctions",,"102039735 11")</f>
        <v>20</v>
      </c>
      <c r="Z118" t="str">
        <f>nseltodate(RTD("greekserver.rtdfunctions",,"102039735 20"))</f>
        <v>09:36:18 AM</v>
      </c>
      <c r="AA118">
        <f>RTD("greekserver.rtdfunctions",,"102039735 18")/100</f>
        <v>0</v>
      </c>
      <c r="AB118">
        <f>RTD("greekserver.rtdfunctions",,"102039735 17")/100</f>
        <v>0</v>
      </c>
      <c r="AC118">
        <f>RTD("greekserver.rtdfunctions",,"102039735 40")/100</f>
        <v>4.5999999999999996</v>
      </c>
      <c r="AD118">
        <f>RTD("greekserver.rtdfunctions",,"102039735 34")/100</f>
        <v>0</v>
      </c>
    </row>
    <row r="119" spans="1:30" hidden="1" x14ac:dyDescent="0.2">
      <c r="A119">
        <v>102039736</v>
      </c>
      <c r="B119" t="s">
        <v>93</v>
      </c>
      <c r="C119" t="s">
        <v>345</v>
      </c>
      <c r="D119" t="s">
        <v>102</v>
      </c>
      <c r="E119" s="15">
        <v>43874</v>
      </c>
      <c r="F119">
        <v>32400</v>
      </c>
      <c r="G119" t="s">
        <v>346</v>
      </c>
      <c r="H119">
        <v>39736</v>
      </c>
      <c r="I119">
        <v>20</v>
      </c>
      <c r="J119">
        <f>RTD("greekserver.rtdfunctions",,"102039736 5")</f>
        <v>800</v>
      </c>
      <c r="K119">
        <f>RTD("greekserver.rtdfunctions",,"102039736 4")/100</f>
        <v>0.3</v>
      </c>
      <c r="L119">
        <f>RTD("greekserver.rtdfunctions",,"102039736 7")</f>
        <v>160</v>
      </c>
      <c r="M119">
        <f>RTD("greekserver.rtdfunctions",,"102039736 6")/100</f>
        <v>0.35</v>
      </c>
      <c r="N119">
        <f>RTD("greekserver.rtdfunctions",,"102039736 8")/100</f>
        <v>0.34</v>
      </c>
      <c r="O119">
        <f>RTD("greekserver.rtdfunctions",,"102039736 12")</f>
        <v>19380</v>
      </c>
      <c r="P119">
        <f>RTD("greekserver.rtdfunctions",,"102039736 24")/100</f>
        <v>0.3</v>
      </c>
      <c r="Q119">
        <f>RTD("greekserver.rtdfunctions",,"102039736 25")</f>
        <v>800</v>
      </c>
      <c r="R119">
        <f>RTD("greekserver.rtdfunctions",,"102039736 26")/100</f>
        <v>0.35</v>
      </c>
      <c r="S119">
        <f>RTD("greekserver.rtdfunctions",,"102039736 27")</f>
        <v>160</v>
      </c>
      <c r="T119">
        <f>RTD("greekserver.rtdfunctions",,"102039736 13")/100</f>
        <v>1</v>
      </c>
      <c r="U119">
        <f>RTD("greekserver.rtdfunctions",,"102039736 14")/100</f>
        <v>1.2</v>
      </c>
      <c r="V119">
        <f>RTD("greekserver.rtdfunctions",,"102039736 15")/100</f>
        <v>1</v>
      </c>
      <c r="W119">
        <f>RTD("greekserver.rtdfunctions",,"102039736 16")/100</f>
        <v>0.1</v>
      </c>
      <c r="X119">
        <f>RTD("greekserver.rtdfunctions",,"102039736 10")/100</f>
        <v>0.35</v>
      </c>
      <c r="Y119">
        <f>RTD("greekserver.rtdfunctions",,"102039736 11")</f>
        <v>40</v>
      </c>
      <c r="Z119" t="str">
        <f>nseltodate(RTD("greekserver.rtdfunctions",,"102039736 20"))</f>
        <v>10:47:30 AM</v>
      </c>
      <c r="AA119">
        <f>RTD("greekserver.rtdfunctions",,"102039736 18")/100</f>
        <v>0</v>
      </c>
      <c r="AB119">
        <f>RTD("greekserver.rtdfunctions",,"102039736 17")/100</f>
        <v>0</v>
      </c>
      <c r="AC119">
        <f>RTD("greekserver.rtdfunctions",,"102039736 40")/100</f>
        <v>113.2</v>
      </c>
      <c r="AD119">
        <f>RTD("greekserver.rtdfunctions",,"102039736 34")/100</f>
        <v>0</v>
      </c>
    </row>
    <row r="120" spans="1:30" x14ac:dyDescent="0.2">
      <c r="A120">
        <v>102039737</v>
      </c>
      <c r="B120" t="s">
        <v>93</v>
      </c>
      <c r="C120" t="s">
        <v>345</v>
      </c>
      <c r="D120" t="s">
        <v>102</v>
      </c>
      <c r="E120" s="15">
        <v>43874</v>
      </c>
      <c r="F120">
        <v>32400</v>
      </c>
      <c r="G120" t="s">
        <v>347</v>
      </c>
      <c r="H120">
        <v>39737</v>
      </c>
      <c r="I120">
        <v>20</v>
      </c>
      <c r="J120">
        <f>RTD("greekserver.rtdfunctions",,"102039737 5")</f>
        <v>820</v>
      </c>
      <c r="K120">
        <f>RTD("greekserver.rtdfunctions",,"102039737 4")/100</f>
        <v>1079.5</v>
      </c>
      <c r="L120">
        <f>RTD("greekserver.rtdfunctions",,"102039737 7")</f>
        <v>400</v>
      </c>
      <c r="M120">
        <f>RTD("greekserver.rtdfunctions",,"102039737 6")/100</f>
        <v>1097.1500000000001</v>
      </c>
      <c r="N120">
        <f>RTD("greekserver.rtdfunctions",,"102039737 8")/100</f>
        <v>990.4</v>
      </c>
      <c r="O120">
        <f>RTD("greekserver.rtdfunctions",,"102039737 12")</f>
        <v>20</v>
      </c>
      <c r="P120">
        <f>RTD("greekserver.rtdfunctions",,"102039737 24")/100</f>
        <v>1079.5</v>
      </c>
      <c r="Q120">
        <f>RTD("greekserver.rtdfunctions",,"102039737 25")</f>
        <v>820</v>
      </c>
      <c r="R120">
        <f>RTD("greekserver.rtdfunctions",,"102039737 26")/100</f>
        <v>1097.1500000000001</v>
      </c>
      <c r="S120">
        <f>RTD("greekserver.rtdfunctions",,"102039737 27")</f>
        <v>400</v>
      </c>
      <c r="T120">
        <f>RTD("greekserver.rtdfunctions",,"102039737 13")/100</f>
        <v>990.4</v>
      </c>
      <c r="U120">
        <f>RTD("greekserver.rtdfunctions",,"102039737 14")/100</f>
        <v>877.5</v>
      </c>
      <c r="V120">
        <f>RTD("greekserver.rtdfunctions",,"102039737 15")/100</f>
        <v>990.4</v>
      </c>
      <c r="W120">
        <f>RTD("greekserver.rtdfunctions",,"102039737 16")/100</f>
        <v>990.4</v>
      </c>
      <c r="X120">
        <f>RTD("greekserver.rtdfunctions",,"102039737 10")/100</f>
        <v>990.4</v>
      </c>
      <c r="Y120">
        <f>RTD("greekserver.rtdfunctions",,"102039737 11")</f>
        <v>20</v>
      </c>
      <c r="Z120" t="str">
        <f>nseltodate(RTD("greekserver.rtdfunctions",,"102039737 20"))</f>
        <v>09:27:54 AM</v>
      </c>
      <c r="AA120">
        <f>RTD("greekserver.rtdfunctions",,"102039737 18")/100</f>
        <v>0</v>
      </c>
      <c r="AB120">
        <f>RTD("greekserver.rtdfunctions",,"102039737 17")/100</f>
        <v>0</v>
      </c>
      <c r="AC120">
        <f>RTD("greekserver.rtdfunctions",,"102039737 40")/100</f>
        <v>2.2000000000000002</v>
      </c>
      <c r="AD120">
        <f>RTD("greekserver.rtdfunctions",,"102039737 34")/100</f>
        <v>0</v>
      </c>
    </row>
    <row r="121" spans="1:30" hidden="1" x14ac:dyDescent="0.2">
      <c r="A121">
        <v>102039738</v>
      </c>
      <c r="B121" t="s">
        <v>93</v>
      </c>
      <c r="C121" t="s">
        <v>345</v>
      </c>
      <c r="D121" t="s">
        <v>102</v>
      </c>
      <c r="E121" s="15">
        <v>43874</v>
      </c>
      <c r="F121">
        <v>32500</v>
      </c>
      <c r="G121" t="s">
        <v>346</v>
      </c>
      <c r="H121">
        <v>39738</v>
      </c>
      <c r="I121">
        <v>20</v>
      </c>
      <c r="J121">
        <f>RTD("greekserver.rtdfunctions",,"102039738 5")</f>
        <v>960</v>
      </c>
      <c r="K121">
        <f>RTD("greekserver.rtdfunctions",,"102039738 4")/100</f>
        <v>0.3</v>
      </c>
      <c r="L121">
        <f>RTD("greekserver.rtdfunctions",,"102039738 7")</f>
        <v>200</v>
      </c>
      <c r="M121">
        <f>RTD("greekserver.rtdfunctions",,"102039738 6")/100</f>
        <v>0.35</v>
      </c>
      <c r="N121">
        <f>RTD("greekserver.rtdfunctions",,"102039738 8")/100</f>
        <v>0.28000000000000003</v>
      </c>
      <c r="O121">
        <f>RTD("greekserver.rtdfunctions",,"102039738 12")</f>
        <v>67280</v>
      </c>
      <c r="P121">
        <f>RTD("greekserver.rtdfunctions",,"102039738 24")/100</f>
        <v>0.3</v>
      </c>
      <c r="Q121">
        <f>RTD("greekserver.rtdfunctions",,"102039738 25")</f>
        <v>960</v>
      </c>
      <c r="R121">
        <f>RTD("greekserver.rtdfunctions",,"102039738 26")/100</f>
        <v>0.35</v>
      </c>
      <c r="S121">
        <f>RTD("greekserver.rtdfunctions",,"102039738 27")</f>
        <v>200</v>
      </c>
      <c r="T121">
        <f>RTD("greekserver.rtdfunctions",,"102039738 13")/100</f>
        <v>0.45</v>
      </c>
      <c r="U121">
        <f>RTD("greekserver.rtdfunctions",,"102039738 14")/100</f>
        <v>1.35</v>
      </c>
      <c r="V121">
        <f>RTD("greekserver.rtdfunctions",,"102039738 15")/100</f>
        <v>0.85</v>
      </c>
      <c r="W121">
        <f>RTD("greekserver.rtdfunctions",,"102039738 16")/100</f>
        <v>0.2</v>
      </c>
      <c r="X121">
        <f>RTD("greekserver.rtdfunctions",,"102039738 10")/100</f>
        <v>0.3</v>
      </c>
      <c r="Y121">
        <f>RTD("greekserver.rtdfunctions",,"102039738 11")</f>
        <v>80</v>
      </c>
      <c r="Z121" t="str">
        <f>nseltodate(RTD("greekserver.rtdfunctions",,"102039738 20"))</f>
        <v>10:46:19 AM</v>
      </c>
      <c r="AA121">
        <f>RTD("greekserver.rtdfunctions",,"102039738 18")/100</f>
        <v>0</v>
      </c>
      <c r="AB121">
        <f>RTD("greekserver.rtdfunctions",,"102039738 17")/100</f>
        <v>0</v>
      </c>
      <c r="AC121">
        <f>RTD("greekserver.rtdfunctions",,"102039738 40")/100</f>
        <v>1027.5999999999999</v>
      </c>
      <c r="AD121">
        <f>RTD("greekserver.rtdfunctions",,"102039738 34")/100</f>
        <v>0</v>
      </c>
    </row>
    <row r="122" spans="1:30" x14ac:dyDescent="0.2">
      <c r="A122">
        <v>102039739</v>
      </c>
      <c r="B122" t="s">
        <v>93</v>
      </c>
      <c r="C122" t="s">
        <v>345</v>
      </c>
      <c r="D122" t="s">
        <v>102</v>
      </c>
      <c r="E122" s="15">
        <v>43874</v>
      </c>
      <c r="F122">
        <v>32500</v>
      </c>
      <c r="G122" t="s">
        <v>347</v>
      </c>
      <c r="H122">
        <v>39739</v>
      </c>
      <c r="I122">
        <v>20</v>
      </c>
      <c r="J122">
        <f>RTD("greekserver.rtdfunctions",,"102039739 5")</f>
        <v>100</v>
      </c>
      <c r="K122">
        <f>RTD("greekserver.rtdfunctions",,"102039739 4")/100</f>
        <v>1179.4000000000001</v>
      </c>
      <c r="L122">
        <f>RTD("greekserver.rtdfunctions",,"102039739 7")</f>
        <v>200</v>
      </c>
      <c r="M122">
        <f>RTD("greekserver.rtdfunctions",,"102039739 6")/100</f>
        <v>1200.6500000000001</v>
      </c>
      <c r="N122">
        <f>RTD("greekserver.rtdfunctions",,"102039739 8")/100</f>
        <v>1179.25</v>
      </c>
      <c r="O122">
        <f>RTD("greekserver.rtdfunctions",,"102039739 12")</f>
        <v>420</v>
      </c>
      <c r="P122">
        <f>RTD("greekserver.rtdfunctions",,"102039739 24")/100</f>
        <v>1179.4000000000001</v>
      </c>
      <c r="Q122">
        <f>RTD("greekserver.rtdfunctions",,"102039739 25")</f>
        <v>100</v>
      </c>
      <c r="R122">
        <f>RTD("greekserver.rtdfunctions",,"102039739 26")/100</f>
        <v>1200.6500000000001</v>
      </c>
      <c r="S122">
        <f>RTD("greekserver.rtdfunctions",,"102039739 27")</f>
        <v>200</v>
      </c>
      <c r="T122">
        <f>RTD("greekserver.rtdfunctions",,"102039739 13")/100</f>
        <v>1072.0999999999999</v>
      </c>
      <c r="U122">
        <f>RTD("greekserver.rtdfunctions",,"102039739 14")/100</f>
        <v>975.15</v>
      </c>
      <c r="V122">
        <f>RTD("greekserver.rtdfunctions",,"102039739 15")/100</f>
        <v>1198</v>
      </c>
      <c r="W122">
        <f>RTD("greekserver.rtdfunctions",,"102039739 16")/100</f>
        <v>1072.0999999999999</v>
      </c>
      <c r="X122">
        <f>RTD("greekserver.rtdfunctions",,"102039739 10")/100</f>
        <v>1184.45</v>
      </c>
      <c r="Y122">
        <f>RTD("greekserver.rtdfunctions",,"102039739 11")</f>
        <v>60</v>
      </c>
      <c r="Z122" t="str">
        <f>nseltodate(RTD("greekserver.rtdfunctions",,"102039739 20"))</f>
        <v>10:45:41 AM</v>
      </c>
      <c r="AA122">
        <f>RTD("greekserver.rtdfunctions",,"102039739 18")/100</f>
        <v>0</v>
      </c>
      <c r="AB122">
        <f>RTD("greekserver.rtdfunctions",,"102039739 17")/100</f>
        <v>0</v>
      </c>
      <c r="AC122">
        <f>RTD("greekserver.rtdfunctions",,"102039739 40")/100</f>
        <v>37.6</v>
      </c>
      <c r="AD122">
        <f>RTD("greekserver.rtdfunctions",,"102039739 34")/100</f>
        <v>0</v>
      </c>
    </row>
    <row r="123" spans="1:30" hidden="1" x14ac:dyDescent="0.2">
      <c r="A123">
        <v>102039740</v>
      </c>
      <c r="B123" t="s">
        <v>93</v>
      </c>
      <c r="C123" t="s">
        <v>345</v>
      </c>
      <c r="D123" t="s">
        <v>102</v>
      </c>
      <c r="E123" s="15">
        <v>43874</v>
      </c>
      <c r="F123">
        <v>32600</v>
      </c>
      <c r="G123" t="s">
        <v>346</v>
      </c>
      <c r="H123">
        <v>39740</v>
      </c>
      <c r="I123">
        <v>20</v>
      </c>
      <c r="J123">
        <f>RTD("greekserver.rtdfunctions",,"102039740 5")</f>
        <v>1440</v>
      </c>
      <c r="K123">
        <f>RTD("greekserver.rtdfunctions",,"102039740 4")/100</f>
        <v>0.3</v>
      </c>
      <c r="L123">
        <f>RTD("greekserver.rtdfunctions",,"102039740 7")</f>
        <v>400</v>
      </c>
      <c r="M123">
        <f>RTD("greekserver.rtdfunctions",,"102039740 6")/100</f>
        <v>0.35</v>
      </c>
      <c r="N123">
        <f>RTD("greekserver.rtdfunctions",,"102039740 8")/100</f>
        <v>0.32</v>
      </c>
      <c r="O123">
        <f>RTD("greekserver.rtdfunctions",,"102039740 12")</f>
        <v>9140</v>
      </c>
      <c r="P123">
        <f>RTD("greekserver.rtdfunctions",,"102039740 24")/100</f>
        <v>0.3</v>
      </c>
      <c r="Q123">
        <f>RTD("greekserver.rtdfunctions",,"102039740 25")</f>
        <v>1440</v>
      </c>
      <c r="R123">
        <f>RTD("greekserver.rtdfunctions",,"102039740 26")/100</f>
        <v>0.35</v>
      </c>
      <c r="S123">
        <f>RTD("greekserver.rtdfunctions",,"102039740 27")</f>
        <v>400</v>
      </c>
      <c r="T123">
        <f>RTD("greekserver.rtdfunctions",,"102039740 13")/100</f>
        <v>0.1</v>
      </c>
      <c r="U123">
        <f>RTD("greekserver.rtdfunctions",,"102039740 14")/100</f>
        <v>1.35</v>
      </c>
      <c r="V123">
        <f>RTD("greekserver.rtdfunctions",,"102039740 15")/100</f>
        <v>0.45</v>
      </c>
      <c r="W123">
        <f>RTD("greekserver.rtdfunctions",,"102039740 16")/100</f>
        <v>0.1</v>
      </c>
      <c r="X123">
        <f>RTD("greekserver.rtdfunctions",,"102039740 10")/100</f>
        <v>0.35</v>
      </c>
      <c r="Y123">
        <f>RTD("greekserver.rtdfunctions",,"102039740 11")</f>
        <v>40</v>
      </c>
      <c r="Z123" t="str">
        <f>nseltodate(RTD("greekserver.rtdfunctions",,"102039740 20"))</f>
        <v>10:46:13 AM</v>
      </c>
      <c r="AA123">
        <f>RTD("greekserver.rtdfunctions",,"102039740 18")/100</f>
        <v>0</v>
      </c>
      <c r="AB123">
        <f>RTD("greekserver.rtdfunctions",,"102039740 17")/100</f>
        <v>0</v>
      </c>
      <c r="AC123">
        <f>RTD("greekserver.rtdfunctions",,"102039740 40")/100</f>
        <v>136.4</v>
      </c>
      <c r="AD123">
        <f>RTD("greekserver.rtdfunctions",,"102039740 34")/100</f>
        <v>0</v>
      </c>
    </row>
    <row r="124" spans="1:30" x14ac:dyDescent="0.2">
      <c r="A124">
        <v>102039741</v>
      </c>
      <c r="B124" t="s">
        <v>93</v>
      </c>
      <c r="C124" t="s">
        <v>345</v>
      </c>
      <c r="D124" t="s">
        <v>102</v>
      </c>
      <c r="E124" s="15">
        <v>43874</v>
      </c>
      <c r="F124">
        <v>32600</v>
      </c>
      <c r="G124" t="s">
        <v>347</v>
      </c>
      <c r="H124">
        <v>39741</v>
      </c>
      <c r="I124">
        <v>20</v>
      </c>
      <c r="J124">
        <f>RTD("greekserver.rtdfunctions",,"102039741 5")</f>
        <v>20</v>
      </c>
      <c r="K124">
        <f>RTD("greekserver.rtdfunctions",,"102039741 4")/100</f>
        <v>1278.7</v>
      </c>
      <c r="L124">
        <f>RTD("greekserver.rtdfunctions",,"102039741 7")</f>
        <v>400</v>
      </c>
      <c r="M124">
        <f>RTD("greekserver.rtdfunctions",,"102039741 6")/100</f>
        <v>1301.3</v>
      </c>
      <c r="N124">
        <f>RTD("greekserver.rtdfunctions",,"102039741 8")/100</f>
        <v>0</v>
      </c>
      <c r="O124">
        <f>RTD("greekserver.rtdfunctions",,"102039741 12")</f>
        <v>0</v>
      </c>
      <c r="P124">
        <f>RTD("greekserver.rtdfunctions",,"102039741 24")/100</f>
        <v>1278.7</v>
      </c>
      <c r="Q124">
        <f>RTD("greekserver.rtdfunctions",,"102039741 25")</f>
        <v>20</v>
      </c>
      <c r="R124">
        <f>RTD("greekserver.rtdfunctions",,"102039741 26")/100</f>
        <v>1301.3</v>
      </c>
      <c r="S124">
        <f>RTD("greekserver.rtdfunctions",,"102039741 27")</f>
        <v>400</v>
      </c>
      <c r="T124">
        <f>RTD("greekserver.rtdfunctions",,"102039741 13")/100</f>
        <v>0</v>
      </c>
      <c r="U124">
        <f>RTD("greekserver.rtdfunctions",,"102039741 14")/100</f>
        <v>1089.3</v>
      </c>
      <c r="V124">
        <f>RTD("greekserver.rtdfunctions",,"102039741 15")/100</f>
        <v>0</v>
      </c>
      <c r="W124">
        <f>RTD("greekserver.rtdfunctions",,"102039741 16")/100</f>
        <v>0</v>
      </c>
      <c r="X124">
        <f>RTD("greekserver.rtdfunctions",,"102039741 10")/100</f>
        <v>1089.3</v>
      </c>
      <c r="Y124">
        <f>RTD("greekserver.rtdfunctions",,"102039741 11")</f>
        <v>20</v>
      </c>
      <c r="Z124" t="str">
        <f>nseltodate(RTD("greekserver.rtdfunctions",,"102039741 20"))</f>
        <v>03:16:36 PM</v>
      </c>
      <c r="AA124">
        <f>RTD("greekserver.rtdfunctions",,"102039741 18")/100</f>
        <v>0</v>
      </c>
      <c r="AB124">
        <f>RTD("greekserver.rtdfunctions",,"102039741 17")/100</f>
        <v>0</v>
      </c>
      <c r="AC124">
        <f>RTD("greekserver.rtdfunctions",,"102039741 40")/100</f>
        <v>0</v>
      </c>
      <c r="AD124">
        <f>RTD("greekserver.rtdfunctions",,"102039741 34")/100</f>
        <v>0</v>
      </c>
    </row>
    <row r="125" spans="1:30" hidden="1" x14ac:dyDescent="0.2">
      <c r="A125">
        <v>102039754</v>
      </c>
      <c r="B125" t="s">
        <v>93</v>
      </c>
      <c r="C125" t="s">
        <v>345</v>
      </c>
      <c r="D125" t="s">
        <v>102</v>
      </c>
      <c r="E125" s="15">
        <v>43874</v>
      </c>
      <c r="F125">
        <v>32700</v>
      </c>
      <c r="G125" t="s">
        <v>346</v>
      </c>
      <c r="H125">
        <v>39754</v>
      </c>
      <c r="I125">
        <v>20</v>
      </c>
      <c r="J125">
        <f>RTD("greekserver.rtdfunctions",,"102039754 5")</f>
        <v>2100</v>
      </c>
      <c r="K125">
        <f>RTD("greekserver.rtdfunctions",,"102039754 4")/100</f>
        <v>0.05</v>
      </c>
      <c r="L125">
        <f>RTD("greekserver.rtdfunctions",,"102039754 7")</f>
        <v>420</v>
      </c>
      <c r="M125">
        <f>RTD("greekserver.rtdfunctions",,"102039754 6")/100</f>
        <v>0.25</v>
      </c>
      <c r="N125">
        <f>RTD("greekserver.rtdfunctions",,"102039754 8")/100</f>
        <v>0.23</v>
      </c>
      <c r="O125">
        <f>RTD("greekserver.rtdfunctions",,"102039754 12")</f>
        <v>1120</v>
      </c>
      <c r="P125">
        <f>RTD("greekserver.rtdfunctions",,"102039754 24")/100</f>
        <v>0.05</v>
      </c>
      <c r="Q125">
        <f>RTD("greekserver.rtdfunctions",,"102039754 25")</f>
        <v>2100</v>
      </c>
      <c r="R125">
        <f>RTD("greekserver.rtdfunctions",,"102039754 26")/100</f>
        <v>0.25</v>
      </c>
      <c r="S125">
        <f>RTD("greekserver.rtdfunctions",,"102039754 27")</f>
        <v>420</v>
      </c>
      <c r="T125">
        <f>RTD("greekserver.rtdfunctions",,"102039754 13")/100</f>
        <v>0.25</v>
      </c>
      <c r="U125">
        <f>RTD("greekserver.rtdfunctions",,"102039754 14")/100</f>
        <v>0.75</v>
      </c>
      <c r="V125">
        <f>RTD("greekserver.rtdfunctions",,"102039754 15")/100</f>
        <v>0.3</v>
      </c>
      <c r="W125">
        <f>RTD("greekserver.rtdfunctions",,"102039754 16")/100</f>
        <v>0.05</v>
      </c>
      <c r="X125">
        <f>RTD("greekserver.rtdfunctions",,"102039754 10")/100</f>
        <v>0.25</v>
      </c>
      <c r="Y125">
        <f>RTD("greekserver.rtdfunctions",,"102039754 11")</f>
        <v>300</v>
      </c>
      <c r="Z125" t="str">
        <f>nseltodate(RTD("greekserver.rtdfunctions",,"102039754 20"))</f>
        <v>10:37:51 AM</v>
      </c>
      <c r="AA125">
        <f>RTD("greekserver.rtdfunctions",,"102039754 18")/100</f>
        <v>0</v>
      </c>
      <c r="AB125">
        <f>RTD("greekserver.rtdfunctions",,"102039754 17")/100</f>
        <v>0</v>
      </c>
      <c r="AC125">
        <f>RTD("greekserver.rtdfunctions",,"102039754 40")/100</f>
        <v>108.2</v>
      </c>
      <c r="AD125">
        <f>RTD("greekserver.rtdfunctions",,"102039754 34")/100</f>
        <v>0</v>
      </c>
    </row>
    <row r="126" spans="1:30" x14ac:dyDescent="0.2">
      <c r="A126">
        <v>102039755</v>
      </c>
      <c r="B126" t="s">
        <v>93</v>
      </c>
      <c r="C126" t="s">
        <v>345</v>
      </c>
      <c r="D126" t="s">
        <v>102</v>
      </c>
      <c r="E126" s="15">
        <v>43874</v>
      </c>
      <c r="F126">
        <v>32700</v>
      </c>
      <c r="G126" t="s">
        <v>347</v>
      </c>
      <c r="H126">
        <v>39755</v>
      </c>
      <c r="I126">
        <v>20</v>
      </c>
      <c r="J126">
        <f>RTD("greekserver.rtdfunctions",,"102039755 5")</f>
        <v>20</v>
      </c>
      <c r="K126">
        <f>RTD("greekserver.rtdfunctions",,"102039755 4")/100</f>
        <v>1376.2</v>
      </c>
      <c r="L126">
        <f>RTD("greekserver.rtdfunctions",,"102039755 7")</f>
        <v>80</v>
      </c>
      <c r="M126">
        <f>RTD("greekserver.rtdfunctions",,"102039755 6")/100</f>
        <v>1401.2</v>
      </c>
      <c r="N126">
        <f>RTD("greekserver.rtdfunctions",,"102039755 8")/100</f>
        <v>0</v>
      </c>
      <c r="O126">
        <f>RTD("greekserver.rtdfunctions",,"102039755 12")</f>
        <v>0</v>
      </c>
      <c r="P126">
        <f>RTD("greekserver.rtdfunctions",,"102039755 24")/100</f>
        <v>1376.2</v>
      </c>
      <c r="Q126">
        <f>RTD("greekserver.rtdfunctions",,"102039755 25")</f>
        <v>20</v>
      </c>
      <c r="R126">
        <f>RTD("greekserver.rtdfunctions",,"102039755 26")/100</f>
        <v>1401.2</v>
      </c>
      <c r="S126">
        <f>RTD("greekserver.rtdfunctions",,"102039755 27")</f>
        <v>80</v>
      </c>
      <c r="T126">
        <f>RTD("greekserver.rtdfunctions",,"102039755 13")/100</f>
        <v>0</v>
      </c>
      <c r="U126">
        <f>RTD("greekserver.rtdfunctions",,"102039755 14")/100</f>
        <v>1251.8499999999999</v>
      </c>
      <c r="V126">
        <f>RTD("greekserver.rtdfunctions",,"102039755 15")/100</f>
        <v>0</v>
      </c>
      <c r="W126">
        <f>RTD("greekserver.rtdfunctions",,"102039755 16")/100</f>
        <v>0</v>
      </c>
      <c r="X126">
        <f>RTD("greekserver.rtdfunctions",,"102039755 10")/100</f>
        <v>1251.8499999999999</v>
      </c>
      <c r="Y126">
        <f>RTD("greekserver.rtdfunctions",,"102039755 11")</f>
        <v>20</v>
      </c>
      <c r="Z126" t="str">
        <f>nseltodate(RTD("greekserver.rtdfunctions",,"102039755 20"))</f>
        <v>09:52:34 AM</v>
      </c>
      <c r="AA126">
        <f>RTD("greekserver.rtdfunctions",,"102039755 18")/100</f>
        <v>0</v>
      </c>
      <c r="AB126">
        <f>RTD("greekserver.rtdfunctions",,"102039755 17")/100</f>
        <v>0</v>
      </c>
      <c r="AC126">
        <f>RTD("greekserver.rtdfunctions",,"102039755 40")/100</f>
        <v>0</v>
      </c>
      <c r="AD126">
        <f>RTD("greekserver.rtdfunctions",,"102039755 34")/100</f>
        <v>0</v>
      </c>
    </row>
    <row r="127" spans="1:30" hidden="1" x14ac:dyDescent="0.2">
      <c r="A127">
        <v>102039758</v>
      </c>
      <c r="B127" t="s">
        <v>93</v>
      </c>
      <c r="C127" t="s">
        <v>345</v>
      </c>
      <c r="D127" t="s">
        <v>102</v>
      </c>
      <c r="E127" s="15">
        <v>43874</v>
      </c>
      <c r="F127">
        <v>32800</v>
      </c>
      <c r="G127" t="s">
        <v>346</v>
      </c>
      <c r="H127">
        <v>39758</v>
      </c>
      <c r="I127">
        <v>20</v>
      </c>
      <c r="J127">
        <f>RTD("greekserver.rtdfunctions",,"102039758 5")</f>
        <v>420</v>
      </c>
      <c r="K127">
        <f>RTD("greekserver.rtdfunctions",,"102039758 4")/100</f>
        <v>0.15</v>
      </c>
      <c r="L127">
        <f>RTD("greekserver.rtdfunctions",,"102039758 7")</f>
        <v>20</v>
      </c>
      <c r="M127">
        <f>RTD("greekserver.rtdfunctions",,"102039758 6")/100</f>
        <v>0.3</v>
      </c>
      <c r="N127">
        <f>RTD("greekserver.rtdfunctions",,"102039758 8")/100</f>
        <v>0.33</v>
      </c>
      <c r="O127">
        <f>RTD("greekserver.rtdfunctions",,"102039758 12")</f>
        <v>2500</v>
      </c>
      <c r="P127">
        <f>RTD("greekserver.rtdfunctions",,"102039758 24")/100</f>
        <v>0.15</v>
      </c>
      <c r="Q127">
        <f>RTD("greekserver.rtdfunctions",,"102039758 25")</f>
        <v>420</v>
      </c>
      <c r="R127">
        <f>RTD("greekserver.rtdfunctions",,"102039758 26")/100</f>
        <v>0.3</v>
      </c>
      <c r="S127">
        <f>RTD("greekserver.rtdfunctions",,"102039758 27")</f>
        <v>20</v>
      </c>
      <c r="T127">
        <f>RTD("greekserver.rtdfunctions",,"102039758 13")/100</f>
        <v>0.35</v>
      </c>
      <c r="U127">
        <f>RTD("greekserver.rtdfunctions",,"102039758 14")/100</f>
        <v>1.05</v>
      </c>
      <c r="V127">
        <f>RTD("greekserver.rtdfunctions",,"102039758 15")/100</f>
        <v>0.35</v>
      </c>
      <c r="W127">
        <f>RTD("greekserver.rtdfunctions",,"102039758 16")/100</f>
        <v>0.15</v>
      </c>
      <c r="X127">
        <f>RTD("greekserver.rtdfunctions",,"102039758 10")/100</f>
        <v>0.15</v>
      </c>
      <c r="Y127">
        <f>RTD("greekserver.rtdfunctions",,"102039758 11")</f>
        <v>20</v>
      </c>
      <c r="Z127" t="str">
        <f>nseltodate(RTD("greekserver.rtdfunctions",,"102039758 20"))</f>
        <v>09:59:10 AM</v>
      </c>
      <c r="AA127">
        <f>RTD("greekserver.rtdfunctions",,"102039758 18")/100</f>
        <v>0</v>
      </c>
      <c r="AB127">
        <f>RTD("greekserver.rtdfunctions",,"102039758 17")/100</f>
        <v>0</v>
      </c>
      <c r="AC127">
        <f>RTD("greekserver.rtdfunctions",,"102039758 40")/100</f>
        <v>77</v>
      </c>
      <c r="AD127">
        <f>RTD("greekserver.rtdfunctions",,"102039758 34")/100</f>
        <v>0</v>
      </c>
    </row>
    <row r="128" spans="1:30" x14ac:dyDescent="0.2">
      <c r="A128">
        <v>102039759</v>
      </c>
      <c r="B128" t="s">
        <v>93</v>
      </c>
      <c r="C128" t="s">
        <v>345</v>
      </c>
      <c r="D128" t="s">
        <v>102</v>
      </c>
      <c r="E128" s="15">
        <v>43874</v>
      </c>
      <c r="F128">
        <v>32800</v>
      </c>
      <c r="G128" t="s">
        <v>347</v>
      </c>
      <c r="H128">
        <v>39759</v>
      </c>
      <c r="I128">
        <v>20</v>
      </c>
      <c r="J128">
        <f>RTD("greekserver.rtdfunctions",,"102039759 5")</f>
        <v>100</v>
      </c>
      <c r="K128">
        <f>RTD("greekserver.rtdfunctions",,"102039759 4")/100</f>
        <v>1431.95</v>
      </c>
      <c r="L128">
        <f>RTD("greekserver.rtdfunctions",,"102039759 7")</f>
        <v>100</v>
      </c>
      <c r="M128">
        <f>RTD("greekserver.rtdfunctions",,"102039759 6")/100</f>
        <v>1550.75</v>
      </c>
      <c r="N128">
        <f>RTD("greekserver.rtdfunctions",,"102039759 8")/100</f>
        <v>0</v>
      </c>
      <c r="O128">
        <f>RTD("greekserver.rtdfunctions",,"102039759 12")</f>
        <v>0</v>
      </c>
      <c r="P128">
        <f>RTD("greekserver.rtdfunctions",,"102039759 24")/100</f>
        <v>1431.95</v>
      </c>
      <c r="Q128">
        <f>RTD("greekserver.rtdfunctions",,"102039759 25")</f>
        <v>100</v>
      </c>
      <c r="R128">
        <f>RTD("greekserver.rtdfunctions",,"102039759 26")/100</f>
        <v>1550.75</v>
      </c>
      <c r="S128">
        <f>RTD("greekserver.rtdfunctions",,"102039759 27")</f>
        <v>100</v>
      </c>
      <c r="T128">
        <f>RTD("greekserver.rtdfunctions",,"102039759 13")/100</f>
        <v>0</v>
      </c>
      <c r="U128">
        <f>RTD("greekserver.rtdfunctions",,"102039759 14")/100</f>
        <v>1464.15</v>
      </c>
      <c r="V128">
        <f>RTD("greekserver.rtdfunctions",,"102039759 15")/100</f>
        <v>0</v>
      </c>
      <c r="W128">
        <f>RTD("greekserver.rtdfunctions",,"102039759 16")/100</f>
        <v>0</v>
      </c>
      <c r="X128">
        <f>RTD("greekserver.rtdfunctions",,"102039759 10")/100</f>
        <v>0</v>
      </c>
      <c r="Y128">
        <f>RTD("greekserver.rtdfunctions",,"102039759 11")</f>
        <v>0</v>
      </c>
      <c r="Z128" t="str">
        <f>nseltodate(RTD("greekserver.rtdfunctions",,"102039759 20"))</f>
        <v>N/A</v>
      </c>
      <c r="AA128">
        <f>RTD("greekserver.rtdfunctions",,"102039759 18")/100</f>
        <v>0</v>
      </c>
      <c r="AB128">
        <f>RTD("greekserver.rtdfunctions",,"102039759 17")/100</f>
        <v>0</v>
      </c>
      <c r="AC128">
        <f>RTD("greekserver.rtdfunctions",,"102039759 40")/100</f>
        <v>0</v>
      </c>
      <c r="AD128">
        <f>RTD("greekserver.rtdfunctions",,"102039759 34")/100</f>
        <v>0</v>
      </c>
    </row>
    <row r="129" spans="1:30" hidden="1" x14ac:dyDescent="0.2">
      <c r="A129">
        <v>102039760</v>
      </c>
      <c r="B129" t="s">
        <v>93</v>
      </c>
      <c r="C129" t="s">
        <v>345</v>
      </c>
      <c r="D129" t="s">
        <v>102</v>
      </c>
      <c r="E129" s="15">
        <v>43874</v>
      </c>
      <c r="F129">
        <v>32900</v>
      </c>
      <c r="G129" t="s">
        <v>346</v>
      </c>
      <c r="H129">
        <v>39760</v>
      </c>
      <c r="I129">
        <v>20</v>
      </c>
      <c r="J129">
        <f>RTD("greekserver.rtdfunctions",,"102039760 5")</f>
        <v>1500</v>
      </c>
      <c r="K129">
        <f>RTD("greekserver.rtdfunctions",,"102039760 4")/100</f>
        <v>0.1</v>
      </c>
      <c r="L129">
        <f>RTD("greekserver.rtdfunctions",,"102039760 7")</f>
        <v>300</v>
      </c>
      <c r="M129">
        <f>RTD("greekserver.rtdfunctions",,"102039760 6")/100</f>
        <v>0.15</v>
      </c>
      <c r="N129">
        <f>RTD("greekserver.rtdfunctions",,"102039760 8")/100</f>
        <v>0.08</v>
      </c>
      <c r="O129">
        <f>RTD("greekserver.rtdfunctions",,"102039760 12")</f>
        <v>640</v>
      </c>
      <c r="P129">
        <f>RTD("greekserver.rtdfunctions",,"102039760 24")/100</f>
        <v>0.1</v>
      </c>
      <c r="Q129">
        <f>RTD("greekserver.rtdfunctions",,"102039760 25")</f>
        <v>1500</v>
      </c>
      <c r="R129">
        <f>RTD("greekserver.rtdfunctions",,"102039760 26")/100</f>
        <v>0.15</v>
      </c>
      <c r="S129">
        <f>RTD("greekserver.rtdfunctions",,"102039760 27")</f>
        <v>300</v>
      </c>
      <c r="T129">
        <f>RTD("greekserver.rtdfunctions",,"102039760 13")/100</f>
        <v>0.1</v>
      </c>
      <c r="U129">
        <f>RTD("greekserver.rtdfunctions",,"102039760 14")/100</f>
        <v>0.3</v>
      </c>
      <c r="V129">
        <f>RTD("greekserver.rtdfunctions",,"102039760 15")/100</f>
        <v>0.25</v>
      </c>
      <c r="W129">
        <f>RTD("greekserver.rtdfunctions",,"102039760 16")/100</f>
        <v>0.05</v>
      </c>
      <c r="X129">
        <f>RTD("greekserver.rtdfunctions",,"102039760 10")/100</f>
        <v>0.05</v>
      </c>
      <c r="Y129">
        <f>RTD("greekserver.rtdfunctions",,"102039760 11")</f>
        <v>40</v>
      </c>
      <c r="Z129" t="str">
        <f>nseltodate(RTD("greekserver.rtdfunctions",,"102039760 20"))</f>
        <v>09:41:27 AM</v>
      </c>
      <c r="AA129">
        <f>RTD("greekserver.rtdfunctions",,"102039760 18")/100</f>
        <v>0</v>
      </c>
      <c r="AB129">
        <f>RTD("greekserver.rtdfunctions",,"102039760 17")/100</f>
        <v>0</v>
      </c>
      <c r="AC129">
        <f>RTD("greekserver.rtdfunctions",,"102039760 40")/100</f>
        <v>41.6</v>
      </c>
      <c r="AD129">
        <f>RTD("greekserver.rtdfunctions",,"102039760 34")/100</f>
        <v>0</v>
      </c>
    </row>
    <row r="130" spans="1:30" x14ac:dyDescent="0.2">
      <c r="A130">
        <v>102039761</v>
      </c>
      <c r="B130" t="s">
        <v>93</v>
      </c>
      <c r="C130" t="s">
        <v>345</v>
      </c>
      <c r="D130" t="s">
        <v>102</v>
      </c>
      <c r="E130" s="15">
        <v>43874</v>
      </c>
      <c r="F130">
        <v>32900</v>
      </c>
      <c r="G130" t="s">
        <v>347</v>
      </c>
      <c r="H130">
        <v>39761</v>
      </c>
      <c r="I130">
        <v>20</v>
      </c>
      <c r="J130">
        <f>RTD("greekserver.rtdfunctions",,"102039761 5")</f>
        <v>100</v>
      </c>
      <c r="K130">
        <f>RTD("greekserver.rtdfunctions",,"102039761 4")/100</f>
        <v>1535.75</v>
      </c>
      <c r="L130">
        <f>RTD("greekserver.rtdfunctions",,"102039761 7")</f>
        <v>100</v>
      </c>
      <c r="M130">
        <f>RTD("greekserver.rtdfunctions",,"102039761 6")/100</f>
        <v>1650.15</v>
      </c>
      <c r="N130">
        <f>RTD("greekserver.rtdfunctions",,"102039761 8")/100</f>
        <v>0</v>
      </c>
      <c r="O130">
        <f>RTD("greekserver.rtdfunctions",,"102039761 12")</f>
        <v>0</v>
      </c>
      <c r="P130">
        <f>RTD("greekserver.rtdfunctions",,"102039761 24")/100</f>
        <v>1535.75</v>
      </c>
      <c r="Q130">
        <f>RTD("greekserver.rtdfunctions",,"102039761 25")</f>
        <v>100</v>
      </c>
      <c r="R130">
        <f>RTD("greekserver.rtdfunctions",,"102039761 26")/100</f>
        <v>1650.15</v>
      </c>
      <c r="S130">
        <f>RTD("greekserver.rtdfunctions",,"102039761 27")</f>
        <v>100</v>
      </c>
      <c r="T130">
        <f>RTD("greekserver.rtdfunctions",,"102039761 13")/100</f>
        <v>0</v>
      </c>
      <c r="U130">
        <f>RTD("greekserver.rtdfunctions",,"102039761 14")/100</f>
        <v>1448.85</v>
      </c>
      <c r="V130">
        <f>RTD("greekserver.rtdfunctions",,"102039761 15")/100</f>
        <v>0</v>
      </c>
      <c r="W130">
        <f>RTD("greekserver.rtdfunctions",,"102039761 16")/100</f>
        <v>0</v>
      </c>
      <c r="X130">
        <f>RTD("greekserver.rtdfunctions",,"102039761 10")/100</f>
        <v>1448.85</v>
      </c>
      <c r="Y130">
        <f>RTD("greekserver.rtdfunctions",,"102039761 11")</f>
        <v>20</v>
      </c>
      <c r="Z130" t="str">
        <f>nseltodate(RTD("greekserver.rtdfunctions",,"102039761 20"))</f>
        <v>09:26:04 AM</v>
      </c>
      <c r="AA130">
        <f>RTD("greekserver.rtdfunctions",,"102039761 18")/100</f>
        <v>0</v>
      </c>
      <c r="AB130">
        <f>RTD("greekserver.rtdfunctions",,"102039761 17")/100</f>
        <v>0</v>
      </c>
      <c r="AC130">
        <f>RTD("greekserver.rtdfunctions",,"102039761 40")/100</f>
        <v>0</v>
      </c>
      <c r="AD130">
        <f>RTD("greekserver.rtdfunctions",,"102039761 34")/100</f>
        <v>0</v>
      </c>
    </row>
    <row r="131" spans="1:30" hidden="1" x14ac:dyDescent="0.2">
      <c r="A131">
        <v>102039762</v>
      </c>
      <c r="B131" t="s">
        <v>93</v>
      </c>
      <c r="C131" t="s">
        <v>345</v>
      </c>
      <c r="D131" t="s">
        <v>102</v>
      </c>
      <c r="E131" s="15">
        <v>43874</v>
      </c>
      <c r="F131">
        <v>33000</v>
      </c>
      <c r="G131" t="s">
        <v>346</v>
      </c>
      <c r="H131">
        <v>39762</v>
      </c>
      <c r="I131">
        <v>20</v>
      </c>
      <c r="J131">
        <f>RTD("greekserver.rtdfunctions",,"102039762 5")</f>
        <v>20</v>
      </c>
      <c r="K131">
        <f>RTD("greekserver.rtdfunctions",,"102039762 4")/100</f>
        <v>0.1</v>
      </c>
      <c r="L131">
        <f>RTD("greekserver.rtdfunctions",,"102039762 7")</f>
        <v>1500</v>
      </c>
      <c r="M131">
        <f>RTD("greekserver.rtdfunctions",,"102039762 6")/100</f>
        <v>0.15</v>
      </c>
      <c r="N131">
        <f>RTD("greekserver.rtdfunctions",,"102039762 8")/100</f>
        <v>0.09</v>
      </c>
      <c r="O131">
        <f>RTD("greekserver.rtdfunctions",,"102039762 12")</f>
        <v>2160</v>
      </c>
      <c r="P131">
        <f>RTD("greekserver.rtdfunctions",,"102039762 24")/100</f>
        <v>0.1</v>
      </c>
      <c r="Q131">
        <f>RTD("greekserver.rtdfunctions",,"102039762 25")</f>
        <v>20</v>
      </c>
      <c r="R131">
        <f>RTD("greekserver.rtdfunctions",,"102039762 26")/100</f>
        <v>0.15</v>
      </c>
      <c r="S131">
        <f>RTD("greekserver.rtdfunctions",,"102039762 27")</f>
        <v>1500</v>
      </c>
      <c r="T131">
        <f>RTD("greekserver.rtdfunctions",,"102039762 13")/100</f>
        <v>0.2</v>
      </c>
      <c r="U131">
        <f>RTD("greekserver.rtdfunctions",,"102039762 14")/100</f>
        <v>0.25</v>
      </c>
      <c r="V131">
        <f>RTD("greekserver.rtdfunctions",,"102039762 15")/100</f>
        <v>0.2</v>
      </c>
      <c r="W131">
        <f>RTD("greekserver.rtdfunctions",,"102039762 16")/100</f>
        <v>0.05</v>
      </c>
      <c r="X131">
        <f>RTD("greekserver.rtdfunctions",,"102039762 10")/100</f>
        <v>0.05</v>
      </c>
      <c r="Y131">
        <f>RTD("greekserver.rtdfunctions",,"102039762 11")</f>
        <v>20</v>
      </c>
      <c r="Z131" t="str">
        <f>nseltodate(RTD("greekserver.rtdfunctions",,"102039762 20"))</f>
        <v>10:33:03 AM</v>
      </c>
      <c r="AA131">
        <f>RTD("greekserver.rtdfunctions",,"102039762 18")/100</f>
        <v>0</v>
      </c>
      <c r="AB131">
        <f>RTD("greekserver.rtdfunctions",,"102039762 17")/100</f>
        <v>0</v>
      </c>
      <c r="AC131">
        <f>RTD("greekserver.rtdfunctions",,"102039762 40")/100</f>
        <v>349.4</v>
      </c>
      <c r="AD131">
        <f>RTD("greekserver.rtdfunctions",,"102039762 34")/100</f>
        <v>0</v>
      </c>
    </row>
    <row r="132" spans="1:30" x14ac:dyDescent="0.2">
      <c r="A132">
        <v>102039763</v>
      </c>
      <c r="B132" t="s">
        <v>93</v>
      </c>
      <c r="C132" t="s">
        <v>345</v>
      </c>
      <c r="D132" t="s">
        <v>102</v>
      </c>
      <c r="E132" s="15">
        <v>43874</v>
      </c>
      <c r="F132">
        <v>33000</v>
      </c>
      <c r="G132" t="s">
        <v>347</v>
      </c>
      <c r="H132">
        <v>39763</v>
      </c>
      <c r="I132">
        <v>20</v>
      </c>
      <c r="J132">
        <f>RTD("greekserver.rtdfunctions",,"102039763 5")</f>
        <v>20</v>
      </c>
      <c r="K132">
        <f>RTD("greekserver.rtdfunctions",,"102039763 4")/100</f>
        <v>1674.95</v>
      </c>
      <c r="L132">
        <f>RTD("greekserver.rtdfunctions",,"102039763 7")</f>
        <v>40</v>
      </c>
      <c r="M132">
        <f>RTD("greekserver.rtdfunctions",,"102039763 6")/100</f>
        <v>1701.1</v>
      </c>
      <c r="N132">
        <f>RTD("greekserver.rtdfunctions",,"102039763 8")/100</f>
        <v>1590.25</v>
      </c>
      <c r="O132">
        <f>RTD("greekserver.rtdfunctions",,"102039763 12")</f>
        <v>20</v>
      </c>
      <c r="P132">
        <f>RTD("greekserver.rtdfunctions",,"102039763 24")/100</f>
        <v>1674.95</v>
      </c>
      <c r="Q132">
        <f>RTD("greekserver.rtdfunctions",,"102039763 25")</f>
        <v>20</v>
      </c>
      <c r="R132">
        <f>RTD("greekserver.rtdfunctions",,"102039763 26")/100</f>
        <v>1701.1</v>
      </c>
      <c r="S132">
        <f>RTD("greekserver.rtdfunctions",,"102039763 27")</f>
        <v>40</v>
      </c>
      <c r="T132">
        <f>RTD("greekserver.rtdfunctions",,"102039763 13")/100</f>
        <v>1590.25</v>
      </c>
      <c r="U132">
        <f>RTD("greekserver.rtdfunctions",,"102039763 14")/100</f>
        <v>1500.4</v>
      </c>
      <c r="V132">
        <f>RTD("greekserver.rtdfunctions",,"102039763 15")/100</f>
        <v>1590.25</v>
      </c>
      <c r="W132">
        <f>RTD("greekserver.rtdfunctions",,"102039763 16")/100</f>
        <v>1590.25</v>
      </c>
      <c r="X132">
        <f>RTD("greekserver.rtdfunctions",,"102039763 10")/100</f>
        <v>1590.25</v>
      </c>
      <c r="Y132">
        <f>RTD("greekserver.rtdfunctions",,"102039763 11")</f>
        <v>20</v>
      </c>
      <c r="Z132" t="str">
        <f>nseltodate(RTD("greekserver.rtdfunctions",,"102039763 20"))</f>
        <v>09:27:54 AM</v>
      </c>
      <c r="AA132">
        <f>RTD("greekserver.rtdfunctions",,"102039763 18")/100</f>
        <v>0</v>
      </c>
      <c r="AB132">
        <f>RTD("greekserver.rtdfunctions",,"102039763 17")/100</f>
        <v>0</v>
      </c>
      <c r="AC132">
        <f>RTD("greekserver.rtdfunctions",,"102039763 40")/100</f>
        <v>100.2</v>
      </c>
      <c r="AD132">
        <f>RTD("greekserver.rtdfunctions",,"102039763 34")/100</f>
        <v>0</v>
      </c>
    </row>
    <row r="133" spans="1:30" hidden="1" x14ac:dyDescent="0.2">
      <c r="A133">
        <v>102039766</v>
      </c>
      <c r="B133" t="s">
        <v>93</v>
      </c>
      <c r="C133" t="s">
        <v>345</v>
      </c>
      <c r="D133" t="s">
        <v>102</v>
      </c>
      <c r="E133" s="15">
        <v>43874</v>
      </c>
      <c r="F133">
        <v>33100</v>
      </c>
      <c r="G133" t="s">
        <v>346</v>
      </c>
      <c r="H133">
        <v>39766</v>
      </c>
      <c r="I133">
        <v>20</v>
      </c>
      <c r="J133">
        <f>RTD("greekserver.rtdfunctions",,"102039766 5")</f>
        <v>1400</v>
      </c>
      <c r="K133">
        <f>RTD("greekserver.rtdfunctions",,"102039766 4")/100</f>
        <v>0.1</v>
      </c>
      <c r="L133">
        <f>RTD("greekserver.rtdfunctions",,"102039766 7")</f>
        <v>40</v>
      </c>
      <c r="M133">
        <f>RTD("greekserver.rtdfunctions",,"102039766 6")/100</f>
        <v>0.2</v>
      </c>
      <c r="N133">
        <f>RTD("greekserver.rtdfunctions",,"102039766 8")/100</f>
        <v>0.6</v>
      </c>
      <c r="O133">
        <f>RTD("greekserver.rtdfunctions",,"102039766 12")</f>
        <v>4700</v>
      </c>
      <c r="P133">
        <f>RTD("greekserver.rtdfunctions",,"102039766 24")/100</f>
        <v>0.1</v>
      </c>
      <c r="Q133">
        <f>RTD("greekserver.rtdfunctions",,"102039766 25")</f>
        <v>1400</v>
      </c>
      <c r="R133">
        <f>RTD("greekserver.rtdfunctions",,"102039766 26")/100</f>
        <v>0.2</v>
      </c>
      <c r="S133">
        <f>RTD("greekserver.rtdfunctions",,"102039766 27")</f>
        <v>40</v>
      </c>
      <c r="T133">
        <f>RTD("greekserver.rtdfunctions",,"102039766 13")/100</f>
        <v>0.5</v>
      </c>
      <c r="U133">
        <f>RTD("greekserver.rtdfunctions",,"102039766 14")/100</f>
        <v>0.2</v>
      </c>
      <c r="V133">
        <f>RTD("greekserver.rtdfunctions",,"102039766 15")/100</f>
        <v>1.9</v>
      </c>
      <c r="W133">
        <f>RTD("greekserver.rtdfunctions",,"102039766 16")/100</f>
        <v>0.05</v>
      </c>
      <c r="X133">
        <f>RTD("greekserver.rtdfunctions",,"102039766 10")/100</f>
        <v>0.1</v>
      </c>
      <c r="Y133">
        <f>RTD("greekserver.rtdfunctions",,"102039766 11")</f>
        <v>20</v>
      </c>
      <c r="Z133" t="str">
        <f>nseltodate(RTD("greekserver.rtdfunctions",,"102039766 20"))</f>
        <v>10:47:02 AM</v>
      </c>
      <c r="AA133">
        <f>RTD("greekserver.rtdfunctions",,"102039766 18")/100</f>
        <v>0</v>
      </c>
      <c r="AB133">
        <f>RTD("greekserver.rtdfunctions",,"102039766 17")/100</f>
        <v>0</v>
      </c>
      <c r="AC133">
        <f>RTD("greekserver.rtdfunctions",,"102039766 40")/100</f>
        <v>50.4</v>
      </c>
      <c r="AD133">
        <f>RTD("greekserver.rtdfunctions",,"102039766 34")/100</f>
        <v>0</v>
      </c>
    </row>
    <row r="134" spans="1:30" x14ac:dyDescent="0.2">
      <c r="A134">
        <v>102039767</v>
      </c>
      <c r="B134" t="s">
        <v>93</v>
      </c>
      <c r="C134" t="s">
        <v>345</v>
      </c>
      <c r="D134" t="s">
        <v>102</v>
      </c>
      <c r="E134" s="15">
        <v>43874</v>
      </c>
      <c r="F134">
        <v>33100</v>
      </c>
      <c r="G134" t="s">
        <v>347</v>
      </c>
      <c r="H134">
        <v>39767</v>
      </c>
      <c r="I134">
        <v>20</v>
      </c>
      <c r="J134">
        <f>RTD("greekserver.rtdfunctions",,"102039767 5")</f>
        <v>100</v>
      </c>
      <c r="K134">
        <f>RTD("greekserver.rtdfunctions",,"102039767 4")/100</f>
        <v>1731.85</v>
      </c>
      <c r="L134">
        <f>RTD("greekserver.rtdfunctions",,"102039767 7")</f>
        <v>100</v>
      </c>
      <c r="M134">
        <f>RTD("greekserver.rtdfunctions",,"102039767 6")/100</f>
        <v>1850.75</v>
      </c>
      <c r="N134">
        <f>RTD("greekserver.rtdfunctions",,"102039767 8")/100</f>
        <v>0</v>
      </c>
      <c r="O134">
        <f>RTD("greekserver.rtdfunctions",,"102039767 12")</f>
        <v>0</v>
      </c>
      <c r="P134">
        <f>RTD("greekserver.rtdfunctions",,"102039767 24")/100</f>
        <v>1731.85</v>
      </c>
      <c r="Q134">
        <f>RTD("greekserver.rtdfunctions",,"102039767 25")</f>
        <v>100</v>
      </c>
      <c r="R134">
        <f>RTD("greekserver.rtdfunctions",,"102039767 26")/100</f>
        <v>1850.75</v>
      </c>
      <c r="S134">
        <f>RTD("greekserver.rtdfunctions",,"102039767 27")</f>
        <v>100</v>
      </c>
      <c r="T134">
        <f>RTD("greekserver.rtdfunctions",,"102039767 13")/100</f>
        <v>0</v>
      </c>
      <c r="U134">
        <f>RTD("greekserver.rtdfunctions",,"102039767 14")/100</f>
        <v>1660.95</v>
      </c>
      <c r="V134">
        <f>RTD("greekserver.rtdfunctions",,"102039767 15")/100</f>
        <v>0</v>
      </c>
      <c r="W134">
        <f>RTD("greekserver.rtdfunctions",,"102039767 16")/100</f>
        <v>0</v>
      </c>
      <c r="X134">
        <f>RTD("greekserver.rtdfunctions",,"102039767 10")/100</f>
        <v>0</v>
      </c>
      <c r="Y134">
        <f>RTD("greekserver.rtdfunctions",,"102039767 11")</f>
        <v>0</v>
      </c>
      <c r="Z134" t="str">
        <f>nseltodate(RTD("greekserver.rtdfunctions",,"102039767 20"))</f>
        <v>N/A</v>
      </c>
      <c r="AA134">
        <f>RTD("greekserver.rtdfunctions",,"102039767 18")/100</f>
        <v>0</v>
      </c>
      <c r="AB134">
        <f>RTD("greekserver.rtdfunctions",,"102039767 17")/100</f>
        <v>0</v>
      </c>
      <c r="AC134">
        <f>RTD("greekserver.rtdfunctions",,"102039767 40")/100</f>
        <v>0</v>
      </c>
      <c r="AD134">
        <f>RTD("greekserver.rtdfunctions",,"102039767 34")/100</f>
        <v>0</v>
      </c>
    </row>
    <row r="135" spans="1:30" hidden="1" x14ac:dyDescent="0.2">
      <c r="A135">
        <v>102039771</v>
      </c>
      <c r="B135" t="s">
        <v>93</v>
      </c>
      <c r="C135" t="s">
        <v>345</v>
      </c>
      <c r="D135" t="s">
        <v>102</v>
      </c>
      <c r="E135" s="15">
        <v>43874</v>
      </c>
      <c r="F135">
        <v>33200</v>
      </c>
      <c r="G135" t="s">
        <v>346</v>
      </c>
      <c r="H135">
        <v>39771</v>
      </c>
      <c r="I135">
        <v>20</v>
      </c>
      <c r="J135">
        <f>RTD("greekserver.rtdfunctions",,"102039771 5")</f>
        <v>0</v>
      </c>
      <c r="K135">
        <f>RTD("greekserver.rtdfunctions",,"102039771 4")/100</f>
        <v>0</v>
      </c>
      <c r="L135">
        <f>RTD("greekserver.rtdfunctions",,"102039771 7")</f>
        <v>200</v>
      </c>
      <c r="M135">
        <f>RTD("greekserver.rtdfunctions",,"102039771 6")/100</f>
        <v>0.35</v>
      </c>
      <c r="N135">
        <f>RTD("greekserver.rtdfunctions",,"102039771 8")/100</f>
        <v>0</v>
      </c>
      <c r="O135">
        <f>RTD("greekserver.rtdfunctions",,"102039771 12")</f>
        <v>0</v>
      </c>
      <c r="P135">
        <f>RTD("greekserver.rtdfunctions",,"102039771 24")/100</f>
        <v>0</v>
      </c>
      <c r="Q135">
        <f>RTD("greekserver.rtdfunctions",,"102039771 25")</f>
        <v>0</v>
      </c>
      <c r="R135">
        <f>RTD("greekserver.rtdfunctions",,"102039771 26")/100</f>
        <v>0.35</v>
      </c>
      <c r="S135">
        <f>RTD("greekserver.rtdfunctions",,"102039771 27")</f>
        <v>200</v>
      </c>
      <c r="T135">
        <f>RTD("greekserver.rtdfunctions",,"102039771 13")/100</f>
        <v>0</v>
      </c>
      <c r="U135">
        <f>RTD("greekserver.rtdfunctions",,"102039771 14")/100</f>
        <v>0.1</v>
      </c>
      <c r="V135">
        <f>RTD("greekserver.rtdfunctions",,"102039771 15")/100</f>
        <v>0</v>
      </c>
      <c r="W135">
        <f>RTD("greekserver.rtdfunctions",,"102039771 16")/100</f>
        <v>0</v>
      </c>
      <c r="X135">
        <f>RTD("greekserver.rtdfunctions",,"102039771 10")/100</f>
        <v>0.1</v>
      </c>
      <c r="Y135">
        <f>RTD("greekserver.rtdfunctions",,"102039771 11")</f>
        <v>20</v>
      </c>
      <c r="Z135" t="str">
        <f>nseltodate(RTD("greekserver.rtdfunctions",,"102039771 20"))</f>
        <v>03:16:10 PM</v>
      </c>
      <c r="AA135">
        <f>RTD("greekserver.rtdfunctions",,"102039771 18")/100</f>
        <v>0</v>
      </c>
      <c r="AB135">
        <f>RTD("greekserver.rtdfunctions",,"102039771 17")/100</f>
        <v>0</v>
      </c>
      <c r="AC135">
        <f>RTD("greekserver.rtdfunctions",,"102039771 40")/100</f>
        <v>0</v>
      </c>
      <c r="AD135">
        <f>RTD("greekserver.rtdfunctions",,"102039771 34")/100</f>
        <v>0</v>
      </c>
    </row>
    <row r="136" spans="1:30" x14ac:dyDescent="0.2">
      <c r="A136">
        <v>102039773</v>
      </c>
      <c r="B136" t="s">
        <v>93</v>
      </c>
      <c r="C136" t="s">
        <v>345</v>
      </c>
      <c r="D136" t="s">
        <v>102</v>
      </c>
      <c r="E136" s="15">
        <v>43874</v>
      </c>
      <c r="F136">
        <v>33200</v>
      </c>
      <c r="G136" t="s">
        <v>347</v>
      </c>
      <c r="H136">
        <v>39773</v>
      </c>
      <c r="I136">
        <v>20</v>
      </c>
      <c r="J136">
        <f>RTD("greekserver.rtdfunctions",,"102039773 5")</f>
        <v>20</v>
      </c>
      <c r="K136">
        <f>RTD("greekserver.rtdfunctions",,"102039773 4")/100</f>
        <v>1873.1</v>
      </c>
      <c r="L136">
        <f>RTD("greekserver.rtdfunctions",,"102039773 7")</f>
        <v>20</v>
      </c>
      <c r="M136">
        <f>RTD("greekserver.rtdfunctions",,"102039773 6")/100</f>
        <v>1932.45</v>
      </c>
      <c r="N136">
        <f>RTD("greekserver.rtdfunctions",,"102039773 8")/100</f>
        <v>0</v>
      </c>
      <c r="O136">
        <f>RTD("greekserver.rtdfunctions",,"102039773 12")</f>
        <v>0</v>
      </c>
      <c r="P136">
        <f>RTD("greekserver.rtdfunctions",,"102039773 24")/100</f>
        <v>1873.1</v>
      </c>
      <c r="Q136">
        <f>RTD("greekserver.rtdfunctions",,"102039773 25")</f>
        <v>20</v>
      </c>
      <c r="R136">
        <f>RTD("greekserver.rtdfunctions",,"102039773 26")/100</f>
        <v>1932.45</v>
      </c>
      <c r="S136">
        <f>RTD("greekserver.rtdfunctions",,"102039773 27")</f>
        <v>20</v>
      </c>
      <c r="T136">
        <f>RTD("greekserver.rtdfunctions",,"102039773 13")/100</f>
        <v>0</v>
      </c>
      <c r="U136">
        <f>RTD("greekserver.rtdfunctions",,"102039773 14")/100</f>
        <v>1587.6</v>
      </c>
      <c r="V136">
        <f>RTD("greekserver.rtdfunctions",,"102039773 15")/100</f>
        <v>0</v>
      </c>
      <c r="W136">
        <f>RTD("greekserver.rtdfunctions",,"102039773 16")/100</f>
        <v>0</v>
      </c>
      <c r="X136">
        <f>RTD("greekserver.rtdfunctions",,"102039773 10")/100</f>
        <v>1587.6</v>
      </c>
      <c r="Y136">
        <f>RTD("greekserver.rtdfunctions",,"102039773 11")</f>
        <v>20</v>
      </c>
      <c r="Z136" t="str">
        <f>nseltodate(RTD("greekserver.rtdfunctions",,"102039773 20"))</f>
        <v>02:07:55 PM</v>
      </c>
      <c r="AA136">
        <f>RTD("greekserver.rtdfunctions",,"102039773 18")/100</f>
        <v>0</v>
      </c>
      <c r="AB136">
        <f>RTD("greekserver.rtdfunctions",,"102039773 17")/100</f>
        <v>0</v>
      </c>
      <c r="AC136">
        <f>RTD("greekserver.rtdfunctions",,"102039773 40")/100</f>
        <v>0</v>
      </c>
      <c r="AD136">
        <f>RTD("greekserver.rtdfunctions",,"102039773 34")/100</f>
        <v>0</v>
      </c>
    </row>
    <row r="137" spans="1:30" hidden="1" x14ac:dyDescent="0.2">
      <c r="A137">
        <v>102039776</v>
      </c>
      <c r="B137" t="s">
        <v>93</v>
      </c>
      <c r="C137" t="s">
        <v>345</v>
      </c>
      <c r="D137" t="s">
        <v>102</v>
      </c>
      <c r="E137" s="15">
        <v>43874</v>
      </c>
      <c r="F137">
        <v>33300</v>
      </c>
      <c r="G137" t="s">
        <v>346</v>
      </c>
      <c r="H137">
        <v>39776</v>
      </c>
      <c r="I137">
        <v>20</v>
      </c>
      <c r="J137">
        <f>RTD("greekserver.rtdfunctions",,"102039776 5")</f>
        <v>0</v>
      </c>
      <c r="K137">
        <f>RTD("greekserver.rtdfunctions",,"102039776 4")/100</f>
        <v>0</v>
      </c>
      <c r="L137">
        <f>RTD("greekserver.rtdfunctions",,"102039776 7")</f>
        <v>20</v>
      </c>
      <c r="M137">
        <f>RTD("greekserver.rtdfunctions",,"102039776 6")/100</f>
        <v>0.5</v>
      </c>
      <c r="N137">
        <f>RTD("greekserver.rtdfunctions",,"102039776 8")/100</f>
        <v>0</v>
      </c>
      <c r="O137">
        <f>RTD("greekserver.rtdfunctions",,"102039776 12")</f>
        <v>0</v>
      </c>
      <c r="P137">
        <f>RTD("greekserver.rtdfunctions",,"102039776 24")/100</f>
        <v>0</v>
      </c>
      <c r="Q137">
        <f>RTD("greekserver.rtdfunctions",,"102039776 25")</f>
        <v>0</v>
      </c>
      <c r="R137">
        <f>RTD("greekserver.rtdfunctions",,"102039776 26")/100</f>
        <v>0.5</v>
      </c>
      <c r="S137">
        <f>RTD("greekserver.rtdfunctions",,"102039776 27")</f>
        <v>20</v>
      </c>
      <c r="T137">
        <f>RTD("greekserver.rtdfunctions",,"102039776 13")/100</f>
        <v>0</v>
      </c>
      <c r="U137">
        <f>RTD("greekserver.rtdfunctions",,"102039776 14")/100</f>
        <v>1.95</v>
      </c>
      <c r="V137">
        <f>RTD("greekserver.rtdfunctions",,"102039776 15")/100</f>
        <v>0</v>
      </c>
      <c r="W137">
        <f>RTD("greekserver.rtdfunctions",,"102039776 16")/100</f>
        <v>0</v>
      </c>
      <c r="X137">
        <f>RTD("greekserver.rtdfunctions",,"102039776 10")/100</f>
        <v>1.95</v>
      </c>
      <c r="Y137">
        <f>RTD("greekserver.rtdfunctions",,"102039776 11")</f>
        <v>20</v>
      </c>
      <c r="Z137" t="str">
        <f>nseltodate(RTD("greekserver.rtdfunctions",,"102039776 20"))</f>
        <v>03:29:33 PM</v>
      </c>
      <c r="AA137">
        <f>RTD("greekserver.rtdfunctions",,"102039776 18")/100</f>
        <v>0</v>
      </c>
      <c r="AB137">
        <f>RTD("greekserver.rtdfunctions",,"102039776 17")/100</f>
        <v>0</v>
      </c>
      <c r="AC137">
        <f>RTD("greekserver.rtdfunctions",,"102039776 40")/100</f>
        <v>0</v>
      </c>
      <c r="AD137">
        <f>RTD("greekserver.rtdfunctions",,"102039776 34")/100</f>
        <v>0</v>
      </c>
    </row>
    <row r="138" spans="1:30" x14ac:dyDescent="0.2">
      <c r="A138">
        <v>102039777</v>
      </c>
      <c r="B138" t="s">
        <v>93</v>
      </c>
      <c r="C138" t="s">
        <v>345</v>
      </c>
      <c r="D138" t="s">
        <v>102</v>
      </c>
      <c r="E138" s="15">
        <v>43874</v>
      </c>
      <c r="F138">
        <v>33300</v>
      </c>
      <c r="G138" t="s">
        <v>347</v>
      </c>
      <c r="H138">
        <v>39777</v>
      </c>
      <c r="I138">
        <v>20</v>
      </c>
      <c r="J138">
        <f>RTD("greekserver.rtdfunctions",,"102039777 5")</f>
        <v>100</v>
      </c>
      <c r="K138">
        <f>RTD("greekserver.rtdfunctions",,"102039777 4")/100</f>
        <v>1937.05</v>
      </c>
      <c r="L138">
        <f>RTD("greekserver.rtdfunctions",,"102039777 7")</f>
        <v>100</v>
      </c>
      <c r="M138">
        <f>RTD("greekserver.rtdfunctions",,"102039777 6")/100</f>
        <v>2050.6</v>
      </c>
      <c r="N138">
        <f>RTD("greekserver.rtdfunctions",,"102039777 8")/100</f>
        <v>0</v>
      </c>
      <c r="O138">
        <f>RTD("greekserver.rtdfunctions",,"102039777 12")</f>
        <v>0</v>
      </c>
      <c r="P138">
        <f>RTD("greekserver.rtdfunctions",,"102039777 24")/100</f>
        <v>1937.05</v>
      </c>
      <c r="Q138">
        <f>RTD("greekserver.rtdfunctions",,"102039777 25")</f>
        <v>100</v>
      </c>
      <c r="R138">
        <f>RTD("greekserver.rtdfunctions",,"102039777 26")/100</f>
        <v>2050.6</v>
      </c>
      <c r="S138">
        <f>RTD("greekserver.rtdfunctions",,"102039777 27")</f>
        <v>100</v>
      </c>
      <c r="T138">
        <f>RTD("greekserver.rtdfunctions",,"102039777 13")/100</f>
        <v>0</v>
      </c>
      <c r="U138">
        <f>RTD("greekserver.rtdfunctions",,"102039777 14")/100</f>
        <v>1799</v>
      </c>
      <c r="V138">
        <f>RTD("greekserver.rtdfunctions",,"102039777 15")/100</f>
        <v>0</v>
      </c>
      <c r="W138">
        <f>RTD("greekserver.rtdfunctions",,"102039777 16")/100</f>
        <v>0</v>
      </c>
      <c r="X138">
        <f>RTD("greekserver.rtdfunctions",,"102039777 10")/100</f>
        <v>0</v>
      </c>
      <c r="Y138">
        <f>RTD("greekserver.rtdfunctions",,"102039777 11")</f>
        <v>0</v>
      </c>
      <c r="Z138" t="str">
        <f>nseltodate(RTD("greekserver.rtdfunctions",,"102039777 20"))</f>
        <v>N/A</v>
      </c>
      <c r="AA138">
        <f>RTD("greekserver.rtdfunctions",,"102039777 18")/100</f>
        <v>0</v>
      </c>
      <c r="AB138">
        <f>RTD("greekserver.rtdfunctions",,"102039777 17")/100</f>
        <v>0</v>
      </c>
      <c r="AC138">
        <f>RTD("greekserver.rtdfunctions",,"102039777 40")/100</f>
        <v>0</v>
      </c>
      <c r="AD138">
        <f>RTD("greekserver.rtdfunctions",,"102039777 34")/100</f>
        <v>0</v>
      </c>
    </row>
    <row r="139" spans="1:30" hidden="1" x14ac:dyDescent="0.2">
      <c r="A139">
        <v>102039778</v>
      </c>
      <c r="B139" t="s">
        <v>93</v>
      </c>
      <c r="C139" t="s">
        <v>345</v>
      </c>
      <c r="D139" t="s">
        <v>102</v>
      </c>
      <c r="E139" s="15">
        <v>43874</v>
      </c>
      <c r="F139">
        <v>33400</v>
      </c>
      <c r="G139" t="s">
        <v>346</v>
      </c>
      <c r="H139">
        <v>39778</v>
      </c>
      <c r="I139">
        <v>20</v>
      </c>
      <c r="J139">
        <f>RTD("greekserver.rtdfunctions",,"102039778 5")</f>
        <v>0</v>
      </c>
      <c r="K139">
        <f>RTD("greekserver.rtdfunctions",,"102039778 4")/100</f>
        <v>0</v>
      </c>
      <c r="L139">
        <f>RTD("greekserver.rtdfunctions",,"102039778 7")</f>
        <v>20</v>
      </c>
      <c r="M139">
        <f>RTD("greekserver.rtdfunctions",,"102039778 6")/100</f>
        <v>0.4</v>
      </c>
      <c r="N139">
        <f>RTD("greekserver.rtdfunctions",,"102039778 8")/100</f>
        <v>0</v>
      </c>
      <c r="O139">
        <f>RTD("greekserver.rtdfunctions",,"102039778 12")</f>
        <v>0</v>
      </c>
      <c r="P139">
        <f>RTD("greekserver.rtdfunctions",,"102039778 24")/100</f>
        <v>0</v>
      </c>
      <c r="Q139">
        <f>RTD("greekserver.rtdfunctions",,"102039778 25")</f>
        <v>0</v>
      </c>
      <c r="R139">
        <f>RTD("greekserver.rtdfunctions",,"102039778 26")/100</f>
        <v>0.4</v>
      </c>
      <c r="S139">
        <f>RTD("greekserver.rtdfunctions",,"102039778 27")</f>
        <v>20</v>
      </c>
      <c r="T139">
        <f>RTD("greekserver.rtdfunctions",,"102039778 13")/100</f>
        <v>0</v>
      </c>
      <c r="U139">
        <f>RTD("greekserver.rtdfunctions",,"102039778 14")/100</f>
        <v>462.95</v>
      </c>
      <c r="V139">
        <f>RTD("greekserver.rtdfunctions",,"102039778 15")/100</f>
        <v>0</v>
      </c>
      <c r="W139">
        <f>RTD("greekserver.rtdfunctions",,"102039778 16")/100</f>
        <v>0</v>
      </c>
      <c r="X139">
        <f>RTD("greekserver.rtdfunctions",,"102039778 10")/100</f>
        <v>0</v>
      </c>
      <c r="Y139">
        <f>RTD("greekserver.rtdfunctions",,"102039778 11")</f>
        <v>0</v>
      </c>
      <c r="Z139" t="str">
        <f>nseltodate(RTD("greekserver.rtdfunctions",,"102039778 20"))</f>
        <v>N/A</v>
      </c>
      <c r="AA139">
        <f>RTD("greekserver.rtdfunctions",,"102039778 18")/100</f>
        <v>0</v>
      </c>
      <c r="AB139">
        <f>RTD("greekserver.rtdfunctions",,"102039778 17")/100</f>
        <v>0</v>
      </c>
      <c r="AC139">
        <f>RTD("greekserver.rtdfunctions",,"102039778 40")/100</f>
        <v>0</v>
      </c>
      <c r="AD139">
        <f>RTD("greekserver.rtdfunctions",,"102039778 34")/100</f>
        <v>0</v>
      </c>
    </row>
    <row r="140" spans="1:30" x14ac:dyDescent="0.2">
      <c r="A140">
        <v>102039781</v>
      </c>
      <c r="B140" t="s">
        <v>93</v>
      </c>
      <c r="C140" t="s">
        <v>345</v>
      </c>
      <c r="D140" t="s">
        <v>102</v>
      </c>
      <c r="E140" s="15">
        <v>43874</v>
      </c>
      <c r="F140">
        <v>33400</v>
      </c>
      <c r="G140" t="s">
        <v>347</v>
      </c>
      <c r="H140">
        <v>39781</v>
      </c>
      <c r="I140">
        <v>20</v>
      </c>
      <c r="J140">
        <f>RTD("greekserver.rtdfunctions",,"102039781 5")</f>
        <v>100</v>
      </c>
      <c r="K140">
        <f>RTD("greekserver.rtdfunctions",,"102039781 4")/100</f>
        <v>2031.9</v>
      </c>
      <c r="L140">
        <f>RTD("greekserver.rtdfunctions",,"102039781 7")</f>
        <v>100</v>
      </c>
      <c r="M140">
        <f>RTD("greekserver.rtdfunctions",,"102039781 6")/100</f>
        <v>2150.6</v>
      </c>
      <c r="N140">
        <f>RTD("greekserver.rtdfunctions",,"102039781 8")/100</f>
        <v>0</v>
      </c>
      <c r="O140">
        <f>RTD("greekserver.rtdfunctions",,"102039781 12")</f>
        <v>0</v>
      </c>
      <c r="P140">
        <f>RTD("greekserver.rtdfunctions",,"102039781 24")/100</f>
        <v>2031.9</v>
      </c>
      <c r="Q140">
        <f>RTD("greekserver.rtdfunctions",,"102039781 25")</f>
        <v>100</v>
      </c>
      <c r="R140">
        <f>RTD("greekserver.rtdfunctions",,"102039781 26")/100</f>
        <v>2150.6</v>
      </c>
      <c r="S140">
        <f>RTD("greekserver.rtdfunctions",,"102039781 27")</f>
        <v>100</v>
      </c>
      <c r="T140">
        <f>RTD("greekserver.rtdfunctions",,"102039781 13")/100</f>
        <v>0</v>
      </c>
      <c r="U140">
        <f>RTD("greekserver.rtdfunctions",,"102039781 14")/100</f>
        <v>1869.95</v>
      </c>
      <c r="V140">
        <f>RTD("greekserver.rtdfunctions",,"102039781 15")/100</f>
        <v>0</v>
      </c>
      <c r="W140">
        <f>RTD("greekserver.rtdfunctions",,"102039781 16")/100</f>
        <v>0</v>
      </c>
      <c r="X140">
        <f>RTD("greekserver.rtdfunctions",,"102039781 10")/100</f>
        <v>0</v>
      </c>
      <c r="Y140">
        <f>RTD("greekserver.rtdfunctions",,"102039781 11")</f>
        <v>0</v>
      </c>
      <c r="Z140" t="str">
        <f>nseltodate(RTD("greekserver.rtdfunctions",,"102039781 20"))</f>
        <v>N/A</v>
      </c>
      <c r="AA140">
        <f>RTD("greekserver.rtdfunctions",,"102039781 18")/100</f>
        <v>0</v>
      </c>
      <c r="AB140">
        <f>RTD("greekserver.rtdfunctions",,"102039781 17")/100</f>
        <v>0</v>
      </c>
      <c r="AC140">
        <f>RTD("greekserver.rtdfunctions",,"102039781 40")/100</f>
        <v>0</v>
      </c>
      <c r="AD140">
        <f>RTD("greekserver.rtdfunctions",,"102039781 34")/100</f>
        <v>0</v>
      </c>
    </row>
    <row r="141" spans="1:30" hidden="1" x14ac:dyDescent="0.2">
      <c r="A141">
        <v>102039786</v>
      </c>
      <c r="B141" t="s">
        <v>93</v>
      </c>
      <c r="C141" t="s">
        <v>345</v>
      </c>
      <c r="D141" t="s">
        <v>102</v>
      </c>
      <c r="E141" s="15">
        <v>43874</v>
      </c>
      <c r="F141">
        <v>33500</v>
      </c>
      <c r="G141" t="s">
        <v>346</v>
      </c>
      <c r="H141">
        <v>39786</v>
      </c>
      <c r="I141">
        <v>20</v>
      </c>
      <c r="J141">
        <f>RTD("greekserver.rtdfunctions",,"102039786 5")</f>
        <v>600</v>
      </c>
      <c r="K141">
        <f>RTD("greekserver.rtdfunctions",,"102039786 4")/100</f>
        <v>0.05</v>
      </c>
      <c r="L141">
        <f>RTD("greekserver.rtdfunctions",,"102039786 7")</f>
        <v>380</v>
      </c>
      <c r="M141">
        <f>RTD("greekserver.rtdfunctions",,"102039786 6")/100</f>
        <v>0.15</v>
      </c>
      <c r="N141">
        <f>RTD("greekserver.rtdfunctions",,"102039786 8")/100</f>
        <v>0</v>
      </c>
      <c r="O141">
        <f>RTD("greekserver.rtdfunctions",,"102039786 12")</f>
        <v>0</v>
      </c>
      <c r="P141">
        <f>RTD("greekserver.rtdfunctions",,"102039786 24")/100</f>
        <v>0.05</v>
      </c>
      <c r="Q141">
        <f>RTD("greekserver.rtdfunctions",,"102039786 25")</f>
        <v>600</v>
      </c>
      <c r="R141">
        <f>RTD("greekserver.rtdfunctions",,"102039786 26")/100</f>
        <v>0.15</v>
      </c>
      <c r="S141">
        <f>RTD("greekserver.rtdfunctions",,"102039786 27")</f>
        <v>380</v>
      </c>
      <c r="T141">
        <f>RTD("greekserver.rtdfunctions",,"102039786 13")/100</f>
        <v>0</v>
      </c>
      <c r="U141">
        <f>RTD("greekserver.rtdfunctions",,"102039786 14")/100</f>
        <v>0.25</v>
      </c>
      <c r="V141">
        <f>RTD("greekserver.rtdfunctions",,"102039786 15")/100</f>
        <v>0</v>
      </c>
      <c r="W141">
        <f>RTD("greekserver.rtdfunctions",,"102039786 16")/100</f>
        <v>0</v>
      </c>
      <c r="X141">
        <f>RTD("greekserver.rtdfunctions",,"102039786 10")/100</f>
        <v>0.25</v>
      </c>
      <c r="Y141">
        <f>RTD("greekserver.rtdfunctions",,"102039786 11")</f>
        <v>20</v>
      </c>
      <c r="Z141" t="str">
        <f>nseltodate(RTD("greekserver.rtdfunctions",,"102039786 20"))</f>
        <v>03:29:50 PM</v>
      </c>
      <c r="AA141">
        <f>RTD("greekserver.rtdfunctions",,"102039786 18")/100</f>
        <v>0</v>
      </c>
      <c r="AB141">
        <f>RTD("greekserver.rtdfunctions",,"102039786 17")/100</f>
        <v>0</v>
      </c>
      <c r="AC141">
        <f>RTD("greekserver.rtdfunctions",,"102039786 40")/100</f>
        <v>0</v>
      </c>
      <c r="AD141">
        <f>RTD("greekserver.rtdfunctions",,"102039786 34")/100</f>
        <v>0</v>
      </c>
    </row>
    <row r="142" spans="1:30" x14ac:dyDescent="0.2">
      <c r="A142">
        <v>102039787</v>
      </c>
      <c r="B142" t="s">
        <v>93</v>
      </c>
      <c r="C142" t="s">
        <v>345</v>
      </c>
      <c r="D142" t="s">
        <v>102</v>
      </c>
      <c r="E142" s="15">
        <v>43874</v>
      </c>
      <c r="F142">
        <v>33500</v>
      </c>
      <c r="G142" t="s">
        <v>347</v>
      </c>
      <c r="H142">
        <v>39787</v>
      </c>
      <c r="I142">
        <v>20</v>
      </c>
      <c r="J142">
        <f>RTD("greekserver.rtdfunctions",,"102039787 5")</f>
        <v>100</v>
      </c>
      <c r="K142">
        <f>RTD("greekserver.rtdfunctions",,"102039787 4")/100</f>
        <v>2130.35</v>
      </c>
      <c r="L142">
        <f>RTD("greekserver.rtdfunctions",,"102039787 7")</f>
        <v>100</v>
      </c>
      <c r="M142">
        <f>RTD("greekserver.rtdfunctions",,"102039787 6")/100</f>
        <v>2250.75</v>
      </c>
      <c r="N142">
        <f>RTD("greekserver.rtdfunctions",,"102039787 8")/100</f>
        <v>0</v>
      </c>
      <c r="O142">
        <f>RTD("greekserver.rtdfunctions",,"102039787 12")</f>
        <v>0</v>
      </c>
      <c r="P142">
        <f>RTD("greekserver.rtdfunctions",,"102039787 24")/100</f>
        <v>2130.35</v>
      </c>
      <c r="Q142">
        <f>RTD("greekserver.rtdfunctions",,"102039787 25")</f>
        <v>100</v>
      </c>
      <c r="R142">
        <f>RTD("greekserver.rtdfunctions",,"102039787 26")/100</f>
        <v>2250.75</v>
      </c>
      <c r="S142">
        <f>RTD("greekserver.rtdfunctions",,"102039787 27")</f>
        <v>100</v>
      </c>
      <c r="T142">
        <f>RTD("greekserver.rtdfunctions",,"102039787 13")/100</f>
        <v>0</v>
      </c>
      <c r="U142">
        <f>RTD("greekserver.rtdfunctions",,"102039787 14")/100</f>
        <v>3222.4</v>
      </c>
      <c r="V142">
        <f>RTD("greekserver.rtdfunctions",,"102039787 15")/100</f>
        <v>0</v>
      </c>
      <c r="W142">
        <f>RTD("greekserver.rtdfunctions",,"102039787 16")/100</f>
        <v>0</v>
      </c>
      <c r="X142">
        <f>RTD("greekserver.rtdfunctions",,"102039787 10")/100</f>
        <v>3222.4</v>
      </c>
      <c r="Y142">
        <f>RTD("greekserver.rtdfunctions",,"102039787 11")</f>
        <v>40</v>
      </c>
      <c r="Z142" t="str">
        <f>nseltodate(RTD("greekserver.rtdfunctions",,"102039787 20"))</f>
        <v>09:15:22 AM</v>
      </c>
      <c r="AA142">
        <f>RTD("greekserver.rtdfunctions",,"102039787 18")/100</f>
        <v>0</v>
      </c>
      <c r="AB142">
        <f>RTD("greekserver.rtdfunctions",,"102039787 17")/100</f>
        <v>0</v>
      </c>
      <c r="AC142">
        <f>RTD("greekserver.rtdfunctions",,"102039787 40")/100</f>
        <v>0</v>
      </c>
      <c r="AD142">
        <f>RTD("greekserver.rtdfunctions",,"102039787 34")/100</f>
        <v>0</v>
      </c>
    </row>
    <row r="143" spans="1:30" hidden="1" x14ac:dyDescent="0.2">
      <c r="A143">
        <v>102039790</v>
      </c>
      <c r="B143" t="s">
        <v>93</v>
      </c>
      <c r="C143" t="s">
        <v>345</v>
      </c>
      <c r="D143" t="s">
        <v>102</v>
      </c>
      <c r="E143" s="15">
        <v>43874</v>
      </c>
      <c r="F143">
        <v>33600</v>
      </c>
      <c r="G143" t="s">
        <v>346</v>
      </c>
      <c r="H143">
        <v>39790</v>
      </c>
      <c r="I143">
        <v>20</v>
      </c>
      <c r="J143">
        <f>RTD("greekserver.rtdfunctions",,"102039790 5")</f>
        <v>0</v>
      </c>
      <c r="K143">
        <f>RTD("greekserver.rtdfunctions",,"102039790 4")/100</f>
        <v>0</v>
      </c>
      <c r="L143">
        <f>RTD("greekserver.rtdfunctions",,"102039790 7")</f>
        <v>20</v>
      </c>
      <c r="M143">
        <f>RTD("greekserver.rtdfunctions",,"102039790 6")/100</f>
        <v>0.5</v>
      </c>
      <c r="N143">
        <f>RTD("greekserver.rtdfunctions",,"102039790 8")/100</f>
        <v>0</v>
      </c>
      <c r="O143">
        <f>RTD("greekserver.rtdfunctions",,"102039790 12")</f>
        <v>0</v>
      </c>
      <c r="P143">
        <f>RTD("greekserver.rtdfunctions",,"102039790 24")/100</f>
        <v>0</v>
      </c>
      <c r="Q143">
        <f>RTD("greekserver.rtdfunctions",,"102039790 25")</f>
        <v>0</v>
      </c>
      <c r="R143">
        <f>RTD("greekserver.rtdfunctions",,"102039790 26")/100</f>
        <v>0.5</v>
      </c>
      <c r="S143">
        <f>RTD("greekserver.rtdfunctions",,"102039790 27")</f>
        <v>20</v>
      </c>
      <c r="T143">
        <f>RTD("greekserver.rtdfunctions",,"102039790 13")/100</f>
        <v>0</v>
      </c>
      <c r="U143">
        <f>RTD("greekserver.rtdfunctions",,"102039790 14")/100</f>
        <v>412</v>
      </c>
      <c r="V143">
        <f>RTD("greekserver.rtdfunctions",,"102039790 15")/100</f>
        <v>0</v>
      </c>
      <c r="W143">
        <f>RTD("greekserver.rtdfunctions",,"102039790 16")/100</f>
        <v>0</v>
      </c>
      <c r="X143">
        <f>RTD("greekserver.rtdfunctions",,"102039790 10")/100</f>
        <v>0</v>
      </c>
      <c r="Y143">
        <f>RTD("greekserver.rtdfunctions",,"102039790 11")</f>
        <v>0</v>
      </c>
      <c r="Z143" t="str">
        <f>nseltodate(RTD("greekserver.rtdfunctions",,"102039790 20"))</f>
        <v>N/A</v>
      </c>
      <c r="AA143">
        <f>RTD("greekserver.rtdfunctions",,"102039790 18")/100</f>
        <v>0</v>
      </c>
      <c r="AB143">
        <f>RTD("greekserver.rtdfunctions",,"102039790 17")/100</f>
        <v>0</v>
      </c>
      <c r="AC143">
        <f>RTD("greekserver.rtdfunctions",,"102039790 40")/100</f>
        <v>0</v>
      </c>
      <c r="AD143">
        <f>RTD("greekserver.rtdfunctions",,"102039790 34")/100</f>
        <v>0</v>
      </c>
    </row>
    <row r="144" spans="1:30" x14ac:dyDescent="0.2">
      <c r="A144">
        <v>102039791</v>
      </c>
      <c r="B144" t="s">
        <v>93</v>
      </c>
      <c r="C144" t="s">
        <v>345</v>
      </c>
      <c r="D144" t="s">
        <v>102</v>
      </c>
      <c r="E144" s="15">
        <v>43874</v>
      </c>
      <c r="F144">
        <v>33600</v>
      </c>
      <c r="G144" t="s">
        <v>347</v>
      </c>
      <c r="H144">
        <v>39791</v>
      </c>
      <c r="I144">
        <v>20</v>
      </c>
      <c r="J144">
        <f>RTD("greekserver.rtdfunctions",,"102039791 5")</f>
        <v>100</v>
      </c>
      <c r="K144">
        <f>RTD("greekserver.rtdfunctions",,"102039791 4")/100</f>
        <v>2230.9</v>
      </c>
      <c r="L144">
        <f>RTD("greekserver.rtdfunctions",,"102039791 7")</f>
        <v>100</v>
      </c>
      <c r="M144">
        <f>RTD("greekserver.rtdfunctions",,"102039791 6")/100</f>
        <v>2350.75</v>
      </c>
      <c r="N144">
        <f>RTD("greekserver.rtdfunctions",,"102039791 8")/100</f>
        <v>0</v>
      </c>
      <c r="O144">
        <f>RTD("greekserver.rtdfunctions",,"102039791 12")</f>
        <v>0</v>
      </c>
      <c r="P144">
        <f>RTD("greekserver.rtdfunctions",,"102039791 24")/100</f>
        <v>2230.9</v>
      </c>
      <c r="Q144">
        <f>RTD("greekserver.rtdfunctions",,"102039791 25")</f>
        <v>100</v>
      </c>
      <c r="R144">
        <f>RTD("greekserver.rtdfunctions",,"102039791 26")/100</f>
        <v>2350.75</v>
      </c>
      <c r="S144">
        <f>RTD("greekserver.rtdfunctions",,"102039791 27")</f>
        <v>100</v>
      </c>
      <c r="T144">
        <f>RTD("greekserver.rtdfunctions",,"102039791 13")/100</f>
        <v>0</v>
      </c>
      <c r="U144">
        <f>RTD("greekserver.rtdfunctions",,"102039791 14")/100</f>
        <v>2017.05</v>
      </c>
      <c r="V144">
        <f>RTD("greekserver.rtdfunctions",,"102039791 15")/100</f>
        <v>0</v>
      </c>
      <c r="W144">
        <f>RTD("greekserver.rtdfunctions",,"102039791 16")/100</f>
        <v>0</v>
      </c>
      <c r="X144">
        <f>RTD("greekserver.rtdfunctions",,"102039791 10")/100</f>
        <v>0</v>
      </c>
      <c r="Y144">
        <f>RTD("greekserver.rtdfunctions",,"102039791 11")</f>
        <v>0</v>
      </c>
      <c r="Z144" t="str">
        <f>nseltodate(RTD("greekserver.rtdfunctions",,"102039791 20"))</f>
        <v>N/A</v>
      </c>
      <c r="AA144">
        <f>RTD("greekserver.rtdfunctions",,"102039791 18")/100</f>
        <v>0</v>
      </c>
      <c r="AB144">
        <f>RTD("greekserver.rtdfunctions",,"102039791 17")/100</f>
        <v>0</v>
      </c>
      <c r="AC144">
        <f>RTD("greekserver.rtdfunctions",,"102039791 40")/100</f>
        <v>0</v>
      </c>
      <c r="AD144">
        <f>RTD("greekserver.rtdfunctions",,"102039791 34")/100</f>
        <v>0</v>
      </c>
    </row>
    <row r="145" spans="1:30" hidden="1" x14ac:dyDescent="0.2">
      <c r="A145">
        <v>102039794</v>
      </c>
      <c r="B145" t="s">
        <v>93</v>
      </c>
      <c r="C145" t="s">
        <v>345</v>
      </c>
      <c r="D145" t="s">
        <v>102</v>
      </c>
      <c r="E145" s="15">
        <v>43874</v>
      </c>
      <c r="F145">
        <v>33700</v>
      </c>
      <c r="G145" t="s">
        <v>346</v>
      </c>
      <c r="H145">
        <v>39794</v>
      </c>
      <c r="I145">
        <v>20</v>
      </c>
      <c r="J145">
        <f>RTD("greekserver.rtdfunctions",,"102039794 5")</f>
        <v>0</v>
      </c>
      <c r="K145">
        <f>RTD("greekserver.rtdfunctions",,"102039794 4")/100</f>
        <v>0</v>
      </c>
      <c r="L145">
        <f>RTD("greekserver.rtdfunctions",,"102039794 7")</f>
        <v>20</v>
      </c>
      <c r="M145">
        <f>RTD("greekserver.rtdfunctions",,"102039794 6")/100</f>
        <v>0.5</v>
      </c>
      <c r="N145">
        <f>RTD("greekserver.rtdfunctions",,"102039794 8")/100</f>
        <v>0</v>
      </c>
      <c r="O145">
        <f>RTD("greekserver.rtdfunctions",,"102039794 12")</f>
        <v>0</v>
      </c>
      <c r="P145">
        <f>RTD("greekserver.rtdfunctions",,"102039794 24")/100</f>
        <v>0</v>
      </c>
      <c r="Q145">
        <f>RTD("greekserver.rtdfunctions",,"102039794 25")</f>
        <v>0</v>
      </c>
      <c r="R145">
        <f>RTD("greekserver.rtdfunctions",,"102039794 26")/100</f>
        <v>0.5</v>
      </c>
      <c r="S145">
        <f>RTD("greekserver.rtdfunctions",,"102039794 27")</f>
        <v>20</v>
      </c>
      <c r="T145">
        <f>RTD("greekserver.rtdfunctions",,"102039794 13")/100</f>
        <v>0</v>
      </c>
      <c r="U145">
        <f>RTD("greekserver.rtdfunctions",,"102039794 14")/100</f>
        <v>387.85</v>
      </c>
      <c r="V145">
        <f>RTD("greekserver.rtdfunctions",,"102039794 15")/100</f>
        <v>0</v>
      </c>
      <c r="W145">
        <f>RTD("greekserver.rtdfunctions",,"102039794 16")/100</f>
        <v>0</v>
      </c>
      <c r="X145">
        <f>RTD("greekserver.rtdfunctions",,"102039794 10")/100</f>
        <v>0</v>
      </c>
      <c r="Y145">
        <f>RTD("greekserver.rtdfunctions",,"102039794 11")</f>
        <v>0</v>
      </c>
      <c r="Z145" t="str">
        <f>nseltodate(RTD("greekserver.rtdfunctions",,"102039794 20"))</f>
        <v>N/A</v>
      </c>
      <c r="AA145">
        <f>RTD("greekserver.rtdfunctions",,"102039794 18")/100</f>
        <v>0</v>
      </c>
      <c r="AB145">
        <f>RTD("greekserver.rtdfunctions",,"102039794 17")/100</f>
        <v>0</v>
      </c>
      <c r="AC145">
        <f>RTD("greekserver.rtdfunctions",,"102039794 40")/100</f>
        <v>0</v>
      </c>
      <c r="AD145">
        <f>RTD("greekserver.rtdfunctions",,"102039794 34")/100</f>
        <v>0</v>
      </c>
    </row>
    <row r="146" spans="1:30" x14ac:dyDescent="0.2">
      <c r="A146">
        <v>102039795</v>
      </c>
      <c r="B146" t="s">
        <v>93</v>
      </c>
      <c r="C146" t="s">
        <v>345</v>
      </c>
      <c r="D146" t="s">
        <v>102</v>
      </c>
      <c r="E146" s="15">
        <v>43874</v>
      </c>
      <c r="F146">
        <v>33700</v>
      </c>
      <c r="G146" t="s">
        <v>347</v>
      </c>
      <c r="H146">
        <v>39795</v>
      </c>
      <c r="I146">
        <v>20</v>
      </c>
      <c r="J146">
        <f>RTD("greekserver.rtdfunctions",,"102039795 5")</f>
        <v>100</v>
      </c>
      <c r="K146">
        <f>RTD("greekserver.rtdfunctions",,"102039795 4")/100</f>
        <v>2331.9</v>
      </c>
      <c r="L146">
        <f>RTD("greekserver.rtdfunctions",,"102039795 7")</f>
        <v>100</v>
      </c>
      <c r="M146">
        <f>RTD("greekserver.rtdfunctions",,"102039795 6")/100</f>
        <v>2450.75</v>
      </c>
      <c r="N146">
        <f>RTD("greekserver.rtdfunctions",,"102039795 8")/100</f>
        <v>0</v>
      </c>
      <c r="O146">
        <f>RTD("greekserver.rtdfunctions",,"102039795 12")</f>
        <v>0</v>
      </c>
      <c r="P146">
        <f>RTD("greekserver.rtdfunctions",,"102039795 24")/100</f>
        <v>2331.9</v>
      </c>
      <c r="Q146">
        <f>RTD("greekserver.rtdfunctions",,"102039795 25")</f>
        <v>100</v>
      </c>
      <c r="R146">
        <f>RTD("greekserver.rtdfunctions",,"102039795 26")/100</f>
        <v>2450.75</v>
      </c>
      <c r="S146">
        <f>RTD("greekserver.rtdfunctions",,"102039795 27")</f>
        <v>100</v>
      </c>
      <c r="T146">
        <f>RTD("greekserver.rtdfunctions",,"102039795 13")/100</f>
        <v>0</v>
      </c>
      <c r="U146">
        <f>RTD("greekserver.rtdfunctions",,"102039795 14")/100</f>
        <v>2091.9</v>
      </c>
      <c r="V146">
        <f>RTD("greekserver.rtdfunctions",,"102039795 15")/100</f>
        <v>0</v>
      </c>
      <c r="W146">
        <f>RTD("greekserver.rtdfunctions",,"102039795 16")/100</f>
        <v>0</v>
      </c>
      <c r="X146">
        <f>RTD("greekserver.rtdfunctions",,"102039795 10")/100</f>
        <v>0</v>
      </c>
      <c r="Y146">
        <f>RTD("greekserver.rtdfunctions",,"102039795 11")</f>
        <v>0</v>
      </c>
      <c r="Z146" t="str">
        <f>nseltodate(RTD("greekserver.rtdfunctions",,"102039795 20"))</f>
        <v>N/A</v>
      </c>
      <c r="AA146">
        <f>RTD("greekserver.rtdfunctions",,"102039795 18")/100</f>
        <v>0</v>
      </c>
      <c r="AB146">
        <f>RTD("greekserver.rtdfunctions",,"102039795 17")/100</f>
        <v>0</v>
      </c>
      <c r="AC146">
        <f>RTD("greekserver.rtdfunctions",,"102039795 40")/100</f>
        <v>0</v>
      </c>
      <c r="AD146">
        <f>RTD("greekserver.rtdfunctions",,"102039795 34")/100</f>
        <v>0</v>
      </c>
    </row>
    <row r="147" spans="1:30" hidden="1" x14ac:dyDescent="0.2">
      <c r="A147">
        <v>102039803</v>
      </c>
      <c r="B147" t="s">
        <v>93</v>
      </c>
      <c r="C147" t="s">
        <v>345</v>
      </c>
      <c r="D147" t="s">
        <v>102</v>
      </c>
      <c r="E147" s="15">
        <v>43874</v>
      </c>
      <c r="F147">
        <v>33800</v>
      </c>
      <c r="G147" t="s">
        <v>346</v>
      </c>
      <c r="H147">
        <v>39803</v>
      </c>
      <c r="I147">
        <v>20</v>
      </c>
      <c r="J147">
        <f>RTD("greekserver.rtdfunctions",,"102039803 5")</f>
        <v>0</v>
      </c>
      <c r="K147">
        <f>RTD("greekserver.rtdfunctions",,"102039803 4")/100</f>
        <v>0</v>
      </c>
      <c r="L147">
        <f>RTD("greekserver.rtdfunctions",,"102039803 7")</f>
        <v>20</v>
      </c>
      <c r="M147">
        <f>RTD("greekserver.rtdfunctions",,"102039803 6")/100</f>
        <v>0.5</v>
      </c>
      <c r="N147">
        <f>RTD("greekserver.rtdfunctions",,"102039803 8")/100</f>
        <v>0</v>
      </c>
      <c r="O147">
        <f>RTD("greekserver.rtdfunctions",,"102039803 12")</f>
        <v>0</v>
      </c>
      <c r="P147">
        <f>RTD("greekserver.rtdfunctions",,"102039803 24")/100</f>
        <v>0</v>
      </c>
      <c r="Q147">
        <f>RTD("greekserver.rtdfunctions",,"102039803 25")</f>
        <v>0</v>
      </c>
      <c r="R147">
        <f>RTD("greekserver.rtdfunctions",,"102039803 26")/100</f>
        <v>0.5</v>
      </c>
      <c r="S147">
        <f>RTD("greekserver.rtdfunctions",,"102039803 27")</f>
        <v>20</v>
      </c>
      <c r="T147">
        <f>RTD("greekserver.rtdfunctions",,"102039803 13")/100</f>
        <v>0</v>
      </c>
      <c r="U147">
        <f>RTD("greekserver.rtdfunctions",,"102039803 14")/100</f>
        <v>363.5</v>
      </c>
      <c r="V147">
        <f>RTD("greekserver.rtdfunctions",,"102039803 15")/100</f>
        <v>0</v>
      </c>
      <c r="W147">
        <f>RTD("greekserver.rtdfunctions",,"102039803 16")/100</f>
        <v>0</v>
      </c>
      <c r="X147">
        <f>RTD("greekserver.rtdfunctions",,"102039803 10")/100</f>
        <v>0</v>
      </c>
      <c r="Y147">
        <f>RTD("greekserver.rtdfunctions",,"102039803 11")</f>
        <v>0</v>
      </c>
      <c r="Z147" t="str">
        <f>nseltodate(RTD("greekserver.rtdfunctions",,"102039803 20"))</f>
        <v>N/A</v>
      </c>
      <c r="AA147">
        <f>RTD("greekserver.rtdfunctions",,"102039803 18")/100</f>
        <v>0</v>
      </c>
      <c r="AB147">
        <f>RTD("greekserver.rtdfunctions",,"102039803 17")/100</f>
        <v>0</v>
      </c>
      <c r="AC147">
        <f>RTD("greekserver.rtdfunctions",,"102039803 40")/100</f>
        <v>0</v>
      </c>
      <c r="AD147">
        <f>RTD("greekserver.rtdfunctions",,"102039803 34")/100</f>
        <v>0</v>
      </c>
    </row>
    <row r="148" spans="1:30" x14ac:dyDescent="0.2">
      <c r="A148">
        <v>102039804</v>
      </c>
      <c r="B148" t="s">
        <v>93</v>
      </c>
      <c r="C148" t="s">
        <v>345</v>
      </c>
      <c r="D148" t="s">
        <v>102</v>
      </c>
      <c r="E148" s="15">
        <v>43874</v>
      </c>
      <c r="F148">
        <v>33800</v>
      </c>
      <c r="G148" t="s">
        <v>347</v>
      </c>
      <c r="H148">
        <v>39804</v>
      </c>
      <c r="I148">
        <v>20</v>
      </c>
      <c r="J148">
        <f>RTD("greekserver.rtdfunctions",,"102039804 5")</f>
        <v>100</v>
      </c>
      <c r="K148">
        <f>RTD("greekserver.rtdfunctions",,"102039804 4")/100</f>
        <v>2430.1</v>
      </c>
      <c r="L148">
        <f>RTD("greekserver.rtdfunctions",,"102039804 7")</f>
        <v>100</v>
      </c>
      <c r="M148">
        <f>RTD("greekserver.rtdfunctions",,"102039804 6")/100</f>
        <v>2550.75</v>
      </c>
      <c r="N148">
        <f>RTD("greekserver.rtdfunctions",,"102039804 8")/100</f>
        <v>0</v>
      </c>
      <c r="O148">
        <f>RTD("greekserver.rtdfunctions",,"102039804 12")</f>
        <v>0</v>
      </c>
      <c r="P148">
        <f>RTD("greekserver.rtdfunctions",,"102039804 24")/100</f>
        <v>2430.1</v>
      </c>
      <c r="Q148">
        <f>RTD("greekserver.rtdfunctions",,"102039804 25")</f>
        <v>100</v>
      </c>
      <c r="R148">
        <f>RTD("greekserver.rtdfunctions",,"102039804 26")/100</f>
        <v>2550.75</v>
      </c>
      <c r="S148">
        <f>RTD("greekserver.rtdfunctions",,"102039804 27")</f>
        <v>100</v>
      </c>
      <c r="T148">
        <f>RTD("greekserver.rtdfunctions",,"102039804 13")/100</f>
        <v>0</v>
      </c>
      <c r="U148">
        <f>RTD("greekserver.rtdfunctions",,"102039804 14")/100</f>
        <v>2166.6</v>
      </c>
      <c r="V148">
        <f>RTD("greekserver.rtdfunctions",,"102039804 15")/100</f>
        <v>0</v>
      </c>
      <c r="W148">
        <f>RTD("greekserver.rtdfunctions",,"102039804 16")/100</f>
        <v>0</v>
      </c>
      <c r="X148">
        <f>RTD("greekserver.rtdfunctions",,"102039804 10")/100</f>
        <v>0</v>
      </c>
      <c r="Y148">
        <f>RTD("greekserver.rtdfunctions",,"102039804 11")</f>
        <v>0</v>
      </c>
      <c r="Z148" t="str">
        <f>nseltodate(RTD("greekserver.rtdfunctions",,"102039804 20"))</f>
        <v>N/A</v>
      </c>
      <c r="AA148">
        <f>RTD("greekserver.rtdfunctions",,"102039804 18")/100</f>
        <v>0</v>
      </c>
      <c r="AB148">
        <f>RTD("greekserver.rtdfunctions",,"102039804 17")/100</f>
        <v>0</v>
      </c>
      <c r="AC148">
        <f>RTD("greekserver.rtdfunctions",,"102039804 40")/100</f>
        <v>0</v>
      </c>
      <c r="AD148">
        <f>RTD("greekserver.rtdfunctions",,"102039804 34")/100</f>
        <v>0</v>
      </c>
    </row>
    <row r="149" spans="1:30" hidden="1" x14ac:dyDescent="0.2">
      <c r="A149">
        <v>102039806</v>
      </c>
      <c r="B149" t="s">
        <v>93</v>
      </c>
      <c r="C149" t="s">
        <v>345</v>
      </c>
      <c r="D149" t="s">
        <v>102</v>
      </c>
      <c r="E149" s="15">
        <v>43874</v>
      </c>
      <c r="F149">
        <v>33900</v>
      </c>
      <c r="G149" t="s">
        <v>346</v>
      </c>
      <c r="H149">
        <v>39806</v>
      </c>
      <c r="I149">
        <v>20</v>
      </c>
      <c r="J149">
        <f>RTD("greekserver.rtdfunctions",,"102039806 5")</f>
        <v>0</v>
      </c>
      <c r="K149">
        <f>RTD("greekserver.rtdfunctions",,"102039806 4")/100</f>
        <v>0</v>
      </c>
      <c r="L149">
        <f>RTD("greekserver.rtdfunctions",,"102039806 7")</f>
        <v>20</v>
      </c>
      <c r="M149">
        <f>RTD("greekserver.rtdfunctions",,"102039806 6")/100</f>
        <v>0.5</v>
      </c>
      <c r="N149">
        <f>RTD("greekserver.rtdfunctions",,"102039806 8")/100</f>
        <v>0</v>
      </c>
      <c r="O149">
        <f>RTD("greekserver.rtdfunctions",,"102039806 12")</f>
        <v>0</v>
      </c>
      <c r="P149">
        <f>RTD("greekserver.rtdfunctions",,"102039806 24")/100</f>
        <v>0</v>
      </c>
      <c r="Q149">
        <f>RTD("greekserver.rtdfunctions",,"102039806 25")</f>
        <v>0</v>
      </c>
      <c r="R149">
        <f>RTD("greekserver.rtdfunctions",,"102039806 26")/100</f>
        <v>0.5</v>
      </c>
      <c r="S149">
        <f>RTD("greekserver.rtdfunctions",,"102039806 27")</f>
        <v>20</v>
      </c>
      <c r="T149">
        <f>RTD("greekserver.rtdfunctions",,"102039806 13")/100</f>
        <v>0</v>
      </c>
      <c r="U149">
        <f>RTD("greekserver.rtdfunctions",,"102039806 14")/100</f>
        <v>341.45</v>
      </c>
      <c r="V149">
        <f>RTD("greekserver.rtdfunctions",,"102039806 15")/100</f>
        <v>0</v>
      </c>
      <c r="W149">
        <f>RTD("greekserver.rtdfunctions",,"102039806 16")/100</f>
        <v>0</v>
      </c>
      <c r="X149">
        <f>RTD("greekserver.rtdfunctions",,"102039806 10")/100</f>
        <v>0</v>
      </c>
      <c r="Y149">
        <f>RTD("greekserver.rtdfunctions",,"102039806 11")</f>
        <v>0</v>
      </c>
      <c r="Z149" t="str">
        <f>nseltodate(RTD("greekserver.rtdfunctions",,"102039806 20"))</f>
        <v>N/A</v>
      </c>
      <c r="AA149">
        <f>RTD("greekserver.rtdfunctions",,"102039806 18")/100</f>
        <v>0</v>
      </c>
      <c r="AB149">
        <f>RTD("greekserver.rtdfunctions",,"102039806 17")/100</f>
        <v>0</v>
      </c>
      <c r="AC149">
        <f>RTD("greekserver.rtdfunctions",,"102039806 40")/100</f>
        <v>0</v>
      </c>
      <c r="AD149">
        <f>RTD("greekserver.rtdfunctions",,"102039806 34")/100</f>
        <v>0</v>
      </c>
    </row>
    <row r="150" spans="1:30" x14ac:dyDescent="0.2">
      <c r="A150">
        <v>102039807</v>
      </c>
      <c r="B150" t="s">
        <v>93</v>
      </c>
      <c r="C150" t="s">
        <v>345</v>
      </c>
      <c r="D150" t="s">
        <v>102</v>
      </c>
      <c r="E150" s="15">
        <v>43874</v>
      </c>
      <c r="F150">
        <v>33900</v>
      </c>
      <c r="G150" t="s">
        <v>347</v>
      </c>
      <c r="H150">
        <v>39807</v>
      </c>
      <c r="I150">
        <v>20</v>
      </c>
      <c r="J150">
        <f>RTD("greekserver.rtdfunctions",,"102039807 5")</f>
        <v>100</v>
      </c>
      <c r="K150">
        <f>RTD("greekserver.rtdfunctions",,"102039807 4")/100</f>
        <v>2530.35</v>
      </c>
      <c r="L150">
        <f>RTD("greekserver.rtdfunctions",,"102039807 7")</f>
        <v>100</v>
      </c>
      <c r="M150">
        <f>RTD("greekserver.rtdfunctions",,"102039807 6")/100</f>
        <v>2650.75</v>
      </c>
      <c r="N150">
        <f>RTD("greekserver.rtdfunctions",,"102039807 8")/100</f>
        <v>0</v>
      </c>
      <c r="O150">
        <f>RTD("greekserver.rtdfunctions",,"102039807 12")</f>
        <v>0</v>
      </c>
      <c r="P150">
        <f>RTD("greekserver.rtdfunctions",,"102039807 24")/100</f>
        <v>2530.35</v>
      </c>
      <c r="Q150">
        <f>RTD("greekserver.rtdfunctions",,"102039807 25")</f>
        <v>100</v>
      </c>
      <c r="R150">
        <f>RTD("greekserver.rtdfunctions",,"102039807 26")/100</f>
        <v>2650.75</v>
      </c>
      <c r="S150">
        <f>RTD("greekserver.rtdfunctions",,"102039807 27")</f>
        <v>100</v>
      </c>
      <c r="T150">
        <f>RTD("greekserver.rtdfunctions",,"102039807 13")/100</f>
        <v>0</v>
      </c>
      <c r="U150">
        <f>RTD("greekserver.rtdfunctions",,"102039807 14")/100</f>
        <v>2243.5500000000002</v>
      </c>
      <c r="V150">
        <f>RTD("greekserver.rtdfunctions",,"102039807 15")/100</f>
        <v>0</v>
      </c>
      <c r="W150">
        <f>RTD("greekserver.rtdfunctions",,"102039807 16")/100</f>
        <v>0</v>
      </c>
      <c r="X150">
        <f>RTD("greekserver.rtdfunctions",,"102039807 10")/100</f>
        <v>0</v>
      </c>
      <c r="Y150">
        <f>RTD("greekserver.rtdfunctions",,"102039807 11")</f>
        <v>0</v>
      </c>
      <c r="Z150" t="str">
        <f>nseltodate(RTD("greekserver.rtdfunctions",,"102039807 20"))</f>
        <v>N/A</v>
      </c>
      <c r="AA150">
        <f>RTD("greekserver.rtdfunctions",,"102039807 18")/100</f>
        <v>0</v>
      </c>
      <c r="AB150">
        <f>RTD("greekserver.rtdfunctions",,"102039807 17")/100</f>
        <v>0</v>
      </c>
      <c r="AC150">
        <f>RTD("greekserver.rtdfunctions",,"102039807 40")/100</f>
        <v>0</v>
      </c>
      <c r="AD150">
        <f>RTD("greekserver.rtdfunctions",,"102039807 34")/100</f>
        <v>0</v>
      </c>
    </row>
    <row r="151" spans="1:30" hidden="1" x14ac:dyDescent="0.2">
      <c r="A151">
        <v>102039811</v>
      </c>
      <c r="B151" t="s">
        <v>93</v>
      </c>
      <c r="C151" t="s">
        <v>345</v>
      </c>
      <c r="D151" t="s">
        <v>102</v>
      </c>
      <c r="E151" s="15">
        <v>43874</v>
      </c>
      <c r="F151">
        <v>34000</v>
      </c>
      <c r="G151" t="s">
        <v>346</v>
      </c>
      <c r="H151">
        <v>39811</v>
      </c>
      <c r="I151">
        <v>20</v>
      </c>
      <c r="J151">
        <f>RTD("greekserver.rtdfunctions",,"102039811 5")</f>
        <v>0</v>
      </c>
      <c r="K151">
        <f>RTD("greekserver.rtdfunctions",,"102039811 4")/100</f>
        <v>0</v>
      </c>
      <c r="L151">
        <f>RTD("greekserver.rtdfunctions",,"102039811 7")</f>
        <v>100</v>
      </c>
      <c r="M151">
        <f>RTD("greekserver.rtdfunctions",,"102039811 6")/100</f>
        <v>0.25</v>
      </c>
      <c r="N151">
        <f>RTD("greekserver.rtdfunctions",,"102039811 8")/100</f>
        <v>0.15</v>
      </c>
      <c r="O151">
        <f>RTD("greekserver.rtdfunctions",,"102039811 12")</f>
        <v>220</v>
      </c>
      <c r="P151">
        <f>RTD("greekserver.rtdfunctions",,"102039811 24")/100</f>
        <v>0</v>
      </c>
      <c r="Q151">
        <f>RTD("greekserver.rtdfunctions",,"102039811 25")</f>
        <v>0</v>
      </c>
      <c r="R151">
        <f>RTD("greekserver.rtdfunctions",,"102039811 26")/100</f>
        <v>0.25</v>
      </c>
      <c r="S151">
        <f>RTD("greekserver.rtdfunctions",,"102039811 27")</f>
        <v>100</v>
      </c>
      <c r="T151">
        <f>RTD("greekserver.rtdfunctions",,"102039811 13")/100</f>
        <v>0.15</v>
      </c>
      <c r="U151">
        <f>RTD("greekserver.rtdfunctions",,"102039811 14")/100</f>
        <v>0.15</v>
      </c>
      <c r="V151">
        <f>RTD("greekserver.rtdfunctions",,"102039811 15")/100</f>
        <v>0.15</v>
      </c>
      <c r="W151">
        <f>RTD("greekserver.rtdfunctions",,"102039811 16")/100</f>
        <v>0.15</v>
      </c>
      <c r="X151">
        <f>RTD("greekserver.rtdfunctions",,"102039811 10")/100</f>
        <v>0.15</v>
      </c>
      <c r="Y151">
        <f>RTD("greekserver.rtdfunctions",,"102039811 11")</f>
        <v>180</v>
      </c>
      <c r="Z151" t="str">
        <f>nseltodate(RTD("greekserver.rtdfunctions",,"102039811 20"))</f>
        <v>09:43:03 AM</v>
      </c>
      <c r="AA151">
        <f>RTD("greekserver.rtdfunctions",,"102039811 18")/100</f>
        <v>0</v>
      </c>
      <c r="AB151">
        <f>RTD("greekserver.rtdfunctions",,"102039811 17")/100</f>
        <v>0</v>
      </c>
      <c r="AC151">
        <f>RTD("greekserver.rtdfunctions",,"102039811 40")/100</f>
        <v>4.5999999999999996</v>
      </c>
      <c r="AD151">
        <f>RTD("greekserver.rtdfunctions",,"102039811 34")/100</f>
        <v>0</v>
      </c>
    </row>
    <row r="152" spans="1:30" x14ac:dyDescent="0.2">
      <c r="A152">
        <v>102039812</v>
      </c>
      <c r="B152" t="s">
        <v>93</v>
      </c>
      <c r="C152" t="s">
        <v>345</v>
      </c>
      <c r="D152" t="s">
        <v>102</v>
      </c>
      <c r="E152" s="15">
        <v>43874</v>
      </c>
      <c r="F152">
        <v>34000</v>
      </c>
      <c r="G152" t="s">
        <v>347</v>
      </c>
      <c r="H152">
        <v>39812</v>
      </c>
      <c r="I152">
        <v>20</v>
      </c>
      <c r="J152">
        <f>RTD("greekserver.rtdfunctions",,"102039812 5")</f>
        <v>100</v>
      </c>
      <c r="K152">
        <f>RTD("greekserver.rtdfunctions",,"102039812 4")/100</f>
        <v>2622.05</v>
      </c>
      <c r="L152">
        <f>RTD("greekserver.rtdfunctions",,"102039812 7")</f>
        <v>100</v>
      </c>
      <c r="M152">
        <f>RTD("greekserver.rtdfunctions",,"102039812 6")/100</f>
        <v>2750.75</v>
      </c>
      <c r="N152">
        <f>RTD("greekserver.rtdfunctions",,"102039812 8")/100</f>
        <v>0</v>
      </c>
      <c r="O152">
        <f>RTD("greekserver.rtdfunctions",,"102039812 12")</f>
        <v>0</v>
      </c>
      <c r="P152">
        <f>RTD("greekserver.rtdfunctions",,"102039812 24")/100</f>
        <v>2622.05</v>
      </c>
      <c r="Q152">
        <f>RTD("greekserver.rtdfunctions",,"102039812 25")</f>
        <v>100</v>
      </c>
      <c r="R152">
        <f>RTD("greekserver.rtdfunctions",,"102039812 26")/100</f>
        <v>2750.75</v>
      </c>
      <c r="S152">
        <f>RTD("greekserver.rtdfunctions",,"102039812 27")</f>
        <v>100</v>
      </c>
      <c r="T152">
        <f>RTD("greekserver.rtdfunctions",,"102039812 13")/100</f>
        <v>0</v>
      </c>
      <c r="U152">
        <f>RTD("greekserver.rtdfunctions",,"102039812 14")/100</f>
        <v>2600</v>
      </c>
      <c r="V152">
        <f>RTD("greekserver.rtdfunctions",,"102039812 15")/100</f>
        <v>0</v>
      </c>
      <c r="W152">
        <f>RTD("greekserver.rtdfunctions",,"102039812 16")/100</f>
        <v>0</v>
      </c>
      <c r="X152">
        <f>RTD("greekserver.rtdfunctions",,"102039812 10")/100</f>
        <v>2600</v>
      </c>
      <c r="Y152">
        <f>RTD("greekserver.rtdfunctions",,"102039812 11")</f>
        <v>20</v>
      </c>
      <c r="Z152" t="str">
        <f>nseltodate(RTD("greekserver.rtdfunctions",,"102039812 20"))</f>
        <v>12:58:55 PM</v>
      </c>
      <c r="AA152">
        <f>RTD("greekserver.rtdfunctions",,"102039812 18")/100</f>
        <v>0</v>
      </c>
      <c r="AB152">
        <f>RTD("greekserver.rtdfunctions",,"102039812 17")/100</f>
        <v>0</v>
      </c>
      <c r="AC152">
        <f>RTD("greekserver.rtdfunctions",,"102039812 40")/100</f>
        <v>0</v>
      </c>
      <c r="AD152">
        <f>RTD("greekserver.rtdfunctions",,"102039812 34")/100</f>
        <v>0</v>
      </c>
    </row>
    <row r="153" spans="1:30" hidden="1" x14ac:dyDescent="0.2">
      <c r="A153">
        <v>102039820</v>
      </c>
      <c r="B153" t="s">
        <v>93</v>
      </c>
      <c r="C153" t="s">
        <v>345</v>
      </c>
      <c r="D153" t="s">
        <v>102</v>
      </c>
      <c r="E153" s="15">
        <v>43874</v>
      </c>
      <c r="F153">
        <v>34100</v>
      </c>
      <c r="G153" t="s">
        <v>346</v>
      </c>
      <c r="H153">
        <v>39820</v>
      </c>
      <c r="I153">
        <v>20</v>
      </c>
      <c r="J153">
        <f>RTD("greekserver.rtdfunctions",,"102039820 5")</f>
        <v>0</v>
      </c>
      <c r="K153">
        <f>RTD("greekserver.rtdfunctions",,"102039820 4")/100</f>
        <v>0</v>
      </c>
      <c r="L153">
        <f>RTD("greekserver.rtdfunctions",,"102039820 7")</f>
        <v>20</v>
      </c>
      <c r="M153">
        <f>RTD("greekserver.rtdfunctions",,"102039820 6")/100</f>
        <v>0.5</v>
      </c>
      <c r="N153">
        <f>RTD("greekserver.rtdfunctions",,"102039820 8")/100</f>
        <v>0</v>
      </c>
      <c r="O153">
        <f>RTD("greekserver.rtdfunctions",,"102039820 12")</f>
        <v>0</v>
      </c>
      <c r="P153">
        <f>RTD("greekserver.rtdfunctions",,"102039820 24")/100</f>
        <v>0</v>
      </c>
      <c r="Q153">
        <f>RTD("greekserver.rtdfunctions",,"102039820 25")</f>
        <v>0</v>
      </c>
      <c r="R153">
        <f>RTD("greekserver.rtdfunctions",,"102039820 26")/100</f>
        <v>0.5</v>
      </c>
      <c r="S153">
        <f>RTD("greekserver.rtdfunctions",,"102039820 27")</f>
        <v>20</v>
      </c>
      <c r="T153">
        <f>RTD("greekserver.rtdfunctions",,"102039820 13")/100</f>
        <v>0</v>
      </c>
      <c r="U153">
        <f>RTD("greekserver.rtdfunctions",,"102039820 14")/100</f>
        <v>300.60000000000002</v>
      </c>
      <c r="V153">
        <f>RTD("greekserver.rtdfunctions",,"102039820 15")/100</f>
        <v>0</v>
      </c>
      <c r="W153">
        <f>RTD("greekserver.rtdfunctions",,"102039820 16")/100</f>
        <v>0</v>
      </c>
      <c r="X153">
        <f>RTD("greekserver.rtdfunctions",,"102039820 10")/100</f>
        <v>0</v>
      </c>
      <c r="Y153">
        <f>RTD("greekserver.rtdfunctions",,"102039820 11")</f>
        <v>0</v>
      </c>
      <c r="Z153" t="str">
        <f>nseltodate(RTD("greekserver.rtdfunctions",,"102039820 20"))</f>
        <v>N/A</v>
      </c>
      <c r="AA153">
        <f>RTD("greekserver.rtdfunctions",,"102039820 18")/100</f>
        <v>0</v>
      </c>
      <c r="AB153">
        <f>RTD("greekserver.rtdfunctions",,"102039820 17")/100</f>
        <v>0</v>
      </c>
      <c r="AC153">
        <f>RTD("greekserver.rtdfunctions",,"102039820 40")/100</f>
        <v>0</v>
      </c>
      <c r="AD153">
        <f>RTD("greekserver.rtdfunctions",,"102039820 34")/100</f>
        <v>0</v>
      </c>
    </row>
    <row r="154" spans="1:30" x14ac:dyDescent="0.2">
      <c r="A154">
        <v>102039821</v>
      </c>
      <c r="B154" t="s">
        <v>93</v>
      </c>
      <c r="C154" t="s">
        <v>345</v>
      </c>
      <c r="D154" t="s">
        <v>102</v>
      </c>
      <c r="E154" s="15">
        <v>43874</v>
      </c>
      <c r="F154">
        <v>34100</v>
      </c>
      <c r="G154" t="s">
        <v>347</v>
      </c>
      <c r="H154">
        <v>39821</v>
      </c>
      <c r="I154">
        <v>20</v>
      </c>
      <c r="J154">
        <f>RTD("greekserver.rtdfunctions",,"102039821 5")</f>
        <v>100</v>
      </c>
      <c r="K154">
        <f>RTD("greekserver.rtdfunctions",,"102039821 4")/100</f>
        <v>2722.05</v>
      </c>
      <c r="L154">
        <f>RTD("greekserver.rtdfunctions",,"102039821 7")</f>
        <v>100</v>
      </c>
      <c r="M154">
        <f>RTD("greekserver.rtdfunctions",,"102039821 6")/100</f>
        <v>2850.75</v>
      </c>
      <c r="N154">
        <f>RTD("greekserver.rtdfunctions",,"102039821 8")/100</f>
        <v>0</v>
      </c>
      <c r="O154">
        <f>RTD("greekserver.rtdfunctions",,"102039821 12")</f>
        <v>0</v>
      </c>
      <c r="P154">
        <f>RTD("greekserver.rtdfunctions",,"102039821 24")/100</f>
        <v>2722.05</v>
      </c>
      <c r="Q154">
        <f>RTD("greekserver.rtdfunctions",,"102039821 25")</f>
        <v>100</v>
      </c>
      <c r="R154">
        <f>RTD("greekserver.rtdfunctions",,"102039821 26")/100</f>
        <v>2850.75</v>
      </c>
      <c r="S154">
        <f>RTD("greekserver.rtdfunctions",,"102039821 27")</f>
        <v>100</v>
      </c>
      <c r="T154">
        <f>RTD("greekserver.rtdfunctions",,"102039821 13")/100</f>
        <v>0</v>
      </c>
      <c r="U154">
        <f>RTD("greekserver.rtdfunctions",,"102039821 14")/100</f>
        <v>2400.6999999999998</v>
      </c>
      <c r="V154">
        <f>RTD("greekserver.rtdfunctions",,"102039821 15")/100</f>
        <v>0</v>
      </c>
      <c r="W154">
        <f>RTD("greekserver.rtdfunctions",,"102039821 16")/100</f>
        <v>0</v>
      </c>
      <c r="X154">
        <f>RTD("greekserver.rtdfunctions",,"102039821 10")/100</f>
        <v>0</v>
      </c>
      <c r="Y154">
        <f>RTD("greekserver.rtdfunctions",,"102039821 11")</f>
        <v>0</v>
      </c>
      <c r="Z154" t="str">
        <f>nseltodate(RTD("greekserver.rtdfunctions",,"102039821 20"))</f>
        <v>N/A</v>
      </c>
      <c r="AA154">
        <f>RTD("greekserver.rtdfunctions",,"102039821 18")/100</f>
        <v>0</v>
      </c>
      <c r="AB154">
        <f>RTD("greekserver.rtdfunctions",,"102039821 17")/100</f>
        <v>0</v>
      </c>
      <c r="AC154">
        <f>RTD("greekserver.rtdfunctions",,"102039821 40")/100</f>
        <v>0</v>
      </c>
      <c r="AD154">
        <f>RTD("greekserver.rtdfunctions",,"102039821 34")/100</f>
        <v>0</v>
      </c>
    </row>
    <row r="155" spans="1:30" hidden="1" x14ac:dyDescent="0.2">
      <c r="A155">
        <v>102039826</v>
      </c>
      <c r="B155" t="s">
        <v>93</v>
      </c>
      <c r="C155" t="s">
        <v>345</v>
      </c>
      <c r="D155" t="s">
        <v>102</v>
      </c>
      <c r="E155" s="15">
        <v>43874</v>
      </c>
      <c r="F155">
        <v>34200</v>
      </c>
      <c r="G155" t="s">
        <v>346</v>
      </c>
      <c r="H155">
        <v>39826</v>
      </c>
      <c r="I155">
        <v>20</v>
      </c>
      <c r="J155">
        <f>RTD("greekserver.rtdfunctions",,"102039826 5")</f>
        <v>0</v>
      </c>
      <c r="K155">
        <f>RTD("greekserver.rtdfunctions",,"102039826 4")/100</f>
        <v>0</v>
      </c>
      <c r="L155">
        <f>RTD("greekserver.rtdfunctions",,"102039826 7")</f>
        <v>20</v>
      </c>
      <c r="M155">
        <f>RTD("greekserver.rtdfunctions",,"102039826 6")/100</f>
        <v>0.5</v>
      </c>
      <c r="N155">
        <f>RTD("greekserver.rtdfunctions",,"102039826 8")/100</f>
        <v>0</v>
      </c>
      <c r="O155">
        <f>RTD("greekserver.rtdfunctions",,"102039826 12")</f>
        <v>0</v>
      </c>
      <c r="P155">
        <f>RTD("greekserver.rtdfunctions",,"102039826 24")/100</f>
        <v>0</v>
      </c>
      <c r="Q155">
        <f>RTD("greekserver.rtdfunctions",,"102039826 25")</f>
        <v>0</v>
      </c>
      <c r="R155">
        <f>RTD("greekserver.rtdfunctions",,"102039826 26")/100</f>
        <v>0.5</v>
      </c>
      <c r="S155">
        <f>RTD("greekserver.rtdfunctions",,"102039826 27")</f>
        <v>20</v>
      </c>
      <c r="T155">
        <f>RTD("greekserver.rtdfunctions",,"102039826 13")/100</f>
        <v>0</v>
      </c>
      <c r="U155">
        <f>RTD("greekserver.rtdfunctions",,"102039826 14")/100</f>
        <v>5.9</v>
      </c>
      <c r="V155">
        <f>RTD("greekserver.rtdfunctions",,"102039826 15")/100</f>
        <v>0</v>
      </c>
      <c r="W155">
        <f>RTD("greekserver.rtdfunctions",,"102039826 16")/100</f>
        <v>0</v>
      </c>
      <c r="X155">
        <f>RTD("greekserver.rtdfunctions",,"102039826 10")/100</f>
        <v>5.9</v>
      </c>
      <c r="Y155">
        <f>RTD("greekserver.rtdfunctions",,"102039826 11")</f>
        <v>20</v>
      </c>
      <c r="Z155" t="str">
        <f>nseltodate(RTD("greekserver.rtdfunctions",,"102039826 20"))</f>
        <v>10:07:02 AM</v>
      </c>
      <c r="AA155">
        <f>RTD("greekserver.rtdfunctions",,"102039826 18")/100</f>
        <v>0</v>
      </c>
      <c r="AB155">
        <f>RTD("greekserver.rtdfunctions",,"102039826 17")/100</f>
        <v>0</v>
      </c>
      <c r="AC155">
        <f>RTD("greekserver.rtdfunctions",,"102039826 40")/100</f>
        <v>0</v>
      </c>
      <c r="AD155">
        <f>RTD("greekserver.rtdfunctions",,"102039826 34")/100</f>
        <v>0</v>
      </c>
    </row>
    <row r="156" spans="1:30" x14ac:dyDescent="0.2">
      <c r="A156">
        <v>102039827</v>
      </c>
      <c r="B156" t="s">
        <v>93</v>
      </c>
      <c r="C156" t="s">
        <v>345</v>
      </c>
      <c r="D156" t="s">
        <v>102</v>
      </c>
      <c r="E156" s="15">
        <v>43874</v>
      </c>
      <c r="F156">
        <v>34200</v>
      </c>
      <c r="G156" t="s">
        <v>347</v>
      </c>
      <c r="H156">
        <v>39827</v>
      </c>
      <c r="I156">
        <v>20</v>
      </c>
      <c r="J156">
        <f>RTD("greekserver.rtdfunctions",,"102039827 5")</f>
        <v>100</v>
      </c>
      <c r="K156">
        <f>RTD("greekserver.rtdfunctions",,"102039827 4")/100</f>
        <v>2822.05</v>
      </c>
      <c r="L156">
        <f>RTD("greekserver.rtdfunctions",,"102039827 7")</f>
        <v>100</v>
      </c>
      <c r="M156">
        <f>RTD("greekserver.rtdfunctions",,"102039827 6")/100</f>
        <v>2950.75</v>
      </c>
      <c r="N156">
        <f>RTD("greekserver.rtdfunctions",,"102039827 8")/100</f>
        <v>0</v>
      </c>
      <c r="O156">
        <f>RTD("greekserver.rtdfunctions",,"102039827 12")</f>
        <v>0</v>
      </c>
      <c r="P156">
        <f>RTD("greekserver.rtdfunctions",,"102039827 24")/100</f>
        <v>2822.05</v>
      </c>
      <c r="Q156">
        <f>RTD("greekserver.rtdfunctions",,"102039827 25")</f>
        <v>100</v>
      </c>
      <c r="R156">
        <f>RTD("greekserver.rtdfunctions",,"102039827 26")/100</f>
        <v>2950.75</v>
      </c>
      <c r="S156">
        <f>RTD("greekserver.rtdfunctions",,"102039827 27")</f>
        <v>100</v>
      </c>
      <c r="T156">
        <f>RTD("greekserver.rtdfunctions",,"102039827 13")/100</f>
        <v>0</v>
      </c>
      <c r="U156">
        <f>RTD("greekserver.rtdfunctions",,"102039827 14")/100</f>
        <v>2480.85</v>
      </c>
      <c r="V156">
        <f>RTD("greekserver.rtdfunctions",,"102039827 15")/100</f>
        <v>0</v>
      </c>
      <c r="W156">
        <f>RTD("greekserver.rtdfunctions",,"102039827 16")/100</f>
        <v>0</v>
      </c>
      <c r="X156">
        <f>RTD("greekserver.rtdfunctions",,"102039827 10")/100</f>
        <v>0</v>
      </c>
      <c r="Y156">
        <f>RTD("greekserver.rtdfunctions",,"102039827 11")</f>
        <v>0</v>
      </c>
      <c r="Z156" t="str">
        <f>nseltodate(RTD("greekserver.rtdfunctions",,"102039827 20"))</f>
        <v>N/A</v>
      </c>
      <c r="AA156">
        <f>RTD("greekserver.rtdfunctions",,"102039827 18")/100</f>
        <v>0</v>
      </c>
      <c r="AB156">
        <f>RTD("greekserver.rtdfunctions",,"102039827 17")/100</f>
        <v>0</v>
      </c>
      <c r="AC156">
        <f>RTD("greekserver.rtdfunctions",,"102039827 40")/100</f>
        <v>0</v>
      </c>
      <c r="AD156">
        <f>RTD("greekserver.rtdfunctions",,"102039827 34")/100</f>
        <v>0</v>
      </c>
    </row>
    <row r="157" spans="1:30" hidden="1" x14ac:dyDescent="0.2">
      <c r="A157">
        <v>102039828</v>
      </c>
      <c r="B157" t="s">
        <v>93</v>
      </c>
      <c r="C157" t="s">
        <v>345</v>
      </c>
      <c r="D157" t="s">
        <v>102</v>
      </c>
      <c r="E157" s="15">
        <v>43874</v>
      </c>
      <c r="F157">
        <v>34300</v>
      </c>
      <c r="G157" t="s">
        <v>346</v>
      </c>
      <c r="H157">
        <v>39828</v>
      </c>
      <c r="I157">
        <v>20</v>
      </c>
      <c r="J157">
        <f>RTD("greekserver.rtdfunctions",,"102039828 5")</f>
        <v>0</v>
      </c>
      <c r="K157">
        <f>RTD("greekserver.rtdfunctions",,"102039828 4")/100</f>
        <v>0</v>
      </c>
      <c r="L157">
        <f>RTD("greekserver.rtdfunctions",,"102039828 7")</f>
        <v>20</v>
      </c>
      <c r="M157">
        <f>RTD("greekserver.rtdfunctions",,"102039828 6")/100</f>
        <v>0.5</v>
      </c>
      <c r="N157">
        <f>RTD("greekserver.rtdfunctions",,"102039828 8")/100</f>
        <v>0</v>
      </c>
      <c r="O157">
        <f>RTD("greekserver.rtdfunctions",,"102039828 12")</f>
        <v>0</v>
      </c>
      <c r="P157">
        <f>RTD("greekserver.rtdfunctions",,"102039828 24")/100</f>
        <v>0</v>
      </c>
      <c r="Q157">
        <f>RTD("greekserver.rtdfunctions",,"102039828 25")</f>
        <v>0</v>
      </c>
      <c r="R157">
        <f>RTD("greekserver.rtdfunctions",,"102039828 26")/100</f>
        <v>0.5</v>
      </c>
      <c r="S157">
        <f>RTD("greekserver.rtdfunctions",,"102039828 27")</f>
        <v>20</v>
      </c>
      <c r="T157">
        <f>RTD("greekserver.rtdfunctions",,"102039828 13")/100</f>
        <v>0</v>
      </c>
      <c r="U157">
        <f>RTD("greekserver.rtdfunctions",,"102039828 14")/100</f>
        <v>263.8</v>
      </c>
      <c r="V157">
        <f>RTD("greekserver.rtdfunctions",,"102039828 15")/100</f>
        <v>0</v>
      </c>
      <c r="W157">
        <f>RTD("greekserver.rtdfunctions",,"102039828 16")/100</f>
        <v>0</v>
      </c>
      <c r="X157">
        <f>RTD("greekserver.rtdfunctions",,"102039828 10")/100</f>
        <v>0</v>
      </c>
      <c r="Y157">
        <f>RTD("greekserver.rtdfunctions",,"102039828 11")</f>
        <v>0</v>
      </c>
      <c r="Z157" t="str">
        <f>nseltodate(RTD("greekserver.rtdfunctions",,"102039828 20"))</f>
        <v>N/A</v>
      </c>
      <c r="AA157">
        <f>RTD("greekserver.rtdfunctions",,"102039828 18")/100</f>
        <v>0</v>
      </c>
      <c r="AB157">
        <f>RTD("greekserver.rtdfunctions",,"102039828 17")/100</f>
        <v>0</v>
      </c>
      <c r="AC157">
        <f>RTD("greekserver.rtdfunctions",,"102039828 40")/100</f>
        <v>0</v>
      </c>
      <c r="AD157">
        <f>RTD("greekserver.rtdfunctions",,"102039828 34")/100</f>
        <v>0</v>
      </c>
    </row>
    <row r="158" spans="1:30" x14ac:dyDescent="0.2">
      <c r="A158">
        <v>102039829</v>
      </c>
      <c r="B158" t="s">
        <v>93</v>
      </c>
      <c r="C158" t="s">
        <v>345</v>
      </c>
      <c r="D158" t="s">
        <v>102</v>
      </c>
      <c r="E158" s="15">
        <v>43874</v>
      </c>
      <c r="F158">
        <v>34300</v>
      </c>
      <c r="G158" t="s">
        <v>347</v>
      </c>
      <c r="H158">
        <v>39829</v>
      </c>
      <c r="I158">
        <v>20</v>
      </c>
      <c r="J158">
        <f>RTD("greekserver.rtdfunctions",,"102039829 5")</f>
        <v>100</v>
      </c>
      <c r="K158">
        <f>RTD("greekserver.rtdfunctions",,"102039829 4")/100</f>
        <v>2882.95</v>
      </c>
      <c r="L158">
        <f>RTD("greekserver.rtdfunctions",,"102039829 7")</f>
        <v>100</v>
      </c>
      <c r="M158">
        <f>RTD("greekserver.rtdfunctions",,"102039829 6")/100</f>
        <v>3050.75</v>
      </c>
      <c r="N158">
        <f>RTD("greekserver.rtdfunctions",,"102039829 8")/100</f>
        <v>0</v>
      </c>
      <c r="O158">
        <f>RTD("greekserver.rtdfunctions",,"102039829 12")</f>
        <v>0</v>
      </c>
      <c r="P158">
        <f>RTD("greekserver.rtdfunctions",,"102039829 24")/100</f>
        <v>2882.95</v>
      </c>
      <c r="Q158">
        <f>RTD("greekserver.rtdfunctions",,"102039829 25")</f>
        <v>100</v>
      </c>
      <c r="R158">
        <f>RTD("greekserver.rtdfunctions",,"102039829 26")/100</f>
        <v>3050.75</v>
      </c>
      <c r="S158">
        <f>RTD("greekserver.rtdfunctions",,"102039829 27")</f>
        <v>100</v>
      </c>
      <c r="T158">
        <f>RTD("greekserver.rtdfunctions",,"102039829 13")/100</f>
        <v>0</v>
      </c>
      <c r="U158">
        <f>RTD("greekserver.rtdfunctions",,"102039829 14")/100</f>
        <v>2800</v>
      </c>
      <c r="V158">
        <f>RTD("greekserver.rtdfunctions",,"102039829 15")/100</f>
        <v>0</v>
      </c>
      <c r="W158">
        <f>RTD("greekserver.rtdfunctions",,"102039829 16")/100</f>
        <v>0</v>
      </c>
      <c r="X158">
        <f>RTD("greekserver.rtdfunctions",,"102039829 10")/100</f>
        <v>2800</v>
      </c>
      <c r="Y158">
        <f>RTD("greekserver.rtdfunctions",,"102039829 11")</f>
        <v>20</v>
      </c>
      <c r="Z158" t="str">
        <f>nseltodate(RTD("greekserver.rtdfunctions",,"102039829 20"))</f>
        <v>01:30:05 PM</v>
      </c>
      <c r="AA158">
        <f>RTD("greekserver.rtdfunctions",,"102039829 18")/100</f>
        <v>0</v>
      </c>
      <c r="AB158">
        <f>RTD("greekserver.rtdfunctions",,"102039829 17")/100</f>
        <v>0</v>
      </c>
      <c r="AC158">
        <f>RTD("greekserver.rtdfunctions",,"102039829 40")/100</f>
        <v>0</v>
      </c>
      <c r="AD158">
        <f>RTD("greekserver.rtdfunctions",,"102039829 34")/100</f>
        <v>0</v>
      </c>
    </row>
    <row r="159" spans="1:30" hidden="1" x14ac:dyDescent="0.2">
      <c r="A159">
        <v>102039836</v>
      </c>
      <c r="B159" t="s">
        <v>93</v>
      </c>
      <c r="C159" t="s">
        <v>345</v>
      </c>
      <c r="D159" t="s">
        <v>102</v>
      </c>
      <c r="E159" s="15">
        <v>43874</v>
      </c>
      <c r="F159">
        <v>34400</v>
      </c>
      <c r="G159" t="s">
        <v>346</v>
      </c>
      <c r="H159">
        <v>39836</v>
      </c>
      <c r="I159">
        <v>20</v>
      </c>
      <c r="J159">
        <f>RTD("greekserver.rtdfunctions",,"102039836 5")</f>
        <v>0</v>
      </c>
      <c r="K159">
        <f>RTD("greekserver.rtdfunctions",,"102039836 4")/100</f>
        <v>0</v>
      </c>
      <c r="L159">
        <f>RTD("greekserver.rtdfunctions",,"102039836 7")</f>
        <v>20</v>
      </c>
      <c r="M159">
        <f>RTD("greekserver.rtdfunctions",,"102039836 6")/100</f>
        <v>0.5</v>
      </c>
      <c r="N159">
        <f>RTD("greekserver.rtdfunctions",,"102039836 8")/100</f>
        <v>0</v>
      </c>
      <c r="O159">
        <f>RTD("greekserver.rtdfunctions",,"102039836 12")</f>
        <v>0</v>
      </c>
      <c r="P159">
        <f>RTD("greekserver.rtdfunctions",,"102039836 24")/100</f>
        <v>0</v>
      </c>
      <c r="Q159">
        <f>RTD("greekserver.rtdfunctions",,"102039836 25")</f>
        <v>0</v>
      </c>
      <c r="R159">
        <f>RTD("greekserver.rtdfunctions",,"102039836 26")/100</f>
        <v>0.5</v>
      </c>
      <c r="S159">
        <f>RTD("greekserver.rtdfunctions",,"102039836 27")</f>
        <v>20</v>
      </c>
      <c r="T159">
        <f>RTD("greekserver.rtdfunctions",,"102039836 13")/100</f>
        <v>0</v>
      </c>
      <c r="U159">
        <f>RTD("greekserver.rtdfunctions",,"102039836 14")/100</f>
        <v>246.8</v>
      </c>
      <c r="V159">
        <f>RTD("greekserver.rtdfunctions",,"102039836 15")/100</f>
        <v>0</v>
      </c>
      <c r="W159">
        <f>RTD("greekserver.rtdfunctions",,"102039836 16")/100</f>
        <v>0</v>
      </c>
      <c r="X159">
        <f>RTD("greekserver.rtdfunctions",,"102039836 10")/100</f>
        <v>0</v>
      </c>
      <c r="Y159">
        <f>RTD("greekserver.rtdfunctions",,"102039836 11")</f>
        <v>0</v>
      </c>
      <c r="Z159" t="str">
        <f>nseltodate(RTD("greekserver.rtdfunctions",,"102039836 20"))</f>
        <v>N/A</v>
      </c>
      <c r="AA159">
        <f>RTD("greekserver.rtdfunctions",,"102039836 18")/100</f>
        <v>0</v>
      </c>
      <c r="AB159">
        <f>RTD("greekserver.rtdfunctions",,"102039836 17")/100</f>
        <v>0</v>
      </c>
      <c r="AC159">
        <f>RTD("greekserver.rtdfunctions",,"102039836 40")/100</f>
        <v>0</v>
      </c>
      <c r="AD159">
        <f>RTD("greekserver.rtdfunctions",,"102039836 34")/100</f>
        <v>0</v>
      </c>
    </row>
    <row r="160" spans="1:30" x14ac:dyDescent="0.2">
      <c r="A160">
        <v>102039837</v>
      </c>
      <c r="B160" t="s">
        <v>93</v>
      </c>
      <c r="C160" t="s">
        <v>345</v>
      </c>
      <c r="D160" t="s">
        <v>102</v>
      </c>
      <c r="E160" s="15">
        <v>43874</v>
      </c>
      <c r="F160">
        <v>34400</v>
      </c>
      <c r="G160" t="s">
        <v>347</v>
      </c>
      <c r="H160">
        <v>39837</v>
      </c>
      <c r="I160">
        <v>20</v>
      </c>
      <c r="J160">
        <f>RTD("greekserver.rtdfunctions",,"102039837 5")</f>
        <v>200</v>
      </c>
      <c r="K160">
        <f>RTD("greekserver.rtdfunctions",,"102039837 4")/100</f>
        <v>3019.25</v>
      </c>
      <c r="L160">
        <f>RTD("greekserver.rtdfunctions",,"102039837 7")</f>
        <v>100</v>
      </c>
      <c r="M160">
        <f>RTD("greekserver.rtdfunctions",,"102039837 6")/100</f>
        <v>3150.75</v>
      </c>
      <c r="N160">
        <f>RTD("greekserver.rtdfunctions",,"102039837 8")/100</f>
        <v>0</v>
      </c>
      <c r="O160">
        <f>RTD("greekserver.rtdfunctions",,"102039837 12")</f>
        <v>0</v>
      </c>
      <c r="P160">
        <f>RTD("greekserver.rtdfunctions",,"102039837 24")/100</f>
        <v>3019.25</v>
      </c>
      <c r="Q160">
        <f>RTD("greekserver.rtdfunctions",,"102039837 25")</f>
        <v>200</v>
      </c>
      <c r="R160">
        <f>RTD("greekserver.rtdfunctions",,"102039837 26")/100</f>
        <v>3150.75</v>
      </c>
      <c r="S160">
        <f>RTD("greekserver.rtdfunctions",,"102039837 27")</f>
        <v>100</v>
      </c>
      <c r="T160">
        <f>RTD("greekserver.rtdfunctions",,"102039837 13")/100</f>
        <v>0</v>
      </c>
      <c r="U160">
        <f>RTD("greekserver.rtdfunctions",,"102039837 14")/100</f>
        <v>2644</v>
      </c>
      <c r="V160">
        <f>RTD("greekserver.rtdfunctions",,"102039837 15")/100</f>
        <v>0</v>
      </c>
      <c r="W160">
        <f>RTD("greekserver.rtdfunctions",,"102039837 16")/100</f>
        <v>0</v>
      </c>
      <c r="X160">
        <f>RTD("greekserver.rtdfunctions",,"102039837 10")/100</f>
        <v>0</v>
      </c>
      <c r="Y160">
        <f>RTD("greekserver.rtdfunctions",,"102039837 11")</f>
        <v>0</v>
      </c>
      <c r="Z160" t="str">
        <f>nseltodate(RTD("greekserver.rtdfunctions",,"102039837 20"))</f>
        <v>N/A</v>
      </c>
      <c r="AA160">
        <f>RTD("greekserver.rtdfunctions",,"102039837 18")/100</f>
        <v>0</v>
      </c>
      <c r="AB160">
        <f>RTD("greekserver.rtdfunctions",,"102039837 17")/100</f>
        <v>0</v>
      </c>
      <c r="AC160">
        <f>RTD("greekserver.rtdfunctions",,"102039837 40")/100</f>
        <v>0</v>
      </c>
      <c r="AD160">
        <f>RTD("greekserver.rtdfunctions",,"102039837 34")/100</f>
        <v>0</v>
      </c>
    </row>
    <row r="161" spans="1:30" hidden="1" x14ac:dyDescent="0.2">
      <c r="A161">
        <v>102039846</v>
      </c>
      <c r="B161" t="s">
        <v>93</v>
      </c>
      <c r="C161" t="s">
        <v>345</v>
      </c>
      <c r="D161" t="s">
        <v>102</v>
      </c>
      <c r="E161" s="15">
        <v>43874</v>
      </c>
      <c r="F161">
        <v>34500</v>
      </c>
      <c r="G161" t="s">
        <v>346</v>
      </c>
      <c r="H161">
        <v>39846</v>
      </c>
      <c r="I161">
        <v>20</v>
      </c>
      <c r="J161">
        <f>RTD("greekserver.rtdfunctions",,"102039846 5")</f>
        <v>0</v>
      </c>
      <c r="K161">
        <f>RTD("greekserver.rtdfunctions",,"102039846 4")/100</f>
        <v>0</v>
      </c>
      <c r="L161">
        <f>RTD("greekserver.rtdfunctions",,"102039846 7")</f>
        <v>2000</v>
      </c>
      <c r="M161">
        <f>RTD("greekserver.rtdfunctions",,"102039846 6")/100</f>
        <v>0.35</v>
      </c>
      <c r="N161">
        <f>RTD("greekserver.rtdfunctions",,"102039846 8")/100</f>
        <v>0.27</v>
      </c>
      <c r="O161">
        <f>RTD("greekserver.rtdfunctions",,"102039846 12")</f>
        <v>80</v>
      </c>
      <c r="P161">
        <f>RTD("greekserver.rtdfunctions",,"102039846 24")/100</f>
        <v>0</v>
      </c>
      <c r="Q161">
        <f>RTD("greekserver.rtdfunctions",,"102039846 25")</f>
        <v>0</v>
      </c>
      <c r="R161">
        <f>RTD("greekserver.rtdfunctions",,"102039846 26")/100</f>
        <v>0.35</v>
      </c>
      <c r="S161">
        <f>RTD("greekserver.rtdfunctions",,"102039846 27")</f>
        <v>2000</v>
      </c>
      <c r="T161">
        <f>RTD("greekserver.rtdfunctions",,"102039846 13")/100</f>
        <v>0.4</v>
      </c>
      <c r="U161">
        <f>RTD("greekserver.rtdfunctions",,"102039846 14")/100</f>
        <v>1.5</v>
      </c>
      <c r="V161">
        <f>RTD("greekserver.rtdfunctions",,"102039846 15")/100</f>
        <v>0.4</v>
      </c>
      <c r="W161">
        <f>RTD("greekserver.rtdfunctions",,"102039846 16")/100</f>
        <v>0.15</v>
      </c>
      <c r="X161">
        <f>RTD("greekserver.rtdfunctions",,"102039846 10")/100</f>
        <v>0.15</v>
      </c>
      <c r="Y161">
        <f>RTD("greekserver.rtdfunctions",,"102039846 11")</f>
        <v>40</v>
      </c>
      <c r="Z161" t="str">
        <f>nseltodate(RTD("greekserver.rtdfunctions",,"102039846 20"))</f>
        <v>10:36:13 AM</v>
      </c>
      <c r="AA161">
        <f>RTD("greekserver.rtdfunctions",,"102039846 18")/100</f>
        <v>0</v>
      </c>
      <c r="AB161">
        <f>RTD("greekserver.rtdfunctions",,"102039846 17")/100</f>
        <v>0</v>
      </c>
      <c r="AC161">
        <f>RTD("greekserver.rtdfunctions",,"102039846 40")/100</f>
        <v>2.4</v>
      </c>
      <c r="AD161">
        <f>RTD("greekserver.rtdfunctions",,"102039846 34")/100</f>
        <v>0</v>
      </c>
    </row>
    <row r="162" spans="1:30" x14ac:dyDescent="0.2">
      <c r="A162">
        <v>102039847</v>
      </c>
      <c r="B162" t="s">
        <v>93</v>
      </c>
      <c r="C162" t="s">
        <v>345</v>
      </c>
      <c r="D162" t="s">
        <v>102</v>
      </c>
      <c r="E162" s="15">
        <v>43874</v>
      </c>
      <c r="F162">
        <v>34500</v>
      </c>
      <c r="G162" t="s">
        <v>347</v>
      </c>
      <c r="H162">
        <v>39847</v>
      </c>
      <c r="I162">
        <v>20</v>
      </c>
      <c r="J162">
        <f>RTD("greekserver.rtdfunctions",,"102039847 5")</f>
        <v>100</v>
      </c>
      <c r="K162">
        <f>RTD("greekserver.rtdfunctions",,"102039847 4")/100</f>
        <v>3122</v>
      </c>
      <c r="L162">
        <f>RTD("greekserver.rtdfunctions",,"102039847 7")</f>
        <v>100</v>
      </c>
      <c r="M162">
        <f>RTD("greekserver.rtdfunctions",,"102039847 6")/100</f>
        <v>3250.75</v>
      </c>
      <c r="N162">
        <f>RTD("greekserver.rtdfunctions",,"102039847 8")/100</f>
        <v>0</v>
      </c>
      <c r="O162">
        <f>RTD("greekserver.rtdfunctions",,"102039847 12")</f>
        <v>0</v>
      </c>
      <c r="P162">
        <f>RTD("greekserver.rtdfunctions",,"102039847 24")/100</f>
        <v>3122</v>
      </c>
      <c r="Q162">
        <f>RTD("greekserver.rtdfunctions",,"102039847 25")</f>
        <v>100</v>
      </c>
      <c r="R162">
        <f>RTD("greekserver.rtdfunctions",,"102039847 26")/100</f>
        <v>3250.75</v>
      </c>
      <c r="S162">
        <f>RTD("greekserver.rtdfunctions",,"102039847 27")</f>
        <v>100</v>
      </c>
      <c r="T162">
        <f>RTD("greekserver.rtdfunctions",,"102039847 13")/100</f>
        <v>0</v>
      </c>
      <c r="U162">
        <f>RTD("greekserver.rtdfunctions",,"102039847 14")/100</f>
        <v>4324.8999999999996</v>
      </c>
      <c r="V162">
        <f>RTD("greekserver.rtdfunctions",,"102039847 15")/100</f>
        <v>0</v>
      </c>
      <c r="W162">
        <f>RTD("greekserver.rtdfunctions",,"102039847 16")/100</f>
        <v>0</v>
      </c>
      <c r="X162">
        <f>RTD("greekserver.rtdfunctions",,"102039847 10")/100</f>
        <v>4324.8999999999996</v>
      </c>
      <c r="Y162">
        <f>RTD("greekserver.rtdfunctions",,"102039847 11")</f>
        <v>40</v>
      </c>
      <c r="Z162" t="str">
        <f>nseltodate(RTD("greekserver.rtdfunctions",,"102039847 20"))</f>
        <v>09:15:22 AM</v>
      </c>
      <c r="AA162">
        <f>RTD("greekserver.rtdfunctions",,"102039847 18")/100</f>
        <v>0</v>
      </c>
      <c r="AB162">
        <f>RTD("greekserver.rtdfunctions",,"102039847 17")/100</f>
        <v>0</v>
      </c>
      <c r="AC162">
        <f>RTD("greekserver.rtdfunctions",,"102039847 40")/100</f>
        <v>0</v>
      </c>
      <c r="AD162">
        <f>RTD("greekserver.rtdfunctions",,"102039847 34")/100</f>
        <v>0</v>
      </c>
    </row>
    <row r="163" spans="1:30" hidden="1" x14ac:dyDescent="0.2">
      <c r="A163">
        <v>102039850</v>
      </c>
      <c r="B163" t="s">
        <v>93</v>
      </c>
      <c r="C163" t="s">
        <v>345</v>
      </c>
      <c r="D163" t="s">
        <v>102</v>
      </c>
      <c r="E163" s="15">
        <v>43874</v>
      </c>
      <c r="F163">
        <v>34600</v>
      </c>
      <c r="G163" t="s">
        <v>346</v>
      </c>
      <c r="H163">
        <v>39850</v>
      </c>
      <c r="I163">
        <v>20</v>
      </c>
      <c r="J163">
        <f>RTD("greekserver.rtdfunctions",,"102039850 5")</f>
        <v>20</v>
      </c>
      <c r="K163">
        <f>RTD("greekserver.rtdfunctions",,"102039850 4")/100</f>
        <v>0.1</v>
      </c>
      <c r="L163">
        <f>RTD("greekserver.rtdfunctions",,"102039850 7")</f>
        <v>20</v>
      </c>
      <c r="M163">
        <f>RTD("greekserver.rtdfunctions",,"102039850 6")/100</f>
        <v>0.5</v>
      </c>
      <c r="N163">
        <f>RTD("greekserver.rtdfunctions",,"102039850 8")/100</f>
        <v>0.3</v>
      </c>
      <c r="O163">
        <f>RTD("greekserver.rtdfunctions",,"102039850 12")</f>
        <v>5000</v>
      </c>
      <c r="P163">
        <f>RTD("greekserver.rtdfunctions",,"102039850 24")/100</f>
        <v>0.1</v>
      </c>
      <c r="Q163">
        <f>RTD("greekserver.rtdfunctions",,"102039850 25")</f>
        <v>20</v>
      </c>
      <c r="R163">
        <f>RTD("greekserver.rtdfunctions",,"102039850 26")/100</f>
        <v>0.5</v>
      </c>
      <c r="S163">
        <f>RTD("greekserver.rtdfunctions",,"102039850 27")</f>
        <v>20</v>
      </c>
      <c r="T163">
        <f>RTD("greekserver.rtdfunctions",,"102039850 13")/100</f>
        <v>0.3</v>
      </c>
      <c r="U163">
        <f>RTD("greekserver.rtdfunctions",,"102039850 14")/100</f>
        <v>0.35</v>
      </c>
      <c r="V163">
        <f>RTD("greekserver.rtdfunctions",,"102039850 15")/100</f>
        <v>0.4</v>
      </c>
      <c r="W163">
        <f>RTD("greekserver.rtdfunctions",,"102039850 16")/100</f>
        <v>0.3</v>
      </c>
      <c r="X163">
        <f>RTD("greekserver.rtdfunctions",,"102039850 10")/100</f>
        <v>0.3</v>
      </c>
      <c r="Y163">
        <f>RTD("greekserver.rtdfunctions",,"102039850 11")</f>
        <v>20</v>
      </c>
      <c r="Z163" t="str">
        <f>nseltodate(RTD("greekserver.rtdfunctions",,"102039850 20"))</f>
        <v>10:47:25 AM</v>
      </c>
      <c r="AA163">
        <f>RTD("greekserver.rtdfunctions",,"102039850 18")/100</f>
        <v>0</v>
      </c>
      <c r="AB163">
        <f>RTD("greekserver.rtdfunctions",,"102039850 17")/100</f>
        <v>0</v>
      </c>
      <c r="AC163">
        <f>RTD("greekserver.rtdfunctions",,"102039850 40")/100</f>
        <v>0.6</v>
      </c>
      <c r="AD163">
        <f>RTD("greekserver.rtdfunctions",,"102039850 34")/100</f>
        <v>0</v>
      </c>
    </row>
    <row r="164" spans="1:30" x14ac:dyDescent="0.2">
      <c r="A164">
        <v>102039851</v>
      </c>
      <c r="B164" t="s">
        <v>93</v>
      </c>
      <c r="C164" t="s">
        <v>345</v>
      </c>
      <c r="D164" t="s">
        <v>102</v>
      </c>
      <c r="E164" s="15">
        <v>43874</v>
      </c>
      <c r="F164">
        <v>34600</v>
      </c>
      <c r="G164" t="s">
        <v>347</v>
      </c>
      <c r="H164">
        <v>39851</v>
      </c>
      <c r="I164">
        <v>20</v>
      </c>
      <c r="J164">
        <f>RTD("greekserver.rtdfunctions",,"102039851 5")</f>
        <v>100</v>
      </c>
      <c r="K164">
        <f>RTD("greekserver.rtdfunctions",,"102039851 4")/100</f>
        <v>3222.1</v>
      </c>
      <c r="L164">
        <f>RTD("greekserver.rtdfunctions",,"102039851 7")</f>
        <v>500</v>
      </c>
      <c r="M164">
        <f>RTD("greekserver.rtdfunctions",,"102039851 6")/100</f>
        <v>3350.8</v>
      </c>
      <c r="N164">
        <f>RTD("greekserver.rtdfunctions",,"102039851 8")/100</f>
        <v>0</v>
      </c>
      <c r="O164">
        <f>RTD("greekserver.rtdfunctions",,"102039851 12")</f>
        <v>0</v>
      </c>
      <c r="P164">
        <f>RTD("greekserver.rtdfunctions",,"102039851 24")/100</f>
        <v>3222.1</v>
      </c>
      <c r="Q164">
        <f>RTD("greekserver.rtdfunctions",,"102039851 25")</f>
        <v>100</v>
      </c>
      <c r="R164">
        <f>RTD("greekserver.rtdfunctions",,"102039851 26")/100</f>
        <v>3350.8</v>
      </c>
      <c r="S164">
        <f>RTD("greekserver.rtdfunctions",,"102039851 27")</f>
        <v>500</v>
      </c>
      <c r="T164">
        <f>RTD("greekserver.rtdfunctions",,"102039851 13")/100</f>
        <v>0</v>
      </c>
      <c r="U164">
        <f>RTD("greekserver.rtdfunctions",,"102039851 14")/100</f>
        <v>2810.8</v>
      </c>
      <c r="V164">
        <f>RTD("greekserver.rtdfunctions",,"102039851 15")/100</f>
        <v>0</v>
      </c>
      <c r="W164">
        <f>RTD("greekserver.rtdfunctions",,"102039851 16")/100</f>
        <v>0</v>
      </c>
      <c r="X164">
        <f>RTD("greekserver.rtdfunctions",,"102039851 10")/100</f>
        <v>0</v>
      </c>
      <c r="Y164">
        <f>RTD("greekserver.rtdfunctions",,"102039851 11")</f>
        <v>0</v>
      </c>
      <c r="Z164" t="str">
        <f>nseltodate(RTD("greekserver.rtdfunctions",,"102039851 20"))</f>
        <v>N/A</v>
      </c>
      <c r="AA164">
        <f>RTD("greekserver.rtdfunctions",,"102039851 18")/100</f>
        <v>0</v>
      </c>
      <c r="AB164">
        <f>RTD("greekserver.rtdfunctions",,"102039851 17")/100</f>
        <v>0</v>
      </c>
      <c r="AC164">
        <f>RTD("greekserver.rtdfunctions",,"102039851 40")/100</f>
        <v>0</v>
      </c>
      <c r="AD164">
        <f>RTD("greekserver.rtdfunctions",,"102039851 34")/100</f>
        <v>0</v>
      </c>
    </row>
    <row r="165" spans="1:30" hidden="1" x14ac:dyDescent="0.2">
      <c r="A165">
        <v>102039854</v>
      </c>
      <c r="B165" t="s">
        <v>93</v>
      </c>
      <c r="C165" t="s">
        <v>345</v>
      </c>
      <c r="D165" t="s">
        <v>102</v>
      </c>
      <c r="E165" s="15">
        <v>43874</v>
      </c>
      <c r="F165">
        <v>34700</v>
      </c>
      <c r="G165" t="s">
        <v>346</v>
      </c>
      <c r="H165">
        <v>39854</v>
      </c>
      <c r="I165">
        <v>20</v>
      </c>
      <c r="J165">
        <f>RTD("greekserver.rtdfunctions",,"102039854 5")</f>
        <v>60</v>
      </c>
      <c r="K165">
        <f>RTD("greekserver.rtdfunctions",,"102039854 4")/100</f>
        <v>0.05</v>
      </c>
      <c r="L165">
        <f>RTD("greekserver.rtdfunctions",,"102039854 7")</f>
        <v>20</v>
      </c>
      <c r="M165">
        <f>RTD("greekserver.rtdfunctions",,"102039854 6")/100</f>
        <v>0.2</v>
      </c>
      <c r="N165">
        <f>RTD("greekserver.rtdfunctions",,"102039854 8")/100</f>
        <v>0.3</v>
      </c>
      <c r="O165">
        <f>RTD("greekserver.rtdfunctions",,"102039854 12")</f>
        <v>280100</v>
      </c>
      <c r="P165">
        <f>RTD("greekserver.rtdfunctions",,"102039854 24")/100</f>
        <v>0.05</v>
      </c>
      <c r="Q165">
        <f>RTD("greekserver.rtdfunctions",,"102039854 25")</f>
        <v>60</v>
      </c>
      <c r="R165">
        <f>RTD("greekserver.rtdfunctions",,"102039854 26")/100</f>
        <v>0.2</v>
      </c>
      <c r="S165">
        <f>RTD("greekserver.rtdfunctions",,"102039854 27")</f>
        <v>20</v>
      </c>
      <c r="T165">
        <f>RTD("greekserver.rtdfunctions",,"102039854 13")/100</f>
        <v>0.45</v>
      </c>
      <c r="U165">
        <f>RTD("greekserver.rtdfunctions",,"102039854 14")/100</f>
        <v>1.25</v>
      </c>
      <c r="V165">
        <f>RTD("greekserver.rtdfunctions",,"102039854 15")/100</f>
        <v>0.65</v>
      </c>
      <c r="W165">
        <f>RTD("greekserver.rtdfunctions",,"102039854 16")/100</f>
        <v>0.1</v>
      </c>
      <c r="X165">
        <f>RTD("greekserver.rtdfunctions",,"102039854 10")/100</f>
        <v>0.15</v>
      </c>
      <c r="Y165">
        <f>RTD("greekserver.rtdfunctions",,"102039854 11")</f>
        <v>40</v>
      </c>
      <c r="Z165" t="str">
        <f>nseltodate(RTD("greekserver.rtdfunctions",,"102039854 20"))</f>
        <v>10:29:12 AM</v>
      </c>
      <c r="AA165">
        <f>RTD("greekserver.rtdfunctions",,"102039854 18")/100</f>
        <v>0</v>
      </c>
      <c r="AB165">
        <f>RTD("greekserver.rtdfunctions",,"102039854 17")/100</f>
        <v>0</v>
      </c>
      <c r="AC165">
        <f>RTD("greekserver.rtdfunctions",,"102039854 40")/100</f>
        <v>27.4</v>
      </c>
      <c r="AD165">
        <f>RTD("greekserver.rtdfunctions",,"102039854 34")/100</f>
        <v>0</v>
      </c>
    </row>
    <row r="166" spans="1:30" x14ac:dyDescent="0.2">
      <c r="A166">
        <v>102039855</v>
      </c>
      <c r="B166" t="s">
        <v>93</v>
      </c>
      <c r="C166" t="s">
        <v>345</v>
      </c>
      <c r="D166" t="s">
        <v>102</v>
      </c>
      <c r="E166" s="15">
        <v>43874</v>
      </c>
      <c r="F166">
        <v>34700</v>
      </c>
      <c r="G166" t="s">
        <v>347</v>
      </c>
      <c r="H166">
        <v>39855</v>
      </c>
      <c r="I166">
        <v>20</v>
      </c>
      <c r="J166">
        <f>RTD("greekserver.rtdfunctions",,"102039855 5")</f>
        <v>100</v>
      </c>
      <c r="K166">
        <f>RTD("greekserver.rtdfunctions",,"102039855 4")/100</f>
        <v>3322.1</v>
      </c>
      <c r="L166">
        <f>RTD("greekserver.rtdfunctions",,"102039855 7")</f>
        <v>100</v>
      </c>
      <c r="M166">
        <f>RTD("greekserver.rtdfunctions",,"102039855 6")/100</f>
        <v>3450.75</v>
      </c>
      <c r="N166">
        <f>RTD("greekserver.rtdfunctions",,"102039855 8")/100</f>
        <v>0</v>
      </c>
      <c r="O166">
        <f>RTD("greekserver.rtdfunctions",,"102039855 12")</f>
        <v>0</v>
      </c>
      <c r="P166">
        <f>RTD("greekserver.rtdfunctions",,"102039855 24")/100</f>
        <v>3322.1</v>
      </c>
      <c r="Q166">
        <f>RTD("greekserver.rtdfunctions",,"102039855 25")</f>
        <v>100</v>
      </c>
      <c r="R166">
        <f>RTD("greekserver.rtdfunctions",,"102039855 26")/100</f>
        <v>3450.75</v>
      </c>
      <c r="S166">
        <f>RTD("greekserver.rtdfunctions",,"102039855 27")</f>
        <v>100</v>
      </c>
      <c r="T166">
        <f>RTD("greekserver.rtdfunctions",,"102039855 13")/100</f>
        <v>0</v>
      </c>
      <c r="U166">
        <f>RTD("greekserver.rtdfunctions",,"102039855 14")/100</f>
        <v>2895.5</v>
      </c>
      <c r="V166">
        <f>RTD("greekserver.rtdfunctions",,"102039855 15")/100</f>
        <v>0</v>
      </c>
      <c r="W166">
        <f>RTD("greekserver.rtdfunctions",,"102039855 16")/100</f>
        <v>0</v>
      </c>
      <c r="X166">
        <f>RTD("greekserver.rtdfunctions",,"102039855 10")/100</f>
        <v>0</v>
      </c>
      <c r="Y166">
        <f>RTD("greekserver.rtdfunctions",,"102039855 11")</f>
        <v>0</v>
      </c>
      <c r="Z166" t="str">
        <f>nseltodate(RTD("greekserver.rtdfunctions",,"102039855 20"))</f>
        <v>N/A</v>
      </c>
      <c r="AA166">
        <f>RTD("greekserver.rtdfunctions",,"102039855 18")/100</f>
        <v>0</v>
      </c>
      <c r="AB166">
        <f>RTD("greekserver.rtdfunctions",,"102039855 17")/100</f>
        <v>0</v>
      </c>
      <c r="AC166">
        <f>RTD("greekserver.rtdfunctions",,"102039855 40")/100</f>
        <v>0</v>
      </c>
      <c r="AD166">
        <f>RTD("greekserver.rtdfunctions",,"102039855 34")/100</f>
        <v>0</v>
      </c>
    </row>
    <row r="167" spans="1:30" hidden="1" x14ac:dyDescent="0.2">
      <c r="A167">
        <v>102035016</v>
      </c>
      <c r="B167" t="s">
        <v>93</v>
      </c>
      <c r="C167" t="s">
        <v>345</v>
      </c>
      <c r="D167" t="s">
        <v>102</v>
      </c>
      <c r="E167" s="15">
        <v>43874</v>
      </c>
      <c r="F167">
        <v>34800</v>
      </c>
      <c r="G167" t="s">
        <v>346</v>
      </c>
      <c r="H167">
        <v>35016</v>
      </c>
      <c r="I167">
        <v>20</v>
      </c>
      <c r="J167">
        <f>RTD("greekserver.rtdfunctions",,"102035016 5")</f>
        <v>40</v>
      </c>
      <c r="K167">
        <f>RTD("greekserver.rtdfunctions",,"102035016 4")/100</f>
        <v>0.1</v>
      </c>
      <c r="L167">
        <f>RTD("greekserver.rtdfunctions",,"102035016 7")</f>
        <v>20</v>
      </c>
      <c r="M167">
        <f>RTD("greekserver.rtdfunctions",,"102035016 6")/100</f>
        <v>0.2</v>
      </c>
      <c r="N167">
        <f>RTD("greekserver.rtdfunctions",,"102035016 8")/100</f>
        <v>0.3</v>
      </c>
      <c r="O167">
        <f>RTD("greekserver.rtdfunctions",,"102035016 12")</f>
        <v>270060</v>
      </c>
      <c r="P167">
        <f>RTD("greekserver.rtdfunctions",,"102035016 24")/100</f>
        <v>0.1</v>
      </c>
      <c r="Q167">
        <f>RTD("greekserver.rtdfunctions",,"102035016 25")</f>
        <v>40</v>
      </c>
      <c r="R167">
        <f>RTD("greekserver.rtdfunctions",,"102035016 26")/100</f>
        <v>0.2</v>
      </c>
      <c r="S167">
        <f>RTD("greekserver.rtdfunctions",,"102035016 27")</f>
        <v>20</v>
      </c>
      <c r="T167">
        <f>RTD("greekserver.rtdfunctions",,"102035016 13")/100</f>
        <v>0.4</v>
      </c>
      <c r="U167">
        <f>RTD("greekserver.rtdfunctions",,"102035016 14")/100</f>
        <v>241.65</v>
      </c>
      <c r="V167">
        <f>RTD("greekserver.rtdfunctions",,"102035016 15")/100</f>
        <v>0.65</v>
      </c>
      <c r="W167">
        <f>RTD("greekserver.rtdfunctions",,"102035016 16")/100</f>
        <v>0.15</v>
      </c>
      <c r="X167">
        <f>RTD("greekserver.rtdfunctions",,"102035016 10")/100</f>
        <v>0.15</v>
      </c>
      <c r="Y167">
        <f>RTD("greekserver.rtdfunctions",,"102035016 11")</f>
        <v>40</v>
      </c>
      <c r="Z167" t="str">
        <f>nseltodate(RTD("greekserver.rtdfunctions",,"102035016 20"))</f>
        <v>10:28:59 AM</v>
      </c>
      <c r="AA167">
        <f>RTD("greekserver.rtdfunctions",,"102035016 18")/100</f>
        <v>0</v>
      </c>
      <c r="AB167">
        <f>RTD("greekserver.rtdfunctions",,"102035016 17")/100</f>
        <v>0</v>
      </c>
      <c r="AC167">
        <f>RTD("greekserver.rtdfunctions",,"102035016 40")/100</f>
        <v>0.6</v>
      </c>
      <c r="AD167">
        <f>RTD("greekserver.rtdfunctions",,"102035016 34")/100</f>
        <v>0</v>
      </c>
    </row>
    <row r="168" spans="1:30" x14ac:dyDescent="0.2">
      <c r="A168">
        <v>102035017</v>
      </c>
      <c r="B168" t="s">
        <v>93</v>
      </c>
      <c r="C168" t="s">
        <v>345</v>
      </c>
      <c r="D168" t="s">
        <v>102</v>
      </c>
      <c r="E168" s="15">
        <v>43874</v>
      </c>
      <c r="F168">
        <v>34800</v>
      </c>
      <c r="G168" t="s">
        <v>347</v>
      </c>
      <c r="H168">
        <v>35017</v>
      </c>
      <c r="I168">
        <v>20</v>
      </c>
      <c r="J168">
        <f>RTD("greekserver.rtdfunctions",,"102035017 5")</f>
        <v>100</v>
      </c>
      <c r="K168">
        <f>RTD("greekserver.rtdfunctions",,"102035017 4")/100</f>
        <v>3422.05</v>
      </c>
      <c r="L168">
        <f>RTD("greekserver.rtdfunctions",,"102035017 7")</f>
        <v>100</v>
      </c>
      <c r="M168">
        <f>RTD("greekserver.rtdfunctions",,"102035017 6")/100</f>
        <v>3550.75</v>
      </c>
      <c r="N168">
        <f>RTD("greekserver.rtdfunctions",,"102035017 8")/100</f>
        <v>0</v>
      </c>
      <c r="O168">
        <f>RTD("greekserver.rtdfunctions",,"102035017 12")</f>
        <v>0</v>
      </c>
      <c r="P168">
        <f>RTD("greekserver.rtdfunctions",,"102035017 24")/100</f>
        <v>3422.05</v>
      </c>
      <c r="Q168">
        <f>RTD("greekserver.rtdfunctions",,"102035017 25")</f>
        <v>100</v>
      </c>
      <c r="R168">
        <f>RTD("greekserver.rtdfunctions",,"102035017 26")/100</f>
        <v>3550.75</v>
      </c>
      <c r="S168">
        <f>RTD("greekserver.rtdfunctions",,"102035017 27")</f>
        <v>100</v>
      </c>
      <c r="T168">
        <f>RTD("greekserver.rtdfunctions",,"102035017 13")/100</f>
        <v>0</v>
      </c>
      <c r="U168">
        <f>RTD("greekserver.rtdfunctions",,"102035017 14")/100</f>
        <v>2701.15</v>
      </c>
      <c r="V168">
        <f>RTD("greekserver.rtdfunctions",,"102035017 15")/100</f>
        <v>0</v>
      </c>
      <c r="W168">
        <f>RTD("greekserver.rtdfunctions",,"102035017 16")/100</f>
        <v>0</v>
      </c>
      <c r="X168">
        <f>RTD("greekserver.rtdfunctions",,"102035017 10")/100</f>
        <v>0</v>
      </c>
      <c r="Y168">
        <f>RTD("greekserver.rtdfunctions",,"102035017 11")</f>
        <v>0</v>
      </c>
      <c r="Z168" t="str">
        <f>nseltodate(RTD("greekserver.rtdfunctions",,"102035017 20"))</f>
        <v>N/A</v>
      </c>
      <c r="AA168">
        <f>RTD("greekserver.rtdfunctions",,"102035017 18")/100</f>
        <v>0</v>
      </c>
      <c r="AB168">
        <f>RTD("greekserver.rtdfunctions",,"102035017 17")/100</f>
        <v>0</v>
      </c>
      <c r="AC168">
        <f>RTD("greekserver.rtdfunctions",,"102035017 40")/100</f>
        <v>0</v>
      </c>
      <c r="AD168">
        <f>RTD("greekserver.rtdfunctions",,"102035017 34")/100</f>
        <v>0</v>
      </c>
    </row>
    <row r="169" spans="1:30" hidden="1" x14ac:dyDescent="0.2">
      <c r="A169">
        <v>102035026</v>
      </c>
      <c r="B169" t="s">
        <v>93</v>
      </c>
      <c r="C169" t="s">
        <v>345</v>
      </c>
      <c r="D169" t="s">
        <v>102</v>
      </c>
      <c r="E169" s="15">
        <v>43874</v>
      </c>
      <c r="F169">
        <v>34900</v>
      </c>
      <c r="G169" t="s">
        <v>346</v>
      </c>
      <c r="H169">
        <v>35026</v>
      </c>
      <c r="I169">
        <v>20</v>
      </c>
      <c r="J169">
        <f>RTD("greekserver.rtdfunctions",,"102035026 5")</f>
        <v>0</v>
      </c>
      <c r="K169">
        <f>RTD("greekserver.rtdfunctions",,"102035026 4")/100</f>
        <v>0</v>
      </c>
      <c r="L169">
        <f>RTD("greekserver.rtdfunctions",,"102035026 7")</f>
        <v>60</v>
      </c>
      <c r="M169">
        <f>RTD("greekserver.rtdfunctions",,"102035026 6")/100</f>
        <v>0.4</v>
      </c>
      <c r="N169">
        <f>RTD("greekserver.rtdfunctions",,"102035026 8")/100</f>
        <v>0</v>
      </c>
      <c r="O169">
        <f>RTD("greekserver.rtdfunctions",,"102035026 12")</f>
        <v>0</v>
      </c>
      <c r="P169">
        <f>RTD("greekserver.rtdfunctions",,"102035026 24")/100</f>
        <v>0</v>
      </c>
      <c r="Q169">
        <f>RTD("greekserver.rtdfunctions",,"102035026 25")</f>
        <v>0</v>
      </c>
      <c r="R169">
        <f>RTD("greekserver.rtdfunctions",,"102035026 26")/100</f>
        <v>0.4</v>
      </c>
      <c r="S169">
        <f>RTD("greekserver.rtdfunctions",,"102035026 27")</f>
        <v>60</v>
      </c>
      <c r="T169">
        <f>RTD("greekserver.rtdfunctions",,"102035026 13")/100</f>
        <v>0</v>
      </c>
      <c r="U169">
        <f>RTD("greekserver.rtdfunctions",,"102035026 14")/100</f>
        <v>1</v>
      </c>
      <c r="V169">
        <f>RTD("greekserver.rtdfunctions",,"102035026 15")/100</f>
        <v>0</v>
      </c>
      <c r="W169">
        <f>RTD("greekserver.rtdfunctions",,"102035026 16")/100</f>
        <v>0</v>
      </c>
      <c r="X169">
        <f>RTD("greekserver.rtdfunctions",,"102035026 10")/100</f>
        <v>1</v>
      </c>
      <c r="Y169">
        <f>RTD("greekserver.rtdfunctions",,"102035026 11")</f>
        <v>20</v>
      </c>
      <c r="Z169" t="str">
        <f>nseltodate(RTD("greekserver.rtdfunctions",,"102035026 20"))</f>
        <v>01:18:29 PM</v>
      </c>
      <c r="AA169">
        <f>RTD("greekserver.rtdfunctions",,"102035026 18")/100</f>
        <v>0</v>
      </c>
      <c r="AB169">
        <f>RTD("greekserver.rtdfunctions",,"102035026 17")/100</f>
        <v>0</v>
      </c>
      <c r="AC169">
        <f>RTD("greekserver.rtdfunctions",,"102035026 40")/100</f>
        <v>0</v>
      </c>
      <c r="AD169">
        <f>RTD("greekserver.rtdfunctions",,"102035026 34")/100</f>
        <v>0</v>
      </c>
    </row>
    <row r="170" spans="1:30" x14ac:dyDescent="0.2">
      <c r="A170">
        <v>102035027</v>
      </c>
      <c r="B170" t="s">
        <v>93</v>
      </c>
      <c r="C170" t="s">
        <v>345</v>
      </c>
      <c r="D170" t="s">
        <v>102</v>
      </c>
      <c r="E170" s="15">
        <v>43874</v>
      </c>
      <c r="F170">
        <v>34900</v>
      </c>
      <c r="G170" t="s">
        <v>347</v>
      </c>
      <c r="H170">
        <v>35027</v>
      </c>
      <c r="I170">
        <v>20</v>
      </c>
      <c r="J170">
        <f>RTD("greekserver.rtdfunctions",,"102035027 5")</f>
        <v>100</v>
      </c>
      <c r="K170">
        <f>RTD("greekserver.rtdfunctions",,"102035027 4")/100</f>
        <v>3521.95</v>
      </c>
      <c r="L170">
        <f>RTD("greekserver.rtdfunctions",,"102035027 7")</f>
        <v>100</v>
      </c>
      <c r="M170">
        <f>RTD("greekserver.rtdfunctions",,"102035027 6")/100</f>
        <v>3650.75</v>
      </c>
      <c r="N170">
        <f>RTD("greekserver.rtdfunctions",,"102035027 8")/100</f>
        <v>0</v>
      </c>
      <c r="O170">
        <f>RTD("greekserver.rtdfunctions",,"102035027 12")</f>
        <v>0</v>
      </c>
      <c r="P170">
        <f>RTD("greekserver.rtdfunctions",,"102035027 24")/100</f>
        <v>3521.95</v>
      </c>
      <c r="Q170">
        <f>RTD("greekserver.rtdfunctions",,"102035027 25")</f>
        <v>100</v>
      </c>
      <c r="R170">
        <f>RTD("greekserver.rtdfunctions",,"102035027 26")/100</f>
        <v>3650.75</v>
      </c>
      <c r="S170">
        <f>RTD("greekserver.rtdfunctions",,"102035027 27")</f>
        <v>100</v>
      </c>
      <c r="T170">
        <f>RTD("greekserver.rtdfunctions",,"102035027 13")/100</f>
        <v>0</v>
      </c>
      <c r="U170">
        <f>RTD("greekserver.rtdfunctions",,"102035027 14")/100</f>
        <v>2784.55</v>
      </c>
      <c r="V170">
        <f>RTD("greekserver.rtdfunctions",,"102035027 15")/100</f>
        <v>0</v>
      </c>
      <c r="W170">
        <f>RTD("greekserver.rtdfunctions",,"102035027 16")/100</f>
        <v>0</v>
      </c>
      <c r="X170">
        <f>RTD("greekserver.rtdfunctions",,"102035027 10")/100</f>
        <v>0</v>
      </c>
      <c r="Y170">
        <f>RTD("greekserver.rtdfunctions",,"102035027 11")</f>
        <v>0</v>
      </c>
      <c r="Z170" t="str">
        <f>nseltodate(RTD("greekserver.rtdfunctions",,"102035027 20"))</f>
        <v>N/A</v>
      </c>
      <c r="AA170">
        <f>RTD("greekserver.rtdfunctions",,"102035027 18")/100</f>
        <v>0</v>
      </c>
      <c r="AB170">
        <f>RTD("greekserver.rtdfunctions",,"102035027 17")/100</f>
        <v>0</v>
      </c>
      <c r="AC170">
        <f>RTD("greekserver.rtdfunctions",,"102035027 40")/100</f>
        <v>0</v>
      </c>
      <c r="AD170">
        <f>RTD("greekserver.rtdfunctions",,"102035027 34")/100</f>
        <v>0</v>
      </c>
    </row>
    <row r="171" spans="1:30" hidden="1" x14ac:dyDescent="0.2">
      <c r="A171">
        <v>102035046</v>
      </c>
      <c r="B171" t="s">
        <v>93</v>
      </c>
      <c r="C171" t="s">
        <v>345</v>
      </c>
      <c r="D171" t="s">
        <v>102</v>
      </c>
      <c r="E171" s="15">
        <v>43874</v>
      </c>
      <c r="F171">
        <v>35000</v>
      </c>
      <c r="G171" t="s">
        <v>346</v>
      </c>
      <c r="H171">
        <v>35046</v>
      </c>
      <c r="I171">
        <v>20</v>
      </c>
      <c r="J171">
        <f>RTD("greekserver.rtdfunctions",,"102035046 5")</f>
        <v>0</v>
      </c>
      <c r="K171">
        <f>RTD("greekserver.rtdfunctions",,"102035046 4")/100</f>
        <v>0</v>
      </c>
      <c r="L171">
        <f>RTD("greekserver.rtdfunctions",,"102035046 7")</f>
        <v>2000</v>
      </c>
      <c r="M171">
        <f>RTD("greekserver.rtdfunctions",,"102035046 6")/100</f>
        <v>0.35</v>
      </c>
      <c r="N171">
        <f>RTD("greekserver.rtdfunctions",,"102035046 8")/100</f>
        <v>0.4</v>
      </c>
      <c r="O171">
        <f>RTD("greekserver.rtdfunctions",,"102035046 12")</f>
        <v>20</v>
      </c>
      <c r="P171">
        <f>RTD("greekserver.rtdfunctions",,"102035046 24")/100</f>
        <v>0</v>
      </c>
      <c r="Q171">
        <f>RTD("greekserver.rtdfunctions",,"102035046 25")</f>
        <v>0</v>
      </c>
      <c r="R171">
        <f>RTD("greekserver.rtdfunctions",,"102035046 26")/100</f>
        <v>0.35</v>
      </c>
      <c r="S171">
        <f>RTD("greekserver.rtdfunctions",,"102035046 27")</f>
        <v>2000</v>
      </c>
      <c r="T171">
        <f>RTD("greekserver.rtdfunctions",,"102035046 13")/100</f>
        <v>0.4</v>
      </c>
      <c r="U171">
        <f>RTD("greekserver.rtdfunctions",,"102035046 14")/100</f>
        <v>0.5</v>
      </c>
      <c r="V171">
        <f>RTD("greekserver.rtdfunctions",,"102035046 15")/100</f>
        <v>0.4</v>
      </c>
      <c r="W171">
        <f>RTD("greekserver.rtdfunctions",,"102035046 16")/100</f>
        <v>0.4</v>
      </c>
      <c r="X171">
        <f>RTD("greekserver.rtdfunctions",,"102035046 10")/100</f>
        <v>0.4</v>
      </c>
      <c r="Y171">
        <f>RTD("greekserver.rtdfunctions",,"102035046 11")</f>
        <v>20</v>
      </c>
      <c r="Z171" t="str">
        <f>nseltodate(RTD("greekserver.rtdfunctions",,"102035046 20"))</f>
        <v>09:31:33 AM</v>
      </c>
      <c r="AA171">
        <f>RTD("greekserver.rtdfunctions",,"102035046 18")/100</f>
        <v>0</v>
      </c>
      <c r="AB171">
        <f>RTD("greekserver.rtdfunctions",,"102035046 17")/100</f>
        <v>0</v>
      </c>
      <c r="AC171">
        <f>RTD("greekserver.rtdfunctions",,"102035046 40")/100</f>
        <v>3.4</v>
      </c>
      <c r="AD171">
        <f>RTD("greekserver.rtdfunctions",,"102035046 34")/100</f>
        <v>0</v>
      </c>
    </row>
    <row r="172" spans="1:30" x14ac:dyDescent="0.2">
      <c r="A172">
        <v>102035047</v>
      </c>
      <c r="B172" t="s">
        <v>93</v>
      </c>
      <c r="C172" t="s">
        <v>345</v>
      </c>
      <c r="D172" t="s">
        <v>102</v>
      </c>
      <c r="E172" s="15">
        <v>43874</v>
      </c>
      <c r="F172">
        <v>35000</v>
      </c>
      <c r="G172" t="s">
        <v>347</v>
      </c>
      <c r="H172">
        <v>35047</v>
      </c>
      <c r="I172">
        <v>20</v>
      </c>
      <c r="J172">
        <f>RTD("greekserver.rtdfunctions",,"102035047 5")</f>
        <v>100</v>
      </c>
      <c r="K172">
        <f>RTD("greekserver.rtdfunctions",,"102035047 4")/100</f>
        <v>3621.95</v>
      </c>
      <c r="L172">
        <f>RTD("greekserver.rtdfunctions",,"102035047 7")</f>
        <v>20</v>
      </c>
      <c r="M172">
        <f>RTD("greekserver.rtdfunctions",,"102035047 6")/100</f>
        <v>3721.8</v>
      </c>
      <c r="N172">
        <f>RTD("greekserver.rtdfunctions",,"102035047 8")/100</f>
        <v>0</v>
      </c>
      <c r="O172">
        <f>RTD("greekserver.rtdfunctions",,"102035047 12")</f>
        <v>0</v>
      </c>
      <c r="P172">
        <f>RTD("greekserver.rtdfunctions",,"102035047 24")/100</f>
        <v>3621.95</v>
      </c>
      <c r="Q172">
        <f>RTD("greekserver.rtdfunctions",,"102035047 25")</f>
        <v>100</v>
      </c>
      <c r="R172">
        <f>RTD("greekserver.rtdfunctions",,"102035047 26")/100</f>
        <v>3721.8</v>
      </c>
      <c r="S172">
        <f>RTD("greekserver.rtdfunctions",,"102035047 27")</f>
        <v>20</v>
      </c>
      <c r="T172">
        <f>RTD("greekserver.rtdfunctions",,"102035047 13")/100</f>
        <v>0</v>
      </c>
      <c r="U172">
        <f>RTD("greekserver.rtdfunctions",,"102035047 14")/100</f>
        <v>3594.8</v>
      </c>
      <c r="V172">
        <f>RTD("greekserver.rtdfunctions",,"102035047 15")/100</f>
        <v>0</v>
      </c>
      <c r="W172">
        <f>RTD("greekserver.rtdfunctions",,"102035047 16")/100</f>
        <v>0</v>
      </c>
      <c r="X172">
        <f>RTD("greekserver.rtdfunctions",,"102035047 10")/100</f>
        <v>3594.8</v>
      </c>
      <c r="Y172">
        <f>RTD("greekserver.rtdfunctions",,"102035047 11")</f>
        <v>20</v>
      </c>
      <c r="Z172" t="str">
        <f>nseltodate(RTD("greekserver.rtdfunctions",,"102035047 20"))</f>
        <v>02:31:06 PM</v>
      </c>
      <c r="AA172">
        <f>RTD("greekserver.rtdfunctions",,"102035047 18")/100</f>
        <v>0</v>
      </c>
      <c r="AB172">
        <f>RTD("greekserver.rtdfunctions",,"102035047 17")/100</f>
        <v>0</v>
      </c>
      <c r="AC172">
        <f>RTD("greekserver.rtdfunctions",,"102035047 40")/100</f>
        <v>0</v>
      </c>
      <c r="AD172">
        <f>RTD("greekserver.rtdfunctions",,"102035047 34")/100</f>
        <v>0</v>
      </c>
    </row>
    <row r="173" spans="1:30" hidden="1" x14ac:dyDescent="0.2">
      <c r="A173">
        <v>102040997</v>
      </c>
      <c r="B173" t="s">
        <v>93</v>
      </c>
      <c r="C173" t="s">
        <v>345</v>
      </c>
      <c r="D173" t="s">
        <v>102</v>
      </c>
      <c r="E173" s="15">
        <v>43874</v>
      </c>
      <c r="F173">
        <v>35100</v>
      </c>
      <c r="G173" t="s">
        <v>346</v>
      </c>
      <c r="H173">
        <v>40997</v>
      </c>
      <c r="I173">
        <v>20</v>
      </c>
      <c r="J173">
        <f>RTD("greekserver.rtdfunctions",,"102040997 5")</f>
        <v>0</v>
      </c>
      <c r="K173">
        <f>RTD("greekserver.rtdfunctions",,"102040997 4")/100</f>
        <v>0</v>
      </c>
      <c r="L173">
        <f>RTD("greekserver.rtdfunctions",,"102040997 7")</f>
        <v>120</v>
      </c>
      <c r="M173">
        <f>RTD("greekserver.rtdfunctions",,"102040997 6")/100</f>
        <v>0.45</v>
      </c>
      <c r="N173">
        <f>RTD("greekserver.rtdfunctions",,"102040997 8")/100</f>
        <v>0</v>
      </c>
      <c r="O173">
        <f>RTD("greekserver.rtdfunctions",,"102040997 12")</f>
        <v>0</v>
      </c>
      <c r="P173">
        <f>RTD("greekserver.rtdfunctions",,"102040997 24")/100</f>
        <v>0</v>
      </c>
      <c r="Q173">
        <f>RTD("greekserver.rtdfunctions",,"102040997 25")</f>
        <v>0</v>
      </c>
      <c r="R173">
        <f>RTD("greekserver.rtdfunctions",,"102040997 26")/100</f>
        <v>0.45</v>
      </c>
      <c r="S173">
        <f>RTD("greekserver.rtdfunctions",,"102040997 27")</f>
        <v>120</v>
      </c>
      <c r="T173">
        <f>RTD("greekserver.rtdfunctions",,"102040997 13")/100</f>
        <v>0</v>
      </c>
      <c r="U173">
        <f>RTD("greekserver.rtdfunctions",,"102040997 14")/100</f>
        <v>0.6</v>
      </c>
      <c r="V173">
        <f>RTD("greekserver.rtdfunctions",,"102040997 15")/100</f>
        <v>0</v>
      </c>
      <c r="W173">
        <f>RTD("greekserver.rtdfunctions",,"102040997 16")/100</f>
        <v>0</v>
      </c>
      <c r="X173">
        <f>RTD("greekserver.rtdfunctions",,"102040997 10")/100</f>
        <v>0.6</v>
      </c>
      <c r="Y173">
        <f>RTD("greekserver.rtdfunctions",,"102040997 11")</f>
        <v>20</v>
      </c>
      <c r="Z173" t="str">
        <f>nseltodate(RTD("greekserver.rtdfunctions",,"102040997 20"))</f>
        <v>12:51:33 PM</v>
      </c>
      <c r="AA173">
        <f>RTD("greekserver.rtdfunctions",,"102040997 18")/100</f>
        <v>0</v>
      </c>
      <c r="AB173">
        <f>RTD("greekserver.rtdfunctions",,"102040997 17")/100</f>
        <v>0</v>
      </c>
      <c r="AC173">
        <f>RTD("greekserver.rtdfunctions",,"102040997 40")/100</f>
        <v>0</v>
      </c>
      <c r="AD173">
        <f>RTD("greekserver.rtdfunctions",,"102040997 34")/100</f>
        <v>0</v>
      </c>
    </row>
    <row r="174" spans="1:30" x14ac:dyDescent="0.2">
      <c r="A174">
        <v>102040998</v>
      </c>
      <c r="B174" t="s">
        <v>93</v>
      </c>
      <c r="C174" t="s">
        <v>345</v>
      </c>
      <c r="D174" t="s">
        <v>102</v>
      </c>
      <c r="E174" s="15">
        <v>43874</v>
      </c>
      <c r="F174">
        <v>35100</v>
      </c>
      <c r="G174" t="s">
        <v>347</v>
      </c>
      <c r="H174">
        <v>40998</v>
      </c>
      <c r="I174">
        <v>20</v>
      </c>
      <c r="J174">
        <f>RTD("greekserver.rtdfunctions",,"102040998 5")</f>
        <v>100</v>
      </c>
      <c r="K174">
        <f>RTD("greekserver.rtdfunctions",,"102040998 4")/100</f>
        <v>3721.9</v>
      </c>
      <c r="L174">
        <f>RTD("greekserver.rtdfunctions",,"102040998 7")</f>
        <v>100</v>
      </c>
      <c r="M174">
        <f>RTD("greekserver.rtdfunctions",,"102040998 6")/100</f>
        <v>3850.75</v>
      </c>
      <c r="N174">
        <f>RTD("greekserver.rtdfunctions",,"102040998 8")/100</f>
        <v>0</v>
      </c>
      <c r="O174">
        <f>RTD("greekserver.rtdfunctions",,"102040998 12")</f>
        <v>0</v>
      </c>
      <c r="P174">
        <f>RTD("greekserver.rtdfunctions",,"102040998 24")/100</f>
        <v>3721.9</v>
      </c>
      <c r="Q174">
        <f>RTD("greekserver.rtdfunctions",,"102040998 25")</f>
        <v>100</v>
      </c>
      <c r="R174">
        <f>RTD("greekserver.rtdfunctions",,"102040998 26")/100</f>
        <v>3850.75</v>
      </c>
      <c r="S174">
        <f>RTD("greekserver.rtdfunctions",,"102040998 27")</f>
        <v>100</v>
      </c>
      <c r="T174">
        <f>RTD("greekserver.rtdfunctions",,"102040998 13")/100</f>
        <v>0</v>
      </c>
      <c r="U174">
        <f>RTD("greekserver.rtdfunctions",,"102040998 14")/100</f>
        <v>2830.8</v>
      </c>
      <c r="V174">
        <f>RTD("greekserver.rtdfunctions",,"102040998 15")/100</f>
        <v>0</v>
      </c>
      <c r="W174">
        <f>RTD("greekserver.rtdfunctions",,"102040998 16")/100</f>
        <v>0</v>
      </c>
      <c r="X174">
        <f>RTD("greekserver.rtdfunctions",,"102040998 10")/100</f>
        <v>0</v>
      </c>
      <c r="Y174">
        <f>RTD("greekserver.rtdfunctions",,"102040998 11")</f>
        <v>0</v>
      </c>
      <c r="Z174" t="str">
        <f>nseltodate(RTD("greekserver.rtdfunctions",,"102040998 20"))</f>
        <v>N/A</v>
      </c>
      <c r="AA174">
        <f>RTD("greekserver.rtdfunctions",,"102040998 18")/100</f>
        <v>0</v>
      </c>
      <c r="AB174">
        <f>RTD("greekserver.rtdfunctions",,"102040998 17")/100</f>
        <v>0</v>
      </c>
      <c r="AC174">
        <f>RTD("greekserver.rtdfunctions",,"102040998 40")/100</f>
        <v>0</v>
      </c>
      <c r="AD174">
        <f>RTD("greekserver.rtdfunctions",,"102040998 34")/100</f>
        <v>0</v>
      </c>
    </row>
    <row r="175" spans="1:30" hidden="1" x14ac:dyDescent="0.2">
      <c r="A175">
        <v>102041287</v>
      </c>
      <c r="B175" t="s">
        <v>93</v>
      </c>
      <c r="C175" t="s">
        <v>345</v>
      </c>
      <c r="D175" t="s">
        <v>102</v>
      </c>
      <c r="E175" s="15">
        <v>43874</v>
      </c>
      <c r="F175">
        <v>35200</v>
      </c>
      <c r="G175" t="s">
        <v>346</v>
      </c>
      <c r="H175">
        <v>41287</v>
      </c>
      <c r="I175">
        <v>20</v>
      </c>
      <c r="J175">
        <f>RTD("greekserver.rtdfunctions",,"102041287 5")</f>
        <v>2260</v>
      </c>
      <c r="K175">
        <f>RTD("greekserver.rtdfunctions",,"102041287 4")/100</f>
        <v>0.05</v>
      </c>
      <c r="L175">
        <f>RTD("greekserver.rtdfunctions",,"102041287 7")</f>
        <v>160</v>
      </c>
      <c r="M175">
        <f>RTD("greekserver.rtdfunctions",,"102041287 6")/100</f>
        <v>0.15</v>
      </c>
      <c r="N175">
        <f>RTD("greekserver.rtdfunctions",,"102041287 8")/100</f>
        <v>0.21</v>
      </c>
      <c r="O175">
        <f>RTD("greekserver.rtdfunctions",,"102041287 12")</f>
        <v>10240</v>
      </c>
      <c r="P175">
        <f>RTD("greekserver.rtdfunctions",,"102041287 24")/100</f>
        <v>0.05</v>
      </c>
      <c r="Q175">
        <f>RTD("greekserver.rtdfunctions",,"102041287 25")</f>
        <v>2260</v>
      </c>
      <c r="R175">
        <f>RTD("greekserver.rtdfunctions",,"102041287 26")/100</f>
        <v>0.15</v>
      </c>
      <c r="S175">
        <f>RTD("greekserver.rtdfunctions",,"102041287 27")</f>
        <v>160</v>
      </c>
      <c r="T175">
        <f>RTD("greekserver.rtdfunctions",,"102041287 13")/100</f>
        <v>0.3</v>
      </c>
      <c r="U175">
        <f>RTD("greekserver.rtdfunctions",,"102041287 14")/100</f>
        <v>0.5</v>
      </c>
      <c r="V175">
        <f>RTD("greekserver.rtdfunctions",,"102041287 15")/100</f>
        <v>0.45</v>
      </c>
      <c r="W175">
        <f>RTD("greekserver.rtdfunctions",,"102041287 16")/100</f>
        <v>0.05</v>
      </c>
      <c r="X175">
        <f>RTD("greekserver.rtdfunctions",,"102041287 10")/100</f>
        <v>0.05</v>
      </c>
      <c r="Y175">
        <f>RTD("greekserver.rtdfunctions",,"102041287 11")</f>
        <v>100</v>
      </c>
      <c r="Z175" t="str">
        <f>nseltodate(RTD("greekserver.rtdfunctions",,"102041287 20"))</f>
        <v>10:41:38 AM</v>
      </c>
      <c r="AA175">
        <f>RTD("greekserver.rtdfunctions",,"102041287 18")/100</f>
        <v>0</v>
      </c>
      <c r="AB175">
        <f>RTD("greekserver.rtdfunctions",,"102041287 17")/100</f>
        <v>0</v>
      </c>
      <c r="AC175">
        <f>RTD("greekserver.rtdfunctions",,"102041287 40")/100</f>
        <v>12.4</v>
      </c>
      <c r="AD175">
        <f>RTD("greekserver.rtdfunctions",,"102041287 34")/100</f>
        <v>0</v>
      </c>
    </row>
    <row r="176" spans="1:30" x14ac:dyDescent="0.2">
      <c r="A176">
        <v>102041288</v>
      </c>
      <c r="B176" t="s">
        <v>93</v>
      </c>
      <c r="C176" t="s">
        <v>345</v>
      </c>
      <c r="D176" t="s">
        <v>102</v>
      </c>
      <c r="E176" s="15">
        <v>43874</v>
      </c>
      <c r="F176">
        <v>35200</v>
      </c>
      <c r="G176" t="s">
        <v>347</v>
      </c>
      <c r="H176">
        <v>41288</v>
      </c>
      <c r="I176">
        <v>20</v>
      </c>
      <c r="J176">
        <f>RTD("greekserver.rtdfunctions",,"102041288 5")</f>
        <v>100</v>
      </c>
      <c r="K176">
        <f>RTD("greekserver.rtdfunctions",,"102041288 4")/100</f>
        <v>3822.05</v>
      </c>
      <c r="L176">
        <f>RTD("greekserver.rtdfunctions",,"102041288 7")</f>
        <v>100</v>
      </c>
      <c r="M176">
        <f>RTD("greekserver.rtdfunctions",,"102041288 6")/100</f>
        <v>3950.75</v>
      </c>
      <c r="N176">
        <f>RTD("greekserver.rtdfunctions",,"102041288 8")/100</f>
        <v>0</v>
      </c>
      <c r="O176">
        <f>RTD("greekserver.rtdfunctions",,"102041288 12")</f>
        <v>0</v>
      </c>
      <c r="P176">
        <f>RTD("greekserver.rtdfunctions",,"102041288 24")/100</f>
        <v>3822.05</v>
      </c>
      <c r="Q176">
        <f>RTD("greekserver.rtdfunctions",,"102041288 25")</f>
        <v>100</v>
      </c>
      <c r="R176">
        <f>RTD("greekserver.rtdfunctions",,"102041288 26")/100</f>
        <v>3950.75</v>
      </c>
      <c r="S176">
        <f>RTD("greekserver.rtdfunctions",,"102041288 27")</f>
        <v>100</v>
      </c>
      <c r="T176">
        <f>RTD("greekserver.rtdfunctions",,"102041288 13")/100</f>
        <v>0</v>
      </c>
      <c r="U176">
        <f>RTD("greekserver.rtdfunctions",,"102041288 14")/100</f>
        <v>2815.85</v>
      </c>
      <c r="V176">
        <f>RTD("greekserver.rtdfunctions",,"102041288 15")/100</f>
        <v>0</v>
      </c>
      <c r="W176">
        <f>RTD("greekserver.rtdfunctions",,"102041288 16")/100</f>
        <v>0</v>
      </c>
      <c r="X176">
        <f>RTD("greekserver.rtdfunctions",,"102041288 10")/100</f>
        <v>0</v>
      </c>
      <c r="Y176">
        <f>RTD("greekserver.rtdfunctions",,"102041288 11")</f>
        <v>0</v>
      </c>
      <c r="Z176" t="str">
        <f>nseltodate(RTD("greekserver.rtdfunctions",,"102041288 20"))</f>
        <v>N/A</v>
      </c>
      <c r="AA176">
        <f>RTD("greekserver.rtdfunctions",,"102041288 18")/100</f>
        <v>0</v>
      </c>
      <c r="AB176">
        <f>RTD("greekserver.rtdfunctions",,"102041288 17")/100</f>
        <v>0</v>
      </c>
      <c r="AC176">
        <f>RTD("greekserver.rtdfunctions",,"102041288 40")/100</f>
        <v>0</v>
      </c>
      <c r="AD176">
        <f>RTD("greekserver.rtdfunctions",,"102041288 34")/100</f>
        <v>0</v>
      </c>
    </row>
    <row r="177" spans="1:30" hidden="1" x14ac:dyDescent="0.2">
      <c r="A177">
        <v>102039597</v>
      </c>
      <c r="B177" t="s">
        <v>93</v>
      </c>
      <c r="C177" t="s">
        <v>345</v>
      </c>
      <c r="D177" t="s">
        <v>102</v>
      </c>
      <c r="E177" s="15">
        <v>43874</v>
      </c>
      <c r="F177">
        <v>35300</v>
      </c>
      <c r="G177" t="s">
        <v>346</v>
      </c>
      <c r="H177">
        <v>39597</v>
      </c>
      <c r="I177">
        <v>20</v>
      </c>
      <c r="J177">
        <f>RTD("greekserver.rtdfunctions",,"102039597 5")</f>
        <v>0</v>
      </c>
      <c r="K177">
        <f>RTD("greekserver.rtdfunctions",,"102039597 4")/100</f>
        <v>0</v>
      </c>
      <c r="L177">
        <f>RTD("greekserver.rtdfunctions",,"102039597 7")</f>
        <v>20</v>
      </c>
      <c r="M177">
        <f>RTD("greekserver.rtdfunctions",,"102039597 6")/100</f>
        <v>0.3</v>
      </c>
      <c r="N177">
        <f>RTD("greekserver.rtdfunctions",,"102039597 8")/100</f>
        <v>0</v>
      </c>
      <c r="O177">
        <f>RTD("greekserver.rtdfunctions",,"102039597 12")</f>
        <v>0</v>
      </c>
      <c r="P177">
        <f>RTD("greekserver.rtdfunctions",,"102039597 24")/100</f>
        <v>0</v>
      </c>
      <c r="Q177">
        <f>RTD("greekserver.rtdfunctions",,"102039597 25")</f>
        <v>0</v>
      </c>
      <c r="R177">
        <f>RTD("greekserver.rtdfunctions",,"102039597 26")/100</f>
        <v>0.3</v>
      </c>
      <c r="S177">
        <f>RTD("greekserver.rtdfunctions",,"102039597 27")</f>
        <v>20</v>
      </c>
      <c r="T177">
        <f>RTD("greekserver.rtdfunctions",,"102039597 13")/100</f>
        <v>0</v>
      </c>
      <c r="U177">
        <f>RTD("greekserver.rtdfunctions",,"102039597 14")/100</f>
        <v>0.1</v>
      </c>
      <c r="V177">
        <f>RTD("greekserver.rtdfunctions",,"102039597 15")/100</f>
        <v>0</v>
      </c>
      <c r="W177">
        <f>RTD("greekserver.rtdfunctions",,"102039597 16")/100</f>
        <v>0</v>
      </c>
      <c r="X177">
        <f>RTD("greekserver.rtdfunctions",,"102039597 10")/100</f>
        <v>0.1</v>
      </c>
      <c r="Y177">
        <f>RTD("greekserver.rtdfunctions",,"102039597 11")</f>
        <v>80</v>
      </c>
      <c r="Z177" t="str">
        <f>nseltodate(RTD("greekserver.rtdfunctions",,"102039597 20"))</f>
        <v>03:27:21 PM</v>
      </c>
      <c r="AA177">
        <f>RTD("greekserver.rtdfunctions",,"102039597 18")/100</f>
        <v>0</v>
      </c>
      <c r="AB177">
        <f>RTD("greekserver.rtdfunctions",,"102039597 17")/100</f>
        <v>0</v>
      </c>
      <c r="AC177">
        <f>RTD("greekserver.rtdfunctions",,"102039597 40")/100</f>
        <v>0</v>
      </c>
      <c r="AD177">
        <f>RTD("greekserver.rtdfunctions",,"102039597 34")/100</f>
        <v>0</v>
      </c>
    </row>
    <row r="178" spans="1:30" x14ac:dyDescent="0.2">
      <c r="A178">
        <v>102039599</v>
      </c>
      <c r="B178" t="s">
        <v>93</v>
      </c>
      <c r="C178" t="s">
        <v>345</v>
      </c>
      <c r="D178" t="s">
        <v>102</v>
      </c>
      <c r="E178" s="15">
        <v>43874</v>
      </c>
      <c r="F178">
        <v>35300</v>
      </c>
      <c r="G178" t="s">
        <v>347</v>
      </c>
      <c r="H178">
        <v>39599</v>
      </c>
      <c r="I178">
        <v>20</v>
      </c>
      <c r="J178">
        <f>RTD("greekserver.rtdfunctions",,"102039599 5")</f>
        <v>100</v>
      </c>
      <c r="K178">
        <f>RTD("greekserver.rtdfunctions",,"102039599 4")/100</f>
        <v>3922.05</v>
      </c>
      <c r="L178">
        <f>RTD("greekserver.rtdfunctions",,"102039599 7")</f>
        <v>100</v>
      </c>
      <c r="M178">
        <f>RTD("greekserver.rtdfunctions",,"102039599 6")/100</f>
        <v>4050.75</v>
      </c>
      <c r="N178">
        <f>RTD("greekserver.rtdfunctions",,"102039599 8")/100</f>
        <v>0</v>
      </c>
      <c r="O178">
        <f>RTD("greekserver.rtdfunctions",,"102039599 12")</f>
        <v>0</v>
      </c>
      <c r="P178">
        <f>RTD("greekserver.rtdfunctions",,"102039599 24")/100</f>
        <v>3922.05</v>
      </c>
      <c r="Q178">
        <f>RTD("greekserver.rtdfunctions",,"102039599 25")</f>
        <v>100</v>
      </c>
      <c r="R178">
        <f>RTD("greekserver.rtdfunctions",,"102039599 26")/100</f>
        <v>4050.75</v>
      </c>
      <c r="S178">
        <f>RTD("greekserver.rtdfunctions",,"102039599 27")</f>
        <v>100</v>
      </c>
      <c r="T178">
        <f>RTD("greekserver.rtdfunctions",,"102039599 13")/100</f>
        <v>0</v>
      </c>
      <c r="U178">
        <f>RTD("greekserver.rtdfunctions",,"102039599 14")/100</f>
        <v>2754.2</v>
      </c>
      <c r="V178">
        <f>RTD("greekserver.rtdfunctions",,"102039599 15")/100</f>
        <v>0</v>
      </c>
      <c r="W178">
        <f>RTD("greekserver.rtdfunctions",,"102039599 16")/100</f>
        <v>0</v>
      </c>
      <c r="X178">
        <f>RTD("greekserver.rtdfunctions",,"102039599 10")/100</f>
        <v>0</v>
      </c>
      <c r="Y178">
        <f>RTD("greekserver.rtdfunctions",,"102039599 11")</f>
        <v>0</v>
      </c>
      <c r="Z178" t="str">
        <f>nseltodate(RTD("greekserver.rtdfunctions",,"102039599 20"))</f>
        <v>N/A</v>
      </c>
      <c r="AA178">
        <f>RTD("greekserver.rtdfunctions",,"102039599 18")/100</f>
        <v>0</v>
      </c>
      <c r="AB178">
        <f>RTD("greekserver.rtdfunctions",,"102039599 17")/100</f>
        <v>0</v>
      </c>
      <c r="AC178">
        <f>RTD("greekserver.rtdfunctions",,"102039599 40")/100</f>
        <v>0</v>
      </c>
      <c r="AD178">
        <f>RTD("greekserver.rtdfunctions",,"102039599 34")/100</f>
        <v>0</v>
      </c>
    </row>
    <row r="179" spans="1:30" hidden="1" x14ac:dyDescent="0.2">
      <c r="A179">
        <v>102039646</v>
      </c>
      <c r="B179" t="s">
        <v>93</v>
      </c>
      <c r="C179" t="s">
        <v>345</v>
      </c>
      <c r="D179" t="s">
        <v>102</v>
      </c>
      <c r="E179" s="15">
        <v>43874</v>
      </c>
      <c r="F179">
        <v>35400</v>
      </c>
      <c r="G179" t="s">
        <v>346</v>
      </c>
      <c r="H179">
        <v>39646</v>
      </c>
      <c r="I179">
        <v>20</v>
      </c>
      <c r="J179">
        <f>RTD("greekserver.rtdfunctions",,"102039646 5")</f>
        <v>0</v>
      </c>
      <c r="K179">
        <f>RTD("greekserver.rtdfunctions",,"102039646 4")/100</f>
        <v>0</v>
      </c>
      <c r="L179">
        <f>RTD("greekserver.rtdfunctions",,"102039646 7")</f>
        <v>460</v>
      </c>
      <c r="M179">
        <f>RTD("greekserver.rtdfunctions",,"102039646 6")/100</f>
        <v>0.1</v>
      </c>
      <c r="N179">
        <f>RTD("greekserver.rtdfunctions",,"102039646 8")/100</f>
        <v>0</v>
      </c>
      <c r="O179">
        <f>RTD("greekserver.rtdfunctions",,"102039646 12")</f>
        <v>0</v>
      </c>
      <c r="P179">
        <f>RTD("greekserver.rtdfunctions",,"102039646 24")/100</f>
        <v>0</v>
      </c>
      <c r="Q179">
        <f>RTD("greekserver.rtdfunctions",,"102039646 25")</f>
        <v>0</v>
      </c>
      <c r="R179">
        <f>RTD("greekserver.rtdfunctions",,"102039646 26")/100</f>
        <v>0.1</v>
      </c>
      <c r="S179">
        <f>RTD("greekserver.rtdfunctions",,"102039646 27")</f>
        <v>460</v>
      </c>
      <c r="T179">
        <f>RTD("greekserver.rtdfunctions",,"102039646 13")/100</f>
        <v>0</v>
      </c>
      <c r="U179">
        <f>RTD("greekserver.rtdfunctions",,"102039646 14")/100</f>
        <v>0.25</v>
      </c>
      <c r="V179">
        <f>RTD("greekserver.rtdfunctions",,"102039646 15")/100</f>
        <v>0</v>
      </c>
      <c r="W179">
        <f>RTD("greekserver.rtdfunctions",,"102039646 16")/100</f>
        <v>0</v>
      </c>
      <c r="X179">
        <f>RTD("greekserver.rtdfunctions",,"102039646 10")/100</f>
        <v>0.2</v>
      </c>
      <c r="Y179">
        <f>RTD("greekserver.rtdfunctions",,"102039646 11")</f>
        <v>40</v>
      </c>
      <c r="Z179" t="str">
        <f>nseltodate(RTD("greekserver.rtdfunctions",,"102039646 20"))</f>
        <v>03:27:16 PM</v>
      </c>
      <c r="AA179">
        <f>RTD("greekserver.rtdfunctions",,"102039646 18")/100</f>
        <v>0</v>
      </c>
      <c r="AB179">
        <f>RTD("greekserver.rtdfunctions",,"102039646 17")/100</f>
        <v>0</v>
      </c>
      <c r="AC179">
        <f>RTD("greekserver.rtdfunctions",,"102039646 40")/100</f>
        <v>0</v>
      </c>
      <c r="AD179">
        <f>RTD("greekserver.rtdfunctions",,"102039646 34")/100</f>
        <v>0</v>
      </c>
    </row>
    <row r="180" spans="1:30" x14ac:dyDescent="0.2">
      <c r="A180">
        <v>102039647</v>
      </c>
      <c r="B180" t="s">
        <v>93</v>
      </c>
      <c r="C180" t="s">
        <v>345</v>
      </c>
      <c r="D180" t="s">
        <v>102</v>
      </c>
      <c r="E180" s="15">
        <v>43874</v>
      </c>
      <c r="F180">
        <v>35400</v>
      </c>
      <c r="G180" t="s">
        <v>347</v>
      </c>
      <c r="H180">
        <v>39647</v>
      </c>
      <c r="I180">
        <v>20</v>
      </c>
      <c r="J180">
        <f>RTD("greekserver.rtdfunctions",,"102039647 5")</f>
        <v>100</v>
      </c>
      <c r="K180">
        <f>RTD("greekserver.rtdfunctions",,"102039647 4")/100</f>
        <v>4019.25</v>
      </c>
      <c r="L180">
        <f>RTD("greekserver.rtdfunctions",,"102039647 7")</f>
        <v>100</v>
      </c>
      <c r="M180">
        <f>RTD("greekserver.rtdfunctions",,"102039647 6")/100</f>
        <v>4150.75</v>
      </c>
      <c r="N180">
        <f>RTD("greekserver.rtdfunctions",,"102039647 8")/100</f>
        <v>0</v>
      </c>
      <c r="O180">
        <f>RTD("greekserver.rtdfunctions",,"102039647 12")</f>
        <v>0</v>
      </c>
      <c r="P180">
        <f>RTD("greekserver.rtdfunctions",,"102039647 24")/100</f>
        <v>4019.25</v>
      </c>
      <c r="Q180">
        <f>RTD("greekserver.rtdfunctions",,"102039647 25")</f>
        <v>100</v>
      </c>
      <c r="R180">
        <f>RTD("greekserver.rtdfunctions",,"102039647 26")/100</f>
        <v>4150.75</v>
      </c>
      <c r="S180">
        <f>RTD("greekserver.rtdfunctions",,"102039647 27")</f>
        <v>100</v>
      </c>
      <c r="T180">
        <f>RTD("greekserver.rtdfunctions",,"102039647 13")/100</f>
        <v>0</v>
      </c>
      <c r="U180">
        <f>RTD("greekserver.rtdfunctions",,"102039647 14")/100</f>
        <v>2842.5</v>
      </c>
      <c r="V180">
        <f>RTD("greekserver.rtdfunctions",,"102039647 15")/100</f>
        <v>0</v>
      </c>
      <c r="W180">
        <f>RTD("greekserver.rtdfunctions",,"102039647 16")/100</f>
        <v>0</v>
      </c>
      <c r="X180">
        <f>RTD("greekserver.rtdfunctions",,"102039647 10")/100</f>
        <v>0</v>
      </c>
      <c r="Y180">
        <f>RTD("greekserver.rtdfunctions",,"102039647 11")</f>
        <v>0</v>
      </c>
      <c r="Z180" t="str">
        <f>nseltodate(RTD("greekserver.rtdfunctions",,"102039647 20"))</f>
        <v>N/A</v>
      </c>
      <c r="AA180">
        <f>RTD("greekserver.rtdfunctions",,"102039647 18")/100</f>
        <v>0</v>
      </c>
      <c r="AB180">
        <f>RTD("greekserver.rtdfunctions",,"102039647 17")/100</f>
        <v>0</v>
      </c>
      <c r="AC180">
        <f>RTD("greekserver.rtdfunctions",,"102039647 40")/100</f>
        <v>0</v>
      </c>
      <c r="AD180">
        <f>RTD("greekserver.rtdfunctions",,"102039647 34")/100</f>
        <v>0</v>
      </c>
    </row>
    <row r="181" spans="1:30" hidden="1" x14ac:dyDescent="0.2">
      <c r="E181" s="15"/>
    </row>
    <row r="182" spans="1:30" hidden="1" x14ac:dyDescent="0.2">
      <c r="E182" s="15"/>
    </row>
    <row r="183" spans="1:30" hidden="1" x14ac:dyDescent="0.2">
      <c r="E183" s="15"/>
    </row>
    <row r="184" spans="1:30" hidden="1" x14ac:dyDescent="0.2">
      <c r="E184" s="15"/>
    </row>
    <row r="185" spans="1:30" hidden="1" x14ac:dyDescent="0.2">
      <c r="E185" s="15"/>
    </row>
    <row r="186" spans="1:30" hidden="1" x14ac:dyDescent="0.2">
      <c r="E186" s="15"/>
    </row>
    <row r="187" spans="1:30" hidden="1" x14ac:dyDescent="0.2">
      <c r="E187" s="15"/>
    </row>
    <row r="188" spans="1:30" hidden="1" x14ac:dyDescent="0.2">
      <c r="E188" s="15"/>
    </row>
    <row r="189" spans="1:30" hidden="1" x14ac:dyDescent="0.2">
      <c r="E189" s="15"/>
    </row>
    <row r="190" spans="1:30" x14ac:dyDescent="0.2">
      <c r="E190" s="15"/>
    </row>
    <row r="191" spans="1:30" x14ac:dyDescent="0.2">
      <c r="E191" s="15"/>
    </row>
    <row r="192" spans="1:30" x14ac:dyDescent="0.2">
      <c r="E192" s="15"/>
    </row>
    <row r="193" spans="5:5" x14ac:dyDescent="0.2">
      <c r="E193" s="15"/>
    </row>
    <row r="194" spans="5:5" x14ac:dyDescent="0.2">
      <c r="E194" s="15"/>
    </row>
    <row r="195" spans="5:5" x14ac:dyDescent="0.2">
      <c r="E195" s="15"/>
    </row>
    <row r="196" spans="5:5" x14ac:dyDescent="0.2">
      <c r="E196" s="15"/>
    </row>
    <row r="197" spans="5:5" x14ac:dyDescent="0.2">
      <c r="E197" s="15"/>
    </row>
    <row r="198" spans="5:5" x14ac:dyDescent="0.2">
      <c r="E198" s="15"/>
    </row>
    <row r="199" spans="5:5" x14ac:dyDescent="0.2">
      <c r="E199" s="15"/>
    </row>
    <row r="200" spans="5:5" x14ac:dyDescent="0.2">
      <c r="E200" s="15"/>
    </row>
    <row r="201" spans="5:5" x14ac:dyDescent="0.2">
      <c r="E201" s="15"/>
    </row>
    <row r="202" spans="5:5" x14ac:dyDescent="0.2">
      <c r="E202" s="15"/>
    </row>
    <row r="203" spans="5:5" x14ac:dyDescent="0.2">
      <c r="E203" s="15"/>
    </row>
    <row r="204" spans="5:5" x14ac:dyDescent="0.2">
      <c r="E204" s="15"/>
    </row>
    <row r="207" spans="5:5" x14ac:dyDescent="0.2">
      <c r="E207" s="15"/>
    </row>
  </sheetData>
  <autoFilter ref="A2:AK189">
    <filterColumn colId="6">
      <filters>
        <filter val="PE"/>
      </filters>
    </filterColumn>
  </autoFilter>
  <phoneticPr fontId="5" type="noConversion"/>
  <pageMargins left="0.75" right="0.75" top="1" bottom="1"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188"/>
  <sheetViews>
    <sheetView topLeftCell="A3" workbookViewId="0">
      <selection activeCell="B4" sqref="B4"/>
    </sheetView>
  </sheetViews>
  <sheetFormatPr defaultRowHeight="12.75" x14ac:dyDescent="0.2"/>
  <cols>
    <col min="3" max="3" width="9.28515625" bestFit="1" customWidth="1"/>
    <col min="4" max="4" width="15" bestFit="1" customWidth="1"/>
    <col min="5" max="5" width="13.85546875" bestFit="1" customWidth="1"/>
    <col min="7" max="7" width="10.7109375" bestFit="1" customWidth="1"/>
    <col min="8" max="8" width="15.28515625" bestFit="1" customWidth="1"/>
    <col min="9" max="9" width="10.7109375" style="44" bestFit="1" customWidth="1"/>
    <col min="10" max="10" width="15.28515625" bestFit="1" customWidth="1"/>
    <col min="11" max="11" width="10.7109375" bestFit="1" customWidth="1"/>
    <col min="13" max="13" width="13.85546875" bestFit="1" customWidth="1"/>
    <col min="14" max="14" width="15" bestFit="1" customWidth="1"/>
    <col min="15" max="15" width="9.28515625" bestFit="1" customWidth="1"/>
    <col min="16" max="16" width="13.28515625" bestFit="1" customWidth="1"/>
    <col min="17" max="17" width="14.42578125" bestFit="1" customWidth="1"/>
    <col min="19" max="19" width="14.7109375" bestFit="1" customWidth="1"/>
    <col min="20" max="20" width="14.42578125" bestFit="1" customWidth="1"/>
    <col min="21" max="22" width="10" style="44" bestFit="1" customWidth="1"/>
  </cols>
  <sheetData>
    <row r="1" spans="1:22" x14ac:dyDescent="0.2">
      <c r="C1">
        <v>40</v>
      </c>
      <c r="E1">
        <v>12</v>
      </c>
      <c r="G1">
        <v>10</v>
      </c>
      <c r="H1">
        <v>14</v>
      </c>
      <c r="J1">
        <v>14</v>
      </c>
      <c r="K1">
        <v>10</v>
      </c>
      <c r="M1">
        <v>12</v>
      </c>
      <c r="O1">
        <v>40</v>
      </c>
      <c r="Q1" s="42">
        <f ca="1">TODAY()</f>
        <v>43874</v>
      </c>
    </row>
    <row r="2" spans="1:22" x14ac:dyDescent="0.2">
      <c r="Q2" s="111">
        <v>43874</v>
      </c>
      <c r="R2">
        <f ca="1">Q2-Q1</f>
        <v>0</v>
      </c>
      <c r="S2">
        <f ca="1">R2/365</f>
        <v>0</v>
      </c>
    </row>
    <row r="3" spans="1:22" x14ac:dyDescent="0.2">
      <c r="C3" t="s">
        <v>348</v>
      </c>
      <c r="D3" t="s">
        <v>349</v>
      </c>
      <c r="E3" t="s">
        <v>350</v>
      </c>
      <c r="F3" t="s">
        <v>351</v>
      </c>
      <c r="G3" t="s">
        <v>352</v>
      </c>
      <c r="H3" t="s">
        <v>353</v>
      </c>
      <c r="I3" s="44" t="s">
        <v>55</v>
      </c>
      <c r="J3" t="s">
        <v>354</v>
      </c>
      <c r="K3" t="s">
        <v>355</v>
      </c>
      <c r="L3" t="s">
        <v>356</v>
      </c>
      <c r="M3" t="s">
        <v>357</v>
      </c>
      <c r="N3" t="s">
        <v>359</v>
      </c>
      <c r="O3" t="s">
        <v>358</v>
      </c>
      <c r="P3" t="s">
        <v>360</v>
      </c>
      <c r="Q3" t="s">
        <v>361</v>
      </c>
      <c r="R3" s="3" t="s">
        <v>561</v>
      </c>
      <c r="S3" t="s">
        <v>362</v>
      </c>
      <c r="T3" t="s">
        <v>363</v>
      </c>
    </row>
    <row r="4" spans="1:22" x14ac:dyDescent="0.2">
      <c r="A4" t="str">
        <f>"CE"&amp;I4</f>
        <v>CE26800</v>
      </c>
      <c r="B4" t="str">
        <f>"PE"&amp;I4</f>
        <v>PE26800</v>
      </c>
      <c r="C4">
        <f>RTD("greekserver.rtdfunctions",,CONCATENATE($U4&amp;" "&amp;$C$1))</f>
        <v>0</v>
      </c>
      <c r="D4">
        <f>C4-S4</f>
        <v>-100</v>
      </c>
      <c r="E4">
        <f>RTD("greekserver.rtdfunctions",,CONCATENATE(U4&amp;" "&amp;$E$1))</f>
        <v>0</v>
      </c>
      <c r="F4" t="str">
        <f ca="1">BSCallImplied($R$4,I4,0,G4,$S$2)</f>
        <v>error</v>
      </c>
      <c r="G4">
        <f>RTD("greekserver.rtdfunctions",,CONCATENATE(U4&amp;" "&amp;$G$1))/100</f>
        <v>4743.2</v>
      </c>
      <c r="H4">
        <f>G4-RTD("greekserver.rtdfunctions",,CONCATENATE(U4&amp;" "&amp;$H$1))/100</f>
        <v>0</v>
      </c>
      <c r="I4">
        <v>26800</v>
      </c>
      <c r="J4">
        <f>K4-RTD("greekserver.rtdfunctions",,CONCATENATE(V4&amp;" "&amp;$J$1))/100</f>
        <v>-0.15</v>
      </c>
      <c r="K4">
        <f>RTD("greekserver.rtdfunctions",,CONCATENATE(V4&amp;" "&amp;$K$1))/100</f>
        <v>0.15</v>
      </c>
      <c r="L4" t="str">
        <f ca="1">BSPutImplied($R$4,I4,0,K4,$S$2)</f>
        <v>error</v>
      </c>
      <c r="M4">
        <f>RTD("greekserver.rtdfunctions",,CONCATENATE(V4&amp;" "&amp;$M$1))</f>
        <v>3440</v>
      </c>
      <c r="N4">
        <f>O4-T4</f>
        <v>780</v>
      </c>
      <c r="O4">
        <f>RTD("greekserver.rtdfunctions",,CONCATENATE(V4&amp;" "&amp;$O$1))</f>
        <v>3720</v>
      </c>
      <c r="P4" s="42">
        <f ca="1">TODAY()</f>
        <v>43874</v>
      </c>
      <c r="Q4" s="43">
        <f ca="1">NOW()</f>
        <v>43874.449634027776</v>
      </c>
      <c r="R4">
        <f>RTD("greekserver.rtdfunctions",,CONCATENATE(R3))/100</f>
        <v>31332.400000000001</v>
      </c>
      <c r="S4">
        <v>100</v>
      </c>
      <c r="T4">
        <v>2940</v>
      </c>
      <c r="U4" s="44">
        <v>102036224</v>
      </c>
      <c r="V4" s="44">
        <v>102036225</v>
      </c>
    </row>
    <row r="5" spans="1:22" x14ac:dyDescent="0.2">
      <c r="A5" t="str">
        <f t="shared" ref="A5:A68" si="0">"CE"&amp;I5</f>
        <v>CE26900</v>
      </c>
      <c r="B5" t="str">
        <f t="shared" ref="B5:B68" si="1">"PE"&amp;I5</f>
        <v>PE26900</v>
      </c>
      <c r="C5">
        <f>RTD("greekserver.rtdfunctions",,CONCATENATE($U5&amp;" "&amp;$C$1))</f>
        <v>0</v>
      </c>
      <c r="D5">
        <f t="shared" ref="D5:D68" si="2">C5-S5</f>
        <v>0</v>
      </c>
      <c r="E5">
        <f>RTD("greekserver.rtdfunctions",,CONCATENATE(U5&amp;" "&amp;$E$1))</f>
        <v>0</v>
      </c>
      <c r="F5" t="str">
        <f t="shared" ref="F5:F68" ca="1" si="3">BSCallImplied($R$4,I5,0,G5,$S$2)</f>
        <v>undefined</v>
      </c>
      <c r="G5">
        <f>RTD("greekserver.rtdfunctions",,CONCATENATE(U5&amp;" "&amp;$G$1))/100</f>
        <v>0</v>
      </c>
      <c r="H5">
        <f>G5-RTD("greekserver.rtdfunctions",,CONCATENATE(U5&amp;" "&amp;$H$1))/100</f>
        <v>-2965.45</v>
      </c>
      <c r="I5">
        <v>26900</v>
      </c>
      <c r="J5">
        <f>K5-RTD("greekserver.rtdfunctions",,CONCATENATE(V5&amp;" "&amp;$J$1))/100</f>
        <v>-0.4</v>
      </c>
      <c r="K5">
        <f>RTD("greekserver.rtdfunctions",,CONCATENATE(V5&amp;" "&amp;$K$1))/100</f>
        <v>0.15</v>
      </c>
      <c r="L5" t="str">
        <f t="shared" ref="L5:L68" ca="1" si="4">BSPutImplied($R$4,I5,0,K5,$S$2)</f>
        <v>error</v>
      </c>
      <c r="M5">
        <f>RTD("greekserver.rtdfunctions",,CONCATENATE(V5&amp;" "&amp;$M$1))</f>
        <v>10020</v>
      </c>
      <c r="N5">
        <f t="shared" ref="N5:N68" si="5">O5-T5</f>
        <v>20</v>
      </c>
      <c r="O5">
        <f>RTD("greekserver.rtdfunctions",,CONCATENATE(V5&amp;" "&amp;$O$1))</f>
        <v>200</v>
      </c>
      <c r="P5" s="42">
        <f t="shared" ref="P5:P68" ca="1" si="6">TODAY()</f>
        <v>43874</v>
      </c>
      <c r="Q5" s="43">
        <f t="shared" ref="Q5:Q68" ca="1" si="7">NOW()</f>
        <v>43874.449634027776</v>
      </c>
      <c r="S5">
        <v>0</v>
      </c>
      <c r="T5">
        <v>180</v>
      </c>
      <c r="U5" s="44">
        <v>102036230</v>
      </c>
      <c r="V5" s="44">
        <v>102036231</v>
      </c>
    </row>
    <row r="6" spans="1:22" x14ac:dyDescent="0.2">
      <c r="A6" t="str">
        <f t="shared" si="0"/>
        <v>CE27000</v>
      </c>
      <c r="B6" t="str">
        <f t="shared" si="1"/>
        <v>PE27000</v>
      </c>
      <c r="C6">
        <f>RTD("greekserver.rtdfunctions",,CONCATENATE($U6&amp;" "&amp;$C$1))</f>
        <v>0</v>
      </c>
      <c r="D6">
        <f t="shared" si="2"/>
        <v>0</v>
      </c>
      <c r="E6">
        <f>RTD("greekserver.rtdfunctions",,CONCATENATE(U6&amp;" "&amp;$E$1))</f>
        <v>0</v>
      </c>
      <c r="F6" t="str">
        <f t="shared" ca="1" si="3"/>
        <v>undefined</v>
      </c>
      <c r="G6">
        <f>RTD("greekserver.rtdfunctions",,CONCATENATE(U6&amp;" "&amp;$G$1))/100</f>
        <v>0</v>
      </c>
      <c r="H6">
        <f>G6-RTD("greekserver.rtdfunctions",,CONCATENATE(U6&amp;" "&amp;$H$1))/100</f>
        <v>-2865.65</v>
      </c>
      <c r="I6">
        <v>27000</v>
      </c>
      <c r="J6">
        <f>K6-RTD("greekserver.rtdfunctions",,CONCATENATE(V6&amp;" "&amp;$J$1))/100</f>
        <v>-0.1</v>
      </c>
      <c r="K6">
        <f>RTD("greekserver.rtdfunctions",,CONCATENATE(V6&amp;" "&amp;$K$1))/100</f>
        <v>0</v>
      </c>
      <c r="L6">
        <f t="shared" ca="1" si="4"/>
        <v>0</v>
      </c>
      <c r="M6">
        <f>RTD("greekserver.rtdfunctions",,CONCATENATE(V6&amp;" "&amp;$M$1))</f>
        <v>0</v>
      </c>
      <c r="N6">
        <f t="shared" si="5"/>
        <v>0</v>
      </c>
      <c r="O6">
        <f>RTD("greekserver.rtdfunctions",,CONCATENATE(V6&amp;" "&amp;$O$1))</f>
        <v>0</v>
      </c>
      <c r="P6" s="42">
        <f t="shared" ca="1" si="6"/>
        <v>43874</v>
      </c>
      <c r="Q6" s="43">
        <f t="shared" ca="1" si="7"/>
        <v>43874.449634027776</v>
      </c>
      <c r="S6">
        <v>0</v>
      </c>
      <c r="T6">
        <v>0</v>
      </c>
      <c r="U6" s="44">
        <v>102036232</v>
      </c>
      <c r="V6" s="44">
        <v>102036233</v>
      </c>
    </row>
    <row r="7" spans="1:22" x14ac:dyDescent="0.2">
      <c r="A7" t="str">
        <f t="shared" si="0"/>
        <v>CE27100</v>
      </c>
      <c r="B7" t="str">
        <f t="shared" si="1"/>
        <v>PE27100</v>
      </c>
      <c r="C7">
        <f>RTD("greekserver.rtdfunctions",,CONCATENATE($U7&amp;" "&amp;$C$1))</f>
        <v>0</v>
      </c>
      <c r="D7">
        <f t="shared" si="2"/>
        <v>0</v>
      </c>
      <c r="E7">
        <f>RTD("greekserver.rtdfunctions",,CONCATENATE(U7&amp;" "&amp;$E$1))</f>
        <v>0</v>
      </c>
      <c r="F7" t="str">
        <f t="shared" ca="1" si="3"/>
        <v>undefined</v>
      </c>
      <c r="G7">
        <f>RTD("greekserver.rtdfunctions",,CONCATENATE(U7&amp;" "&amp;$G$1))/100</f>
        <v>0</v>
      </c>
      <c r="H7">
        <f>G7-RTD("greekserver.rtdfunctions",,CONCATENATE(U7&amp;" "&amp;$H$1))/100</f>
        <v>-2765.85</v>
      </c>
      <c r="I7">
        <v>27100</v>
      </c>
      <c r="J7">
        <f>K7-RTD("greekserver.rtdfunctions",,CONCATENATE(V7&amp;" "&amp;$J$1))/100</f>
        <v>0</v>
      </c>
      <c r="K7">
        <f>RTD("greekserver.rtdfunctions",,CONCATENATE(V7&amp;" "&amp;$K$1))/100</f>
        <v>0.2</v>
      </c>
      <c r="L7" t="str">
        <f t="shared" ca="1" si="4"/>
        <v>error</v>
      </c>
      <c r="M7">
        <f>RTD("greekserver.rtdfunctions",,CONCATENATE(V7&amp;" "&amp;$M$1))</f>
        <v>0</v>
      </c>
      <c r="N7">
        <f t="shared" si="5"/>
        <v>-20</v>
      </c>
      <c r="O7">
        <f>RTD("greekserver.rtdfunctions",,CONCATENATE(V7&amp;" "&amp;$O$1))</f>
        <v>0</v>
      </c>
      <c r="P7" s="42">
        <f t="shared" ca="1" si="6"/>
        <v>43874</v>
      </c>
      <c r="Q7" s="43">
        <f t="shared" ca="1" si="7"/>
        <v>43874.449634027776</v>
      </c>
      <c r="S7">
        <v>0</v>
      </c>
      <c r="T7">
        <v>20</v>
      </c>
      <c r="U7" s="44">
        <v>102036238</v>
      </c>
      <c r="V7" s="44">
        <v>102036239</v>
      </c>
    </row>
    <row r="8" spans="1:22" x14ac:dyDescent="0.2">
      <c r="A8" t="str">
        <f t="shared" si="0"/>
        <v>CE27200</v>
      </c>
      <c r="B8" t="str">
        <f t="shared" si="1"/>
        <v>PE27200</v>
      </c>
      <c r="C8">
        <f>RTD("greekserver.rtdfunctions",,CONCATENATE($U8&amp;" "&amp;$C$1))</f>
        <v>0</v>
      </c>
      <c r="D8">
        <f t="shared" si="2"/>
        <v>0</v>
      </c>
      <c r="E8">
        <f>RTD("greekserver.rtdfunctions",,CONCATENATE(U8&amp;" "&amp;$E$1))</f>
        <v>0</v>
      </c>
      <c r="F8" t="str">
        <f t="shared" ca="1" si="3"/>
        <v>undefined</v>
      </c>
      <c r="G8">
        <f>RTD("greekserver.rtdfunctions",,CONCATENATE(U8&amp;" "&amp;$G$1))/100</f>
        <v>0</v>
      </c>
      <c r="H8">
        <f>G8-RTD("greekserver.rtdfunctions",,CONCATENATE(U8&amp;" "&amp;$H$1))/100</f>
        <v>-2666.1</v>
      </c>
      <c r="I8">
        <v>27200</v>
      </c>
      <c r="J8">
        <f>K8-RTD("greekserver.rtdfunctions",,CONCATENATE(V8&amp;" "&amp;$J$1))/100</f>
        <v>0</v>
      </c>
      <c r="K8">
        <f>RTD("greekserver.rtdfunctions",,CONCATENATE(V8&amp;" "&amp;$K$1))/100</f>
        <v>1.05</v>
      </c>
      <c r="L8" t="str">
        <f t="shared" ca="1" si="4"/>
        <v>error</v>
      </c>
      <c r="M8">
        <f>RTD("greekserver.rtdfunctions",,CONCATENATE(V8&amp;" "&amp;$M$1))</f>
        <v>0</v>
      </c>
      <c r="N8">
        <f t="shared" si="5"/>
        <v>-1320</v>
      </c>
      <c r="O8">
        <f>RTD("greekserver.rtdfunctions",,CONCATENATE(V8&amp;" "&amp;$O$1))</f>
        <v>0</v>
      </c>
      <c r="P8" s="42">
        <f t="shared" ca="1" si="6"/>
        <v>43874</v>
      </c>
      <c r="Q8" s="43">
        <f t="shared" ca="1" si="7"/>
        <v>43874.449634027776</v>
      </c>
      <c r="S8">
        <v>0</v>
      </c>
      <c r="T8">
        <v>1320</v>
      </c>
      <c r="U8" s="44">
        <v>102036240</v>
      </c>
      <c r="V8" s="44">
        <v>102036241</v>
      </c>
    </row>
    <row r="9" spans="1:22" x14ac:dyDescent="0.2">
      <c r="A9" t="str">
        <f t="shared" si="0"/>
        <v>CE27300</v>
      </c>
      <c r="B9" t="str">
        <f t="shared" si="1"/>
        <v>PE27300</v>
      </c>
      <c r="C9">
        <f>RTD("greekserver.rtdfunctions",,CONCATENATE($U9&amp;" "&amp;$C$1))</f>
        <v>0</v>
      </c>
      <c r="D9">
        <f t="shared" si="2"/>
        <v>0</v>
      </c>
      <c r="E9">
        <f>RTD("greekserver.rtdfunctions",,CONCATENATE(U9&amp;" "&amp;$E$1))</f>
        <v>0</v>
      </c>
      <c r="F9" t="str">
        <f t="shared" ca="1" si="3"/>
        <v>undefined</v>
      </c>
      <c r="G9">
        <f>RTD("greekserver.rtdfunctions",,CONCATENATE(U9&amp;" "&amp;$G$1))/100</f>
        <v>0</v>
      </c>
      <c r="H9">
        <f>G9-RTD("greekserver.rtdfunctions",,CONCATENATE(U9&amp;" "&amp;$H$1))/100</f>
        <v>-2566.4</v>
      </c>
      <c r="I9">
        <v>27300</v>
      </c>
      <c r="J9">
        <f>K9-RTD("greekserver.rtdfunctions",,CONCATENATE(V9&amp;" "&amp;$J$1))/100</f>
        <v>0</v>
      </c>
      <c r="K9">
        <f>RTD("greekserver.rtdfunctions",,CONCATENATE(V9&amp;" "&amp;$K$1))/100</f>
        <v>0.65</v>
      </c>
      <c r="L9" t="str">
        <f t="shared" ca="1" si="4"/>
        <v>error</v>
      </c>
      <c r="M9">
        <f>RTD("greekserver.rtdfunctions",,CONCATENATE(V9&amp;" "&amp;$M$1))</f>
        <v>0</v>
      </c>
      <c r="N9">
        <f t="shared" si="5"/>
        <v>-80</v>
      </c>
      <c r="O9">
        <f>RTD("greekserver.rtdfunctions",,CONCATENATE(V9&amp;" "&amp;$O$1))</f>
        <v>0</v>
      </c>
      <c r="P9" s="42">
        <f t="shared" ca="1" si="6"/>
        <v>43874</v>
      </c>
      <c r="Q9" s="43">
        <f t="shared" ca="1" si="7"/>
        <v>43874.449634027776</v>
      </c>
      <c r="S9">
        <v>0</v>
      </c>
      <c r="T9">
        <v>80</v>
      </c>
      <c r="U9" s="44">
        <v>102036242</v>
      </c>
      <c r="V9" s="44">
        <v>102036243</v>
      </c>
    </row>
    <row r="10" spans="1:22" x14ac:dyDescent="0.2">
      <c r="A10" t="str">
        <f t="shared" si="0"/>
        <v>CE27400</v>
      </c>
      <c r="B10" t="str">
        <f t="shared" si="1"/>
        <v>PE27400</v>
      </c>
      <c r="C10">
        <f>RTD("greekserver.rtdfunctions",,CONCATENATE($U10&amp;" "&amp;$C$1))</f>
        <v>0</v>
      </c>
      <c r="D10">
        <f t="shared" si="2"/>
        <v>0</v>
      </c>
      <c r="E10">
        <f>RTD("greekserver.rtdfunctions",,CONCATENATE(U10&amp;" "&amp;$E$1))</f>
        <v>0</v>
      </c>
      <c r="F10" t="str">
        <f t="shared" ca="1" si="3"/>
        <v>undefined</v>
      </c>
      <c r="G10">
        <f>RTD("greekserver.rtdfunctions",,CONCATENATE(U10&amp;" "&amp;$G$1))/100</f>
        <v>0</v>
      </c>
      <c r="H10">
        <f>G10-RTD("greekserver.rtdfunctions",,CONCATENATE(U10&amp;" "&amp;$H$1))/100</f>
        <v>-2466.8000000000002</v>
      </c>
      <c r="I10">
        <v>27400</v>
      </c>
      <c r="J10">
        <f>K10-RTD("greekserver.rtdfunctions",,CONCATENATE(V10&amp;" "&amp;$J$1))/100</f>
        <v>0</v>
      </c>
      <c r="K10">
        <f>RTD("greekserver.rtdfunctions",,CONCATENATE(V10&amp;" "&amp;$K$1))/100</f>
        <v>1</v>
      </c>
      <c r="L10" t="str">
        <f t="shared" ca="1" si="4"/>
        <v>error</v>
      </c>
      <c r="M10">
        <f>RTD("greekserver.rtdfunctions",,CONCATENATE(V10&amp;" "&amp;$M$1))</f>
        <v>0</v>
      </c>
      <c r="N10">
        <f t="shared" si="5"/>
        <v>-60</v>
      </c>
      <c r="O10">
        <f>RTD("greekserver.rtdfunctions",,CONCATENATE(V10&amp;" "&amp;$O$1))</f>
        <v>0</v>
      </c>
      <c r="P10" s="42">
        <f t="shared" ca="1" si="6"/>
        <v>43874</v>
      </c>
      <c r="Q10" s="43">
        <f t="shared" ca="1" si="7"/>
        <v>43874.449634027776</v>
      </c>
      <c r="S10">
        <v>0</v>
      </c>
      <c r="T10">
        <v>60</v>
      </c>
      <c r="U10" s="44">
        <v>102036254</v>
      </c>
      <c r="V10" s="44">
        <v>102036255</v>
      </c>
    </row>
    <row r="11" spans="1:22" x14ac:dyDescent="0.2">
      <c r="A11" t="str">
        <f t="shared" si="0"/>
        <v>CE27500</v>
      </c>
      <c r="B11" t="str">
        <f t="shared" si="1"/>
        <v>PE27500</v>
      </c>
      <c r="C11">
        <f>RTD("greekserver.rtdfunctions",,CONCATENATE($U11&amp;" "&amp;$C$1))</f>
        <v>0</v>
      </c>
      <c r="D11">
        <f t="shared" si="2"/>
        <v>0</v>
      </c>
      <c r="E11">
        <f>RTD("greekserver.rtdfunctions",,CONCATENATE(U11&amp;" "&amp;$E$1))</f>
        <v>0</v>
      </c>
      <c r="F11" t="str">
        <f t="shared" ca="1" si="3"/>
        <v>undefined</v>
      </c>
      <c r="G11">
        <f>RTD("greekserver.rtdfunctions",,CONCATENATE(U11&amp;" "&amp;$G$1))/100</f>
        <v>0</v>
      </c>
      <c r="H11">
        <f>G11-RTD("greekserver.rtdfunctions",,CONCATENATE(U11&amp;" "&amp;$H$1))/100</f>
        <v>-2367.1999999999998</v>
      </c>
      <c r="I11">
        <v>27500</v>
      </c>
      <c r="J11">
        <f>K11-RTD("greekserver.rtdfunctions",,CONCATENATE(V11&amp;" "&amp;$J$1))/100</f>
        <v>0</v>
      </c>
      <c r="K11">
        <f>RTD("greekserver.rtdfunctions",,CONCATENATE(V11&amp;" "&amp;$K$1))/100</f>
        <v>1.8</v>
      </c>
      <c r="L11" t="str">
        <f t="shared" ca="1" si="4"/>
        <v>error</v>
      </c>
      <c r="M11">
        <f>RTD("greekserver.rtdfunctions",,CONCATENATE(V11&amp;" "&amp;$M$1))</f>
        <v>0</v>
      </c>
      <c r="N11">
        <f t="shared" si="5"/>
        <v>-40</v>
      </c>
      <c r="O11">
        <f>RTD("greekserver.rtdfunctions",,CONCATENATE(V11&amp;" "&amp;$O$1))</f>
        <v>0</v>
      </c>
      <c r="P11" s="42">
        <f t="shared" ca="1" si="6"/>
        <v>43874</v>
      </c>
      <c r="Q11" s="43">
        <f t="shared" ca="1" si="7"/>
        <v>43874.449634027776</v>
      </c>
      <c r="S11">
        <v>0</v>
      </c>
      <c r="T11">
        <v>40</v>
      </c>
      <c r="U11" s="44">
        <v>102036256</v>
      </c>
      <c r="V11" s="44">
        <v>102036257</v>
      </c>
    </row>
    <row r="12" spans="1:22" x14ac:dyDescent="0.2">
      <c r="A12" t="str">
        <f t="shared" si="0"/>
        <v>CE27600</v>
      </c>
      <c r="B12" t="str">
        <f t="shared" si="1"/>
        <v>PE27600</v>
      </c>
      <c r="C12">
        <f>RTD("greekserver.rtdfunctions",,CONCATENATE($U12&amp;" "&amp;$C$1))</f>
        <v>0</v>
      </c>
      <c r="D12">
        <f t="shared" si="2"/>
        <v>0</v>
      </c>
      <c r="E12">
        <f>RTD("greekserver.rtdfunctions",,CONCATENATE(U12&amp;" "&amp;$E$1))</f>
        <v>0</v>
      </c>
      <c r="F12" t="str">
        <f t="shared" ca="1" si="3"/>
        <v>undefined</v>
      </c>
      <c r="G12">
        <f>RTD("greekserver.rtdfunctions",,CONCATENATE(U12&amp;" "&amp;$G$1))/100</f>
        <v>0</v>
      </c>
      <c r="H12">
        <f>G12-RTD("greekserver.rtdfunctions",,CONCATENATE(U12&amp;" "&amp;$H$1))/100</f>
        <v>-3105.9</v>
      </c>
      <c r="I12">
        <v>27600</v>
      </c>
      <c r="J12">
        <f>K12-RTD("greekserver.rtdfunctions",,CONCATENATE(V12&amp;" "&amp;$J$1))/100</f>
        <v>-0.35</v>
      </c>
      <c r="K12">
        <f>RTD("greekserver.rtdfunctions",,CONCATENATE(V12&amp;" "&amp;$K$1))/100</f>
        <v>0</v>
      </c>
      <c r="L12">
        <f t="shared" ca="1" si="4"/>
        <v>0</v>
      </c>
      <c r="M12">
        <f>RTD("greekserver.rtdfunctions",,CONCATENATE(V12&amp;" "&amp;$M$1))</f>
        <v>0</v>
      </c>
      <c r="N12">
        <f t="shared" si="5"/>
        <v>0</v>
      </c>
      <c r="O12">
        <f>RTD("greekserver.rtdfunctions",,CONCATENATE(V12&amp;" "&amp;$O$1))</f>
        <v>0</v>
      </c>
      <c r="P12" s="42">
        <f t="shared" ca="1" si="6"/>
        <v>43874</v>
      </c>
      <c r="Q12" s="43">
        <f t="shared" ca="1" si="7"/>
        <v>43874.449634027776</v>
      </c>
      <c r="S12">
        <v>0</v>
      </c>
      <c r="T12">
        <v>0</v>
      </c>
      <c r="U12" s="44">
        <v>102056784</v>
      </c>
      <c r="V12" s="44">
        <v>102056799</v>
      </c>
    </row>
    <row r="13" spans="1:22" x14ac:dyDescent="0.2">
      <c r="A13" t="str">
        <f t="shared" si="0"/>
        <v>CE27700</v>
      </c>
      <c r="B13" t="str">
        <f t="shared" si="1"/>
        <v>PE27700</v>
      </c>
      <c r="C13">
        <f>RTD("greekserver.rtdfunctions",,CONCATENATE($U13&amp;" "&amp;$C$1))</f>
        <v>0</v>
      </c>
      <c r="D13">
        <f t="shared" si="2"/>
        <v>0</v>
      </c>
      <c r="E13">
        <f>RTD("greekserver.rtdfunctions",,CONCATENATE(U13&amp;" "&amp;$E$1))</f>
        <v>0</v>
      </c>
      <c r="F13" t="str">
        <f t="shared" ca="1" si="3"/>
        <v>undefined</v>
      </c>
      <c r="G13">
        <f>RTD("greekserver.rtdfunctions",,CONCATENATE(U13&amp;" "&amp;$G$1))/100</f>
        <v>0</v>
      </c>
      <c r="H13">
        <f>G13-RTD("greekserver.rtdfunctions",,CONCATENATE(U13&amp;" "&amp;$H$1))/100</f>
        <v>-3098.25</v>
      </c>
      <c r="I13">
        <v>27700</v>
      </c>
      <c r="J13">
        <f>K13-RTD("greekserver.rtdfunctions",,CONCATENATE(V13&amp;" "&amp;$J$1))/100</f>
        <v>-5.3</v>
      </c>
      <c r="K13">
        <f>RTD("greekserver.rtdfunctions",,CONCATENATE(V13&amp;" "&amp;$K$1))/100</f>
        <v>0</v>
      </c>
      <c r="L13">
        <f t="shared" ca="1" si="4"/>
        <v>0</v>
      </c>
      <c r="M13">
        <f>RTD("greekserver.rtdfunctions",,CONCATENATE(V13&amp;" "&amp;$M$1))</f>
        <v>0</v>
      </c>
      <c r="N13">
        <f t="shared" si="5"/>
        <v>0</v>
      </c>
      <c r="O13">
        <f>RTD("greekserver.rtdfunctions",,CONCATENATE(V13&amp;" "&amp;$O$1))</f>
        <v>0</v>
      </c>
      <c r="P13" s="42">
        <f t="shared" ca="1" si="6"/>
        <v>43874</v>
      </c>
      <c r="Q13" s="43">
        <f t="shared" ca="1" si="7"/>
        <v>43874.449634027776</v>
      </c>
      <c r="S13">
        <v>0</v>
      </c>
      <c r="T13">
        <v>0</v>
      </c>
      <c r="U13" s="44">
        <v>102046891</v>
      </c>
      <c r="V13" s="44">
        <v>102046896</v>
      </c>
    </row>
    <row r="14" spans="1:22" x14ac:dyDescent="0.2">
      <c r="A14" t="str">
        <f t="shared" si="0"/>
        <v>CE27800</v>
      </c>
      <c r="B14" t="str">
        <f t="shared" si="1"/>
        <v>PE27800</v>
      </c>
      <c r="C14">
        <f>RTD("greekserver.rtdfunctions",,CONCATENATE($U14&amp;" "&amp;$C$1))</f>
        <v>0</v>
      </c>
      <c r="D14">
        <f t="shared" si="2"/>
        <v>0</v>
      </c>
      <c r="E14">
        <f>RTD("greekserver.rtdfunctions",,CONCATENATE(U14&amp;" "&amp;$E$1))</f>
        <v>0</v>
      </c>
      <c r="F14" t="str">
        <f t="shared" ca="1" si="3"/>
        <v>undefined</v>
      </c>
      <c r="G14">
        <f>RTD("greekserver.rtdfunctions",,CONCATENATE(U14&amp;" "&amp;$G$1))/100</f>
        <v>0</v>
      </c>
      <c r="H14">
        <f>G14-RTD("greekserver.rtdfunctions",,CONCATENATE(U14&amp;" "&amp;$H$1))/100</f>
        <v>-2999.9</v>
      </c>
      <c r="I14">
        <v>27800</v>
      </c>
      <c r="J14">
        <f>K14-RTD("greekserver.rtdfunctions",,CONCATENATE(V14&amp;" "&amp;$J$1))/100</f>
        <v>-6.6</v>
      </c>
      <c r="K14">
        <f>RTD("greekserver.rtdfunctions",,CONCATENATE(V14&amp;" "&amp;$K$1))/100</f>
        <v>0</v>
      </c>
      <c r="L14">
        <f t="shared" ca="1" si="4"/>
        <v>0</v>
      </c>
      <c r="M14">
        <f>RTD("greekserver.rtdfunctions",,CONCATENATE(V14&amp;" "&amp;$M$1))</f>
        <v>0</v>
      </c>
      <c r="N14">
        <f t="shared" si="5"/>
        <v>0</v>
      </c>
      <c r="O14">
        <f>RTD("greekserver.rtdfunctions",,CONCATENATE(V14&amp;" "&amp;$O$1))</f>
        <v>0</v>
      </c>
      <c r="P14" s="42">
        <f t="shared" ca="1" si="6"/>
        <v>43874</v>
      </c>
      <c r="Q14" s="43">
        <f t="shared" ca="1" si="7"/>
        <v>43874.449634027776</v>
      </c>
      <c r="S14">
        <v>0</v>
      </c>
      <c r="T14">
        <v>0</v>
      </c>
      <c r="U14" s="44">
        <v>102046900</v>
      </c>
      <c r="V14" s="44">
        <v>102046901</v>
      </c>
    </row>
    <row r="15" spans="1:22" x14ac:dyDescent="0.2">
      <c r="A15" t="str">
        <f t="shared" si="0"/>
        <v>CE27900</v>
      </c>
      <c r="B15" t="str">
        <f t="shared" si="1"/>
        <v>PE27900</v>
      </c>
      <c r="C15">
        <f>RTD("greekserver.rtdfunctions",,CONCATENATE($U15&amp;" "&amp;$C$1))</f>
        <v>0</v>
      </c>
      <c r="D15">
        <f t="shared" si="2"/>
        <v>0</v>
      </c>
      <c r="E15">
        <f>RTD("greekserver.rtdfunctions",,CONCATENATE(U15&amp;" "&amp;$E$1))</f>
        <v>0</v>
      </c>
      <c r="F15" t="str">
        <f t="shared" ca="1" si="3"/>
        <v>undefined</v>
      </c>
      <c r="G15">
        <f>RTD("greekserver.rtdfunctions",,CONCATENATE(U15&amp;" "&amp;$G$1))/100</f>
        <v>0</v>
      </c>
      <c r="H15">
        <f>G15-RTD("greekserver.rtdfunctions",,CONCATENATE(U15&amp;" "&amp;$H$1))/100</f>
        <v>-3151.2</v>
      </c>
      <c r="I15">
        <v>27900</v>
      </c>
      <c r="J15">
        <f>K15-RTD("greekserver.rtdfunctions",,CONCATENATE(V15&amp;" "&amp;$J$1))/100</f>
        <v>0</v>
      </c>
      <c r="K15">
        <f>RTD("greekserver.rtdfunctions",,CONCATENATE(V15&amp;" "&amp;$K$1))/100</f>
        <v>3.05</v>
      </c>
      <c r="L15" t="str">
        <f t="shared" ca="1" si="4"/>
        <v>error</v>
      </c>
      <c r="M15">
        <f>RTD("greekserver.rtdfunctions",,CONCATENATE(V15&amp;" "&amp;$M$1))</f>
        <v>0</v>
      </c>
      <c r="N15">
        <f t="shared" si="5"/>
        <v>0</v>
      </c>
      <c r="O15">
        <f>RTD("greekserver.rtdfunctions",,CONCATENATE(V15&amp;" "&amp;$O$1))</f>
        <v>0</v>
      </c>
      <c r="P15" s="42">
        <f t="shared" ca="1" si="6"/>
        <v>43874</v>
      </c>
      <c r="Q15" s="43">
        <f t="shared" ca="1" si="7"/>
        <v>43874.449634027776</v>
      </c>
      <c r="S15">
        <v>0</v>
      </c>
      <c r="T15">
        <v>0</v>
      </c>
      <c r="U15" s="44">
        <v>102046538</v>
      </c>
      <c r="V15" s="44">
        <v>102046539</v>
      </c>
    </row>
    <row r="16" spans="1:22" x14ac:dyDescent="0.2">
      <c r="A16" t="str">
        <f t="shared" si="0"/>
        <v>CE28000</v>
      </c>
      <c r="B16" t="str">
        <f t="shared" si="1"/>
        <v>PE28000</v>
      </c>
      <c r="C16">
        <f>RTD("greekserver.rtdfunctions",,CONCATENATE($U16&amp;" "&amp;$C$1))</f>
        <v>0</v>
      </c>
      <c r="D16">
        <f t="shared" si="2"/>
        <v>-20</v>
      </c>
      <c r="E16">
        <f>RTD("greekserver.rtdfunctions",,CONCATENATE(U16&amp;" "&amp;$E$1))</f>
        <v>0</v>
      </c>
      <c r="F16" t="str">
        <f t="shared" ca="1" si="3"/>
        <v>undefined</v>
      </c>
      <c r="G16">
        <f>RTD("greekserver.rtdfunctions",,CONCATENATE(U16&amp;" "&amp;$G$1))/100</f>
        <v>3173.65</v>
      </c>
      <c r="H16">
        <f>G16-RTD("greekserver.rtdfunctions",,CONCATENATE(U16&amp;" "&amp;$H$1))/100</f>
        <v>0</v>
      </c>
      <c r="I16">
        <v>28000</v>
      </c>
      <c r="J16">
        <f>K16-RTD("greekserver.rtdfunctions",,CONCATENATE(V16&amp;" "&amp;$J$1))/100</f>
        <v>-9.9999999999999978E-2</v>
      </c>
      <c r="K16">
        <f>RTD("greekserver.rtdfunctions",,CONCATENATE(V16&amp;" "&amp;$K$1))/100</f>
        <v>0.2</v>
      </c>
      <c r="L16" t="str">
        <f t="shared" ca="1" si="4"/>
        <v>error</v>
      </c>
      <c r="M16">
        <f>RTD("greekserver.rtdfunctions",,CONCATENATE(V16&amp;" "&amp;$M$1))</f>
        <v>1220</v>
      </c>
      <c r="N16">
        <f t="shared" si="5"/>
        <v>0</v>
      </c>
      <c r="O16">
        <f>RTD("greekserver.rtdfunctions",,CONCATENATE(V16&amp;" "&amp;$O$1))</f>
        <v>11200</v>
      </c>
      <c r="P16" s="42">
        <f t="shared" ca="1" si="6"/>
        <v>43874</v>
      </c>
      <c r="Q16" s="43">
        <f t="shared" ca="1" si="7"/>
        <v>43874.449634027776</v>
      </c>
      <c r="S16">
        <v>20</v>
      </c>
      <c r="T16">
        <v>11200</v>
      </c>
      <c r="U16" s="44">
        <v>102046541</v>
      </c>
      <c r="V16" s="44">
        <v>102046546</v>
      </c>
    </row>
    <row r="17" spans="1:22" x14ac:dyDescent="0.2">
      <c r="A17" t="str">
        <f t="shared" si="0"/>
        <v>CE28100</v>
      </c>
      <c r="B17" t="str">
        <f t="shared" si="1"/>
        <v>PE28100</v>
      </c>
      <c r="C17">
        <f>RTD("greekserver.rtdfunctions",,CONCATENATE($U17&amp;" "&amp;$C$1))</f>
        <v>0</v>
      </c>
      <c r="D17">
        <f t="shared" si="2"/>
        <v>0</v>
      </c>
      <c r="E17">
        <f>RTD("greekserver.rtdfunctions",,CONCATENATE(U17&amp;" "&amp;$E$1))</f>
        <v>0</v>
      </c>
      <c r="F17" t="str">
        <f t="shared" ca="1" si="3"/>
        <v>undefined</v>
      </c>
      <c r="G17">
        <f>RTD("greekserver.rtdfunctions",,CONCATENATE(U17&amp;" "&amp;$G$1))/100</f>
        <v>0</v>
      </c>
      <c r="H17">
        <f>G17-RTD("greekserver.rtdfunctions",,CONCATENATE(U17&amp;" "&amp;$H$1))/100</f>
        <v>-3088.85</v>
      </c>
      <c r="I17">
        <v>28100</v>
      </c>
      <c r="J17">
        <f>K17-RTD("greekserver.rtdfunctions",,CONCATENATE(V17&amp;" "&amp;$J$1))/100</f>
        <v>0</v>
      </c>
      <c r="K17">
        <f>RTD("greekserver.rtdfunctions",,CONCATENATE(V17&amp;" "&amp;$K$1))/100</f>
        <v>3.05</v>
      </c>
      <c r="L17" t="str">
        <f t="shared" ca="1" si="4"/>
        <v>error</v>
      </c>
      <c r="M17">
        <f>RTD("greekserver.rtdfunctions",,CONCATENATE(V17&amp;" "&amp;$M$1))</f>
        <v>0</v>
      </c>
      <c r="N17">
        <f t="shared" si="5"/>
        <v>-20</v>
      </c>
      <c r="O17">
        <f>RTD("greekserver.rtdfunctions",,CONCATENATE(V17&amp;" "&amp;$O$1))</f>
        <v>0</v>
      </c>
      <c r="P17" s="42">
        <f t="shared" ca="1" si="6"/>
        <v>43874</v>
      </c>
      <c r="Q17" s="43">
        <f t="shared" ca="1" si="7"/>
        <v>43874.449634027776</v>
      </c>
      <c r="S17">
        <v>0</v>
      </c>
      <c r="T17">
        <v>20</v>
      </c>
      <c r="U17" s="44">
        <v>102042442</v>
      </c>
      <c r="V17" s="44">
        <v>102042443</v>
      </c>
    </row>
    <row r="18" spans="1:22" x14ac:dyDescent="0.2">
      <c r="A18" t="str">
        <f t="shared" si="0"/>
        <v>CE28200</v>
      </c>
      <c r="B18" t="str">
        <f t="shared" si="1"/>
        <v>PE28200</v>
      </c>
      <c r="C18">
        <f>RTD("greekserver.rtdfunctions",,CONCATENATE($U18&amp;" "&amp;$C$1))</f>
        <v>0</v>
      </c>
      <c r="D18">
        <f t="shared" si="2"/>
        <v>0</v>
      </c>
      <c r="E18">
        <f>RTD("greekserver.rtdfunctions",,CONCATENATE(U18&amp;" "&amp;$E$1))</f>
        <v>0</v>
      </c>
      <c r="F18" t="str">
        <f t="shared" ca="1" si="3"/>
        <v>undefined</v>
      </c>
      <c r="G18">
        <f>RTD("greekserver.rtdfunctions",,CONCATENATE(U18&amp;" "&amp;$G$1))/100</f>
        <v>0</v>
      </c>
      <c r="H18">
        <f>G18-RTD("greekserver.rtdfunctions",,CONCATENATE(U18&amp;" "&amp;$H$1))/100</f>
        <v>-3216.1</v>
      </c>
      <c r="I18">
        <v>28200</v>
      </c>
      <c r="J18">
        <f>K18-RTD("greekserver.rtdfunctions",,CONCATENATE(V18&amp;" "&amp;$J$1))/100</f>
        <v>-11.25</v>
      </c>
      <c r="K18">
        <f>RTD("greekserver.rtdfunctions",,CONCATENATE(V18&amp;" "&amp;$K$1))/100</f>
        <v>0</v>
      </c>
      <c r="L18">
        <f t="shared" ca="1" si="4"/>
        <v>0</v>
      </c>
      <c r="M18">
        <f>RTD("greekserver.rtdfunctions",,CONCATENATE(V18&amp;" "&amp;$M$1))</f>
        <v>0</v>
      </c>
      <c r="N18">
        <f t="shared" si="5"/>
        <v>0</v>
      </c>
      <c r="O18">
        <f>RTD("greekserver.rtdfunctions",,CONCATENATE(V18&amp;" "&amp;$O$1))</f>
        <v>0</v>
      </c>
      <c r="P18" s="42">
        <f t="shared" ca="1" si="6"/>
        <v>43874</v>
      </c>
      <c r="Q18" s="43">
        <f t="shared" ca="1" si="7"/>
        <v>43874.449634027776</v>
      </c>
      <c r="S18">
        <v>0</v>
      </c>
      <c r="T18">
        <v>0</v>
      </c>
      <c r="U18" s="44">
        <v>102039782</v>
      </c>
      <c r="V18" s="44">
        <v>102039783</v>
      </c>
    </row>
    <row r="19" spans="1:22" x14ac:dyDescent="0.2">
      <c r="A19" t="str">
        <f t="shared" si="0"/>
        <v>CE28300</v>
      </c>
      <c r="B19" t="str">
        <f t="shared" si="1"/>
        <v>PE28300</v>
      </c>
      <c r="C19">
        <f>RTD("greekserver.rtdfunctions",,CONCATENATE($U19&amp;" "&amp;$C$1))</f>
        <v>0</v>
      </c>
      <c r="D19">
        <f t="shared" si="2"/>
        <v>0</v>
      </c>
      <c r="E19">
        <f>RTD("greekserver.rtdfunctions",,CONCATENATE(U19&amp;" "&amp;$E$1))</f>
        <v>0</v>
      </c>
      <c r="F19" t="str">
        <f t="shared" ca="1" si="3"/>
        <v>undefined</v>
      </c>
      <c r="G19">
        <f>RTD("greekserver.rtdfunctions",,CONCATENATE(U19&amp;" "&amp;$G$1))/100</f>
        <v>0</v>
      </c>
      <c r="H19">
        <f>G19-RTD("greekserver.rtdfunctions",,CONCATENATE(U19&amp;" "&amp;$H$1))/100</f>
        <v>-3118.95</v>
      </c>
      <c r="I19">
        <v>28300</v>
      </c>
      <c r="J19">
        <f>K19-RTD("greekserver.rtdfunctions",,CONCATENATE(V19&amp;" "&amp;$J$1))/100</f>
        <v>-13.5</v>
      </c>
      <c r="K19">
        <f>RTD("greekserver.rtdfunctions",,CONCATENATE(V19&amp;" "&amp;$K$1))/100</f>
        <v>0</v>
      </c>
      <c r="L19">
        <f t="shared" ca="1" si="4"/>
        <v>0</v>
      </c>
      <c r="M19">
        <f>RTD("greekserver.rtdfunctions",,CONCATENATE(V19&amp;" "&amp;$M$1))</f>
        <v>0</v>
      </c>
      <c r="N19">
        <f t="shared" si="5"/>
        <v>0</v>
      </c>
      <c r="O19">
        <f>RTD("greekserver.rtdfunctions",,CONCATENATE(V19&amp;" "&amp;$O$1))</f>
        <v>0</v>
      </c>
      <c r="P19" s="42">
        <f t="shared" ca="1" si="6"/>
        <v>43874</v>
      </c>
      <c r="Q19" s="43">
        <f t="shared" ca="1" si="7"/>
        <v>43874.449634027776</v>
      </c>
      <c r="S19">
        <v>0</v>
      </c>
      <c r="T19">
        <v>0</v>
      </c>
      <c r="U19" s="44">
        <v>102039784</v>
      </c>
      <c r="V19" s="44">
        <v>102039785</v>
      </c>
    </row>
    <row r="20" spans="1:22" x14ac:dyDescent="0.2">
      <c r="A20" t="str">
        <f t="shared" si="0"/>
        <v>CE28400</v>
      </c>
      <c r="B20" t="str">
        <f t="shared" si="1"/>
        <v>PE28400</v>
      </c>
      <c r="C20">
        <f>RTD("greekserver.rtdfunctions",,CONCATENATE($U20&amp;" "&amp;$C$1))</f>
        <v>0</v>
      </c>
      <c r="D20">
        <f t="shared" si="2"/>
        <v>0</v>
      </c>
      <c r="E20">
        <f>RTD("greekserver.rtdfunctions",,CONCATENATE(U20&amp;" "&amp;$E$1))</f>
        <v>0</v>
      </c>
      <c r="F20" t="str">
        <f t="shared" ca="1" si="3"/>
        <v>undefined</v>
      </c>
      <c r="G20">
        <f>RTD("greekserver.rtdfunctions",,CONCATENATE(U20&amp;" "&amp;$G$1))/100</f>
        <v>0</v>
      </c>
      <c r="H20">
        <f>G20-RTD("greekserver.rtdfunctions",,CONCATENATE(U20&amp;" "&amp;$H$1))/100</f>
        <v>-3022.2</v>
      </c>
      <c r="I20">
        <v>28400</v>
      </c>
      <c r="J20">
        <f>K20-RTD("greekserver.rtdfunctions",,CONCATENATE(V20&amp;" "&amp;$J$1))/100</f>
        <v>-16.149999999999999</v>
      </c>
      <c r="K20">
        <f>RTD("greekserver.rtdfunctions",,CONCATENATE(V20&amp;" "&amp;$K$1))/100</f>
        <v>0</v>
      </c>
      <c r="L20">
        <f t="shared" ca="1" si="4"/>
        <v>0</v>
      </c>
      <c r="M20">
        <f>RTD("greekserver.rtdfunctions",,CONCATENATE(V20&amp;" "&amp;$M$1))</f>
        <v>0</v>
      </c>
      <c r="N20">
        <f t="shared" si="5"/>
        <v>0</v>
      </c>
      <c r="O20">
        <f>RTD("greekserver.rtdfunctions",,CONCATENATE(V20&amp;" "&amp;$O$1))</f>
        <v>0</v>
      </c>
      <c r="P20" s="42">
        <f t="shared" ca="1" si="6"/>
        <v>43874</v>
      </c>
      <c r="Q20" s="43">
        <f t="shared" ca="1" si="7"/>
        <v>43874.449634027776</v>
      </c>
      <c r="S20">
        <v>0</v>
      </c>
      <c r="T20">
        <v>0</v>
      </c>
      <c r="U20" s="44">
        <v>102039788</v>
      </c>
      <c r="V20" s="44">
        <v>102039789</v>
      </c>
    </row>
    <row r="21" spans="1:22" x14ac:dyDescent="0.2">
      <c r="A21" t="str">
        <f t="shared" si="0"/>
        <v>CE28500</v>
      </c>
      <c r="B21" t="str">
        <f t="shared" si="1"/>
        <v>PE28500</v>
      </c>
      <c r="C21">
        <f>RTD("greekserver.rtdfunctions",,CONCATENATE($U21&amp;" "&amp;$C$1))</f>
        <v>0</v>
      </c>
      <c r="D21">
        <f t="shared" si="2"/>
        <v>0</v>
      </c>
      <c r="E21">
        <f>RTD("greekserver.rtdfunctions",,CONCATENATE(U21&amp;" "&amp;$E$1))</f>
        <v>0</v>
      </c>
      <c r="F21" t="str">
        <f t="shared" ca="1" si="3"/>
        <v>undefined</v>
      </c>
      <c r="G21">
        <f>RTD("greekserver.rtdfunctions",,CONCATENATE(U21&amp;" "&amp;$G$1))/100</f>
        <v>2544.4499999999998</v>
      </c>
      <c r="H21">
        <f>G21-RTD("greekserver.rtdfunctions",,CONCATENATE(U21&amp;" "&amp;$H$1))/100</f>
        <v>0</v>
      </c>
      <c r="I21">
        <v>28500</v>
      </c>
      <c r="J21">
        <f>K21-RTD("greekserver.rtdfunctions",,CONCATENATE(V21&amp;" "&amp;$J$1))/100</f>
        <v>-1.1500000000000001</v>
      </c>
      <c r="K21">
        <f>RTD("greekserver.rtdfunctions",,CONCATENATE(V21&amp;" "&amp;$K$1))/100</f>
        <v>0.2</v>
      </c>
      <c r="L21" t="str">
        <f t="shared" ca="1" si="4"/>
        <v>error</v>
      </c>
      <c r="M21">
        <f>RTD("greekserver.rtdfunctions",,CONCATENATE(V21&amp;" "&amp;$M$1))</f>
        <v>2480</v>
      </c>
      <c r="N21">
        <f t="shared" si="5"/>
        <v>0</v>
      </c>
      <c r="O21">
        <f>RTD("greekserver.rtdfunctions",,CONCATENATE(V21&amp;" "&amp;$O$1))</f>
        <v>46120</v>
      </c>
      <c r="P21" s="42">
        <f t="shared" ca="1" si="6"/>
        <v>43874</v>
      </c>
      <c r="Q21" s="43">
        <f t="shared" ca="1" si="7"/>
        <v>43874.449634027776</v>
      </c>
      <c r="S21">
        <v>0</v>
      </c>
      <c r="T21">
        <v>46120</v>
      </c>
      <c r="U21" s="44">
        <v>102039796</v>
      </c>
      <c r="V21" s="44">
        <v>102039797</v>
      </c>
    </row>
    <row r="22" spans="1:22" x14ac:dyDescent="0.2">
      <c r="A22" t="str">
        <f t="shared" si="0"/>
        <v>CE28600</v>
      </c>
      <c r="B22" t="str">
        <f t="shared" si="1"/>
        <v>PE28600</v>
      </c>
      <c r="C22">
        <f>RTD("greekserver.rtdfunctions",,CONCATENATE($U22&amp;" "&amp;$C$1))</f>
        <v>0</v>
      </c>
      <c r="D22">
        <f t="shared" si="2"/>
        <v>0</v>
      </c>
      <c r="E22">
        <f>RTD("greekserver.rtdfunctions",,CONCATENATE(U22&amp;" "&amp;$E$1))</f>
        <v>0</v>
      </c>
      <c r="F22" t="str">
        <f t="shared" ca="1" si="3"/>
        <v>undefined</v>
      </c>
      <c r="G22">
        <f>RTD("greekserver.rtdfunctions",,CONCATENATE(U22&amp;" "&amp;$G$1))/100</f>
        <v>0</v>
      </c>
      <c r="H22">
        <f>G22-RTD("greekserver.rtdfunctions",,CONCATENATE(U22&amp;" "&amp;$H$1))/100</f>
        <v>-2830.05</v>
      </c>
      <c r="I22">
        <v>28600</v>
      </c>
      <c r="J22">
        <f>K22-RTD("greekserver.rtdfunctions",,CONCATENATE(V22&amp;" "&amp;$J$1))/100</f>
        <v>0</v>
      </c>
      <c r="K22">
        <f>RTD("greekserver.rtdfunctions",,CONCATENATE(V22&amp;" "&amp;$K$1))/100</f>
        <v>2</v>
      </c>
      <c r="L22" t="str">
        <f t="shared" ca="1" si="4"/>
        <v>error</v>
      </c>
      <c r="M22">
        <f>RTD("greekserver.rtdfunctions",,CONCATENATE(V22&amp;" "&amp;$M$1))</f>
        <v>0</v>
      </c>
      <c r="N22">
        <f t="shared" si="5"/>
        <v>-20</v>
      </c>
      <c r="O22">
        <f>RTD("greekserver.rtdfunctions",,CONCATENATE(V22&amp;" "&amp;$O$1))</f>
        <v>0</v>
      </c>
      <c r="P22" s="42">
        <f t="shared" ca="1" si="6"/>
        <v>43874</v>
      </c>
      <c r="Q22" s="43">
        <f t="shared" ca="1" si="7"/>
        <v>43874.449634027776</v>
      </c>
      <c r="S22">
        <v>0</v>
      </c>
      <c r="T22">
        <v>20</v>
      </c>
      <c r="U22" s="44">
        <v>102039798</v>
      </c>
      <c r="V22" s="44">
        <v>102039799</v>
      </c>
    </row>
    <row r="23" spans="1:22" x14ac:dyDescent="0.2">
      <c r="A23" t="str">
        <f t="shared" si="0"/>
        <v>CE28700</v>
      </c>
      <c r="B23" t="str">
        <f t="shared" si="1"/>
        <v>PE28700</v>
      </c>
      <c r="C23">
        <f>RTD("greekserver.rtdfunctions",,CONCATENATE($U23&amp;" "&amp;$C$1))</f>
        <v>0</v>
      </c>
      <c r="D23">
        <f t="shared" si="2"/>
        <v>0</v>
      </c>
      <c r="E23">
        <f>RTD("greekserver.rtdfunctions",,CONCATENATE(U23&amp;" "&amp;$E$1))</f>
        <v>0</v>
      </c>
      <c r="F23" t="str">
        <f t="shared" ca="1" si="3"/>
        <v>undefined</v>
      </c>
      <c r="G23">
        <f>RTD("greekserver.rtdfunctions",,CONCATENATE(U23&amp;" "&amp;$G$1))/100</f>
        <v>0</v>
      </c>
      <c r="H23">
        <f>G23-RTD("greekserver.rtdfunctions",,CONCATENATE(U23&amp;" "&amp;$H$1))/100</f>
        <v>-3338.55</v>
      </c>
      <c r="I23">
        <v>28700</v>
      </c>
      <c r="J23">
        <f>K23-RTD("greekserver.rtdfunctions",,CONCATENATE(V23&amp;" "&amp;$J$1))/100</f>
        <v>-2.85</v>
      </c>
      <c r="K23">
        <f>RTD("greekserver.rtdfunctions",,CONCATENATE(V23&amp;" "&amp;$K$1))/100</f>
        <v>0.05</v>
      </c>
      <c r="L23" t="str">
        <f t="shared" ca="1" si="4"/>
        <v>error</v>
      </c>
      <c r="M23">
        <f>RTD("greekserver.rtdfunctions",,CONCATENATE(V23&amp;" "&amp;$M$1))</f>
        <v>120</v>
      </c>
      <c r="N23">
        <f t="shared" si="5"/>
        <v>0</v>
      </c>
      <c r="O23">
        <f>RTD("greekserver.rtdfunctions",,CONCATENATE(V23&amp;" "&amp;$O$1))</f>
        <v>120</v>
      </c>
      <c r="P23" s="42">
        <f t="shared" ca="1" si="6"/>
        <v>43874</v>
      </c>
      <c r="Q23" s="43">
        <f t="shared" ca="1" si="7"/>
        <v>43874.449634027776</v>
      </c>
      <c r="S23">
        <v>0</v>
      </c>
      <c r="T23">
        <v>120</v>
      </c>
      <c r="U23" s="44">
        <v>102039510</v>
      </c>
      <c r="V23" s="44">
        <v>102039511</v>
      </c>
    </row>
    <row r="24" spans="1:22" x14ac:dyDescent="0.2">
      <c r="A24" t="str">
        <f t="shared" si="0"/>
        <v>CE28800</v>
      </c>
      <c r="B24" t="str">
        <f t="shared" si="1"/>
        <v>PE28800</v>
      </c>
      <c r="C24">
        <f>RTD("greekserver.rtdfunctions",,CONCATENATE($U24&amp;" "&amp;$C$1))</f>
        <v>0</v>
      </c>
      <c r="D24">
        <f t="shared" si="2"/>
        <v>0</v>
      </c>
      <c r="E24">
        <f>RTD("greekserver.rtdfunctions",,CONCATENATE(U24&amp;" "&amp;$E$1))</f>
        <v>0</v>
      </c>
      <c r="F24" t="str">
        <f t="shared" ca="1" si="3"/>
        <v>undefined</v>
      </c>
      <c r="G24">
        <f>RTD("greekserver.rtdfunctions",,CONCATENATE(U24&amp;" "&amp;$G$1))/100</f>
        <v>0</v>
      </c>
      <c r="H24">
        <f>G24-RTD("greekserver.rtdfunctions",,CONCATENATE(U24&amp;" "&amp;$H$1))/100</f>
        <v>-3248.9</v>
      </c>
      <c r="I24">
        <v>28800</v>
      </c>
      <c r="J24">
        <f>K24-RTD("greekserver.rtdfunctions",,CONCATENATE(V24&amp;" "&amp;$J$1))/100</f>
        <v>4.9999999999999822E-2</v>
      </c>
      <c r="K24">
        <f>RTD("greekserver.rtdfunctions",,CONCATENATE(V24&amp;" "&amp;$K$1))/100</f>
        <v>1.65</v>
      </c>
      <c r="L24" t="str">
        <f t="shared" ca="1" si="4"/>
        <v>error</v>
      </c>
      <c r="M24">
        <f>RTD("greekserver.rtdfunctions",,CONCATENATE(V24&amp;" "&amp;$M$1))</f>
        <v>0</v>
      </c>
      <c r="N24">
        <f t="shared" si="5"/>
        <v>-180</v>
      </c>
      <c r="O24">
        <f>RTD("greekserver.rtdfunctions",,CONCATENATE(V24&amp;" "&amp;$O$1))</f>
        <v>0</v>
      </c>
      <c r="P24" s="42">
        <f t="shared" ca="1" si="6"/>
        <v>43874</v>
      </c>
      <c r="Q24" s="43">
        <f t="shared" ca="1" si="7"/>
        <v>43874.449634027776</v>
      </c>
      <c r="S24">
        <v>0</v>
      </c>
      <c r="T24">
        <v>180</v>
      </c>
      <c r="U24" s="44">
        <v>102039518</v>
      </c>
      <c r="V24" s="44">
        <v>102039519</v>
      </c>
    </row>
    <row r="25" spans="1:22" x14ac:dyDescent="0.2">
      <c r="A25" t="str">
        <f t="shared" si="0"/>
        <v>CE28900</v>
      </c>
      <c r="B25" t="str">
        <f t="shared" si="1"/>
        <v>PE28900</v>
      </c>
      <c r="C25">
        <f>RTD("greekserver.rtdfunctions",,CONCATENATE($U25&amp;" "&amp;$C$1))</f>
        <v>0</v>
      </c>
      <c r="D25">
        <f t="shared" si="2"/>
        <v>0</v>
      </c>
      <c r="E25">
        <f>RTD("greekserver.rtdfunctions",,CONCATENATE(U25&amp;" "&amp;$E$1))</f>
        <v>0</v>
      </c>
      <c r="F25" t="str">
        <f t="shared" ca="1" si="3"/>
        <v>undefined</v>
      </c>
      <c r="G25">
        <f>RTD("greekserver.rtdfunctions",,CONCATENATE(U25&amp;" "&amp;$G$1))/100</f>
        <v>0</v>
      </c>
      <c r="H25">
        <f>G25-RTD("greekserver.rtdfunctions",,CONCATENATE(U25&amp;" "&amp;$H$1))/100</f>
        <v>-3160</v>
      </c>
      <c r="I25">
        <v>28900</v>
      </c>
      <c r="J25">
        <f>K25-RTD("greekserver.rtdfunctions",,CONCATENATE(V25&amp;" "&amp;$J$1))/100</f>
        <v>-2.15</v>
      </c>
      <c r="K25">
        <f>RTD("greekserver.rtdfunctions",,CONCATENATE(V25&amp;" "&amp;$K$1))/100</f>
        <v>0.15</v>
      </c>
      <c r="L25" t="str">
        <f t="shared" ca="1" si="4"/>
        <v>error</v>
      </c>
      <c r="M25">
        <f>RTD("greekserver.rtdfunctions",,CONCATENATE(V25&amp;" "&amp;$M$1))</f>
        <v>20</v>
      </c>
      <c r="N25">
        <f t="shared" si="5"/>
        <v>0</v>
      </c>
      <c r="O25">
        <f>RTD("greekserver.rtdfunctions",,CONCATENATE(V25&amp;" "&amp;$O$1))</f>
        <v>680</v>
      </c>
      <c r="P25" s="42">
        <f t="shared" ca="1" si="6"/>
        <v>43874</v>
      </c>
      <c r="Q25" s="43">
        <f t="shared" ca="1" si="7"/>
        <v>43874.449634027776</v>
      </c>
      <c r="S25">
        <v>0</v>
      </c>
      <c r="T25">
        <v>680</v>
      </c>
      <c r="U25" s="44">
        <v>102039528</v>
      </c>
      <c r="V25" s="44">
        <v>102039529</v>
      </c>
    </row>
    <row r="26" spans="1:22" x14ac:dyDescent="0.2">
      <c r="A26" t="str">
        <f t="shared" si="0"/>
        <v>CE29000</v>
      </c>
      <c r="B26" t="str">
        <f t="shared" si="1"/>
        <v>PE29000</v>
      </c>
      <c r="C26">
        <f>RTD("greekserver.rtdfunctions",,CONCATENATE($U26&amp;" "&amp;$C$1))</f>
        <v>0</v>
      </c>
      <c r="D26">
        <f t="shared" si="2"/>
        <v>-80</v>
      </c>
      <c r="E26">
        <f>RTD("greekserver.rtdfunctions",,CONCATENATE(U26&amp;" "&amp;$E$1))</f>
        <v>0</v>
      </c>
      <c r="F26" t="str">
        <f t="shared" ca="1" si="3"/>
        <v>error</v>
      </c>
      <c r="G26">
        <f>RTD("greekserver.rtdfunctions",,CONCATENATE(U26&amp;" "&amp;$G$1))/100</f>
        <v>2424.8000000000002</v>
      </c>
      <c r="H26">
        <f>G26-RTD("greekserver.rtdfunctions",,CONCATENATE(U26&amp;" "&amp;$H$1))/100</f>
        <v>0</v>
      </c>
      <c r="I26">
        <v>29000</v>
      </c>
      <c r="J26">
        <f>K26-RTD("greekserver.rtdfunctions",,CONCATENATE(V26&amp;" "&amp;$J$1))/100</f>
        <v>-0.7</v>
      </c>
      <c r="K26">
        <f>RTD("greekserver.rtdfunctions",,CONCATENATE(V26&amp;" "&amp;$K$1))/100</f>
        <v>0.25</v>
      </c>
      <c r="L26" t="str">
        <f t="shared" ca="1" si="4"/>
        <v>error</v>
      </c>
      <c r="M26">
        <f>RTD("greekserver.rtdfunctions",,CONCATENATE(V26&amp;" "&amp;$M$1))</f>
        <v>8420</v>
      </c>
      <c r="N26">
        <f t="shared" si="5"/>
        <v>2340</v>
      </c>
      <c r="O26">
        <f>RTD("greekserver.rtdfunctions",,CONCATENATE(V26&amp;" "&amp;$O$1))</f>
        <v>24360</v>
      </c>
      <c r="P26" s="42">
        <f t="shared" ca="1" si="6"/>
        <v>43874</v>
      </c>
      <c r="Q26" s="43">
        <f t="shared" ca="1" si="7"/>
        <v>43874.449634027776</v>
      </c>
      <c r="S26">
        <v>80</v>
      </c>
      <c r="T26">
        <v>22020</v>
      </c>
      <c r="U26" s="44">
        <v>102039530</v>
      </c>
      <c r="V26" s="44">
        <v>102039532</v>
      </c>
    </row>
    <row r="27" spans="1:22" x14ac:dyDescent="0.2">
      <c r="A27" t="str">
        <f t="shared" si="0"/>
        <v>CE29100</v>
      </c>
      <c r="B27" t="str">
        <f t="shared" si="1"/>
        <v>PE29100</v>
      </c>
      <c r="C27">
        <f>RTD("greekserver.rtdfunctions",,CONCATENATE($U27&amp;" "&amp;$C$1))</f>
        <v>0</v>
      </c>
      <c r="D27">
        <f t="shared" si="2"/>
        <v>0</v>
      </c>
      <c r="E27">
        <f>RTD("greekserver.rtdfunctions",,CONCATENATE(U27&amp;" "&amp;$E$1))</f>
        <v>0</v>
      </c>
      <c r="F27" t="str">
        <f t="shared" ca="1" si="3"/>
        <v>undefined</v>
      </c>
      <c r="G27">
        <f>RTD("greekserver.rtdfunctions",,CONCATENATE(U27&amp;" "&amp;$G$1))/100</f>
        <v>0</v>
      </c>
      <c r="H27">
        <f>G27-RTD("greekserver.rtdfunctions",,CONCATENATE(U27&amp;" "&amp;$H$1))/100</f>
        <v>-2984.65</v>
      </c>
      <c r="I27">
        <v>29100</v>
      </c>
      <c r="J27">
        <f>K27-RTD("greekserver.rtdfunctions",,CONCATENATE(V27&amp;" "&amp;$J$1))/100</f>
        <v>-1.8</v>
      </c>
      <c r="K27">
        <f>RTD("greekserver.rtdfunctions",,CONCATENATE(V27&amp;" "&amp;$K$1))/100</f>
        <v>0.15</v>
      </c>
      <c r="L27" t="str">
        <f t="shared" ca="1" si="4"/>
        <v>error</v>
      </c>
      <c r="M27">
        <f>RTD("greekserver.rtdfunctions",,CONCATENATE(V27&amp;" "&amp;$M$1))</f>
        <v>40</v>
      </c>
      <c r="N27">
        <f t="shared" si="5"/>
        <v>0</v>
      </c>
      <c r="O27">
        <f>RTD("greekserver.rtdfunctions",,CONCATENATE(V27&amp;" "&amp;$O$1))</f>
        <v>680</v>
      </c>
      <c r="P27" s="42">
        <f t="shared" ca="1" si="6"/>
        <v>43874</v>
      </c>
      <c r="Q27" s="43">
        <f t="shared" ca="1" si="7"/>
        <v>43874.449634027776</v>
      </c>
      <c r="S27">
        <v>0</v>
      </c>
      <c r="T27">
        <v>680</v>
      </c>
      <c r="U27" s="44">
        <v>102039533</v>
      </c>
      <c r="V27" s="44">
        <v>102039535</v>
      </c>
    </row>
    <row r="28" spans="1:22" x14ac:dyDescent="0.2">
      <c r="A28" t="str">
        <f t="shared" si="0"/>
        <v>CE29200</v>
      </c>
      <c r="B28" t="str">
        <f t="shared" si="1"/>
        <v>PE29200</v>
      </c>
      <c r="C28">
        <f>RTD("greekserver.rtdfunctions",,CONCATENATE($U28&amp;" "&amp;$C$1))</f>
        <v>0</v>
      </c>
      <c r="D28">
        <f t="shared" si="2"/>
        <v>0</v>
      </c>
      <c r="E28">
        <f>RTD("greekserver.rtdfunctions",,CONCATENATE(U28&amp;" "&amp;$E$1))</f>
        <v>0</v>
      </c>
      <c r="F28" t="str">
        <f t="shared" ca="1" si="3"/>
        <v>undefined</v>
      </c>
      <c r="G28">
        <f>RTD("greekserver.rtdfunctions",,CONCATENATE(U28&amp;" "&amp;$G$1))/100</f>
        <v>0</v>
      </c>
      <c r="H28">
        <f>G28-RTD("greekserver.rtdfunctions",,CONCATENATE(U28&amp;" "&amp;$H$1))/100</f>
        <v>-2898.25</v>
      </c>
      <c r="I28">
        <v>29200</v>
      </c>
      <c r="J28">
        <f>K28-RTD("greekserver.rtdfunctions",,CONCATENATE(V28&amp;" "&amp;$J$1))/100</f>
        <v>-0.9</v>
      </c>
      <c r="K28">
        <f>RTD("greekserver.rtdfunctions",,CONCATENATE(V28&amp;" "&amp;$K$1))/100</f>
        <v>0.35</v>
      </c>
      <c r="L28" t="str">
        <f t="shared" ca="1" si="4"/>
        <v>error</v>
      </c>
      <c r="M28">
        <f>RTD("greekserver.rtdfunctions",,CONCATENATE(V28&amp;" "&amp;$M$1))</f>
        <v>740</v>
      </c>
      <c r="N28">
        <f t="shared" si="5"/>
        <v>-420</v>
      </c>
      <c r="O28">
        <f>RTD("greekserver.rtdfunctions",,CONCATENATE(V28&amp;" "&amp;$O$1))</f>
        <v>880</v>
      </c>
      <c r="P28" s="42">
        <f t="shared" ca="1" si="6"/>
        <v>43874</v>
      </c>
      <c r="Q28" s="43">
        <f t="shared" ca="1" si="7"/>
        <v>43874.449634027776</v>
      </c>
      <c r="S28">
        <v>0</v>
      </c>
      <c r="T28">
        <v>1300</v>
      </c>
      <c r="U28" s="44">
        <v>102039550</v>
      </c>
      <c r="V28" s="44">
        <v>102039551</v>
      </c>
    </row>
    <row r="29" spans="1:22" x14ac:dyDescent="0.2">
      <c r="A29" t="str">
        <f t="shared" si="0"/>
        <v>CE29300</v>
      </c>
      <c r="B29" t="str">
        <f t="shared" si="1"/>
        <v>PE29300</v>
      </c>
      <c r="C29">
        <f>RTD("greekserver.rtdfunctions",,CONCATENATE($U29&amp;" "&amp;$C$1))</f>
        <v>0</v>
      </c>
      <c r="D29">
        <f t="shared" si="2"/>
        <v>0</v>
      </c>
      <c r="E29">
        <f>RTD("greekserver.rtdfunctions",,CONCATENATE(U29&amp;" "&amp;$E$1))</f>
        <v>0</v>
      </c>
      <c r="F29" t="str">
        <f t="shared" ca="1" si="3"/>
        <v>undefined</v>
      </c>
      <c r="G29">
        <f>RTD("greekserver.rtdfunctions",,CONCATENATE(U29&amp;" "&amp;$G$1))/100</f>
        <v>1882.8</v>
      </c>
      <c r="H29">
        <f>G29-RTD("greekserver.rtdfunctions",,CONCATENATE(U29&amp;" "&amp;$H$1))/100</f>
        <v>0</v>
      </c>
      <c r="I29">
        <v>29300</v>
      </c>
      <c r="J29">
        <f>K29-RTD("greekserver.rtdfunctions",,CONCATENATE(V29&amp;" "&amp;$J$1))/100</f>
        <v>-1</v>
      </c>
      <c r="K29">
        <f>RTD("greekserver.rtdfunctions",,CONCATENATE(V29&amp;" "&amp;$K$1))/100</f>
        <v>0.3</v>
      </c>
      <c r="L29" t="str">
        <f t="shared" ca="1" si="4"/>
        <v>error</v>
      </c>
      <c r="M29">
        <f>RTD("greekserver.rtdfunctions",,CONCATENATE(V29&amp;" "&amp;$M$1))</f>
        <v>40</v>
      </c>
      <c r="N29">
        <f t="shared" si="5"/>
        <v>-20</v>
      </c>
      <c r="O29">
        <f>RTD("greekserver.rtdfunctions",,CONCATENATE(V29&amp;" "&amp;$O$1))</f>
        <v>3180</v>
      </c>
      <c r="P29" s="42">
        <f t="shared" ca="1" si="6"/>
        <v>43874</v>
      </c>
      <c r="Q29" s="43">
        <f t="shared" ca="1" si="7"/>
        <v>43874.449634027776</v>
      </c>
      <c r="S29">
        <v>0</v>
      </c>
      <c r="T29">
        <v>3200</v>
      </c>
      <c r="U29" s="44">
        <v>102039553</v>
      </c>
      <c r="V29" s="44">
        <v>102039554</v>
      </c>
    </row>
    <row r="30" spans="1:22" x14ac:dyDescent="0.2">
      <c r="A30" t="str">
        <f t="shared" si="0"/>
        <v>CE29400</v>
      </c>
      <c r="B30" t="str">
        <f t="shared" si="1"/>
        <v>PE29400</v>
      </c>
      <c r="C30">
        <f>RTD("greekserver.rtdfunctions",,CONCATENATE($U30&amp;" "&amp;$C$1))</f>
        <v>0</v>
      </c>
      <c r="D30">
        <f t="shared" si="2"/>
        <v>0</v>
      </c>
      <c r="E30">
        <f>RTD("greekserver.rtdfunctions",,CONCATENATE(U30&amp;" "&amp;$E$1))</f>
        <v>0</v>
      </c>
      <c r="F30" t="str">
        <f t="shared" ca="1" si="3"/>
        <v>undefined</v>
      </c>
      <c r="G30">
        <f>RTD("greekserver.rtdfunctions",,CONCATENATE(U30&amp;" "&amp;$G$1))/100</f>
        <v>0</v>
      </c>
      <c r="H30">
        <f>G30-RTD("greekserver.rtdfunctions",,CONCATENATE(U30&amp;" "&amp;$H$1))/100</f>
        <v>-2728.3</v>
      </c>
      <c r="I30">
        <v>29400</v>
      </c>
      <c r="J30">
        <f>K30-RTD("greekserver.rtdfunctions",,CONCATENATE(V30&amp;" "&amp;$J$1))/100</f>
        <v>-0.8</v>
      </c>
      <c r="K30">
        <f>RTD("greekserver.rtdfunctions",,CONCATENATE(V30&amp;" "&amp;$K$1))/100</f>
        <v>0.45</v>
      </c>
      <c r="L30" t="str">
        <f t="shared" ca="1" si="4"/>
        <v>error</v>
      </c>
      <c r="M30">
        <f>RTD("greekserver.rtdfunctions",,CONCATENATE(V30&amp;" "&amp;$M$1))</f>
        <v>700</v>
      </c>
      <c r="N30">
        <f t="shared" si="5"/>
        <v>-600</v>
      </c>
      <c r="O30">
        <f>RTD("greekserver.rtdfunctions",,CONCATENATE(V30&amp;" "&amp;$O$1))</f>
        <v>3520</v>
      </c>
      <c r="P30" s="42">
        <f t="shared" ca="1" si="6"/>
        <v>43874</v>
      </c>
      <c r="Q30" s="43">
        <f t="shared" ca="1" si="7"/>
        <v>43874.449634027776</v>
      </c>
      <c r="S30">
        <v>0</v>
      </c>
      <c r="T30">
        <v>4120</v>
      </c>
      <c r="U30" s="44">
        <v>102039558</v>
      </c>
      <c r="V30" s="44">
        <v>102039559</v>
      </c>
    </row>
    <row r="31" spans="1:22" x14ac:dyDescent="0.2">
      <c r="A31" t="str">
        <f t="shared" si="0"/>
        <v>CE29500</v>
      </c>
      <c r="B31" t="str">
        <f t="shared" si="1"/>
        <v>PE29500</v>
      </c>
      <c r="C31">
        <f>RTD("greekserver.rtdfunctions",,CONCATENATE($U31&amp;" "&amp;$C$1))</f>
        <v>1560</v>
      </c>
      <c r="D31">
        <f t="shared" si="2"/>
        <v>-40</v>
      </c>
      <c r="E31">
        <f>RTD("greekserver.rtdfunctions",,CONCATENATE(U31&amp;" "&amp;$E$1))</f>
        <v>240</v>
      </c>
      <c r="F31" t="str">
        <f t="shared" ca="1" si="3"/>
        <v>undefined</v>
      </c>
      <c r="G31">
        <f>RTD("greekserver.rtdfunctions",,CONCATENATE(U31&amp;" "&amp;$G$1))/100</f>
        <v>1800</v>
      </c>
      <c r="H31">
        <f>G31-RTD("greekserver.rtdfunctions",,CONCATENATE(U31&amp;" "&amp;$H$1))/100</f>
        <v>-255.59999999999991</v>
      </c>
      <c r="I31">
        <v>29500</v>
      </c>
      <c r="J31">
        <f>K31-RTD("greekserver.rtdfunctions",,CONCATENATE(V31&amp;" "&amp;$J$1))/100</f>
        <v>-0.89999999999999991</v>
      </c>
      <c r="K31">
        <f>RTD("greekserver.rtdfunctions",,CONCATENATE(V31&amp;" "&amp;$K$1))/100</f>
        <v>0.3</v>
      </c>
      <c r="L31" t="str">
        <f t="shared" ca="1" si="4"/>
        <v>error</v>
      </c>
      <c r="M31">
        <f>RTD("greekserver.rtdfunctions",,CONCATENATE(V31&amp;" "&amp;$M$1))</f>
        <v>31980</v>
      </c>
      <c r="N31">
        <f t="shared" si="5"/>
        <v>3120</v>
      </c>
      <c r="O31">
        <f>RTD("greekserver.rtdfunctions",,CONCATENATE(V31&amp;" "&amp;$O$1))</f>
        <v>161060</v>
      </c>
      <c r="P31" s="42">
        <f t="shared" ca="1" si="6"/>
        <v>43874</v>
      </c>
      <c r="Q31" s="43">
        <f t="shared" ca="1" si="7"/>
        <v>43874.449634027776</v>
      </c>
      <c r="S31">
        <v>1600</v>
      </c>
      <c r="T31">
        <v>157940</v>
      </c>
      <c r="U31" s="44">
        <v>102039560</v>
      </c>
      <c r="V31" s="44">
        <v>102039561</v>
      </c>
    </row>
    <row r="32" spans="1:22" x14ac:dyDescent="0.2">
      <c r="A32" t="str">
        <f t="shared" si="0"/>
        <v>CE29600</v>
      </c>
      <c r="B32" t="str">
        <f t="shared" si="1"/>
        <v>PE29600</v>
      </c>
      <c r="C32">
        <f>RTD("greekserver.rtdfunctions",,CONCATENATE($U32&amp;" "&amp;$C$1))</f>
        <v>0</v>
      </c>
      <c r="D32">
        <f t="shared" si="2"/>
        <v>-20</v>
      </c>
      <c r="E32">
        <f>RTD("greekserver.rtdfunctions",,CONCATENATE(U32&amp;" "&amp;$E$1))</f>
        <v>0</v>
      </c>
      <c r="F32" t="str">
        <f t="shared" ca="1" si="3"/>
        <v>undefined</v>
      </c>
      <c r="G32">
        <f>RTD("greekserver.rtdfunctions",,CONCATENATE(U32&amp;" "&amp;$G$1))/100</f>
        <v>1626.9</v>
      </c>
      <c r="H32">
        <f>G32-RTD("greekserver.rtdfunctions",,CONCATENATE(U32&amp;" "&amp;$H$1))/100</f>
        <v>0</v>
      </c>
      <c r="I32">
        <v>29600</v>
      </c>
      <c r="J32">
        <f>K32-RTD("greekserver.rtdfunctions",,CONCATENATE(V32&amp;" "&amp;$J$1))/100</f>
        <v>-0.70000000000000007</v>
      </c>
      <c r="K32">
        <f>RTD("greekserver.rtdfunctions",,CONCATENATE(V32&amp;" "&amp;$K$1))/100</f>
        <v>0.4</v>
      </c>
      <c r="L32" t="str">
        <f t="shared" ca="1" si="4"/>
        <v>error</v>
      </c>
      <c r="M32">
        <f>RTD("greekserver.rtdfunctions",,CONCATENATE(V32&amp;" "&amp;$M$1))</f>
        <v>26460</v>
      </c>
      <c r="N32">
        <f t="shared" si="5"/>
        <v>-9560</v>
      </c>
      <c r="O32">
        <f>RTD("greekserver.rtdfunctions",,CONCATENATE(V32&amp;" "&amp;$O$1))</f>
        <v>91980</v>
      </c>
      <c r="P32" s="42">
        <f t="shared" ca="1" si="6"/>
        <v>43874</v>
      </c>
      <c r="Q32" s="43">
        <f t="shared" ca="1" si="7"/>
        <v>43874.449634027776</v>
      </c>
      <c r="S32">
        <v>20</v>
      </c>
      <c r="T32">
        <v>101540</v>
      </c>
      <c r="U32" s="44">
        <v>102039570</v>
      </c>
      <c r="V32" s="44">
        <v>102039571</v>
      </c>
    </row>
    <row r="33" spans="1:22" x14ac:dyDescent="0.2">
      <c r="A33" t="str">
        <f t="shared" si="0"/>
        <v>CE29700</v>
      </c>
      <c r="B33" t="str">
        <f t="shared" si="1"/>
        <v>PE29700</v>
      </c>
      <c r="C33">
        <f>RTD("greekserver.rtdfunctions",,CONCATENATE($U33&amp;" "&amp;$C$1))</f>
        <v>0</v>
      </c>
      <c r="D33">
        <f t="shared" si="2"/>
        <v>-140</v>
      </c>
      <c r="E33">
        <f>RTD("greekserver.rtdfunctions",,CONCATENATE(U33&amp;" "&amp;$E$1))</f>
        <v>0</v>
      </c>
      <c r="F33" t="str">
        <f t="shared" ca="1" si="3"/>
        <v>error</v>
      </c>
      <c r="G33">
        <f>RTD("greekserver.rtdfunctions",,CONCATENATE(U33&amp;" "&amp;$G$1))/100</f>
        <v>1857</v>
      </c>
      <c r="H33">
        <f>G33-RTD("greekserver.rtdfunctions",,CONCATENATE(U33&amp;" "&amp;$H$1))/100</f>
        <v>0</v>
      </c>
      <c r="I33">
        <v>29700</v>
      </c>
      <c r="J33">
        <f>K33-RTD("greekserver.rtdfunctions",,CONCATENATE(V33&amp;" "&amp;$J$1))/100</f>
        <v>-0.89999999999999991</v>
      </c>
      <c r="K33">
        <f>RTD("greekserver.rtdfunctions",,CONCATENATE(V33&amp;" "&amp;$K$1))/100</f>
        <v>0.25</v>
      </c>
      <c r="L33" t="str">
        <f t="shared" ca="1" si="4"/>
        <v>error</v>
      </c>
      <c r="M33">
        <f>RTD("greekserver.rtdfunctions",,CONCATENATE(V33&amp;" "&amp;$M$1))</f>
        <v>5880</v>
      </c>
      <c r="N33">
        <f t="shared" si="5"/>
        <v>-3340</v>
      </c>
      <c r="O33">
        <f>RTD("greekserver.rtdfunctions",,CONCATENATE(V33&amp;" "&amp;$O$1))</f>
        <v>14180</v>
      </c>
      <c r="P33" s="42">
        <f t="shared" ca="1" si="6"/>
        <v>43874</v>
      </c>
      <c r="Q33" s="43">
        <f t="shared" ca="1" si="7"/>
        <v>43874.449634027776</v>
      </c>
      <c r="S33">
        <v>140</v>
      </c>
      <c r="T33">
        <v>17520</v>
      </c>
      <c r="U33" s="44">
        <v>102039572</v>
      </c>
      <c r="V33" s="44">
        <v>102039574</v>
      </c>
    </row>
    <row r="34" spans="1:22" x14ac:dyDescent="0.2">
      <c r="A34" t="str">
        <f t="shared" si="0"/>
        <v>CE29800</v>
      </c>
      <c r="B34" t="str">
        <f t="shared" si="1"/>
        <v>PE29800</v>
      </c>
      <c r="C34">
        <f>RTD("greekserver.rtdfunctions",,CONCATENATE($U34&amp;" "&amp;$C$1))</f>
        <v>1360</v>
      </c>
      <c r="D34">
        <f t="shared" si="2"/>
        <v>0</v>
      </c>
      <c r="E34">
        <f>RTD("greekserver.rtdfunctions",,CONCATENATE(U34&amp;" "&amp;$E$1))</f>
        <v>60</v>
      </c>
      <c r="F34" t="str">
        <f t="shared" ca="1" si="3"/>
        <v>error</v>
      </c>
      <c r="G34">
        <f>RTD("greekserver.rtdfunctions",,CONCATENATE(U34&amp;" "&amp;$G$1))/100</f>
        <v>1605.05</v>
      </c>
      <c r="H34">
        <f>G34-RTD("greekserver.rtdfunctions",,CONCATENATE(U34&amp;" "&amp;$H$1))/100</f>
        <v>60.25</v>
      </c>
      <c r="I34">
        <v>29800</v>
      </c>
      <c r="J34">
        <f>K34-RTD("greekserver.rtdfunctions",,CONCATENATE(V34&amp;" "&amp;$J$1))/100</f>
        <v>-0.55000000000000004</v>
      </c>
      <c r="K34">
        <f>RTD("greekserver.rtdfunctions",,CONCATENATE(V34&amp;" "&amp;$K$1))/100</f>
        <v>0.3</v>
      </c>
      <c r="L34" t="str">
        <f t="shared" ca="1" si="4"/>
        <v>error</v>
      </c>
      <c r="M34">
        <f>RTD("greekserver.rtdfunctions",,CONCATENATE(V34&amp;" "&amp;$M$1))</f>
        <v>15900</v>
      </c>
      <c r="N34">
        <f t="shared" si="5"/>
        <v>1280</v>
      </c>
      <c r="O34">
        <f>RTD("greekserver.rtdfunctions",,CONCATENATE(V34&amp;" "&amp;$O$1))</f>
        <v>42960</v>
      </c>
      <c r="P34" s="42">
        <f t="shared" ca="1" si="6"/>
        <v>43874</v>
      </c>
      <c r="Q34" s="43">
        <f t="shared" ca="1" si="7"/>
        <v>43874.449634027776</v>
      </c>
      <c r="S34">
        <v>1360</v>
      </c>
      <c r="T34">
        <v>41680</v>
      </c>
      <c r="U34" s="44">
        <v>102039582</v>
      </c>
      <c r="V34" s="44">
        <v>102039583</v>
      </c>
    </row>
    <row r="35" spans="1:22" x14ac:dyDescent="0.2">
      <c r="A35" t="str">
        <f t="shared" si="0"/>
        <v>CE29900</v>
      </c>
      <c r="B35" t="str">
        <f t="shared" si="1"/>
        <v>PE29900</v>
      </c>
      <c r="C35">
        <f>RTD("greekserver.rtdfunctions",,CONCATENATE($U35&amp;" "&amp;$C$1))</f>
        <v>580</v>
      </c>
      <c r="D35">
        <f t="shared" si="2"/>
        <v>0</v>
      </c>
      <c r="E35">
        <f>RTD("greekserver.rtdfunctions",,CONCATENATE(U35&amp;" "&amp;$E$1))</f>
        <v>20</v>
      </c>
      <c r="F35" t="str">
        <f t="shared" ca="1" si="3"/>
        <v>error</v>
      </c>
      <c r="G35">
        <f>RTD("greekserver.rtdfunctions",,CONCATENATE(U35&amp;" "&amp;$G$1))/100</f>
        <v>1530</v>
      </c>
      <c r="H35">
        <f>G35-RTD("greekserver.rtdfunctions",,CONCATENATE(U35&amp;" "&amp;$H$1))/100</f>
        <v>-110</v>
      </c>
      <c r="I35">
        <v>29900</v>
      </c>
      <c r="J35">
        <f>K35-RTD("greekserver.rtdfunctions",,CONCATENATE(V35&amp;" "&amp;$J$1))/100</f>
        <v>-0.99999999999999989</v>
      </c>
      <c r="K35">
        <f>RTD("greekserver.rtdfunctions",,CONCATENATE(V35&amp;" "&amp;$K$1))/100</f>
        <v>0.4</v>
      </c>
      <c r="L35" t="str">
        <f t="shared" ca="1" si="4"/>
        <v>error</v>
      </c>
      <c r="M35">
        <f>RTD("greekserver.rtdfunctions",,CONCATENATE(V35&amp;" "&amp;$M$1))</f>
        <v>17200</v>
      </c>
      <c r="N35">
        <f t="shared" si="5"/>
        <v>940</v>
      </c>
      <c r="O35">
        <f>RTD("greekserver.rtdfunctions",,CONCATENATE(V35&amp;" "&amp;$O$1))</f>
        <v>55760</v>
      </c>
      <c r="P35" s="42">
        <f t="shared" ca="1" si="6"/>
        <v>43874</v>
      </c>
      <c r="Q35" s="43">
        <f t="shared" ca="1" si="7"/>
        <v>43874.449634027776</v>
      </c>
      <c r="S35">
        <v>580</v>
      </c>
      <c r="T35">
        <v>54820</v>
      </c>
      <c r="U35" s="44">
        <v>102039584</v>
      </c>
      <c r="V35" s="44">
        <v>102039585</v>
      </c>
    </row>
    <row r="36" spans="1:22" x14ac:dyDescent="0.2">
      <c r="A36" t="str">
        <f t="shared" si="0"/>
        <v>CE30000</v>
      </c>
      <c r="B36" t="str">
        <f t="shared" si="1"/>
        <v>PE30000</v>
      </c>
      <c r="C36">
        <f>RTD("greekserver.rtdfunctions",,CONCATENATE($U36&amp;" "&amp;$C$1))</f>
        <v>10300</v>
      </c>
      <c r="D36">
        <f t="shared" si="2"/>
        <v>-3560</v>
      </c>
      <c r="E36">
        <f>RTD("greekserver.rtdfunctions",,CONCATENATE(U36&amp;" "&amp;$E$1))</f>
        <v>7080</v>
      </c>
      <c r="F36" t="str">
        <f t="shared" ca="1" si="3"/>
        <v>undefined</v>
      </c>
      <c r="G36">
        <f>RTD("greekserver.rtdfunctions",,CONCATENATE(U36&amp;" "&amp;$G$1))/100</f>
        <v>1312</v>
      </c>
      <c r="H36">
        <f>G36-RTD("greekserver.rtdfunctions",,CONCATENATE(U36&amp;" "&amp;$H$1))/100</f>
        <v>-213.15000000000009</v>
      </c>
      <c r="I36">
        <v>30000</v>
      </c>
      <c r="J36">
        <f>K36-RTD("greekserver.rtdfunctions",,CONCATENATE(V36&amp;" "&amp;$J$1))/100</f>
        <v>-1</v>
      </c>
      <c r="K36">
        <f>RTD("greekserver.rtdfunctions",,CONCATENATE(V36&amp;" "&amp;$K$1))/100</f>
        <v>0.35</v>
      </c>
      <c r="L36" t="str">
        <f t="shared" ca="1" si="4"/>
        <v>error</v>
      </c>
      <c r="M36">
        <f>RTD("greekserver.rtdfunctions",,CONCATENATE(V36&amp;" "&amp;$M$1))</f>
        <v>64180</v>
      </c>
      <c r="N36">
        <f t="shared" si="5"/>
        <v>1260</v>
      </c>
      <c r="O36">
        <f>RTD("greekserver.rtdfunctions",,CONCATENATE(V36&amp;" "&amp;$O$1))</f>
        <v>220660</v>
      </c>
      <c r="P36" s="42">
        <f t="shared" ca="1" si="6"/>
        <v>43874</v>
      </c>
      <c r="Q36" s="43">
        <f t="shared" ca="1" si="7"/>
        <v>43874.449634027776</v>
      </c>
      <c r="S36">
        <v>13860</v>
      </c>
      <c r="T36">
        <v>219400</v>
      </c>
      <c r="U36" s="44">
        <v>102039588</v>
      </c>
      <c r="V36" s="44">
        <v>102039589</v>
      </c>
    </row>
    <row r="37" spans="1:22" x14ac:dyDescent="0.2">
      <c r="A37" t="str">
        <f t="shared" si="0"/>
        <v>CE30100</v>
      </c>
      <c r="B37" t="str">
        <f t="shared" si="1"/>
        <v>PE30100</v>
      </c>
      <c r="C37">
        <f>RTD("greekserver.rtdfunctions",,CONCATENATE($U37&amp;" "&amp;$C$1))</f>
        <v>600</v>
      </c>
      <c r="D37">
        <f t="shared" si="2"/>
        <v>-100</v>
      </c>
      <c r="E37">
        <f>RTD("greekserver.rtdfunctions",,CONCATENATE(U37&amp;" "&amp;$E$1))</f>
        <v>140</v>
      </c>
      <c r="F37" t="str">
        <f t="shared" ca="1" si="3"/>
        <v>undefined</v>
      </c>
      <c r="G37">
        <f>RTD("greekserver.rtdfunctions",,CONCATENATE(U37&amp;" "&amp;$G$1))/100</f>
        <v>1204.5999999999999</v>
      </c>
      <c r="H37">
        <f>G37-RTD("greekserver.rtdfunctions",,CONCATENATE(U37&amp;" "&amp;$H$1))/100</f>
        <v>-195.70000000000005</v>
      </c>
      <c r="I37">
        <v>30100</v>
      </c>
      <c r="J37">
        <f>K37-RTD("greekserver.rtdfunctions",,CONCATENATE(V37&amp;" "&amp;$J$1))/100</f>
        <v>-1.2</v>
      </c>
      <c r="K37">
        <f>RTD("greekserver.rtdfunctions",,CONCATENATE(V37&amp;" "&amp;$K$1))/100</f>
        <v>0.55000000000000004</v>
      </c>
      <c r="L37" t="str">
        <f t="shared" ca="1" si="4"/>
        <v>error</v>
      </c>
      <c r="M37">
        <f>RTD("greekserver.rtdfunctions",,CONCATENATE(V37&amp;" "&amp;$M$1))</f>
        <v>28780</v>
      </c>
      <c r="N37">
        <f t="shared" si="5"/>
        <v>5000</v>
      </c>
      <c r="O37">
        <f>RTD("greekserver.rtdfunctions",,CONCATENATE(V37&amp;" "&amp;$O$1))</f>
        <v>65400</v>
      </c>
      <c r="P37" s="42">
        <f t="shared" ca="1" si="6"/>
        <v>43874</v>
      </c>
      <c r="Q37" s="43">
        <f t="shared" ca="1" si="7"/>
        <v>43874.449634027776</v>
      </c>
      <c r="S37">
        <v>700</v>
      </c>
      <c r="T37">
        <v>60400</v>
      </c>
      <c r="U37" s="44">
        <v>102039592</v>
      </c>
      <c r="V37" s="44">
        <v>102039593</v>
      </c>
    </row>
    <row r="38" spans="1:22" x14ac:dyDescent="0.2">
      <c r="A38" t="str">
        <f t="shared" si="0"/>
        <v>CE30200</v>
      </c>
      <c r="B38" t="str">
        <f t="shared" si="1"/>
        <v>PE30200</v>
      </c>
      <c r="C38">
        <f>RTD("greekserver.rtdfunctions",,CONCATENATE($U38&amp;" "&amp;$C$1))</f>
        <v>3980</v>
      </c>
      <c r="D38">
        <f t="shared" si="2"/>
        <v>-340</v>
      </c>
      <c r="E38">
        <f>RTD("greekserver.rtdfunctions",,CONCATENATE(U38&amp;" "&amp;$E$1))</f>
        <v>740</v>
      </c>
      <c r="F38" t="str">
        <f t="shared" ca="1" si="3"/>
        <v>undefined</v>
      </c>
      <c r="G38">
        <f>RTD("greekserver.rtdfunctions",,CONCATENATE(U38&amp;" "&amp;$G$1))/100</f>
        <v>1112</v>
      </c>
      <c r="H38">
        <f>G38-RTD("greekserver.rtdfunctions",,CONCATENATE(U38&amp;" "&amp;$H$1))/100</f>
        <v>-174.5</v>
      </c>
      <c r="I38">
        <v>30200</v>
      </c>
      <c r="J38">
        <f>K38-RTD("greekserver.rtdfunctions",,CONCATENATE(V38&amp;" "&amp;$J$1))/100</f>
        <v>-1.5</v>
      </c>
      <c r="K38">
        <f>RTD("greekserver.rtdfunctions",,CONCATENATE(V38&amp;" "&amp;$K$1))/100</f>
        <v>0.5</v>
      </c>
      <c r="L38" t="str">
        <f t="shared" ca="1" si="4"/>
        <v>error</v>
      </c>
      <c r="M38">
        <f>RTD("greekserver.rtdfunctions",,CONCATENATE(V38&amp;" "&amp;$M$1))</f>
        <v>75880</v>
      </c>
      <c r="N38">
        <f t="shared" si="5"/>
        <v>1920</v>
      </c>
      <c r="O38">
        <f>RTD("greekserver.rtdfunctions",,CONCATENATE(V38&amp;" "&amp;$O$1))</f>
        <v>110580</v>
      </c>
      <c r="P38" s="42">
        <f t="shared" ca="1" si="6"/>
        <v>43874</v>
      </c>
      <c r="Q38" s="43">
        <f t="shared" ca="1" si="7"/>
        <v>43874.449634027776</v>
      </c>
      <c r="S38">
        <v>4320</v>
      </c>
      <c r="T38">
        <v>108660</v>
      </c>
      <c r="U38" s="44">
        <v>102039594</v>
      </c>
      <c r="V38" s="44">
        <v>102039595</v>
      </c>
    </row>
    <row r="39" spans="1:22" x14ac:dyDescent="0.2">
      <c r="A39" t="str">
        <f t="shared" si="0"/>
        <v>CE30300</v>
      </c>
      <c r="B39" t="str">
        <f t="shared" si="1"/>
        <v>PE30300</v>
      </c>
      <c r="C39">
        <f>RTD("greekserver.rtdfunctions",,CONCATENATE($U39&amp;" "&amp;$C$1))</f>
        <v>2240</v>
      </c>
      <c r="D39">
        <f t="shared" si="2"/>
        <v>-80</v>
      </c>
      <c r="E39">
        <f>RTD("greekserver.rtdfunctions",,CONCATENATE(U39&amp;" "&amp;$E$1))</f>
        <v>2280</v>
      </c>
      <c r="F39" t="str">
        <f t="shared" ca="1" si="3"/>
        <v>undefined</v>
      </c>
      <c r="G39">
        <f>RTD("greekserver.rtdfunctions",,CONCATENATE(U39&amp;" "&amp;$G$1))/100</f>
        <v>1005</v>
      </c>
      <c r="H39">
        <f>G39-RTD("greekserver.rtdfunctions",,CONCATENATE(U39&amp;" "&amp;$H$1))/100</f>
        <v>-233.20000000000005</v>
      </c>
      <c r="I39">
        <v>30300</v>
      </c>
      <c r="J39">
        <f>K39-RTD("greekserver.rtdfunctions",,CONCATENATE(V39&amp;" "&amp;$J$1))/100</f>
        <v>-1.2999999999999998</v>
      </c>
      <c r="K39">
        <f>RTD("greekserver.rtdfunctions",,CONCATENATE(V39&amp;" "&amp;$K$1))/100</f>
        <v>0.4</v>
      </c>
      <c r="L39" t="str">
        <f t="shared" ca="1" si="4"/>
        <v>error</v>
      </c>
      <c r="M39">
        <f>RTD("greekserver.rtdfunctions",,CONCATENATE(V39&amp;" "&amp;$M$1))</f>
        <v>65020</v>
      </c>
      <c r="N39">
        <f t="shared" si="5"/>
        <v>-13940</v>
      </c>
      <c r="O39">
        <f>RTD("greekserver.rtdfunctions",,CONCATENATE(V39&amp;" "&amp;$O$1))</f>
        <v>138540</v>
      </c>
      <c r="P39" s="42">
        <f t="shared" ca="1" si="6"/>
        <v>43874</v>
      </c>
      <c r="Q39" s="43">
        <f t="shared" ca="1" si="7"/>
        <v>43874.449634027776</v>
      </c>
      <c r="S39">
        <v>2320</v>
      </c>
      <c r="T39">
        <v>152480</v>
      </c>
      <c r="U39" s="44">
        <v>102039608</v>
      </c>
      <c r="V39" s="44">
        <v>102039609</v>
      </c>
    </row>
    <row r="40" spans="1:22" x14ac:dyDescent="0.2">
      <c r="A40" t="str">
        <f t="shared" si="0"/>
        <v>CE30400</v>
      </c>
      <c r="B40" t="str">
        <f t="shared" si="1"/>
        <v>PE30400</v>
      </c>
      <c r="C40">
        <f>RTD("greekserver.rtdfunctions",,CONCATENATE($U40&amp;" "&amp;$C$1))</f>
        <v>2600</v>
      </c>
      <c r="D40">
        <f t="shared" si="2"/>
        <v>-20</v>
      </c>
      <c r="E40">
        <f>RTD("greekserver.rtdfunctions",,CONCATENATE(U40&amp;" "&amp;$E$1))</f>
        <v>720</v>
      </c>
      <c r="F40" t="str">
        <f t="shared" ca="1" si="3"/>
        <v>undefined</v>
      </c>
      <c r="G40">
        <f>RTD("greekserver.rtdfunctions",,CONCATENATE(U40&amp;" "&amp;$G$1))/100</f>
        <v>899.3</v>
      </c>
      <c r="H40">
        <f>G40-RTD("greekserver.rtdfunctions",,CONCATENATE(U40&amp;" "&amp;$H$1))/100</f>
        <v>-229.90000000000009</v>
      </c>
      <c r="I40">
        <v>30400</v>
      </c>
      <c r="J40">
        <f>K40-RTD("greekserver.rtdfunctions",,CONCATENATE(V40&amp;" "&amp;$J$1))/100</f>
        <v>-1.6</v>
      </c>
      <c r="K40">
        <f>RTD("greekserver.rtdfunctions",,CONCATENATE(V40&amp;" "&amp;$K$1))/100</f>
        <v>0.4</v>
      </c>
      <c r="L40" t="str">
        <f t="shared" ca="1" si="4"/>
        <v>error</v>
      </c>
      <c r="M40">
        <f>RTD("greekserver.rtdfunctions",,CONCATENATE(V40&amp;" "&amp;$M$1))</f>
        <v>63380</v>
      </c>
      <c r="N40">
        <f t="shared" si="5"/>
        <v>-10300</v>
      </c>
      <c r="O40">
        <f>RTD("greekserver.rtdfunctions",,CONCATENATE(V40&amp;" "&amp;$O$1))</f>
        <v>255800</v>
      </c>
      <c r="P40" s="42">
        <f t="shared" ca="1" si="6"/>
        <v>43874</v>
      </c>
      <c r="Q40" s="43">
        <f t="shared" ca="1" si="7"/>
        <v>43874.449634027776</v>
      </c>
      <c r="S40">
        <v>2620</v>
      </c>
      <c r="T40">
        <v>266100</v>
      </c>
      <c r="U40" s="44">
        <v>102039628</v>
      </c>
      <c r="V40" s="44">
        <v>102039629</v>
      </c>
    </row>
    <row r="41" spans="1:22" x14ac:dyDescent="0.2">
      <c r="A41" t="str">
        <f t="shared" si="0"/>
        <v>CE30500</v>
      </c>
      <c r="B41" t="str">
        <f t="shared" si="1"/>
        <v>PE30500</v>
      </c>
      <c r="C41">
        <f>RTD("greekserver.rtdfunctions",,CONCATENATE($U41&amp;" "&amp;$C$1))</f>
        <v>26000</v>
      </c>
      <c r="D41">
        <f t="shared" si="2"/>
        <v>-6220</v>
      </c>
      <c r="E41">
        <f>RTD("greekserver.rtdfunctions",,CONCATENATE(U41&amp;" "&amp;$E$1))</f>
        <v>17180</v>
      </c>
      <c r="F41" t="str">
        <f t="shared" ca="1" si="3"/>
        <v>undefined</v>
      </c>
      <c r="G41">
        <f>RTD("greekserver.rtdfunctions",,CONCATENATE(U41&amp;" "&amp;$G$1))/100</f>
        <v>814</v>
      </c>
      <c r="H41">
        <f>G41-RTD("greekserver.rtdfunctions",,CONCATENATE(U41&amp;" "&amp;$H$1))/100</f>
        <v>-217.79999999999995</v>
      </c>
      <c r="I41">
        <v>30500</v>
      </c>
      <c r="J41">
        <f>K41-RTD("greekserver.rtdfunctions",,CONCATENATE(V41&amp;" "&amp;$J$1))/100</f>
        <v>-2.35</v>
      </c>
      <c r="K41">
        <f>RTD("greekserver.rtdfunctions",,CONCATENATE(V41&amp;" "&amp;$K$1))/100</f>
        <v>0.35</v>
      </c>
      <c r="L41" t="str">
        <f t="shared" ca="1" si="4"/>
        <v>error</v>
      </c>
      <c r="M41">
        <f>RTD("greekserver.rtdfunctions",,CONCATENATE(V41&amp;" "&amp;$M$1))</f>
        <v>306640</v>
      </c>
      <c r="N41">
        <f t="shared" si="5"/>
        <v>-19960</v>
      </c>
      <c r="O41">
        <f>RTD("greekserver.rtdfunctions",,CONCATENATE(V41&amp;" "&amp;$O$1))</f>
        <v>394380</v>
      </c>
      <c r="P41" s="42">
        <f t="shared" ca="1" si="6"/>
        <v>43874</v>
      </c>
      <c r="Q41" s="43">
        <f t="shared" ca="1" si="7"/>
        <v>43874.449634027776</v>
      </c>
      <c r="S41">
        <v>32220</v>
      </c>
      <c r="T41">
        <v>414340</v>
      </c>
      <c r="U41" s="44">
        <v>102039632</v>
      </c>
      <c r="V41" s="44">
        <v>102039635</v>
      </c>
    </row>
    <row r="42" spans="1:22" x14ac:dyDescent="0.2">
      <c r="A42" t="str">
        <f t="shared" si="0"/>
        <v>CE30600</v>
      </c>
      <c r="B42" t="str">
        <f t="shared" si="1"/>
        <v>PE30600</v>
      </c>
      <c r="C42">
        <f>RTD("greekserver.rtdfunctions",,CONCATENATE($U42&amp;" "&amp;$C$1))</f>
        <v>3620</v>
      </c>
      <c r="D42">
        <f t="shared" si="2"/>
        <v>-920</v>
      </c>
      <c r="E42">
        <f>RTD("greekserver.rtdfunctions",,CONCATENATE(U42&amp;" "&amp;$E$1))</f>
        <v>1920</v>
      </c>
      <c r="F42" t="str">
        <f t="shared" ca="1" si="3"/>
        <v>undefined</v>
      </c>
      <c r="G42">
        <f>RTD("greekserver.rtdfunctions",,CONCATENATE(U42&amp;" "&amp;$G$1))/100</f>
        <v>711</v>
      </c>
      <c r="H42">
        <f>G42-RTD("greekserver.rtdfunctions",,CONCATENATE(U42&amp;" "&amp;$H$1))/100</f>
        <v>-221.70000000000005</v>
      </c>
      <c r="I42">
        <v>30600</v>
      </c>
      <c r="J42">
        <f>K42-RTD("greekserver.rtdfunctions",,CONCATENATE(V42&amp;" "&amp;$J$1))/100</f>
        <v>-2.4</v>
      </c>
      <c r="K42">
        <f>RTD("greekserver.rtdfunctions",,CONCATENATE(V42&amp;" "&amp;$K$1))/100</f>
        <v>0.6</v>
      </c>
      <c r="L42" t="str">
        <f t="shared" ca="1" si="4"/>
        <v>error</v>
      </c>
      <c r="M42">
        <f>RTD("greekserver.rtdfunctions",,CONCATENATE(V42&amp;" "&amp;$M$1))</f>
        <v>240420</v>
      </c>
      <c r="N42">
        <f t="shared" si="5"/>
        <v>11880</v>
      </c>
      <c r="O42">
        <f>RTD("greekserver.rtdfunctions",,CONCATENATE(V42&amp;" "&amp;$O$1))</f>
        <v>211120</v>
      </c>
      <c r="P42" s="42">
        <f t="shared" ca="1" si="6"/>
        <v>43874</v>
      </c>
      <c r="Q42" s="43">
        <f t="shared" ca="1" si="7"/>
        <v>43874.449634027776</v>
      </c>
      <c r="S42">
        <v>4540</v>
      </c>
      <c r="T42">
        <v>199240</v>
      </c>
      <c r="U42" s="44">
        <v>102039636</v>
      </c>
      <c r="V42" s="44">
        <v>102039637</v>
      </c>
    </row>
    <row r="43" spans="1:22" x14ac:dyDescent="0.2">
      <c r="A43" t="str">
        <f t="shared" si="0"/>
        <v>CE30700</v>
      </c>
      <c r="B43" t="str">
        <f t="shared" si="1"/>
        <v>PE30700</v>
      </c>
      <c r="C43">
        <f>RTD("greekserver.rtdfunctions",,CONCATENATE($U43&amp;" "&amp;$C$1))</f>
        <v>10440</v>
      </c>
      <c r="D43">
        <f t="shared" si="2"/>
        <v>-1380</v>
      </c>
      <c r="E43">
        <f>RTD("greekserver.rtdfunctions",,CONCATENATE(U43&amp;" "&amp;$E$1))</f>
        <v>8560</v>
      </c>
      <c r="F43" t="str">
        <f t="shared" ca="1" si="3"/>
        <v>undefined</v>
      </c>
      <c r="G43">
        <f>RTD("greekserver.rtdfunctions",,CONCATENATE(U43&amp;" "&amp;$G$1))/100</f>
        <v>608</v>
      </c>
      <c r="H43">
        <f>G43-RTD("greekserver.rtdfunctions",,CONCATENATE(U43&amp;" "&amp;$H$1))/100</f>
        <v>-228</v>
      </c>
      <c r="I43">
        <v>30700</v>
      </c>
      <c r="J43">
        <f>K43-RTD("greekserver.rtdfunctions",,CONCATENATE(V43&amp;" "&amp;$J$1))/100</f>
        <v>-2.85</v>
      </c>
      <c r="K43">
        <f>RTD("greekserver.rtdfunctions",,CONCATENATE(V43&amp;" "&amp;$K$1))/100</f>
        <v>0.75</v>
      </c>
      <c r="L43" t="str">
        <f t="shared" ca="1" si="4"/>
        <v>error</v>
      </c>
      <c r="M43">
        <f>RTD("greekserver.rtdfunctions",,CONCATENATE(V43&amp;" "&amp;$M$1))</f>
        <v>521120</v>
      </c>
      <c r="N43">
        <f t="shared" si="5"/>
        <v>71560</v>
      </c>
      <c r="O43">
        <f>RTD("greekserver.rtdfunctions",,CONCATENATE(V43&amp;" "&amp;$O$1))</f>
        <v>261760</v>
      </c>
      <c r="P43" s="42">
        <f t="shared" ca="1" si="6"/>
        <v>43874</v>
      </c>
      <c r="Q43" s="43">
        <f t="shared" ca="1" si="7"/>
        <v>43874.449634027776</v>
      </c>
      <c r="S43">
        <v>11820</v>
      </c>
      <c r="T43">
        <v>190200</v>
      </c>
      <c r="U43" s="44">
        <v>102039638</v>
      </c>
      <c r="V43" s="44">
        <v>102039643</v>
      </c>
    </row>
    <row r="44" spans="1:22" x14ac:dyDescent="0.2">
      <c r="A44" t="str">
        <f t="shared" si="0"/>
        <v>CE30800</v>
      </c>
      <c r="B44" t="str">
        <f t="shared" si="1"/>
        <v>PE30800</v>
      </c>
      <c r="C44">
        <f>RTD("greekserver.rtdfunctions",,CONCATENATE($U44&amp;" "&amp;$C$1))</f>
        <v>7380</v>
      </c>
      <c r="D44">
        <f t="shared" si="2"/>
        <v>-120</v>
      </c>
      <c r="E44">
        <f>RTD("greekserver.rtdfunctions",,CONCATENATE(U44&amp;" "&amp;$E$1))</f>
        <v>7140</v>
      </c>
      <c r="F44" t="str">
        <f t="shared" ca="1" si="3"/>
        <v>undefined</v>
      </c>
      <c r="G44">
        <f>RTD("greekserver.rtdfunctions",,CONCATENATE(U44&amp;" "&amp;$G$1))/100</f>
        <v>512.5</v>
      </c>
      <c r="H44">
        <f>G44-RTD("greekserver.rtdfunctions",,CONCATENATE(U44&amp;" "&amp;$H$1))/100</f>
        <v>-223.10000000000002</v>
      </c>
      <c r="I44">
        <v>30800</v>
      </c>
      <c r="J44">
        <f>K44-RTD("greekserver.rtdfunctions",,CONCATENATE(V44&amp;" "&amp;$J$1))/100</f>
        <v>-3.05</v>
      </c>
      <c r="K44">
        <f>RTD("greekserver.rtdfunctions",,CONCATENATE(V44&amp;" "&amp;$K$1))/100</f>
        <v>1.05</v>
      </c>
      <c r="L44" t="str">
        <f t="shared" ca="1" si="4"/>
        <v>error</v>
      </c>
      <c r="M44">
        <f>RTD("greekserver.rtdfunctions",,CONCATENATE(V44&amp;" "&amp;$M$1))</f>
        <v>1210340</v>
      </c>
      <c r="N44">
        <f t="shared" si="5"/>
        <v>74560</v>
      </c>
      <c r="O44">
        <f>RTD("greekserver.rtdfunctions",,CONCATENATE(V44&amp;" "&amp;$O$1))</f>
        <v>441960</v>
      </c>
      <c r="P44" s="42">
        <f t="shared" ca="1" si="6"/>
        <v>43874</v>
      </c>
      <c r="Q44" s="43">
        <f t="shared" ca="1" si="7"/>
        <v>43874.449634027776</v>
      </c>
      <c r="S44">
        <v>7500</v>
      </c>
      <c r="T44">
        <v>367400</v>
      </c>
      <c r="U44" s="44">
        <v>102039662</v>
      </c>
      <c r="V44" s="44">
        <v>102039663</v>
      </c>
    </row>
    <row r="45" spans="1:22" x14ac:dyDescent="0.2">
      <c r="A45" t="str">
        <f t="shared" si="0"/>
        <v>CE30900</v>
      </c>
      <c r="B45" t="str">
        <f t="shared" si="1"/>
        <v>PE30900</v>
      </c>
      <c r="C45">
        <f>RTD("greekserver.rtdfunctions",,CONCATENATE($U45&amp;" "&amp;$C$1))</f>
        <v>7860</v>
      </c>
      <c r="D45">
        <f t="shared" si="2"/>
        <v>1620</v>
      </c>
      <c r="E45">
        <f>RTD("greekserver.rtdfunctions",,CONCATENATE(U45&amp;" "&amp;$E$1))</f>
        <v>10320</v>
      </c>
      <c r="F45" t="str">
        <f t="shared" ca="1" si="3"/>
        <v>undefined</v>
      </c>
      <c r="G45">
        <f>RTD("greekserver.rtdfunctions",,CONCATENATE(U45&amp;" "&amp;$G$1))/100</f>
        <v>415.5</v>
      </c>
      <c r="H45">
        <f>G45-RTD("greekserver.rtdfunctions",,CONCATENATE(U45&amp;" "&amp;$H$1))/100</f>
        <v>-218.04999999999995</v>
      </c>
      <c r="I45">
        <v>30900</v>
      </c>
      <c r="J45">
        <f>K45-RTD("greekserver.rtdfunctions",,CONCATENATE(V45&amp;" "&amp;$J$1))/100</f>
        <v>-3.5</v>
      </c>
      <c r="K45">
        <f>RTD("greekserver.rtdfunctions",,CONCATENATE(V45&amp;" "&amp;$K$1))/100</f>
        <v>2</v>
      </c>
      <c r="L45" t="str">
        <f t="shared" ca="1" si="4"/>
        <v>error</v>
      </c>
      <c r="M45">
        <f>RTD("greekserver.rtdfunctions",,CONCATENATE(V45&amp;" "&amp;$M$1))</f>
        <v>2646840</v>
      </c>
      <c r="N45">
        <f t="shared" si="5"/>
        <v>229440</v>
      </c>
      <c r="O45">
        <f>RTD("greekserver.rtdfunctions",,CONCATENATE(V45&amp;" "&amp;$O$1))</f>
        <v>595320</v>
      </c>
      <c r="P45" s="42">
        <f t="shared" ca="1" si="6"/>
        <v>43874</v>
      </c>
      <c r="Q45" s="43">
        <f t="shared" ca="1" si="7"/>
        <v>43874.449634027776</v>
      </c>
      <c r="S45">
        <v>6240</v>
      </c>
      <c r="T45">
        <v>365880</v>
      </c>
      <c r="U45" s="44">
        <v>102039664</v>
      </c>
      <c r="V45" s="44">
        <v>102039665</v>
      </c>
    </row>
    <row r="46" spans="1:22" x14ac:dyDescent="0.2">
      <c r="A46" t="str">
        <f t="shared" si="0"/>
        <v>CE31000</v>
      </c>
      <c r="B46" t="str">
        <f t="shared" si="1"/>
        <v>PE31000</v>
      </c>
      <c r="C46">
        <f>RTD("greekserver.rtdfunctions",,CONCATENATE($U46&amp;" "&amp;$C$1))</f>
        <v>105220</v>
      </c>
      <c r="D46">
        <f t="shared" si="2"/>
        <v>17000</v>
      </c>
      <c r="E46">
        <f>RTD("greekserver.rtdfunctions",,CONCATENATE(U46&amp;" "&amp;$E$1))</f>
        <v>239640</v>
      </c>
      <c r="F46" t="str">
        <f t="shared" ca="1" si="3"/>
        <v>undefined</v>
      </c>
      <c r="G46">
        <f>RTD("greekserver.rtdfunctions",,CONCATENATE(U46&amp;" "&amp;$G$1))/100</f>
        <v>316.8</v>
      </c>
      <c r="H46">
        <f>G46-RTD("greekserver.rtdfunctions",,CONCATENATE(U46&amp;" "&amp;$H$1))/100</f>
        <v>-228.05</v>
      </c>
      <c r="I46">
        <v>31000</v>
      </c>
      <c r="J46">
        <f>K46-RTD("greekserver.rtdfunctions",,CONCATENATE(V46&amp;" "&amp;$J$1))/100</f>
        <v>-3</v>
      </c>
      <c r="K46">
        <f>RTD("greekserver.rtdfunctions",,CONCATENATE(V46&amp;" "&amp;$K$1))/100</f>
        <v>4.4000000000000004</v>
      </c>
      <c r="L46" t="str">
        <f t="shared" ca="1" si="4"/>
        <v>error</v>
      </c>
      <c r="M46">
        <f>RTD("greekserver.rtdfunctions",,CONCATENATE(V46&amp;" "&amp;$M$1))</f>
        <v>7804060</v>
      </c>
      <c r="N46">
        <f t="shared" si="5"/>
        <v>1014820</v>
      </c>
      <c r="O46">
        <f>RTD("greekserver.rtdfunctions",,CONCATENATE(V46&amp;" "&amp;$O$1))</f>
        <v>1825420</v>
      </c>
      <c r="P46" s="42">
        <f t="shared" ca="1" si="6"/>
        <v>43874</v>
      </c>
      <c r="Q46" s="43">
        <f t="shared" ca="1" si="7"/>
        <v>43874.449634027776</v>
      </c>
      <c r="S46">
        <v>88220</v>
      </c>
      <c r="T46">
        <v>810600</v>
      </c>
      <c r="U46" s="44">
        <v>102039670</v>
      </c>
      <c r="V46" s="44">
        <v>102039671</v>
      </c>
    </row>
    <row r="47" spans="1:22" x14ac:dyDescent="0.2">
      <c r="A47" t="str">
        <f t="shared" si="0"/>
        <v>CE31100</v>
      </c>
      <c r="B47" t="str">
        <f t="shared" si="1"/>
        <v>PE31100</v>
      </c>
      <c r="C47">
        <f>RTD("greekserver.rtdfunctions",,CONCATENATE($U47&amp;" "&amp;$C$1))</f>
        <v>81000</v>
      </c>
      <c r="D47">
        <f t="shared" si="2"/>
        <v>50340</v>
      </c>
      <c r="E47">
        <f>RTD("greekserver.rtdfunctions",,CONCATENATE(U47&amp;" "&amp;$E$1))</f>
        <v>326060</v>
      </c>
      <c r="F47" t="str">
        <f t="shared" ca="1" si="3"/>
        <v>undefined</v>
      </c>
      <c r="G47">
        <f>RTD("greekserver.rtdfunctions",,CONCATENATE(U47&amp;" "&amp;$G$1))/100</f>
        <v>221.4</v>
      </c>
      <c r="H47">
        <f>G47-RTD("greekserver.rtdfunctions",,CONCATENATE(U47&amp;" "&amp;$H$1))/100</f>
        <v>-223.74999999999997</v>
      </c>
      <c r="I47">
        <v>31100</v>
      </c>
      <c r="J47">
        <f>K47-RTD("greekserver.rtdfunctions",,CONCATENATE(V47&amp;" "&amp;$J$1))/100</f>
        <v>0.54999999999999893</v>
      </c>
      <c r="K47">
        <f>RTD("greekserver.rtdfunctions",,CONCATENATE(V47&amp;" "&amp;$K$1))/100</f>
        <v>10.7</v>
      </c>
      <c r="L47" t="str">
        <f t="shared" ca="1" si="4"/>
        <v>error</v>
      </c>
      <c r="M47">
        <f>RTD("greekserver.rtdfunctions",,CONCATENATE(V47&amp;" "&amp;$M$1))</f>
        <v>9727800</v>
      </c>
      <c r="N47">
        <f t="shared" si="5"/>
        <v>1066860</v>
      </c>
      <c r="O47">
        <f>RTD("greekserver.rtdfunctions",,CONCATENATE(V47&amp;" "&amp;$O$1))</f>
        <v>1585560</v>
      </c>
      <c r="P47" s="42">
        <f t="shared" ca="1" si="6"/>
        <v>43874</v>
      </c>
      <c r="Q47" s="43">
        <f t="shared" ca="1" si="7"/>
        <v>43874.449634027776</v>
      </c>
      <c r="S47">
        <v>30660</v>
      </c>
      <c r="T47">
        <v>518700</v>
      </c>
      <c r="U47" s="44">
        <v>102039672</v>
      </c>
      <c r="V47" s="44">
        <v>102039673</v>
      </c>
    </row>
    <row r="48" spans="1:22" x14ac:dyDescent="0.2">
      <c r="A48" t="str">
        <f t="shared" si="0"/>
        <v>CE31200</v>
      </c>
      <c r="B48" t="str">
        <f t="shared" si="1"/>
        <v>PE31200</v>
      </c>
      <c r="C48">
        <f>RTD("greekserver.rtdfunctions",,CONCATENATE($U48&amp;" "&amp;$C$1))</f>
        <v>343720</v>
      </c>
      <c r="D48">
        <f t="shared" si="2"/>
        <v>212000</v>
      </c>
      <c r="E48">
        <f>RTD("greekserver.rtdfunctions",,CONCATENATE(U48&amp;" "&amp;$E$1))</f>
        <v>2180940</v>
      </c>
      <c r="F48" t="str">
        <f t="shared" ca="1" si="3"/>
        <v>error</v>
      </c>
      <c r="G48">
        <f>RTD("greekserver.rtdfunctions",,CONCATENATE(U48&amp;" "&amp;$G$1))/100</f>
        <v>137.75</v>
      </c>
      <c r="H48">
        <f>G48-RTD("greekserver.rtdfunctions",,CONCATENATE(U48&amp;" "&amp;$H$1))/100</f>
        <v>-212.7</v>
      </c>
      <c r="I48">
        <v>31200</v>
      </c>
      <c r="J48">
        <f>K48-RTD("greekserver.rtdfunctions",,CONCATENATE(V48&amp;" "&amp;$J$1))/100</f>
        <v>10.600000000000001</v>
      </c>
      <c r="K48">
        <f>RTD("greekserver.rtdfunctions",,CONCATENATE(V48&amp;" "&amp;$K$1))/100</f>
        <v>28</v>
      </c>
      <c r="L48" t="str">
        <f t="shared" ca="1" si="4"/>
        <v>error</v>
      </c>
      <c r="M48">
        <f>RTD("greekserver.rtdfunctions",,CONCATENATE(V48&amp;" "&amp;$M$1))</f>
        <v>13074940</v>
      </c>
      <c r="N48">
        <f t="shared" si="5"/>
        <v>985100</v>
      </c>
      <c r="O48">
        <f>RTD("greekserver.rtdfunctions",,CONCATENATE(V48&amp;" "&amp;$O$1))</f>
        <v>1511040</v>
      </c>
      <c r="P48" s="42">
        <f t="shared" ca="1" si="6"/>
        <v>43874</v>
      </c>
      <c r="Q48" s="43">
        <f t="shared" ca="1" si="7"/>
        <v>43874.449634027776</v>
      </c>
      <c r="S48">
        <v>131720</v>
      </c>
      <c r="T48">
        <v>525940</v>
      </c>
      <c r="U48" s="44">
        <v>102039674</v>
      </c>
      <c r="V48" s="44">
        <v>102039675</v>
      </c>
    </row>
    <row r="49" spans="1:22" x14ac:dyDescent="0.2">
      <c r="A49" t="str">
        <f t="shared" si="0"/>
        <v>CE31300</v>
      </c>
      <c r="B49" t="str">
        <f t="shared" si="1"/>
        <v>PE31300</v>
      </c>
      <c r="C49">
        <f>RTD("greekserver.rtdfunctions",,CONCATENATE($U49&amp;" "&amp;$C$1))</f>
        <v>839700</v>
      </c>
      <c r="D49">
        <f t="shared" si="2"/>
        <v>723760</v>
      </c>
      <c r="E49">
        <f>RTD("greekserver.rtdfunctions",,CONCATENATE(U49&amp;" "&amp;$E$1))</f>
        <v>5165400</v>
      </c>
      <c r="F49" t="str">
        <f t="shared" ca="1" si="3"/>
        <v>error</v>
      </c>
      <c r="G49">
        <f>RTD("greekserver.rtdfunctions",,CONCATENATE(U49&amp;" "&amp;$G$1))/100</f>
        <v>74</v>
      </c>
      <c r="H49">
        <f>G49-RTD("greekserver.rtdfunctions",,CONCATENATE(U49&amp;" "&amp;$H$1))/100</f>
        <v>-191.55</v>
      </c>
      <c r="I49">
        <v>31300</v>
      </c>
      <c r="J49">
        <f>K49-RTD("greekserver.rtdfunctions",,CONCATENATE(V49&amp;" "&amp;$J$1))/100</f>
        <v>33.649999999999991</v>
      </c>
      <c r="K49">
        <f>RTD("greekserver.rtdfunctions",,CONCATENATE(V49&amp;" "&amp;$K$1))/100</f>
        <v>64.599999999999994</v>
      </c>
      <c r="L49" t="str">
        <f t="shared" ca="1" si="4"/>
        <v>error</v>
      </c>
      <c r="M49">
        <f>RTD("greekserver.rtdfunctions",,CONCATENATE(V49&amp;" "&amp;$M$1))</f>
        <v>13745240</v>
      </c>
      <c r="N49">
        <f t="shared" si="5"/>
        <v>493300</v>
      </c>
      <c r="O49">
        <f>RTD("greekserver.rtdfunctions",,CONCATENATE(V49&amp;" "&amp;$O$1))</f>
        <v>1143800</v>
      </c>
      <c r="P49" s="42">
        <f t="shared" ca="1" si="6"/>
        <v>43874</v>
      </c>
      <c r="Q49" s="43">
        <f t="shared" ca="1" si="7"/>
        <v>43874.449634027776</v>
      </c>
      <c r="S49">
        <v>115940</v>
      </c>
      <c r="T49">
        <v>650500</v>
      </c>
      <c r="U49" s="44">
        <v>102039678</v>
      </c>
      <c r="V49" s="44">
        <v>102039679</v>
      </c>
    </row>
    <row r="50" spans="1:22" x14ac:dyDescent="0.2">
      <c r="A50" t="str">
        <f t="shared" si="0"/>
        <v>CE31400</v>
      </c>
      <c r="B50" t="str">
        <f t="shared" si="1"/>
        <v>PE31400</v>
      </c>
      <c r="C50">
        <f>RTD("greekserver.rtdfunctions",,CONCATENATE($U50&amp;" "&amp;$C$1))</f>
        <v>1597820</v>
      </c>
      <c r="D50">
        <f t="shared" si="2"/>
        <v>1413520</v>
      </c>
      <c r="E50">
        <f>RTD("greekserver.rtdfunctions",,CONCATENATE(U50&amp;" "&amp;$E$1))</f>
        <v>11568920</v>
      </c>
      <c r="F50" t="str">
        <f t="shared" ca="1" si="3"/>
        <v>error</v>
      </c>
      <c r="G50">
        <f>RTD("greekserver.rtdfunctions",,CONCATENATE(U50&amp;" "&amp;$G$1))/100</f>
        <v>34.4</v>
      </c>
      <c r="H50">
        <f>G50-RTD("greekserver.rtdfunctions",,CONCATENATE(U50&amp;" "&amp;$H$1))/100</f>
        <v>-154.6</v>
      </c>
      <c r="I50">
        <v>31400</v>
      </c>
      <c r="J50">
        <f>K50-RTD("greekserver.rtdfunctions",,CONCATENATE(V50&amp;" "&amp;$J$1))/100</f>
        <v>71.149999999999991</v>
      </c>
      <c r="K50">
        <f>RTD("greekserver.rtdfunctions",,CONCATENATE(V50&amp;" "&amp;$K$1))/100</f>
        <v>125.1</v>
      </c>
      <c r="L50" t="str">
        <f t="shared" ca="1" si="4"/>
        <v>error</v>
      </c>
      <c r="M50">
        <f>RTD("greekserver.rtdfunctions",,CONCATENATE(V50&amp;" "&amp;$M$1))</f>
        <v>9810960</v>
      </c>
      <c r="N50">
        <f t="shared" si="5"/>
        <v>79500</v>
      </c>
      <c r="O50">
        <f>RTD("greekserver.rtdfunctions",,CONCATENATE(V50&amp;" "&amp;$O$1))</f>
        <v>635720</v>
      </c>
      <c r="P50" s="42">
        <f t="shared" ca="1" si="6"/>
        <v>43874</v>
      </c>
      <c r="Q50" s="43">
        <f t="shared" ca="1" si="7"/>
        <v>43874.449634027776</v>
      </c>
      <c r="S50">
        <v>184300</v>
      </c>
      <c r="T50">
        <v>556220</v>
      </c>
      <c r="U50" s="44">
        <v>102039684</v>
      </c>
      <c r="V50" s="44">
        <v>102039685</v>
      </c>
    </row>
    <row r="51" spans="1:22" x14ac:dyDescent="0.2">
      <c r="A51" t="str">
        <f t="shared" si="0"/>
        <v>CE31500</v>
      </c>
      <c r="B51" t="str">
        <f t="shared" si="1"/>
        <v>PE31500</v>
      </c>
      <c r="C51">
        <f>RTD("greekserver.rtdfunctions",,CONCATENATE($U51&amp;" "&amp;$C$1))</f>
        <v>2934800</v>
      </c>
      <c r="D51">
        <f t="shared" si="2"/>
        <v>2156260</v>
      </c>
      <c r="E51">
        <f>RTD("greekserver.rtdfunctions",,CONCATENATE(U51&amp;" "&amp;$E$1))</f>
        <v>16311560</v>
      </c>
      <c r="F51" t="str">
        <f t="shared" ca="1" si="3"/>
        <v>error</v>
      </c>
      <c r="G51">
        <f>RTD("greekserver.rtdfunctions",,CONCATENATE(U51&amp;" "&amp;$G$1))/100</f>
        <v>14.85</v>
      </c>
      <c r="H51">
        <f>G51-RTD("greekserver.rtdfunctions",,CONCATENATE(U51&amp;" "&amp;$H$1))/100</f>
        <v>-111.60000000000001</v>
      </c>
      <c r="I51">
        <v>31500</v>
      </c>
      <c r="J51">
        <f>K51-RTD("greekserver.rtdfunctions",,CONCATENATE(V51&amp;" "&amp;$J$1))/100</f>
        <v>115.85</v>
      </c>
      <c r="K51">
        <f>RTD("greekserver.rtdfunctions",,CONCATENATE(V51&amp;" "&amp;$K$1))/100</f>
        <v>206</v>
      </c>
      <c r="L51" t="str">
        <f t="shared" ca="1" si="4"/>
        <v>error</v>
      </c>
      <c r="M51">
        <f>RTD("greekserver.rtdfunctions",,CONCATENATE(V51&amp;" "&amp;$M$1))</f>
        <v>5449280</v>
      </c>
      <c r="N51">
        <f t="shared" si="5"/>
        <v>-197460</v>
      </c>
      <c r="O51">
        <f>RTD("greekserver.rtdfunctions",,CONCATENATE(V51&amp;" "&amp;$O$1))</f>
        <v>433020</v>
      </c>
      <c r="P51" s="42">
        <f t="shared" ca="1" si="6"/>
        <v>43874</v>
      </c>
      <c r="Q51" s="43">
        <f t="shared" ca="1" si="7"/>
        <v>43874.449634027776</v>
      </c>
      <c r="S51">
        <v>778540</v>
      </c>
      <c r="T51">
        <v>630480</v>
      </c>
      <c r="U51" s="44">
        <v>102039696</v>
      </c>
      <c r="V51" s="44">
        <v>102039697</v>
      </c>
    </row>
    <row r="52" spans="1:22" x14ac:dyDescent="0.2">
      <c r="A52" t="str">
        <f t="shared" si="0"/>
        <v>CE31600</v>
      </c>
      <c r="B52" t="str">
        <f t="shared" si="1"/>
        <v>PE31600</v>
      </c>
      <c r="C52">
        <f>RTD("greekserver.rtdfunctions",,CONCATENATE($U52&amp;" "&amp;$C$1))</f>
        <v>1886840</v>
      </c>
      <c r="D52">
        <f t="shared" si="2"/>
        <v>1267180</v>
      </c>
      <c r="E52">
        <f>RTD("greekserver.rtdfunctions",,CONCATENATE(U52&amp;" "&amp;$E$1))</f>
        <v>12107580</v>
      </c>
      <c r="F52" t="str">
        <f t="shared" ca="1" si="3"/>
        <v>error</v>
      </c>
      <c r="G52">
        <f>RTD("greekserver.rtdfunctions",,CONCATENATE(U52&amp;" "&amp;$G$1))/100</f>
        <v>5.8</v>
      </c>
      <c r="H52">
        <f>G52-RTD("greekserver.rtdfunctions",,CONCATENATE(U52&amp;" "&amp;$H$1))/100</f>
        <v>-72.650000000000006</v>
      </c>
      <c r="I52">
        <v>31600</v>
      </c>
      <c r="J52">
        <f>K52-RTD("greekserver.rtdfunctions",,CONCATENATE(V52&amp;" "&amp;$J$1))/100</f>
        <v>153.9</v>
      </c>
      <c r="K52">
        <f>RTD("greekserver.rtdfunctions",,CONCATENATE(V52&amp;" "&amp;$K$1))/100</f>
        <v>296</v>
      </c>
      <c r="L52" t="str">
        <f t="shared" ca="1" si="4"/>
        <v>error</v>
      </c>
      <c r="M52">
        <f>RTD("greekserver.rtdfunctions",,CONCATENATE(V52&amp;" "&amp;$M$1))</f>
        <v>1547640</v>
      </c>
      <c r="N52">
        <f t="shared" si="5"/>
        <v>10040</v>
      </c>
      <c r="O52">
        <f>RTD("greekserver.rtdfunctions",,CONCATENATE(V52&amp;" "&amp;$O$1))</f>
        <v>104280</v>
      </c>
      <c r="P52" s="42">
        <f t="shared" ca="1" si="6"/>
        <v>43874</v>
      </c>
      <c r="Q52" s="43">
        <f t="shared" ca="1" si="7"/>
        <v>43874.449634027776</v>
      </c>
      <c r="S52">
        <v>619660</v>
      </c>
      <c r="T52">
        <v>94240</v>
      </c>
      <c r="U52" s="44">
        <v>102039704</v>
      </c>
      <c r="V52" s="44">
        <v>102039705</v>
      </c>
    </row>
    <row r="53" spans="1:22" x14ac:dyDescent="0.2">
      <c r="A53" t="str">
        <f t="shared" si="0"/>
        <v>CE31700</v>
      </c>
      <c r="B53" t="str">
        <f t="shared" si="1"/>
        <v>PE31700</v>
      </c>
      <c r="C53">
        <f>RTD("greekserver.rtdfunctions",,CONCATENATE($U53&amp;" "&amp;$C$1))</f>
        <v>1377700</v>
      </c>
      <c r="D53">
        <f t="shared" si="2"/>
        <v>742440</v>
      </c>
      <c r="E53">
        <f>RTD("greekserver.rtdfunctions",,CONCATENATE(U53&amp;" "&amp;$E$1))</f>
        <v>9640640</v>
      </c>
      <c r="F53" t="str">
        <f t="shared" ca="1" si="3"/>
        <v>error</v>
      </c>
      <c r="G53">
        <f>RTD("greekserver.rtdfunctions",,CONCATENATE(U53&amp;" "&amp;$G$1))/100</f>
        <v>2.7</v>
      </c>
      <c r="H53">
        <f>G53-RTD("greekserver.rtdfunctions",,CONCATENATE(U53&amp;" "&amp;$H$1))/100</f>
        <v>-41.75</v>
      </c>
      <c r="I53">
        <v>31700</v>
      </c>
      <c r="J53">
        <f>K53-RTD("greekserver.rtdfunctions",,CONCATENATE(V53&amp;" "&amp;$J$1))/100</f>
        <v>182.6</v>
      </c>
      <c r="K53">
        <f>RTD("greekserver.rtdfunctions",,CONCATENATE(V53&amp;" "&amp;$K$1))/100</f>
        <v>392</v>
      </c>
      <c r="L53" t="str">
        <f t="shared" ca="1" si="4"/>
        <v>error</v>
      </c>
      <c r="M53">
        <f>RTD("greekserver.rtdfunctions",,CONCATENATE(V53&amp;" "&amp;$M$1))</f>
        <v>630820</v>
      </c>
      <c r="N53">
        <f t="shared" si="5"/>
        <v>-6840</v>
      </c>
      <c r="O53">
        <f>RTD("greekserver.rtdfunctions",,CONCATENATE(V53&amp;" "&amp;$O$1))</f>
        <v>42920</v>
      </c>
      <c r="P53" s="42">
        <f t="shared" ca="1" si="6"/>
        <v>43874</v>
      </c>
      <c r="Q53" s="43">
        <f t="shared" ca="1" si="7"/>
        <v>43874.449634027776</v>
      </c>
      <c r="S53">
        <v>635260</v>
      </c>
      <c r="T53">
        <v>49760</v>
      </c>
      <c r="U53" s="44">
        <v>102039716</v>
      </c>
      <c r="V53" s="44">
        <v>102039717</v>
      </c>
    </row>
    <row r="54" spans="1:22" x14ac:dyDescent="0.2">
      <c r="A54" t="str">
        <f t="shared" si="0"/>
        <v>CE31800</v>
      </c>
      <c r="B54" t="str">
        <f t="shared" si="1"/>
        <v>PE31800</v>
      </c>
      <c r="C54">
        <f>RTD("greekserver.rtdfunctions",,CONCATENATE($U54&amp;" "&amp;$C$1))</f>
        <v>1038720</v>
      </c>
      <c r="D54">
        <f t="shared" si="2"/>
        <v>453340</v>
      </c>
      <c r="E54">
        <f>RTD("greekserver.rtdfunctions",,CONCATENATE(U54&amp;" "&amp;$E$1))</f>
        <v>7089360</v>
      </c>
      <c r="F54" t="str">
        <f t="shared" ca="1" si="3"/>
        <v>error</v>
      </c>
      <c r="G54">
        <f>RTD("greekserver.rtdfunctions",,CONCATENATE(U54&amp;" "&amp;$G$1))/100</f>
        <v>1.35</v>
      </c>
      <c r="H54">
        <f>G54-RTD("greekserver.rtdfunctions",,CONCATENATE(U54&amp;" "&amp;$H$1))/100</f>
        <v>-22.15</v>
      </c>
      <c r="I54">
        <v>31800</v>
      </c>
      <c r="J54">
        <f>K54-RTD("greekserver.rtdfunctions",,CONCATENATE(V54&amp;" "&amp;$J$1))/100</f>
        <v>206.5</v>
      </c>
      <c r="K54">
        <f>RTD("greekserver.rtdfunctions",,CONCATENATE(V54&amp;" "&amp;$K$1))/100</f>
        <v>491.85</v>
      </c>
      <c r="L54" t="str">
        <f t="shared" ca="1" si="4"/>
        <v>error</v>
      </c>
      <c r="M54">
        <f>RTD("greekserver.rtdfunctions",,CONCATENATE(V54&amp;" "&amp;$M$1))</f>
        <v>234980</v>
      </c>
      <c r="N54">
        <f t="shared" si="5"/>
        <v>1780</v>
      </c>
      <c r="O54">
        <f>RTD("greekserver.rtdfunctions",,CONCATENATE(V54&amp;" "&amp;$O$1))</f>
        <v>16760</v>
      </c>
      <c r="P54" s="42">
        <f t="shared" ca="1" si="6"/>
        <v>43874</v>
      </c>
      <c r="Q54" s="43">
        <f t="shared" ca="1" si="7"/>
        <v>43874.449634027776</v>
      </c>
      <c r="S54">
        <v>585380</v>
      </c>
      <c r="T54">
        <v>14980</v>
      </c>
      <c r="U54" s="44">
        <v>102039718</v>
      </c>
      <c r="V54" s="44">
        <v>102039719</v>
      </c>
    </row>
    <row r="55" spans="1:22" x14ac:dyDescent="0.2">
      <c r="A55" t="str">
        <f t="shared" si="0"/>
        <v>CE31900</v>
      </c>
      <c r="B55" t="str">
        <f t="shared" si="1"/>
        <v>PE31900</v>
      </c>
      <c r="C55">
        <f>RTD("greekserver.rtdfunctions",,CONCATENATE($U55&amp;" "&amp;$C$1))</f>
        <v>668320</v>
      </c>
      <c r="D55">
        <f t="shared" si="2"/>
        <v>156520</v>
      </c>
      <c r="E55">
        <f>RTD("greekserver.rtdfunctions",,CONCATENATE(U55&amp;" "&amp;$E$1))</f>
        <v>23491680</v>
      </c>
      <c r="F55" t="str">
        <f t="shared" ca="1" si="3"/>
        <v>error</v>
      </c>
      <c r="G55">
        <f>RTD("greekserver.rtdfunctions",,CONCATENATE(U55&amp;" "&amp;$G$1))/100</f>
        <v>0.9</v>
      </c>
      <c r="H55">
        <f>G55-RTD("greekserver.rtdfunctions",,CONCATENATE(U55&amp;" "&amp;$H$1))/100</f>
        <v>-10.199999999999999</v>
      </c>
      <c r="I55">
        <v>31900</v>
      </c>
      <c r="J55">
        <f>K55-RTD("greekserver.rtdfunctions",,CONCATENATE(V55&amp;" "&amp;$J$1))/100</f>
        <v>209.3</v>
      </c>
      <c r="K55">
        <f>RTD("greekserver.rtdfunctions",,CONCATENATE(V55&amp;" "&amp;$K$1))/100</f>
        <v>586</v>
      </c>
      <c r="L55" t="str">
        <f t="shared" ca="1" si="4"/>
        <v>error</v>
      </c>
      <c r="M55">
        <f>RTD("greekserver.rtdfunctions",,CONCATENATE(V55&amp;" "&amp;$M$1))</f>
        <v>49560</v>
      </c>
      <c r="N55">
        <f t="shared" si="5"/>
        <v>1600</v>
      </c>
      <c r="O55">
        <f>RTD("greekserver.rtdfunctions",,CONCATENATE(V55&amp;" "&amp;$O$1))</f>
        <v>7140</v>
      </c>
      <c r="P55" s="42">
        <f t="shared" ca="1" si="6"/>
        <v>43874</v>
      </c>
      <c r="Q55" s="43">
        <f t="shared" ca="1" si="7"/>
        <v>43874.449634027776</v>
      </c>
      <c r="S55">
        <v>511800</v>
      </c>
      <c r="T55">
        <v>5540</v>
      </c>
      <c r="U55" s="44">
        <v>102039720</v>
      </c>
      <c r="V55" s="44">
        <v>102039721</v>
      </c>
    </row>
    <row r="56" spans="1:22" x14ac:dyDescent="0.2">
      <c r="A56" t="str">
        <f t="shared" si="0"/>
        <v>CE32000</v>
      </c>
      <c r="B56" t="str">
        <f t="shared" si="1"/>
        <v>PE32000</v>
      </c>
      <c r="C56">
        <f>RTD("greekserver.rtdfunctions",,CONCATENATE($U56&amp;" "&amp;$C$1))</f>
        <v>725060</v>
      </c>
      <c r="D56">
        <f t="shared" si="2"/>
        <v>113400</v>
      </c>
      <c r="E56">
        <f>RTD("greekserver.rtdfunctions",,CONCATENATE(U56&amp;" "&amp;$E$1))</f>
        <v>5606560</v>
      </c>
      <c r="F56" t="str">
        <f t="shared" ca="1" si="3"/>
        <v>error</v>
      </c>
      <c r="G56">
        <f>RTD("greekserver.rtdfunctions",,CONCATENATE(U56&amp;" "&amp;$G$1))/100</f>
        <v>0.6</v>
      </c>
      <c r="H56">
        <f>G56-RTD("greekserver.rtdfunctions",,CONCATENATE(U56&amp;" "&amp;$H$1))/100</f>
        <v>-5.4</v>
      </c>
      <c r="I56">
        <v>32000</v>
      </c>
      <c r="J56">
        <f>K56-RTD("greekserver.rtdfunctions",,CONCATENATE(V56&amp;" "&amp;$J$1))/100</f>
        <v>225</v>
      </c>
      <c r="K56">
        <f>RTD("greekserver.rtdfunctions",,CONCATENATE(V56&amp;" "&amp;$K$1))/100</f>
        <v>695.5</v>
      </c>
      <c r="L56" t="str">
        <f t="shared" ca="1" si="4"/>
        <v>error</v>
      </c>
      <c r="M56">
        <f>RTD("greekserver.rtdfunctions",,CONCATENATE(V56&amp;" "&amp;$M$1))</f>
        <v>31940</v>
      </c>
      <c r="N56">
        <f t="shared" si="5"/>
        <v>-2060</v>
      </c>
      <c r="O56">
        <f>RTD("greekserver.rtdfunctions",,CONCATENATE(V56&amp;" "&amp;$O$1))</f>
        <v>10060</v>
      </c>
      <c r="P56" s="42">
        <f t="shared" ca="1" si="6"/>
        <v>43874</v>
      </c>
      <c r="Q56" s="43">
        <f t="shared" ca="1" si="7"/>
        <v>43874.449634027776</v>
      </c>
      <c r="S56">
        <v>611660</v>
      </c>
      <c r="T56">
        <v>12120</v>
      </c>
      <c r="U56" s="44">
        <v>102039726</v>
      </c>
      <c r="V56" s="44">
        <v>102039727</v>
      </c>
    </row>
    <row r="57" spans="1:22" x14ac:dyDescent="0.2">
      <c r="A57" t="str">
        <f t="shared" si="0"/>
        <v>CE32100</v>
      </c>
      <c r="B57" t="str">
        <f t="shared" si="1"/>
        <v>PE32100</v>
      </c>
      <c r="C57">
        <f>RTD("greekserver.rtdfunctions",,CONCATENATE($U57&amp;" "&amp;$C$1))</f>
        <v>139580</v>
      </c>
      <c r="D57">
        <f t="shared" si="2"/>
        <v>-10900</v>
      </c>
      <c r="E57">
        <f>RTD("greekserver.rtdfunctions",,CONCATENATE(U57&amp;" "&amp;$E$1))</f>
        <v>609980</v>
      </c>
      <c r="F57" t="str">
        <f t="shared" ca="1" si="3"/>
        <v>error</v>
      </c>
      <c r="G57">
        <f>RTD("greekserver.rtdfunctions",,CONCATENATE(U57&amp;" "&amp;$G$1))/100</f>
        <v>0.45</v>
      </c>
      <c r="H57">
        <f>G57-RTD("greekserver.rtdfunctions",,CONCATENATE(U57&amp;" "&amp;$H$1))/100</f>
        <v>-2.6999999999999997</v>
      </c>
      <c r="I57">
        <v>32100</v>
      </c>
      <c r="J57">
        <f>K57-RTD("greekserver.rtdfunctions",,CONCATENATE(V57&amp;" "&amp;$J$1))/100</f>
        <v>225.54999999999995</v>
      </c>
      <c r="K57">
        <f>RTD("greekserver.rtdfunctions",,CONCATENATE(V57&amp;" "&amp;$K$1))/100</f>
        <v>800.55</v>
      </c>
      <c r="L57" t="str">
        <f t="shared" ca="1" si="4"/>
        <v>error</v>
      </c>
      <c r="M57">
        <f>RTD("greekserver.rtdfunctions",,CONCATENATE(V57&amp;" "&amp;$M$1))</f>
        <v>340</v>
      </c>
      <c r="N57">
        <f t="shared" si="5"/>
        <v>80</v>
      </c>
      <c r="O57">
        <f>RTD("greekserver.rtdfunctions",,CONCATENATE(V57&amp;" "&amp;$O$1))</f>
        <v>320</v>
      </c>
      <c r="P57" s="42">
        <f t="shared" ca="1" si="6"/>
        <v>43874</v>
      </c>
      <c r="Q57" s="43">
        <f t="shared" ca="1" si="7"/>
        <v>43874.449634027776</v>
      </c>
      <c r="S57">
        <v>150480</v>
      </c>
      <c r="T57">
        <v>240</v>
      </c>
      <c r="U57" s="44">
        <v>102039728</v>
      </c>
      <c r="V57" s="44">
        <v>102039729</v>
      </c>
    </row>
    <row r="58" spans="1:22" x14ac:dyDescent="0.2">
      <c r="A58" t="str">
        <f t="shared" si="0"/>
        <v>CE32200</v>
      </c>
      <c r="B58" t="str">
        <f t="shared" si="1"/>
        <v>PE32200</v>
      </c>
      <c r="C58">
        <f>RTD("greekserver.rtdfunctions",,CONCATENATE($U58&amp;" "&amp;$C$1))</f>
        <v>84700</v>
      </c>
      <c r="D58">
        <f t="shared" si="2"/>
        <v>-63920</v>
      </c>
      <c r="E58">
        <f>RTD("greekserver.rtdfunctions",,CONCATENATE(U58&amp;" "&amp;$E$1))</f>
        <v>304360</v>
      </c>
      <c r="F58" t="str">
        <f t="shared" ca="1" si="3"/>
        <v>error</v>
      </c>
      <c r="G58">
        <f>RTD("greekserver.rtdfunctions",,CONCATENATE(U58&amp;" "&amp;$G$1))/100</f>
        <v>0.45</v>
      </c>
      <c r="H58">
        <f>G58-RTD("greekserver.rtdfunctions",,CONCATENATE(U58&amp;" "&amp;$H$1))/100</f>
        <v>-1.9000000000000001</v>
      </c>
      <c r="I58">
        <v>32200</v>
      </c>
      <c r="J58">
        <f>K58-RTD("greekserver.rtdfunctions",,CONCATENATE(V58&amp;" "&amp;$J$1))/100</f>
        <v>224.35000000000002</v>
      </c>
      <c r="K58">
        <f>RTD("greekserver.rtdfunctions",,CONCATENATE(V58&amp;" "&amp;$K$1))/100</f>
        <v>897</v>
      </c>
      <c r="L58" t="str">
        <f t="shared" ca="1" si="4"/>
        <v>error</v>
      </c>
      <c r="M58">
        <f>RTD("greekserver.rtdfunctions",,CONCATENATE(V58&amp;" "&amp;$M$1))</f>
        <v>260</v>
      </c>
      <c r="N58">
        <f t="shared" si="5"/>
        <v>0</v>
      </c>
      <c r="O58">
        <f>RTD("greekserver.rtdfunctions",,CONCATENATE(V58&amp;" "&amp;$O$1))</f>
        <v>1420</v>
      </c>
      <c r="P58" s="42">
        <f t="shared" ca="1" si="6"/>
        <v>43874</v>
      </c>
      <c r="Q58" s="43">
        <f t="shared" ca="1" si="7"/>
        <v>43874.449634027776</v>
      </c>
      <c r="S58">
        <v>148620</v>
      </c>
      <c r="T58">
        <v>1420</v>
      </c>
      <c r="U58" s="44">
        <v>102039731</v>
      </c>
      <c r="V58" s="44">
        <v>102039733</v>
      </c>
    </row>
    <row r="59" spans="1:22" x14ac:dyDescent="0.2">
      <c r="A59" t="str">
        <f t="shared" si="0"/>
        <v>CE32300</v>
      </c>
      <c r="B59" t="str">
        <f t="shared" si="1"/>
        <v>PE32300</v>
      </c>
      <c r="C59">
        <f>RTD("greekserver.rtdfunctions",,CONCATENATE($U59&amp;" "&amp;$C$1))</f>
        <v>43160</v>
      </c>
      <c r="D59">
        <f t="shared" si="2"/>
        <v>-4700</v>
      </c>
      <c r="E59">
        <f>RTD("greekserver.rtdfunctions",,CONCATENATE(U59&amp;" "&amp;$E$1))</f>
        <v>72220</v>
      </c>
      <c r="F59" t="str">
        <f t="shared" ca="1" si="3"/>
        <v>error</v>
      </c>
      <c r="G59">
        <f>RTD("greekserver.rtdfunctions",,CONCATENATE(U59&amp;" "&amp;$G$1))/100</f>
        <v>0.35</v>
      </c>
      <c r="H59">
        <f>G59-RTD("greekserver.rtdfunctions",,CONCATENATE(U59&amp;" "&amp;$H$1))/100</f>
        <v>-1.25</v>
      </c>
      <c r="I59">
        <v>32300</v>
      </c>
      <c r="J59">
        <f>K59-RTD("greekserver.rtdfunctions",,CONCATENATE(V59&amp;" "&amp;$J$1))/100</f>
        <v>132.60000000000002</v>
      </c>
      <c r="K59">
        <f>RTD("greekserver.rtdfunctions",,CONCATENATE(V59&amp;" "&amp;$K$1))/100</f>
        <v>907.6</v>
      </c>
      <c r="L59" t="str">
        <f t="shared" ca="1" si="4"/>
        <v>undefined</v>
      </c>
      <c r="M59">
        <f>RTD("greekserver.rtdfunctions",,CONCATENATE(V59&amp;" "&amp;$M$1))</f>
        <v>140</v>
      </c>
      <c r="N59">
        <f t="shared" si="5"/>
        <v>60</v>
      </c>
      <c r="O59">
        <f>RTD("greekserver.rtdfunctions",,CONCATENATE(V59&amp;" "&amp;$O$1))</f>
        <v>460</v>
      </c>
      <c r="P59" s="42">
        <f t="shared" ca="1" si="6"/>
        <v>43874</v>
      </c>
      <c r="Q59" s="43">
        <f t="shared" ca="1" si="7"/>
        <v>43874.449634027776</v>
      </c>
      <c r="S59">
        <v>47860</v>
      </c>
      <c r="T59">
        <v>400</v>
      </c>
      <c r="U59" s="44">
        <v>102039734</v>
      </c>
      <c r="V59" s="44">
        <v>102039735</v>
      </c>
    </row>
    <row r="60" spans="1:22" x14ac:dyDescent="0.2">
      <c r="A60" t="str">
        <f t="shared" si="0"/>
        <v>CE32400</v>
      </c>
      <c r="B60" t="str">
        <f t="shared" si="1"/>
        <v>PE32400</v>
      </c>
      <c r="C60">
        <f>RTD("greekserver.rtdfunctions",,CONCATENATE($U60&amp;" "&amp;$C$1))</f>
        <v>11320</v>
      </c>
      <c r="D60">
        <f t="shared" si="2"/>
        <v>-3700</v>
      </c>
      <c r="E60">
        <f>RTD("greekserver.rtdfunctions",,CONCATENATE(U60&amp;" "&amp;$E$1))</f>
        <v>19380</v>
      </c>
      <c r="F60" t="str">
        <f t="shared" ca="1" si="3"/>
        <v>error</v>
      </c>
      <c r="G60">
        <f>RTD("greekserver.rtdfunctions",,CONCATENATE(U60&amp;" "&amp;$G$1))/100</f>
        <v>0.35</v>
      </c>
      <c r="H60">
        <f>G60-RTD("greekserver.rtdfunctions",,CONCATENATE(U60&amp;" "&amp;$H$1))/100</f>
        <v>-0.85</v>
      </c>
      <c r="I60">
        <v>32400</v>
      </c>
      <c r="J60">
        <f>K60-RTD("greekserver.rtdfunctions",,CONCATENATE(V60&amp;" "&amp;$J$1))/100</f>
        <v>112.89999999999998</v>
      </c>
      <c r="K60">
        <f>RTD("greekserver.rtdfunctions",,CONCATENATE(V60&amp;" "&amp;$K$1))/100</f>
        <v>990.4</v>
      </c>
      <c r="L60" t="str">
        <f t="shared" ca="1" si="4"/>
        <v>undefined</v>
      </c>
      <c r="M60">
        <f>RTD("greekserver.rtdfunctions",,CONCATENATE(V60&amp;" "&amp;$M$1))</f>
        <v>20</v>
      </c>
      <c r="N60">
        <f t="shared" si="5"/>
        <v>0</v>
      </c>
      <c r="O60">
        <f>RTD("greekserver.rtdfunctions",,CONCATENATE(V60&amp;" "&amp;$O$1))</f>
        <v>220</v>
      </c>
      <c r="P60" s="42">
        <f t="shared" ca="1" si="6"/>
        <v>43874</v>
      </c>
      <c r="Q60" s="43">
        <f t="shared" ca="1" si="7"/>
        <v>43874.449634027776</v>
      </c>
      <c r="S60">
        <v>15020</v>
      </c>
      <c r="T60">
        <v>220</v>
      </c>
      <c r="U60" s="44">
        <v>102039736</v>
      </c>
      <c r="V60" s="44">
        <v>102039737</v>
      </c>
    </row>
    <row r="61" spans="1:22" x14ac:dyDescent="0.2">
      <c r="A61" t="str">
        <f t="shared" si="0"/>
        <v>CE32500</v>
      </c>
      <c r="B61" t="str">
        <f t="shared" si="1"/>
        <v>PE32500</v>
      </c>
      <c r="C61">
        <f>RTD("greekserver.rtdfunctions",,CONCATENATE($U61&amp;" "&amp;$C$1))</f>
        <v>102760</v>
      </c>
      <c r="D61">
        <f t="shared" si="2"/>
        <v>-3160</v>
      </c>
      <c r="E61">
        <f>RTD("greekserver.rtdfunctions",,CONCATENATE(U61&amp;" "&amp;$E$1))</f>
        <v>67280</v>
      </c>
      <c r="F61" t="str">
        <f t="shared" ca="1" si="3"/>
        <v>error</v>
      </c>
      <c r="G61">
        <f>RTD("greekserver.rtdfunctions",,CONCATENATE(U61&amp;" "&amp;$G$1))/100</f>
        <v>0.3</v>
      </c>
      <c r="H61">
        <f>G61-RTD("greekserver.rtdfunctions",,CONCATENATE(U61&amp;" "&amp;$H$1))/100</f>
        <v>-1.05</v>
      </c>
      <c r="I61">
        <v>32500</v>
      </c>
      <c r="J61">
        <f>K61-RTD("greekserver.rtdfunctions",,CONCATENATE(V61&amp;" "&amp;$J$1))/100</f>
        <v>209.30000000000007</v>
      </c>
      <c r="K61">
        <f>RTD("greekserver.rtdfunctions",,CONCATENATE(V61&amp;" "&amp;$K$1))/100</f>
        <v>1184.45</v>
      </c>
      <c r="L61" t="str">
        <f t="shared" ca="1" si="4"/>
        <v>error</v>
      </c>
      <c r="M61">
        <f>RTD("greekserver.rtdfunctions",,CONCATENATE(V61&amp;" "&amp;$M$1))</f>
        <v>420</v>
      </c>
      <c r="N61">
        <f t="shared" si="5"/>
        <v>-180</v>
      </c>
      <c r="O61">
        <f>RTD("greekserver.rtdfunctions",,CONCATENATE(V61&amp;" "&amp;$O$1))</f>
        <v>3760</v>
      </c>
      <c r="P61" s="42">
        <f t="shared" ca="1" si="6"/>
        <v>43874</v>
      </c>
      <c r="Q61" s="43">
        <f t="shared" ca="1" si="7"/>
        <v>43874.449634027776</v>
      </c>
      <c r="S61">
        <v>105920</v>
      </c>
      <c r="T61">
        <v>3940</v>
      </c>
      <c r="U61" s="44">
        <v>102039738</v>
      </c>
      <c r="V61" s="44">
        <v>102039739</v>
      </c>
    </row>
    <row r="62" spans="1:22" x14ac:dyDescent="0.2">
      <c r="A62" t="str">
        <f t="shared" si="0"/>
        <v>CE32600</v>
      </c>
      <c r="B62" t="str">
        <f t="shared" si="1"/>
        <v>PE32600</v>
      </c>
      <c r="C62">
        <f>RTD("greekserver.rtdfunctions",,CONCATENATE($U62&amp;" "&amp;$C$1))</f>
        <v>13640</v>
      </c>
      <c r="D62">
        <f t="shared" si="2"/>
        <v>-1700</v>
      </c>
      <c r="E62">
        <f>RTD("greekserver.rtdfunctions",,CONCATENATE(U62&amp;" "&amp;$E$1))</f>
        <v>9140</v>
      </c>
      <c r="F62" t="str">
        <f t="shared" ca="1" si="3"/>
        <v>error</v>
      </c>
      <c r="G62">
        <f>RTD("greekserver.rtdfunctions",,CONCATENATE(U62&amp;" "&amp;$G$1))/100</f>
        <v>0.35</v>
      </c>
      <c r="H62">
        <f>G62-RTD("greekserver.rtdfunctions",,CONCATENATE(U62&amp;" "&amp;$H$1))/100</f>
        <v>-1</v>
      </c>
      <c r="I62">
        <v>32600</v>
      </c>
      <c r="J62">
        <f>K62-RTD("greekserver.rtdfunctions",,CONCATENATE(V62&amp;" "&amp;$J$1))/100</f>
        <v>0</v>
      </c>
      <c r="K62">
        <f>RTD("greekserver.rtdfunctions",,CONCATENATE(V62&amp;" "&amp;$K$1))/100</f>
        <v>1089.3</v>
      </c>
      <c r="L62" t="str">
        <f t="shared" ca="1" si="4"/>
        <v>undefined</v>
      </c>
      <c r="M62">
        <f>RTD("greekserver.rtdfunctions",,CONCATENATE(V62&amp;" "&amp;$M$1))</f>
        <v>0</v>
      </c>
      <c r="N62">
        <f t="shared" si="5"/>
        <v>-20</v>
      </c>
      <c r="O62">
        <f>RTD("greekserver.rtdfunctions",,CONCATENATE(V62&amp;" "&amp;$O$1))</f>
        <v>0</v>
      </c>
      <c r="P62" s="42">
        <f t="shared" ca="1" si="6"/>
        <v>43874</v>
      </c>
      <c r="Q62" s="43">
        <f t="shared" ca="1" si="7"/>
        <v>43874.449634027776</v>
      </c>
      <c r="S62">
        <v>15340</v>
      </c>
      <c r="T62">
        <v>20</v>
      </c>
      <c r="U62" s="44">
        <v>102039740</v>
      </c>
      <c r="V62" s="44">
        <v>102039741</v>
      </c>
    </row>
    <row r="63" spans="1:22" x14ac:dyDescent="0.2">
      <c r="A63" t="str">
        <f t="shared" si="0"/>
        <v>CE32700</v>
      </c>
      <c r="B63" t="str">
        <f t="shared" si="1"/>
        <v>PE32700</v>
      </c>
      <c r="C63">
        <f>RTD("greekserver.rtdfunctions",,CONCATENATE($U63&amp;" "&amp;$C$1))</f>
        <v>10820</v>
      </c>
      <c r="D63">
        <f t="shared" si="2"/>
        <v>-20</v>
      </c>
      <c r="E63">
        <f>RTD("greekserver.rtdfunctions",,CONCATENATE(U63&amp;" "&amp;$E$1))</f>
        <v>1120</v>
      </c>
      <c r="F63" t="str">
        <f t="shared" ca="1" si="3"/>
        <v>error</v>
      </c>
      <c r="G63">
        <f>RTD("greekserver.rtdfunctions",,CONCATENATE(U63&amp;" "&amp;$G$1))/100</f>
        <v>0.25</v>
      </c>
      <c r="H63">
        <f>G63-RTD("greekserver.rtdfunctions",,CONCATENATE(U63&amp;" "&amp;$H$1))/100</f>
        <v>-0.5</v>
      </c>
      <c r="I63">
        <v>32700</v>
      </c>
      <c r="J63">
        <f>K63-RTD("greekserver.rtdfunctions",,CONCATENATE(V63&amp;" "&amp;$J$1))/100</f>
        <v>0</v>
      </c>
      <c r="K63">
        <f>RTD("greekserver.rtdfunctions",,CONCATENATE(V63&amp;" "&amp;$K$1))/100</f>
        <v>1251.8499999999999</v>
      </c>
      <c r="L63" t="str">
        <f t="shared" ca="1" si="4"/>
        <v>undefined</v>
      </c>
      <c r="M63">
        <f>RTD("greekserver.rtdfunctions",,CONCATENATE(V63&amp;" "&amp;$M$1))</f>
        <v>0</v>
      </c>
      <c r="N63">
        <f t="shared" si="5"/>
        <v>-420</v>
      </c>
      <c r="O63">
        <f>RTD("greekserver.rtdfunctions",,CONCATENATE(V63&amp;" "&amp;$O$1))</f>
        <v>0</v>
      </c>
      <c r="P63" s="42">
        <f t="shared" ca="1" si="6"/>
        <v>43874</v>
      </c>
      <c r="Q63" s="43">
        <f t="shared" ca="1" si="7"/>
        <v>43874.449634027776</v>
      </c>
      <c r="S63">
        <v>10840</v>
      </c>
      <c r="T63">
        <v>420</v>
      </c>
      <c r="U63" s="44">
        <v>102039754</v>
      </c>
      <c r="V63" s="44">
        <v>102039755</v>
      </c>
    </row>
    <row r="64" spans="1:22" x14ac:dyDescent="0.2">
      <c r="A64" t="str">
        <f t="shared" si="0"/>
        <v>CE32800</v>
      </c>
      <c r="B64" t="str">
        <f t="shared" si="1"/>
        <v>PE32800</v>
      </c>
      <c r="C64">
        <f>RTD("greekserver.rtdfunctions",,CONCATENATE($U64&amp;" "&amp;$C$1))</f>
        <v>7700</v>
      </c>
      <c r="D64">
        <f t="shared" si="2"/>
        <v>1780</v>
      </c>
      <c r="E64">
        <f>RTD("greekserver.rtdfunctions",,CONCATENATE(U64&amp;" "&amp;$E$1))</f>
        <v>2500</v>
      </c>
      <c r="F64" t="str">
        <f t="shared" ca="1" si="3"/>
        <v>error</v>
      </c>
      <c r="G64">
        <f>RTD("greekserver.rtdfunctions",,CONCATENATE(U64&amp;" "&amp;$G$1))/100</f>
        <v>0.15</v>
      </c>
      <c r="H64">
        <f>G64-RTD("greekserver.rtdfunctions",,CONCATENATE(U64&amp;" "&amp;$H$1))/100</f>
        <v>-0.9</v>
      </c>
      <c r="I64">
        <v>32800</v>
      </c>
      <c r="J64">
        <f>K64-RTD("greekserver.rtdfunctions",,CONCATENATE(V64&amp;" "&amp;$J$1))/100</f>
        <v>-1464.15</v>
      </c>
      <c r="K64">
        <f>RTD("greekserver.rtdfunctions",,CONCATENATE(V64&amp;" "&amp;$K$1))/100</f>
        <v>0</v>
      </c>
      <c r="L64" t="str">
        <f t="shared" ca="1" si="4"/>
        <v>undefined</v>
      </c>
      <c r="M64">
        <f>RTD("greekserver.rtdfunctions",,CONCATENATE(V64&amp;" "&amp;$M$1))</f>
        <v>0</v>
      </c>
      <c r="N64">
        <f t="shared" si="5"/>
        <v>0</v>
      </c>
      <c r="O64">
        <f>RTD("greekserver.rtdfunctions",,CONCATENATE(V64&amp;" "&amp;$O$1))</f>
        <v>0</v>
      </c>
      <c r="P64" s="42">
        <f t="shared" ca="1" si="6"/>
        <v>43874</v>
      </c>
      <c r="Q64" s="43">
        <f t="shared" ca="1" si="7"/>
        <v>43874.449634027776</v>
      </c>
      <c r="S64">
        <v>5920</v>
      </c>
      <c r="T64">
        <v>0</v>
      </c>
      <c r="U64" s="44">
        <v>102039758</v>
      </c>
      <c r="V64" s="44">
        <v>102039759</v>
      </c>
    </row>
    <row r="65" spans="1:22" x14ac:dyDescent="0.2">
      <c r="A65" t="str">
        <f t="shared" si="0"/>
        <v>CE32900</v>
      </c>
      <c r="B65" t="str">
        <f t="shared" si="1"/>
        <v>PE32900</v>
      </c>
      <c r="C65">
        <f>RTD("greekserver.rtdfunctions",,CONCATENATE($U65&amp;" "&amp;$C$1))</f>
        <v>4160</v>
      </c>
      <c r="D65">
        <f t="shared" si="2"/>
        <v>0</v>
      </c>
      <c r="E65">
        <f>RTD("greekserver.rtdfunctions",,CONCATENATE(U65&amp;" "&amp;$E$1))</f>
        <v>640</v>
      </c>
      <c r="F65" t="str">
        <f t="shared" ca="1" si="3"/>
        <v>error</v>
      </c>
      <c r="G65">
        <f>RTD("greekserver.rtdfunctions",,CONCATENATE(U65&amp;" "&amp;$G$1))/100</f>
        <v>0.05</v>
      </c>
      <c r="H65">
        <f>G65-RTD("greekserver.rtdfunctions",,CONCATENATE(U65&amp;" "&amp;$H$1))/100</f>
        <v>-0.25</v>
      </c>
      <c r="I65">
        <v>32900</v>
      </c>
      <c r="J65">
        <f>K65-RTD("greekserver.rtdfunctions",,CONCATENATE(V65&amp;" "&amp;$J$1))/100</f>
        <v>0</v>
      </c>
      <c r="K65">
        <f>RTD("greekserver.rtdfunctions",,CONCATENATE(V65&amp;" "&amp;$K$1))/100</f>
        <v>1448.85</v>
      </c>
      <c r="L65" t="str">
        <f t="shared" ca="1" si="4"/>
        <v>undefined</v>
      </c>
      <c r="M65">
        <f>RTD("greekserver.rtdfunctions",,CONCATENATE(V65&amp;" "&amp;$M$1))</f>
        <v>0</v>
      </c>
      <c r="N65">
        <f t="shared" si="5"/>
        <v>-20</v>
      </c>
      <c r="O65">
        <f>RTD("greekserver.rtdfunctions",,CONCATENATE(V65&amp;" "&amp;$O$1))</f>
        <v>0</v>
      </c>
      <c r="P65" s="42">
        <f t="shared" ca="1" si="6"/>
        <v>43874</v>
      </c>
      <c r="Q65" s="43">
        <f t="shared" ca="1" si="7"/>
        <v>43874.449634027776</v>
      </c>
      <c r="S65">
        <v>4160</v>
      </c>
      <c r="T65">
        <v>20</v>
      </c>
      <c r="U65" s="44">
        <v>102039760</v>
      </c>
      <c r="V65" s="44">
        <v>102039761</v>
      </c>
    </row>
    <row r="66" spans="1:22" x14ac:dyDescent="0.2">
      <c r="A66" t="str">
        <f t="shared" si="0"/>
        <v>CE33000</v>
      </c>
      <c r="B66" t="str">
        <f t="shared" si="1"/>
        <v>PE33000</v>
      </c>
      <c r="C66">
        <f>RTD("greekserver.rtdfunctions",,CONCATENATE($U66&amp;" "&amp;$C$1))</f>
        <v>34940</v>
      </c>
      <c r="D66">
        <f t="shared" si="2"/>
        <v>0</v>
      </c>
      <c r="E66">
        <f>RTD("greekserver.rtdfunctions",,CONCATENATE(U66&amp;" "&amp;$E$1))</f>
        <v>2160</v>
      </c>
      <c r="F66" t="str">
        <f t="shared" ca="1" si="3"/>
        <v>error</v>
      </c>
      <c r="G66">
        <f>RTD("greekserver.rtdfunctions",,CONCATENATE(U66&amp;" "&amp;$G$1))/100</f>
        <v>0.05</v>
      </c>
      <c r="H66">
        <f>G66-RTD("greekserver.rtdfunctions",,CONCATENATE(U66&amp;" "&amp;$H$1))/100</f>
        <v>-0.2</v>
      </c>
      <c r="I66">
        <v>33000</v>
      </c>
      <c r="J66">
        <f>K66-RTD("greekserver.rtdfunctions",,CONCATENATE(V66&amp;" "&amp;$J$1))/100</f>
        <v>89.849999999999909</v>
      </c>
      <c r="K66">
        <f>RTD("greekserver.rtdfunctions",,CONCATENATE(V66&amp;" "&amp;$K$1))/100</f>
        <v>1590.25</v>
      </c>
      <c r="L66" t="str">
        <f t="shared" ca="1" si="4"/>
        <v>undefined</v>
      </c>
      <c r="M66">
        <f>RTD("greekserver.rtdfunctions",,CONCATENATE(V66&amp;" "&amp;$M$1))</f>
        <v>20</v>
      </c>
      <c r="N66">
        <f t="shared" si="5"/>
        <v>0</v>
      </c>
      <c r="O66">
        <f>RTD("greekserver.rtdfunctions",,CONCATENATE(V66&amp;" "&amp;$O$1))</f>
        <v>10020</v>
      </c>
      <c r="P66" s="42">
        <f t="shared" ca="1" si="6"/>
        <v>43874</v>
      </c>
      <c r="Q66" s="43">
        <f t="shared" ca="1" si="7"/>
        <v>43874.449634027776</v>
      </c>
      <c r="S66">
        <v>34940</v>
      </c>
      <c r="T66">
        <v>10020</v>
      </c>
      <c r="U66" s="44">
        <v>102039762</v>
      </c>
      <c r="V66" s="44">
        <v>102039763</v>
      </c>
    </row>
    <row r="67" spans="1:22" x14ac:dyDescent="0.2">
      <c r="A67" t="str">
        <f t="shared" si="0"/>
        <v>CE33100</v>
      </c>
      <c r="B67" t="str">
        <f t="shared" si="1"/>
        <v>PE33100</v>
      </c>
      <c r="C67">
        <f>RTD("greekserver.rtdfunctions",,CONCATENATE($U67&amp;" "&amp;$C$1))</f>
        <v>5040</v>
      </c>
      <c r="D67">
        <f t="shared" si="2"/>
        <v>3360</v>
      </c>
      <c r="E67">
        <f>RTD("greekserver.rtdfunctions",,CONCATENATE(U67&amp;" "&amp;$E$1))</f>
        <v>4700</v>
      </c>
      <c r="F67" t="str">
        <f t="shared" ca="1" si="3"/>
        <v>error</v>
      </c>
      <c r="G67">
        <f>RTD("greekserver.rtdfunctions",,CONCATENATE(U67&amp;" "&amp;$G$1))/100</f>
        <v>0.1</v>
      </c>
      <c r="H67">
        <f>G67-RTD("greekserver.rtdfunctions",,CONCATENATE(U67&amp;" "&amp;$H$1))/100</f>
        <v>-0.1</v>
      </c>
      <c r="I67">
        <v>33100</v>
      </c>
      <c r="J67">
        <f>K67-RTD("greekserver.rtdfunctions",,CONCATENATE(V67&amp;" "&amp;$J$1))/100</f>
        <v>-1660.95</v>
      </c>
      <c r="K67">
        <f>RTD("greekserver.rtdfunctions",,CONCATENATE(V67&amp;" "&amp;$K$1))/100</f>
        <v>0</v>
      </c>
      <c r="L67" t="str">
        <f t="shared" ca="1" si="4"/>
        <v>undefined</v>
      </c>
      <c r="M67">
        <f>RTD("greekserver.rtdfunctions",,CONCATENATE(V67&amp;" "&amp;$M$1))</f>
        <v>0</v>
      </c>
      <c r="N67">
        <f t="shared" si="5"/>
        <v>0</v>
      </c>
      <c r="O67">
        <f>RTD("greekserver.rtdfunctions",,CONCATENATE(V67&amp;" "&amp;$O$1))</f>
        <v>0</v>
      </c>
      <c r="P67" s="42">
        <f t="shared" ca="1" si="6"/>
        <v>43874</v>
      </c>
      <c r="Q67" s="43">
        <f t="shared" ca="1" si="7"/>
        <v>43874.449634027776</v>
      </c>
      <c r="S67">
        <v>1680</v>
      </c>
      <c r="T67">
        <v>0</v>
      </c>
      <c r="U67" s="44">
        <v>102039766</v>
      </c>
      <c r="V67" s="44">
        <v>102039767</v>
      </c>
    </row>
    <row r="68" spans="1:22" x14ac:dyDescent="0.2">
      <c r="A68" t="str">
        <f t="shared" si="0"/>
        <v>CE33200</v>
      </c>
      <c r="B68" t="str">
        <f t="shared" si="1"/>
        <v>PE33200</v>
      </c>
      <c r="C68">
        <f>RTD("greekserver.rtdfunctions",,CONCATENATE($U68&amp;" "&amp;$C$1))</f>
        <v>0</v>
      </c>
      <c r="D68">
        <f t="shared" si="2"/>
        <v>0</v>
      </c>
      <c r="E68">
        <f>RTD("greekserver.rtdfunctions",,CONCATENATE(U68&amp;" "&amp;$E$1))</f>
        <v>0</v>
      </c>
      <c r="F68" t="str">
        <f t="shared" ca="1" si="3"/>
        <v>error</v>
      </c>
      <c r="G68">
        <f>RTD("greekserver.rtdfunctions",,CONCATENATE(U68&amp;" "&amp;$G$1))/100</f>
        <v>0.1</v>
      </c>
      <c r="H68">
        <f>G68-RTD("greekserver.rtdfunctions",,CONCATENATE(U68&amp;" "&amp;$H$1))/100</f>
        <v>0</v>
      </c>
      <c r="I68">
        <v>33200</v>
      </c>
      <c r="J68">
        <f>K68-RTD("greekserver.rtdfunctions",,CONCATENATE(V68&amp;" "&amp;$J$1))/100</f>
        <v>0</v>
      </c>
      <c r="K68">
        <f>RTD("greekserver.rtdfunctions",,CONCATENATE(V68&amp;" "&amp;$K$1))/100</f>
        <v>1587.6</v>
      </c>
      <c r="L68" t="str">
        <f t="shared" ca="1" si="4"/>
        <v>undefined</v>
      </c>
      <c r="M68">
        <f>RTD("greekserver.rtdfunctions",,CONCATENATE(V68&amp;" "&amp;$M$1))</f>
        <v>0</v>
      </c>
      <c r="N68">
        <f t="shared" si="5"/>
        <v>-20</v>
      </c>
      <c r="O68">
        <f>RTD("greekserver.rtdfunctions",,CONCATENATE(V68&amp;" "&amp;$O$1))</f>
        <v>0</v>
      </c>
      <c r="P68" s="42">
        <f t="shared" ca="1" si="6"/>
        <v>43874</v>
      </c>
      <c r="Q68" s="43">
        <f t="shared" ca="1" si="7"/>
        <v>43874.449634027776</v>
      </c>
      <c r="S68">
        <v>0</v>
      </c>
      <c r="T68">
        <v>20</v>
      </c>
      <c r="U68" s="44">
        <v>102039771</v>
      </c>
      <c r="V68" s="44">
        <v>102039773</v>
      </c>
    </row>
    <row r="69" spans="1:22" x14ac:dyDescent="0.2">
      <c r="A69" t="str">
        <f t="shared" ref="A69:A90" si="8">"CE"&amp;I69</f>
        <v>CE33300</v>
      </c>
      <c r="B69" t="str">
        <f t="shared" ref="B69:B90" si="9">"PE"&amp;I69</f>
        <v>PE33300</v>
      </c>
      <c r="C69">
        <f>RTD("greekserver.rtdfunctions",,CONCATENATE($U69&amp;" "&amp;$C$1))</f>
        <v>0</v>
      </c>
      <c r="D69">
        <f t="shared" ref="D69:D90" si="10">C69-S69</f>
        <v>-20</v>
      </c>
      <c r="E69">
        <f>RTD("greekserver.rtdfunctions",,CONCATENATE(U69&amp;" "&amp;$E$1))</f>
        <v>0</v>
      </c>
      <c r="F69" t="str">
        <f t="shared" ref="F69:F90" ca="1" si="11">BSCallImplied($R$4,I69,0,G69,$S$2)</f>
        <v>error</v>
      </c>
      <c r="G69">
        <f>RTD("greekserver.rtdfunctions",,CONCATENATE(U69&amp;" "&amp;$G$1))/100</f>
        <v>1.95</v>
      </c>
      <c r="H69">
        <f>G69-RTD("greekserver.rtdfunctions",,CONCATENATE(U69&amp;" "&amp;$H$1))/100</f>
        <v>0</v>
      </c>
      <c r="I69">
        <v>33300</v>
      </c>
      <c r="J69">
        <f>K69-RTD("greekserver.rtdfunctions",,CONCATENATE(V69&amp;" "&amp;$J$1))/100</f>
        <v>-1799</v>
      </c>
      <c r="K69">
        <f>RTD("greekserver.rtdfunctions",,CONCATENATE(V69&amp;" "&amp;$K$1))/100</f>
        <v>0</v>
      </c>
      <c r="L69" t="str">
        <f t="shared" ref="L69:L90" ca="1" si="12">BSPutImplied($R$4,I69,0,K69,$S$2)</f>
        <v>undefined</v>
      </c>
      <c r="M69">
        <f>RTD("greekserver.rtdfunctions",,CONCATENATE(V69&amp;" "&amp;$M$1))</f>
        <v>0</v>
      </c>
      <c r="N69">
        <f t="shared" ref="N69:N90" si="13">O69-T69</f>
        <v>0</v>
      </c>
      <c r="O69">
        <f>RTD("greekserver.rtdfunctions",,CONCATENATE(V69&amp;" "&amp;$O$1))</f>
        <v>0</v>
      </c>
      <c r="P69" s="42">
        <f t="shared" ref="P69:P90" ca="1" si="14">TODAY()</f>
        <v>43874</v>
      </c>
      <c r="Q69" s="43">
        <f t="shared" ref="Q69:Q90" ca="1" si="15">NOW()</f>
        <v>43874.449634027776</v>
      </c>
      <c r="S69">
        <v>20</v>
      </c>
      <c r="T69">
        <v>0</v>
      </c>
      <c r="U69" s="44">
        <v>102039776</v>
      </c>
      <c r="V69" s="44">
        <v>102039777</v>
      </c>
    </row>
    <row r="70" spans="1:22" x14ac:dyDescent="0.2">
      <c r="A70" t="str">
        <f t="shared" si="8"/>
        <v>CE33400</v>
      </c>
      <c r="B70" t="str">
        <f t="shared" si="9"/>
        <v>PE33400</v>
      </c>
      <c r="C70">
        <f>RTD("greekserver.rtdfunctions",,CONCATENATE($U70&amp;" "&amp;$C$1))</f>
        <v>0</v>
      </c>
      <c r="D70">
        <f t="shared" si="10"/>
        <v>0</v>
      </c>
      <c r="E70">
        <f>RTD("greekserver.rtdfunctions",,CONCATENATE(U70&amp;" "&amp;$E$1))</f>
        <v>0</v>
      </c>
      <c r="F70">
        <f t="shared" ca="1" si="11"/>
        <v>0</v>
      </c>
      <c r="G70">
        <f>RTD("greekserver.rtdfunctions",,CONCATENATE(U70&amp;" "&amp;$G$1))/100</f>
        <v>0</v>
      </c>
      <c r="H70">
        <f>G70-RTD("greekserver.rtdfunctions",,CONCATENATE(U70&amp;" "&amp;$H$1))/100</f>
        <v>-462.95</v>
      </c>
      <c r="I70">
        <v>33400</v>
      </c>
      <c r="J70">
        <f>K70-RTD("greekserver.rtdfunctions",,CONCATENATE(V70&amp;" "&amp;$J$1))/100</f>
        <v>-1869.95</v>
      </c>
      <c r="K70">
        <f>RTD("greekserver.rtdfunctions",,CONCATENATE(V70&amp;" "&amp;$K$1))/100</f>
        <v>0</v>
      </c>
      <c r="L70" t="str">
        <f t="shared" ca="1" si="12"/>
        <v>undefined</v>
      </c>
      <c r="M70">
        <f>RTD("greekserver.rtdfunctions",,CONCATENATE(V70&amp;" "&amp;$M$1))</f>
        <v>0</v>
      </c>
      <c r="N70">
        <f t="shared" si="13"/>
        <v>0</v>
      </c>
      <c r="O70">
        <f>RTD("greekserver.rtdfunctions",,CONCATENATE(V70&amp;" "&amp;$O$1))</f>
        <v>0</v>
      </c>
      <c r="P70" s="42">
        <f t="shared" ca="1" si="14"/>
        <v>43874</v>
      </c>
      <c r="Q70" s="43">
        <f t="shared" ca="1" si="15"/>
        <v>43874.449634027776</v>
      </c>
      <c r="S70">
        <v>0</v>
      </c>
      <c r="T70">
        <v>0</v>
      </c>
      <c r="U70" s="44">
        <v>102039778</v>
      </c>
      <c r="V70" s="44">
        <v>102039781</v>
      </c>
    </row>
    <row r="71" spans="1:22" x14ac:dyDescent="0.2">
      <c r="A71" t="str">
        <f t="shared" si="8"/>
        <v>CE33500</v>
      </c>
      <c r="B71" t="str">
        <f t="shared" si="9"/>
        <v>PE33500</v>
      </c>
      <c r="C71">
        <f>RTD("greekserver.rtdfunctions",,CONCATENATE($U71&amp;" "&amp;$C$1))</f>
        <v>0</v>
      </c>
      <c r="D71">
        <f t="shared" si="10"/>
        <v>-700</v>
      </c>
      <c r="E71">
        <f>RTD("greekserver.rtdfunctions",,CONCATENATE(U71&amp;" "&amp;$E$1))</f>
        <v>0</v>
      </c>
      <c r="F71" t="str">
        <f t="shared" ca="1" si="11"/>
        <v>error</v>
      </c>
      <c r="G71">
        <f>RTD("greekserver.rtdfunctions",,CONCATENATE(U71&amp;" "&amp;$G$1))/100</f>
        <v>0.25</v>
      </c>
      <c r="H71">
        <f>G71-RTD("greekserver.rtdfunctions",,CONCATENATE(U71&amp;" "&amp;$H$1))/100</f>
        <v>0</v>
      </c>
      <c r="I71">
        <v>33500</v>
      </c>
      <c r="J71">
        <f>K71-RTD("greekserver.rtdfunctions",,CONCATENATE(V71&amp;" "&amp;$J$1))/100</f>
        <v>0</v>
      </c>
      <c r="K71">
        <f>RTD("greekserver.rtdfunctions",,CONCATENATE(V71&amp;" "&amp;$K$1))/100</f>
        <v>3222.4</v>
      </c>
      <c r="L71" t="str">
        <f t="shared" ca="1" si="12"/>
        <v>error</v>
      </c>
      <c r="M71">
        <f>RTD("greekserver.rtdfunctions",,CONCATENATE(V71&amp;" "&amp;$M$1))</f>
        <v>0</v>
      </c>
      <c r="N71">
        <f t="shared" si="13"/>
        <v>-200</v>
      </c>
      <c r="O71">
        <f>RTD("greekserver.rtdfunctions",,CONCATENATE(V71&amp;" "&amp;$O$1))</f>
        <v>0</v>
      </c>
      <c r="P71" s="42">
        <f t="shared" ca="1" si="14"/>
        <v>43874</v>
      </c>
      <c r="Q71" s="43">
        <f t="shared" ca="1" si="15"/>
        <v>43874.449634027776</v>
      </c>
      <c r="S71">
        <v>700</v>
      </c>
      <c r="T71">
        <v>200</v>
      </c>
      <c r="U71" s="44">
        <v>102039786</v>
      </c>
      <c r="V71" s="44">
        <v>102039787</v>
      </c>
    </row>
    <row r="72" spans="1:22" x14ac:dyDescent="0.2">
      <c r="A72" t="str">
        <f t="shared" si="8"/>
        <v>CE33600</v>
      </c>
      <c r="B72" t="str">
        <f t="shared" si="9"/>
        <v>PE33600</v>
      </c>
      <c r="C72">
        <f>RTD("greekserver.rtdfunctions",,CONCATENATE($U72&amp;" "&amp;$C$1))</f>
        <v>0</v>
      </c>
      <c r="D72">
        <f t="shared" si="10"/>
        <v>0</v>
      </c>
      <c r="E72">
        <f>RTD("greekserver.rtdfunctions",,CONCATENATE(U72&amp;" "&amp;$E$1))</f>
        <v>0</v>
      </c>
      <c r="F72">
        <f t="shared" ca="1" si="11"/>
        <v>0</v>
      </c>
      <c r="G72">
        <f>RTD("greekserver.rtdfunctions",,CONCATENATE(U72&amp;" "&amp;$G$1))/100</f>
        <v>0</v>
      </c>
      <c r="H72">
        <f>G72-RTD("greekserver.rtdfunctions",,CONCATENATE(U72&amp;" "&amp;$H$1))/100</f>
        <v>-412</v>
      </c>
      <c r="I72">
        <v>33600</v>
      </c>
      <c r="J72">
        <f>K72-RTD("greekserver.rtdfunctions",,CONCATENATE(V72&amp;" "&amp;$J$1))/100</f>
        <v>-2017.05</v>
      </c>
      <c r="K72">
        <f>RTD("greekserver.rtdfunctions",,CONCATENATE(V72&amp;" "&amp;$K$1))/100</f>
        <v>0</v>
      </c>
      <c r="L72" t="str">
        <f t="shared" ca="1" si="12"/>
        <v>undefined</v>
      </c>
      <c r="M72">
        <f>RTD("greekserver.rtdfunctions",,CONCATENATE(V72&amp;" "&amp;$M$1))</f>
        <v>0</v>
      </c>
      <c r="N72">
        <f t="shared" si="13"/>
        <v>0</v>
      </c>
      <c r="O72">
        <f>RTD("greekserver.rtdfunctions",,CONCATENATE(V72&amp;" "&amp;$O$1))</f>
        <v>0</v>
      </c>
      <c r="P72" s="42">
        <f t="shared" ca="1" si="14"/>
        <v>43874</v>
      </c>
      <c r="Q72" s="43">
        <f t="shared" ca="1" si="15"/>
        <v>43874.449634027776</v>
      </c>
      <c r="S72">
        <v>0</v>
      </c>
      <c r="T72">
        <v>0</v>
      </c>
      <c r="U72" s="44">
        <v>102039790</v>
      </c>
      <c r="V72" s="44">
        <v>102039791</v>
      </c>
    </row>
    <row r="73" spans="1:22" x14ac:dyDescent="0.2">
      <c r="A73" t="str">
        <f t="shared" si="8"/>
        <v>CE33700</v>
      </c>
      <c r="B73" t="str">
        <f t="shared" si="9"/>
        <v>PE33700</v>
      </c>
      <c r="C73">
        <f>RTD("greekserver.rtdfunctions",,CONCATENATE($U73&amp;" "&amp;$C$1))</f>
        <v>0</v>
      </c>
      <c r="D73">
        <f t="shared" si="10"/>
        <v>0</v>
      </c>
      <c r="E73">
        <f>RTD("greekserver.rtdfunctions",,CONCATENATE(U73&amp;" "&amp;$E$1))</f>
        <v>0</v>
      </c>
      <c r="F73">
        <f t="shared" ca="1" si="11"/>
        <v>0</v>
      </c>
      <c r="G73">
        <f>RTD("greekserver.rtdfunctions",,CONCATENATE(U73&amp;" "&amp;$G$1))/100</f>
        <v>0</v>
      </c>
      <c r="H73">
        <f>G73-RTD("greekserver.rtdfunctions",,CONCATENATE(U73&amp;" "&amp;$H$1))/100</f>
        <v>-387.85</v>
      </c>
      <c r="I73">
        <v>33700</v>
      </c>
      <c r="J73">
        <f>K73-RTD("greekserver.rtdfunctions",,CONCATENATE(V73&amp;" "&amp;$J$1))/100</f>
        <v>-2091.9</v>
      </c>
      <c r="K73">
        <f>RTD("greekserver.rtdfunctions",,CONCATENATE(V73&amp;" "&amp;$K$1))/100</f>
        <v>0</v>
      </c>
      <c r="L73" t="str">
        <f t="shared" ca="1" si="12"/>
        <v>undefined</v>
      </c>
      <c r="M73">
        <f>RTD("greekserver.rtdfunctions",,CONCATENATE(V73&amp;" "&amp;$M$1))</f>
        <v>0</v>
      </c>
      <c r="N73">
        <f t="shared" si="13"/>
        <v>0</v>
      </c>
      <c r="O73">
        <f>RTD("greekserver.rtdfunctions",,CONCATENATE(V73&amp;" "&amp;$O$1))</f>
        <v>0</v>
      </c>
      <c r="P73" s="42">
        <f t="shared" ca="1" si="14"/>
        <v>43874</v>
      </c>
      <c r="Q73" s="43">
        <f t="shared" ca="1" si="15"/>
        <v>43874.449634027776</v>
      </c>
      <c r="S73">
        <v>0</v>
      </c>
      <c r="T73">
        <v>0</v>
      </c>
      <c r="U73" s="44">
        <v>102039794</v>
      </c>
      <c r="V73" s="44">
        <v>102039795</v>
      </c>
    </row>
    <row r="74" spans="1:22" x14ac:dyDescent="0.2">
      <c r="A74" t="str">
        <f t="shared" si="8"/>
        <v>CE33800</v>
      </c>
      <c r="B74" t="str">
        <f t="shared" si="9"/>
        <v>PE33800</v>
      </c>
      <c r="C74">
        <f>RTD("greekserver.rtdfunctions",,CONCATENATE($U74&amp;" "&amp;$C$1))</f>
        <v>0</v>
      </c>
      <c r="D74">
        <f t="shared" si="10"/>
        <v>0</v>
      </c>
      <c r="E74">
        <f>RTD("greekserver.rtdfunctions",,CONCATENATE(U74&amp;" "&amp;$E$1))</f>
        <v>0</v>
      </c>
      <c r="F74">
        <f t="shared" ca="1" si="11"/>
        <v>0</v>
      </c>
      <c r="G74">
        <f>RTD("greekserver.rtdfunctions",,CONCATENATE(U74&amp;" "&amp;$G$1))/100</f>
        <v>0</v>
      </c>
      <c r="H74">
        <f>G74-RTD("greekserver.rtdfunctions",,CONCATENATE(U74&amp;" "&amp;$H$1))/100</f>
        <v>-363.5</v>
      </c>
      <c r="I74">
        <v>33800</v>
      </c>
      <c r="J74">
        <f>K74-RTD("greekserver.rtdfunctions",,CONCATENATE(V74&amp;" "&amp;$J$1))/100</f>
        <v>-2166.6</v>
      </c>
      <c r="K74">
        <f>RTD("greekserver.rtdfunctions",,CONCATENATE(V74&amp;" "&amp;$K$1))/100</f>
        <v>0</v>
      </c>
      <c r="L74" t="str">
        <f t="shared" ca="1" si="12"/>
        <v>undefined</v>
      </c>
      <c r="M74">
        <f>RTD("greekserver.rtdfunctions",,CONCATENATE(V74&amp;" "&amp;$M$1))</f>
        <v>0</v>
      </c>
      <c r="N74">
        <f t="shared" si="13"/>
        <v>0</v>
      </c>
      <c r="O74">
        <f>RTD("greekserver.rtdfunctions",,CONCATENATE(V74&amp;" "&amp;$O$1))</f>
        <v>0</v>
      </c>
      <c r="P74" s="42">
        <f t="shared" ca="1" si="14"/>
        <v>43874</v>
      </c>
      <c r="Q74" s="43">
        <f t="shared" ca="1" si="15"/>
        <v>43874.449634027776</v>
      </c>
      <c r="S74">
        <v>0</v>
      </c>
      <c r="T74">
        <v>0</v>
      </c>
      <c r="U74" s="44">
        <v>102039803</v>
      </c>
      <c r="V74" s="44">
        <v>102039804</v>
      </c>
    </row>
    <row r="75" spans="1:22" x14ac:dyDescent="0.2">
      <c r="A75" t="str">
        <f t="shared" si="8"/>
        <v>CE33900</v>
      </c>
      <c r="B75" t="str">
        <f t="shared" si="9"/>
        <v>PE33900</v>
      </c>
      <c r="C75">
        <f>RTD("greekserver.rtdfunctions",,CONCATENATE($U75&amp;" "&amp;$C$1))</f>
        <v>0</v>
      </c>
      <c r="D75">
        <f t="shared" si="10"/>
        <v>0</v>
      </c>
      <c r="E75">
        <f>RTD("greekserver.rtdfunctions",,CONCATENATE(U75&amp;" "&amp;$E$1))</f>
        <v>0</v>
      </c>
      <c r="F75">
        <f t="shared" ca="1" si="11"/>
        <v>0</v>
      </c>
      <c r="G75">
        <f>RTD("greekserver.rtdfunctions",,CONCATENATE(U75&amp;" "&amp;$G$1))/100</f>
        <v>0</v>
      </c>
      <c r="H75">
        <f>G75-RTD("greekserver.rtdfunctions",,CONCATENATE(U75&amp;" "&amp;$H$1))/100</f>
        <v>-341.45</v>
      </c>
      <c r="I75">
        <v>33900</v>
      </c>
      <c r="J75">
        <f>K75-RTD("greekserver.rtdfunctions",,CONCATENATE(V75&amp;" "&amp;$J$1))/100</f>
        <v>-2243.5500000000002</v>
      </c>
      <c r="K75">
        <f>RTD("greekserver.rtdfunctions",,CONCATENATE(V75&amp;" "&amp;$K$1))/100</f>
        <v>0</v>
      </c>
      <c r="L75" t="str">
        <f t="shared" ca="1" si="12"/>
        <v>undefined</v>
      </c>
      <c r="M75">
        <f>RTD("greekserver.rtdfunctions",,CONCATENATE(V75&amp;" "&amp;$M$1))</f>
        <v>0</v>
      </c>
      <c r="N75">
        <f t="shared" si="13"/>
        <v>0</v>
      </c>
      <c r="O75">
        <f>RTD("greekserver.rtdfunctions",,CONCATENATE(V75&amp;" "&amp;$O$1))</f>
        <v>0</v>
      </c>
      <c r="P75" s="42">
        <f t="shared" ca="1" si="14"/>
        <v>43874</v>
      </c>
      <c r="Q75" s="43">
        <f t="shared" ca="1" si="15"/>
        <v>43874.449634027776</v>
      </c>
      <c r="S75">
        <v>0</v>
      </c>
      <c r="T75">
        <v>0</v>
      </c>
      <c r="U75" s="44">
        <v>102039806</v>
      </c>
      <c r="V75" s="44">
        <v>102039807</v>
      </c>
    </row>
    <row r="76" spans="1:22" x14ac:dyDescent="0.2">
      <c r="A76" t="str">
        <f t="shared" si="8"/>
        <v>CE34000</v>
      </c>
      <c r="B76" t="str">
        <f t="shared" si="9"/>
        <v>PE34000</v>
      </c>
      <c r="C76">
        <f>RTD("greekserver.rtdfunctions",,CONCATENATE($U76&amp;" "&amp;$C$1))</f>
        <v>460</v>
      </c>
      <c r="D76">
        <f t="shared" si="10"/>
        <v>0</v>
      </c>
      <c r="E76">
        <f>RTD("greekserver.rtdfunctions",,CONCATENATE(U76&amp;" "&amp;$E$1))</f>
        <v>220</v>
      </c>
      <c r="F76" t="str">
        <f t="shared" ca="1" si="11"/>
        <v>error</v>
      </c>
      <c r="G76">
        <f>RTD("greekserver.rtdfunctions",,CONCATENATE(U76&amp;" "&amp;$G$1))/100</f>
        <v>0.15</v>
      </c>
      <c r="H76">
        <f>G76-RTD("greekserver.rtdfunctions",,CONCATENATE(U76&amp;" "&amp;$H$1))/100</f>
        <v>0</v>
      </c>
      <c r="I76">
        <v>34000</v>
      </c>
      <c r="J76">
        <f>K76-RTD("greekserver.rtdfunctions",,CONCATENATE(V76&amp;" "&amp;$J$1))/100</f>
        <v>0</v>
      </c>
      <c r="K76">
        <f>RTD("greekserver.rtdfunctions",,CONCATENATE(V76&amp;" "&amp;$K$1))/100</f>
        <v>2600</v>
      </c>
      <c r="L76" t="str">
        <f t="shared" ca="1" si="12"/>
        <v>undefined</v>
      </c>
      <c r="M76">
        <f>RTD("greekserver.rtdfunctions",,CONCATENATE(V76&amp;" "&amp;$M$1))</f>
        <v>0</v>
      </c>
      <c r="N76">
        <f t="shared" si="13"/>
        <v>-320</v>
      </c>
      <c r="O76">
        <f>RTD("greekserver.rtdfunctions",,CONCATENATE(V76&amp;" "&amp;$O$1))</f>
        <v>0</v>
      </c>
      <c r="P76" s="42">
        <f t="shared" ca="1" si="14"/>
        <v>43874</v>
      </c>
      <c r="Q76" s="43">
        <f t="shared" ca="1" si="15"/>
        <v>43874.449634027776</v>
      </c>
      <c r="S76">
        <v>460</v>
      </c>
      <c r="T76">
        <v>320</v>
      </c>
      <c r="U76" s="44">
        <v>102039811</v>
      </c>
      <c r="V76" s="44">
        <v>102039812</v>
      </c>
    </row>
    <row r="77" spans="1:22" x14ac:dyDescent="0.2">
      <c r="A77" t="str">
        <f t="shared" si="8"/>
        <v>CE34100</v>
      </c>
      <c r="B77" t="str">
        <f t="shared" si="9"/>
        <v>PE34100</v>
      </c>
      <c r="C77">
        <f>RTD("greekserver.rtdfunctions",,CONCATENATE($U77&amp;" "&amp;$C$1))</f>
        <v>0</v>
      </c>
      <c r="D77">
        <f t="shared" si="10"/>
        <v>0</v>
      </c>
      <c r="E77">
        <f>RTD("greekserver.rtdfunctions",,CONCATENATE(U77&amp;" "&amp;$E$1))</f>
        <v>0</v>
      </c>
      <c r="F77">
        <f t="shared" ca="1" si="11"/>
        <v>0</v>
      </c>
      <c r="G77">
        <f>RTD("greekserver.rtdfunctions",,CONCATENATE(U77&amp;" "&amp;$G$1))/100</f>
        <v>0</v>
      </c>
      <c r="H77">
        <f>G77-RTD("greekserver.rtdfunctions",,CONCATENATE(U77&amp;" "&amp;$H$1))/100</f>
        <v>-300.60000000000002</v>
      </c>
      <c r="I77">
        <v>34100</v>
      </c>
      <c r="J77">
        <f>K77-RTD("greekserver.rtdfunctions",,CONCATENATE(V77&amp;" "&amp;$J$1))/100</f>
        <v>-2400.6999999999998</v>
      </c>
      <c r="K77">
        <f>RTD("greekserver.rtdfunctions",,CONCATENATE(V77&amp;" "&amp;$K$1))/100</f>
        <v>0</v>
      </c>
      <c r="L77" t="str">
        <f t="shared" ca="1" si="12"/>
        <v>undefined</v>
      </c>
      <c r="M77">
        <f>RTD("greekserver.rtdfunctions",,CONCATENATE(V77&amp;" "&amp;$M$1))</f>
        <v>0</v>
      </c>
      <c r="N77">
        <f t="shared" si="13"/>
        <v>0</v>
      </c>
      <c r="O77">
        <f>RTD("greekserver.rtdfunctions",,CONCATENATE(V77&amp;" "&amp;$O$1))</f>
        <v>0</v>
      </c>
      <c r="P77" s="42">
        <f t="shared" ca="1" si="14"/>
        <v>43874</v>
      </c>
      <c r="Q77" s="43">
        <f t="shared" ca="1" si="15"/>
        <v>43874.449634027776</v>
      </c>
      <c r="S77">
        <v>0</v>
      </c>
      <c r="T77">
        <v>0</v>
      </c>
      <c r="U77" s="44">
        <v>102039820</v>
      </c>
      <c r="V77" s="44">
        <v>102039821</v>
      </c>
    </row>
    <row r="78" spans="1:22" x14ac:dyDescent="0.2">
      <c r="A78" t="str">
        <f t="shared" si="8"/>
        <v>CE34200</v>
      </c>
      <c r="B78" t="str">
        <f t="shared" si="9"/>
        <v>PE34200</v>
      </c>
      <c r="C78">
        <f>RTD("greekserver.rtdfunctions",,CONCATENATE($U78&amp;" "&amp;$C$1))</f>
        <v>0</v>
      </c>
      <c r="D78">
        <f t="shared" si="10"/>
        <v>-20</v>
      </c>
      <c r="E78">
        <f>RTD("greekserver.rtdfunctions",,CONCATENATE(U78&amp;" "&amp;$E$1))</f>
        <v>0</v>
      </c>
      <c r="F78" t="str">
        <f t="shared" ca="1" si="11"/>
        <v>error</v>
      </c>
      <c r="G78">
        <f>RTD("greekserver.rtdfunctions",,CONCATENATE(U78&amp;" "&amp;$G$1))/100</f>
        <v>5.9</v>
      </c>
      <c r="H78">
        <f>G78-RTD("greekserver.rtdfunctions",,CONCATENATE(U78&amp;" "&amp;$H$1))/100</f>
        <v>0</v>
      </c>
      <c r="I78">
        <v>34200</v>
      </c>
      <c r="J78">
        <f>K78-RTD("greekserver.rtdfunctions",,CONCATENATE(V78&amp;" "&amp;$J$1))/100</f>
        <v>-2480.85</v>
      </c>
      <c r="K78">
        <f>RTD("greekserver.rtdfunctions",,CONCATENATE(V78&amp;" "&amp;$K$1))/100</f>
        <v>0</v>
      </c>
      <c r="L78" t="str">
        <f t="shared" ca="1" si="12"/>
        <v>undefined</v>
      </c>
      <c r="M78">
        <f>RTD("greekserver.rtdfunctions",,CONCATENATE(V78&amp;" "&amp;$M$1))</f>
        <v>0</v>
      </c>
      <c r="N78">
        <f t="shared" si="13"/>
        <v>0</v>
      </c>
      <c r="O78">
        <f>RTD("greekserver.rtdfunctions",,CONCATENATE(V78&amp;" "&amp;$O$1))</f>
        <v>0</v>
      </c>
      <c r="P78" s="42">
        <f t="shared" ca="1" si="14"/>
        <v>43874</v>
      </c>
      <c r="Q78" s="43">
        <f t="shared" ca="1" si="15"/>
        <v>43874.449634027776</v>
      </c>
      <c r="S78">
        <v>20</v>
      </c>
      <c r="T78">
        <v>0</v>
      </c>
      <c r="U78" s="44">
        <v>102039826</v>
      </c>
      <c r="V78" s="44">
        <v>102039827</v>
      </c>
    </row>
    <row r="79" spans="1:22" x14ac:dyDescent="0.2">
      <c r="A79" t="str">
        <f t="shared" si="8"/>
        <v>CE34300</v>
      </c>
      <c r="B79" t="str">
        <f t="shared" si="9"/>
        <v>PE34300</v>
      </c>
      <c r="C79">
        <f>RTD("greekserver.rtdfunctions",,CONCATENATE($U79&amp;" "&amp;$C$1))</f>
        <v>0</v>
      </c>
      <c r="D79">
        <f t="shared" si="10"/>
        <v>0</v>
      </c>
      <c r="E79">
        <f>RTD("greekserver.rtdfunctions",,CONCATENATE(U79&amp;" "&amp;$E$1))</f>
        <v>0</v>
      </c>
      <c r="F79">
        <f t="shared" ca="1" si="11"/>
        <v>0</v>
      </c>
      <c r="G79">
        <f>RTD("greekserver.rtdfunctions",,CONCATENATE(U79&amp;" "&amp;$G$1))/100</f>
        <v>0</v>
      </c>
      <c r="H79">
        <f>G79-RTD("greekserver.rtdfunctions",,CONCATENATE(U79&amp;" "&amp;$H$1))/100</f>
        <v>-263.8</v>
      </c>
      <c r="I79">
        <v>34300</v>
      </c>
      <c r="J79">
        <f>K79-RTD("greekserver.rtdfunctions",,CONCATENATE(V79&amp;" "&amp;$J$1))/100</f>
        <v>0</v>
      </c>
      <c r="K79">
        <f>RTD("greekserver.rtdfunctions",,CONCATENATE(V79&amp;" "&amp;$K$1))/100</f>
        <v>2800</v>
      </c>
      <c r="L79" t="str">
        <f t="shared" ca="1" si="12"/>
        <v>undefined</v>
      </c>
      <c r="M79">
        <f>RTD("greekserver.rtdfunctions",,CONCATENATE(V79&amp;" "&amp;$M$1))</f>
        <v>0</v>
      </c>
      <c r="N79">
        <f t="shared" si="13"/>
        <v>-20</v>
      </c>
      <c r="O79">
        <f>RTD("greekserver.rtdfunctions",,CONCATENATE(V79&amp;" "&amp;$O$1))</f>
        <v>0</v>
      </c>
      <c r="P79" s="42">
        <f t="shared" ca="1" si="14"/>
        <v>43874</v>
      </c>
      <c r="Q79" s="43">
        <f t="shared" ca="1" si="15"/>
        <v>43874.449634027776</v>
      </c>
      <c r="S79">
        <v>0</v>
      </c>
      <c r="T79">
        <v>20</v>
      </c>
      <c r="U79" s="44">
        <v>102039828</v>
      </c>
      <c r="V79" s="44">
        <v>102039829</v>
      </c>
    </row>
    <row r="80" spans="1:22" x14ac:dyDescent="0.2">
      <c r="A80" t="str">
        <f t="shared" si="8"/>
        <v>CE34400</v>
      </c>
      <c r="B80" t="str">
        <f t="shared" si="9"/>
        <v>PE34400</v>
      </c>
      <c r="C80">
        <f>RTD("greekserver.rtdfunctions",,CONCATENATE($U80&amp;" "&amp;$C$1))</f>
        <v>0</v>
      </c>
      <c r="D80">
        <f t="shared" si="10"/>
        <v>0</v>
      </c>
      <c r="E80">
        <f>RTD("greekserver.rtdfunctions",,CONCATENATE(U80&amp;" "&amp;$E$1))</f>
        <v>0</v>
      </c>
      <c r="F80">
        <f t="shared" ca="1" si="11"/>
        <v>0</v>
      </c>
      <c r="G80">
        <f>RTD("greekserver.rtdfunctions",,CONCATENATE(U80&amp;" "&amp;$G$1))/100</f>
        <v>0</v>
      </c>
      <c r="H80">
        <f>G80-RTD("greekserver.rtdfunctions",,CONCATENATE(U80&amp;" "&amp;$H$1))/100</f>
        <v>-246.8</v>
      </c>
      <c r="I80">
        <v>34400</v>
      </c>
      <c r="J80">
        <f>K80-RTD("greekserver.rtdfunctions",,CONCATENATE(V80&amp;" "&amp;$J$1))/100</f>
        <v>-2644</v>
      </c>
      <c r="K80">
        <f>RTD("greekserver.rtdfunctions",,CONCATENATE(V80&amp;" "&amp;$K$1))/100</f>
        <v>0</v>
      </c>
      <c r="L80" t="str">
        <f t="shared" ca="1" si="12"/>
        <v>undefined</v>
      </c>
      <c r="M80">
        <f>RTD("greekserver.rtdfunctions",,CONCATENATE(V80&amp;" "&amp;$M$1))</f>
        <v>0</v>
      </c>
      <c r="N80">
        <f t="shared" si="13"/>
        <v>0</v>
      </c>
      <c r="O80">
        <f>RTD("greekserver.rtdfunctions",,CONCATENATE(V80&amp;" "&amp;$O$1))</f>
        <v>0</v>
      </c>
      <c r="P80" s="42">
        <f t="shared" ca="1" si="14"/>
        <v>43874</v>
      </c>
      <c r="Q80" s="43">
        <f t="shared" ca="1" si="15"/>
        <v>43874.449634027776</v>
      </c>
      <c r="S80">
        <v>0</v>
      </c>
      <c r="T80">
        <v>0</v>
      </c>
      <c r="U80" s="44">
        <v>102039836</v>
      </c>
      <c r="V80" s="44">
        <v>102039837</v>
      </c>
    </row>
    <row r="81" spans="1:22" x14ac:dyDescent="0.2">
      <c r="A81" t="str">
        <f t="shared" si="8"/>
        <v>CE34500</v>
      </c>
      <c r="B81" t="str">
        <f t="shared" si="9"/>
        <v>PE34500</v>
      </c>
      <c r="C81">
        <f>RTD("greekserver.rtdfunctions",,CONCATENATE($U81&amp;" "&amp;$C$1))</f>
        <v>240</v>
      </c>
      <c r="D81">
        <f t="shared" si="10"/>
        <v>40</v>
      </c>
      <c r="E81">
        <f>RTD("greekserver.rtdfunctions",,CONCATENATE(U81&amp;" "&amp;$E$1))</f>
        <v>80</v>
      </c>
      <c r="F81" t="str">
        <f t="shared" ca="1" si="11"/>
        <v>error</v>
      </c>
      <c r="G81">
        <f>RTD("greekserver.rtdfunctions",,CONCATENATE(U81&amp;" "&amp;$G$1))/100</f>
        <v>0.15</v>
      </c>
      <c r="H81">
        <f>G81-RTD("greekserver.rtdfunctions",,CONCATENATE(U81&amp;" "&amp;$H$1))/100</f>
        <v>-1.35</v>
      </c>
      <c r="I81">
        <v>34500</v>
      </c>
      <c r="J81">
        <f>K81-RTD("greekserver.rtdfunctions",,CONCATENATE(V81&amp;" "&amp;$J$1))/100</f>
        <v>0</v>
      </c>
      <c r="K81">
        <f>RTD("greekserver.rtdfunctions",,CONCATENATE(V81&amp;" "&amp;$K$1))/100</f>
        <v>4324.8999999999996</v>
      </c>
      <c r="L81" t="str">
        <f t="shared" ca="1" si="12"/>
        <v>error</v>
      </c>
      <c r="M81">
        <f>RTD("greekserver.rtdfunctions",,CONCATENATE(V81&amp;" "&amp;$M$1))</f>
        <v>0</v>
      </c>
      <c r="N81">
        <f t="shared" si="13"/>
        <v>-200</v>
      </c>
      <c r="O81">
        <f>RTD("greekserver.rtdfunctions",,CONCATENATE(V81&amp;" "&amp;$O$1))</f>
        <v>0</v>
      </c>
      <c r="P81" s="42">
        <f t="shared" ca="1" si="14"/>
        <v>43874</v>
      </c>
      <c r="Q81" s="43">
        <f t="shared" ca="1" si="15"/>
        <v>43874.449634027776</v>
      </c>
      <c r="S81">
        <v>200</v>
      </c>
      <c r="T81">
        <v>200</v>
      </c>
      <c r="U81" s="44">
        <v>102039846</v>
      </c>
      <c r="V81" s="44">
        <v>102039847</v>
      </c>
    </row>
    <row r="82" spans="1:22" x14ac:dyDescent="0.2">
      <c r="A82" t="str">
        <f t="shared" si="8"/>
        <v>CE34600</v>
      </c>
      <c r="B82" t="str">
        <f t="shared" si="9"/>
        <v>PE34600</v>
      </c>
      <c r="C82">
        <f>RTD("greekserver.rtdfunctions",,CONCATENATE($U82&amp;" "&amp;$C$1))</f>
        <v>60</v>
      </c>
      <c r="D82">
        <f t="shared" si="10"/>
        <v>0</v>
      </c>
      <c r="E82">
        <f>RTD("greekserver.rtdfunctions",,CONCATENATE(U82&amp;" "&amp;$E$1))</f>
        <v>5000</v>
      </c>
      <c r="F82" t="str">
        <f t="shared" ca="1" si="11"/>
        <v>error</v>
      </c>
      <c r="G82">
        <f>RTD("greekserver.rtdfunctions",,CONCATENATE(U82&amp;" "&amp;$G$1))/100</f>
        <v>0.3</v>
      </c>
      <c r="H82">
        <f>G82-RTD("greekserver.rtdfunctions",,CONCATENATE(U82&amp;" "&amp;$H$1))/100</f>
        <v>-4.9999999999999989E-2</v>
      </c>
      <c r="I82">
        <v>34600</v>
      </c>
      <c r="J82">
        <f>K82-RTD("greekserver.rtdfunctions",,CONCATENATE(V82&amp;" "&amp;$J$1))/100</f>
        <v>-2810.8</v>
      </c>
      <c r="K82">
        <f>RTD("greekserver.rtdfunctions",,CONCATENATE(V82&amp;" "&amp;$K$1))/100</f>
        <v>0</v>
      </c>
      <c r="L82" t="str">
        <f t="shared" ca="1" si="12"/>
        <v>undefined</v>
      </c>
      <c r="M82">
        <f>RTD("greekserver.rtdfunctions",,CONCATENATE(V82&amp;" "&amp;$M$1))</f>
        <v>0</v>
      </c>
      <c r="N82">
        <f t="shared" si="13"/>
        <v>0</v>
      </c>
      <c r="O82">
        <f>RTD("greekserver.rtdfunctions",,CONCATENATE(V82&amp;" "&amp;$O$1))</f>
        <v>0</v>
      </c>
      <c r="P82" s="42">
        <f t="shared" ca="1" si="14"/>
        <v>43874</v>
      </c>
      <c r="Q82" s="43">
        <f t="shared" ca="1" si="15"/>
        <v>43874.449634027776</v>
      </c>
      <c r="S82">
        <v>60</v>
      </c>
      <c r="T82">
        <v>0</v>
      </c>
      <c r="U82" s="44">
        <v>102039850</v>
      </c>
      <c r="V82" s="44">
        <v>102039851</v>
      </c>
    </row>
    <row r="83" spans="1:22" x14ac:dyDescent="0.2">
      <c r="A83" t="str">
        <f t="shared" si="8"/>
        <v>CE34700</v>
      </c>
      <c r="B83" t="str">
        <f t="shared" si="9"/>
        <v>PE34700</v>
      </c>
      <c r="C83">
        <f>RTD("greekserver.rtdfunctions",,CONCATENATE($U83&amp;" "&amp;$C$1))</f>
        <v>2740</v>
      </c>
      <c r="D83">
        <f t="shared" si="10"/>
        <v>2640</v>
      </c>
      <c r="E83">
        <f>RTD("greekserver.rtdfunctions",,CONCATENATE(U83&amp;" "&amp;$E$1))</f>
        <v>280100</v>
      </c>
      <c r="F83" t="str">
        <f t="shared" ca="1" si="11"/>
        <v>error</v>
      </c>
      <c r="G83">
        <f>RTD("greekserver.rtdfunctions",,CONCATENATE(U83&amp;" "&amp;$G$1))/100</f>
        <v>0.15</v>
      </c>
      <c r="H83">
        <f>G83-RTD("greekserver.rtdfunctions",,CONCATENATE(U83&amp;" "&amp;$H$1))/100</f>
        <v>-1.1000000000000001</v>
      </c>
      <c r="I83">
        <v>34700</v>
      </c>
      <c r="J83">
        <f>K83-RTD("greekserver.rtdfunctions",,CONCATENATE(V83&amp;" "&amp;$J$1))/100</f>
        <v>-2895.5</v>
      </c>
      <c r="K83">
        <f>RTD("greekserver.rtdfunctions",,CONCATENATE(V83&amp;" "&amp;$K$1))/100</f>
        <v>0</v>
      </c>
      <c r="L83" t="str">
        <f t="shared" ca="1" si="12"/>
        <v>undefined</v>
      </c>
      <c r="M83">
        <f>RTD("greekserver.rtdfunctions",,CONCATENATE(V83&amp;" "&amp;$M$1))</f>
        <v>0</v>
      </c>
      <c r="N83">
        <f t="shared" si="13"/>
        <v>0</v>
      </c>
      <c r="O83">
        <f>RTD("greekserver.rtdfunctions",,CONCATENATE(V83&amp;" "&amp;$O$1))</f>
        <v>0</v>
      </c>
      <c r="P83" s="42">
        <f t="shared" ca="1" si="14"/>
        <v>43874</v>
      </c>
      <c r="Q83" s="43">
        <f t="shared" ca="1" si="15"/>
        <v>43874.449634027776</v>
      </c>
      <c r="S83">
        <v>100</v>
      </c>
      <c r="T83">
        <v>0</v>
      </c>
      <c r="U83" s="44">
        <v>102039854</v>
      </c>
      <c r="V83" s="44">
        <v>102039855</v>
      </c>
    </row>
    <row r="84" spans="1:22" x14ac:dyDescent="0.2">
      <c r="A84" t="str">
        <f t="shared" si="8"/>
        <v>CE34800</v>
      </c>
      <c r="B84" t="str">
        <f t="shared" si="9"/>
        <v>PE34800</v>
      </c>
      <c r="C84">
        <f>RTD("greekserver.rtdfunctions",,CONCATENATE($U84&amp;" "&amp;$C$1))</f>
        <v>60</v>
      </c>
      <c r="D84">
        <f t="shared" si="10"/>
        <v>60</v>
      </c>
      <c r="E84">
        <f>RTD("greekserver.rtdfunctions",,CONCATENATE(U84&amp;" "&amp;$E$1))</f>
        <v>270060</v>
      </c>
      <c r="F84" t="str">
        <f t="shared" ca="1" si="11"/>
        <v>error</v>
      </c>
      <c r="G84">
        <f>RTD("greekserver.rtdfunctions",,CONCATENATE(U84&amp;" "&amp;$G$1))/100</f>
        <v>0.15</v>
      </c>
      <c r="H84">
        <f>G84-RTD("greekserver.rtdfunctions",,CONCATENATE(U84&amp;" "&amp;$H$1))/100</f>
        <v>-241.5</v>
      </c>
      <c r="I84">
        <v>34800</v>
      </c>
      <c r="J84">
        <f>K84-RTD("greekserver.rtdfunctions",,CONCATENATE(V84&amp;" "&amp;$J$1))/100</f>
        <v>-2701.15</v>
      </c>
      <c r="K84">
        <f>RTD("greekserver.rtdfunctions",,CONCATENATE(V84&amp;" "&amp;$K$1))/100</f>
        <v>0</v>
      </c>
      <c r="L84" t="str">
        <f t="shared" ca="1" si="12"/>
        <v>undefined</v>
      </c>
      <c r="M84">
        <f>RTD("greekserver.rtdfunctions",,CONCATENATE(V84&amp;" "&amp;$M$1))</f>
        <v>0</v>
      </c>
      <c r="N84">
        <f t="shared" si="13"/>
        <v>0</v>
      </c>
      <c r="O84">
        <f>RTD("greekserver.rtdfunctions",,CONCATENATE(V84&amp;" "&amp;$O$1))</f>
        <v>0</v>
      </c>
      <c r="P84" s="42">
        <f t="shared" ca="1" si="14"/>
        <v>43874</v>
      </c>
      <c r="Q84" s="43">
        <f t="shared" ca="1" si="15"/>
        <v>43874.449634027776</v>
      </c>
      <c r="S84">
        <v>0</v>
      </c>
      <c r="T84">
        <v>0</v>
      </c>
      <c r="U84" s="44">
        <v>102035016</v>
      </c>
      <c r="V84" s="44">
        <v>102035017</v>
      </c>
    </row>
    <row r="85" spans="1:22" x14ac:dyDescent="0.2">
      <c r="A85" t="str">
        <f t="shared" si="8"/>
        <v>CE34900</v>
      </c>
      <c r="B85" t="str">
        <f t="shared" si="9"/>
        <v>PE34900</v>
      </c>
      <c r="C85">
        <f>RTD("greekserver.rtdfunctions",,CONCATENATE($U85&amp;" "&amp;$C$1))</f>
        <v>0</v>
      </c>
      <c r="D85">
        <f t="shared" si="10"/>
        <v>-100</v>
      </c>
      <c r="E85">
        <f>RTD("greekserver.rtdfunctions",,CONCATENATE(U85&amp;" "&amp;$E$1))</f>
        <v>0</v>
      </c>
      <c r="F85" t="str">
        <f t="shared" ca="1" si="11"/>
        <v>error</v>
      </c>
      <c r="G85">
        <f>RTD("greekserver.rtdfunctions",,CONCATENATE(U85&amp;" "&amp;$G$1))/100</f>
        <v>1</v>
      </c>
      <c r="H85">
        <f>G85-RTD("greekserver.rtdfunctions",,CONCATENATE(U85&amp;" "&amp;$H$1))/100</f>
        <v>0</v>
      </c>
      <c r="I85">
        <v>34900</v>
      </c>
      <c r="J85">
        <f>K85-RTD("greekserver.rtdfunctions",,CONCATENATE(V85&amp;" "&amp;$J$1))/100</f>
        <v>-2784.55</v>
      </c>
      <c r="K85">
        <f>RTD("greekserver.rtdfunctions",,CONCATENATE(V85&amp;" "&amp;$K$1))/100</f>
        <v>0</v>
      </c>
      <c r="L85" t="str">
        <f t="shared" ca="1" si="12"/>
        <v>undefined</v>
      </c>
      <c r="M85">
        <f>RTD("greekserver.rtdfunctions",,CONCATENATE(V85&amp;" "&amp;$M$1))</f>
        <v>0</v>
      </c>
      <c r="N85">
        <f t="shared" si="13"/>
        <v>0</v>
      </c>
      <c r="O85">
        <f>RTD("greekserver.rtdfunctions",,CONCATENATE(V85&amp;" "&amp;$O$1))</f>
        <v>0</v>
      </c>
      <c r="P85" s="42">
        <f t="shared" ca="1" si="14"/>
        <v>43874</v>
      </c>
      <c r="Q85" s="43">
        <f t="shared" ca="1" si="15"/>
        <v>43874.449634027776</v>
      </c>
      <c r="S85">
        <v>100</v>
      </c>
      <c r="T85">
        <v>0</v>
      </c>
      <c r="U85" s="44">
        <v>102035026</v>
      </c>
      <c r="V85" s="44">
        <v>102035027</v>
      </c>
    </row>
    <row r="86" spans="1:22" x14ac:dyDescent="0.2">
      <c r="A86" t="str">
        <f t="shared" si="8"/>
        <v>CE35000</v>
      </c>
      <c r="B86" t="str">
        <f t="shared" si="9"/>
        <v>PE35000</v>
      </c>
      <c r="C86">
        <f>RTD("greekserver.rtdfunctions",,CONCATENATE($U86&amp;" "&amp;$C$1))</f>
        <v>340</v>
      </c>
      <c r="D86">
        <f t="shared" si="10"/>
        <v>0</v>
      </c>
      <c r="E86">
        <f>RTD("greekserver.rtdfunctions",,CONCATENATE(U86&amp;" "&amp;$E$1))</f>
        <v>20</v>
      </c>
      <c r="F86" t="str">
        <f t="shared" ca="1" si="11"/>
        <v>error</v>
      </c>
      <c r="G86">
        <f>RTD("greekserver.rtdfunctions",,CONCATENATE(U86&amp;" "&amp;$G$1))/100</f>
        <v>0.4</v>
      </c>
      <c r="H86">
        <f>G86-RTD("greekserver.rtdfunctions",,CONCATENATE(U86&amp;" "&amp;$H$1))/100</f>
        <v>-9.9999999999999978E-2</v>
      </c>
      <c r="I86">
        <v>35000</v>
      </c>
      <c r="J86">
        <f>K86-RTD("greekserver.rtdfunctions",,CONCATENATE(V86&amp;" "&amp;$J$1))/100</f>
        <v>0</v>
      </c>
      <c r="K86">
        <f>RTD("greekserver.rtdfunctions",,CONCATENATE(V86&amp;" "&amp;$K$1))/100</f>
        <v>3594.8</v>
      </c>
      <c r="L86" t="str">
        <f t="shared" ca="1" si="12"/>
        <v>undefined</v>
      </c>
      <c r="M86">
        <f>RTD("greekserver.rtdfunctions",,CONCATENATE(V86&amp;" "&amp;$M$1))</f>
        <v>0</v>
      </c>
      <c r="N86">
        <f t="shared" si="13"/>
        <v>-320</v>
      </c>
      <c r="O86">
        <f>RTD("greekserver.rtdfunctions",,CONCATENATE(V86&amp;" "&amp;$O$1))</f>
        <v>0</v>
      </c>
      <c r="P86" s="42">
        <f t="shared" ca="1" si="14"/>
        <v>43874</v>
      </c>
      <c r="Q86" s="43">
        <f t="shared" ca="1" si="15"/>
        <v>43874.449634027776</v>
      </c>
      <c r="S86">
        <v>340</v>
      </c>
      <c r="T86">
        <v>320</v>
      </c>
      <c r="U86" s="44">
        <v>102035046</v>
      </c>
      <c r="V86" s="44">
        <v>102035047</v>
      </c>
    </row>
    <row r="87" spans="1:22" x14ac:dyDescent="0.2">
      <c r="A87" t="str">
        <f t="shared" si="8"/>
        <v>CE35100</v>
      </c>
      <c r="B87" t="str">
        <f t="shared" si="9"/>
        <v>PE35100</v>
      </c>
      <c r="C87">
        <f>RTD("greekserver.rtdfunctions",,CONCATENATE($U87&amp;" "&amp;$C$1))</f>
        <v>0</v>
      </c>
      <c r="D87">
        <f t="shared" si="10"/>
        <v>-280</v>
      </c>
      <c r="E87">
        <f>RTD("greekserver.rtdfunctions",,CONCATENATE(U87&amp;" "&amp;$E$1))</f>
        <v>0</v>
      </c>
      <c r="F87" t="str">
        <f t="shared" ca="1" si="11"/>
        <v>error</v>
      </c>
      <c r="G87">
        <f>RTD("greekserver.rtdfunctions",,CONCATENATE(U87&amp;" "&amp;$G$1))/100</f>
        <v>0.6</v>
      </c>
      <c r="H87">
        <f>G87-RTD("greekserver.rtdfunctions",,CONCATENATE(U87&amp;" "&amp;$H$1))/100</f>
        <v>0</v>
      </c>
      <c r="I87">
        <v>35100</v>
      </c>
      <c r="J87">
        <f>K87-RTD("greekserver.rtdfunctions",,CONCATENATE(V87&amp;" "&amp;$J$1))/100</f>
        <v>-2830.8</v>
      </c>
      <c r="K87">
        <f>RTD("greekserver.rtdfunctions",,CONCATENATE(V87&amp;" "&amp;$K$1))/100</f>
        <v>0</v>
      </c>
      <c r="L87" t="str">
        <f t="shared" ca="1" si="12"/>
        <v>undefined</v>
      </c>
      <c r="M87">
        <f>RTD("greekserver.rtdfunctions",,CONCATENATE(V87&amp;" "&amp;$M$1))</f>
        <v>0</v>
      </c>
      <c r="N87">
        <f t="shared" si="13"/>
        <v>0</v>
      </c>
      <c r="O87">
        <f>RTD("greekserver.rtdfunctions",,CONCATENATE(V87&amp;" "&amp;$O$1))</f>
        <v>0</v>
      </c>
      <c r="P87" s="42">
        <f t="shared" ca="1" si="14"/>
        <v>43874</v>
      </c>
      <c r="Q87" s="43">
        <f t="shared" ca="1" si="15"/>
        <v>43874.449634027776</v>
      </c>
      <c r="S87">
        <v>280</v>
      </c>
      <c r="T87">
        <v>0</v>
      </c>
      <c r="U87" s="44">
        <v>102040997</v>
      </c>
      <c r="V87" s="44">
        <v>102040998</v>
      </c>
    </row>
    <row r="88" spans="1:22" x14ac:dyDescent="0.2">
      <c r="A88" t="str">
        <f t="shared" si="8"/>
        <v>CE35200</v>
      </c>
      <c r="B88" t="str">
        <f t="shared" si="9"/>
        <v>PE35200</v>
      </c>
      <c r="C88">
        <f>RTD("greekserver.rtdfunctions",,CONCATENATE($U88&amp;" "&amp;$C$1))</f>
        <v>1240</v>
      </c>
      <c r="D88">
        <f t="shared" si="10"/>
        <v>0</v>
      </c>
      <c r="E88">
        <f>RTD("greekserver.rtdfunctions",,CONCATENATE(U88&amp;" "&amp;$E$1))</f>
        <v>10240</v>
      </c>
      <c r="F88" t="str">
        <f t="shared" ca="1" si="11"/>
        <v>error</v>
      </c>
      <c r="G88">
        <f>RTD("greekserver.rtdfunctions",,CONCATENATE(U88&amp;" "&amp;$G$1))/100</f>
        <v>0.05</v>
      </c>
      <c r="H88">
        <f>G88-RTD("greekserver.rtdfunctions",,CONCATENATE(U88&amp;" "&amp;$H$1))/100</f>
        <v>-0.45</v>
      </c>
      <c r="I88">
        <v>35200</v>
      </c>
      <c r="J88">
        <f>K88-RTD("greekserver.rtdfunctions",,CONCATENATE(V88&amp;" "&amp;$J$1))/100</f>
        <v>-2815.85</v>
      </c>
      <c r="K88">
        <f>RTD("greekserver.rtdfunctions",,CONCATENATE(V88&amp;" "&amp;$K$1))/100</f>
        <v>0</v>
      </c>
      <c r="L88" t="str">
        <f t="shared" ca="1" si="12"/>
        <v>undefined</v>
      </c>
      <c r="M88">
        <f>RTD("greekserver.rtdfunctions",,CONCATENATE(V88&amp;" "&amp;$M$1))</f>
        <v>0</v>
      </c>
      <c r="N88">
        <f t="shared" si="13"/>
        <v>0</v>
      </c>
      <c r="O88">
        <f>RTD("greekserver.rtdfunctions",,CONCATENATE(V88&amp;" "&amp;$O$1))</f>
        <v>0</v>
      </c>
      <c r="P88" s="42">
        <f t="shared" ca="1" si="14"/>
        <v>43874</v>
      </c>
      <c r="Q88" s="43">
        <f t="shared" ca="1" si="15"/>
        <v>43874.449634027776</v>
      </c>
      <c r="S88">
        <v>1240</v>
      </c>
      <c r="T88">
        <v>0</v>
      </c>
      <c r="U88" s="44">
        <v>102041287</v>
      </c>
      <c r="V88" s="44">
        <v>102041288</v>
      </c>
    </row>
    <row r="89" spans="1:22" x14ac:dyDescent="0.2">
      <c r="A89" t="str">
        <f t="shared" si="8"/>
        <v>CE35300</v>
      </c>
      <c r="B89" t="str">
        <f t="shared" si="9"/>
        <v>PE35300</v>
      </c>
      <c r="C89">
        <f>RTD("greekserver.rtdfunctions",,CONCATENATE($U89&amp;" "&amp;$C$1))</f>
        <v>0</v>
      </c>
      <c r="D89">
        <f t="shared" si="10"/>
        <v>-160</v>
      </c>
      <c r="E89">
        <f>RTD("greekserver.rtdfunctions",,CONCATENATE(U89&amp;" "&amp;$E$1))</f>
        <v>0</v>
      </c>
      <c r="F89" t="str">
        <f t="shared" ca="1" si="11"/>
        <v>error</v>
      </c>
      <c r="G89">
        <f>RTD("greekserver.rtdfunctions",,CONCATENATE(U89&amp;" "&amp;$G$1))/100</f>
        <v>0.1</v>
      </c>
      <c r="H89">
        <f>G89-RTD("greekserver.rtdfunctions",,CONCATENATE(U89&amp;" "&amp;$H$1))/100</f>
        <v>0</v>
      </c>
      <c r="I89">
        <v>35300</v>
      </c>
      <c r="J89">
        <f>K89-RTD("greekserver.rtdfunctions",,CONCATENATE(V89&amp;" "&amp;$J$1))/100</f>
        <v>-2754.2</v>
      </c>
      <c r="K89">
        <f>RTD("greekserver.rtdfunctions",,CONCATENATE(V89&amp;" "&amp;$K$1))/100</f>
        <v>0</v>
      </c>
      <c r="L89" t="str">
        <f t="shared" ca="1" si="12"/>
        <v>undefined</v>
      </c>
      <c r="M89">
        <f>RTD("greekserver.rtdfunctions",,CONCATENATE(V89&amp;" "&amp;$M$1))</f>
        <v>0</v>
      </c>
      <c r="N89">
        <f t="shared" si="13"/>
        <v>0</v>
      </c>
      <c r="O89">
        <f>RTD("greekserver.rtdfunctions",,CONCATENATE(V89&amp;" "&amp;$O$1))</f>
        <v>0</v>
      </c>
      <c r="P89" s="42">
        <f t="shared" ca="1" si="14"/>
        <v>43874</v>
      </c>
      <c r="Q89" s="43">
        <f t="shared" ca="1" si="15"/>
        <v>43874.449634027776</v>
      </c>
      <c r="S89">
        <v>160</v>
      </c>
      <c r="T89">
        <v>0</v>
      </c>
      <c r="U89" s="44">
        <v>102039597</v>
      </c>
      <c r="V89" s="44">
        <v>102039599</v>
      </c>
    </row>
    <row r="90" spans="1:22" x14ac:dyDescent="0.2">
      <c r="A90" t="str">
        <f t="shared" si="8"/>
        <v>CE35400</v>
      </c>
      <c r="B90" t="str">
        <f t="shared" si="9"/>
        <v>PE35400</v>
      </c>
      <c r="C90">
        <f>RTD("greekserver.rtdfunctions",,CONCATENATE($U90&amp;" "&amp;$C$1))</f>
        <v>0</v>
      </c>
      <c r="D90">
        <f t="shared" si="10"/>
        <v>-4740</v>
      </c>
      <c r="E90">
        <f>RTD("greekserver.rtdfunctions",,CONCATENATE(U90&amp;" "&amp;$E$1))</f>
        <v>0</v>
      </c>
      <c r="F90" t="str">
        <f t="shared" ca="1" si="11"/>
        <v>error</v>
      </c>
      <c r="G90">
        <f>RTD("greekserver.rtdfunctions",,CONCATENATE(U90&amp;" "&amp;$G$1))/100</f>
        <v>0.2</v>
      </c>
      <c r="H90">
        <f>G90-RTD("greekserver.rtdfunctions",,CONCATENATE(U90&amp;" "&amp;$H$1))/100</f>
        <v>-4.9999999999999989E-2</v>
      </c>
      <c r="I90">
        <v>35400</v>
      </c>
      <c r="J90">
        <f>K90-RTD("greekserver.rtdfunctions",,CONCATENATE(V90&amp;" "&amp;$J$1))/100</f>
        <v>-2842.5</v>
      </c>
      <c r="K90">
        <f>RTD("greekserver.rtdfunctions",,CONCATENATE(V90&amp;" "&amp;$K$1))/100</f>
        <v>0</v>
      </c>
      <c r="L90" t="str">
        <f t="shared" ca="1" si="12"/>
        <v>undefined</v>
      </c>
      <c r="M90">
        <f>RTD("greekserver.rtdfunctions",,CONCATENATE(V90&amp;" "&amp;$M$1))</f>
        <v>0</v>
      </c>
      <c r="N90">
        <f t="shared" si="13"/>
        <v>0</v>
      </c>
      <c r="O90">
        <f>RTD("greekserver.rtdfunctions",,CONCATENATE(V90&amp;" "&amp;$O$1))</f>
        <v>0</v>
      </c>
      <c r="P90" s="42">
        <f t="shared" ca="1" si="14"/>
        <v>43874</v>
      </c>
      <c r="Q90" s="43">
        <f t="shared" ca="1" si="15"/>
        <v>43874.449634027776</v>
      </c>
      <c r="S90">
        <v>4740</v>
      </c>
      <c r="T90">
        <v>0</v>
      </c>
      <c r="U90" s="44">
        <v>102039646</v>
      </c>
      <c r="V90" s="44">
        <v>102039647</v>
      </c>
    </row>
    <row r="91" spans="1:22" x14ac:dyDescent="0.2">
      <c r="I91"/>
      <c r="J91" s="44"/>
    </row>
    <row r="92" spans="1:22" x14ac:dyDescent="0.2">
      <c r="I92"/>
      <c r="J92" s="44"/>
      <c r="Q92" s="42"/>
      <c r="R92" s="43"/>
    </row>
    <row r="93" spans="1:22" x14ac:dyDescent="0.2">
      <c r="I93"/>
      <c r="J93" s="44"/>
      <c r="Q93" s="42"/>
      <c r="R93" s="43"/>
    </row>
    <row r="94" spans="1:22" x14ac:dyDescent="0.2">
      <c r="I94"/>
      <c r="J94" s="44"/>
      <c r="Q94" s="42"/>
      <c r="R94" s="43"/>
    </row>
    <row r="95" spans="1:22" x14ac:dyDescent="0.2">
      <c r="I95"/>
      <c r="J95" s="44"/>
      <c r="Q95" s="42"/>
      <c r="R95" s="43"/>
    </row>
    <row r="96" spans="1:22" x14ac:dyDescent="0.2">
      <c r="I96"/>
      <c r="J96" s="44"/>
      <c r="Q96" s="42"/>
      <c r="R96" s="43"/>
    </row>
    <row r="97" spans="9:18" x14ac:dyDescent="0.2">
      <c r="I97"/>
      <c r="J97" s="44"/>
      <c r="Q97" s="42"/>
      <c r="R97" s="43"/>
    </row>
    <row r="98" spans="9:18" x14ac:dyDescent="0.2">
      <c r="I98"/>
      <c r="J98" s="44"/>
      <c r="Q98" s="42"/>
      <c r="R98" s="43"/>
    </row>
    <row r="99" spans="9:18" x14ac:dyDescent="0.2">
      <c r="I99"/>
      <c r="J99" s="44"/>
      <c r="Q99" s="42"/>
      <c r="R99" s="43"/>
    </row>
    <row r="100" spans="9:18" x14ac:dyDescent="0.2">
      <c r="I100"/>
      <c r="J100" s="44"/>
      <c r="Q100" s="42"/>
      <c r="R100" s="43"/>
    </row>
    <row r="101" spans="9:18" x14ac:dyDescent="0.2">
      <c r="I101"/>
      <c r="J101" s="44"/>
      <c r="Q101" s="42"/>
      <c r="R101" s="43"/>
    </row>
    <row r="102" spans="9:18" x14ac:dyDescent="0.2">
      <c r="I102"/>
      <c r="J102" s="44"/>
      <c r="Q102" s="42"/>
      <c r="R102" s="43"/>
    </row>
    <row r="103" spans="9:18" x14ac:dyDescent="0.2">
      <c r="I103"/>
      <c r="J103" s="44"/>
      <c r="Q103" s="42"/>
      <c r="R103" s="43"/>
    </row>
    <row r="104" spans="9:18" x14ac:dyDescent="0.2">
      <c r="I104"/>
      <c r="J104" s="44"/>
      <c r="Q104" s="42"/>
      <c r="R104" s="43"/>
    </row>
    <row r="105" spans="9:18" x14ac:dyDescent="0.2">
      <c r="I105"/>
      <c r="J105" s="44"/>
      <c r="Q105" s="42"/>
      <c r="R105" s="43"/>
    </row>
    <row r="106" spans="9:18" x14ac:dyDescent="0.2">
      <c r="I106"/>
      <c r="J106" s="44"/>
      <c r="Q106" s="42"/>
      <c r="R106" s="43"/>
    </row>
    <row r="107" spans="9:18" x14ac:dyDescent="0.2">
      <c r="I107"/>
      <c r="J107" s="44"/>
      <c r="Q107" s="42"/>
      <c r="R107" s="43"/>
    </row>
    <row r="108" spans="9:18" x14ac:dyDescent="0.2">
      <c r="I108"/>
      <c r="J108" s="44"/>
      <c r="Q108" s="42"/>
      <c r="R108" s="43"/>
    </row>
    <row r="109" spans="9:18" x14ac:dyDescent="0.2">
      <c r="I109"/>
      <c r="J109" s="44"/>
      <c r="Q109" s="42"/>
      <c r="R109" s="43"/>
    </row>
    <row r="110" spans="9:18" x14ac:dyDescent="0.2">
      <c r="I110"/>
      <c r="J110" s="44"/>
      <c r="Q110" s="42"/>
      <c r="R110" s="43"/>
    </row>
    <row r="111" spans="9:18" x14ac:dyDescent="0.2">
      <c r="I111"/>
      <c r="J111" s="44"/>
      <c r="Q111" s="42"/>
      <c r="R111" s="43"/>
    </row>
    <row r="112" spans="9:18" x14ac:dyDescent="0.2">
      <c r="I112"/>
      <c r="J112" s="44"/>
      <c r="Q112" s="42"/>
      <c r="R112" s="43"/>
    </row>
    <row r="113" spans="9:18" x14ac:dyDescent="0.2">
      <c r="I113"/>
      <c r="J113" s="44"/>
      <c r="Q113" s="42"/>
      <c r="R113" s="43"/>
    </row>
    <row r="114" spans="9:18" x14ac:dyDescent="0.2">
      <c r="I114"/>
      <c r="J114" s="44"/>
      <c r="Q114" s="42"/>
      <c r="R114" s="43"/>
    </row>
    <row r="115" spans="9:18" x14ac:dyDescent="0.2">
      <c r="I115"/>
      <c r="J115" s="44"/>
      <c r="Q115" s="42"/>
      <c r="R115" s="43"/>
    </row>
    <row r="116" spans="9:18" x14ac:dyDescent="0.2">
      <c r="I116"/>
      <c r="J116" s="44"/>
      <c r="Q116" s="42"/>
      <c r="R116" s="43"/>
    </row>
    <row r="117" spans="9:18" x14ac:dyDescent="0.2">
      <c r="I117"/>
      <c r="J117" s="44"/>
      <c r="Q117" s="42"/>
      <c r="R117" s="43"/>
    </row>
    <row r="118" spans="9:18" x14ac:dyDescent="0.2">
      <c r="I118"/>
      <c r="J118" s="44"/>
      <c r="Q118" s="42"/>
      <c r="R118" s="43"/>
    </row>
    <row r="119" spans="9:18" x14ac:dyDescent="0.2">
      <c r="I119"/>
      <c r="J119" s="44"/>
      <c r="Q119" s="42"/>
      <c r="R119" s="43"/>
    </row>
    <row r="120" spans="9:18" x14ac:dyDescent="0.2">
      <c r="I120"/>
      <c r="J120" s="44"/>
      <c r="Q120" s="42"/>
      <c r="R120" s="43"/>
    </row>
    <row r="121" spans="9:18" x14ac:dyDescent="0.2">
      <c r="I121"/>
      <c r="J121" s="44"/>
      <c r="Q121" s="42"/>
      <c r="R121" s="43"/>
    </row>
    <row r="122" spans="9:18" x14ac:dyDescent="0.2">
      <c r="I122"/>
      <c r="J122" s="44"/>
      <c r="Q122" s="42"/>
      <c r="R122" s="43"/>
    </row>
    <row r="123" spans="9:18" x14ac:dyDescent="0.2">
      <c r="I123"/>
      <c r="J123" s="44"/>
      <c r="Q123" s="42"/>
      <c r="R123" s="43"/>
    </row>
    <row r="124" spans="9:18" x14ac:dyDescent="0.2">
      <c r="I124"/>
      <c r="J124" s="44"/>
      <c r="Q124" s="42"/>
      <c r="R124" s="43"/>
    </row>
    <row r="125" spans="9:18" x14ac:dyDescent="0.2">
      <c r="I125"/>
      <c r="J125" s="44"/>
      <c r="Q125" s="42"/>
      <c r="R125" s="43"/>
    </row>
    <row r="126" spans="9:18" x14ac:dyDescent="0.2">
      <c r="I126"/>
      <c r="J126" s="44"/>
      <c r="Q126" s="42"/>
      <c r="R126" s="43"/>
    </row>
    <row r="127" spans="9:18" x14ac:dyDescent="0.2">
      <c r="I127"/>
      <c r="J127" s="44"/>
      <c r="Q127" s="42"/>
      <c r="R127" s="43"/>
    </row>
    <row r="128" spans="9:18" x14ac:dyDescent="0.2">
      <c r="I128"/>
      <c r="J128" s="44"/>
      <c r="Q128" s="42"/>
      <c r="R128" s="43"/>
    </row>
    <row r="129" spans="9:18" x14ac:dyDescent="0.2">
      <c r="I129"/>
      <c r="J129" s="44"/>
      <c r="Q129" s="42"/>
      <c r="R129" s="43"/>
    </row>
    <row r="130" spans="9:18" x14ac:dyDescent="0.2">
      <c r="I130"/>
      <c r="J130" s="44"/>
      <c r="Q130" s="42"/>
      <c r="R130" s="43"/>
    </row>
    <row r="131" spans="9:18" x14ac:dyDescent="0.2">
      <c r="I131"/>
      <c r="J131" s="44"/>
      <c r="Q131" s="42"/>
      <c r="R131" s="43"/>
    </row>
    <row r="132" spans="9:18" x14ac:dyDescent="0.2">
      <c r="I132"/>
      <c r="J132" s="44"/>
      <c r="Q132" s="42"/>
      <c r="R132" s="43"/>
    </row>
    <row r="133" spans="9:18" x14ac:dyDescent="0.2">
      <c r="I133"/>
      <c r="J133" s="44"/>
      <c r="Q133" s="42"/>
      <c r="R133" s="43"/>
    </row>
    <row r="134" spans="9:18" x14ac:dyDescent="0.2">
      <c r="I134"/>
      <c r="J134" s="44"/>
      <c r="Q134" s="42"/>
      <c r="R134" s="43"/>
    </row>
    <row r="135" spans="9:18" x14ac:dyDescent="0.2">
      <c r="I135"/>
      <c r="J135" s="44"/>
      <c r="Q135" s="42"/>
      <c r="R135" s="43"/>
    </row>
    <row r="136" spans="9:18" x14ac:dyDescent="0.2">
      <c r="I136"/>
      <c r="J136" s="44"/>
      <c r="Q136" s="42"/>
      <c r="R136" s="43"/>
    </row>
    <row r="137" spans="9:18" x14ac:dyDescent="0.2">
      <c r="I137"/>
      <c r="J137" s="44"/>
      <c r="Q137" s="42"/>
      <c r="R137" s="43"/>
    </row>
    <row r="138" spans="9:18" x14ac:dyDescent="0.2">
      <c r="I138"/>
      <c r="J138" s="44"/>
      <c r="Q138" s="42"/>
      <c r="R138" s="43"/>
    </row>
    <row r="139" spans="9:18" x14ac:dyDescent="0.2">
      <c r="I139"/>
      <c r="J139" s="44"/>
      <c r="Q139" s="42"/>
      <c r="R139" s="43"/>
    </row>
    <row r="140" spans="9:18" x14ac:dyDescent="0.2">
      <c r="I140"/>
      <c r="J140" s="44"/>
      <c r="Q140" s="42"/>
      <c r="R140" s="43"/>
    </row>
    <row r="141" spans="9:18" x14ac:dyDescent="0.2">
      <c r="I141"/>
      <c r="J141" s="44"/>
      <c r="Q141" s="42"/>
      <c r="R141" s="43"/>
    </row>
    <row r="142" spans="9:18" x14ac:dyDescent="0.2">
      <c r="I142"/>
      <c r="J142" s="44"/>
      <c r="Q142" s="42"/>
      <c r="R142" s="43"/>
    </row>
    <row r="143" spans="9:18" x14ac:dyDescent="0.2">
      <c r="I143"/>
      <c r="J143" s="44"/>
      <c r="Q143" s="42"/>
      <c r="R143" s="43"/>
    </row>
    <row r="144" spans="9:18" x14ac:dyDescent="0.2">
      <c r="I144"/>
      <c r="J144" s="44"/>
      <c r="Q144" s="42"/>
      <c r="R144" s="43"/>
    </row>
    <row r="145" spans="9:18" x14ac:dyDescent="0.2">
      <c r="I145"/>
      <c r="J145" s="44"/>
      <c r="Q145" s="42"/>
      <c r="R145" s="43"/>
    </row>
    <row r="146" spans="9:18" x14ac:dyDescent="0.2">
      <c r="I146"/>
      <c r="J146" s="44"/>
      <c r="Q146" s="42"/>
      <c r="R146" s="43"/>
    </row>
    <row r="147" spans="9:18" x14ac:dyDescent="0.2">
      <c r="I147"/>
      <c r="J147" s="44"/>
      <c r="Q147" s="42"/>
      <c r="R147" s="43"/>
    </row>
    <row r="148" spans="9:18" x14ac:dyDescent="0.2">
      <c r="I148"/>
      <c r="J148" s="44"/>
      <c r="Q148" s="42"/>
      <c r="R148" s="43"/>
    </row>
    <row r="149" spans="9:18" x14ac:dyDescent="0.2">
      <c r="I149"/>
      <c r="J149" s="44"/>
      <c r="Q149" s="42"/>
      <c r="R149" s="43"/>
    </row>
    <row r="150" spans="9:18" x14ac:dyDescent="0.2">
      <c r="I150"/>
      <c r="J150" s="44"/>
      <c r="Q150" s="42"/>
      <c r="R150" s="43"/>
    </row>
    <row r="151" spans="9:18" x14ac:dyDescent="0.2">
      <c r="I151"/>
      <c r="J151" s="44"/>
      <c r="Q151" s="42"/>
      <c r="R151" s="43"/>
    </row>
    <row r="152" spans="9:18" x14ac:dyDescent="0.2">
      <c r="I152"/>
      <c r="J152" s="44"/>
      <c r="Q152" s="42"/>
      <c r="R152" s="43"/>
    </row>
    <row r="153" spans="9:18" x14ac:dyDescent="0.2">
      <c r="I153"/>
      <c r="J153" s="44"/>
      <c r="Q153" s="42"/>
      <c r="R153" s="43"/>
    </row>
    <row r="154" spans="9:18" x14ac:dyDescent="0.2">
      <c r="I154"/>
      <c r="J154" s="44"/>
      <c r="Q154" s="42"/>
      <c r="R154" s="43"/>
    </row>
    <row r="155" spans="9:18" x14ac:dyDescent="0.2">
      <c r="I155"/>
      <c r="J155" s="44"/>
      <c r="Q155" s="42"/>
      <c r="R155" s="43"/>
    </row>
    <row r="156" spans="9:18" x14ac:dyDescent="0.2">
      <c r="I156"/>
      <c r="J156" s="44"/>
      <c r="Q156" s="42"/>
      <c r="R156" s="43"/>
    </row>
    <row r="157" spans="9:18" x14ac:dyDescent="0.2">
      <c r="I157"/>
      <c r="J157" s="44"/>
      <c r="Q157" s="42"/>
      <c r="R157" s="43"/>
    </row>
    <row r="158" spans="9:18" x14ac:dyDescent="0.2">
      <c r="I158"/>
      <c r="J158" s="44"/>
      <c r="Q158" s="42"/>
      <c r="R158" s="43"/>
    </row>
    <row r="159" spans="9:18" x14ac:dyDescent="0.2">
      <c r="I159"/>
      <c r="J159" s="44"/>
      <c r="Q159" s="42"/>
      <c r="R159" s="43"/>
    </row>
    <row r="160" spans="9:18" x14ac:dyDescent="0.2">
      <c r="I160"/>
      <c r="J160" s="44"/>
      <c r="Q160" s="42"/>
      <c r="R160" s="43"/>
    </row>
    <row r="161" spans="9:18" x14ac:dyDescent="0.2">
      <c r="I161"/>
      <c r="J161" s="44"/>
      <c r="Q161" s="42"/>
      <c r="R161" s="43"/>
    </row>
    <row r="162" spans="9:18" x14ac:dyDescent="0.2">
      <c r="I162"/>
      <c r="J162" s="44"/>
      <c r="Q162" s="42"/>
      <c r="R162" s="43"/>
    </row>
    <row r="163" spans="9:18" x14ac:dyDescent="0.2">
      <c r="I163"/>
      <c r="J163" s="44"/>
      <c r="Q163" s="42"/>
      <c r="R163" s="43"/>
    </row>
    <row r="164" spans="9:18" x14ac:dyDescent="0.2">
      <c r="I164"/>
      <c r="J164" s="44"/>
      <c r="Q164" s="42"/>
      <c r="R164" s="43"/>
    </row>
    <row r="165" spans="9:18" x14ac:dyDescent="0.2">
      <c r="I165"/>
      <c r="J165" s="44"/>
      <c r="Q165" s="42"/>
      <c r="R165" s="43"/>
    </row>
    <row r="166" spans="9:18" x14ac:dyDescent="0.2">
      <c r="I166"/>
      <c r="J166" s="44"/>
      <c r="Q166" s="42"/>
      <c r="R166" s="43"/>
    </row>
    <row r="167" spans="9:18" x14ac:dyDescent="0.2">
      <c r="I167"/>
      <c r="J167" s="44"/>
      <c r="Q167" s="42"/>
      <c r="R167" s="43"/>
    </row>
    <row r="168" spans="9:18" x14ac:dyDescent="0.2">
      <c r="I168"/>
      <c r="J168" s="44"/>
      <c r="Q168" s="42"/>
      <c r="R168" s="43"/>
    </row>
    <row r="169" spans="9:18" x14ac:dyDescent="0.2">
      <c r="I169"/>
      <c r="J169" s="44"/>
      <c r="Q169" s="42"/>
      <c r="R169" s="43"/>
    </row>
    <row r="170" spans="9:18" x14ac:dyDescent="0.2">
      <c r="I170"/>
      <c r="J170" s="44"/>
      <c r="Q170" s="42"/>
      <c r="R170" s="43"/>
    </row>
    <row r="171" spans="9:18" x14ac:dyDescent="0.2">
      <c r="I171"/>
      <c r="J171" s="44"/>
      <c r="Q171" s="42"/>
      <c r="R171" s="43"/>
    </row>
    <row r="172" spans="9:18" x14ac:dyDescent="0.2">
      <c r="I172"/>
      <c r="J172" s="44"/>
      <c r="Q172" s="42"/>
      <c r="R172" s="43"/>
    </row>
    <row r="173" spans="9:18" x14ac:dyDescent="0.2">
      <c r="I173"/>
      <c r="J173" s="44"/>
      <c r="Q173" s="42"/>
      <c r="R173" s="43"/>
    </row>
    <row r="174" spans="9:18" x14ac:dyDescent="0.2">
      <c r="I174"/>
      <c r="J174" s="44"/>
      <c r="Q174" s="42"/>
      <c r="R174" s="43"/>
    </row>
    <row r="175" spans="9:18" x14ac:dyDescent="0.2">
      <c r="I175"/>
      <c r="J175" s="44"/>
      <c r="Q175" s="42"/>
      <c r="R175" s="43"/>
    </row>
    <row r="176" spans="9:18" x14ac:dyDescent="0.2">
      <c r="I176"/>
      <c r="J176" s="44"/>
      <c r="Q176" s="42"/>
      <c r="R176" s="43"/>
    </row>
    <row r="177" spans="9:18" x14ac:dyDescent="0.2">
      <c r="I177"/>
      <c r="J177" s="44"/>
      <c r="Q177" s="42"/>
      <c r="R177" s="43"/>
    </row>
    <row r="178" spans="9:18" x14ac:dyDescent="0.2">
      <c r="I178"/>
      <c r="J178" s="44"/>
      <c r="Q178" s="42"/>
      <c r="R178" s="43"/>
    </row>
    <row r="179" spans="9:18" x14ac:dyDescent="0.2">
      <c r="I179"/>
      <c r="J179" s="44"/>
    </row>
    <row r="180" spans="9:18" x14ac:dyDescent="0.2">
      <c r="I180"/>
      <c r="J180" s="44"/>
    </row>
    <row r="181" spans="9:18" x14ac:dyDescent="0.2">
      <c r="I181"/>
      <c r="J181" s="44"/>
    </row>
    <row r="182" spans="9:18" x14ac:dyDescent="0.2">
      <c r="I182"/>
      <c r="J182" s="44"/>
    </row>
    <row r="183" spans="9:18" x14ac:dyDescent="0.2">
      <c r="I183"/>
      <c r="J183" s="44"/>
    </row>
    <row r="184" spans="9:18" x14ac:dyDescent="0.2">
      <c r="I184"/>
      <c r="J184" s="44"/>
    </row>
    <row r="185" spans="9:18" x14ac:dyDescent="0.2">
      <c r="I185"/>
      <c r="J185" s="44"/>
    </row>
    <row r="186" spans="9:18" x14ac:dyDescent="0.2">
      <c r="I186"/>
      <c r="J186" s="44"/>
    </row>
    <row r="187" spans="9:18" x14ac:dyDescent="0.2">
      <c r="I187"/>
      <c r="J187" s="44"/>
    </row>
    <row r="188" spans="9:18" x14ac:dyDescent="0.2">
      <c r="I188"/>
      <c r="J188" s="4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7"/>
  <sheetViews>
    <sheetView topLeftCell="A2" workbookViewId="0">
      <selection activeCell="J7" sqref="J7"/>
    </sheetView>
  </sheetViews>
  <sheetFormatPr defaultRowHeight="12.75" x14ac:dyDescent="0.2"/>
  <cols>
    <col min="8" max="8" width="13.42578125" bestFit="1" customWidth="1"/>
    <col min="10" max="10" width="31.5703125" bestFit="1" customWidth="1"/>
    <col min="11" max="11" width="20" customWidth="1"/>
  </cols>
  <sheetData>
    <row r="1" spans="1:37" ht="14.25" hidden="1"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row r="2" spans="1:37" s="1" customFormat="1" ht="37.5" customHeight="1" x14ac:dyDescent="0.2">
      <c r="A2" s="1" t="s">
        <v>0</v>
      </c>
      <c r="B2" s="1" t="s">
        <v>21</v>
      </c>
      <c r="C2" s="1" t="s">
        <v>57</v>
      </c>
      <c r="D2" s="1" t="s">
        <v>53</v>
      </c>
      <c r="E2" s="1" t="s">
        <v>54</v>
      </c>
      <c r="F2" s="1" t="s">
        <v>55</v>
      </c>
      <c r="G2" s="1" t="s">
        <v>56</v>
      </c>
      <c r="H2" s="1" t="s">
        <v>1</v>
      </c>
      <c r="I2" s="1" t="s">
        <v>20</v>
      </c>
      <c r="J2" s="1" t="s">
        <v>2</v>
      </c>
      <c r="K2" s="1" t="s">
        <v>3</v>
      </c>
      <c r="L2" s="1" t="s">
        <v>4</v>
      </c>
      <c r="M2" s="1" t="s">
        <v>5</v>
      </c>
      <c r="N2" s="1" t="s">
        <v>6</v>
      </c>
      <c r="O2" s="1" t="s">
        <v>34</v>
      </c>
      <c r="P2" s="1" t="s">
        <v>7</v>
      </c>
      <c r="Q2" s="1" t="s">
        <v>8</v>
      </c>
      <c r="R2" s="1" t="s">
        <v>9</v>
      </c>
      <c r="S2" s="1" t="s">
        <v>10</v>
      </c>
      <c r="T2" s="1" t="s">
        <v>11</v>
      </c>
      <c r="U2" s="1" t="s">
        <v>12</v>
      </c>
      <c r="V2" s="1" t="s">
        <v>13</v>
      </c>
      <c r="W2" s="1" t="s">
        <v>14</v>
      </c>
      <c r="X2" s="1" t="s">
        <v>18</v>
      </c>
      <c r="Y2" s="1" t="s">
        <v>17</v>
      </c>
      <c r="Z2" s="1" t="s">
        <v>19</v>
      </c>
      <c r="AA2" s="1" t="s">
        <v>16</v>
      </c>
      <c r="AB2" s="1" t="s">
        <v>15</v>
      </c>
      <c r="AC2" s="1" t="s">
        <v>68</v>
      </c>
      <c r="AD2" s="1" t="s">
        <v>58</v>
      </c>
      <c r="AE2" s="1" t="s">
        <v>63</v>
      </c>
      <c r="AF2" s="1" t="s">
        <v>64</v>
      </c>
      <c r="AG2" s="1" t="s">
        <v>65</v>
      </c>
      <c r="AH2" s="1" t="s">
        <v>61</v>
      </c>
      <c r="AI2" s="1" t="s">
        <v>60</v>
      </c>
      <c r="AJ2" s="1" t="s">
        <v>62</v>
      </c>
      <c r="AK2" s="1" t="s">
        <v>59</v>
      </c>
    </row>
    <row r="3" spans="1:37" x14ac:dyDescent="0.2">
      <c r="J3" t="str">
        <f ca="1">CONCATENATE("As on "&amp;TEXT(H4,"Mmm DD, YYYY")&amp;" "&amp;TEXT(H5,"h:mm:ss")&amp;" "&amp;"IST")</f>
        <v>As on Feb 13, 2020 10:47:28 IST</v>
      </c>
    </row>
    <row r="4" spans="1:37" x14ac:dyDescent="0.2">
      <c r="H4" s="109">
        <f ca="1">TODAY()</f>
        <v>43874</v>
      </c>
      <c r="J4" s="109">
        <f ca="1">TODAY()</f>
        <v>43874</v>
      </c>
    </row>
    <row r="5" spans="1:37" x14ac:dyDescent="0.2">
      <c r="H5" s="110">
        <f ca="1">NOW()</f>
        <v>43874.449634027776</v>
      </c>
      <c r="J5" s="110">
        <f ca="1">NOW()</f>
        <v>43874.449634027776</v>
      </c>
    </row>
    <row r="6" spans="1:37" x14ac:dyDescent="0.2">
      <c r="H6" s="3" t="s">
        <v>102</v>
      </c>
      <c r="J6" s="3" t="str">
        <f>H6&amp;" "&amp;H7</f>
        <v>BANKNIFTY 31332.4</v>
      </c>
    </row>
    <row r="7" spans="1:37" x14ac:dyDescent="0.2">
      <c r="H7">
        <f>Sheet3!R4</f>
        <v>31332.400000000001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100"/>
  <sheetViews>
    <sheetView topLeftCell="A6" workbookViewId="0">
      <selection activeCell="A3" sqref="A3:R100"/>
    </sheetView>
  </sheetViews>
  <sheetFormatPr defaultRowHeight="12.75" x14ac:dyDescent="0.2"/>
  <cols>
    <col min="16" max="16" width="13.28515625" bestFit="1" customWidth="1"/>
    <col min="17" max="17" width="15.42578125" bestFit="1" customWidth="1"/>
    <col min="18" max="18" width="13.42578125" bestFit="1" customWidth="1"/>
  </cols>
  <sheetData>
    <row r="1" spans="1:37" ht="14.25" hidden="1"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row r="2" spans="1:37" s="1" customFormat="1" ht="37.5" customHeight="1" x14ac:dyDescent="0.2">
      <c r="A2" s="1" t="s">
        <v>0</v>
      </c>
      <c r="B2" s="1" t="s">
        <v>21</v>
      </c>
      <c r="C2" s="1" t="s">
        <v>57</v>
      </c>
      <c r="D2" s="1" t="s">
        <v>53</v>
      </c>
      <c r="E2" s="1" t="s">
        <v>54</v>
      </c>
      <c r="F2" s="1" t="s">
        <v>55</v>
      </c>
      <c r="G2" s="1" t="s">
        <v>56</v>
      </c>
      <c r="H2" s="1" t="s">
        <v>1</v>
      </c>
      <c r="I2" s="1" t="s">
        <v>20</v>
      </c>
      <c r="J2" s="1" t="s">
        <v>2</v>
      </c>
      <c r="K2" s="1" t="s">
        <v>3</v>
      </c>
      <c r="L2" s="1" t="s">
        <v>4</v>
      </c>
      <c r="M2" s="1" t="s">
        <v>5</v>
      </c>
      <c r="N2" s="1" t="s">
        <v>6</v>
      </c>
      <c r="O2" s="1" t="s">
        <v>34</v>
      </c>
      <c r="P2" s="1" t="s">
        <v>7</v>
      </c>
      <c r="Q2" s="1" t="s">
        <v>8</v>
      </c>
      <c r="R2" s="1" t="s">
        <v>9</v>
      </c>
      <c r="S2" s="1" t="s">
        <v>10</v>
      </c>
      <c r="T2" s="1" t="s">
        <v>11</v>
      </c>
      <c r="U2" s="1" t="s">
        <v>12</v>
      </c>
      <c r="V2" s="1" t="s">
        <v>13</v>
      </c>
      <c r="W2" s="1" t="s">
        <v>14</v>
      </c>
      <c r="X2" s="1" t="s">
        <v>18</v>
      </c>
      <c r="Y2" s="1" t="s">
        <v>17</v>
      </c>
      <c r="Z2" s="1" t="s">
        <v>19</v>
      </c>
      <c r="AA2" s="1" t="s">
        <v>16</v>
      </c>
      <c r="AB2" s="1" t="s">
        <v>15</v>
      </c>
      <c r="AC2" s="1" t="s">
        <v>68</v>
      </c>
      <c r="AD2" s="1" t="s">
        <v>58</v>
      </c>
      <c r="AE2" s="1" t="s">
        <v>63</v>
      </c>
      <c r="AF2" s="1" t="s">
        <v>64</v>
      </c>
      <c r="AG2" s="1" t="s">
        <v>65</v>
      </c>
      <c r="AH2" s="1" t="s">
        <v>61</v>
      </c>
      <c r="AI2" s="1" t="s">
        <v>60</v>
      </c>
      <c r="AJ2" s="1" t="s">
        <v>62</v>
      </c>
      <c r="AK2" s="1" t="s">
        <v>59</v>
      </c>
    </row>
    <row r="3" spans="1:37" x14ac:dyDescent="0.2">
      <c r="C3" t="s">
        <v>348</v>
      </c>
      <c r="D3" t="s">
        <v>349</v>
      </c>
      <c r="E3" t="s">
        <v>350</v>
      </c>
      <c r="F3" t="s">
        <v>351</v>
      </c>
      <c r="G3" t="s">
        <v>352</v>
      </c>
      <c r="H3" t="s">
        <v>353</v>
      </c>
      <c r="I3" s="44" t="s">
        <v>55</v>
      </c>
      <c r="J3" t="s">
        <v>354</v>
      </c>
      <c r="K3" t="s">
        <v>355</v>
      </c>
      <c r="L3" t="s">
        <v>356</v>
      </c>
      <c r="M3" t="s">
        <v>357</v>
      </c>
      <c r="N3" t="s">
        <v>359</v>
      </c>
      <c r="O3" t="s">
        <v>358</v>
      </c>
      <c r="P3" t="s">
        <v>360</v>
      </c>
      <c r="Q3" t="s">
        <v>361</v>
      </c>
      <c r="R3" s="3" t="s">
        <v>561</v>
      </c>
    </row>
    <row r="4" spans="1:37" x14ac:dyDescent="0.2">
      <c r="A4" t="s">
        <v>364</v>
      </c>
      <c r="B4" t="s">
        <v>365</v>
      </c>
      <c r="C4">
        <v>0</v>
      </c>
      <c r="D4">
        <v>-100</v>
      </c>
      <c r="E4">
        <v>0</v>
      </c>
      <c r="F4" t="s">
        <v>576</v>
      </c>
      <c r="G4">
        <v>4743.2</v>
      </c>
      <c r="H4">
        <v>0</v>
      </c>
      <c r="I4">
        <v>26800</v>
      </c>
      <c r="J4">
        <v>-0.15</v>
      </c>
      <c r="K4">
        <v>0.15</v>
      </c>
      <c r="L4" t="s">
        <v>576</v>
      </c>
      <c r="M4">
        <v>3440</v>
      </c>
      <c r="N4">
        <v>780</v>
      </c>
      <c r="O4">
        <v>3720</v>
      </c>
      <c r="P4" s="42">
        <v>43874</v>
      </c>
      <c r="Q4" s="43">
        <v>43874.447818518522</v>
      </c>
      <c r="R4">
        <v>31328.15</v>
      </c>
    </row>
    <row r="5" spans="1:37" x14ac:dyDescent="0.2">
      <c r="A5" t="s">
        <v>366</v>
      </c>
      <c r="B5" t="s">
        <v>367</v>
      </c>
      <c r="C5">
        <v>0</v>
      </c>
      <c r="D5">
        <v>0</v>
      </c>
      <c r="E5">
        <v>0</v>
      </c>
      <c r="F5" t="s">
        <v>574</v>
      </c>
      <c r="G5">
        <v>0</v>
      </c>
      <c r="H5">
        <v>-2965.45</v>
      </c>
      <c r="I5">
        <v>26900</v>
      </c>
      <c r="J5">
        <v>-0.4</v>
      </c>
      <c r="K5">
        <v>0.15</v>
      </c>
      <c r="L5" t="s">
        <v>576</v>
      </c>
      <c r="M5">
        <v>10020</v>
      </c>
      <c r="N5">
        <v>20</v>
      </c>
      <c r="O5">
        <v>200</v>
      </c>
      <c r="P5" s="42">
        <v>43874</v>
      </c>
      <c r="Q5" s="43">
        <v>43874.447818518522</v>
      </c>
    </row>
    <row r="6" spans="1:37" x14ac:dyDescent="0.2">
      <c r="A6" t="s">
        <v>368</v>
      </c>
      <c r="B6" t="s">
        <v>369</v>
      </c>
      <c r="C6">
        <v>0</v>
      </c>
      <c r="D6">
        <v>0</v>
      </c>
      <c r="E6">
        <v>0</v>
      </c>
      <c r="F6" t="s">
        <v>574</v>
      </c>
      <c r="G6">
        <v>0</v>
      </c>
      <c r="H6">
        <v>-2865.65</v>
      </c>
      <c r="I6">
        <v>27000</v>
      </c>
      <c r="J6">
        <v>-0.1</v>
      </c>
      <c r="K6">
        <v>0</v>
      </c>
      <c r="L6">
        <v>0</v>
      </c>
      <c r="M6">
        <v>0</v>
      </c>
      <c r="N6">
        <v>0</v>
      </c>
      <c r="O6">
        <v>0</v>
      </c>
      <c r="P6" s="42">
        <v>43874</v>
      </c>
      <c r="Q6" s="43">
        <v>43874.447818518522</v>
      </c>
    </row>
    <row r="7" spans="1:37" x14ac:dyDescent="0.2">
      <c r="A7" t="s">
        <v>370</v>
      </c>
      <c r="B7" t="s">
        <v>371</v>
      </c>
      <c r="C7">
        <v>0</v>
      </c>
      <c r="D7">
        <v>0</v>
      </c>
      <c r="E7">
        <v>0</v>
      </c>
      <c r="F7" t="s">
        <v>574</v>
      </c>
      <c r="G7">
        <v>0</v>
      </c>
      <c r="H7">
        <v>-2765.85</v>
      </c>
      <c r="I7">
        <v>27100</v>
      </c>
      <c r="J7">
        <v>0</v>
      </c>
      <c r="K7">
        <v>0.2</v>
      </c>
      <c r="L7" t="s">
        <v>576</v>
      </c>
      <c r="M7">
        <v>0</v>
      </c>
      <c r="N7">
        <v>-20</v>
      </c>
      <c r="O7">
        <v>0</v>
      </c>
      <c r="P7" s="42">
        <v>43874</v>
      </c>
      <c r="Q7" s="43">
        <v>43874.447818518522</v>
      </c>
    </row>
    <row r="8" spans="1:37" x14ac:dyDescent="0.2">
      <c r="A8" t="s">
        <v>372</v>
      </c>
      <c r="B8" t="s">
        <v>373</v>
      </c>
      <c r="C8">
        <v>0</v>
      </c>
      <c r="D8">
        <v>0</v>
      </c>
      <c r="E8">
        <v>0</v>
      </c>
      <c r="F8" t="s">
        <v>574</v>
      </c>
      <c r="G8">
        <v>0</v>
      </c>
      <c r="H8">
        <v>-2666.1</v>
      </c>
      <c r="I8">
        <v>27200</v>
      </c>
      <c r="J8">
        <v>0</v>
      </c>
      <c r="K8">
        <v>1.05</v>
      </c>
      <c r="L8" t="s">
        <v>576</v>
      </c>
      <c r="M8">
        <v>0</v>
      </c>
      <c r="N8">
        <v>-1320</v>
      </c>
      <c r="O8">
        <v>0</v>
      </c>
      <c r="P8" s="42">
        <v>43874</v>
      </c>
      <c r="Q8" s="43">
        <v>43874.447818518522</v>
      </c>
    </row>
    <row r="9" spans="1:37" x14ac:dyDescent="0.2">
      <c r="A9" t="s">
        <v>374</v>
      </c>
      <c r="B9" t="s">
        <v>375</v>
      </c>
      <c r="C9">
        <v>0</v>
      </c>
      <c r="D9">
        <v>0</v>
      </c>
      <c r="E9">
        <v>0</v>
      </c>
      <c r="F9" t="s">
        <v>574</v>
      </c>
      <c r="G9">
        <v>0</v>
      </c>
      <c r="H9">
        <v>-2566.4</v>
      </c>
      <c r="I9">
        <v>27300</v>
      </c>
      <c r="J9">
        <v>0</v>
      </c>
      <c r="K9">
        <v>0.65</v>
      </c>
      <c r="L9" t="s">
        <v>576</v>
      </c>
      <c r="M9">
        <v>0</v>
      </c>
      <c r="N9">
        <v>-80</v>
      </c>
      <c r="O9">
        <v>0</v>
      </c>
      <c r="P9" s="42">
        <v>43874</v>
      </c>
      <c r="Q9" s="43">
        <v>43874.447818518522</v>
      </c>
    </row>
    <row r="10" spans="1:37" x14ac:dyDescent="0.2">
      <c r="A10" t="s">
        <v>376</v>
      </c>
      <c r="B10" t="s">
        <v>377</v>
      </c>
      <c r="C10">
        <v>0</v>
      </c>
      <c r="D10">
        <v>0</v>
      </c>
      <c r="E10">
        <v>0</v>
      </c>
      <c r="F10" t="s">
        <v>574</v>
      </c>
      <c r="G10">
        <v>0</v>
      </c>
      <c r="H10">
        <v>-2466.8000000000002</v>
      </c>
      <c r="I10">
        <v>27400</v>
      </c>
      <c r="J10">
        <v>0</v>
      </c>
      <c r="K10">
        <v>1</v>
      </c>
      <c r="L10" t="s">
        <v>576</v>
      </c>
      <c r="M10">
        <v>0</v>
      </c>
      <c r="N10">
        <v>-60</v>
      </c>
      <c r="O10">
        <v>0</v>
      </c>
      <c r="P10" s="42">
        <v>43874</v>
      </c>
      <c r="Q10" s="43">
        <v>43874.447818518522</v>
      </c>
    </row>
    <row r="11" spans="1:37" x14ac:dyDescent="0.2">
      <c r="A11" t="s">
        <v>378</v>
      </c>
      <c r="B11" t="s">
        <v>379</v>
      </c>
      <c r="C11">
        <v>0</v>
      </c>
      <c r="D11">
        <v>0</v>
      </c>
      <c r="E11">
        <v>0</v>
      </c>
      <c r="F11" t="s">
        <v>574</v>
      </c>
      <c r="G11">
        <v>0</v>
      </c>
      <c r="H11">
        <v>-2367.1999999999998</v>
      </c>
      <c r="I11">
        <v>27500</v>
      </c>
      <c r="J11">
        <v>0</v>
      </c>
      <c r="K11">
        <v>1.8</v>
      </c>
      <c r="L11" t="s">
        <v>576</v>
      </c>
      <c r="M11">
        <v>0</v>
      </c>
      <c r="N11">
        <v>-40</v>
      </c>
      <c r="O11">
        <v>0</v>
      </c>
      <c r="P11" s="42">
        <v>43874</v>
      </c>
      <c r="Q11" s="43">
        <v>43874.447818518522</v>
      </c>
    </row>
    <row r="12" spans="1:37" x14ac:dyDescent="0.2">
      <c r="A12" t="s">
        <v>380</v>
      </c>
      <c r="B12" t="s">
        <v>381</v>
      </c>
      <c r="C12">
        <v>0</v>
      </c>
      <c r="D12">
        <v>0</v>
      </c>
      <c r="E12">
        <v>0</v>
      </c>
      <c r="F12" t="s">
        <v>574</v>
      </c>
      <c r="G12">
        <v>0</v>
      </c>
      <c r="H12">
        <v>-3105.9</v>
      </c>
      <c r="I12">
        <v>27600</v>
      </c>
      <c r="J12">
        <v>-0.35</v>
      </c>
      <c r="K12">
        <v>0</v>
      </c>
      <c r="L12">
        <v>0</v>
      </c>
      <c r="M12">
        <v>0</v>
      </c>
      <c r="N12">
        <v>0</v>
      </c>
      <c r="O12">
        <v>0</v>
      </c>
      <c r="P12" s="42">
        <v>43874</v>
      </c>
      <c r="Q12" s="43">
        <v>43874.447818518522</v>
      </c>
    </row>
    <row r="13" spans="1:37" x14ac:dyDescent="0.2">
      <c r="A13" t="s">
        <v>382</v>
      </c>
      <c r="B13" t="s">
        <v>383</v>
      </c>
      <c r="C13">
        <v>0</v>
      </c>
      <c r="D13">
        <v>0</v>
      </c>
      <c r="E13">
        <v>0</v>
      </c>
      <c r="F13" t="s">
        <v>574</v>
      </c>
      <c r="G13">
        <v>0</v>
      </c>
      <c r="H13">
        <v>-3098.25</v>
      </c>
      <c r="I13">
        <v>27700</v>
      </c>
      <c r="J13">
        <v>-5.3</v>
      </c>
      <c r="K13">
        <v>0</v>
      </c>
      <c r="L13">
        <v>0</v>
      </c>
      <c r="M13">
        <v>0</v>
      </c>
      <c r="N13">
        <v>0</v>
      </c>
      <c r="O13">
        <v>0</v>
      </c>
      <c r="P13" s="42">
        <v>43874</v>
      </c>
      <c r="Q13" s="43">
        <v>43874.447818518522</v>
      </c>
    </row>
    <row r="14" spans="1:37" x14ac:dyDescent="0.2">
      <c r="A14" t="s">
        <v>384</v>
      </c>
      <c r="B14" t="s">
        <v>385</v>
      </c>
      <c r="C14">
        <v>0</v>
      </c>
      <c r="D14">
        <v>0</v>
      </c>
      <c r="E14">
        <v>0</v>
      </c>
      <c r="F14" t="s">
        <v>574</v>
      </c>
      <c r="G14">
        <v>0</v>
      </c>
      <c r="H14">
        <v>-2999.9</v>
      </c>
      <c r="I14">
        <v>27800</v>
      </c>
      <c r="J14">
        <v>-6.6</v>
      </c>
      <c r="K14">
        <v>0</v>
      </c>
      <c r="L14">
        <v>0</v>
      </c>
      <c r="M14">
        <v>0</v>
      </c>
      <c r="N14">
        <v>0</v>
      </c>
      <c r="O14">
        <v>0</v>
      </c>
      <c r="P14" s="42">
        <v>43874</v>
      </c>
      <c r="Q14" s="43">
        <v>43874.447818518522</v>
      </c>
    </row>
    <row r="15" spans="1:37" x14ac:dyDescent="0.2">
      <c r="A15" t="s">
        <v>386</v>
      </c>
      <c r="B15" t="s">
        <v>387</v>
      </c>
      <c r="C15">
        <v>0</v>
      </c>
      <c r="D15">
        <v>0</v>
      </c>
      <c r="E15">
        <v>0</v>
      </c>
      <c r="F15" t="s">
        <v>574</v>
      </c>
      <c r="G15">
        <v>0</v>
      </c>
      <c r="H15">
        <v>-3151.2</v>
      </c>
      <c r="I15">
        <v>27900</v>
      </c>
      <c r="J15">
        <v>0</v>
      </c>
      <c r="K15">
        <v>3.05</v>
      </c>
      <c r="L15" t="s">
        <v>576</v>
      </c>
      <c r="M15">
        <v>0</v>
      </c>
      <c r="N15">
        <v>0</v>
      </c>
      <c r="O15">
        <v>0</v>
      </c>
      <c r="P15" s="42">
        <v>43874</v>
      </c>
      <c r="Q15" s="43">
        <v>43874.447818518522</v>
      </c>
    </row>
    <row r="16" spans="1:37" x14ac:dyDescent="0.2">
      <c r="A16" t="s">
        <v>388</v>
      </c>
      <c r="B16" t="s">
        <v>389</v>
      </c>
      <c r="C16">
        <v>0</v>
      </c>
      <c r="D16">
        <v>-20</v>
      </c>
      <c r="E16">
        <v>0</v>
      </c>
      <c r="F16" t="s">
        <v>574</v>
      </c>
      <c r="G16">
        <v>3173.65</v>
      </c>
      <c r="H16">
        <v>0</v>
      </c>
      <c r="I16">
        <v>28000</v>
      </c>
      <c r="J16">
        <v>-9.9999999999999978E-2</v>
      </c>
      <c r="K16">
        <v>0.2</v>
      </c>
      <c r="L16" t="s">
        <v>576</v>
      </c>
      <c r="M16">
        <v>1220</v>
      </c>
      <c r="N16">
        <v>0</v>
      </c>
      <c r="O16">
        <v>11200</v>
      </c>
      <c r="P16" s="42">
        <v>43874</v>
      </c>
      <c r="Q16" s="43">
        <v>43874.447818518522</v>
      </c>
    </row>
    <row r="17" spans="1:17" x14ac:dyDescent="0.2">
      <c r="A17" t="s">
        <v>390</v>
      </c>
      <c r="B17" t="s">
        <v>391</v>
      </c>
      <c r="C17">
        <v>0</v>
      </c>
      <c r="D17">
        <v>0</v>
      </c>
      <c r="E17">
        <v>0</v>
      </c>
      <c r="F17" t="s">
        <v>574</v>
      </c>
      <c r="G17">
        <v>0</v>
      </c>
      <c r="H17">
        <v>-3088.85</v>
      </c>
      <c r="I17">
        <v>28100</v>
      </c>
      <c r="J17">
        <v>0</v>
      </c>
      <c r="K17">
        <v>3.05</v>
      </c>
      <c r="L17" t="s">
        <v>576</v>
      </c>
      <c r="M17">
        <v>0</v>
      </c>
      <c r="N17">
        <v>-20</v>
      </c>
      <c r="O17">
        <v>0</v>
      </c>
      <c r="P17" s="42">
        <v>43874</v>
      </c>
      <c r="Q17" s="43">
        <v>43874.447818518522</v>
      </c>
    </row>
    <row r="18" spans="1:17" x14ac:dyDescent="0.2">
      <c r="A18" t="s">
        <v>392</v>
      </c>
      <c r="B18" t="s">
        <v>393</v>
      </c>
      <c r="C18">
        <v>0</v>
      </c>
      <c r="D18">
        <v>0</v>
      </c>
      <c r="E18">
        <v>0</v>
      </c>
      <c r="F18" t="s">
        <v>574</v>
      </c>
      <c r="G18">
        <v>0</v>
      </c>
      <c r="H18">
        <v>-3216.1</v>
      </c>
      <c r="I18">
        <v>28200</v>
      </c>
      <c r="J18">
        <v>-11.25</v>
      </c>
      <c r="K18">
        <v>0</v>
      </c>
      <c r="L18">
        <v>0</v>
      </c>
      <c r="M18">
        <v>0</v>
      </c>
      <c r="N18">
        <v>0</v>
      </c>
      <c r="O18">
        <v>0</v>
      </c>
      <c r="P18" s="42">
        <v>43874</v>
      </c>
      <c r="Q18" s="43">
        <v>43874.447818518522</v>
      </c>
    </row>
    <row r="19" spans="1:17" x14ac:dyDescent="0.2">
      <c r="A19" t="s">
        <v>394</v>
      </c>
      <c r="B19" t="s">
        <v>395</v>
      </c>
      <c r="C19">
        <v>0</v>
      </c>
      <c r="D19">
        <v>0</v>
      </c>
      <c r="E19">
        <v>0</v>
      </c>
      <c r="F19" t="s">
        <v>574</v>
      </c>
      <c r="G19">
        <v>0</v>
      </c>
      <c r="H19">
        <v>-3118.95</v>
      </c>
      <c r="I19">
        <v>28300</v>
      </c>
      <c r="J19">
        <v>-13.5</v>
      </c>
      <c r="K19">
        <v>0</v>
      </c>
      <c r="L19">
        <v>0</v>
      </c>
      <c r="M19">
        <v>0</v>
      </c>
      <c r="N19">
        <v>0</v>
      </c>
      <c r="O19">
        <v>0</v>
      </c>
      <c r="P19" s="42">
        <v>43874</v>
      </c>
      <c r="Q19" s="43">
        <v>43874.447818518522</v>
      </c>
    </row>
    <row r="20" spans="1:17" x14ac:dyDescent="0.2">
      <c r="A20" t="s">
        <v>396</v>
      </c>
      <c r="B20" t="s">
        <v>397</v>
      </c>
      <c r="C20">
        <v>0</v>
      </c>
      <c r="D20">
        <v>0</v>
      </c>
      <c r="E20">
        <v>0</v>
      </c>
      <c r="F20" t="s">
        <v>574</v>
      </c>
      <c r="G20">
        <v>0</v>
      </c>
      <c r="H20">
        <v>-3022.2</v>
      </c>
      <c r="I20">
        <v>28400</v>
      </c>
      <c r="J20">
        <v>-16.149999999999999</v>
      </c>
      <c r="K20">
        <v>0</v>
      </c>
      <c r="L20">
        <v>0</v>
      </c>
      <c r="M20">
        <v>0</v>
      </c>
      <c r="N20">
        <v>0</v>
      </c>
      <c r="O20">
        <v>0</v>
      </c>
      <c r="P20" s="42">
        <v>43874</v>
      </c>
      <c r="Q20" s="43">
        <v>43874.447818518522</v>
      </c>
    </row>
    <row r="21" spans="1:17" x14ac:dyDescent="0.2">
      <c r="A21" t="s">
        <v>398</v>
      </c>
      <c r="B21" t="s">
        <v>399</v>
      </c>
      <c r="C21">
        <v>0</v>
      </c>
      <c r="D21">
        <v>0</v>
      </c>
      <c r="E21">
        <v>0</v>
      </c>
      <c r="F21" t="s">
        <v>574</v>
      </c>
      <c r="G21">
        <v>2544.4499999999998</v>
      </c>
      <c r="H21">
        <v>0</v>
      </c>
      <c r="I21">
        <v>28500</v>
      </c>
      <c r="J21">
        <v>-1.1500000000000001</v>
      </c>
      <c r="K21">
        <v>0.2</v>
      </c>
      <c r="L21" t="s">
        <v>576</v>
      </c>
      <c r="M21">
        <v>2480</v>
      </c>
      <c r="N21">
        <v>0</v>
      </c>
      <c r="O21">
        <v>46120</v>
      </c>
      <c r="P21" s="42">
        <v>43874</v>
      </c>
      <c r="Q21" s="43">
        <v>43874.447818518522</v>
      </c>
    </row>
    <row r="22" spans="1:17" x14ac:dyDescent="0.2">
      <c r="A22" t="s">
        <v>400</v>
      </c>
      <c r="B22" t="s">
        <v>401</v>
      </c>
      <c r="C22">
        <v>0</v>
      </c>
      <c r="D22">
        <v>0</v>
      </c>
      <c r="E22">
        <v>0</v>
      </c>
      <c r="F22" t="s">
        <v>574</v>
      </c>
      <c r="G22">
        <v>0</v>
      </c>
      <c r="H22">
        <v>-2830.05</v>
      </c>
      <c r="I22">
        <v>28600</v>
      </c>
      <c r="J22">
        <v>0</v>
      </c>
      <c r="K22">
        <v>2</v>
      </c>
      <c r="L22" t="s">
        <v>576</v>
      </c>
      <c r="M22">
        <v>0</v>
      </c>
      <c r="N22">
        <v>-20</v>
      </c>
      <c r="O22">
        <v>0</v>
      </c>
      <c r="P22" s="42">
        <v>43874</v>
      </c>
      <c r="Q22" s="43">
        <v>43874.447818518522</v>
      </c>
    </row>
    <row r="23" spans="1:17" x14ac:dyDescent="0.2">
      <c r="A23" t="s">
        <v>402</v>
      </c>
      <c r="B23" t="s">
        <v>403</v>
      </c>
      <c r="C23">
        <v>0</v>
      </c>
      <c r="D23">
        <v>0</v>
      </c>
      <c r="E23">
        <v>0</v>
      </c>
      <c r="F23" t="s">
        <v>574</v>
      </c>
      <c r="G23">
        <v>0</v>
      </c>
      <c r="H23">
        <v>-3338.55</v>
      </c>
      <c r="I23">
        <v>28700</v>
      </c>
      <c r="J23">
        <v>-2.85</v>
      </c>
      <c r="K23">
        <v>0.05</v>
      </c>
      <c r="L23" t="s">
        <v>576</v>
      </c>
      <c r="M23">
        <v>120</v>
      </c>
      <c r="N23">
        <v>0</v>
      </c>
      <c r="O23">
        <v>120</v>
      </c>
      <c r="P23" s="42">
        <v>43874</v>
      </c>
      <c r="Q23" s="43">
        <v>43874.447818518522</v>
      </c>
    </row>
    <row r="24" spans="1:17" x14ac:dyDescent="0.2">
      <c r="A24" t="s">
        <v>404</v>
      </c>
      <c r="B24" t="s">
        <v>405</v>
      </c>
      <c r="C24">
        <v>0</v>
      </c>
      <c r="D24">
        <v>0</v>
      </c>
      <c r="E24">
        <v>0</v>
      </c>
      <c r="F24" t="s">
        <v>574</v>
      </c>
      <c r="G24">
        <v>0</v>
      </c>
      <c r="H24">
        <v>-3248.9</v>
      </c>
      <c r="I24">
        <v>28800</v>
      </c>
      <c r="J24">
        <v>4.9999999999999822E-2</v>
      </c>
      <c r="K24">
        <v>1.65</v>
      </c>
      <c r="L24" t="s">
        <v>576</v>
      </c>
      <c r="M24">
        <v>0</v>
      </c>
      <c r="N24">
        <v>-180</v>
      </c>
      <c r="O24">
        <v>0</v>
      </c>
      <c r="P24" s="42">
        <v>43874</v>
      </c>
      <c r="Q24" s="43">
        <v>43874.447818518522</v>
      </c>
    </row>
    <row r="25" spans="1:17" x14ac:dyDescent="0.2">
      <c r="A25" t="s">
        <v>406</v>
      </c>
      <c r="B25" t="s">
        <v>407</v>
      </c>
      <c r="C25">
        <v>0</v>
      </c>
      <c r="D25">
        <v>0</v>
      </c>
      <c r="E25">
        <v>0</v>
      </c>
      <c r="F25" t="s">
        <v>574</v>
      </c>
      <c r="G25">
        <v>0</v>
      </c>
      <c r="H25">
        <v>-3160</v>
      </c>
      <c r="I25">
        <v>28900</v>
      </c>
      <c r="J25">
        <v>-2.15</v>
      </c>
      <c r="K25">
        <v>0.15</v>
      </c>
      <c r="L25" t="s">
        <v>576</v>
      </c>
      <c r="M25">
        <v>20</v>
      </c>
      <c r="N25">
        <v>0</v>
      </c>
      <c r="O25">
        <v>680</v>
      </c>
      <c r="P25" s="42">
        <v>43874</v>
      </c>
      <c r="Q25" s="43">
        <v>43874.447818518522</v>
      </c>
    </row>
    <row r="26" spans="1:17" x14ac:dyDescent="0.2">
      <c r="A26" t="s">
        <v>408</v>
      </c>
      <c r="B26" t="s">
        <v>409</v>
      </c>
      <c r="C26">
        <v>0</v>
      </c>
      <c r="D26">
        <v>-80</v>
      </c>
      <c r="E26">
        <v>0</v>
      </c>
      <c r="F26" t="s">
        <v>576</v>
      </c>
      <c r="G26">
        <v>2424.8000000000002</v>
      </c>
      <c r="H26">
        <v>0</v>
      </c>
      <c r="I26">
        <v>29000</v>
      </c>
      <c r="J26">
        <v>-0.7</v>
      </c>
      <c r="K26">
        <v>0.25</v>
      </c>
      <c r="L26" t="s">
        <v>576</v>
      </c>
      <c r="M26">
        <v>6280</v>
      </c>
      <c r="N26">
        <v>2400</v>
      </c>
      <c r="O26">
        <v>24420</v>
      </c>
      <c r="P26" s="42">
        <v>43874</v>
      </c>
      <c r="Q26" s="43">
        <v>43874.447818518522</v>
      </c>
    </row>
    <row r="27" spans="1:17" x14ac:dyDescent="0.2">
      <c r="A27" t="s">
        <v>410</v>
      </c>
      <c r="B27" t="s">
        <v>411</v>
      </c>
      <c r="C27">
        <v>0</v>
      </c>
      <c r="D27">
        <v>0</v>
      </c>
      <c r="E27">
        <v>0</v>
      </c>
      <c r="F27" t="s">
        <v>574</v>
      </c>
      <c r="G27">
        <v>0</v>
      </c>
      <c r="H27">
        <v>-2984.65</v>
      </c>
      <c r="I27">
        <v>29100</v>
      </c>
      <c r="J27">
        <v>-1.8</v>
      </c>
      <c r="K27">
        <v>0.15</v>
      </c>
      <c r="L27" t="s">
        <v>576</v>
      </c>
      <c r="M27">
        <v>40</v>
      </c>
      <c r="N27">
        <v>0</v>
      </c>
      <c r="O27">
        <v>680</v>
      </c>
      <c r="P27" s="42">
        <v>43874</v>
      </c>
      <c r="Q27" s="43">
        <v>43874.447818518522</v>
      </c>
    </row>
    <row r="28" spans="1:17" x14ac:dyDescent="0.2">
      <c r="A28" t="s">
        <v>412</v>
      </c>
      <c r="B28" t="s">
        <v>413</v>
      </c>
      <c r="C28">
        <v>0</v>
      </c>
      <c r="D28">
        <v>0</v>
      </c>
      <c r="E28">
        <v>0</v>
      </c>
      <c r="F28" t="s">
        <v>574</v>
      </c>
      <c r="G28">
        <v>0</v>
      </c>
      <c r="H28">
        <v>-2898.25</v>
      </c>
      <c r="I28">
        <v>29200</v>
      </c>
      <c r="J28">
        <v>-0.9</v>
      </c>
      <c r="K28">
        <v>0.35</v>
      </c>
      <c r="L28" t="s">
        <v>576</v>
      </c>
      <c r="M28">
        <v>740</v>
      </c>
      <c r="N28">
        <v>-420</v>
      </c>
      <c r="O28">
        <v>880</v>
      </c>
      <c r="P28" s="42">
        <v>43874</v>
      </c>
      <c r="Q28" s="43">
        <v>43874.447818518522</v>
      </c>
    </row>
    <row r="29" spans="1:17" x14ac:dyDescent="0.2">
      <c r="A29" t="s">
        <v>414</v>
      </c>
      <c r="B29" t="s">
        <v>415</v>
      </c>
      <c r="C29">
        <v>0</v>
      </c>
      <c r="D29">
        <v>0</v>
      </c>
      <c r="E29">
        <v>0</v>
      </c>
      <c r="F29" t="s">
        <v>574</v>
      </c>
      <c r="G29">
        <v>1882.8</v>
      </c>
      <c r="H29">
        <v>0</v>
      </c>
      <c r="I29">
        <v>29300</v>
      </c>
      <c r="J29">
        <v>-1</v>
      </c>
      <c r="K29">
        <v>0.3</v>
      </c>
      <c r="L29" t="s">
        <v>576</v>
      </c>
      <c r="M29">
        <v>20</v>
      </c>
      <c r="N29">
        <v>0</v>
      </c>
      <c r="O29">
        <v>3200</v>
      </c>
      <c r="P29" s="42">
        <v>43874</v>
      </c>
      <c r="Q29" s="43">
        <v>43874.447818518522</v>
      </c>
    </row>
    <row r="30" spans="1:17" x14ac:dyDescent="0.2">
      <c r="A30" t="s">
        <v>416</v>
      </c>
      <c r="B30" t="s">
        <v>417</v>
      </c>
      <c r="C30">
        <v>0</v>
      </c>
      <c r="D30">
        <v>0</v>
      </c>
      <c r="E30">
        <v>0</v>
      </c>
      <c r="F30" t="s">
        <v>574</v>
      </c>
      <c r="G30">
        <v>0</v>
      </c>
      <c r="H30">
        <v>-2728.3</v>
      </c>
      <c r="I30">
        <v>29400</v>
      </c>
      <c r="J30">
        <v>-0.8</v>
      </c>
      <c r="K30">
        <v>0.45</v>
      </c>
      <c r="L30" t="s">
        <v>576</v>
      </c>
      <c r="M30">
        <v>700</v>
      </c>
      <c r="N30">
        <v>-600</v>
      </c>
      <c r="O30">
        <v>3520</v>
      </c>
      <c r="P30" s="42">
        <v>43874</v>
      </c>
      <c r="Q30" s="43">
        <v>43874.447818518522</v>
      </c>
    </row>
    <row r="31" spans="1:17" x14ac:dyDescent="0.2">
      <c r="A31" t="s">
        <v>418</v>
      </c>
      <c r="B31" t="s">
        <v>419</v>
      </c>
      <c r="C31">
        <v>1560</v>
      </c>
      <c r="D31">
        <v>-40</v>
      </c>
      <c r="E31">
        <v>240</v>
      </c>
      <c r="F31" t="s">
        <v>574</v>
      </c>
      <c r="G31">
        <v>1800</v>
      </c>
      <c r="H31">
        <v>-255.59999999999991</v>
      </c>
      <c r="I31">
        <v>29500</v>
      </c>
      <c r="J31">
        <v>-0.79999999999999993</v>
      </c>
      <c r="K31">
        <v>0.4</v>
      </c>
      <c r="L31" t="s">
        <v>576</v>
      </c>
      <c r="M31">
        <v>28980</v>
      </c>
      <c r="N31">
        <v>3120</v>
      </c>
      <c r="O31">
        <v>161060</v>
      </c>
      <c r="P31" s="42">
        <v>43874</v>
      </c>
      <c r="Q31" s="43">
        <v>43874.447818518522</v>
      </c>
    </row>
    <row r="32" spans="1:17" x14ac:dyDescent="0.2">
      <c r="A32" t="s">
        <v>420</v>
      </c>
      <c r="B32" t="s">
        <v>421</v>
      </c>
      <c r="C32">
        <v>0</v>
      </c>
      <c r="D32">
        <v>-20</v>
      </c>
      <c r="E32">
        <v>0</v>
      </c>
      <c r="F32" t="s">
        <v>574</v>
      </c>
      <c r="G32">
        <v>1626.9</v>
      </c>
      <c r="H32">
        <v>0</v>
      </c>
      <c r="I32">
        <v>29600</v>
      </c>
      <c r="J32">
        <v>-0.70000000000000007</v>
      </c>
      <c r="K32">
        <v>0.4</v>
      </c>
      <c r="L32" t="s">
        <v>576</v>
      </c>
      <c r="M32">
        <v>26280</v>
      </c>
      <c r="N32">
        <v>-9560</v>
      </c>
      <c r="O32">
        <v>91980</v>
      </c>
      <c r="P32" s="42">
        <v>43874</v>
      </c>
      <c r="Q32" s="43">
        <v>43874.447818518522</v>
      </c>
    </row>
    <row r="33" spans="1:17" x14ac:dyDescent="0.2">
      <c r="A33" t="s">
        <v>422</v>
      </c>
      <c r="B33" t="s">
        <v>423</v>
      </c>
      <c r="C33">
        <v>0</v>
      </c>
      <c r="D33">
        <v>-140</v>
      </c>
      <c r="E33">
        <v>0</v>
      </c>
      <c r="F33" t="s">
        <v>576</v>
      </c>
      <c r="G33">
        <v>1857</v>
      </c>
      <c r="H33">
        <v>0</v>
      </c>
      <c r="I33">
        <v>29700</v>
      </c>
      <c r="J33">
        <v>-0.89999999999999991</v>
      </c>
      <c r="K33">
        <v>0.25</v>
      </c>
      <c r="L33" t="s">
        <v>576</v>
      </c>
      <c r="M33">
        <v>5880</v>
      </c>
      <c r="N33">
        <v>-3340</v>
      </c>
      <c r="O33">
        <v>14180</v>
      </c>
      <c r="P33" s="42">
        <v>43874</v>
      </c>
      <c r="Q33" s="43">
        <v>43874.447818518522</v>
      </c>
    </row>
    <row r="34" spans="1:17" x14ac:dyDescent="0.2">
      <c r="A34" t="s">
        <v>424</v>
      </c>
      <c r="B34" t="s">
        <v>425</v>
      </c>
      <c r="C34">
        <v>1360</v>
      </c>
      <c r="D34">
        <v>0</v>
      </c>
      <c r="E34">
        <v>60</v>
      </c>
      <c r="F34" t="s">
        <v>576</v>
      </c>
      <c r="G34">
        <v>1605.05</v>
      </c>
      <c r="H34">
        <v>60.25</v>
      </c>
      <c r="I34">
        <v>29800</v>
      </c>
      <c r="J34">
        <v>-0.55000000000000004</v>
      </c>
      <c r="K34">
        <v>0.3</v>
      </c>
      <c r="L34" t="s">
        <v>576</v>
      </c>
      <c r="M34">
        <v>15900</v>
      </c>
      <c r="N34">
        <v>1280</v>
      </c>
      <c r="O34">
        <v>42960</v>
      </c>
      <c r="P34" s="42">
        <v>43874</v>
      </c>
      <c r="Q34" s="43">
        <v>43874.447818518522</v>
      </c>
    </row>
    <row r="35" spans="1:17" x14ac:dyDescent="0.2">
      <c r="A35" t="s">
        <v>426</v>
      </c>
      <c r="B35" t="s">
        <v>427</v>
      </c>
      <c r="C35">
        <v>580</v>
      </c>
      <c r="D35">
        <v>0</v>
      </c>
      <c r="E35">
        <v>20</v>
      </c>
      <c r="F35" t="s">
        <v>576</v>
      </c>
      <c r="G35">
        <v>1530</v>
      </c>
      <c r="H35">
        <v>-110</v>
      </c>
      <c r="I35">
        <v>29900</v>
      </c>
      <c r="J35">
        <v>-0.99999999999999989</v>
      </c>
      <c r="K35">
        <v>0.4</v>
      </c>
      <c r="L35" t="s">
        <v>576</v>
      </c>
      <c r="M35">
        <v>17200</v>
      </c>
      <c r="N35">
        <v>940</v>
      </c>
      <c r="O35">
        <v>55760</v>
      </c>
      <c r="P35" s="42">
        <v>43874</v>
      </c>
      <c r="Q35" s="43">
        <v>43874.447818518522</v>
      </c>
    </row>
    <row r="36" spans="1:17" x14ac:dyDescent="0.2">
      <c r="A36" t="s">
        <v>428</v>
      </c>
      <c r="B36" t="s">
        <v>429</v>
      </c>
      <c r="C36">
        <v>10300</v>
      </c>
      <c r="D36">
        <v>-3560</v>
      </c>
      <c r="E36">
        <v>7080</v>
      </c>
      <c r="F36" t="s">
        <v>574</v>
      </c>
      <c r="G36">
        <v>1312</v>
      </c>
      <c r="H36">
        <v>-213.15000000000009</v>
      </c>
      <c r="I36">
        <v>30000</v>
      </c>
      <c r="J36">
        <v>-1</v>
      </c>
      <c r="K36">
        <v>0.35</v>
      </c>
      <c r="L36" t="s">
        <v>576</v>
      </c>
      <c r="M36">
        <v>64080</v>
      </c>
      <c r="N36">
        <v>1260</v>
      </c>
      <c r="O36">
        <v>220660</v>
      </c>
      <c r="P36" s="42">
        <v>43874</v>
      </c>
      <c r="Q36" s="43">
        <v>43874.447818518522</v>
      </c>
    </row>
    <row r="37" spans="1:17" x14ac:dyDescent="0.2">
      <c r="A37" t="s">
        <v>430</v>
      </c>
      <c r="B37" t="s">
        <v>431</v>
      </c>
      <c r="C37">
        <v>600</v>
      </c>
      <c r="D37">
        <v>-100</v>
      </c>
      <c r="E37">
        <v>140</v>
      </c>
      <c r="F37" t="s">
        <v>574</v>
      </c>
      <c r="G37">
        <v>1204.5999999999999</v>
      </c>
      <c r="H37">
        <v>-195.70000000000005</v>
      </c>
      <c r="I37">
        <v>30100</v>
      </c>
      <c r="J37">
        <v>-1.25</v>
      </c>
      <c r="K37">
        <v>0.5</v>
      </c>
      <c r="L37" t="s">
        <v>576</v>
      </c>
      <c r="M37">
        <v>27500</v>
      </c>
      <c r="N37">
        <v>4200</v>
      </c>
      <c r="O37">
        <v>64600</v>
      </c>
      <c r="P37" s="42">
        <v>43874</v>
      </c>
      <c r="Q37" s="43">
        <v>43874.447818518522</v>
      </c>
    </row>
    <row r="38" spans="1:17" x14ac:dyDescent="0.2">
      <c r="A38" t="s">
        <v>432</v>
      </c>
      <c r="B38" t="s">
        <v>433</v>
      </c>
      <c r="C38">
        <v>4020</v>
      </c>
      <c r="D38">
        <v>-300</v>
      </c>
      <c r="E38">
        <v>700</v>
      </c>
      <c r="F38" t="s">
        <v>574</v>
      </c>
      <c r="G38">
        <v>1107</v>
      </c>
      <c r="H38">
        <v>-179.5</v>
      </c>
      <c r="I38">
        <v>30200</v>
      </c>
      <c r="J38">
        <v>-1.5</v>
      </c>
      <c r="K38">
        <v>0.5</v>
      </c>
      <c r="L38" t="s">
        <v>576</v>
      </c>
      <c r="M38">
        <v>74420</v>
      </c>
      <c r="N38">
        <v>2880</v>
      </c>
      <c r="O38">
        <v>111540</v>
      </c>
      <c r="P38" s="42">
        <v>43874</v>
      </c>
      <c r="Q38" s="43">
        <v>43874.447818518522</v>
      </c>
    </row>
    <row r="39" spans="1:17" x14ac:dyDescent="0.2">
      <c r="A39" t="s">
        <v>434</v>
      </c>
      <c r="B39" t="s">
        <v>435</v>
      </c>
      <c r="C39">
        <v>2240</v>
      </c>
      <c r="D39">
        <v>-80</v>
      </c>
      <c r="E39">
        <v>2280</v>
      </c>
      <c r="F39" t="s">
        <v>574</v>
      </c>
      <c r="G39">
        <v>1005</v>
      </c>
      <c r="H39">
        <v>-233.20000000000005</v>
      </c>
      <c r="I39">
        <v>30300</v>
      </c>
      <c r="J39">
        <v>-1.35</v>
      </c>
      <c r="K39">
        <v>0.35</v>
      </c>
      <c r="L39" t="s">
        <v>576</v>
      </c>
      <c r="M39">
        <v>62440</v>
      </c>
      <c r="N39">
        <v>-11740</v>
      </c>
      <c r="O39">
        <v>140740</v>
      </c>
      <c r="P39" s="42">
        <v>43874</v>
      </c>
      <c r="Q39" s="43">
        <v>43874.447818518522</v>
      </c>
    </row>
    <row r="40" spans="1:17" x14ac:dyDescent="0.2">
      <c r="A40" t="s">
        <v>436</v>
      </c>
      <c r="B40" t="s">
        <v>437</v>
      </c>
      <c r="C40">
        <v>2600</v>
      </c>
      <c r="D40">
        <v>-20</v>
      </c>
      <c r="E40">
        <v>720</v>
      </c>
      <c r="F40" t="s">
        <v>574</v>
      </c>
      <c r="G40">
        <v>899.3</v>
      </c>
      <c r="H40">
        <v>-229.90000000000009</v>
      </c>
      <c r="I40">
        <v>30400</v>
      </c>
      <c r="J40">
        <v>-1.6</v>
      </c>
      <c r="K40">
        <v>0.4</v>
      </c>
      <c r="L40" t="s">
        <v>576</v>
      </c>
      <c r="M40">
        <v>56820</v>
      </c>
      <c r="N40">
        <v>-5840</v>
      </c>
      <c r="O40">
        <v>260260</v>
      </c>
      <c r="P40" s="42">
        <v>43874</v>
      </c>
      <c r="Q40" s="43">
        <v>43874.447818518522</v>
      </c>
    </row>
    <row r="41" spans="1:17" x14ac:dyDescent="0.2">
      <c r="A41" t="s">
        <v>438</v>
      </c>
      <c r="B41" t="s">
        <v>439</v>
      </c>
      <c r="C41">
        <v>26000</v>
      </c>
      <c r="D41">
        <v>-6220</v>
      </c>
      <c r="E41">
        <v>16780</v>
      </c>
      <c r="F41" t="s">
        <v>574</v>
      </c>
      <c r="G41">
        <v>809.85</v>
      </c>
      <c r="H41">
        <v>-221.94999999999993</v>
      </c>
      <c r="I41">
        <v>30500</v>
      </c>
      <c r="J41">
        <v>-2.1500000000000004</v>
      </c>
      <c r="K41">
        <v>0.55000000000000004</v>
      </c>
      <c r="L41" t="s">
        <v>576</v>
      </c>
      <c r="M41">
        <v>265660</v>
      </c>
      <c r="N41">
        <v>-12740</v>
      </c>
      <c r="O41">
        <v>401600</v>
      </c>
      <c r="P41" s="42">
        <v>43874</v>
      </c>
      <c r="Q41" s="43">
        <v>43874.447818518522</v>
      </c>
    </row>
    <row r="42" spans="1:17" x14ac:dyDescent="0.2">
      <c r="A42" t="s">
        <v>440</v>
      </c>
      <c r="B42" t="s">
        <v>441</v>
      </c>
      <c r="C42">
        <v>3620</v>
      </c>
      <c r="D42">
        <v>-920</v>
      </c>
      <c r="E42">
        <v>1920</v>
      </c>
      <c r="F42" t="s">
        <v>574</v>
      </c>
      <c r="G42">
        <v>711</v>
      </c>
      <c r="H42">
        <v>-221.70000000000005</v>
      </c>
      <c r="I42">
        <v>30600</v>
      </c>
      <c r="J42">
        <v>-2.2999999999999998</v>
      </c>
      <c r="K42">
        <v>0.7</v>
      </c>
      <c r="L42" t="s">
        <v>576</v>
      </c>
      <c r="M42">
        <v>232900</v>
      </c>
      <c r="N42">
        <v>11780</v>
      </c>
      <c r="O42">
        <v>211020</v>
      </c>
      <c r="P42" s="42">
        <v>43874</v>
      </c>
      <c r="Q42" s="43">
        <v>43874.447818518522</v>
      </c>
    </row>
    <row r="43" spans="1:17" x14ac:dyDescent="0.2">
      <c r="A43" t="s">
        <v>442</v>
      </c>
      <c r="B43" t="s">
        <v>443</v>
      </c>
      <c r="C43">
        <v>10440</v>
      </c>
      <c r="D43">
        <v>-1380</v>
      </c>
      <c r="E43">
        <v>8560</v>
      </c>
      <c r="F43" t="s">
        <v>574</v>
      </c>
      <c r="G43">
        <v>608</v>
      </c>
      <c r="H43">
        <v>-228</v>
      </c>
      <c r="I43">
        <v>30700</v>
      </c>
      <c r="J43">
        <v>-2.8</v>
      </c>
      <c r="K43">
        <v>0.8</v>
      </c>
      <c r="L43" t="s">
        <v>576</v>
      </c>
      <c r="M43">
        <v>509940</v>
      </c>
      <c r="N43">
        <v>75640</v>
      </c>
      <c r="O43">
        <v>265840</v>
      </c>
      <c r="P43" s="42">
        <v>43874</v>
      </c>
      <c r="Q43" s="43">
        <v>43874.447818518522</v>
      </c>
    </row>
    <row r="44" spans="1:17" x14ac:dyDescent="0.2">
      <c r="A44" t="s">
        <v>444</v>
      </c>
      <c r="B44" t="s">
        <v>445</v>
      </c>
      <c r="C44">
        <v>7400</v>
      </c>
      <c r="D44">
        <v>-100</v>
      </c>
      <c r="E44">
        <v>7120</v>
      </c>
      <c r="F44" t="s">
        <v>574</v>
      </c>
      <c r="G44">
        <v>510.85</v>
      </c>
      <c r="H44">
        <v>-224.75</v>
      </c>
      <c r="I44">
        <v>30800</v>
      </c>
      <c r="J44">
        <v>-2.8999999999999995</v>
      </c>
      <c r="K44">
        <v>1.2</v>
      </c>
      <c r="L44" t="s">
        <v>576</v>
      </c>
      <c r="M44">
        <v>1182260</v>
      </c>
      <c r="N44">
        <v>70060</v>
      </c>
      <c r="O44">
        <v>437460</v>
      </c>
      <c r="P44" s="42">
        <v>43874</v>
      </c>
      <c r="Q44" s="43">
        <v>43874.447818518522</v>
      </c>
    </row>
    <row r="45" spans="1:17" x14ac:dyDescent="0.2">
      <c r="A45" t="s">
        <v>446</v>
      </c>
      <c r="B45" t="s">
        <v>447</v>
      </c>
      <c r="C45">
        <v>7720</v>
      </c>
      <c r="D45">
        <v>1480</v>
      </c>
      <c r="E45">
        <v>10180</v>
      </c>
      <c r="F45" t="s">
        <v>574</v>
      </c>
      <c r="G45">
        <v>412.9</v>
      </c>
      <c r="H45">
        <v>-220.64999999999998</v>
      </c>
      <c r="I45">
        <v>30900</v>
      </c>
      <c r="J45">
        <v>-3.35</v>
      </c>
      <c r="K45">
        <v>2.15</v>
      </c>
      <c r="L45" t="s">
        <v>576</v>
      </c>
      <c r="M45">
        <v>2579040</v>
      </c>
      <c r="N45">
        <v>229080</v>
      </c>
      <c r="O45">
        <v>594960</v>
      </c>
      <c r="P45" s="42">
        <v>43874</v>
      </c>
      <c r="Q45" s="43">
        <v>43874.447818518522</v>
      </c>
    </row>
    <row r="46" spans="1:17" x14ac:dyDescent="0.2">
      <c r="A46" t="s">
        <v>448</v>
      </c>
      <c r="B46" t="s">
        <v>449</v>
      </c>
      <c r="C46">
        <v>105220</v>
      </c>
      <c r="D46">
        <v>17000</v>
      </c>
      <c r="E46">
        <v>237900</v>
      </c>
      <c r="F46" t="s">
        <v>574</v>
      </c>
      <c r="G46">
        <v>311.89999999999998</v>
      </c>
      <c r="H46">
        <v>-232.95000000000005</v>
      </c>
      <c r="I46">
        <v>31000</v>
      </c>
      <c r="J46">
        <v>-2.8000000000000007</v>
      </c>
      <c r="K46">
        <v>4.5999999999999996</v>
      </c>
      <c r="L46" t="s">
        <v>576</v>
      </c>
      <c r="M46">
        <v>7653900</v>
      </c>
      <c r="N46">
        <v>1035700</v>
      </c>
      <c r="O46">
        <v>1846300</v>
      </c>
      <c r="P46" s="42">
        <v>43874</v>
      </c>
      <c r="Q46" s="43">
        <v>43874.447818518522</v>
      </c>
    </row>
    <row r="47" spans="1:17" x14ac:dyDescent="0.2">
      <c r="A47" t="s">
        <v>450</v>
      </c>
      <c r="B47" t="s">
        <v>451</v>
      </c>
      <c r="C47">
        <v>81000</v>
      </c>
      <c r="D47">
        <v>50340</v>
      </c>
      <c r="E47">
        <v>318040</v>
      </c>
      <c r="F47" t="s">
        <v>574</v>
      </c>
      <c r="G47">
        <v>219.7</v>
      </c>
      <c r="H47">
        <v>-225.45</v>
      </c>
      <c r="I47">
        <v>31100</v>
      </c>
      <c r="J47">
        <v>0.69999999999999929</v>
      </c>
      <c r="K47">
        <v>10.85</v>
      </c>
      <c r="L47" t="s">
        <v>576</v>
      </c>
      <c r="M47">
        <v>9562280</v>
      </c>
      <c r="N47">
        <v>1044580</v>
      </c>
      <c r="O47">
        <v>1563280</v>
      </c>
      <c r="P47" s="42">
        <v>43874</v>
      </c>
      <c r="Q47" s="43">
        <v>43874.447818518522</v>
      </c>
    </row>
    <row r="48" spans="1:17" x14ac:dyDescent="0.2">
      <c r="A48" t="s">
        <v>452</v>
      </c>
      <c r="B48" t="s">
        <v>453</v>
      </c>
      <c r="C48">
        <v>338820</v>
      </c>
      <c r="D48">
        <v>207100</v>
      </c>
      <c r="E48">
        <v>2131760</v>
      </c>
      <c r="F48" t="s">
        <v>576</v>
      </c>
      <c r="G48">
        <v>137.15</v>
      </c>
      <c r="H48">
        <v>-213.29999999999998</v>
      </c>
      <c r="I48">
        <v>31200</v>
      </c>
      <c r="J48">
        <v>11.100000000000001</v>
      </c>
      <c r="K48">
        <v>28.5</v>
      </c>
      <c r="L48" t="s">
        <v>576</v>
      </c>
      <c r="M48">
        <v>12856340</v>
      </c>
      <c r="N48">
        <v>974280</v>
      </c>
      <c r="O48">
        <v>1500220</v>
      </c>
      <c r="P48" s="42">
        <v>43874</v>
      </c>
      <c r="Q48" s="43">
        <v>43874.447818518522</v>
      </c>
    </row>
    <row r="49" spans="1:17" x14ac:dyDescent="0.2">
      <c r="A49" t="s">
        <v>454</v>
      </c>
      <c r="B49" t="s">
        <v>455</v>
      </c>
      <c r="C49">
        <v>835400</v>
      </c>
      <c r="D49">
        <v>719460</v>
      </c>
      <c r="E49">
        <v>5040800</v>
      </c>
      <c r="F49" t="s">
        <v>576</v>
      </c>
      <c r="G49">
        <v>73.900000000000006</v>
      </c>
      <c r="H49">
        <v>-191.65</v>
      </c>
      <c r="I49">
        <v>31300</v>
      </c>
      <c r="J49">
        <v>34.099999999999994</v>
      </c>
      <c r="K49">
        <v>65.05</v>
      </c>
      <c r="L49" t="s">
        <v>576</v>
      </c>
      <c r="M49">
        <v>13536760</v>
      </c>
      <c r="N49">
        <v>494360</v>
      </c>
      <c r="O49">
        <v>1144860</v>
      </c>
      <c r="P49" s="42">
        <v>43874</v>
      </c>
      <c r="Q49" s="43">
        <v>43874.447818518522</v>
      </c>
    </row>
    <row r="50" spans="1:17" x14ac:dyDescent="0.2">
      <c r="A50" t="s">
        <v>456</v>
      </c>
      <c r="B50" t="s">
        <v>457</v>
      </c>
      <c r="C50">
        <v>1603160</v>
      </c>
      <c r="D50">
        <v>1418860</v>
      </c>
      <c r="E50">
        <v>11306280</v>
      </c>
      <c r="F50" t="s">
        <v>576</v>
      </c>
      <c r="G50">
        <v>34.25</v>
      </c>
      <c r="H50">
        <v>-154.75</v>
      </c>
      <c r="I50">
        <v>31400</v>
      </c>
      <c r="J50">
        <v>72.05</v>
      </c>
      <c r="K50">
        <v>126</v>
      </c>
      <c r="L50" t="s">
        <v>576</v>
      </c>
      <c r="M50">
        <v>9740500</v>
      </c>
      <c r="N50">
        <v>78500</v>
      </c>
      <c r="O50">
        <v>634720</v>
      </c>
      <c r="P50" s="42">
        <v>43874</v>
      </c>
      <c r="Q50" s="43">
        <v>43874.447818518522</v>
      </c>
    </row>
    <row r="51" spans="1:17" x14ac:dyDescent="0.2">
      <c r="A51" t="s">
        <v>458</v>
      </c>
      <c r="B51" t="s">
        <v>459</v>
      </c>
      <c r="C51">
        <v>2921600</v>
      </c>
      <c r="D51">
        <v>2143060</v>
      </c>
      <c r="E51">
        <v>16151200</v>
      </c>
      <c r="F51" t="s">
        <v>576</v>
      </c>
      <c r="G51">
        <v>14.65</v>
      </c>
      <c r="H51">
        <v>-111.8</v>
      </c>
      <c r="I51">
        <v>31500</v>
      </c>
      <c r="J51">
        <v>117.1</v>
      </c>
      <c r="K51">
        <v>207.25</v>
      </c>
      <c r="L51" t="s">
        <v>576</v>
      </c>
      <c r="M51">
        <v>5417960</v>
      </c>
      <c r="N51">
        <v>-194760</v>
      </c>
      <c r="O51">
        <v>435720</v>
      </c>
      <c r="P51" s="42">
        <v>43874</v>
      </c>
      <c r="Q51" s="43">
        <v>43874.447818518522</v>
      </c>
    </row>
    <row r="52" spans="1:17" x14ac:dyDescent="0.2">
      <c r="A52" t="s">
        <v>460</v>
      </c>
      <c r="B52" t="s">
        <v>461</v>
      </c>
      <c r="C52">
        <v>1864820</v>
      </c>
      <c r="D52">
        <v>1245160</v>
      </c>
      <c r="E52">
        <v>11990860</v>
      </c>
      <c r="F52" t="s">
        <v>576</v>
      </c>
      <c r="G52">
        <v>5.8</v>
      </c>
      <c r="H52">
        <v>-72.650000000000006</v>
      </c>
      <c r="I52">
        <v>31600</v>
      </c>
      <c r="J52">
        <v>155.75000000000003</v>
      </c>
      <c r="K52">
        <v>297.85000000000002</v>
      </c>
      <c r="L52" t="s">
        <v>576</v>
      </c>
      <c r="M52">
        <v>1543220</v>
      </c>
      <c r="N52">
        <v>9680</v>
      </c>
      <c r="O52">
        <v>103920</v>
      </c>
      <c r="P52" s="42">
        <v>43874</v>
      </c>
      <c r="Q52" s="43">
        <v>43874.447818518522</v>
      </c>
    </row>
    <row r="53" spans="1:17" x14ac:dyDescent="0.2">
      <c r="A53" t="s">
        <v>462</v>
      </c>
      <c r="B53" t="s">
        <v>463</v>
      </c>
      <c r="C53">
        <v>1366860</v>
      </c>
      <c r="D53">
        <v>731600</v>
      </c>
      <c r="E53">
        <v>9581380</v>
      </c>
      <c r="F53" t="s">
        <v>576</v>
      </c>
      <c r="G53">
        <v>2.65</v>
      </c>
      <c r="H53">
        <v>-41.800000000000004</v>
      </c>
      <c r="I53">
        <v>31700</v>
      </c>
      <c r="J53">
        <v>185.15</v>
      </c>
      <c r="K53">
        <v>394.55</v>
      </c>
      <c r="L53" t="s">
        <v>576</v>
      </c>
      <c r="M53">
        <v>628280</v>
      </c>
      <c r="N53">
        <v>-6840</v>
      </c>
      <c r="O53">
        <v>42920</v>
      </c>
      <c r="P53" s="42">
        <v>43874</v>
      </c>
      <c r="Q53" s="43">
        <v>43874.447818518522</v>
      </c>
    </row>
    <row r="54" spans="1:17" x14ac:dyDescent="0.2">
      <c r="A54" t="s">
        <v>464</v>
      </c>
      <c r="B54" t="s">
        <v>465</v>
      </c>
      <c r="C54">
        <v>1040280</v>
      </c>
      <c r="D54">
        <v>454900</v>
      </c>
      <c r="E54">
        <v>6911340</v>
      </c>
      <c r="F54" t="s">
        <v>576</v>
      </c>
      <c r="G54">
        <v>1.35</v>
      </c>
      <c r="H54">
        <v>-22.15</v>
      </c>
      <c r="I54">
        <v>31800</v>
      </c>
      <c r="J54">
        <v>210.04999999999995</v>
      </c>
      <c r="K54">
        <v>495.4</v>
      </c>
      <c r="L54" t="s">
        <v>576</v>
      </c>
      <c r="M54">
        <v>234520</v>
      </c>
      <c r="N54">
        <v>1780</v>
      </c>
      <c r="O54">
        <v>16760</v>
      </c>
      <c r="P54" s="42">
        <v>43874</v>
      </c>
      <c r="Q54" s="43">
        <v>43874.447818518522</v>
      </c>
    </row>
    <row r="55" spans="1:17" x14ac:dyDescent="0.2">
      <c r="A55" t="s">
        <v>466</v>
      </c>
      <c r="B55" t="s">
        <v>467</v>
      </c>
      <c r="C55">
        <v>658660</v>
      </c>
      <c r="D55">
        <v>146860</v>
      </c>
      <c r="E55">
        <v>21305040</v>
      </c>
      <c r="F55" t="s">
        <v>576</v>
      </c>
      <c r="G55">
        <v>0.9</v>
      </c>
      <c r="H55">
        <v>-10.199999999999999</v>
      </c>
      <c r="I55">
        <v>31900</v>
      </c>
      <c r="J55">
        <v>218.3</v>
      </c>
      <c r="K55">
        <v>595</v>
      </c>
      <c r="L55" t="s">
        <v>576</v>
      </c>
      <c r="M55">
        <v>49480</v>
      </c>
      <c r="N55">
        <v>1600</v>
      </c>
      <c r="O55">
        <v>7140</v>
      </c>
      <c r="P55" s="42">
        <v>43874</v>
      </c>
      <c r="Q55" s="43">
        <v>43874.447818518522</v>
      </c>
    </row>
    <row r="56" spans="1:17" x14ac:dyDescent="0.2">
      <c r="A56" t="s">
        <v>468</v>
      </c>
      <c r="B56" t="s">
        <v>469</v>
      </c>
      <c r="C56">
        <v>720220</v>
      </c>
      <c r="D56">
        <v>108560</v>
      </c>
      <c r="E56">
        <v>5564460</v>
      </c>
      <c r="F56" t="s">
        <v>576</v>
      </c>
      <c r="G56">
        <v>0.55000000000000004</v>
      </c>
      <c r="H56">
        <v>-5.45</v>
      </c>
      <c r="I56">
        <v>32000</v>
      </c>
      <c r="J56">
        <v>225</v>
      </c>
      <c r="K56">
        <v>695.5</v>
      </c>
      <c r="L56" t="s">
        <v>576</v>
      </c>
      <c r="M56">
        <v>31940</v>
      </c>
      <c r="N56">
        <v>-2060</v>
      </c>
      <c r="O56">
        <v>10060</v>
      </c>
      <c r="P56" s="42">
        <v>43874</v>
      </c>
      <c r="Q56" s="43">
        <v>43874.447818518522</v>
      </c>
    </row>
    <row r="57" spans="1:17" x14ac:dyDescent="0.2">
      <c r="A57" t="s">
        <v>470</v>
      </c>
      <c r="B57" t="s">
        <v>471</v>
      </c>
      <c r="C57">
        <v>141780</v>
      </c>
      <c r="D57">
        <v>-8700</v>
      </c>
      <c r="E57">
        <v>605740</v>
      </c>
      <c r="F57" t="s">
        <v>576</v>
      </c>
      <c r="G57">
        <v>0.45</v>
      </c>
      <c r="H57">
        <v>-2.6999999999999997</v>
      </c>
      <c r="I57">
        <v>32100</v>
      </c>
      <c r="J57">
        <v>225.54999999999995</v>
      </c>
      <c r="K57">
        <v>800.55</v>
      </c>
      <c r="L57" t="s">
        <v>576</v>
      </c>
      <c r="M57">
        <v>340</v>
      </c>
      <c r="N57">
        <v>80</v>
      </c>
      <c r="O57">
        <v>320</v>
      </c>
      <c r="P57" s="42">
        <v>43874</v>
      </c>
      <c r="Q57" s="43">
        <v>43874.447818518522</v>
      </c>
    </row>
    <row r="58" spans="1:17" x14ac:dyDescent="0.2">
      <c r="A58" t="s">
        <v>472</v>
      </c>
      <c r="B58" t="s">
        <v>473</v>
      </c>
      <c r="C58">
        <v>84820</v>
      </c>
      <c r="D58">
        <v>-63800</v>
      </c>
      <c r="E58">
        <v>303680</v>
      </c>
      <c r="F58" t="s">
        <v>576</v>
      </c>
      <c r="G58">
        <v>0.45</v>
      </c>
      <c r="H58">
        <v>-1.9000000000000001</v>
      </c>
      <c r="I58">
        <v>32200</v>
      </c>
      <c r="J58">
        <v>224.35000000000002</v>
      </c>
      <c r="K58">
        <v>897</v>
      </c>
      <c r="L58" t="s">
        <v>576</v>
      </c>
      <c r="M58">
        <v>260</v>
      </c>
      <c r="N58">
        <v>0</v>
      </c>
      <c r="O58">
        <v>1420</v>
      </c>
      <c r="P58" s="42">
        <v>43874</v>
      </c>
      <c r="Q58" s="43">
        <v>43874.447818518522</v>
      </c>
    </row>
    <row r="59" spans="1:17" x14ac:dyDescent="0.2">
      <c r="A59" t="s">
        <v>474</v>
      </c>
      <c r="B59" t="s">
        <v>475</v>
      </c>
      <c r="C59">
        <v>43620</v>
      </c>
      <c r="D59">
        <v>-4240</v>
      </c>
      <c r="E59">
        <v>72020</v>
      </c>
      <c r="F59" t="s">
        <v>576</v>
      </c>
      <c r="G59">
        <v>0.35</v>
      </c>
      <c r="H59">
        <v>-1.25</v>
      </c>
      <c r="I59">
        <v>32300</v>
      </c>
      <c r="J59">
        <v>132.60000000000002</v>
      </c>
      <c r="K59">
        <v>907.6</v>
      </c>
      <c r="L59" t="s">
        <v>574</v>
      </c>
      <c r="M59">
        <v>140</v>
      </c>
      <c r="N59">
        <v>60</v>
      </c>
      <c r="O59">
        <v>460</v>
      </c>
      <c r="P59" s="42">
        <v>43874</v>
      </c>
      <c r="Q59" s="43">
        <v>43874.447818518522</v>
      </c>
    </row>
    <row r="60" spans="1:17" x14ac:dyDescent="0.2">
      <c r="A60" t="s">
        <v>476</v>
      </c>
      <c r="B60" t="s">
        <v>477</v>
      </c>
      <c r="C60">
        <v>11320</v>
      </c>
      <c r="D60">
        <v>-3700</v>
      </c>
      <c r="E60">
        <v>19340</v>
      </c>
      <c r="F60" t="s">
        <v>576</v>
      </c>
      <c r="G60">
        <v>0.4</v>
      </c>
      <c r="H60">
        <v>-0.79999999999999993</v>
      </c>
      <c r="I60">
        <v>32400</v>
      </c>
      <c r="J60">
        <v>112.89999999999998</v>
      </c>
      <c r="K60">
        <v>990.4</v>
      </c>
      <c r="L60" t="s">
        <v>574</v>
      </c>
      <c r="M60">
        <v>20</v>
      </c>
      <c r="N60">
        <v>0</v>
      </c>
      <c r="O60">
        <v>220</v>
      </c>
      <c r="P60" s="42">
        <v>43874</v>
      </c>
      <c r="Q60" s="43">
        <v>43874.447818518522</v>
      </c>
    </row>
    <row r="61" spans="1:17" x14ac:dyDescent="0.2">
      <c r="A61" t="s">
        <v>478</v>
      </c>
      <c r="B61" t="s">
        <v>479</v>
      </c>
      <c r="C61">
        <v>102760</v>
      </c>
      <c r="D61">
        <v>-3160</v>
      </c>
      <c r="E61">
        <v>67000</v>
      </c>
      <c r="F61" t="s">
        <v>576</v>
      </c>
      <c r="G61">
        <v>0.3</v>
      </c>
      <c r="H61">
        <v>-1.05</v>
      </c>
      <c r="I61">
        <v>32500</v>
      </c>
      <c r="J61">
        <v>216.10000000000002</v>
      </c>
      <c r="K61">
        <v>1191.25</v>
      </c>
      <c r="L61" t="s">
        <v>576</v>
      </c>
      <c r="M61">
        <v>360</v>
      </c>
      <c r="N61">
        <v>-180</v>
      </c>
      <c r="O61">
        <v>3760</v>
      </c>
      <c r="P61" s="42">
        <v>43874</v>
      </c>
      <c r="Q61" s="43">
        <v>43874.447818518522</v>
      </c>
    </row>
    <row r="62" spans="1:17" x14ac:dyDescent="0.2">
      <c r="A62" t="s">
        <v>480</v>
      </c>
      <c r="B62" t="s">
        <v>481</v>
      </c>
      <c r="C62">
        <v>13620</v>
      </c>
      <c r="D62">
        <v>-1720</v>
      </c>
      <c r="E62">
        <v>9100</v>
      </c>
      <c r="F62" t="s">
        <v>576</v>
      </c>
      <c r="G62">
        <v>0.35</v>
      </c>
      <c r="H62">
        <v>-1</v>
      </c>
      <c r="I62">
        <v>32600</v>
      </c>
      <c r="J62">
        <v>0</v>
      </c>
      <c r="K62">
        <v>1089.3</v>
      </c>
      <c r="L62" t="s">
        <v>574</v>
      </c>
      <c r="M62">
        <v>0</v>
      </c>
      <c r="N62">
        <v>-20</v>
      </c>
      <c r="O62">
        <v>0</v>
      </c>
      <c r="P62" s="42">
        <v>43874</v>
      </c>
      <c r="Q62" s="43">
        <v>43874.447818518522</v>
      </c>
    </row>
    <row r="63" spans="1:17" x14ac:dyDescent="0.2">
      <c r="A63" t="s">
        <v>482</v>
      </c>
      <c r="B63" t="s">
        <v>483</v>
      </c>
      <c r="C63">
        <v>10820</v>
      </c>
      <c r="D63">
        <v>-20</v>
      </c>
      <c r="E63">
        <v>1120</v>
      </c>
      <c r="F63" t="s">
        <v>576</v>
      </c>
      <c r="G63">
        <v>0.25</v>
      </c>
      <c r="H63">
        <v>-0.5</v>
      </c>
      <c r="I63">
        <v>32700</v>
      </c>
      <c r="J63">
        <v>0</v>
      </c>
      <c r="K63">
        <v>1251.8499999999999</v>
      </c>
      <c r="L63" t="s">
        <v>574</v>
      </c>
      <c r="M63">
        <v>0</v>
      </c>
      <c r="N63">
        <v>-420</v>
      </c>
      <c r="O63">
        <v>0</v>
      </c>
      <c r="P63" s="42">
        <v>43874</v>
      </c>
      <c r="Q63" s="43">
        <v>43874.447818518522</v>
      </c>
    </row>
    <row r="64" spans="1:17" x14ac:dyDescent="0.2">
      <c r="A64" t="s">
        <v>484</v>
      </c>
      <c r="B64" t="s">
        <v>485</v>
      </c>
      <c r="C64">
        <v>7700</v>
      </c>
      <c r="D64">
        <v>1780</v>
      </c>
      <c r="E64">
        <v>2500</v>
      </c>
      <c r="F64" t="s">
        <v>576</v>
      </c>
      <c r="G64">
        <v>0.15</v>
      </c>
      <c r="H64">
        <v>-0.9</v>
      </c>
      <c r="I64">
        <v>32800</v>
      </c>
      <c r="J64">
        <v>-1464.15</v>
      </c>
      <c r="K64">
        <v>0</v>
      </c>
      <c r="L64" t="s">
        <v>574</v>
      </c>
      <c r="M64">
        <v>0</v>
      </c>
      <c r="N64">
        <v>0</v>
      </c>
      <c r="O64">
        <v>0</v>
      </c>
      <c r="P64" s="42">
        <v>43874</v>
      </c>
      <c r="Q64" s="43">
        <v>43874.447818518522</v>
      </c>
    </row>
    <row r="65" spans="1:17" x14ac:dyDescent="0.2">
      <c r="A65" t="s">
        <v>486</v>
      </c>
      <c r="B65" t="s">
        <v>487</v>
      </c>
      <c r="C65">
        <v>4160</v>
      </c>
      <c r="D65">
        <v>0</v>
      </c>
      <c r="E65">
        <v>640</v>
      </c>
      <c r="F65" t="s">
        <v>576</v>
      </c>
      <c r="G65">
        <v>0.05</v>
      </c>
      <c r="H65">
        <v>-0.25</v>
      </c>
      <c r="I65">
        <v>32900</v>
      </c>
      <c r="J65">
        <v>0</v>
      </c>
      <c r="K65">
        <v>1448.85</v>
      </c>
      <c r="L65" t="s">
        <v>574</v>
      </c>
      <c r="M65">
        <v>0</v>
      </c>
      <c r="N65">
        <v>-20</v>
      </c>
      <c r="O65">
        <v>0</v>
      </c>
      <c r="P65" s="42">
        <v>43874</v>
      </c>
      <c r="Q65" s="43">
        <v>43874.447818518522</v>
      </c>
    </row>
    <row r="66" spans="1:17" x14ac:dyDescent="0.2">
      <c r="A66" t="s">
        <v>488</v>
      </c>
      <c r="B66" t="s">
        <v>489</v>
      </c>
      <c r="C66">
        <v>34940</v>
      </c>
      <c r="D66">
        <v>0</v>
      </c>
      <c r="E66">
        <v>2160</v>
      </c>
      <c r="F66" t="s">
        <v>576</v>
      </c>
      <c r="G66">
        <v>0.05</v>
      </c>
      <c r="H66">
        <v>-0.2</v>
      </c>
      <c r="I66">
        <v>33000</v>
      </c>
      <c r="J66">
        <v>89.849999999999909</v>
      </c>
      <c r="K66">
        <v>1590.25</v>
      </c>
      <c r="L66" t="s">
        <v>574</v>
      </c>
      <c r="M66">
        <v>20</v>
      </c>
      <c r="N66">
        <v>0</v>
      </c>
      <c r="O66">
        <v>10020</v>
      </c>
      <c r="P66" s="42">
        <v>43874</v>
      </c>
      <c r="Q66" s="43">
        <v>43874.447818518522</v>
      </c>
    </row>
    <row r="67" spans="1:17" x14ac:dyDescent="0.2">
      <c r="A67" t="s">
        <v>490</v>
      </c>
      <c r="B67" t="s">
        <v>491</v>
      </c>
      <c r="C67">
        <v>5080</v>
      </c>
      <c r="D67">
        <v>3400</v>
      </c>
      <c r="E67">
        <v>4620</v>
      </c>
      <c r="F67" t="s">
        <v>576</v>
      </c>
      <c r="G67">
        <v>0.1</v>
      </c>
      <c r="H67">
        <v>-0.1</v>
      </c>
      <c r="I67">
        <v>33100</v>
      </c>
      <c r="J67">
        <v>-1660.95</v>
      </c>
      <c r="K67">
        <v>0</v>
      </c>
      <c r="L67" t="s">
        <v>574</v>
      </c>
      <c r="M67">
        <v>0</v>
      </c>
      <c r="N67">
        <v>0</v>
      </c>
      <c r="O67">
        <v>0</v>
      </c>
      <c r="P67" s="42">
        <v>43874</v>
      </c>
      <c r="Q67" s="43">
        <v>43874.447818518522</v>
      </c>
    </row>
    <row r="68" spans="1:17" x14ac:dyDescent="0.2">
      <c r="A68" t="s">
        <v>492</v>
      </c>
      <c r="B68" t="s">
        <v>493</v>
      </c>
      <c r="C68">
        <v>0</v>
      </c>
      <c r="D68">
        <v>0</v>
      </c>
      <c r="E68">
        <v>0</v>
      </c>
      <c r="F68" t="s">
        <v>576</v>
      </c>
      <c r="G68">
        <v>0.1</v>
      </c>
      <c r="H68">
        <v>0</v>
      </c>
      <c r="I68">
        <v>33200</v>
      </c>
      <c r="J68">
        <v>0</v>
      </c>
      <c r="K68">
        <v>1587.6</v>
      </c>
      <c r="L68" t="s">
        <v>574</v>
      </c>
      <c r="M68">
        <v>0</v>
      </c>
      <c r="N68">
        <v>-20</v>
      </c>
      <c r="O68">
        <v>0</v>
      </c>
      <c r="P68" s="42">
        <v>43874</v>
      </c>
      <c r="Q68" s="43">
        <v>43874.447818518522</v>
      </c>
    </row>
    <row r="69" spans="1:17" x14ac:dyDescent="0.2">
      <c r="A69" t="s">
        <v>494</v>
      </c>
      <c r="B69" t="s">
        <v>495</v>
      </c>
      <c r="C69">
        <v>0</v>
      </c>
      <c r="D69">
        <v>-20</v>
      </c>
      <c r="E69">
        <v>0</v>
      </c>
      <c r="F69" t="s">
        <v>576</v>
      </c>
      <c r="G69">
        <v>1.95</v>
      </c>
      <c r="H69">
        <v>0</v>
      </c>
      <c r="I69">
        <v>33300</v>
      </c>
      <c r="J69">
        <v>-1799</v>
      </c>
      <c r="K69">
        <v>0</v>
      </c>
      <c r="L69" t="s">
        <v>574</v>
      </c>
      <c r="M69">
        <v>0</v>
      </c>
      <c r="N69">
        <v>0</v>
      </c>
      <c r="O69">
        <v>0</v>
      </c>
      <c r="P69" s="42">
        <v>43874</v>
      </c>
      <c r="Q69" s="43">
        <v>43874.447818518522</v>
      </c>
    </row>
    <row r="70" spans="1:17" x14ac:dyDescent="0.2">
      <c r="A70" t="s">
        <v>496</v>
      </c>
      <c r="B70" t="s">
        <v>497</v>
      </c>
      <c r="C70">
        <v>0</v>
      </c>
      <c r="D70">
        <v>0</v>
      </c>
      <c r="E70">
        <v>0</v>
      </c>
      <c r="F70">
        <v>0</v>
      </c>
      <c r="G70">
        <v>0</v>
      </c>
      <c r="H70">
        <v>-462.95</v>
      </c>
      <c r="I70">
        <v>33400</v>
      </c>
      <c r="J70">
        <v>-1869.95</v>
      </c>
      <c r="K70">
        <v>0</v>
      </c>
      <c r="L70" t="s">
        <v>574</v>
      </c>
      <c r="M70">
        <v>0</v>
      </c>
      <c r="N70">
        <v>0</v>
      </c>
      <c r="O70">
        <v>0</v>
      </c>
      <c r="P70" s="42">
        <v>43874</v>
      </c>
      <c r="Q70" s="43">
        <v>43874.447818518522</v>
      </c>
    </row>
    <row r="71" spans="1:17" x14ac:dyDescent="0.2">
      <c r="A71" t="s">
        <v>498</v>
      </c>
      <c r="B71" t="s">
        <v>499</v>
      </c>
      <c r="C71">
        <v>0</v>
      </c>
      <c r="D71">
        <v>-700</v>
      </c>
      <c r="E71">
        <v>0</v>
      </c>
      <c r="F71" t="s">
        <v>576</v>
      </c>
      <c r="G71">
        <v>0.25</v>
      </c>
      <c r="H71">
        <v>0</v>
      </c>
      <c r="I71">
        <v>33500</v>
      </c>
      <c r="J71">
        <v>0</v>
      </c>
      <c r="K71">
        <v>3222.4</v>
      </c>
      <c r="L71" t="s">
        <v>576</v>
      </c>
      <c r="M71">
        <v>0</v>
      </c>
      <c r="N71">
        <v>-200</v>
      </c>
      <c r="O71">
        <v>0</v>
      </c>
      <c r="P71" s="42">
        <v>43874</v>
      </c>
      <c r="Q71" s="43">
        <v>43874.447818518522</v>
      </c>
    </row>
    <row r="72" spans="1:17" x14ac:dyDescent="0.2">
      <c r="A72" t="s">
        <v>500</v>
      </c>
      <c r="B72" t="s">
        <v>501</v>
      </c>
      <c r="C72">
        <v>0</v>
      </c>
      <c r="D72">
        <v>0</v>
      </c>
      <c r="E72">
        <v>0</v>
      </c>
      <c r="F72">
        <v>0</v>
      </c>
      <c r="G72">
        <v>0</v>
      </c>
      <c r="H72">
        <v>-412</v>
      </c>
      <c r="I72">
        <v>33600</v>
      </c>
      <c r="J72">
        <v>-2017.05</v>
      </c>
      <c r="K72">
        <v>0</v>
      </c>
      <c r="L72" t="s">
        <v>574</v>
      </c>
      <c r="M72">
        <v>0</v>
      </c>
      <c r="N72">
        <v>0</v>
      </c>
      <c r="O72">
        <v>0</v>
      </c>
      <c r="P72" s="42">
        <v>43874</v>
      </c>
      <c r="Q72" s="43">
        <v>43874.447818518522</v>
      </c>
    </row>
    <row r="73" spans="1:17" x14ac:dyDescent="0.2">
      <c r="A73" t="s">
        <v>502</v>
      </c>
      <c r="B73" t="s">
        <v>503</v>
      </c>
      <c r="C73">
        <v>0</v>
      </c>
      <c r="D73">
        <v>0</v>
      </c>
      <c r="E73">
        <v>0</v>
      </c>
      <c r="F73">
        <v>0</v>
      </c>
      <c r="G73">
        <v>0</v>
      </c>
      <c r="H73">
        <v>-387.85</v>
      </c>
      <c r="I73">
        <v>33700</v>
      </c>
      <c r="J73">
        <v>-2091.9</v>
      </c>
      <c r="K73">
        <v>0</v>
      </c>
      <c r="L73" t="s">
        <v>574</v>
      </c>
      <c r="M73">
        <v>0</v>
      </c>
      <c r="N73">
        <v>0</v>
      </c>
      <c r="O73">
        <v>0</v>
      </c>
      <c r="P73" s="42">
        <v>43874</v>
      </c>
      <c r="Q73" s="43">
        <v>43874.447818518522</v>
      </c>
    </row>
    <row r="74" spans="1:17" x14ac:dyDescent="0.2">
      <c r="A74" t="s">
        <v>504</v>
      </c>
      <c r="B74" t="s">
        <v>505</v>
      </c>
      <c r="C74">
        <v>0</v>
      </c>
      <c r="D74">
        <v>0</v>
      </c>
      <c r="E74">
        <v>0</v>
      </c>
      <c r="F74">
        <v>0</v>
      </c>
      <c r="G74">
        <v>0</v>
      </c>
      <c r="H74">
        <v>-363.5</v>
      </c>
      <c r="I74">
        <v>33800</v>
      </c>
      <c r="J74">
        <v>-2166.6</v>
      </c>
      <c r="K74">
        <v>0</v>
      </c>
      <c r="L74" t="s">
        <v>574</v>
      </c>
      <c r="M74">
        <v>0</v>
      </c>
      <c r="N74">
        <v>0</v>
      </c>
      <c r="O74">
        <v>0</v>
      </c>
      <c r="P74" s="42">
        <v>43874</v>
      </c>
      <c r="Q74" s="43">
        <v>43874.447818518522</v>
      </c>
    </row>
    <row r="75" spans="1:17" x14ac:dyDescent="0.2">
      <c r="A75" t="s">
        <v>506</v>
      </c>
      <c r="B75" t="s">
        <v>507</v>
      </c>
      <c r="C75">
        <v>0</v>
      </c>
      <c r="D75">
        <v>0</v>
      </c>
      <c r="E75">
        <v>0</v>
      </c>
      <c r="F75">
        <v>0</v>
      </c>
      <c r="G75">
        <v>0</v>
      </c>
      <c r="H75">
        <v>-341.45</v>
      </c>
      <c r="I75">
        <v>33900</v>
      </c>
      <c r="J75">
        <v>-2243.5500000000002</v>
      </c>
      <c r="K75">
        <v>0</v>
      </c>
      <c r="L75" t="s">
        <v>574</v>
      </c>
      <c r="M75">
        <v>0</v>
      </c>
      <c r="N75">
        <v>0</v>
      </c>
      <c r="O75">
        <v>0</v>
      </c>
      <c r="P75" s="42">
        <v>43874</v>
      </c>
      <c r="Q75" s="43">
        <v>43874.447818518522</v>
      </c>
    </row>
    <row r="76" spans="1:17" x14ac:dyDescent="0.2">
      <c r="A76" t="s">
        <v>508</v>
      </c>
      <c r="B76" t="s">
        <v>509</v>
      </c>
      <c r="C76">
        <v>460</v>
      </c>
      <c r="D76">
        <v>0</v>
      </c>
      <c r="E76">
        <v>220</v>
      </c>
      <c r="F76" t="s">
        <v>576</v>
      </c>
      <c r="G76">
        <v>0.15</v>
      </c>
      <c r="H76">
        <v>0</v>
      </c>
      <c r="I76">
        <v>34000</v>
      </c>
      <c r="J76">
        <v>0</v>
      </c>
      <c r="K76">
        <v>2600</v>
      </c>
      <c r="L76" t="s">
        <v>574</v>
      </c>
      <c r="M76">
        <v>0</v>
      </c>
      <c r="N76">
        <v>-320</v>
      </c>
      <c r="O76">
        <v>0</v>
      </c>
      <c r="P76" s="42">
        <v>43874</v>
      </c>
      <c r="Q76" s="43">
        <v>43874.447818518522</v>
      </c>
    </row>
    <row r="77" spans="1:17" x14ac:dyDescent="0.2">
      <c r="A77" t="s">
        <v>510</v>
      </c>
      <c r="B77" t="s">
        <v>511</v>
      </c>
      <c r="C77">
        <v>0</v>
      </c>
      <c r="D77">
        <v>0</v>
      </c>
      <c r="E77">
        <v>0</v>
      </c>
      <c r="F77">
        <v>0</v>
      </c>
      <c r="G77">
        <v>0</v>
      </c>
      <c r="H77">
        <v>-300.60000000000002</v>
      </c>
      <c r="I77">
        <v>34100</v>
      </c>
      <c r="J77">
        <v>-2400.6999999999998</v>
      </c>
      <c r="K77">
        <v>0</v>
      </c>
      <c r="L77" t="s">
        <v>574</v>
      </c>
      <c r="M77">
        <v>0</v>
      </c>
      <c r="N77">
        <v>0</v>
      </c>
      <c r="O77">
        <v>0</v>
      </c>
      <c r="P77" s="42">
        <v>43874</v>
      </c>
      <c r="Q77" s="43">
        <v>43874.447818518522</v>
      </c>
    </row>
    <row r="78" spans="1:17" x14ac:dyDescent="0.2">
      <c r="A78" t="s">
        <v>512</v>
      </c>
      <c r="B78" t="s">
        <v>513</v>
      </c>
      <c r="C78">
        <v>0</v>
      </c>
      <c r="D78">
        <v>-20</v>
      </c>
      <c r="E78">
        <v>0</v>
      </c>
      <c r="F78" t="s">
        <v>576</v>
      </c>
      <c r="G78">
        <v>5.9</v>
      </c>
      <c r="H78">
        <v>0</v>
      </c>
      <c r="I78">
        <v>34200</v>
      </c>
      <c r="J78">
        <v>-2480.85</v>
      </c>
      <c r="K78">
        <v>0</v>
      </c>
      <c r="L78" t="s">
        <v>574</v>
      </c>
      <c r="M78">
        <v>0</v>
      </c>
      <c r="N78">
        <v>0</v>
      </c>
      <c r="O78">
        <v>0</v>
      </c>
      <c r="P78" s="42">
        <v>43874</v>
      </c>
      <c r="Q78" s="43">
        <v>43874.447818518522</v>
      </c>
    </row>
    <row r="79" spans="1:17" x14ac:dyDescent="0.2">
      <c r="A79" t="s">
        <v>514</v>
      </c>
      <c r="B79" t="s">
        <v>515</v>
      </c>
      <c r="C79">
        <v>0</v>
      </c>
      <c r="D79">
        <v>0</v>
      </c>
      <c r="E79">
        <v>0</v>
      </c>
      <c r="F79">
        <v>0</v>
      </c>
      <c r="G79">
        <v>0</v>
      </c>
      <c r="H79">
        <v>-263.8</v>
      </c>
      <c r="I79">
        <v>34300</v>
      </c>
      <c r="J79">
        <v>0</v>
      </c>
      <c r="K79">
        <v>2800</v>
      </c>
      <c r="L79" t="s">
        <v>574</v>
      </c>
      <c r="M79">
        <v>0</v>
      </c>
      <c r="N79">
        <v>-20</v>
      </c>
      <c r="O79">
        <v>0</v>
      </c>
      <c r="P79" s="42">
        <v>43874</v>
      </c>
      <c r="Q79" s="43">
        <v>43874.447818518522</v>
      </c>
    </row>
    <row r="80" spans="1:17" x14ac:dyDescent="0.2">
      <c r="A80" t="s">
        <v>516</v>
      </c>
      <c r="B80" t="s">
        <v>517</v>
      </c>
      <c r="C80">
        <v>0</v>
      </c>
      <c r="D80">
        <v>0</v>
      </c>
      <c r="E80">
        <v>0</v>
      </c>
      <c r="F80">
        <v>0</v>
      </c>
      <c r="G80">
        <v>0</v>
      </c>
      <c r="H80">
        <v>-246.8</v>
      </c>
      <c r="I80">
        <v>34400</v>
      </c>
      <c r="J80">
        <v>-2644</v>
      </c>
      <c r="K80">
        <v>0</v>
      </c>
      <c r="L80" t="s">
        <v>574</v>
      </c>
      <c r="M80">
        <v>0</v>
      </c>
      <c r="N80">
        <v>0</v>
      </c>
      <c r="O80">
        <v>0</v>
      </c>
      <c r="P80" s="42">
        <v>43874</v>
      </c>
      <c r="Q80" s="43">
        <v>43874.447818518522</v>
      </c>
    </row>
    <row r="81" spans="1:18" x14ac:dyDescent="0.2">
      <c r="A81" t="s">
        <v>518</v>
      </c>
      <c r="B81" t="s">
        <v>519</v>
      </c>
      <c r="C81">
        <v>240</v>
      </c>
      <c r="D81">
        <v>40</v>
      </c>
      <c r="E81">
        <v>80</v>
      </c>
      <c r="F81" t="s">
        <v>576</v>
      </c>
      <c r="G81">
        <v>0.15</v>
      </c>
      <c r="H81">
        <v>-1.35</v>
      </c>
      <c r="I81">
        <v>34500</v>
      </c>
      <c r="J81">
        <v>0</v>
      </c>
      <c r="K81">
        <v>4324.8999999999996</v>
      </c>
      <c r="L81" t="s">
        <v>576</v>
      </c>
      <c r="M81">
        <v>0</v>
      </c>
      <c r="N81">
        <v>-200</v>
      </c>
      <c r="O81">
        <v>0</v>
      </c>
      <c r="P81" s="42">
        <v>43874</v>
      </c>
      <c r="Q81" s="43">
        <v>43874.447818518522</v>
      </c>
    </row>
    <row r="82" spans="1:18" x14ac:dyDescent="0.2">
      <c r="A82" t="s">
        <v>520</v>
      </c>
      <c r="B82" t="s">
        <v>521</v>
      </c>
      <c r="C82">
        <v>0</v>
      </c>
      <c r="D82">
        <v>-60</v>
      </c>
      <c r="E82">
        <v>0</v>
      </c>
      <c r="F82" t="s">
        <v>576</v>
      </c>
      <c r="G82">
        <v>0.35</v>
      </c>
      <c r="H82">
        <v>0</v>
      </c>
      <c r="I82">
        <v>34600</v>
      </c>
      <c r="J82">
        <v>-2810.8</v>
      </c>
      <c r="K82">
        <v>0</v>
      </c>
      <c r="L82" t="s">
        <v>574</v>
      </c>
      <c r="M82">
        <v>0</v>
      </c>
      <c r="N82">
        <v>0</v>
      </c>
      <c r="O82">
        <v>0</v>
      </c>
      <c r="P82" s="42">
        <v>43874</v>
      </c>
      <c r="Q82" s="43">
        <v>43874.447818518522</v>
      </c>
    </row>
    <row r="83" spans="1:18" x14ac:dyDescent="0.2">
      <c r="A83" t="s">
        <v>522</v>
      </c>
      <c r="B83" t="s">
        <v>523</v>
      </c>
      <c r="C83">
        <v>2740</v>
      </c>
      <c r="D83">
        <v>2640</v>
      </c>
      <c r="E83">
        <v>280100</v>
      </c>
      <c r="F83" t="s">
        <v>576</v>
      </c>
      <c r="G83">
        <v>0.15</v>
      </c>
      <c r="H83">
        <v>-1.1000000000000001</v>
      </c>
      <c r="I83">
        <v>34700</v>
      </c>
      <c r="J83">
        <v>-2895.5</v>
      </c>
      <c r="K83">
        <v>0</v>
      </c>
      <c r="L83" t="s">
        <v>574</v>
      </c>
      <c r="M83">
        <v>0</v>
      </c>
      <c r="N83">
        <v>0</v>
      </c>
      <c r="O83">
        <v>0</v>
      </c>
      <c r="P83" s="42">
        <v>43874</v>
      </c>
      <c r="Q83" s="43">
        <v>43874.447818518522</v>
      </c>
    </row>
    <row r="84" spans="1:18" x14ac:dyDescent="0.2">
      <c r="A84" t="s">
        <v>524</v>
      </c>
      <c r="B84" t="s">
        <v>525</v>
      </c>
      <c r="C84">
        <v>60</v>
      </c>
      <c r="D84">
        <v>60</v>
      </c>
      <c r="E84">
        <v>270060</v>
      </c>
      <c r="F84" t="s">
        <v>576</v>
      </c>
      <c r="G84">
        <v>0.15</v>
      </c>
      <c r="H84">
        <v>-241.5</v>
      </c>
      <c r="I84">
        <v>34800</v>
      </c>
      <c r="J84">
        <v>-2701.15</v>
      </c>
      <c r="K84">
        <v>0</v>
      </c>
      <c r="L84" t="s">
        <v>574</v>
      </c>
      <c r="M84">
        <v>0</v>
      </c>
      <c r="N84">
        <v>0</v>
      </c>
      <c r="O84">
        <v>0</v>
      </c>
      <c r="P84" s="42">
        <v>43874</v>
      </c>
      <c r="Q84" s="43">
        <v>43874.447818518522</v>
      </c>
    </row>
    <row r="85" spans="1:18" x14ac:dyDescent="0.2">
      <c r="A85" t="s">
        <v>526</v>
      </c>
      <c r="B85" t="s">
        <v>527</v>
      </c>
      <c r="C85">
        <v>0</v>
      </c>
      <c r="D85">
        <v>-100</v>
      </c>
      <c r="E85">
        <v>0</v>
      </c>
      <c r="F85" t="s">
        <v>576</v>
      </c>
      <c r="G85">
        <v>1</v>
      </c>
      <c r="H85">
        <v>0</v>
      </c>
      <c r="I85">
        <v>34900</v>
      </c>
      <c r="J85">
        <v>-2784.55</v>
      </c>
      <c r="K85">
        <v>0</v>
      </c>
      <c r="L85" t="s">
        <v>574</v>
      </c>
      <c r="M85">
        <v>0</v>
      </c>
      <c r="N85">
        <v>0</v>
      </c>
      <c r="O85">
        <v>0</v>
      </c>
      <c r="P85" s="42">
        <v>43874</v>
      </c>
      <c r="Q85" s="43">
        <v>43874.447818518522</v>
      </c>
    </row>
    <row r="86" spans="1:18" x14ac:dyDescent="0.2">
      <c r="A86" t="s">
        <v>528</v>
      </c>
      <c r="B86" t="s">
        <v>529</v>
      </c>
      <c r="C86">
        <v>340</v>
      </c>
      <c r="D86">
        <v>0</v>
      </c>
      <c r="E86">
        <v>20</v>
      </c>
      <c r="F86" t="s">
        <v>576</v>
      </c>
      <c r="G86">
        <v>0.4</v>
      </c>
      <c r="H86">
        <v>-9.9999999999999978E-2</v>
      </c>
      <c r="I86">
        <v>35000</v>
      </c>
      <c r="J86">
        <v>0</v>
      </c>
      <c r="K86">
        <v>3594.8</v>
      </c>
      <c r="L86" t="s">
        <v>574</v>
      </c>
      <c r="M86">
        <v>0</v>
      </c>
      <c r="N86">
        <v>-320</v>
      </c>
      <c r="O86">
        <v>0</v>
      </c>
      <c r="P86" s="42">
        <v>43874</v>
      </c>
      <c r="Q86" s="43">
        <v>43874.447818518522</v>
      </c>
    </row>
    <row r="87" spans="1:18" x14ac:dyDescent="0.2">
      <c r="A87" t="s">
        <v>530</v>
      </c>
      <c r="B87" t="s">
        <v>531</v>
      </c>
      <c r="C87">
        <v>0</v>
      </c>
      <c r="D87">
        <v>-280</v>
      </c>
      <c r="E87">
        <v>0</v>
      </c>
      <c r="F87" t="s">
        <v>576</v>
      </c>
      <c r="G87">
        <v>0.6</v>
      </c>
      <c r="H87">
        <v>0</v>
      </c>
      <c r="I87">
        <v>35100</v>
      </c>
      <c r="J87">
        <v>-2830.8</v>
      </c>
      <c r="K87">
        <v>0</v>
      </c>
      <c r="L87" t="s">
        <v>574</v>
      </c>
      <c r="M87">
        <v>0</v>
      </c>
      <c r="N87">
        <v>0</v>
      </c>
      <c r="O87">
        <v>0</v>
      </c>
      <c r="P87" s="42">
        <v>43874</v>
      </c>
      <c r="Q87" s="43">
        <v>43874.447818518522</v>
      </c>
    </row>
    <row r="88" spans="1:18" x14ac:dyDescent="0.2">
      <c r="A88" t="s">
        <v>532</v>
      </c>
      <c r="B88" t="s">
        <v>533</v>
      </c>
      <c r="C88">
        <v>1240</v>
      </c>
      <c r="D88">
        <v>0</v>
      </c>
      <c r="E88">
        <v>10240</v>
      </c>
      <c r="F88" t="s">
        <v>576</v>
      </c>
      <c r="G88">
        <v>0.05</v>
      </c>
      <c r="H88">
        <v>-0.45</v>
      </c>
      <c r="I88">
        <v>35200</v>
      </c>
      <c r="J88">
        <v>-2815.85</v>
      </c>
      <c r="K88">
        <v>0</v>
      </c>
      <c r="L88" t="s">
        <v>574</v>
      </c>
      <c r="M88">
        <v>0</v>
      </c>
      <c r="N88">
        <v>0</v>
      </c>
      <c r="O88">
        <v>0</v>
      </c>
      <c r="P88" s="42">
        <v>43874</v>
      </c>
      <c r="Q88" s="43">
        <v>43874.447818518522</v>
      </c>
    </row>
    <row r="89" spans="1:18" x14ac:dyDescent="0.2">
      <c r="A89" t="s">
        <v>534</v>
      </c>
      <c r="B89" t="s">
        <v>535</v>
      </c>
      <c r="C89">
        <v>0</v>
      </c>
      <c r="D89">
        <v>-160</v>
      </c>
      <c r="E89">
        <v>0</v>
      </c>
      <c r="F89" t="s">
        <v>576</v>
      </c>
      <c r="G89">
        <v>0.1</v>
      </c>
      <c r="H89">
        <v>0</v>
      </c>
      <c r="I89">
        <v>35300</v>
      </c>
      <c r="J89">
        <v>-2754.2</v>
      </c>
      <c r="K89">
        <v>0</v>
      </c>
      <c r="L89" t="s">
        <v>574</v>
      </c>
      <c r="M89">
        <v>0</v>
      </c>
      <c r="N89">
        <v>0</v>
      </c>
      <c r="O89">
        <v>0</v>
      </c>
      <c r="P89" s="42">
        <v>43874</v>
      </c>
      <c r="Q89" s="43">
        <v>43874.447818518522</v>
      </c>
    </row>
    <row r="90" spans="1:18" x14ac:dyDescent="0.2">
      <c r="A90" t="s">
        <v>536</v>
      </c>
      <c r="B90" t="s">
        <v>537</v>
      </c>
      <c r="C90">
        <v>0</v>
      </c>
      <c r="D90">
        <v>-4740</v>
      </c>
      <c r="E90">
        <v>0</v>
      </c>
      <c r="F90" t="s">
        <v>576</v>
      </c>
      <c r="G90">
        <v>0.2</v>
      </c>
      <c r="H90">
        <v>-4.9999999999999989E-2</v>
      </c>
      <c r="I90">
        <v>35400</v>
      </c>
      <c r="J90">
        <v>-2842.5</v>
      </c>
      <c r="K90">
        <v>0</v>
      </c>
      <c r="L90" t="s">
        <v>574</v>
      </c>
      <c r="M90">
        <v>0</v>
      </c>
      <c r="N90">
        <v>0</v>
      </c>
      <c r="O90">
        <v>0</v>
      </c>
      <c r="P90" s="42">
        <v>43874</v>
      </c>
      <c r="Q90" s="43">
        <v>43874.447818518522</v>
      </c>
    </row>
    <row r="91" spans="1:18" x14ac:dyDescent="0.2">
      <c r="J91" s="44"/>
    </row>
    <row r="92" spans="1:18" x14ac:dyDescent="0.2">
      <c r="J92" s="44"/>
      <c r="Q92" s="42"/>
      <c r="R92" s="43"/>
    </row>
    <row r="93" spans="1:18" x14ac:dyDescent="0.2">
      <c r="J93" s="44"/>
      <c r="Q93" s="42"/>
      <c r="R93" s="43"/>
    </row>
    <row r="94" spans="1:18" x14ac:dyDescent="0.2">
      <c r="J94" s="44"/>
      <c r="Q94" s="42"/>
      <c r="R94" s="43"/>
    </row>
    <row r="95" spans="1:18" x14ac:dyDescent="0.2">
      <c r="J95" s="44"/>
      <c r="Q95" s="42"/>
      <c r="R95" s="43"/>
    </row>
    <row r="96" spans="1:18" x14ac:dyDescent="0.2">
      <c r="J96" s="44"/>
      <c r="Q96" s="42"/>
      <c r="R96" s="43"/>
    </row>
    <row r="97" spans="10:18" x14ac:dyDescent="0.2">
      <c r="J97" s="44"/>
      <c r="Q97" s="42"/>
      <c r="R97" s="43"/>
    </row>
    <row r="98" spans="10:18" x14ac:dyDescent="0.2">
      <c r="J98" s="44"/>
      <c r="Q98" s="42"/>
      <c r="R98" s="43"/>
    </row>
    <row r="99" spans="10:18" x14ac:dyDescent="0.2">
      <c r="J99" s="44"/>
      <c r="Q99" s="42"/>
      <c r="R99" s="43"/>
    </row>
    <row r="100" spans="10:18" x14ac:dyDescent="0.2">
      <c r="J100" s="44"/>
      <c r="Q100" s="42"/>
      <c r="R100" s="4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U68"/>
  <sheetViews>
    <sheetView tabSelected="1" topLeftCell="A5" workbookViewId="0">
      <selection activeCell="H14" sqref="H14"/>
    </sheetView>
  </sheetViews>
  <sheetFormatPr defaultColWidth="7.5703125" defaultRowHeight="15" x14ac:dyDescent="0.25"/>
  <cols>
    <col min="1" max="1" width="2" style="66" customWidth="1"/>
    <col min="2" max="2" width="2.28515625" style="66" customWidth="1"/>
    <col min="3" max="3" width="6.85546875" style="99" customWidth="1"/>
    <col min="4" max="4" width="16.85546875" style="66" customWidth="1"/>
    <col min="5" max="5" width="9.5703125" style="66" bestFit="1" customWidth="1"/>
    <col min="6" max="6" width="10.28515625" style="66" customWidth="1"/>
    <col min="7" max="7" width="9.85546875" style="66" customWidth="1"/>
    <col min="8" max="8" width="9.140625" style="66" customWidth="1"/>
    <col min="9" max="9" width="7" style="66" customWidth="1"/>
    <col min="10" max="10" width="9.42578125" style="66" customWidth="1"/>
    <col min="11" max="11" width="9.28515625" style="66" customWidth="1"/>
    <col min="12" max="12" width="8.28515625" style="66" customWidth="1"/>
    <col min="13" max="13" width="9" style="66" customWidth="1"/>
    <col min="14" max="14" width="9.28515625" style="66" customWidth="1"/>
    <col min="15" max="15" width="6.140625" style="66" customWidth="1"/>
    <col min="16" max="16" width="9.7109375" style="66" customWidth="1"/>
    <col min="17" max="17" width="10.42578125" style="66" customWidth="1"/>
    <col min="18" max="18" width="10.140625" style="66" customWidth="1"/>
    <col min="19" max="19" width="10" style="66" customWidth="1"/>
    <col min="20" max="20" width="16.140625" style="66" customWidth="1"/>
    <col min="21" max="23" width="7.5703125" style="66"/>
    <col min="24" max="24" width="15.7109375" style="66" bestFit="1" customWidth="1"/>
    <col min="25" max="16384" width="7.5703125" style="66"/>
  </cols>
  <sheetData>
    <row r="1" spans="1:21" ht="31.5" x14ac:dyDescent="0.5">
      <c r="C1" s="113" t="s">
        <v>556</v>
      </c>
      <c r="D1" s="113"/>
      <c r="E1" s="113"/>
      <c r="F1" s="113"/>
      <c r="G1" s="113"/>
      <c r="H1" s="113"/>
      <c r="I1" s="113"/>
      <c r="J1" s="113"/>
      <c r="K1" s="113"/>
      <c r="L1" s="113"/>
      <c r="M1" s="113"/>
      <c r="N1" s="113"/>
      <c r="O1" s="113"/>
      <c r="P1" s="113"/>
      <c r="Q1" s="113"/>
      <c r="R1" s="113"/>
      <c r="S1" s="113"/>
      <c r="T1" s="114"/>
    </row>
    <row r="2" spans="1:21" ht="15" customHeight="1" x14ac:dyDescent="0.25">
      <c r="A2" s="67"/>
      <c r="B2" s="67"/>
      <c r="C2" s="68"/>
      <c r="D2" s="67"/>
      <c r="E2" s="67"/>
      <c r="F2" s="67"/>
      <c r="G2" s="67"/>
      <c r="H2" s="67"/>
      <c r="I2" s="67"/>
      <c r="J2" s="67"/>
      <c r="K2" s="67"/>
      <c r="L2" s="67"/>
      <c r="M2" s="67"/>
      <c r="N2" s="67"/>
      <c r="O2" s="67"/>
      <c r="P2" s="67"/>
      <c r="Q2" s="67"/>
      <c r="R2" s="69" t="s">
        <v>557</v>
      </c>
      <c r="S2" s="67"/>
      <c r="T2" s="67"/>
    </row>
    <row r="3" spans="1:21" x14ac:dyDescent="0.25">
      <c r="A3" s="67"/>
      <c r="B3" s="67"/>
      <c r="C3" s="68"/>
      <c r="D3" s="67"/>
      <c r="E3" s="67"/>
      <c r="F3" s="67"/>
      <c r="G3" s="67"/>
      <c r="H3" s="70"/>
      <c r="I3" s="70" t="s">
        <v>554</v>
      </c>
      <c r="J3" s="71">
        <f>Data_Banknifty!R4</f>
        <v>31328.15</v>
      </c>
      <c r="K3" s="67"/>
      <c r="L3" s="72" t="str">
        <f>CONCATENATE("As on"&amp;" "&amp;TEXT(Data_Banknifty!Q4,"Mmm DD, YYYY h:mm:ss")&amp;" "&amp;"IST")</f>
        <v>As on Feb 13, 2020 10:44:52 IST</v>
      </c>
      <c r="M3" s="73"/>
      <c r="N3" s="73"/>
      <c r="O3" s="73"/>
      <c r="P3" s="74"/>
      <c r="Q3" s="67"/>
      <c r="R3" s="75">
        <f ca="1">TODAY()</f>
        <v>43874</v>
      </c>
      <c r="S3" s="67"/>
      <c r="T3" s="67"/>
    </row>
    <row r="4" spans="1:21" x14ac:dyDescent="0.25">
      <c r="A4" s="67"/>
      <c r="B4" s="67"/>
      <c r="C4" s="68"/>
      <c r="D4" s="67"/>
      <c r="E4" s="67"/>
      <c r="F4" s="67"/>
      <c r="G4" s="67"/>
      <c r="H4" s="67"/>
      <c r="I4" s="67"/>
      <c r="J4" s="67"/>
      <c r="K4" s="67"/>
      <c r="L4" s="67"/>
      <c r="M4" s="67"/>
      <c r="N4" s="67"/>
      <c r="O4" s="67"/>
      <c r="P4" s="67"/>
      <c r="Q4" s="76"/>
      <c r="R4" s="76"/>
      <c r="S4" s="67"/>
      <c r="T4" s="67"/>
    </row>
    <row r="5" spans="1:21" x14ac:dyDescent="0.25">
      <c r="A5" s="67"/>
      <c r="B5" s="67"/>
      <c r="C5" s="68"/>
      <c r="D5" s="115" t="str">
        <f>CONCATENATE("As on"&amp;" "&amp;TEXT(Data_Banknifty!Q4,"Mmm DD, YYYY h:mm:ss")&amp;" "&amp;"IST")</f>
        <v>As on Feb 13, 2020 10:44:52 IST</v>
      </c>
      <c r="E5" s="115"/>
      <c r="F5" s="115"/>
      <c r="G5" s="115"/>
      <c r="H5" s="115"/>
      <c r="I5" s="115"/>
      <c r="J5" s="115"/>
      <c r="K5" s="116"/>
      <c r="L5" s="77">
        <f>ROUND(J3,-2)</f>
        <v>31300</v>
      </c>
      <c r="M5" s="117" t="str">
        <f>"BANKNIFTY "&amp;J3</f>
        <v>BANKNIFTY 31328.15</v>
      </c>
      <c r="N5" s="118"/>
      <c r="O5" s="118"/>
      <c r="P5" s="118"/>
      <c r="Q5" s="118"/>
      <c r="R5" s="118"/>
      <c r="S5" s="118"/>
      <c r="T5" s="118"/>
    </row>
    <row r="6" spans="1:21" ht="47.25" customHeight="1" x14ac:dyDescent="0.25">
      <c r="A6" s="78"/>
      <c r="B6" s="78"/>
      <c r="C6" s="79" t="s">
        <v>538</v>
      </c>
      <c r="D6" s="80" t="s">
        <v>539</v>
      </c>
      <c r="E6" s="81" t="s">
        <v>558</v>
      </c>
      <c r="F6" s="81" t="s">
        <v>541</v>
      </c>
      <c r="G6" s="81" t="s">
        <v>542</v>
      </c>
      <c r="H6" s="81" t="s">
        <v>543</v>
      </c>
      <c r="I6" s="81" t="s">
        <v>177</v>
      </c>
      <c r="J6" s="81" t="s">
        <v>545</v>
      </c>
      <c r="K6" s="81" t="s">
        <v>546</v>
      </c>
      <c r="L6" s="82" t="s">
        <v>547</v>
      </c>
      <c r="M6" s="81" t="s">
        <v>548</v>
      </c>
      <c r="N6" s="81" t="s">
        <v>549</v>
      </c>
      <c r="O6" s="81" t="s">
        <v>177</v>
      </c>
      <c r="P6" s="81" t="s">
        <v>551</v>
      </c>
      <c r="Q6" s="81" t="s">
        <v>552</v>
      </c>
      <c r="R6" s="81" t="s">
        <v>553</v>
      </c>
      <c r="S6" s="81" t="str">
        <f>E6</f>
        <v>OI change</v>
      </c>
      <c r="T6" s="83" t="s">
        <v>539</v>
      </c>
      <c r="U6" s="80" t="s">
        <v>554</v>
      </c>
    </row>
    <row r="7" spans="1:21" x14ac:dyDescent="0.25">
      <c r="A7" s="84" t="str">
        <f t="shared" ref="A7:A22" si="0">"CE"&amp;L7</f>
        <v>CE30500</v>
      </c>
      <c r="B7" s="84" t="str">
        <f t="shared" ref="B7:B22" si="1">"PE"&amp;L7</f>
        <v>PE30500</v>
      </c>
      <c r="C7" s="85" t="str">
        <f>TEXT(Data_Banknifty!Q4,"Hh:MM")</f>
        <v>10:44</v>
      </c>
      <c r="D7" s="86" t="str">
        <f>IF(AND(J7&lt;0,H7&lt;0),"Long Liquidation",IF(AND(J7&lt;0,H7&gt;0),"Short Buildup",IF(AND(J7&gt;0,H7&gt;0),"Long Buildup",IF(AND(J7&gt;0,H7&lt;0),"Short covering"))))</f>
        <v>Long Liquidation</v>
      </c>
      <c r="E7" s="87" t="str">
        <f t="shared" ref="E7:E21" si="2">IF(H7&gt;0,"UP","DOWN")</f>
        <v>DOWN</v>
      </c>
      <c r="F7" s="88">
        <f>VLOOKUP($A7,Data_Banknifty!$A$4:$Q$90,5,0)</f>
        <v>16780</v>
      </c>
      <c r="G7" s="88">
        <f>VLOOKUP($A7,Data_Banknifty!$A$4:$Q$90,3,0)</f>
        <v>26000</v>
      </c>
      <c r="H7" s="88">
        <f>VLOOKUP($A7,Data_Banknifty!$A$4:$Q$90,4,0)</f>
        <v>-6220</v>
      </c>
      <c r="I7" s="88" t="str">
        <f>VLOOKUP($A7,Data_Banknifty!$A$4:$Q$90,6,0)</f>
        <v>undefined</v>
      </c>
      <c r="J7" s="88">
        <f>VLOOKUP($A7,Data_Banknifty!$A$4:$Q$90,8,0)</f>
        <v>-221.94999999999993</v>
      </c>
      <c r="K7" s="88">
        <f>VLOOKUP($A7,Data_Banknifty!$A$4:$Q$90,7,0)</f>
        <v>809.85</v>
      </c>
      <c r="L7" s="89">
        <f t="shared" ref="L7:L14" si="3">L8-100</f>
        <v>30500</v>
      </c>
      <c r="M7" s="88">
        <f>VLOOKUP($B7,Data_Banknifty!$B$4:$Q$90,10,0)</f>
        <v>0.55000000000000004</v>
      </c>
      <c r="N7" s="88">
        <f>VLOOKUP($B7,Data_Banknifty!$B$4:$Q$90,9,0)</f>
        <v>-2.1500000000000004</v>
      </c>
      <c r="O7" s="88" t="str">
        <f>VLOOKUP($B7,Data_Banknifty!$B$4:$Q$90,11,0)</f>
        <v>error</v>
      </c>
      <c r="P7" s="88">
        <f>VLOOKUP($B7,Data_Banknifty!$B$4:$Q$90,13,0)</f>
        <v>-12740</v>
      </c>
      <c r="Q7" s="88">
        <f>VLOOKUP($B7,Data_Banknifty!$B$4:$Q$90,14,0)</f>
        <v>401600</v>
      </c>
      <c r="R7" s="88">
        <f>VLOOKUP($B7,Data_Banknifty!$B$4:$Q$90,12,0)</f>
        <v>265660</v>
      </c>
      <c r="S7" s="90" t="str">
        <f t="shared" ref="S7:S22" si="4">IF(P7&gt;0,"UP","DOWN")</f>
        <v>DOWN</v>
      </c>
      <c r="T7" s="91" t="str">
        <f>IF(AND(N7&lt;0,P7&lt;0),"Long Liquidation",IF(AND(N7&lt;0,P7&gt;0),"Short Buildup",IF(AND(N7&gt;0,P7&gt;0),"Long Buildup",IF(AND(N7&gt;0,P7&lt;0),"Short covering"))))</f>
        <v>Long Liquidation</v>
      </c>
      <c r="U7" s="66">
        <f>$J$3</f>
        <v>31328.15</v>
      </c>
    </row>
    <row r="8" spans="1:21" x14ac:dyDescent="0.25">
      <c r="A8" s="84" t="str">
        <f>"CE"&amp;L8</f>
        <v>CE30600</v>
      </c>
      <c r="B8" s="84" t="str">
        <f>"PE"&amp;L8</f>
        <v>PE30600</v>
      </c>
      <c r="C8" s="85" t="str">
        <f>TEXT(Data_Banknifty!Q5,"Hh:MM")</f>
        <v>10:44</v>
      </c>
      <c r="D8" s="86" t="str">
        <f t="shared" ref="D8:D22" si="5">IF(AND(J8&lt;0,H8&lt;0),"Long Liquidation",IF(AND(J8&lt;0,H8&gt;0),"Short Buildup",IF(AND(J8&gt;0,H8&gt;0),"Long Buildup",IF(AND(J8&gt;0,H8&lt;0),"Short covering"))))</f>
        <v>Long Liquidation</v>
      </c>
      <c r="E8" s="87" t="str">
        <f>IF(H8&gt;0,"UP","DOWN")</f>
        <v>DOWN</v>
      </c>
      <c r="F8" s="88">
        <f>VLOOKUP($A8,Data_Banknifty!$A$4:$Q$90,5,0)</f>
        <v>1920</v>
      </c>
      <c r="G8" s="88">
        <f>VLOOKUP($A8,Data_Banknifty!$A$4:$Q$90,3,0)</f>
        <v>3620</v>
      </c>
      <c r="H8" s="88">
        <f>VLOOKUP($A8,Data_Banknifty!$A$4:$Q$90,4,0)</f>
        <v>-920</v>
      </c>
      <c r="I8" s="88" t="str">
        <f>VLOOKUP($A8,Data_Banknifty!$A$4:$Q$90,6,0)</f>
        <v>undefined</v>
      </c>
      <c r="J8" s="88">
        <f>VLOOKUP($A8,Data_Banknifty!$A$4:$Q$90,8,0)</f>
        <v>-221.70000000000005</v>
      </c>
      <c r="K8" s="88">
        <f>VLOOKUP($A8,Data_Banknifty!$A$4:$Q$90,7,0)</f>
        <v>711</v>
      </c>
      <c r="L8" s="89">
        <f t="shared" si="3"/>
        <v>30600</v>
      </c>
      <c r="M8" s="88">
        <f>VLOOKUP($B8,Data_Banknifty!$B$4:$Q$90,10,0)</f>
        <v>0.7</v>
      </c>
      <c r="N8" s="88">
        <f>VLOOKUP($B8,Data_Banknifty!$B$4:$Q$90,9,0)</f>
        <v>-2.2999999999999998</v>
      </c>
      <c r="O8" s="88" t="str">
        <f>VLOOKUP($B8,Data_Banknifty!$B$4:$Q$90,11,0)</f>
        <v>error</v>
      </c>
      <c r="P8" s="88">
        <f>VLOOKUP($B8,Data_Banknifty!$B$4:$Q$90,13,0)</f>
        <v>11780</v>
      </c>
      <c r="Q8" s="88">
        <f>VLOOKUP($B8,Data_Banknifty!$B$4:$Q$90,14,0)</f>
        <v>211020</v>
      </c>
      <c r="R8" s="88">
        <f>VLOOKUP($B8,Data_Banknifty!$B$4:$Q$90,12,0)</f>
        <v>232900</v>
      </c>
      <c r="S8" s="90" t="str">
        <f t="shared" si="4"/>
        <v>UP</v>
      </c>
      <c r="T8" s="91" t="str">
        <f t="shared" ref="T8:T22" si="6">IF(AND(N8&lt;0,P8&lt;0),"Long Liquidation",IF(AND(N8&lt;0,P8&gt;0),"Short Buildup",IF(AND(N8&gt;0,P8&gt;0),"Long Buildup",IF(AND(N8&gt;0,P8&lt;0),"Short covering"))))</f>
        <v>Short Buildup</v>
      </c>
      <c r="U8" s="66">
        <f t="shared" ref="U8:U22" si="7">$J$3</f>
        <v>31328.15</v>
      </c>
    </row>
    <row r="9" spans="1:21" x14ac:dyDescent="0.25">
      <c r="A9" s="84" t="str">
        <f t="shared" si="0"/>
        <v>CE30700</v>
      </c>
      <c r="B9" s="84" t="str">
        <f t="shared" si="1"/>
        <v>PE30700</v>
      </c>
      <c r="C9" s="85" t="str">
        <f>TEXT(Data_Banknifty!Q6,"Hh:MM")</f>
        <v>10:44</v>
      </c>
      <c r="D9" s="86" t="str">
        <f t="shared" si="5"/>
        <v>Long Liquidation</v>
      </c>
      <c r="E9" s="87" t="str">
        <f t="shared" si="2"/>
        <v>DOWN</v>
      </c>
      <c r="F9" s="88">
        <f>VLOOKUP($A9,Data_Banknifty!$A$4:$Q$90,5,0)</f>
        <v>8560</v>
      </c>
      <c r="G9" s="88">
        <f>VLOOKUP($A9,Data_Banknifty!$A$4:$Q$90,3,0)</f>
        <v>10440</v>
      </c>
      <c r="H9" s="88">
        <f>VLOOKUP($A9,Data_Banknifty!$A$4:$Q$90,4,0)</f>
        <v>-1380</v>
      </c>
      <c r="I9" s="88" t="str">
        <f>VLOOKUP($A9,Data_Banknifty!$A$4:$Q$90,6,0)</f>
        <v>undefined</v>
      </c>
      <c r="J9" s="88">
        <f>VLOOKUP($A9,Data_Banknifty!$A$4:$Q$90,8,0)</f>
        <v>-228</v>
      </c>
      <c r="K9" s="88">
        <f>VLOOKUP($A9,Data_Banknifty!$A$4:$Q$90,7,0)</f>
        <v>608</v>
      </c>
      <c r="L9" s="89">
        <f t="shared" si="3"/>
        <v>30700</v>
      </c>
      <c r="M9" s="88">
        <f>VLOOKUP($B9,Data_Banknifty!$B$4:$Q$90,10,0)</f>
        <v>0.8</v>
      </c>
      <c r="N9" s="88">
        <f>VLOOKUP($B9,Data_Banknifty!$B$4:$Q$90,9,0)</f>
        <v>-2.8</v>
      </c>
      <c r="O9" s="88" t="str">
        <f>VLOOKUP($B9,Data_Banknifty!$B$4:$Q$90,11,0)</f>
        <v>error</v>
      </c>
      <c r="P9" s="88">
        <f>VLOOKUP($B9,Data_Banknifty!$B$4:$Q$90,13,0)</f>
        <v>75640</v>
      </c>
      <c r="Q9" s="88">
        <f>VLOOKUP($B9,Data_Banknifty!$B$4:$Q$90,14,0)</f>
        <v>265840</v>
      </c>
      <c r="R9" s="88">
        <f>VLOOKUP($B9,Data_Banknifty!$B$4:$Q$90,12,0)</f>
        <v>509940</v>
      </c>
      <c r="S9" s="90" t="str">
        <f t="shared" si="4"/>
        <v>UP</v>
      </c>
      <c r="T9" s="91" t="str">
        <f t="shared" si="6"/>
        <v>Short Buildup</v>
      </c>
      <c r="U9" s="66">
        <f t="shared" si="7"/>
        <v>31328.15</v>
      </c>
    </row>
    <row r="10" spans="1:21" x14ac:dyDescent="0.25">
      <c r="A10" s="84" t="str">
        <f t="shared" si="0"/>
        <v>CE30800</v>
      </c>
      <c r="B10" s="84" t="str">
        <f t="shared" si="1"/>
        <v>PE30800</v>
      </c>
      <c r="C10" s="85" t="str">
        <f>TEXT(Data_Banknifty!Q7,"Hh:MM")</f>
        <v>10:44</v>
      </c>
      <c r="D10" s="86" t="str">
        <f t="shared" si="5"/>
        <v>Long Liquidation</v>
      </c>
      <c r="E10" s="87" t="str">
        <f t="shared" si="2"/>
        <v>DOWN</v>
      </c>
      <c r="F10" s="88">
        <f>VLOOKUP($A10,Data_Banknifty!$A$4:$Q$90,5,0)</f>
        <v>7120</v>
      </c>
      <c r="G10" s="88">
        <f>VLOOKUP($A10,Data_Banknifty!$A$4:$Q$90,3,0)</f>
        <v>7400</v>
      </c>
      <c r="H10" s="88">
        <f>VLOOKUP($A10,Data_Banknifty!$A$4:$Q$90,4,0)</f>
        <v>-100</v>
      </c>
      <c r="I10" s="88" t="str">
        <f>VLOOKUP($A10,Data_Banknifty!$A$4:$Q$90,6,0)</f>
        <v>undefined</v>
      </c>
      <c r="J10" s="88">
        <f>VLOOKUP($A10,Data_Banknifty!$A$4:$Q$90,8,0)</f>
        <v>-224.75</v>
      </c>
      <c r="K10" s="88">
        <f>VLOOKUP($A10,Data_Banknifty!$A$4:$Q$90,7,0)</f>
        <v>510.85</v>
      </c>
      <c r="L10" s="89">
        <f t="shared" si="3"/>
        <v>30800</v>
      </c>
      <c r="M10" s="88">
        <f>VLOOKUP($B10,Data_Banknifty!$B$4:$Q$90,10,0)</f>
        <v>1.2</v>
      </c>
      <c r="N10" s="88">
        <f>VLOOKUP($B10,Data_Banknifty!$B$4:$Q$90,9,0)</f>
        <v>-2.8999999999999995</v>
      </c>
      <c r="O10" s="88" t="str">
        <f>VLOOKUP($B10,Data_Banknifty!$B$4:$Q$90,11,0)</f>
        <v>error</v>
      </c>
      <c r="P10" s="88">
        <f>VLOOKUP($B10,Data_Banknifty!$B$4:$Q$90,13,0)</f>
        <v>70060</v>
      </c>
      <c r="Q10" s="88">
        <f>VLOOKUP($B10,Data_Banknifty!$B$4:$Q$90,14,0)</f>
        <v>437460</v>
      </c>
      <c r="R10" s="88">
        <f>VLOOKUP($B10,Data_Banknifty!$B$4:$Q$90,12,0)</f>
        <v>1182260</v>
      </c>
      <c r="S10" s="90" t="str">
        <f t="shared" si="4"/>
        <v>UP</v>
      </c>
      <c r="T10" s="91" t="str">
        <f t="shared" si="6"/>
        <v>Short Buildup</v>
      </c>
      <c r="U10" s="66">
        <f t="shared" si="7"/>
        <v>31328.15</v>
      </c>
    </row>
    <row r="11" spans="1:21" x14ac:dyDescent="0.25">
      <c r="A11" s="84" t="str">
        <f t="shared" si="0"/>
        <v>CE30900</v>
      </c>
      <c r="B11" s="84" t="str">
        <f t="shared" si="1"/>
        <v>PE30900</v>
      </c>
      <c r="C11" s="85" t="str">
        <f>TEXT(Data_Banknifty!Q8,"Hh:MM")</f>
        <v>10:44</v>
      </c>
      <c r="D11" s="86" t="str">
        <f t="shared" si="5"/>
        <v>Short Buildup</v>
      </c>
      <c r="E11" s="87" t="str">
        <f t="shared" si="2"/>
        <v>UP</v>
      </c>
      <c r="F11" s="88">
        <f>VLOOKUP($A11,Data_Banknifty!$A$4:$Q$90,5,0)</f>
        <v>10180</v>
      </c>
      <c r="G11" s="88">
        <f>VLOOKUP($A11,Data_Banknifty!$A$4:$Q$90,3,0)</f>
        <v>7720</v>
      </c>
      <c r="H11" s="88">
        <f>VLOOKUP($A11,Data_Banknifty!$A$4:$Q$90,4,0)</f>
        <v>1480</v>
      </c>
      <c r="I11" s="88" t="str">
        <f>VLOOKUP($A11,Data_Banknifty!$A$4:$Q$90,6,0)</f>
        <v>undefined</v>
      </c>
      <c r="J11" s="88">
        <f>VLOOKUP($A11,Data_Banknifty!$A$4:$Q$90,8,0)</f>
        <v>-220.64999999999998</v>
      </c>
      <c r="K11" s="88">
        <f>VLOOKUP($A11,Data_Banknifty!$A$4:$Q$90,7,0)</f>
        <v>412.9</v>
      </c>
      <c r="L11" s="89">
        <f t="shared" si="3"/>
        <v>30900</v>
      </c>
      <c r="M11" s="88">
        <f>VLOOKUP($B11,Data_Banknifty!$B$4:$Q$90,10,0)</f>
        <v>2.15</v>
      </c>
      <c r="N11" s="88">
        <f>VLOOKUP($B11,Data_Banknifty!$B$4:$Q$90,9,0)</f>
        <v>-3.35</v>
      </c>
      <c r="O11" s="88" t="str">
        <f>VLOOKUP($B11,Data_Banknifty!$B$4:$Q$90,11,0)</f>
        <v>error</v>
      </c>
      <c r="P11" s="88">
        <f>VLOOKUP($B11,Data_Banknifty!$B$4:$Q$90,13,0)</f>
        <v>229080</v>
      </c>
      <c r="Q11" s="88">
        <f>VLOOKUP($B11,Data_Banknifty!$B$4:$Q$90,14,0)</f>
        <v>594960</v>
      </c>
      <c r="R11" s="88">
        <f>VLOOKUP($B11,Data_Banknifty!$B$4:$Q$90,12,0)</f>
        <v>2579040</v>
      </c>
      <c r="S11" s="90" t="str">
        <f t="shared" si="4"/>
        <v>UP</v>
      </c>
      <c r="T11" s="91" t="str">
        <f t="shared" si="6"/>
        <v>Short Buildup</v>
      </c>
      <c r="U11" s="66">
        <f t="shared" si="7"/>
        <v>31328.15</v>
      </c>
    </row>
    <row r="12" spans="1:21" x14ac:dyDescent="0.25">
      <c r="A12" s="84" t="str">
        <f t="shared" si="0"/>
        <v>CE31000</v>
      </c>
      <c r="B12" s="84" t="str">
        <f t="shared" si="1"/>
        <v>PE31000</v>
      </c>
      <c r="C12" s="85" t="str">
        <f>TEXT(Data_Banknifty!Q9,"Hh:MM")</f>
        <v>10:44</v>
      </c>
      <c r="D12" s="86" t="str">
        <f t="shared" si="5"/>
        <v>Short Buildup</v>
      </c>
      <c r="E12" s="87" t="str">
        <f t="shared" si="2"/>
        <v>UP</v>
      </c>
      <c r="F12" s="88">
        <f>VLOOKUP($A12,Data_Banknifty!$A$4:$Q$90,5,0)</f>
        <v>237900</v>
      </c>
      <c r="G12" s="88">
        <f>VLOOKUP($A12,Data_Banknifty!$A$4:$Q$90,3,0)</f>
        <v>105220</v>
      </c>
      <c r="H12" s="88">
        <f>VLOOKUP($A12,Data_Banknifty!$A$4:$Q$90,4,0)</f>
        <v>17000</v>
      </c>
      <c r="I12" s="88" t="str">
        <f>VLOOKUP($A12,Data_Banknifty!$A$4:$Q$90,6,0)</f>
        <v>undefined</v>
      </c>
      <c r="J12" s="88">
        <f>VLOOKUP($A12,Data_Banknifty!$A$4:$Q$90,8,0)</f>
        <v>-232.95000000000005</v>
      </c>
      <c r="K12" s="88">
        <f>VLOOKUP($A12,Data_Banknifty!$A$4:$Q$90,7,0)</f>
        <v>311.89999999999998</v>
      </c>
      <c r="L12" s="89">
        <f t="shared" si="3"/>
        <v>31000</v>
      </c>
      <c r="M12" s="88">
        <f>VLOOKUP($B12,Data_Banknifty!$B$4:$Q$90,10,0)</f>
        <v>4.5999999999999996</v>
      </c>
      <c r="N12" s="88">
        <f>VLOOKUP($B12,Data_Banknifty!$B$4:$Q$90,9,0)</f>
        <v>-2.8000000000000007</v>
      </c>
      <c r="O12" s="88" t="str">
        <f>VLOOKUP($B12,Data_Banknifty!$B$4:$Q$90,11,0)</f>
        <v>error</v>
      </c>
      <c r="P12" s="88">
        <f>VLOOKUP($B12,Data_Banknifty!$B$4:$Q$90,13,0)</f>
        <v>1035700</v>
      </c>
      <c r="Q12" s="88">
        <f>VLOOKUP($B12,Data_Banknifty!$B$4:$Q$90,14,0)</f>
        <v>1846300</v>
      </c>
      <c r="R12" s="88">
        <f>VLOOKUP($B12,Data_Banknifty!$B$4:$Q$90,12,0)</f>
        <v>7653900</v>
      </c>
      <c r="S12" s="90" t="str">
        <f t="shared" si="4"/>
        <v>UP</v>
      </c>
      <c r="T12" s="91" t="str">
        <f t="shared" si="6"/>
        <v>Short Buildup</v>
      </c>
      <c r="U12" s="66">
        <f t="shared" si="7"/>
        <v>31328.15</v>
      </c>
    </row>
    <row r="13" spans="1:21" x14ac:dyDescent="0.25">
      <c r="A13" s="84" t="str">
        <f t="shared" si="0"/>
        <v>CE31100</v>
      </c>
      <c r="B13" s="84" t="str">
        <f t="shared" si="1"/>
        <v>PE31100</v>
      </c>
      <c r="C13" s="85" t="str">
        <f>TEXT(Data_Banknifty!Q10,"Hh:MM")</f>
        <v>10:44</v>
      </c>
      <c r="D13" s="86" t="str">
        <f t="shared" si="5"/>
        <v>Short Buildup</v>
      </c>
      <c r="E13" s="87" t="str">
        <f t="shared" si="2"/>
        <v>UP</v>
      </c>
      <c r="F13" s="88">
        <f>VLOOKUP($A13,Data_Banknifty!$A$4:$Q$90,5,0)</f>
        <v>318040</v>
      </c>
      <c r="G13" s="88">
        <f>VLOOKUP($A13,Data_Banknifty!$A$4:$Q$90,3,0)</f>
        <v>81000</v>
      </c>
      <c r="H13" s="88">
        <f>VLOOKUP($A13,Data_Banknifty!$A$4:$Q$90,4,0)</f>
        <v>50340</v>
      </c>
      <c r="I13" s="88" t="str">
        <f>VLOOKUP($A13,Data_Banknifty!$A$4:$Q$90,6,0)</f>
        <v>undefined</v>
      </c>
      <c r="J13" s="88">
        <f>VLOOKUP($A13,Data_Banknifty!$A$4:$Q$90,8,0)</f>
        <v>-225.45</v>
      </c>
      <c r="K13" s="88">
        <f>VLOOKUP($A13,Data_Banknifty!$A$4:$Q$90,7,0)</f>
        <v>219.7</v>
      </c>
      <c r="L13" s="89">
        <f t="shared" si="3"/>
        <v>31100</v>
      </c>
      <c r="M13" s="88">
        <f>VLOOKUP($B13,Data_Banknifty!$B$4:$Q$90,10,0)</f>
        <v>10.85</v>
      </c>
      <c r="N13" s="88">
        <f>VLOOKUP($B13,Data_Banknifty!$B$4:$Q$90,9,0)</f>
        <v>0.69999999999999929</v>
      </c>
      <c r="O13" s="88" t="str">
        <f>VLOOKUP($B13,Data_Banknifty!$B$4:$Q$90,11,0)</f>
        <v>error</v>
      </c>
      <c r="P13" s="88">
        <f>VLOOKUP($B13,Data_Banknifty!$B$4:$Q$90,13,0)</f>
        <v>1044580</v>
      </c>
      <c r="Q13" s="88">
        <f>VLOOKUP($B13,Data_Banknifty!$B$4:$Q$90,14,0)</f>
        <v>1563280</v>
      </c>
      <c r="R13" s="88">
        <f>VLOOKUP($B13,Data_Banknifty!$B$4:$Q$90,12,0)</f>
        <v>9562280</v>
      </c>
      <c r="S13" s="90" t="str">
        <f t="shared" si="4"/>
        <v>UP</v>
      </c>
      <c r="T13" s="91" t="str">
        <f t="shared" si="6"/>
        <v>Long Buildup</v>
      </c>
      <c r="U13" s="66">
        <f t="shared" si="7"/>
        <v>31328.15</v>
      </c>
    </row>
    <row r="14" spans="1:21" x14ac:dyDescent="0.25">
      <c r="A14" s="84" t="str">
        <f t="shared" si="0"/>
        <v>CE31200</v>
      </c>
      <c r="B14" s="84" t="str">
        <f t="shared" si="1"/>
        <v>PE31200</v>
      </c>
      <c r="C14" s="85" t="str">
        <f>TEXT(Data_Banknifty!Q11,"Hh:MM")</f>
        <v>10:44</v>
      </c>
      <c r="D14" s="86" t="str">
        <f t="shared" si="5"/>
        <v>Short Buildup</v>
      </c>
      <c r="E14" s="87" t="str">
        <f t="shared" si="2"/>
        <v>UP</v>
      </c>
      <c r="F14" s="88">
        <f>VLOOKUP($A14,Data_Banknifty!$A$4:$Q$90,5,0)</f>
        <v>2131760</v>
      </c>
      <c r="G14" s="88">
        <f>VLOOKUP($A14,Data_Banknifty!$A$4:$Q$90,3,0)</f>
        <v>338820</v>
      </c>
      <c r="H14" s="88">
        <f>VLOOKUP($A14,Data_Banknifty!$A$4:$Q$90,4,0)</f>
        <v>207100</v>
      </c>
      <c r="I14" s="88" t="str">
        <f>VLOOKUP($A14,Data_Banknifty!$A$4:$Q$90,6,0)</f>
        <v>error</v>
      </c>
      <c r="J14" s="88">
        <f>VLOOKUP($A14,Data_Banknifty!$A$4:$Q$90,8,0)</f>
        <v>-213.29999999999998</v>
      </c>
      <c r="K14" s="88">
        <f>VLOOKUP($A14,Data_Banknifty!$A$4:$Q$90,7,0)</f>
        <v>137.15</v>
      </c>
      <c r="L14" s="89">
        <f t="shared" si="3"/>
        <v>31200</v>
      </c>
      <c r="M14" s="88">
        <f>VLOOKUP($B14,Data_Banknifty!$B$4:$Q$90,10,0)</f>
        <v>28.5</v>
      </c>
      <c r="N14" s="88">
        <f>VLOOKUP($B14,Data_Banknifty!$B$4:$Q$90,9,0)</f>
        <v>11.100000000000001</v>
      </c>
      <c r="O14" s="88" t="str">
        <f>VLOOKUP($B14,Data_Banknifty!$B$4:$Q$90,11,0)</f>
        <v>error</v>
      </c>
      <c r="P14" s="88">
        <f>VLOOKUP($B14,Data_Banknifty!$B$4:$Q$90,13,0)</f>
        <v>974280</v>
      </c>
      <c r="Q14" s="88">
        <f>VLOOKUP($B14,Data_Banknifty!$B$4:$Q$90,14,0)</f>
        <v>1500220</v>
      </c>
      <c r="R14" s="88">
        <f>VLOOKUP($B14,Data_Banknifty!$B$4:$Q$90,12,0)</f>
        <v>12856340</v>
      </c>
      <c r="S14" s="90" t="str">
        <f t="shared" si="4"/>
        <v>UP</v>
      </c>
      <c r="T14" s="91" t="str">
        <f t="shared" si="6"/>
        <v>Long Buildup</v>
      </c>
      <c r="U14" s="66">
        <f t="shared" si="7"/>
        <v>31328.15</v>
      </c>
    </row>
    <row r="15" spans="1:21" ht="15.75" x14ac:dyDescent="0.25">
      <c r="A15" s="84" t="str">
        <f t="shared" si="0"/>
        <v>CE31300</v>
      </c>
      <c r="B15" s="84" t="str">
        <f t="shared" si="1"/>
        <v>PE31300</v>
      </c>
      <c r="C15" s="85" t="str">
        <f>TEXT(Data_Banknifty!Q12,"Hh:MM")</f>
        <v>10:44</v>
      </c>
      <c r="D15" s="86" t="str">
        <f t="shared" si="5"/>
        <v>Short Buildup</v>
      </c>
      <c r="E15" s="87" t="str">
        <f t="shared" si="2"/>
        <v>UP</v>
      </c>
      <c r="F15" s="88">
        <f>VLOOKUP($A15,Data_Banknifty!$A$4:$Q$90,5,0)</f>
        <v>5040800</v>
      </c>
      <c r="G15" s="88">
        <f>VLOOKUP($A15,Data_Banknifty!$A$4:$Q$90,3,0)</f>
        <v>835400</v>
      </c>
      <c r="H15" s="88">
        <f>VLOOKUP($A15,Data_Banknifty!$A$4:$Q$90,4,0)</f>
        <v>719460</v>
      </c>
      <c r="I15" s="88" t="str">
        <f>VLOOKUP($A15,Data_Banknifty!$A$4:$Q$90,6,0)</f>
        <v>error</v>
      </c>
      <c r="J15" s="88">
        <f>VLOOKUP($A15,Data_Banknifty!$A$4:$Q$90,8,0)</f>
        <v>-191.65</v>
      </c>
      <c r="K15" s="88">
        <f>VLOOKUP($A15,Data_Banknifty!$A$4:$Q$90,7,0)</f>
        <v>73.900000000000006</v>
      </c>
      <c r="L15" s="92">
        <f>+L5</f>
        <v>31300</v>
      </c>
      <c r="M15" s="88">
        <f>VLOOKUP($B15,Data_Banknifty!$B$4:$Q$90,10,0)</f>
        <v>65.05</v>
      </c>
      <c r="N15" s="88">
        <f>VLOOKUP($B15,Data_Banknifty!$B$4:$Q$90,9,0)</f>
        <v>34.099999999999994</v>
      </c>
      <c r="O15" s="88" t="str">
        <f>VLOOKUP($B15,Data_Banknifty!$B$4:$Q$90,11,0)</f>
        <v>error</v>
      </c>
      <c r="P15" s="88">
        <f>VLOOKUP($B15,Data_Banknifty!$B$4:$Q$90,13,0)</f>
        <v>494360</v>
      </c>
      <c r="Q15" s="88">
        <f>VLOOKUP($B15,Data_Banknifty!$B$4:$Q$90,14,0)</f>
        <v>1144860</v>
      </c>
      <c r="R15" s="88">
        <f>VLOOKUP($B15,Data_Banknifty!$B$4:$Q$90,12,0)</f>
        <v>13536760</v>
      </c>
      <c r="S15" s="90" t="str">
        <f t="shared" si="4"/>
        <v>UP</v>
      </c>
      <c r="T15" s="91" t="str">
        <f t="shared" si="6"/>
        <v>Long Buildup</v>
      </c>
      <c r="U15" s="66">
        <f t="shared" si="7"/>
        <v>31328.15</v>
      </c>
    </row>
    <row r="16" spans="1:21" x14ac:dyDescent="0.25">
      <c r="A16" s="84" t="str">
        <f t="shared" si="0"/>
        <v>CE31400</v>
      </c>
      <c r="B16" s="84" t="str">
        <f t="shared" si="1"/>
        <v>PE31400</v>
      </c>
      <c r="C16" s="85" t="str">
        <f>TEXT(Data_Banknifty!Q13,"Hh:MM")</f>
        <v>10:44</v>
      </c>
      <c r="D16" s="86" t="str">
        <f t="shared" si="5"/>
        <v>Short Buildup</v>
      </c>
      <c r="E16" s="87" t="str">
        <f t="shared" si="2"/>
        <v>UP</v>
      </c>
      <c r="F16" s="88">
        <f>VLOOKUP($A16,Data_Banknifty!$A$4:$Q$90,5,0)</f>
        <v>11306280</v>
      </c>
      <c r="G16" s="88">
        <f>VLOOKUP($A16,Data_Banknifty!$A$4:$Q$90,3,0)</f>
        <v>1603160</v>
      </c>
      <c r="H16" s="88">
        <f>VLOOKUP($A16,Data_Banknifty!$A$4:$Q$90,4,0)</f>
        <v>1418860</v>
      </c>
      <c r="I16" s="88" t="str">
        <f>VLOOKUP($A16,Data_Banknifty!$A$4:$Q$90,6,0)</f>
        <v>error</v>
      </c>
      <c r="J16" s="88">
        <f>VLOOKUP($A16,Data_Banknifty!$A$4:$Q$90,8,0)</f>
        <v>-154.75</v>
      </c>
      <c r="K16" s="88">
        <f>VLOOKUP($A16,Data_Banknifty!$A$4:$Q$90,7,0)</f>
        <v>34.25</v>
      </c>
      <c r="L16" s="89">
        <f t="shared" ref="L16:L21" si="8">L15+100</f>
        <v>31400</v>
      </c>
      <c r="M16" s="88">
        <f>VLOOKUP($B16,Data_Banknifty!$B$4:$Q$90,10,0)</f>
        <v>126</v>
      </c>
      <c r="N16" s="88">
        <f>VLOOKUP($B16,Data_Banknifty!$B$4:$Q$90,9,0)</f>
        <v>72.05</v>
      </c>
      <c r="O16" s="88" t="str">
        <f>VLOOKUP($B16,Data_Banknifty!$B$4:$Q$90,11,0)</f>
        <v>error</v>
      </c>
      <c r="P16" s="88">
        <f>VLOOKUP($B16,Data_Banknifty!$B$4:$Q$90,13,0)</f>
        <v>78500</v>
      </c>
      <c r="Q16" s="88">
        <f>VLOOKUP($B16,Data_Banknifty!$B$4:$Q$90,14,0)</f>
        <v>634720</v>
      </c>
      <c r="R16" s="88">
        <f>VLOOKUP($B16,Data_Banknifty!$B$4:$Q$90,12,0)</f>
        <v>9740500</v>
      </c>
      <c r="S16" s="90" t="str">
        <f t="shared" si="4"/>
        <v>UP</v>
      </c>
      <c r="T16" s="91" t="str">
        <f t="shared" si="6"/>
        <v>Long Buildup</v>
      </c>
      <c r="U16" s="66">
        <f t="shared" si="7"/>
        <v>31328.15</v>
      </c>
    </row>
    <row r="17" spans="1:21" x14ac:dyDescent="0.25">
      <c r="A17" s="84" t="str">
        <f t="shared" si="0"/>
        <v>CE31500</v>
      </c>
      <c r="B17" s="84" t="str">
        <f t="shared" si="1"/>
        <v>PE31500</v>
      </c>
      <c r="C17" s="85" t="str">
        <f>TEXT(Data_Banknifty!Q14,"Hh:MM")</f>
        <v>10:44</v>
      </c>
      <c r="D17" s="86" t="str">
        <f t="shared" si="5"/>
        <v>Short Buildup</v>
      </c>
      <c r="E17" s="87" t="str">
        <f t="shared" si="2"/>
        <v>UP</v>
      </c>
      <c r="F17" s="88">
        <f>VLOOKUP($A17,Data_Banknifty!$A$4:$Q$90,5,0)</f>
        <v>16151200</v>
      </c>
      <c r="G17" s="88">
        <f>VLOOKUP($A17,Data_Banknifty!$A$4:$Q$90,3,0)</f>
        <v>2921600</v>
      </c>
      <c r="H17" s="88">
        <f>VLOOKUP($A17,Data_Banknifty!$A$4:$Q$90,4,0)</f>
        <v>2143060</v>
      </c>
      <c r="I17" s="88" t="str">
        <f>VLOOKUP($A17,Data_Banknifty!$A$4:$Q$90,6,0)</f>
        <v>error</v>
      </c>
      <c r="J17" s="88">
        <f>VLOOKUP($A17,Data_Banknifty!$A$4:$Q$90,8,0)</f>
        <v>-111.8</v>
      </c>
      <c r="K17" s="88">
        <f>VLOOKUP($A17,Data_Banknifty!$A$4:$Q$90,7,0)</f>
        <v>14.65</v>
      </c>
      <c r="L17" s="89">
        <f t="shared" si="8"/>
        <v>31500</v>
      </c>
      <c r="M17" s="88">
        <f>VLOOKUP($B17,Data_Banknifty!$B$4:$Q$90,10,0)</f>
        <v>207.25</v>
      </c>
      <c r="N17" s="88">
        <f>VLOOKUP($B17,Data_Banknifty!$B$4:$Q$90,9,0)</f>
        <v>117.1</v>
      </c>
      <c r="O17" s="88" t="str">
        <f>VLOOKUP($B17,Data_Banknifty!$B$4:$Q$90,11,0)</f>
        <v>error</v>
      </c>
      <c r="P17" s="88">
        <f>VLOOKUP($B17,Data_Banknifty!$B$4:$Q$90,13,0)</f>
        <v>-194760</v>
      </c>
      <c r="Q17" s="88">
        <f>VLOOKUP($B17,Data_Banknifty!$B$4:$Q$90,14,0)</f>
        <v>435720</v>
      </c>
      <c r="R17" s="88">
        <f>VLOOKUP($B17,Data_Banknifty!$B$4:$Q$90,12,0)</f>
        <v>5417960</v>
      </c>
      <c r="S17" s="90" t="str">
        <f t="shared" si="4"/>
        <v>DOWN</v>
      </c>
      <c r="T17" s="91" t="str">
        <f t="shared" si="6"/>
        <v>Short covering</v>
      </c>
      <c r="U17" s="66">
        <f t="shared" si="7"/>
        <v>31328.15</v>
      </c>
    </row>
    <row r="18" spans="1:21" x14ac:dyDescent="0.25">
      <c r="A18" s="84" t="str">
        <f t="shared" si="0"/>
        <v>CE31600</v>
      </c>
      <c r="B18" s="84" t="str">
        <f t="shared" si="1"/>
        <v>PE31600</v>
      </c>
      <c r="C18" s="85" t="str">
        <f>TEXT(Data_Banknifty!Q15,"Hh:MM")</f>
        <v>10:44</v>
      </c>
      <c r="D18" s="86" t="str">
        <f t="shared" si="5"/>
        <v>Short Buildup</v>
      </c>
      <c r="E18" s="87" t="str">
        <f t="shared" si="2"/>
        <v>UP</v>
      </c>
      <c r="F18" s="88">
        <f>VLOOKUP($A18,Data_Banknifty!$A$4:$Q$90,5,0)</f>
        <v>11990860</v>
      </c>
      <c r="G18" s="88">
        <f>VLOOKUP($A18,Data_Banknifty!$A$4:$Q$90,3,0)</f>
        <v>1864820</v>
      </c>
      <c r="H18" s="88">
        <f>VLOOKUP($A18,Data_Banknifty!$A$4:$Q$90,4,0)</f>
        <v>1245160</v>
      </c>
      <c r="I18" s="88" t="str">
        <f>VLOOKUP($A18,Data_Banknifty!$A$4:$Q$90,6,0)</f>
        <v>error</v>
      </c>
      <c r="J18" s="88">
        <f>VLOOKUP($A18,Data_Banknifty!$A$4:$Q$90,8,0)</f>
        <v>-72.650000000000006</v>
      </c>
      <c r="K18" s="88">
        <f>VLOOKUP($A18,Data_Banknifty!$A$4:$Q$90,7,0)</f>
        <v>5.8</v>
      </c>
      <c r="L18" s="89">
        <f t="shared" si="8"/>
        <v>31600</v>
      </c>
      <c r="M18" s="88">
        <f>VLOOKUP($B18,Data_Banknifty!$B$4:$Q$90,10,0)</f>
        <v>297.85000000000002</v>
      </c>
      <c r="N18" s="88">
        <f>VLOOKUP($B18,Data_Banknifty!$B$4:$Q$90,9,0)</f>
        <v>155.75000000000003</v>
      </c>
      <c r="O18" s="88" t="str">
        <f>VLOOKUP($B18,Data_Banknifty!$B$4:$Q$90,11,0)</f>
        <v>error</v>
      </c>
      <c r="P18" s="88">
        <f>VLOOKUP($B18,Data_Banknifty!$B$4:$Q$90,13,0)</f>
        <v>9680</v>
      </c>
      <c r="Q18" s="88">
        <f>VLOOKUP($B18,Data_Banknifty!$B$4:$Q$90,14,0)</f>
        <v>103920</v>
      </c>
      <c r="R18" s="88">
        <f>VLOOKUP($B18,Data_Banknifty!$B$4:$Q$90,12,0)</f>
        <v>1543220</v>
      </c>
      <c r="S18" s="90" t="str">
        <f t="shared" si="4"/>
        <v>UP</v>
      </c>
      <c r="T18" s="91" t="str">
        <f t="shared" si="6"/>
        <v>Long Buildup</v>
      </c>
      <c r="U18" s="66">
        <f t="shared" si="7"/>
        <v>31328.15</v>
      </c>
    </row>
    <row r="19" spans="1:21" x14ac:dyDescent="0.25">
      <c r="A19" s="84" t="str">
        <f t="shared" si="0"/>
        <v>CE31700</v>
      </c>
      <c r="B19" s="84" t="str">
        <f t="shared" si="1"/>
        <v>PE31700</v>
      </c>
      <c r="C19" s="85" t="str">
        <f>TEXT(Data_Banknifty!Q16,"Hh:MM")</f>
        <v>10:44</v>
      </c>
      <c r="D19" s="86" t="str">
        <f t="shared" si="5"/>
        <v>Short Buildup</v>
      </c>
      <c r="E19" s="87" t="str">
        <f t="shared" si="2"/>
        <v>UP</v>
      </c>
      <c r="F19" s="88">
        <f>VLOOKUP($A19,Data_Banknifty!$A$4:$Q$90,5,0)</f>
        <v>9581380</v>
      </c>
      <c r="G19" s="88">
        <f>VLOOKUP($A19,Data_Banknifty!$A$4:$Q$90,3,0)</f>
        <v>1366860</v>
      </c>
      <c r="H19" s="88">
        <f>VLOOKUP($A19,Data_Banknifty!$A$4:$Q$90,4,0)</f>
        <v>731600</v>
      </c>
      <c r="I19" s="88" t="str">
        <f>VLOOKUP($A19,Data_Banknifty!$A$4:$Q$90,6,0)</f>
        <v>error</v>
      </c>
      <c r="J19" s="88">
        <f>VLOOKUP($A19,Data_Banknifty!$A$4:$Q$90,8,0)</f>
        <v>-41.800000000000004</v>
      </c>
      <c r="K19" s="88">
        <f>VLOOKUP($A19,Data_Banknifty!$A$4:$Q$90,7,0)</f>
        <v>2.65</v>
      </c>
      <c r="L19" s="89">
        <f t="shared" si="8"/>
        <v>31700</v>
      </c>
      <c r="M19" s="88">
        <f>VLOOKUP($B19,Data_Banknifty!$B$4:$Q$90,10,0)</f>
        <v>394.55</v>
      </c>
      <c r="N19" s="88">
        <f>VLOOKUP($B19,Data_Banknifty!$B$4:$Q$90,9,0)</f>
        <v>185.15</v>
      </c>
      <c r="O19" s="88" t="str">
        <f>VLOOKUP($B19,Data_Banknifty!$B$4:$Q$90,11,0)</f>
        <v>error</v>
      </c>
      <c r="P19" s="88">
        <f>VLOOKUP($B19,Data_Banknifty!$B$4:$Q$90,13,0)</f>
        <v>-6840</v>
      </c>
      <c r="Q19" s="88">
        <f>VLOOKUP($B19,Data_Banknifty!$B$4:$Q$90,14,0)</f>
        <v>42920</v>
      </c>
      <c r="R19" s="88">
        <f>VLOOKUP($B19,Data_Banknifty!$B$4:$Q$90,12,0)</f>
        <v>628280</v>
      </c>
      <c r="S19" s="90" t="str">
        <f t="shared" si="4"/>
        <v>DOWN</v>
      </c>
      <c r="T19" s="91" t="str">
        <f t="shared" si="6"/>
        <v>Short covering</v>
      </c>
      <c r="U19" s="66">
        <f t="shared" si="7"/>
        <v>31328.15</v>
      </c>
    </row>
    <row r="20" spans="1:21" x14ac:dyDescent="0.25">
      <c r="A20" s="84" t="str">
        <f t="shared" si="0"/>
        <v>CE31800</v>
      </c>
      <c r="B20" s="84" t="str">
        <f t="shared" si="1"/>
        <v>PE31800</v>
      </c>
      <c r="C20" s="85" t="str">
        <f>TEXT(Data_Banknifty!Q17,"Hh:MM")</f>
        <v>10:44</v>
      </c>
      <c r="D20" s="86" t="str">
        <f t="shared" si="5"/>
        <v>Short Buildup</v>
      </c>
      <c r="E20" s="87" t="str">
        <f t="shared" si="2"/>
        <v>UP</v>
      </c>
      <c r="F20" s="88">
        <f>VLOOKUP($A20,Data_Banknifty!$A$4:$Q$90,5,0)</f>
        <v>6911340</v>
      </c>
      <c r="G20" s="88">
        <f>VLOOKUP($A20,Data_Banknifty!$A$4:$Q$90,3,0)</f>
        <v>1040280</v>
      </c>
      <c r="H20" s="88">
        <f>VLOOKUP($A20,Data_Banknifty!$A$4:$Q$90,4,0)</f>
        <v>454900</v>
      </c>
      <c r="I20" s="88" t="str">
        <f>VLOOKUP($A20,Data_Banknifty!$A$4:$Q$90,6,0)</f>
        <v>error</v>
      </c>
      <c r="J20" s="88">
        <f>VLOOKUP($A20,Data_Banknifty!$A$4:$Q$90,8,0)</f>
        <v>-22.15</v>
      </c>
      <c r="K20" s="88">
        <f>VLOOKUP($A20,Data_Banknifty!$A$4:$Q$90,7,0)</f>
        <v>1.35</v>
      </c>
      <c r="L20" s="89">
        <f t="shared" si="8"/>
        <v>31800</v>
      </c>
      <c r="M20" s="88">
        <f>VLOOKUP($B20,Data_Banknifty!$B$4:$Q$90,10,0)</f>
        <v>495.4</v>
      </c>
      <c r="N20" s="88">
        <f>VLOOKUP($B20,Data_Banknifty!$B$4:$Q$90,9,0)</f>
        <v>210.04999999999995</v>
      </c>
      <c r="O20" s="88" t="str">
        <f>VLOOKUP($B20,Data_Banknifty!$B$4:$Q$90,11,0)</f>
        <v>error</v>
      </c>
      <c r="P20" s="88">
        <f>VLOOKUP($B20,Data_Banknifty!$B$4:$Q$90,13,0)</f>
        <v>1780</v>
      </c>
      <c r="Q20" s="88">
        <f>VLOOKUP($B20,Data_Banknifty!$B$4:$Q$90,14,0)</f>
        <v>16760</v>
      </c>
      <c r="R20" s="88">
        <f>VLOOKUP($B20,Data_Banknifty!$B$4:$Q$90,12,0)</f>
        <v>234520</v>
      </c>
      <c r="S20" s="90" t="str">
        <f t="shared" si="4"/>
        <v>UP</v>
      </c>
      <c r="T20" s="91" t="str">
        <f t="shared" si="6"/>
        <v>Long Buildup</v>
      </c>
      <c r="U20" s="66">
        <f t="shared" si="7"/>
        <v>31328.15</v>
      </c>
    </row>
    <row r="21" spans="1:21" x14ac:dyDescent="0.25">
      <c r="A21" s="84" t="str">
        <f t="shared" si="0"/>
        <v>CE31900</v>
      </c>
      <c r="B21" s="84" t="str">
        <f t="shared" si="1"/>
        <v>PE31900</v>
      </c>
      <c r="C21" s="85" t="str">
        <f>TEXT(Data_Banknifty!Q18,"Hh:MM")</f>
        <v>10:44</v>
      </c>
      <c r="D21" s="86" t="str">
        <f t="shared" si="5"/>
        <v>Short Buildup</v>
      </c>
      <c r="E21" s="87" t="str">
        <f t="shared" si="2"/>
        <v>UP</v>
      </c>
      <c r="F21" s="88">
        <f>VLOOKUP($A21,Data_Banknifty!$A$4:$Q$90,5,0)</f>
        <v>21305040</v>
      </c>
      <c r="G21" s="88">
        <f>VLOOKUP($A21,Data_Banknifty!$A$4:$Q$90,3,0)</f>
        <v>658660</v>
      </c>
      <c r="H21" s="88">
        <f>VLOOKUP($A21,Data_Banknifty!$A$4:$Q$90,4,0)</f>
        <v>146860</v>
      </c>
      <c r="I21" s="88" t="str">
        <f>VLOOKUP($A21,Data_Banknifty!$A$4:$Q$90,6,0)</f>
        <v>error</v>
      </c>
      <c r="J21" s="88">
        <f>VLOOKUP($A21,Data_Banknifty!$A$4:$Q$90,8,0)</f>
        <v>-10.199999999999999</v>
      </c>
      <c r="K21" s="88">
        <f>VLOOKUP($A21,Data_Banknifty!$A$4:$Q$90,7,0)</f>
        <v>0.9</v>
      </c>
      <c r="L21" s="89">
        <f t="shared" si="8"/>
        <v>31900</v>
      </c>
      <c r="M21" s="88">
        <f>VLOOKUP($B21,Data_Banknifty!$B$4:$Q$90,10,0)</f>
        <v>595</v>
      </c>
      <c r="N21" s="88">
        <f>VLOOKUP($B21,Data_Banknifty!$B$4:$Q$90,9,0)</f>
        <v>218.3</v>
      </c>
      <c r="O21" s="88" t="str">
        <f>VLOOKUP($B21,Data_Banknifty!$B$4:$Q$90,11,0)</f>
        <v>error</v>
      </c>
      <c r="P21" s="88">
        <f>VLOOKUP($B21,Data_Banknifty!$B$4:$Q$90,13,0)</f>
        <v>1600</v>
      </c>
      <c r="Q21" s="88">
        <f>VLOOKUP($B21,Data_Banknifty!$B$4:$Q$90,14,0)</f>
        <v>7140</v>
      </c>
      <c r="R21" s="88">
        <f>VLOOKUP($B21,Data_Banknifty!$B$4:$Q$90,12,0)</f>
        <v>49480</v>
      </c>
      <c r="S21" s="90" t="str">
        <f t="shared" si="4"/>
        <v>UP</v>
      </c>
      <c r="T21" s="91" t="str">
        <f t="shared" si="6"/>
        <v>Long Buildup</v>
      </c>
      <c r="U21" s="66">
        <f t="shared" si="7"/>
        <v>31328.15</v>
      </c>
    </row>
    <row r="22" spans="1:21" x14ac:dyDescent="0.25">
      <c r="A22" s="84" t="str">
        <f t="shared" si="0"/>
        <v>CE32000</v>
      </c>
      <c r="B22" s="84" t="str">
        <f t="shared" si="1"/>
        <v>PE32000</v>
      </c>
      <c r="C22" s="85" t="str">
        <f>TEXT(Data_Banknifty!Q19,"Hh:MM")</f>
        <v>10:44</v>
      </c>
      <c r="D22" s="86" t="str">
        <f t="shared" si="5"/>
        <v>Short Buildup</v>
      </c>
      <c r="E22" s="87" t="str">
        <f>IF(H22&gt;0,"UP","DOWN")</f>
        <v>UP</v>
      </c>
      <c r="F22" s="88">
        <f>VLOOKUP($A22,Data_Banknifty!$A$4:$Q$90,5,0)</f>
        <v>5564460</v>
      </c>
      <c r="G22" s="88">
        <f>VLOOKUP($A22,Data_Banknifty!$A$4:$Q$90,3,0)</f>
        <v>720220</v>
      </c>
      <c r="H22" s="88">
        <f>VLOOKUP($A22,Data_Banknifty!$A$4:$Q$90,4,0)</f>
        <v>108560</v>
      </c>
      <c r="I22" s="88" t="str">
        <f>VLOOKUP($A22,Data_Banknifty!$A$4:$Q$90,6,0)</f>
        <v>error</v>
      </c>
      <c r="J22" s="88">
        <f>VLOOKUP($A22,Data_Banknifty!$A$4:$Q$90,8,0)</f>
        <v>-5.45</v>
      </c>
      <c r="K22" s="88">
        <f>VLOOKUP($A22,Data_Banknifty!$A$4:$Q$90,7,0)</f>
        <v>0.55000000000000004</v>
      </c>
      <c r="L22" s="89">
        <f>L21+100</f>
        <v>32000</v>
      </c>
      <c r="M22" s="88">
        <f>VLOOKUP($B22,Data_Banknifty!$B$4:$Q$90,10,0)</f>
        <v>695.5</v>
      </c>
      <c r="N22" s="88">
        <f>VLOOKUP($B22,Data_Banknifty!$B$4:$Q$90,9,0)</f>
        <v>225</v>
      </c>
      <c r="O22" s="88" t="str">
        <f>VLOOKUP($B22,Data_Banknifty!$B$4:$Q$90,11,0)</f>
        <v>error</v>
      </c>
      <c r="P22" s="88">
        <f>VLOOKUP($B22,Data_Banknifty!$B$4:$Q$90,13,0)</f>
        <v>-2060</v>
      </c>
      <c r="Q22" s="88">
        <f>VLOOKUP($B22,Data_Banknifty!$B$4:$Q$90,14,0)</f>
        <v>10060</v>
      </c>
      <c r="R22" s="88">
        <f>VLOOKUP($B22,Data_Banknifty!$B$4:$Q$90,12,0)</f>
        <v>31940</v>
      </c>
      <c r="S22" s="90" t="str">
        <f t="shared" si="4"/>
        <v>DOWN</v>
      </c>
      <c r="T22" s="91" t="str">
        <f t="shared" si="6"/>
        <v>Short covering</v>
      </c>
      <c r="U22" s="66">
        <f t="shared" si="7"/>
        <v>31328.15</v>
      </c>
    </row>
    <row r="23" spans="1:21" x14ac:dyDescent="0.25">
      <c r="A23" s="84"/>
      <c r="B23" s="84"/>
      <c r="C23" s="85" t="str">
        <f>TEXT(Data_Banknifty!Q20,"Hh:MM")</f>
        <v>10:44</v>
      </c>
      <c r="D23" s="93">
        <f>+Q23/G23</f>
        <v>0.79515184769161484</v>
      </c>
      <c r="F23" s="94"/>
      <c r="G23" s="95">
        <f>SUM(G7:G22)</f>
        <v>11591220</v>
      </c>
      <c r="H23" s="96"/>
      <c r="I23" s="97"/>
      <c r="J23" s="97"/>
      <c r="K23" s="97"/>
      <c r="L23" s="98" t="s">
        <v>555</v>
      </c>
      <c r="M23" s="97"/>
      <c r="N23" s="97"/>
      <c r="O23" s="97"/>
      <c r="Q23" s="96">
        <f>SUM(Q7:Q22)</f>
        <v>9216780</v>
      </c>
      <c r="R23" s="94"/>
      <c r="S23" s="97"/>
      <c r="T23" s="97"/>
    </row>
    <row r="24" spans="1:21" x14ac:dyDescent="0.25">
      <c r="A24" s="67"/>
      <c r="B24" s="67"/>
      <c r="C24" s="68"/>
      <c r="D24" s="67"/>
      <c r="E24" s="67"/>
      <c r="F24" s="67"/>
      <c r="G24" s="67"/>
      <c r="H24" s="67"/>
      <c r="I24" s="67"/>
      <c r="J24" s="67"/>
      <c r="K24" s="67"/>
      <c r="L24" s="67"/>
      <c r="M24" s="67"/>
      <c r="N24" s="67"/>
      <c r="O24" s="67"/>
      <c r="P24" s="67"/>
      <c r="Q24" s="67"/>
      <c r="R24" s="67"/>
      <c r="S24" s="67"/>
      <c r="T24" s="67"/>
    </row>
    <row r="25" spans="1:21" x14ac:dyDescent="0.25">
      <c r="A25" s="67"/>
      <c r="B25" s="67"/>
      <c r="C25" s="68"/>
      <c r="D25" s="67"/>
      <c r="E25" s="67"/>
      <c r="F25" s="67"/>
      <c r="G25" s="67"/>
      <c r="H25" s="67"/>
      <c r="I25" s="67"/>
      <c r="J25" s="67"/>
      <c r="K25" s="67"/>
      <c r="L25" s="67"/>
      <c r="M25" s="67"/>
      <c r="N25" s="67"/>
      <c r="O25" s="67"/>
      <c r="P25" s="67"/>
      <c r="Q25" s="67"/>
      <c r="R25" s="67"/>
      <c r="S25" s="67"/>
      <c r="T25" s="67"/>
    </row>
    <row r="26" spans="1:21" x14ac:dyDescent="0.25">
      <c r="A26" s="67"/>
      <c r="B26" s="67"/>
      <c r="C26" s="68"/>
      <c r="D26" s="67"/>
      <c r="E26" s="67"/>
      <c r="F26" s="67"/>
      <c r="G26" s="67"/>
      <c r="H26" s="67"/>
      <c r="I26" s="67"/>
      <c r="J26" s="67"/>
      <c r="K26" s="67"/>
      <c r="L26" s="67"/>
      <c r="M26" s="67"/>
      <c r="N26" s="67"/>
      <c r="O26" s="67"/>
      <c r="P26" s="67"/>
      <c r="Q26" s="67"/>
      <c r="R26" s="67"/>
      <c r="S26" s="67"/>
      <c r="T26" s="67"/>
    </row>
    <row r="27" spans="1:21" x14ac:dyDescent="0.25">
      <c r="A27" s="67"/>
      <c r="B27" s="67"/>
      <c r="C27" s="68"/>
      <c r="D27" s="67"/>
      <c r="E27" s="67"/>
      <c r="F27" s="67"/>
      <c r="G27" s="67"/>
      <c r="H27" s="67"/>
      <c r="I27" s="67"/>
      <c r="J27" s="67"/>
      <c r="K27" s="67"/>
      <c r="L27" s="67"/>
      <c r="M27" s="67"/>
      <c r="N27" s="67"/>
      <c r="O27" s="67"/>
      <c r="P27" s="67"/>
      <c r="Q27" s="67"/>
      <c r="R27" s="67"/>
      <c r="S27" s="67"/>
      <c r="T27" s="67"/>
    </row>
    <row r="28" spans="1:21" x14ac:dyDescent="0.25">
      <c r="A28" s="67"/>
      <c r="B28" s="67"/>
      <c r="C28" s="68"/>
      <c r="D28" s="67"/>
      <c r="E28" s="67"/>
      <c r="F28" s="67"/>
      <c r="G28" s="67"/>
      <c r="H28" s="67"/>
      <c r="I28" s="67"/>
      <c r="J28" s="67"/>
      <c r="K28" s="67"/>
      <c r="L28" s="67"/>
      <c r="M28" s="67"/>
      <c r="N28" s="67"/>
      <c r="O28" s="67"/>
      <c r="P28" s="67"/>
      <c r="Q28" s="67"/>
      <c r="R28" s="67"/>
      <c r="S28" s="67"/>
      <c r="T28" s="67"/>
    </row>
    <row r="29" spans="1:21" x14ac:dyDescent="0.25">
      <c r="A29" s="67"/>
      <c r="B29" s="67"/>
      <c r="C29" s="68"/>
      <c r="D29" s="67"/>
      <c r="E29" s="67"/>
      <c r="F29" s="67"/>
      <c r="G29" s="67"/>
      <c r="H29" s="67"/>
      <c r="I29" s="67"/>
      <c r="J29" s="67"/>
      <c r="K29" s="67"/>
      <c r="L29" s="67"/>
      <c r="M29" s="67"/>
      <c r="N29" s="67"/>
      <c r="O29" s="67"/>
      <c r="P29" s="67"/>
      <c r="Q29" s="67"/>
      <c r="R29" s="67"/>
      <c r="S29" s="67"/>
      <c r="T29" s="67"/>
    </row>
    <row r="30" spans="1:21" x14ac:dyDescent="0.25">
      <c r="A30" s="67"/>
      <c r="B30" s="67"/>
      <c r="C30" s="68"/>
      <c r="D30" s="67"/>
      <c r="E30" s="67"/>
      <c r="F30" s="67"/>
      <c r="G30" s="67"/>
      <c r="H30" s="67"/>
      <c r="I30" s="67"/>
      <c r="J30" s="67"/>
      <c r="K30" s="67"/>
      <c r="L30" s="67"/>
      <c r="M30" s="67"/>
      <c r="N30" s="67"/>
      <c r="O30" s="67"/>
      <c r="P30" s="67"/>
      <c r="Q30" s="67"/>
      <c r="R30" s="67"/>
      <c r="S30" s="67"/>
      <c r="T30" s="67"/>
    </row>
    <row r="31" spans="1:21" x14ac:dyDescent="0.25">
      <c r="A31" s="67"/>
      <c r="B31" s="67"/>
      <c r="C31" s="68"/>
      <c r="D31" s="67"/>
      <c r="E31" s="67"/>
      <c r="F31" s="67"/>
      <c r="G31" s="67"/>
      <c r="H31" s="67"/>
      <c r="I31" s="67"/>
      <c r="J31" s="67"/>
      <c r="K31" s="67"/>
      <c r="L31" s="67"/>
      <c r="M31" s="67"/>
      <c r="N31" s="67"/>
      <c r="O31" s="67"/>
      <c r="P31" s="67"/>
      <c r="Q31" s="67"/>
      <c r="R31" s="67"/>
      <c r="S31" s="67"/>
      <c r="T31" s="67"/>
    </row>
    <row r="32" spans="1:21" x14ac:dyDescent="0.25">
      <c r="A32" s="67"/>
      <c r="B32" s="67"/>
      <c r="C32" s="68"/>
      <c r="D32" s="67"/>
      <c r="E32" s="67"/>
      <c r="F32" s="67"/>
      <c r="G32" s="67"/>
      <c r="H32" s="67"/>
      <c r="I32" s="67"/>
      <c r="J32" s="67"/>
      <c r="K32" s="67"/>
      <c r="L32" s="67"/>
      <c r="M32" s="67"/>
      <c r="N32" s="67"/>
      <c r="O32" s="67"/>
      <c r="P32" s="67"/>
      <c r="Q32" s="67"/>
      <c r="R32" s="67"/>
      <c r="S32" s="67"/>
      <c r="T32" s="67"/>
    </row>
    <row r="33" spans="1:20" x14ac:dyDescent="0.25">
      <c r="A33" s="67"/>
      <c r="B33" s="67"/>
      <c r="C33" s="68"/>
      <c r="D33" s="67"/>
      <c r="E33" s="67"/>
      <c r="F33" s="67"/>
      <c r="G33" s="67"/>
      <c r="H33" s="67"/>
      <c r="I33" s="67"/>
      <c r="J33" s="67"/>
      <c r="K33" s="67"/>
      <c r="L33" s="67"/>
      <c r="M33" s="67"/>
      <c r="N33" s="67"/>
      <c r="O33" s="67"/>
      <c r="P33" s="67"/>
      <c r="Q33" s="67"/>
      <c r="R33" s="67"/>
      <c r="S33" s="67"/>
      <c r="T33" s="67"/>
    </row>
    <row r="34" spans="1:20" x14ac:dyDescent="0.25">
      <c r="A34" s="67"/>
      <c r="B34" s="67"/>
      <c r="C34" s="68"/>
      <c r="D34" s="67"/>
      <c r="E34" s="67"/>
      <c r="F34" s="67"/>
      <c r="G34" s="67"/>
      <c r="H34" s="67"/>
      <c r="I34" s="67"/>
      <c r="J34" s="67"/>
      <c r="K34" s="67"/>
      <c r="L34" s="67"/>
      <c r="M34" s="67"/>
      <c r="N34" s="67"/>
      <c r="O34" s="67"/>
      <c r="P34" s="67"/>
      <c r="Q34" s="67"/>
      <c r="R34" s="67"/>
      <c r="S34" s="67"/>
      <c r="T34" s="67"/>
    </row>
    <row r="35" spans="1:20" x14ac:dyDescent="0.25">
      <c r="A35" s="67"/>
      <c r="B35" s="67"/>
      <c r="C35" s="68"/>
      <c r="D35" s="67"/>
      <c r="E35" s="67"/>
      <c r="F35" s="67"/>
      <c r="G35" s="67"/>
      <c r="H35" s="67"/>
      <c r="I35" s="67"/>
      <c r="J35" s="67"/>
      <c r="K35" s="67"/>
      <c r="L35" s="67"/>
      <c r="M35" s="67"/>
      <c r="N35" s="67"/>
      <c r="O35" s="67"/>
      <c r="P35" s="67"/>
      <c r="Q35" s="67"/>
      <c r="R35" s="67"/>
      <c r="S35" s="67"/>
      <c r="T35" s="67"/>
    </row>
    <row r="36" spans="1:20" x14ac:dyDescent="0.25">
      <c r="A36" s="67"/>
      <c r="B36" s="67"/>
      <c r="C36" s="68"/>
      <c r="D36" s="67"/>
      <c r="E36" s="67"/>
      <c r="F36" s="67"/>
      <c r="G36" s="67"/>
      <c r="H36" s="67"/>
      <c r="I36" s="67"/>
      <c r="J36" s="67"/>
      <c r="K36" s="67"/>
      <c r="L36" s="67"/>
      <c r="M36" s="67"/>
      <c r="N36" s="67"/>
      <c r="O36" s="67"/>
      <c r="P36" s="67"/>
      <c r="Q36" s="67"/>
      <c r="R36" s="67"/>
      <c r="S36" s="67"/>
      <c r="T36" s="67"/>
    </row>
    <row r="37" spans="1:20" x14ac:dyDescent="0.25">
      <c r="A37" s="67"/>
      <c r="B37" s="67"/>
      <c r="C37" s="68"/>
      <c r="D37" s="67"/>
      <c r="E37" s="67"/>
      <c r="F37" s="67"/>
      <c r="G37" s="67"/>
      <c r="H37" s="67"/>
      <c r="I37" s="67"/>
      <c r="J37" s="67"/>
      <c r="K37" s="67"/>
      <c r="L37" s="67"/>
      <c r="M37" s="67"/>
      <c r="N37" s="67"/>
      <c r="O37" s="67"/>
      <c r="P37" s="67"/>
      <c r="Q37" s="67"/>
      <c r="R37" s="67"/>
      <c r="S37" s="67"/>
      <c r="T37" s="67"/>
    </row>
    <row r="38" spans="1:20" x14ac:dyDescent="0.25">
      <c r="A38" s="67"/>
      <c r="B38" s="67"/>
      <c r="C38" s="68"/>
      <c r="D38" s="67"/>
      <c r="E38" s="67"/>
      <c r="F38" s="67"/>
      <c r="G38" s="67"/>
      <c r="H38" s="67"/>
      <c r="I38" s="67"/>
      <c r="J38" s="67"/>
      <c r="K38" s="67"/>
      <c r="L38" s="67"/>
      <c r="M38" s="67"/>
      <c r="N38" s="67"/>
      <c r="O38" s="67"/>
      <c r="P38" s="67"/>
      <c r="Q38" s="67"/>
      <c r="R38" s="67"/>
      <c r="S38" s="67"/>
      <c r="T38" s="67"/>
    </row>
    <row r="39" spans="1:20" x14ac:dyDescent="0.25">
      <c r="A39" s="67"/>
      <c r="B39" s="67"/>
      <c r="C39" s="68"/>
      <c r="D39" s="67"/>
      <c r="E39" s="67"/>
      <c r="F39" s="67"/>
      <c r="G39" s="67"/>
      <c r="H39" s="67"/>
      <c r="I39" s="67"/>
      <c r="J39" s="67"/>
      <c r="K39" s="67"/>
      <c r="L39" s="67"/>
      <c r="M39" s="67"/>
      <c r="N39" s="67"/>
      <c r="O39" s="67"/>
      <c r="P39" s="67"/>
      <c r="Q39" s="67"/>
      <c r="R39" s="67"/>
      <c r="S39" s="67"/>
      <c r="T39" s="67"/>
    </row>
    <row r="40" spans="1:20" x14ac:dyDescent="0.25">
      <c r="A40" s="67"/>
      <c r="B40" s="67"/>
      <c r="C40" s="68"/>
      <c r="D40" s="67"/>
      <c r="E40" s="67"/>
      <c r="F40" s="67"/>
      <c r="G40" s="67"/>
      <c r="H40" s="67"/>
      <c r="I40" s="67"/>
      <c r="J40" s="67"/>
      <c r="K40" s="67"/>
      <c r="L40" s="67"/>
      <c r="M40" s="67"/>
      <c r="N40" s="67"/>
      <c r="O40" s="67"/>
      <c r="P40" s="67"/>
      <c r="Q40" s="67"/>
      <c r="R40" s="67"/>
      <c r="S40" s="67"/>
      <c r="T40" s="67"/>
    </row>
    <row r="41" spans="1:20" x14ac:dyDescent="0.25">
      <c r="A41" s="67"/>
      <c r="B41" s="67"/>
      <c r="C41" s="68"/>
      <c r="D41" s="67"/>
      <c r="E41" s="67"/>
      <c r="F41" s="67"/>
      <c r="G41" s="67"/>
      <c r="H41" s="67"/>
      <c r="I41" s="67"/>
      <c r="J41" s="67"/>
      <c r="K41" s="67"/>
      <c r="L41" s="67"/>
      <c r="M41" s="67"/>
      <c r="N41" s="67"/>
      <c r="O41" s="67"/>
      <c r="P41" s="67"/>
      <c r="Q41" s="67"/>
      <c r="R41" s="67"/>
      <c r="S41" s="67"/>
      <c r="T41" s="67"/>
    </row>
    <row r="42" spans="1:20" x14ac:dyDescent="0.25">
      <c r="A42" s="67"/>
      <c r="B42" s="67"/>
      <c r="C42" s="68"/>
      <c r="D42" s="67"/>
      <c r="E42" s="67"/>
      <c r="F42" s="67"/>
      <c r="G42" s="67"/>
      <c r="H42" s="67"/>
      <c r="I42" s="67"/>
      <c r="J42" s="67"/>
      <c r="K42" s="67"/>
      <c r="L42" s="67"/>
      <c r="M42" s="67"/>
      <c r="N42" s="67"/>
      <c r="O42" s="67"/>
      <c r="P42" s="67"/>
      <c r="Q42" s="67"/>
      <c r="R42" s="67"/>
      <c r="S42" s="67"/>
      <c r="T42" s="67"/>
    </row>
    <row r="43" spans="1:20" x14ac:dyDescent="0.25">
      <c r="A43" s="67"/>
      <c r="B43" s="67"/>
      <c r="C43" s="68"/>
      <c r="D43" s="67"/>
      <c r="E43" s="67"/>
      <c r="F43" s="67"/>
      <c r="G43" s="67"/>
      <c r="H43" s="67"/>
      <c r="I43" s="67"/>
      <c r="J43" s="67"/>
      <c r="K43" s="67"/>
      <c r="L43" s="67"/>
      <c r="M43" s="67"/>
      <c r="N43" s="67"/>
      <c r="O43" s="67"/>
      <c r="P43" s="67"/>
      <c r="Q43" s="67"/>
      <c r="R43" s="67"/>
      <c r="S43" s="67"/>
      <c r="T43" s="67"/>
    </row>
    <row r="44" spans="1:20" x14ac:dyDescent="0.25">
      <c r="A44" s="67"/>
      <c r="B44" s="67"/>
      <c r="C44" s="68"/>
      <c r="D44" s="67"/>
      <c r="E44" s="67"/>
      <c r="F44" s="67"/>
      <c r="G44" s="67"/>
      <c r="H44" s="67"/>
      <c r="I44" s="67"/>
      <c r="J44" s="67"/>
      <c r="K44" s="67"/>
      <c r="L44" s="67"/>
      <c r="M44" s="67"/>
      <c r="N44" s="67"/>
      <c r="O44" s="67"/>
      <c r="P44" s="67"/>
      <c r="Q44" s="67"/>
      <c r="R44" s="67"/>
      <c r="S44" s="67"/>
      <c r="T44" s="67"/>
    </row>
    <row r="45" spans="1:20" x14ac:dyDescent="0.25">
      <c r="A45" s="67"/>
      <c r="B45" s="67"/>
      <c r="C45" s="68"/>
      <c r="D45" s="67"/>
      <c r="E45" s="67"/>
      <c r="F45" s="67"/>
      <c r="G45" s="67"/>
      <c r="H45" s="67"/>
      <c r="I45" s="67"/>
      <c r="J45" s="67"/>
      <c r="K45" s="67"/>
      <c r="L45" s="67"/>
      <c r="M45" s="67"/>
      <c r="N45" s="67"/>
      <c r="O45" s="67"/>
      <c r="P45" s="67"/>
      <c r="Q45" s="67"/>
      <c r="R45" s="67"/>
      <c r="S45" s="67"/>
      <c r="T45" s="67"/>
    </row>
    <row r="46" spans="1:20" x14ac:dyDescent="0.25">
      <c r="A46" s="67"/>
      <c r="B46" s="67"/>
      <c r="C46" s="68"/>
      <c r="D46" s="67"/>
      <c r="E46" s="67"/>
      <c r="F46" s="67"/>
      <c r="G46" s="67"/>
      <c r="H46" s="67"/>
      <c r="I46" s="67"/>
      <c r="J46" s="67"/>
      <c r="K46" s="67"/>
      <c r="L46" s="67"/>
      <c r="M46" s="67"/>
      <c r="N46" s="67"/>
      <c r="O46" s="67"/>
      <c r="P46" s="67"/>
      <c r="Q46" s="67"/>
      <c r="R46" s="67"/>
      <c r="S46" s="67"/>
      <c r="T46" s="67"/>
    </row>
    <row r="47" spans="1:20" x14ac:dyDescent="0.25">
      <c r="A47" s="67"/>
      <c r="B47" s="67"/>
      <c r="C47" s="68"/>
      <c r="D47" s="67"/>
      <c r="E47" s="67"/>
      <c r="F47" s="67"/>
      <c r="G47" s="67"/>
      <c r="H47" s="67"/>
      <c r="I47" s="67"/>
      <c r="J47" s="67"/>
      <c r="K47" s="67"/>
      <c r="L47" s="67"/>
      <c r="M47" s="67"/>
      <c r="N47" s="67"/>
      <c r="O47" s="67"/>
      <c r="P47" s="67"/>
      <c r="Q47" s="67"/>
      <c r="R47" s="67"/>
      <c r="S47" s="67"/>
      <c r="T47" s="67"/>
    </row>
    <row r="48" spans="1:20" x14ac:dyDescent="0.25">
      <c r="A48" s="67"/>
      <c r="B48" s="67"/>
      <c r="C48" s="68"/>
      <c r="D48" s="67"/>
      <c r="E48" s="67"/>
      <c r="F48" s="67"/>
      <c r="G48" s="67"/>
      <c r="H48" s="67"/>
      <c r="I48" s="67"/>
      <c r="J48" s="67"/>
      <c r="K48" s="67"/>
      <c r="L48" s="67"/>
      <c r="M48" s="67"/>
      <c r="N48" s="67"/>
      <c r="O48" s="67"/>
      <c r="P48" s="67"/>
      <c r="Q48" s="67"/>
      <c r="R48" s="67"/>
      <c r="S48" s="67"/>
      <c r="T48" s="67"/>
    </row>
    <row r="49" spans="1:20" x14ac:dyDescent="0.25">
      <c r="A49" s="67"/>
      <c r="B49" s="67"/>
      <c r="C49" s="68"/>
      <c r="D49" s="67"/>
      <c r="E49" s="67"/>
      <c r="F49" s="67"/>
      <c r="G49" s="67"/>
      <c r="H49" s="67"/>
      <c r="I49" s="67"/>
      <c r="J49" s="67"/>
      <c r="K49" s="67"/>
      <c r="L49" s="67"/>
      <c r="M49" s="67"/>
      <c r="N49" s="67"/>
      <c r="O49" s="67"/>
      <c r="P49" s="67"/>
      <c r="Q49" s="67"/>
      <c r="R49" s="67"/>
      <c r="S49" s="67"/>
      <c r="T49" s="67"/>
    </row>
    <row r="50" spans="1:20" x14ac:dyDescent="0.25">
      <c r="A50" s="67"/>
      <c r="B50" s="67"/>
      <c r="C50" s="68"/>
      <c r="D50" s="67"/>
      <c r="E50" s="67"/>
      <c r="F50" s="67"/>
      <c r="G50" s="67"/>
      <c r="H50" s="67"/>
      <c r="I50" s="67"/>
      <c r="J50" s="67"/>
      <c r="K50" s="67"/>
      <c r="L50" s="67"/>
      <c r="M50" s="67"/>
      <c r="N50" s="67"/>
      <c r="O50" s="67"/>
      <c r="P50" s="67"/>
      <c r="Q50" s="67"/>
      <c r="R50" s="67"/>
      <c r="S50" s="67"/>
      <c r="T50" s="67"/>
    </row>
    <row r="51" spans="1:20" x14ac:dyDescent="0.25">
      <c r="A51" s="67"/>
      <c r="B51" s="67"/>
      <c r="C51" s="68"/>
      <c r="D51" s="67"/>
      <c r="E51" s="67"/>
      <c r="F51" s="67"/>
      <c r="G51" s="67"/>
      <c r="H51" s="67"/>
      <c r="I51" s="67"/>
      <c r="J51" s="67"/>
      <c r="K51" s="67"/>
      <c r="L51" s="67"/>
      <c r="M51" s="67"/>
      <c r="N51" s="67"/>
      <c r="O51" s="67"/>
      <c r="P51" s="67"/>
      <c r="Q51" s="67"/>
      <c r="R51" s="67"/>
      <c r="S51" s="67"/>
      <c r="T51" s="67"/>
    </row>
    <row r="52" spans="1:20" x14ac:dyDescent="0.25">
      <c r="A52" s="67"/>
      <c r="B52" s="67"/>
      <c r="C52" s="68"/>
      <c r="D52" s="67"/>
      <c r="E52" s="67"/>
      <c r="F52" s="67"/>
      <c r="G52" s="67"/>
      <c r="H52" s="67"/>
      <c r="I52" s="67"/>
      <c r="J52" s="67"/>
      <c r="K52" s="67"/>
      <c r="L52" s="67"/>
      <c r="M52" s="67"/>
      <c r="N52" s="67"/>
      <c r="O52" s="67"/>
      <c r="P52" s="67"/>
      <c r="Q52" s="67"/>
      <c r="R52" s="67"/>
      <c r="S52" s="67"/>
      <c r="T52" s="67"/>
    </row>
    <row r="53" spans="1:20" x14ac:dyDescent="0.25">
      <c r="A53" s="67"/>
      <c r="B53" s="67"/>
      <c r="C53" s="68"/>
      <c r="D53" s="67"/>
      <c r="E53" s="67"/>
      <c r="F53" s="67"/>
      <c r="G53" s="67"/>
      <c r="H53" s="67"/>
      <c r="I53" s="67"/>
      <c r="J53" s="67"/>
      <c r="K53" s="67"/>
      <c r="L53" s="67"/>
      <c r="M53" s="67"/>
      <c r="N53" s="67"/>
      <c r="O53" s="67"/>
      <c r="P53" s="67"/>
      <c r="Q53" s="67"/>
      <c r="R53" s="67"/>
      <c r="S53" s="67"/>
      <c r="T53" s="67"/>
    </row>
    <row r="54" spans="1:20" x14ac:dyDescent="0.25">
      <c r="A54" s="67"/>
      <c r="B54" s="67"/>
      <c r="C54" s="68"/>
      <c r="D54" s="67"/>
      <c r="E54" s="67"/>
      <c r="F54" s="67"/>
      <c r="G54" s="67"/>
      <c r="H54" s="67"/>
      <c r="I54" s="67"/>
      <c r="J54" s="67"/>
      <c r="K54" s="67"/>
      <c r="L54" s="67"/>
      <c r="M54" s="67"/>
      <c r="N54" s="67"/>
      <c r="O54" s="67"/>
      <c r="P54" s="67"/>
      <c r="Q54" s="67"/>
      <c r="R54" s="67"/>
      <c r="S54" s="67"/>
      <c r="T54" s="67"/>
    </row>
    <row r="55" spans="1:20" x14ac:dyDescent="0.25">
      <c r="A55" s="67"/>
      <c r="B55" s="67"/>
      <c r="C55" s="68"/>
      <c r="D55" s="67"/>
      <c r="E55" s="67"/>
      <c r="F55" s="67"/>
      <c r="G55" s="67"/>
      <c r="H55" s="67"/>
      <c r="I55" s="67"/>
      <c r="J55" s="67"/>
      <c r="K55" s="67"/>
      <c r="L55" s="67"/>
      <c r="M55" s="67"/>
      <c r="N55" s="67"/>
      <c r="O55" s="67"/>
      <c r="P55" s="67"/>
      <c r="Q55" s="67"/>
      <c r="R55" s="67"/>
      <c r="S55" s="67"/>
      <c r="T55" s="67"/>
    </row>
    <row r="56" spans="1:20" x14ac:dyDescent="0.25">
      <c r="A56" s="67"/>
      <c r="B56" s="67"/>
      <c r="C56" s="68"/>
      <c r="D56" s="67"/>
      <c r="E56" s="67"/>
      <c r="F56" s="67"/>
      <c r="G56" s="67"/>
      <c r="H56" s="67"/>
      <c r="I56" s="67"/>
      <c r="J56" s="67"/>
      <c r="K56" s="67"/>
      <c r="L56" s="67"/>
      <c r="M56" s="67"/>
      <c r="N56" s="67"/>
      <c r="O56" s="67"/>
      <c r="P56" s="67"/>
      <c r="Q56" s="67"/>
      <c r="R56" s="67"/>
      <c r="S56" s="67"/>
      <c r="T56" s="67"/>
    </row>
    <row r="57" spans="1:20" x14ac:dyDescent="0.25">
      <c r="A57" s="67"/>
      <c r="B57" s="67"/>
      <c r="C57" s="68"/>
      <c r="D57" s="67"/>
      <c r="E57" s="67"/>
      <c r="F57" s="67"/>
      <c r="G57" s="67"/>
      <c r="H57" s="67"/>
      <c r="I57" s="67"/>
      <c r="J57" s="67"/>
      <c r="K57" s="67"/>
      <c r="L57" s="67"/>
      <c r="M57" s="67"/>
      <c r="N57" s="67"/>
      <c r="O57" s="67"/>
      <c r="P57" s="67"/>
      <c r="Q57" s="67"/>
      <c r="R57" s="67"/>
      <c r="S57" s="67"/>
      <c r="T57" s="67"/>
    </row>
    <row r="58" spans="1:20" x14ac:dyDescent="0.25">
      <c r="A58" s="67"/>
      <c r="B58" s="67"/>
      <c r="C58" s="68"/>
      <c r="D58" s="67"/>
      <c r="E58" s="67"/>
      <c r="F58" s="67"/>
      <c r="G58" s="67"/>
      <c r="H58" s="67"/>
      <c r="I58" s="67"/>
      <c r="J58" s="67"/>
      <c r="K58" s="67"/>
      <c r="L58" s="67"/>
      <c r="M58" s="67"/>
      <c r="N58" s="67"/>
      <c r="O58" s="67"/>
      <c r="P58" s="67"/>
      <c r="Q58" s="67"/>
      <c r="R58" s="67"/>
      <c r="S58" s="67"/>
      <c r="T58" s="67"/>
    </row>
    <row r="59" spans="1:20" x14ac:dyDescent="0.25">
      <c r="A59" s="67"/>
      <c r="B59" s="67"/>
      <c r="C59" s="68"/>
      <c r="D59" s="67"/>
      <c r="E59" s="67"/>
      <c r="F59" s="67"/>
      <c r="G59" s="67"/>
      <c r="H59" s="67"/>
      <c r="I59" s="67"/>
      <c r="J59" s="67"/>
      <c r="K59" s="67"/>
      <c r="L59" s="67"/>
      <c r="M59" s="67"/>
      <c r="N59" s="67"/>
      <c r="O59" s="67"/>
      <c r="P59" s="67"/>
      <c r="Q59" s="67"/>
      <c r="R59" s="67"/>
      <c r="S59" s="67"/>
      <c r="T59" s="67"/>
    </row>
    <row r="60" spans="1:20" x14ac:dyDescent="0.25">
      <c r="A60" s="67"/>
      <c r="B60" s="67"/>
      <c r="C60" s="68"/>
      <c r="D60" s="67"/>
      <c r="E60" s="67"/>
      <c r="F60" s="67"/>
      <c r="G60" s="67"/>
      <c r="H60" s="67"/>
      <c r="I60" s="67"/>
      <c r="J60" s="67"/>
      <c r="K60" s="67"/>
      <c r="L60" s="67"/>
      <c r="M60" s="67"/>
      <c r="N60" s="67"/>
      <c r="O60" s="67"/>
      <c r="P60" s="67"/>
      <c r="Q60" s="67"/>
      <c r="R60" s="67"/>
      <c r="S60" s="67"/>
      <c r="T60" s="67"/>
    </row>
    <row r="61" spans="1:20" x14ac:dyDescent="0.25">
      <c r="A61" s="67"/>
      <c r="B61" s="67"/>
      <c r="C61" s="68"/>
      <c r="D61" s="67"/>
      <c r="E61" s="67"/>
      <c r="F61" s="67"/>
      <c r="G61" s="67"/>
      <c r="H61" s="67"/>
      <c r="I61" s="67"/>
      <c r="J61" s="67"/>
      <c r="K61" s="67"/>
      <c r="L61" s="67"/>
      <c r="M61" s="67"/>
      <c r="N61" s="67"/>
      <c r="O61" s="67"/>
      <c r="P61" s="67"/>
      <c r="Q61" s="67"/>
      <c r="R61" s="67"/>
      <c r="S61" s="67"/>
      <c r="T61" s="67"/>
    </row>
    <row r="62" spans="1:20" x14ac:dyDescent="0.25">
      <c r="A62" s="67"/>
      <c r="B62" s="67"/>
      <c r="C62" s="68"/>
      <c r="D62" s="67"/>
      <c r="E62" s="67"/>
      <c r="F62" s="67"/>
      <c r="G62" s="67"/>
      <c r="H62" s="67"/>
      <c r="I62" s="67"/>
      <c r="J62" s="67"/>
      <c r="K62" s="67"/>
      <c r="L62" s="67"/>
      <c r="M62" s="67"/>
      <c r="N62" s="67"/>
      <c r="O62" s="67"/>
      <c r="P62" s="67"/>
      <c r="Q62" s="67"/>
      <c r="R62" s="67"/>
      <c r="S62" s="67"/>
      <c r="T62" s="67"/>
    </row>
    <row r="63" spans="1:20" x14ac:dyDescent="0.25">
      <c r="A63" s="67"/>
      <c r="B63" s="67"/>
      <c r="C63" s="68"/>
      <c r="D63" s="67"/>
      <c r="E63" s="67"/>
      <c r="F63" s="67"/>
      <c r="G63" s="67"/>
      <c r="H63" s="67"/>
      <c r="I63" s="67"/>
      <c r="J63" s="67"/>
      <c r="K63" s="67"/>
      <c r="L63" s="67"/>
      <c r="M63" s="67"/>
      <c r="N63" s="67"/>
      <c r="O63" s="67"/>
      <c r="P63" s="67"/>
      <c r="Q63" s="67"/>
      <c r="R63" s="67"/>
      <c r="S63" s="67"/>
      <c r="T63" s="67"/>
    </row>
    <row r="64" spans="1:20" x14ac:dyDescent="0.25">
      <c r="A64" s="67"/>
      <c r="B64" s="67"/>
      <c r="C64" s="68"/>
      <c r="D64" s="67"/>
      <c r="E64" s="67"/>
      <c r="F64" s="67"/>
      <c r="G64" s="67"/>
      <c r="H64" s="67"/>
      <c r="I64" s="67"/>
      <c r="J64" s="67"/>
      <c r="K64" s="67"/>
      <c r="L64" s="67"/>
      <c r="M64" s="67"/>
      <c r="N64" s="67"/>
      <c r="O64" s="67"/>
      <c r="P64" s="67"/>
      <c r="Q64" s="67"/>
      <c r="R64" s="67"/>
      <c r="S64" s="67"/>
      <c r="T64" s="67"/>
    </row>
    <row r="65" spans="1:20" x14ac:dyDescent="0.25">
      <c r="A65" s="67"/>
      <c r="B65" s="67"/>
      <c r="C65" s="68"/>
      <c r="D65" s="67"/>
      <c r="E65" s="67"/>
      <c r="F65" s="67"/>
      <c r="G65" s="67"/>
      <c r="H65" s="67"/>
      <c r="I65" s="67"/>
      <c r="J65" s="67"/>
      <c r="K65" s="67"/>
      <c r="L65" s="67"/>
      <c r="M65" s="67"/>
      <c r="N65" s="67"/>
      <c r="O65" s="67"/>
      <c r="P65" s="67"/>
      <c r="Q65" s="67"/>
      <c r="R65" s="67"/>
      <c r="S65" s="67"/>
      <c r="T65" s="67"/>
    </row>
    <row r="66" spans="1:20" x14ac:dyDescent="0.25">
      <c r="A66" s="67"/>
      <c r="B66" s="67"/>
      <c r="C66" s="68"/>
      <c r="D66" s="67"/>
      <c r="E66" s="67"/>
      <c r="F66" s="67"/>
      <c r="G66" s="67"/>
      <c r="H66" s="67"/>
      <c r="I66" s="67"/>
      <c r="J66" s="67"/>
      <c r="K66" s="67"/>
      <c r="L66" s="67"/>
      <c r="M66" s="67"/>
      <c r="N66" s="67"/>
      <c r="O66" s="67"/>
      <c r="P66" s="67"/>
      <c r="Q66" s="67"/>
      <c r="R66" s="67"/>
      <c r="S66" s="67"/>
      <c r="T66" s="67"/>
    </row>
    <row r="67" spans="1:20" x14ac:dyDescent="0.25">
      <c r="A67" s="67"/>
      <c r="B67" s="67"/>
      <c r="C67" s="68"/>
      <c r="D67" s="67"/>
      <c r="E67" s="67"/>
      <c r="F67" s="67"/>
      <c r="G67" s="67"/>
      <c r="H67" s="67"/>
      <c r="I67" s="67"/>
      <c r="J67" s="67"/>
      <c r="K67" s="67"/>
      <c r="L67" s="67"/>
      <c r="M67" s="67"/>
      <c r="N67" s="67"/>
      <c r="O67" s="67"/>
      <c r="P67" s="67"/>
      <c r="Q67" s="67"/>
      <c r="R67" s="67"/>
      <c r="S67" s="67"/>
      <c r="T67" s="67"/>
    </row>
    <row r="68" spans="1:20" x14ac:dyDescent="0.25">
      <c r="A68" s="67"/>
      <c r="B68" s="67"/>
      <c r="C68" s="68"/>
      <c r="D68" s="67"/>
      <c r="E68" s="67"/>
      <c r="F68" s="67"/>
      <c r="G68" s="67"/>
      <c r="H68" s="67"/>
      <c r="I68" s="67"/>
      <c r="J68" s="67"/>
      <c r="K68" s="67"/>
      <c r="L68" s="67"/>
      <c r="M68" s="67"/>
      <c r="N68" s="67"/>
      <c r="O68" s="67"/>
      <c r="P68" s="67"/>
      <c r="Q68" s="67"/>
      <c r="R68" s="67"/>
      <c r="S68" s="67"/>
      <c r="T68" s="67"/>
    </row>
  </sheetData>
  <mergeCells count="3">
    <mergeCell ref="C1:T1"/>
    <mergeCell ref="D5:K5"/>
    <mergeCell ref="M5:T5"/>
  </mergeCells>
  <conditionalFormatting sqref="S7:S23 E7:E22 D23">
    <cfRule type="containsText" dxfId="6568" priority="47" operator="containsText" text="DOWN">
      <formula>NOT(ISERROR(SEARCH("DOWN",D7)))</formula>
    </cfRule>
  </conditionalFormatting>
  <conditionalFormatting sqref="S7:S23 E7:E22 D23">
    <cfRule type="containsText" dxfId="6567" priority="46" operator="containsText" text="UP">
      <formula>NOT(ISERROR(SEARCH("UP",D7)))</formula>
    </cfRule>
  </conditionalFormatting>
  <conditionalFormatting sqref="J23">
    <cfRule type="colorScale" priority="45">
      <colorScale>
        <cfvo type="min"/>
        <cfvo type="max"/>
        <color rgb="FFFFEF9C"/>
        <color rgb="FF63BE7B"/>
      </colorScale>
    </cfRule>
  </conditionalFormatting>
  <conditionalFormatting sqref="N23">
    <cfRule type="colorScale" priority="44">
      <colorScale>
        <cfvo type="min"/>
        <cfvo type="max"/>
        <color rgb="FFFF7128"/>
        <color rgb="FFFFEF9C"/>
      </colorScale>
    </cfRule>
  </conditionalFormatting>
  <conditionalFormatting sqref="R23">
    <cfRule type="dataBar" priority="43">
      <dataBar>
        <cfvo type="min"/>
        <cfvo type="max"/>
        <color rgb="FFFF555A"/>
      </dataBar>
    </cfRule>
  </conditionalFormatting>
  <conditionalFormatting sqref="F7:F23">
    <cfRule type="dataBar" priority="42">
      <dataBar>
        <cfvo type="min"/>
        <cfvo type="max"/>
        <color rgb="FFFF555A"/>
      </dataBar>
    </cfRule>
  </conditionalFormatting>
  <conditionalFormatting sqref="G23">
    <cfRule type="top10" dxfId="6566" priority="41" rank="1"/>
  </conditionalFormatting>
  <conditionalFormatting sqref="H23 Q23">
    <cfRule type="cellIs" dxfId="6565" priority="40" operator="equal">
      <formula>$G$135</formula>
    </cfRule>
  </conditionalFormatting>
  <conditionalFormatting sqref="Q23">
    <cfRule type="cellIs" dxfId="6564" priority="39" operator="equal">
      <formula>$J$135</formula>
    </cfRule>
  </conditionalFormatting>
  <conditionalFormatting sqref="H23 Q23">
    <cfRule type="cellIs" dxfId="6563" priority="38" operator="equal">
      <formula>#REF!</formula>
    </cfRule>
  </conditionalFormatting>
  <conditionalFormatting sqref="H23">
    <cfRule type="top10" dxfId="6562" priority="36" rank="1"/>
    <cfRule type="cellIs" dxfId="6561" priority="37" operator="equal">
      <formula>$G$133</formula>
    </cfRule>
  </conditionalFormatting>
  <conditionalFormatting sqref="Q23">
    <cfRule type="top10" dxfId="6560" priority="34" rank="1"/>
    <cfRule type="cellIs" dxfId="6559" priority="35" operator="equal">
      <formula>$G$133</formula>
    </cfRule>
  </conditionalFormatting>
  <conditionalFormatting sqref="D7:D22">
    <cfRule type="containsText" dxfId="6558" priority="30" operator="containsText" text="Short Buildup">
      <formula>NOT(ISERROR(SEARCH("Short Buildup",D7)))</formula>
    </cfRule>
    <cfRule type="containsText" dxfId="6557" priority="31" operator="containsText" text="Long Liquidation">
      <formula>NOT(ISERROR(SEARCH("Long Liquidation",D7)))</formula>
    </cfRule>
    <cfRule type="containsText" dxfId="6556" priority="32" operator="containsText" text="Short covering">
      <formula>NOT(ISERROR(SEARCH("Short covering",D7)))</formula>
    </cfRule>
    <cfRule type="containsText" dxfId="6555" priority="33" operator="containsText" text="Long Buildup">
      <formula>NOT(ISERROR(SEARCH("Long Buildup",D7)))</formula>
    </cfRule>
  </conditionalFormatting>
  <conditionalFormatting sqref="I23">
    <cfRule type="colorScale" priority="25">
      <colorScale>
        <cfvo type="min"/>
        <cfvo type="percentile" val="20"/>
        <cfvo type="max"/>
        <color rgb="FF92D050"/>
        <color theme="5" tint="0.79998168889431442"/>
        <color rgb="FFFF0000"/>
      </colorScale>
    </cfRule>
    <cfRule type="colorScale" priority="26">
      <colorScale>
        <cfvo type="min"/>
        <cfvo type="max"/>
        <color rgb="FFFF0000"/>
        <color rgb="FF92D050"/>
      </colorScale>
    </cfRule>
    <cfRule type="colorScale" priority="27">
      <colorScale>
        <cfvo type="min"/>
        <cfvo type="percentile" val="50"/>
        <cfvo type="max"/>
        <color rgb="FF5A8AC6"/>
        <color rgb="FFFCFCFF"/>
        <color rgb="FFF8696B"/>
      </colorScale>
    </cfRule>
    <cfRule type="colorScale" priority="28">
      <colorScale>
        <cfvo type="formula" val="&quot;&gt;20&quot;"/>
        <cfvo type="formula" val="35"/>
        <color rgb="FFF8696B"/>
        <color rgb="FFFCFCFF"/>
      </colorScale>
    </cfRule>
    <cfRule type="colorScale" priority="29">
      <colorScale>
        <cfvo type="min"/>
        <cfvo type="max"/>
        <color rgb="FFFFEF9C"/>
        <color rgb="FF63BE7B"/>
      </colorScale>
    </cfRule>
  </conditionalFormatting>
  <conditionalFormatting sqref="O23">
    <cfRule type="colorScale" priority="20">
      <colorScale>
        <cfvo type="min"/>
        <cfvo type="percentile" val="20"/>
        <cfvo type="max"/>
        <color rgb="FF92D050"/>
        <color theme="5" tint="0.79998168889431442"/>
        <color rgb="FFFF0000"/>
      </colorScale>
    </cfRule>
    <cfRule type="colorScale" priority="21">
      <colorScale>
        <cfvo type="min"/>
        <cfvo type="max"/>
        <color rgb="FFFF0000"/>
        <color rgb="FF92D050"/>
      </colorScale>
    </cfRule>
    <cfRule type="colorScale" priority="22">
      <colorScale>
        <cfvo type="min"/>
        <cfvo type="percentile" val="50"/>
        <cfvo type="max"/>
        <color rgb="FF5A8AC6"/>
        <color rgb="FFFCFCFF"/>
        <color rgb="FFF8696B"/>
      </colorScale>
    </cfRule>
    <cfRule type="colorScale" priority="23">
      <colorScale>
        <cfvo type="formula" val="&quot;&gt;20&quot;"/>
        <cfvo type="formula" val="35"/>
        <color rgb="FFF8696B"/>
        <color rgb="FFFCFCFF"/>
      </colorScale>
    </cfRule>
    <cfRule type="colorScale" priority="24">
      <colorScale>
        <cfvo type="min"/>
        <cfvo type="max"/>
        <color rgb="FFFFEF9C"/>
        <color rgb="FF63BE7B"/>
      </colorScale>
    </cfRule>
  </conditionalFormatting>
  <conditionalFormatting sqref="T7:T23">
    <cfRule type="containsText" dxfId="6554" priority="16" operator="containsText" text="Short Buildup">
      <formula>NOT(ISERROR(SEARCH("Short Buildup",T7)))</formula>
    </cfRule>
    <cfRule type="containsText" dxfId="6553" priority="17" operator="containsText" text="Long Liquidation">
      <formula>NOT(ISERROR(SEARCH("Long Liquidation",T7)))</formula>
    </cfRule>
    <cfRule type="containsText" dxfId="6552" priority="18" operator="containsText" text="Short covering">
      <formula>NOT(ISERROR(SEARCH("Short covering",T7)))</formula>
    </cfRule>
    <cfRule type="containsText" dxfId="6551" priority="19" operator="containsText" text="Long Buildup">
      <formula>NOT(ISERROR(SEARCH("Long Buildup",T7)))</formula>
    </cfRule>
  </conditionalFormatting>
  <conditionalFormatting sqref="G7:G22">
    <cfRule type="dataBar" priority="15">
      <dataBar>
        <cfvo type="min"/>
        <cfvo type="max"/>
        <color rgb="FFFF555A"/>
      </dataBar>
    </cfRule>
  </conditionalFormatting>
  <conditionalFormatting sqref="H7:H22">
    <cfRule type="dataBar" priority="14">
      <dataBar>
        <cfvo type="min"/>
        <cfvo type="max"/>
        <color rgb="FFFF555A"/>
      </dataBar>
    </cfRule>
  </conditionalFormatting>
  <conditionalFormatting sqref="I7">
    <cfRule type="dataBar" priority="13">
      <dataBar>
        <cfvo type="min"/>
        <cfvo type="max"/>
        <color rgb="FFFF555A"/>
      </dataBar>
    </cfRule>
  </conditionalFormatting>
  <conditionalFormatting sqref="J7">
    <cfRule type="dataBar" priority="12">
      <dataBar>
        <cfvo type="min"/>
        <cfvo type="max"/>
        <color rgb="FFFF555A"/>
      </dataBar>
    </cfRule>
  </conditionalFormatting>
  <conditionalFormatting sqref="K7">
    <cfRule type="dataBar" priority="11">
      <dataBar>
        <cfvo type="min"/>
        <cfvo type="max"/>
        <color rgb="FFFF555A"/>
      </dataBar>
    </cfRule>
  </conditionalFormatting>
  <conditionalFormatting sqref="F8:F22">
    <cfRule type="dataBar" priority="10">
      <dataBar>
        <cfvo type="min"/>
        <cfvo type="max"/>
        <color rgb="FFFF555A"/>
      </dataBar>
    </cfRule>
  </conditionalFormatting>
  <conditionalFormatting sqref="I8:I22">
    <cfRule type="dataBar" priority="9">
      <dataBar>
        <cfvo type="min"/>
        <cfvo type="max"/>
        <color rgb="FFFF555A"/>
      </dataBar>
    </cfRule>
  </conditionalFormatting>
  <conditionalFormatting sqref="J8:J22">
    <cfRule type="dataBar" priority="8">
      <dataBar>
        <cfvo type="min"/>
        <cfvo type="max"/>
        <color rgb="FFFF555A"/>
      </dataBar>
    </cfRule>
  </conditionalFormatting>
  <conditionalFormatting sqref="K8:K22">
    <cfRule type="dataBar" priority="7">
      <dataBar>
        <cfvo type="min"/>
        <cfvo type="max"/>
        <color rgb="FFFF555A"/>
      </dataBar>
    </cfRule>
  </conditionalFormatting>
  <conditionalFormatting sqref="M7:M22">
    <cfRule type="dataBar" priority="6">
      <dataBar>
        <cfvo type="min"/>
        <cfvo type="max"/>
        <color rgb="FFFF555A"/>
      </dataBar>
    </cfRule>
  </conditionalFormatting>
  <conditionalFormatting sqref="N7:N22">
    <cfRule type="dataBar" priority="5">
      <dataBar>
        <cfvo type="min"/>
        <cfvo type="max"/>
        <color rgb="FFFF555A"/>
      </dataBar>
    </cfRule>
  </conditionalFormatting>
  <conditionalFormatting sqref="O7:O22">
    <cfRule type="dataBar" priority="4">
      <dataBar>
        <cfvo type="min"/>
        <cfvo type="max"/>
        <color rgb="FFFF555A"/>
      </dataBar>
    </cfRule>
  </conditionalFormatting>
  <conditionalFormatting sqref="R7:R22">
    <cfRule type="dataBar" priority="3">
      <dataBar>
        <cfvo type="min"/>
        <cfvo type="max"/>
        <color rgb="FFFF555A"/>
      </dataBar>
    </cfRule>
  </conditionalFormatting>
  <conditionalFormatting sqref="P7:P22">
    <cfRule type="dataBar" priority="2">
      <dataBar>
        <cfvo type="min"/>
        <cfvo type="max"/>
        <color rgb="FFFF555A"/>
      </dataBar>
    </cfRule>
  </conditionalFormatting>
  <conditionalFormatting sqref="Q7:Q22">
    <cfRule type="dataBar" priority="1">
      <dataBar>
        <cfvo type="min"/>
        <cfvo type="max"/>
        <color rgb="FFFF555A"/>
      </dataBar>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
  <sheetViews>
    <sheetView showGridLines="0" topLeftCell="A2" workbookViewId="0">
      <selection activeCell="K37" sqref="K37"/>
    </sheetView>
  </sheetViews>
  <sheetFormatPr defaultRowHeight="12.75" x14ac:dyDescent="0.2"/>
  <sheetData>
    <row r="1" spans="1:37" ht="14.25" hidden="1"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T4115"/>
  <sheetViews>
    <sheetView workbookViewId="0">
      <pane ySplit="1" topLeftCell="A26" activePane="bottomLeft" state="frozen"/>
      <selection pane="bottomLeft" activeCell="B1005" sqref="B1005:T1021"/>
    </sheetView>
  </sheetViews>
  <sheetFormatPr defaultColWidth="9.140625" defaultRowHeight="15" x14ac:dyDescent="0.25"/>
  <cols>
    <col min="1" max="16384" width="9.140625" style="51"/>
  </cols>
  <sheetData>
    <row r="1" spans="1:20" ht="47.25" customHeight="1" x14ac:dyDescent="0.25">
      <c r="A1" s="45"/>
      <c r="B1" s="46" t="s">
        <v>538</v>
      </c>
      <c r="C1" s="47" t="s">
        <v>539</v>
      </c>
      <c r="D1" s="48" t="s">
        <v>540</v>
      </c>
      <c r="E1" s="48" t="s">
        <v>541</v>
      </c>
      <c r="F1" s="48" t="s">
        <v>542</v>
      </c>
      <c r="G1" s="48" t="s">
        <v>543</v>
      </c>
      <c r="H1" s="48" t="s">
        <v>544</v>
      </c>
      <c r="I1" s="48" t="s">
        <v>545</v>
      </c>
      <c r="J1" s="48" t="s">
        <v>546</v>
      </c>
      <c r="K1" s="49" t="s">
        <v>547</v>
      </c>
      <c r="L1" s="48" t="s">
        <v>548</v>
      </c>
      <c r="M1" s="48" t="s">
        <v>549</v>
      </c>
      <c r="N1" s="48" t="s">
        <v>550</v>
      </c>
      <c r="O1" s="48" t="s">
        <v>551</v>
      </c>
      <c r="P1" s="48" t="s">
        <v>552</v>
      </c>
      <c r="Q1" s="48" t="s">
        <v>553</v>
      </c>
      <c r="R1" s="48" t="str">
        <f>D1</f>
        <v>OI change_up or down</v>
      </c>
      <c r="S1" s="50" t="s">
        <v>539</v>
      </c>
      <c r="T1" s="47" t="s">
        <v>554</v>
      </c>
    </row>
    <row r="2" spans="1:20" x14ac:dyDescent="0.25">
      <c r="A2" s="51" t="str">
        <f>(COUNTIF($K$2:K2,K2))&amp;K2</f>
        <v>1-800</v>
      </c>
      <c r="B2" s="52" t="s">
        <v>580</v>
      </c>
      <c r="C2" s="53" t="e">
        <v>#N/A</v>
      </c>
      <c r="D2" s="54" t="e">
        <v>#N/A</v>
      </c>
      <c r="E2" s="55" t="e">
        <v>#N/A</v>
      </c>
      <c r="F2" s="55" t="e">
        <v>#N/A</v>
      </c>
      <c r="G2" s="55" t="e">
        <v>#N/A</v>
      </c>
      <c r="H2" s="55" t="e">
        <v>#N/A</v>
      </c>
      <c r="I2" s="55" t="e">
        <v>#N/A</v>
      </c>
      <c r="J2" s="55" t="e">
        <v>#N/A</v>
      </c>
      <c r="K2" s="56">
        <v>-800</v>
      </c>
      <c r="L2" s="55" t="e">
        <v>#N/A</v>
      </c>
      <c r="M2" s="55" t="e">
        <v>#N/A</v>
      </c>
      <c r="N2" s="55" t="e">
        <v>#N/A</v>
      </c>
      <c r="O2" s="55" t="e">
        <v>#N/A</v>
      </c>
      <c r="P2" s="55" t="e">
        <v>#N/A</v>
      </c>
      <c r="Q2" s="55" t="e">
        <v>#N/A</v>
      </c>
      <c r="R2" s="57" t="e">
        <v>#N/A</v>
      </c>
      <c r="S2" s="58" t="e">
        <v>#N/A</v>
      </c>
      <c r="T2" s="51">
        <v>0</v>
      </c>
    </row>
    <row r="3" spans="1:20" x14ac:dyDescent="0.25">
      <c r="A3" s="51" t="str">
        <f>(COUNTIF($K$2:K3,K3))&amp;K3</f>
        <v>1-700</v>
      </c>
      <c r="B3" s="52" t="s">
        <v>580</v>
      </c>
      <c r="C3" s="53" t="e">
        <v>#N/A</v>
      </c>
      <c r="D3" s="54" t="e">
        <v>#N/A</v>
      </c>
      <c r="E3" s="55" t="e">
        <v>#N/A</v>
      </c>
      <c r="F3" s="55" t="e">
        <v>#N/A</v>
      </c>
      <c r="G3" s="55" t="e">
        <v>#N/A</v>
      </c>
      <c r="H3" s="55" t="e">
        <v>#N/A</v>
      </c>
      <c r="I3" s="55" t="e">
        <v>#N/A</v>
      </c>
      <c r="J3" s="55" t="e">
        <v>#N/A</v>
      </c>
      <c r="K3" s="56">
        <v>-700</v>
      </c>
      <c r="L3" s="55" t="e">
        <v>#N/A</v>
      </c>
      <c r="M3" s="55" t="e">
        <v>#N/A</v>
      </c>
      <c r="N3" s="55" t="e">
        <v>#N/A</v>
      </c>
      <c r="O3" s="55" t="e">
        <v>#N/A</v>
      </c>
      <c r="P3" s="55" t="e">
        <v>#N/A</v>
      </c>
      <c r="Q3" s="55" t="e">
        <v>#N/A</v>
      </c>
      <c r="R3" s="57" t="e">
        <v>#N/A</v>
      </c>
      <c r="S3" s="58" t="e">
        <v>#N/A</v>
      </c>
      <c r="T3" s="51">
        <v>0</v>
      </c>
    </row>
    <row r="4" spans="1:20" x14ac:dyDescent="0.25">
      <c r="A4" s="51" t="str">
        <f>(COUNTIF($K$2:K4,K4))&amp;K4</f>
        <v>1-600</v>
      </c>
      <c r="B4" s="52" t="s">
        <v>580</v>
      </c>
      <c r="C4" s="53" t="e">
        <v>#N/A</v>
      </c>
      <c r="D4" s="54" t="e">
        <v>#N/A</v>
      </c>
      <c r="E4" s="55" t="e">
        <v>#N/A</v>
      </c>
      <c r="F4" s="55" t="e">
        <v>#N/A</v>
      </c>
      <c r="G4" s="55" t="e">
        <v>#N/A</v>
      </c>
      <c r="H4" s="55" t="e">
        <v>#N/A</v>
      </c>
      <c r="I4" s="55" t="e">
        <v>#N/A</v>
      </c>
      <c r="J4" s="55" t="e">
        <v>#N/A</v>
      </c>
      <c r="K4" s="56">
        <v>-600</v>
      </c>
      <c r="L4" s="55" t="e">
        <v>#N/A</v>
      </c>
      <c r="M4" s="55" t="e">
        <v>#N/A</v>
      </c>
      <c r="N4" s="55" t="e">
        <v>#N/A</v>
      </c>
      <c r="O4" s="55" t="e">
        <v>#N/A</v>
      </c>
      <c r="P4" s="55" t="e">
        <v>#N/A</v>
      </c>
      <c r="Q4" s="55" t="e">
        <v>#N/A</v>
      </c>
      <c r="R4" s="57" t="e">
        <v>#N/A</v>
      </c>
      <c r="S4" s="58" t="e">
        <v>#N/A</v>
      </c>
      <c r="T4" s="51">
        <v>0</v>
      </c>
    </row>
    <row r="5" spans="1:20" x14ac:dyDescent="0.25">
      <c r="A5" s="51" t="str">
        <f>(COUNTIF($K$2:K5,K5))&amp;K5</f>
        <v>1-500</v>
      </c>
      <c r="B5" s="52" t="s">
        <v>580</v>
      </c>
      <c r="C5" s="53" t="e">
        <v>#N/A</v>
      </c>
      <c r="D5" s="54" t="e">
        <v>#N/A</v>
      </c>
      <c r="E5" s="55" t="e">
        <v>#N/A</v>
      </c>
      <c r="F5" s="55" t="e">
        <v>#N/A</v>
      </c>
      <c r="G5" s="55" t="e">
        <v>#N/A</v>
      </c>
      <c r="H5" s="55" t="e">
        <v>#N/A</v>
      </c>
      <c r="I5" s="55" t="e">
        <v>#N/A</v>
      </c>
      <c r="J5" s="55" t="e">
        <v>#N/A</v>
      </c>
      <c r="K5" s="56">
        <v>-500</v>
      </c>
      <c r="L5" s="55" t="e">
        <v>#N/A</v>
      </c>
      <c r="M5" s="55" t="e">
        <v>#N/A</v>
      </c>
      <c r="N5" s="55" t="e">
        <v>#N/A</v>
      </c>
      <c r="O5" s="55" t="e">
        <v>#N/A</v>
      </c>
      <c r="P5" s="55" t="e">
        <v>#N/A</v>
      </c>
      <c r="Q5" s="55" t="e">
        <v>#N/A</v>
      </c>
      <c r="R5" s="57" t="e">
        <v>#N/A</v>
      </c>
      <c r="S5" s="58" t="e">
        <v>#N/A</v>
      </c>
      <c r="T5" s="51">
        <v>0</v>
      </c>
    </row>
    <row r="6" spans="1:20" x14ac:dyDescent="0.25">
      <c r="A6" s="51" t="str">
        <f>(COUNTIF($K$2:K6,K6))&amp;K6</f>
        <v>1-400</v>
      </c>
      <c r="B6" s="52" t="s">
        <v>580</v>
      </c>
      <c r="C6" s="53" t="e">
        <v>#N/A</v>
      </c>
      <c r="D6" s="54" t="e">
        <v>#N/A</v>
      </c>
      <c r="E6" s="55" t="e">
        <v>#N/A</v>
      </c>
      <c r="F6" s="55" t="e">
        <v>#N/A</v>
      </c>
      <c r="G6" s="55" t="e">
        <v>#N/A</v>
      </c>
      <c r="H6" s="55" t="e">
        <v>#N/A</v>
      </c>
      <c r="I6" s="55" t="e">
        <v>#N/A</v>
      </c>
      <c r="J6" s="55" t="e">
        <v>#N/A</v>
      </c>
      <c r="K6" s="56">
        <v>-400</v>
      </c>
      <c r="L6" s="55" t="e">
        <v>#N/A</v>
      </c>
      <c r="M6" s="55" t="e">
        <v>#N/A</v>
      </c>
      <c r="N6" s="55" t="e">
        <v>#N/A</v>
      </c>
      <c r="O6" s="55" t="e">
        <v>#N/A</v>
      </c>
      <c r="P6" s="55" t="e">
        <v>#N/A</v>
      </c>
      <c r="Q6" s="55" t="e">
        <v>#N/A</v>
      </c>
      <c r="R6" s="57" t="e">
        <v>#N/A</v>
      </c>
      <c r="S6" s="58" t="e">
        <v>#N/A</v>
      </c>
      <c r="T6" s="51">
        <v>0</v>
      </c>
    </row>
    <row r="7" spans="1:20" x14ac:dyDescent="0.25">
      <c r="A7" s="51" t="str">
        <f>(COUNTIF($K$2:K7,K7))&amp;K7</f>
        <v>1-300</v>
      </c>
      <c r="B7" s="52" t="s">
        <v>580</v>
      </c>
      <c r="C7" s="53" t="e">
        <v>#N/A</v>
      </c>
      <c r="D7" s="54" t="e">
        <v>#N/A</v>
      </c>
      <c r="E7" s="55" t="e">
        <v>#N/A</v>
      </c>
      <c r="F7" s="55" t="e">
        <v>#N/A</v>
      </c>
      <c r="G7" s="55" t="e">
        <v>#N/A</v>
      </c>
      <c r="H7" s="55" t="e">
        <v>#N/A</v>
      </c>
      <c r="I7" s="55" t="e">
        <v>#N/A</v>
      </c>
      <c r="J7" s="55" t="e">
        <v>#N/A</v>
      </c>
      <c r="K7" s="56">
        <v>-300</v>
      </c>
      <c r="L7" s="55" t="e">
        <v>#N/A</v>
      </c>
      <c r="M7" s="55" t="e">
        <v>#N/A</v>
      </c>
      <c r="N7" s="55" t="e">
        <v>#N/A</v>
      </c>
      <c r="O7" s="55" t="e">
        <v>#N/A</v>
      </c>
      <c r="P7" s="55" t="e">
        <v>#N/A</v>
      </c>
      <c r="Q7" s="55" t="e">
        <v>#N/A</v>
      </c>
      <c r="R7" s="57" t="e">
        <v>#N/A</v>
      </c>
      <c r="S7" s="58" t="e">
        <v>#N/A</v>
      </c>
      <c r="T7" s="51">
        <v>0</v>
      </c>
    </row>
    <row r="8" spans="1:20" x14ac:dyDescent="0.25">
      <c r="A8" s="51" t="str">
        <f>(COUNTIF($K$2:K8,K8))&amp;K8</f>
        <v>1-200</v>
      </c>
      <c r="B8" s="52" t="s">
        <v>580</v>
      </c>
      <c r="C8" s="53" t="e">
        <v>#N/A</v>
      </c>
      <c r="D8" s="54" t="e">
        <v>#N/A</v>
      </c>
      <c r="E8" s="55" t="e">
        <v>#N/A</v>
      </c>
      <c r="F8" s="55" t="e">
        <v>#N/A</v>
      </c>
      <c r="G8" s="55" t="e">
        <v>#N/A</v>
      </c>
      <c r="H8" s="55" t="e">
        <v>#N/A</v>
      </c>
      <c r="I8" s="55" t="e">
        <v>#N/A</v>
      </c>
      <c r="J8" s="55" t="e">
        <v>#N/A</v>
      </c>
      <c r="K8" s="56">
        <v>-200</v>
      </c>
      <c r="L8" s="55" t="e">
        <v>#N/A</v>
      </c>
      <c r="M8" s="55" t="e">
        <v>#N/A</v>
      </c>
      <c r="N8" s="55" t="e">
        <v>#N/A</v>
      </c>
      <c r="O8" s="55" t="e">
        <v>#N/A</v>
      </c>
      <c r="P8" s="55" t="e">
        <v>#N/A</v>
      </c>
      <c r="Q8" s="55" t="e">
        <v>#N/A</v>
      </c>
      <c r="R8" s="57" t="e">
        <v>#N/A</v>
      </c>
      <c r="S8" s="58" t="e">
        <v>#N/A</v>
      </c>
      <c r="T8" s="51">
        <v>0</v>
      </c>
    </row>
    <row r="9" spans="1:20" x14ac:dyDescent="0.25">
      <c r="A9" s="51" t="str">
        <f>(COUNTIF($K$2:K9,K9))&amp;K9</f>
        <v>1-100</v>
      </c>
      <c r="B9" s="52" t="s">
        <v>580</v>
      </c>
      <c r="C9" s="53" t="e">
        <v>#N/A</v>
      </c>
      <c r="D9" s="54" t="s">
        <v>564</v>
      </c>
      <c r="E9" s="55" t="e">
        <v>#N/A</v>
      </c>
      <c r="F9" s="55" t="e">
        <v>#N/A</v>
      </c>
      <c r="G9" s="112" t="s">
        <v>577</v>
      </c>
      <c r="H9" s="55" t="e">
        <v>#N/A</v>
      </c>
      <c r="I9" s="55" t="e">
        <v>#N/A</v>
      </c>
      <c r="J9" s="55" t="e">
        <v>#N/A</v>
      </c>
      <c r="K9" s="56">
        <v>-100</v>
      </c>
      <c r="L9" s="55" t="e">
        <v>#N/A</v>
      </c>
      <c r="M9" s="55" t="e">
        <v>#N/A</v>
      </c>
      <c r="N9" s="55" t="e">
        <v>#N/A</v>
      </c>
      <c r="O9" s="55" t="e">
        <v>#N/A</v>
      </c>
      <c r="P9" s="55" t="e">
        <v>#N/A</v>
      </c>
      <c r="Q9" s="55" t="e">
        <v>#N/A</v>
      </c>
      <c r="R9" s="57" t="e">
        <v>#N/A</v>
      </c>
      <c r="S9" s="58" t="e">
        <v>#N/A</v>
      </c>
      <c r="T9" s="51">
        <v>0</v>
      </c>
    </row>
    <row r="10" spans="1:20" ht="15.75" x14ac:dyDescent="0.25">
      <c r="A10" s="51" t="str">
        <f>(COUNTIF($K$2:K10,K10))&amp;K10</f>
        <v>10</v>
      </c>
      <c r="B10" s="52" t="s">
        <v>580</v>
      </c>
      <c r="C10" s="53" t="e">
        <v>#N/A</v>
      </c>
      <c r="D10" s="54" t="e">
        <v>#N/A</v>
      </c>
      <c r="E10" s="55" t="e">
        <v>#N/A</v>
      </c>
      <c r="F10" s="55" t="e">
        <v>#N/A</v>
      </c>
      <c r="G10" s="55" t="e">
        <v>#N/A</v>
      </c>
      <c r="H10" s="55" t="e">
        <v>#N/A</v>
      </c>
      <c r="I10" s="55" t="e">
        <v>#N/A</v>
      </c>
      <c r="J10" s="55" t="e">
        <v>#N/A</v>
      </c>
      <c r="K10" s="59">
        <v>0</v>
      </c>
      <c r="L10" s="55" t="e">
        <v>#N/A</v>
      </c>
      <c r="M10" s="55" t="e">
        <v>#N/A</v>
      </c>
      <c r="N10" s="55" t="e">
        <v>#N/A</v>
      </c>
      <c r="O10" s="55" t="e">
        <v>#N/A</v>
      </c>
      <c r="P10" s="55" t="e">
        <v>#N/A</v>
      </c>
      <c r="Q10" s="55" t="e">
        <v>#N/A</v>
      </c>
      <c r="R10" s="57" t="e">
        <v>#N/A</v>
      </c>
      <c r="S10" s="58" t="e">
        <v>#N/A</v>
      </c>
      <c r="T10" s="51">
        <v>0</v>
      </c>
    </row>
    <row r="11" spans="1:20" x14ac:dyDescent="0.25">
      <c r="A11" s="51" t="str">
        <f>(COUNTIF($K$2:K11,K11))&amp;K11</f>
        <v>1100</v>
      </c>
      <c r="B11" s="52" t="s">
        <v>580</v>
      </c>
      <c r="C11" s="53" t="e">
        <v>#N/A</v>
      </c>
      <c r="D11" s="54" t="e">
        <v>#N/A</v>
      </c>
      <c r="E11" s="55" t="e">
        <v>#N/A</v>
      </c>
      <c r="F11" s="55" t="e">
        <v>#N/A</v>
      </c>
      <c r="G11" s="55" t="e">
        <v>#N/A</v>
      </c>
      <c r="H11" s="55" t="e">
        <v>#N/A</v>
      </c>
      <c r="I11" s="55" t="e">
        <v>#N/A</v>
      </c>
      <c r="J11" s="55" t="e">
        <v>#N/A</v>
      </c>
      <c r="K11" s="56">
        <v>100</v>
      </c>
      <c r="L11" s="55" t="e">
        <v>#N/A</v>
      </c>
      <c r="M11" s="55" t="e">
        <v>#N/A</v>
      </c>
      <c r="N11" s="55" t="e">
        <v>#N/A</v>
      </c>
      <c r="O11" s="55" t="e">
        <v>#N/A</v>
      </c>
      <c r="P11" s="55" t="e">
        <v>#N/A</v>
      </c>
      <c r="Q11" s="55" t="e">
        <v>#N/A</v>
      </c>
      <c r="R11" s="57" t="e">
        <v>#N/A</v>
      </c>
      <c r="S11" s="58" t="e">
        <v>#N/A</v>
      </c>
      <c r="T11" s="51">
        <v>0</v>
      </c>
    </row>
    <row r="12" spans="1:20" x14ac:dyDescent="0.25">
      <c r="A12" s="51" t="str">
        <f>(COUNTIF($K$2:K12,K12))&amp;K12</f>
        <v>1200</v>
      </c>
      <c r="B12" s="52" t="s">
        <v>580</v>
      </c>
      <c r="C12" s="53" t="e">
        <v>#N/A</v>
      </c>
      <c r="D12" s="54" t="e">
        <v>#N/A</v>
      </c>
      <c r="E12" s="55" t="e">
        <v>#N/A</v>
      </c>
      <c r="F12" s="55" t="e">
        <v>#N/A</v>
      </c>
      <c r="G12" s="55" t="e">
        <v>#N/A</v>
      </c>
      <c r="H12" s="55" t="e">
        <v>#N/A</v>
      </c>
      <c r="I12" s="55" t="e">
        <v>#N/A</v>
      </c>
      <c r="J12" s="55" t="e">
        <v>#N/A</v>
      </c>
      <c r="K12" s="56">
        <v>200</v>
      </c>
      <c r="L12" s="55" t="e">
        <v>#N/A</v>
      </c>
      <c r="M12" s="55" t="e">
        <v>#N/A</v>
      </c>
      <c r="N12" s="55" t="e">
        <v>#N/A</v>
      </c>
      <c r="O12" s="55" t="e">
        <v>#N/A</v>
      </c>
      <c r="P12" s="55" t="e">
        <v>#N/A</v>
      </c>
      <c r="Q12" s="55" t="e">
        <v>#N/A</v>
      </c>
      <c r="R12" s="57" t="e">
        <v>#N/A</v>
      </c>
      <c r="S12" s="58" t="e">
        <v>#N/A</v>
      </c>
      <c r="T12" s="51">
        <v>0</v>
      </c>
    </row>
    <row r="13" spans="1:20" x14ac:dyDescent="0.25">
      <c r="A13" s="51" t="str">
        <f>(COUNTIF($K$2:K13,K13))&amp;K13</f>
        <v>1300</v>
      </c>
      <c r="B13" s="52" t="s">
        <v>580</v>
      </c>
      <c r="C13" s="53" t="e">
        <v>#N/A</v>
      </c>
      <c r="D13" s="54" t="e">
        <v>#N/A</v>
      </c>
      <c r="E13" s="55" t="e">
        <v>#N/A</v>
      </c>
      <c r="F13" s="55" t="e">
        <v>#N/A</v>
      </c>
      <c r="G13" s="55" t="e">
        <v>#N/A</v>
      </c>
      <c r="H13" s="55" t="e">
        <v>#N/A</v>
      </c>
      <c r="I13" s="55" t="e">
        <v>#N/A</v>
      </c>
      <c r="J13" s="55" t="e">
        <v>#N/A</v>
      </c>
      <c r="K13" s="56">
        <v>300</v>
      </c>
      <c r="L13" s="55" t="e">
        <v>#N/A</v>
      </c>
      <c r="M13" s="55" t="e">
        <v>#N/A</v>
      </c>
      <c r="N13" s="55" t="e">
        <v>#N/A</v>
      </c>
      <c r="O13" s="55" t="e">
        <v>#N/A</v>
      </c>
      <c r="P13" s="55" t="e">
        <v>#N/A</v>
      </c>
      <c r="Q13" s="55" t="e">
        <v>#N/A</v>
      </c>
      <c r="R13" s="57" t="e">
        <v>#N/A</v>
      </c>
      <c r="S13" s="58" t="e">
        <v>#N/A</v>
      </c>
      <c r="T13" s="51">
        <v>0</v>
      </c>
    </row>
    <row r="14" spans="1:20" x14ac:dyDescent="0.25">
      <c r="A14" s="51" t="str">
        <f>(COUNTIF($K$2:K14,K14))&amp;K14</f>
        <v>1400</v>
      </c>
      <c r="B14" s="52" t="s">
        <v>580</v>
      </c>
      <c r="C14" s="53" t="e">
        <v>#N/A</v>
      </c>
      <c r="D14" s="54" t="e">
        <v>#N/A</v>
      </c>
      <c r="E14" s="55" t="e">
        <v>#N/A</v>
      </c>
      <c r="F14" s="55" t="e">
        <v>#N/A</v>
      </c>
      <c r="G14" s="55" t="e">
        <v>#N/A</v>
      </c>
      <c r="H14" s="55" t="e">
        <v>#N/A</v>
      </c>
      <c r="I14" s="55" t="e">
        <v>#N/A</v>
      </c>
      <c r="J14" s="55" t="e">
        <v>#N/A</v>
      </c>
      <c r="K14" s="56">
        <v>400</v>
      </c>
      <c r="L14" s="55" t="e">
        <v>#N/A</v>
      </c>
      <c r="M14" s="55" t="e">
        <v>#N/A</v>
      </c>
      <c r="N14" s="55" t="e">
        <v>#N/A</v>
      </c>
      <c r="O14" s="55" t="e">
        <v>#N/A</v>
      </c>
      <c r="P14" s="55" t="e">
        <v>#N/A</v>
      </c>
      <c r="Q14" s="55" t="e">
        <v>#N/A</v>
      </c>
      <c r="R14" s="57" t="e">
        <v>#N/A</v>
      </c>
      <c r="S14" s="58" t="e">
        <v>#N/A</v>
      </c>
      <c r="T14" s="51">
        <v>0</v>
      </c>
    </row>
    <row r="15" spans="1:20" x14ac:dyDescent="0.25">
      <c r="A15" s="51" t="str">
        <f>(COUNTIF($K$2:K15,K15))&amp;K15</f>
        <v>1500</v>
      </c>
      <c r="B15" s="52" t="s">
        <v>580</v>
      </c>
      <c r="C15" s="53" t="e">
        <v>#N/A</v>
      </c>
      <c r="D15" s="54" t="e">
        <v>#N/A</v>
      </c>
      <c r="E15" s="55" t="e">
        <v>#N/A</v>
      </c>
      <c r="F15" s="55" t="e">
        <v>#N/A</v>
      </c>
      <c r="G15" s="55" t="e">
        <v>#N/A</v>
      </c>
      <c r="H15" s="55" t="e">
        <v>#N/A</v>
      </c>
      <c r="I15" s="55" t="e">
        <v>#N/A</v>
      </c>
      <c r="J15" s="55" t="e">
        <v>#N/A</v>
      </c>
      <c r="K15" s="56">
        <v>500</v>
      </c>
      <c r="L15" s="55" t="e">
        <v>#N/A</v>
      </c>
      <c r="M15" s="55" t="e">
        <v>#N/A</v>
      </c>
      <c r="N15" s="55" t="e">
        <v>#N/A</v>
      </c>
      <c r="O15" s="55" t="e">
        <v>#N/A</v>
      </c>
      <c r="P15" s="55" t="e">
        <v>#N/A</v>
      </c>
      <c r="Q15" s="55" t="e">
        <v>#N/A</v>
      </c>
      <c r="R15" s="57" t="e">
        <v>#N/A</v>
      </c>
      <c r="S15" s="58" t="e">
        <v>#N/A</v>
      </c>
      <c r="T15" s="51">
        <v>0</v>
      </c>
    </row>
    <row r="16" spans="1:20" x14ac:dyDescent="0.25">
      <c r="A16" s="51" t="str">
        <f>(COUNTIF($K$2:K16,K16))&amp;K16</f>
        <v>1600</v>
      </c>
      <c r="B16" s="52" t="s">
        <v>580</v>
      </c>
      <c r="C16" s="53" t="e">
        <v>#N/A</v>
      </c>
      <c r="D16" s="54" t="e">
        <v>#N/A</v>
      </c>
      <c r="E16" s="55" t="e">
        <v>#N/A</v>
      </c>
      <c r="F16" s="55" t="e">
        <v>#N/A</v>
      </c>
      <c r="G16" s="55" t="e">
        <v>#N/A</v>
      </c>
      <c r="H16" s="55" t="e">
        <v>#N/A</v>
      </c>
      <c r="I16" s="55" t="e">
        <v>#N/A</v>
      </c>
      <c r="J16" s="55" t="e">
        <v>#N/A</v>
      </c>
      <c r="K16" s="56">
        <v>600</v>
      </c>
      <c r="L16" s="55" t="e">
        <v>#N/A</v>
      </c>
      <c r="M16" s="55" t="e">
        <v>#N/A</v>
      </c>
      <c r="N16" s="55" t="e">
        <v>#N/A</v>
      </c>
      <c r="O16" s="55" t="e">
        <v>#N/A</v>
      </c>
      <c r="P16" s="55" t="e">
        <v>#N/A</v>
      </c>
      <c r="Q16" s="55" t="e">
        <v>#N/A</v>
      </c>
      <c r="R16" s="57" t="e">
        <v>#N/A</v>
      </c>
      <c r="S16" s="58" t="e">
        <v>#N/A</v>
      </c>
      <c r="T16" s="51">
        <v>0</v>
      </c>
    </row>
    <row r="17" spans="1:20" x14ac:dyDescent="0.25">
      <c r="A17" s="51" t="str">
        <f>(COUNTIF($K$2:K17,K17))&amp;K17</f>
        <v>1700</v>
      </c>
      <c r="B17" s="52" t="s">
        <v>580</v>
      </c>
      <c r="C17" s="53" t="e">
        <v>#N/A</v>
      </c>
      <c r="D17" s="54" t="e">
        <v>#N/A</v>
      </c>
      <c r="E17" s="55" t="e">
        <v>#N/A</v>
      </c>
      <c r="F17" s="55" t="e">
        <v>#N/A</v>
      </c>
      <c r="G17" s="55" t="e">
        <v>#N/A</v>
      </c>
      <c r="H17" s="55" t="e">
        <v>#N/A</v>
      </c>
      <c r="I17" s="55" t="e">
        <v>#N/A</v>
      </c>
      <c r="J17" s="55" t="e">
        <v>#N/A</v>
      </c>
      <c r="K17" s="56">
        <v>700</v>
      </c>
      <c r="L17" s="55" t="e">
        <v>#N/A</v>
      </c>
      <c r="M17" s="55" t="e">
        <v>#N/A</v>
      </c>
      <c r="N17" s="55" t="e">
        <v>#N/A</v>
      </c>
      <c r="O17" s="55" t="e">
        <v>#N/A</v>
      </c>
      <c r="P17" s="55" t="e">
        <v>#N/A</v>
      </c>
      <c r="Q17" s="55" t="e">
        <v>#N/A</v>
      </c>
      <c r="R17" s="57" t="e">
        <v>#N/A</v>
      </c>
      <c r="S17" s="58" t="e">
        <v>#N/A</v>
      </c>
      <c r="T17" s="51">
        <v>0</v>
      </c>
    </row>
    <row r="18" spans="1:20" x14ac:dyDescent="0.25">
      <c r="A18" s="51" t="str">
        <f>(COUNTIF($K$2:K18,K18))&amp;K18</f>
        <v>1PCR</v>
      </c>
      <c r="B18" s="52" t="s">
        <v>580</v>
      </c>
      <c r="C18" s="60" t="e">
        <v>#N/A</v>
      </c>
      <c r="E18" s="61"/>
      <c r="F18" s="62" t="e">
        <v>#N/A</v>
      </c>
      <c r="G18" s="63"/>
      <c r="H18" s="64"/>
      <c r="I18" s="64"/>
      <c r="J18" s="64"/>
      <c r="K18" s="65" t="s">
        <v>555</v>
      </c>
      <c r="L18" s="64"/>
      <c r="M18" s="64"/>
      <c r="N18" s="64"/>
      <c r="P18" s="63" t="e">
        <v>#N/A</v>
      </c>
      <c r="Q18" s="61"/>
      <c r="R18" s="64"/>
      <c r="S18" s="64"/>
    </row>
    <row r="19" spans="1:20" x14ac:dyDescent="0.25">
      <c r="A19" s="51" t="str">
        <f>(COUNTIF($K$2:K19,K19))&amp;K19</f>
        <v>130700</v>
      </c>
      <c r="B19" s="52" t="s">
        <v>580</v>
      </c>
      <c r="C19" s="53" t="b">
        <v>0</v>
      </c>
      <c r="D19" s="54" t="s">
        <v>563</v>
      </c>
      <c r="E19" s="55">
        <v>40</v>
      </c>
      <c r="F19" s="55">
        <v>11820</v>
      </c>
      <c r="G19" s="55">
        <v>0</v>
      </c>
      <c r="H19" s="55" t="s">
        <v>576</v>
      </c>
      <c r="I19" s="55">
        <v>-35</v>
      </c>
      <c r="J19" s="55">
        <v>801</v>
      </c>
      <c r="K19" s="56">
        <v>30700</v>
      </c>
      <c r="L19" s="55">
        <v>0.85</v>
      </c>
      <c r="M19" s="55">
        <v>-2.75</v>
      </c>
      <c r="N19" s="55" t="s">
        <v>576</v>
      </c>
      <c r="O19" s="55">
        <v>0</v>
      </c>
      <c r="P19" s="55">
        <v>190200</v>
      </c>
      <c r="Q19" s="55">
        <v>11960</v>
      </c>
      <c r="R19" s="57" t="s">
        <v>563</v>
      </c>
      <c r="S19" s="58" t="b">
        <v>0</v>
      </c>
      <c r="T19" s="51">
        <v>31481.4</v>
      </c>
    </row>
    <row r="20" spans="1:20" x14ac:dyDescent="0.25">
      <c r="A20" s="51" t="str">
        <f>(COUNTIF($K$2:K20,K20))&amp;K20</f>
        <v>130800</v>
      </c>
      <c r="B20" s="52" t="s">
        <v>580</v>
      </c>
      <c r="C20" s="53" t="b">
        <v>0</v>
      </c>
      <c r="D20" s="54" t="s">
        <v>563</v>
      </c>
      <c r="E20" s="55">
        <v>100</v>
      </c>
      <c r="F20" s="55">
        <v>7500</v>
      </c>
      <c r="G20" s="55">
        <v>0</v>
      </c>
      <c r="H20" s="55" t="s">
        <v>574</v>
      </c>
      <c r="I20" s="55">
        <v>-77.649999999999977</v>
      </c>
      <c r="J20" s="55">
        <v>657.95</v>
      </c>
      <c r="K20" s="56">
        <v>30800</v>
      </c>
      <c r="L20" s="55">
        <v>1.2</v>
      </c>
      <c r="M20" s="55">
        <v>-2.8999999999999995</v>
      </c>
      <c r="N20" s="55" t="s">
        <v>576</v>
      </c>
      <c r="O20" s="55">
        <v>0</v>
      </c>
      <c r="P20" s="55">
        <v>367400</v>
      </c>
      <c r="Q20" s="55">
        <v>29560</v>
      </c>
      <c r="R20" s="57" t="s">
        <v>563</v>
      </c>
      <c r="S20" s="58" t="b">
        <v>0</v>
      </c>
      <c r="T20" s="51">
        <v>31481.4</v>
      </c>
    </row>
    <row r="21" spans="1:20" x14ac:dyDescent="0.25">
      <c r="A21" s="51" t="str">
        <f>(COUNTIF($K$2:K21,K21))&amp;K21</f>
        <v>130900</v>
      </c>
      <c r="B21" s="52" t="s">
        <v>580</v>
      </c>
      <c r="C21" s="53" t="b">
        <v>0</v>
      </c>
      <c r="D21" s="54" t="s">
        <v>563</v>
      </c>
      <c r="E21" s="55">
        <v>60</v>
      </c>
      <c r="F21" s="55">
        <v>6240</v>
      </c>
      <c r="G21" s="55">
        <v>0</v>
      </c>
      <c r="H21" s="55" t="s">
        <v>576</v>
      </c>
      <c r="I21" s="55">
        <v>-22.549999999999955</v>
      </c>
      <c r="J21" s="55">
        <v>611</v>
      </c>
      <c r="K21" s="56">
        <v>30900</v>
      </c>
      <c r="L21" s="55">
        <v>1.95</v>
      </c>
      <c r="M21" s="55">
        <v>-3.55</v>
      </c>
      <c r="N21" s="55" t="s">
        <v>576</v>
      </c>
      <c r="O21" s="55">
        <v>0</v>
      </c>
      <c r="P21" s="55">
        <v>365880</v>
      </c>
      <c r="Q21" s="55">
        <v>70480</v>
      </c>
      <c r="R21" s="57" t="s">
        <v>563</v>
      </c>
      <c r="S21" s="58" t="b">
        <v>0</v>
      </c>
      <c r="T21" s="51">
        <v>31481.4</v>
      </c>
    </row>
    <row r="22" spans="1:20" x14ac:dyDescent="0.25">
      <c r="A22" s="51" t="str">
        <f>(COUNTIF($K$2:K22,K22))&amp;K22</f>
        <v>131000</v>
      </c>
      <c r="B22" s="52" t="s">
        <v>580</v>
      </c>
      <c r="C22" s="53" t="b">
        <v>0</v>
      </c>
      <c r="D22" s="54" t="s">
        <v>563</v>
      </c>
      <c r="E22" s="55">
        <v>860</v>
      </c>
      <c r="F22" s="55">
        <v>88220</v>
      </c>
      <c r="G22" s="55">
        <v>0</v>
      </c>
      <c r="H22" s="55" t="s">
        <v>574</v>
      </c>
      <c r="I22" s="55">
        <v>-98.350000000000023</v>
      </c>
      <c r="J22" s="55">
        <v>446.5</v>
      </c>
      <c r="K22" s="56">
        <v>31000</v>
      </c>
      <c r="L22" s="55">
        <v>3.2</v>
      </c>
      <c r="M22" s="55">
        <v>-4.2</v>
      </c>
      <c r="N22" s="55" t="s">
        <v>576</v>
      </c>
      <c r="O22" s="55">
        <v>0</v>
      </c>
      <c r="P22" s="55">
        <v>810600</v>
      </c>
      <c r="Q22" s="55">
        <v>95380</v>
      </c>
      <c r="R22" s="57" t="s">
        <v>563</v>
      </c>
      <c r="S22" s="58" t="b">
        <v>0</v>
      </c>
      <c r="T22" s="51">
        <v>31481.4</v>
      </c>
    </row>
    <row r="23" spans="1:20" x14ac:dyDescent="0.25">
      <c r="A23" s="51" t="str">
        <f>(COUNTIF($K$2:K23,K23))&amp;K23</f>
        <v>131100</v>
      </c>
      <c r="B23" s="52" t="s">
        <v>580</v>
      </c>
      <c r="C23" s="53" t="b">
        <v>0</v>
      </c>
      <c r="D23" s="54" t="s">
        <v>563</v>
      </c>
      <c r="E23" s="55">
        <v>1740</v>
      </c>
      <c r="F23" s="55">
        <v>30660</v>
      </c>
      <c r="G23" s="55">
        <v>0</v>
      </c>
      <c r="H23" s="55" t="s">
        <v>574</v>
      </c>
      <c r="I23" s="55">
        <v>-98</v>
      </c>
      <c r="J23" s="55">
        <v>347.15</v>
      </c>
      <c r="K23" s="56">
        <v>31100</v>
      </c>
      <c r="L23" s="55">
        <v>7</v>
      </c>
      <c r="M23" s="55">
        <v>-3.1500000000000004</v>
      </c>
      <c r="N23" s="55" t="s">
        <v>576</v>
      </c>
      <c r="O23" s="55">
        <v>0</v>
      </c>
      <c r="P23" s="55">
        <v>518700</v>
      </c>
      <c r="Q23" s="55">
        <v>134700</v>
      </c>
      <c r="R23" s="57" t="s">
        <v>563</v>
      </c>
      <c r="S23" s="58" t="b">
        <v>0</v>
      </c>
      <c r="T23" s="51">
        <v>31481.4</v>
      </c>
    </row>
    <row r="24" spans="1:20" x14ac:dyDescent="0.25">
      <c r="A24" s="51" t="str">
        <f>(COUNTIF($K$2:K24,K24))&amp;K24</f>
        <v>131200</v>
      </c>
      <c r="B24" s="52" t="s">
        <v>580</v>
      </c>
      <c r="C24" s="53" t="b">
        <v>0</v>
      </c>
      <c r="D24" s="54" t="s">
        <v>563</v>
      </c>
      <c r="E24" s="55">
        <v>5280</v>
      </c>
      <c r="F24" s="55">
        <v>131720</v>
      </c>
      <c r="G24" s="55">
        <v>0</v>
      </c>
      <c r="H24" s="55" t="s">
        <v>574</v>
      </c>
      <c r="I24" s="55">
        <v>-89.849999999999966</v>
      </c>
      <c r="J24" s="55">
        <v>260.60000000000002</v>
      </c>
      <c r="K24" s="56">
        <v>31200</v>
      </c>
      <c r="L24" s="55">
        <v>16.5</v>
      </c>
      <c r="M24" s="55">
        <v>-0.89999999999999858</v>
      </c>
      <c r="N24" s="55" t="s">
        <v>576</v>
      </c>
      <c r="O24" s="55">
        <v>0</v>
      </c>
      <c r="P24" s="55">
        <v>525940</v>
      </c>
      <c r="Q24" s="55">
        <v>137660</v>
      </c>
      <c r="R24" s="57" t="s">
        <v>563</v>
      </c>
      <c r="S24" s="58" t="b">
        <v>0</v>
      </c>
      <c r="T24" s="51">
        <v>31481.4</v>
      </c>
    </row>
    <row r="25" spans="1:20" x14ac:dyDescent="0.25">
      <c r="A25" s="51" t="str">
        <f>(COUNTIF($K$2:K25,K25))&amp;K25</f>
        <v>131300</v>
      </c>
      <c r="B25" s="52" t="s">
        <v>580</v>
      </c>
      <c r="C25" s="53" t="b">
        <v>0</v>
      </c>
      <c r="D25" s="54" t="s">
        <v>563</v>
      </c>
      <c r="E25" s="55">
        <v>14640</v>
      </c>
      <c r="F25" s="55">
        <v>115940</v>
      </c>
      <c r="G25" s="55">
        <v>0</v>
      </c>
      <c r="H25" s="55" t="s">
        <v>576</v>
      </c>
      <c r="I25" s="55">
        <v>-80.850000000000023</v>
      </c>
      <c r="J25" s="55">
        <v>184.7</v>
      </c>
      <c r="K25" s="56">
        <v>31300</v>
      </c>
      <c r="L25" s="55">
        <v>36.6</v>
      </c>
      <c r="M25" s="55">
        <v>5.6500000000000021</v>
      </c>
      <c r="N25" s="55" t="s">
        <v>576</v>
      </c>
      <c r="O25" s="55">
        <v>0</v>
      </c>
      <c r="P25" s="55">
        <v>650500</v>
      </c>
      <c r="Q25" s="55">
        <v>187800</v>
      </c>
      <c r="R25" s="57" t="s">
        <v>563</v>
      </c>
      <c r="S25" s="58" t="b">
        <v>0</v>
      </c>
      <c r="T25" s="51">
        <v>31481.4</v>
      </c>
    </row>
    <row r="26" spans="1:20" x14ac:dyDescent="0.25">
      <c r="A26" s="51" t="str">
        <f>(COUNTIF($K$2:K26,K26))&amp;K26</f>
        <v>131400</v>
      </c>
      <c r="B26" s="52" t="s">
        <v>580</v>
      </c>
      <c r="C26" s="53" t="s">
        <v>566</v>
      </c>
      <c r="D26" s="54" t="s">
        <v>564</v>
      </c>
      <c r="E26" s="55">
        <v>39200</v>
      </c>
      <c r="F26" s="55">
        <v>184300</v>
      </c>
      <c r="G26" s="112" t="s">
        <v>577</v>
      </c>
      <c r="H26" s="55" t="s">
        <v>576</v>
      </c>
      <c r="I26" s="55">
        <v>-67.150000000000006</v>
      </c>
      <c r="J26" s="55">
        <v>121.85</v>
      </c>
      <c r="K26" s="56">
        <v>31400</v>
      </c>
      <c r="L26" s="55">
        <v>60.9</v>
      </c>
      <c r="M26" s="55">
        <v>6.9499999999999957</v>
      </c>
      <c r="N26" s="55" t="s">
        <v>576</v>
      </c>
      <c r="O26" s="55">
        <v>0</v>
      </c>
      <c r="P26" s="55">
        <v>556220</v>
      </c>
      <c r="Q26" s="55">
        <v>123360</v>
      </c>
      <c r="R26" s="57" t="s">
        <v>563</v>
      </c>
      <c r="S26" s="58" t="b">
        <v>0</v>
      </c>
      <c r="T26" s="51">
        <v>31481.4</v>
      </c>
    </row>
    <row r="27" spans="1:20" ht="15.75" x14ac:dyDescent="0.25">
      <c r="A27" s="51" t="str">
        <f>(COUNTIF($K$2:K27,K27))&amp;K27</f>
        <v>131500</v>
      </c>
      <c r="B27" s="52" t="s">
        <v>580</v>
      </c>
      <c r="C27" s="53" t="b">
        <v>0</v>
      </c>
      <c r="D27" s="54" t="s">
        <v>563</v>
      </c>
      <c r="E27" s="55">
        <v>135360</v>
      </c>
      <c r="F27" s="55">
        <v>778540</v>
      </c>
      <c r="G27" s="55">
        <v>0</v>
      </c>
      <c r="H27" s="55" t="s">
        <v>576</v>
      </c>
      <c r="I27" s="55">
        <v>-54.3</v>
      </c>
      <c r="J27" s="55">
        <v>72.150000000000006</v>
      </c>
      <c r="K27" s="59">
        <v>31500</v>
      </c>
      <c r="L27" s="55">
        <v>124.8</v>
      </c>
      <c r="M27" s="55">
        <v>34.649999999999991</v>
      </c>
      <c r="N27" s="55" t="s">
        <v>576</v>
      </c>
      <c r="O27" s="55">
        <v>0</v>
      </c>
      <c r="P27" s="55">
        <v>630480</v>
      </c>
      <c r="Q27" s="55">
        <v>128560</v>
      </c>
      <c r="R27" s="57" t="s">
        <v>563</v>
      </c>
      <c r="S27" s="58" t="b">
        <v>0</v>
      </c>
      <c r="T27" s="51">
        <v>31481.4</v>
      </c>
    </row>
    <row r="28" spans="1:20" x14ac:dyDescent="0.25">
      <c r="A28" s="51" t="str">
        <f>(COUNTIF($K$2:K28,K28))&amp;K28</f>
        <v>131600</v>
      </c>
      <c r="B28" s="52" t="s">
        <v>580</v>
      </c>
      <c r="C28" s="53" t="b">
        <v>0</v>
      </c>
      <c r="D28" s="54" t="s">
        <v>563</v>
      </c>
      <c r="E28" s="55">
        <v>840</v>
      </c>
      <c r="F28" s="55">
        <v>619660</v>
      </c>
      <c r="G28" s="55">
        <v>0</v>
      </c>
      <c r="H28" s="55" t="s">
        <v>576</v>
      </c>
      <c r="I28" s="55">
        <v>-7.0499999999999972</v>
      </c>
      <c r="J28" s="55">
        <v>71.400000000000006</v>
      </c>
      <c r="K28" s="56">
        <v>31600</v>
      </c>
      <c r="L28" s="55">
        <v>193.45</v>
      </c>
      <c r="M28" s="55">
        <v>51.349999999999994</v>
      </c>
      <c r="N28" s="55" t="s">
        <v>576</v>
      </c>
      <c r="O28" s="55">
        <v>0</v>
      </c>
      <c r="P28" s="55">
        <v>94240</v>
      </c>
      <c r="Q28" s="55">
        <v>38680</v>
      </c>
      <c r="R28" s="57" t="s">
        <v>563</v>
      </c>
      <c r="S28" s="58" t="b">
        <v>0</v>
      </c>
      <c r="T28" s="51">
        <v>31481.4</v>
      </c>
    </row>
    <row r="29" spans="1:20" x14ac:dyDescent="0.25">
      <c r="A29" s="51" t="str">
        <f>(COUNTIF($K$2:K29,K29))&amp;K29</f>
        <v>131700</v>
      </c>
      <c r="B29" s="52" t="s">
        <v>580</v>
      </c>
      <c r="C29" s="53" t="b">
        <v>0</v>
      </c>
      <c r="D29" s="54" t="s">
        <v>563</v>
      </c>
      <c r="E29" s="55">
        <v>116500</v>
      </c>
      <c r="F29" s="55">
        <v>635260</v>
      </c>
      <c r="G29" s="55">
        <v>0</v>
      </c>
      <c r="H29" s="55" t="s">
        <v>576</v>
      </c>
      <c r="I29" s="55">
        <v>-24.500000000000004</v>
      </c>
      <c r="J29" s="55">
        <v>19.95</v>
      </c>
      <c r="K29" s="56">
        <v>31700</v>
      </c>
      <c r="L29" s="55">
        <v>276</v>
      </c>
      <c r="M29" s="55">
        <v>66.599999999999994</v>
      </c>
      <c r="N29" s="55" t="s">
        <v>576</v>
      </c>
      <c r="O29" s="55">
        <v>0</v>
      </c>
      <c r="P29" s="55">
        <v>49760</v>
      </c>
      <c r="Q29" s="55">
        <v>20220</v>
      </c>
      <c r="R29" s="57" t="s">
        <v>563</v>
      </c>
      <c r="S29" s="58" t="b">
        <v>0</v>
      </c>
      <c r="T29" s="51">
        <v>31481.4</v>
      </c>
    </row>
    <row r="30" spans="1:20" x14ac:dyDescent="0.25">
      <c r="A30" s="51" t="str">
        <f>(COUNTIF($K$2:K30,K30))&amp;K30</f>
        <v>131800</v>
      </c>
      <c r="B30" s="52" t="s">
        <v>580</v>
      </c>
      <c r="C30" s="53" t="b">
        <v>0</v>
      </c>
      <c r="D30" s="54" t="s">
        <v>563</v>
      </c>
      <c r="E30" s="55">
        <v>122180</v>
      </c>
      <c r="F30" s="55">
        <v>585380</v>
      </c>
      <c r="G30" s="55">
        <v>0</v>
      </c>
      <c r="H30" s="55" t="s">
        <v>576</v>
      </c>
      <c r="I30" s="55">
        <v>-15.45</v>
      </c>
      <c r="J30" s="55">
        <v>8.0500000000000007</v>
      </c>
      <c r="K30" s="56">
        <v>31800</v>
      </c>
      <c r="L30" s="55">
        <v>365.65</v>
      </c>
      <c r="M30" s="55">
        <v>80.299999999999955</v>
      </c>
      <c r="N30" s="55" t="s">
        <v>576</v>
      </c>
      <c r="O30" s="55">
        <v>0</v>
      </c>
      <c r="P30" s="55">
        <v>14980</v>
      </c>
      <c r="Q30" s="55">
        <v>8180</v>
      </c>
      <c r="R30" s="57" t="s">
        <v>563</v>
      </c>
      <c r="S30" s="58" t="b">
        <v>0</v>
      </c>
      <c r="T30" s="51">
        <v>31481.4</v>
      </c>
    </row>
    <row r="31" spans="1:20" x14ac:dyDescent="0.25">
      <c r="A31" s="51" t="str">
        <f>(COUNTIF($K$2:K31,K31))&amp;K31</f>
        <v>131900</v>
      </c>
      <c r="B31" s="52" t="s">
        <v>580</v>
      </c>
      <c r="C31" s="53" t="b">
        <v>0</v>
      </c>
      <c r="D31" s="54" t="s">
        <v>563</v>
      </c>
      <c r="E31" s="55">
        <v>173600</v>
      </c>
      <c r="F31" s="55">
        <v>511800</v>
      </c>
      <c r="G31" s="55">
        <v>0</v>
      </c>
      <c r="H31" s="55" t="s">
        <v>576</v>
      </c>
      <c r="I31" s="55">
        <v>-8.1</v>
      </c>
      <c r="J31" s="55">
        <v>3</v>
      </c>
      <c r="K31" s="56">
        <v>31900</v>
      </c>
      <c r="L31" s="55">
        <v>458.9</v>
      </c>
      <c r="M31" s="55">
        <v>82.199999999999989</v>
      </c>
      <c r="N31" s="55" t="s">
        <v>576</v>
      </c>
      <c r="O31" s="55">
        <v>0</v>
      </c>
      <c r="P31" s="55">
        <v>5540</v>
      </c>
      <c r="Q31" s="55">
        <v>900</v>
      </c>
      <c r="R31" s="57" t="s">
        <v>563</v>
      </c>
      <c r="S31" s="58" t="b">
        <v>0</v>
      </c>
      <c r="T31" s="51">
        <v>31481.4</v>
      </c>
    </row>
    <row r="32" spans="1:20" x14ac:dyDescent="0.25">
      <c r="A32" s="51" t="str">
        <f>(COUNTIF($K$2:K32,K32))&amp;K32</f>
        <v>132000</v>
      </c>
      <c r="B32" s="52" t="s">
        <v>580</v>
      </c>
      <c r="C32" s="53" t="b">
        <v>0</v>
      </c>
      <c r="D32" s="54" t="s">
        <v>563</v>
      </c>
      <c r="E32" s="55">
        <v>128500</v>
      </c>
      <c r="F32" s="55">
        <v>611660</v>
      </c>
      <c r="G32" s="55">
        <v>0</v>
      </c>
      <c r="H32" s="55" t="s">
        <v>576</v>
      </c>
      <c r="I32" s="55">
        <v>-4.4000000000000004</v>
      </c>
      <c r="J32" s="55">
        <v>1.6</v>
      </c>
      <c r="K32" s="56">
        <v>32000</v>
      </c>
      <c r="L32" s="55">
        <v>562</v>
      </c>
      <c r="M32" s="55">
        <v>91.5</v>
      </c>
      <c r="N32" s="55" t="s">
        <v>576</v>
      </c>
      <c r="O32" s="55">
        <v>0</v>
      </c>
      <c r="P32" s="55">
        <v>12120</v>
      </c>
      <c r="Q32" s="55">
        <v>1420</v>
      </c>
      <c r="R32" s="57" t="s">
        <v>563</v>
      </c>
      <c r="S32" s="58" t="b">
        <v>0</v>
      </c>
      <c r="T32" s="51">
        <v>31481.4</v>
      </c>
    </row>
    <row r="33" spans="1:20" x14ac:dyDescent="0.25">
      <c r="A33" s="51" t="str">
        <f>(COUNTIF($K$2:K33,K33))&amp;K33</f>
        <v>132100</v>
      </c>
      <c r="B33" s="52" t="s">
        <v>580</v>
      </c>
      <c r="C33" s="53" t="b">
        <v>0</v>
      </c>
      <c r="D33" s="54" t="s">
        <v>563</v>
      </c>
      <c r="E33" s="55">
        <v>59280</v>
      </c>
      <c r="F33" s="55">
        <v>150480</v>
      </c>
      <c r="G33" s="55">
        <v>0</v>
      </c>
      <c r="H33" s="55" t="s">
        <v>576</v>
      </c>
      <c r="I33" s="55">
        <v>-2.2999999999999998</v>
      </c>
      <c r="J33" s="55">
        <v>0.85</v>
      </c>
      <c r="K33" s="56">
        <v>32100</v>
      </c>
      <c r="L33" s="55">
        <v>575</v>
      </c>
      <c r="M33" s="55">
        <v>0</v>
      </c>
      <c r="N33" s="55" t="s">
        <v>574</v>
      </c>
      <c r="O33" s="55">
        <v>-240</v>
      </c>
      <c r="P33" s="55">
        <v>0</v>
      </c>
      <c r="Q33" s="55">
        <v>0</v>
      </c>
      <c r="R33" s="57" t="s">
        <v>563</v>
      </c>
      <c r="S33" s="58" t="b">
        <v>0</v>
      </c>
      <c r="T33" s="51">
        <v>31481.4</v>
      </c>
    </row>
    <row r="34" spans="1:20" x14ac:dyDescent="0.25">
      <c r="A34" s="51" t="str">
        <f>(COUNTIF($K$2:K34,K34))&amp;K34</f>
        <v>132200</v>
      </c>
      <c r="B34" s="52" t="s">
        <v>580</v>
      </c>
      <c r="C34" s="53" t="b">
        <v>0</v>
      </c>
      <c r="D34" s="54" t="s">
        <v>563</v>
      </c>
      <c r="E34" s="55">
        <v>21120</v>
      </c>
      <c r="F34" s="55">
        <v>148620</v>
      </c>
      <c r="G34" s="55">
        <v>0</v>
      </c>
      <c r="H34" s="55" t="s">
        <v>576</v>
      </c>
      <c r="I34" s="55">
        <v>-1.85</v>
      </c>
      <c r="J34" s="55">
        <v>0.5</v>
      </c>
      <c r="K34" s="56">
        <v>32200</v>
      </c>
      <c r="L34" s="55">
        <v>677.35</v>
      </c>
      <c r="M34" s="55">
        <v>4.7000000000000455</v>
      </c>
      <c r="N34" s="55" t="s">
        <v>574</v>
      </c>
      <c r="O34" s="55">
        <v>-1420</v>
      </c>
      <c r="P34" s="55">
        <v>0</v>
      </c>
      <c r="Q34" s="55">
        <v>0</v>
      </c>
      <c r="R34" s="57" t="s">
        <v>563</v>
      </c>
      <c r="S34" s="58" t="s">
        <v>567</v>
      </c>
      <c r="T34" s="51">
        <v>31481.4</v>
      </c>
    </row>
    <row r="35" spans="1:20" x14ac:dyDescent="0.25">
      <c r="A35" s="51" t="str">
        <f>(COUNTIF($K$2:K35,K35))&amp;K35</f>
        <v>2PCR</v>
      </c>
      <c r="B35" s="52" t="s">
        <v>580</v>
      </c>
      <c r="C35" s="60">
        <v>1.037844861189311</v>
      </c>
      <c r="E35" s="61"/>
      <c r="F35" s="62">
        <v>4617800</v>
      </c>
      <c r="G35" s="63"/>
      <c r="H35" s="64"/>
      <c r="I35" s="64"/>
      <c r="J35" s="64"/>
      <c r="K35" s="65" t="s">
        <v>555</v>
      </c>
      <c r="L35" s="64"/>
      <c r="M35" s="64"/>
      <c r="N35" s="64"/>
      <c r="P35" s="63">
        <v>4792560</v>
      </c>
      <c r="Q35" s="61"/>
      <c r="R35" s="64"/>
      <c r="S35" s="64"/>
    </row>
    <row r="36" spans="1:20" x14ac:dyDescent="0.25">
      <c r="A36" s="51" t="str">
        <f>(COUNTIF($K$2:K36,K36))&amp;K36</f>
        <v>230700</v>
      </c>
      <c r="B36" s="52" t="s">
        <v>581</v>
      </c>
      <c r="C36" s="53" t="s">
        <v>566</v>
      </c>
      <c r="D36" s="54" t="s">
        <v>564</v>
      </c>
      <c r="E36" s="55">
        <v>420</v>
      </c>
      <c r="F36" s="55">
        <v>11880</v>
      </c>
      <c r="G36" s="55">
        <v>60</v>
      </c>
      <c r="H36" s="55" t="s">
        <v>574</v>
      </c>
      <c r="I36" s="55">
        <v>-104.35000000000002</v>
      </c>
      <c r="J36" s="55">
        <v>731.65</v>
      </c>
      <c r="K36" s="56">
        <v>30700</v>
      </c>
      <c r="L36" s="55">
        <v>0.85</v>
      </c>
      <c r="M36" s="55">
        <v>-2.75</v>
      </c>
      <c r="N36" s="55" t="s">
        <v>576</v>
      </c>
      <c r="O36" s="55">
        <v>11220</v>
      </c>
      <c r="P36" s="55">
        <v>201420</v>
      </c>
      <c r="Q36" s="55">
        <v>84340</v>
      </c>
      <c r="R36" s="57" t="s">
        <v>564</v>
      </c>
      <c r="S36" s="58" t="s">
        <v>566</v>
      </c>
      <c r="T36" s="51">
        <v>31461</v>
      </c>
    </row>
    <row r="37" spans="1:20" x14ac:dyDescent="0.25">
      <c r="A37" s="51" t="str">
        <f>(COUNTIF($K$2:K37,K37))&amp;K37</f>
        <v>230800</v>
      </c>
      <c r="B37" s="52" t="s">
        <v>581</v>
      </c>
      <c r="C37" s="53" t="s">
        <v>566</v>
      </c>
      <c r="D37" s="54" t="s">
        <v>564</v>
      </c>
      <c r="E37" s="55">
        <v>320</v>
      </c>
      <c r="F37" s="55">
        <v>7520</v>
      </c>
      <c r="G37" s="55">
        <v>20</v>
      </c>
      <c r="H37" s="55" t="s">
        <v>574</v>
      </c>
      <c r="I37" s="55">
        <v>-105.80000000000007</v>
      </c>
      <c r="J37" s="55">
        <v>629.79999999999995</v>
      </c>
      <c r="K37" s="56">
        <v>30800</v>
      </c>
      <c r="L37" s="55">
        <v>1.2</v>
      </c>
      <c r="M37" s="55">
        <v>-2.8999999999999995</v>
      </c>
      <c r="N37" s="55" t="s">
        <v>576</v>
      </c>
      <c r="O37" s="55">
        <v>2820</v>
      </c>
      <c r="P37" s="55">
        <v>370220</v>
      </c>
      <c r="Q37" s="55">
        <v>165980</v>
      </c>
      <c r="R37" s="57" t="s">
        <v>564</v>
      </c>
      <c r="S37" s="58" t="s">
        <v>566</v>
      </c>
      <c r="T37" s="51">
        <v>31461</v>
      </c>
    </row>
    <row r="38" spans="1:20" x14ac:dyDescent="0.25">
      <c r="A38" s="51" t="str">
        <f>(COUNTIF($K$2:K38,K38))&amp;K38</f>
        <v>230900</v>
      </c>
      <c r="B38" s="52" t="s">
        <v>581</v>
      </c>
      <c r="C38" s="53" t="s">
        <v>566</v>
      </c>
      <c r="D38" s="54" t="s">
        <v>564</v>
      </c>
      <c r="E38" s="55">
        <v>440</v>
      </c>
      <c r="F38" s="55">
        <v>6500</v>
      </c>
      <c r="G38" s="55">
        <v>260</v>
      </c>
      <c r="H38" s="55" t="s">
        <v>574</v>
      </c>
      <c r="I38" s="55">
        <v>-104.09999999999991</v>
      </c>
      <c r="J38" s="55">
        <v>529.45000000000005</v>
      </c>
      <c r="K38" s="56">
        <v>30900</v>
      </c>
      <c r="L38" s="55">
        <v>2.0499999999999998</v>
      </c>
      <c r="M38" s="55">
        <v>-3.45</v>
      </c>
      <c r="N38" s="55" t="s">
        <v>576</v>
      </c>
      <c r="O38" s="55">
        <v>10600</v>
      </c>
      <c r="P38" s="55">
        <v>376480</v>
      </c>
      <c r="Q38" s="55">
        <v>335180</v>
      </c>
      <c r="R38" s="57" t="s">
        <v>564</v>
      </c>
      <c r="S38" s="58" t="s">
        <v>566</v>
      </c>
      <c r="T38" s="51">
        <v>31461</v>
      </c>
    </row>
    <row r="39" spans="1:20" x14ac:dyDescent="0.25">
      <c r="A39" s="51" t="str">
        <f>(COUNTIF($K$2:K39,K39))&amp;K39</f>
        <v>231000</v>
      </c>
      <c r="B39" s="52" t="s">
        <v>581</v>
      </c>
      <c r="C39" s="53" t="s">
        <v>566</v>
      </c>
      <c r="D39" s="54" t="s">
        <v>564</v>
      </c>
      <c r="E39" s="55">
        <v>11860</v>
      </c>
      <c r="F39" s="55">
        <v>89420</v>
      </c>
      <c r="G39" s="55">
        <v>1200</v>
      </c>
      <c r="H39" s="55" t="s">
        <v>574</v>
      </c>
      <c r="I39" s="55">
        <v>-110.55000000000001</v>
      </c>
      <c r="J39" s="55">
        <v>434.3</v>
      </c>
      <c r="K39" s="56">
        <v>31000</v>
      </c>
      <c r="L39" s="55">
        <v>3.75</v>
      </c>
      <c r="M39" s="55">
        <v>-3.6500000000000004</v>
      </c>
      <c r="N39" s="55" t="s">
        <v>576</v>
      </c>
      <c r="O39" s="55">
        <v>146820</v>
      </c>
      <c r="P39" s="55">
        <v>957420</v>
      </c>
      <c r="Q39" s="55">
        <v>833460</v>
      </c>
      <c r="R39" s="57" t="s">
        <v>564</v>
      </c>
      <c r="S39" s="58" t="s">
        <v>566</v>
      </c>
      <c r="T39" s="51">
        <v>31461</v>
      </c>
    </row>
    <row r="40" spans="1:20" x14ac:dyDescent="0.25">
      <c r="A40" s="51" t="str">
        <f>(COUNTIF($K$2:K40,K40))&amp;K40</f>
        <v>231100</v>
      </c>
      <c r="B40" s="52" t="s">
        <v>581</v>
      </c>
      <c r="C40" s="53" t="s">
        <v>566</v>
      </c>
      <c r="D40" s="54" t="s">
        <v>564</v>
      </c>
      <c r="E40" s="55">
        <v>9040</v>
      </c>
      <c r="F40" s="55">
        <v>32980</v>
      </c>
      <c r="G40" s="55">
        <v>2320</v>
      </c>
      <c r="H40" s="55" t="s">
        <v>574</v>
      </c>
      <c r="I40" s="55">
        <v>-106.14999999999998</v>
      </c>
      <c r="J40" s="55">
        <v>339</v>
      </c>
      <c r="K40" s="56">
        <v>31100</v>
      </c>
      <c r="L40" s="55">
        <v>8.6999999999999993</v>
      </c>
      <c r="M40" s="55">
        <v>-1.4500000000000011</v>
      </c>
      <c r="N40" s="55" t="s">
        <v>576</v>
      </c>
      <c r="O40" s="55">
        <v>33580</v>
      </c>
      <c r="P40" s="55">
        <v>552280</v>
      </c>
      <c r="Q40" s="55">
        <v>694820</v>
      </c>
      <c r="R40" s="57" t="s">
        <v>564</v>
      </c>
      <c r="S40" s="58" t="s">
        <v>566</v>
      </c>
      <c r="T40" s="51">
        <v>31461</v>
      </c>
    </row>
    <row r="41" spans="1:20" x14ac:dyDescent="0.25">
      <c r="A41" s="51" t="str">
        <f>(COUNTIF($K$2:K41,K41))&amp;K41</f>
        <v>231200</v>
      </c>
      <c r="B41" s="52" t="s">
        <v>581</v>
      </c>
      <c r="C41" s="53" t="s">
        <v>566</v>
      </c>
      <c r="D41" s="54" t="s">
        <v>564</v>
      </c>
      <c r="E41" s="55">
        <v>44280</v>
      </c>
      <c r="F41" s="55">
        <v>134340</v>
      </c>
      <c r="G41" s="55">
        <v>2620</v>
      </c>
      <c r="H41" s="55" t="s">
        <v>574</v>
      </c>
      <c r="I41" s="55">
        <v>-100.44999999999999</v>
      </c>
      <c r="J41" s="55">
        <v>250</v>
      </c>
      <c r="K41" s="56">
        <v>31200</v>
      </c>
      <c r="L41" s="55">
        <v>19.45</v>
      </c>
      <c r="M41" s="55">
        <v>2.0500000000000007</v>
      </c>
      <c r="N41" s="55" t="s">
        <v>576</v>
      </c>
      <c r="O41" s="55">
        <v>128260</v>
      </c>
      <c r="P41" s="55">
        <v>654200</v>
      </c>
      <c r="Q41" s="55">
        <v>959860</v>
      </c>
      <c r="R41" s="57" t="s">
        <v>564</v>
      </c>
      <c r="S41" s="58" t="s">
        <v>565</v>
      </c>
      <c r="T41" s="51">
        <v>31461</v>
      </c>
    </row>
    <row r="42" spans="1:20" x14ac:dyDescent="0.25">
      <c r="A42" s="51" t="str">
        <f>(COUNTIF($K$2:K42,K42))&amp;K42</f>
        <v>231300</v>
      </c>
      <c r="B42" s="52" t="s">
        <v>581</v>
      </c>
      <c r="C42" s="53" t="s">
        <v>566</v>
      </c>
      <c r="D42" s="54" t="s">
        <v>564</v>
      </c>
      <c r="E42" s="55">
        <v>131680</v>
      </c>
      <c r="F42" s="55">
        <v>130340</v>
      </c>
      <c r="G42" s="55">
        <v>14400</v>
      </c>
      <c r="H42" s="55" t="s">
        <v>576</v>
      </c>
      <c r="I42" s="55">
        <v>-93.950000000000017</v>
      </c>
      <c r="J42" s="55">
        <v>171.6</v>
      </c>
      <c r="K42" s="56">
        <v>31300</v>
      </c>
      <c r="L42" s="55">
        <v>40.549999999999997</v>
      </c>
      <c r="M42" s="55">
        <v>9.5999999999999979</v>
      </c>
      <c r="N42" s="55" t="s">
        <v>576</v>
      </c>
      <c r="O42" s="55">
        <v>115360</v>
      </c>
      <c r="P42" s="55">
        <v>765860</v>
      </c>
      <c r="Q42" s="55">
        <v>1122520</v>
      </c>
      <c r="R42" s="57" t="s">
        <v>564</v>
      </c>
      <c r="S42" s="58" t="s">
        <v>565</v>
      </c>
      <c r="T42" s="51">
        <v>31461</v>
      </c>
    </row>
    <row r="43" spans="1:20" x14ac:dyDescent="0.25">
      <c r="A43" s="51" t="str">
        <f>(COUNTIF($K$2:K43,K43))&amp;K43</f>
        <v>231400</v>
      </c>
      <c r="B43" s="52" t="s">
        <v>581</v>
      </c>
      <c r="C43" s="53" t="s">
        <v>566</v>
      </c>
      <c r="D43" s="54" t="s">
        <v>564</v>
      </c>
      <c r="E43" s="55">
        <v>360520</v>
      </c>
      <c r="F43" s="55">
        <v>235900</v>
      </c>
      <c r="G43" s="112" t="s">
        <v>577</v>
      </c>
      <c r="H43" s="55" t="s">
        <v>576</v>
      </c>
      <c r="I43" s="55">
        <v>-81</v>
      </c>
      <c r="J43" s="55">
        <v>108</v>
      </c>
      <c r="K43" s="56">
        <v>31400</v>
      </c>
      <c r="L43" s="55">
        <v>78.2</v>
      </c>
      <c r="M43" s="55">
        <v>24.25</v>
      </c>
      <c r="N43" s="55" t="s">
        <v>576</v>
      </c>
      <c r="O43" s="55">
        <v>55840</v>
      </c>
      <c r="P43" s="55">
        <v>612060</v>
      </c>
      <c r="Q43" s="55">
        <v>802840</v>
      </c>
      <c r="R43" s="57" t="s">
        <v>564</v>
      </c>
      <c r="S43" s="58" t="s">
        <v>565</v>
      </c>
      <c r="T43" s="51">
        <v>31461</v>
      </c>
    </row>
    <row r="44" spans="1:20" ht="15.75" x14ac:dyDescent="0.25">
      <c r="A44" s="51" t="str">
        <f>(COUNTIF($K$2:K44,K44))&amp;K44</f>
        <v>231500</v>
      </c>
      <c r="B44" s="52" t="s">
        <v>581</v>
      </c>
      <c r="C44" s="53" t="s">
        <v>566</v>
      </c>
      <c r="D44" s="54" t="s">
        <v>564</v>
      </c>
      <c r="E44" s="55">
        <v>1295980</v>
      </c>
      <c r="F44" s="55">
        <v>1026220</v>
      </c>
      <c r="G44" s="55">
        <v>247680</v>
      </c>
      <c r="H44" s="55" t="s">
        <v>576</v>
      </c>
      <c r="I44" s="55">
        <v>-63.6</v>
      </c>
      <c r="J44" s="55">
        <v>62.85</v>
      </c>
      <c r="K44" s="59">
        <v>31500</v>
      </c>
      <c r="L44" s="55">
        <v>132.80000000000001</v>
      </c>
      <c r="M44" s="55">
        <v>42.650000000000006</v>
      </c>
      <c r="N44" s="55" t="s">
        <v>576</v>
      </c>
      <c r="O44" s="55">
        <v>68800</v>
      </c>
      <c r="P44" s="55">
        <v>699280</v>
      </c>
      <c r="Q44" s="55">
        <v>846200</v>
      </c>
      <c r="R44" s="57" t="s">
        <v>564</v>
      </c>
      <c r="S44" s="58" t="s">
        <v>565</v>
      </c>
      <c r="T44" s="51">
        <v>31461</v>
      </c>
    </row>
    <row r="45" spans="1:20" x14ac:dyDescent="0.25">
      <c r="A45" s="51" t="str">
        <f>(COUNTIF($K$2:K45,K45))&amp;K45</f>
        <v>231600</v>
      </c>
      <c r="B45" s="52" t="s">
        <v>581</v>
      </c>
      <c r="C45" s="53" t="s">
        <v>566</v>
      </c>
      <c r="D45" s="54" t="s">
        <v>564</v>
      </c>
      <c r="E45" s="55">
        <v>749080</v>
      </c>
      <c r="F45" s="55">
        <v>689700</v>
      </c>
      <c r="G45" s="55">
        <v>70040</v>
      </c>
      <c r="H45" s="55" t="s">
        <v>576</v>
      </c>
      <c r="I45" s="55">
        <v>-46.7</v>
      </c>
      <c r="J45" s="55">
        <v>31.75</v>
      </c>
      <c r="K45" s="56">
        <v>31600</v>
      </c>
      <c r="L45" s="55">
        <v>201.3</v>
      </c>
      <c r="M45" s="55">
        <v>59.200000000000017</v>
      </c>
      <c r="N45" s="55" t="s">
        <v>576</v>
      </c>
      <c r="O45" s="55">
        <v>21960</v>
      </c>
      <c r="P45" s="55">
        <v>116200</v>
      </c>
      <c r="Q45" s="55">
        <v>217060</v>
      </c>
      <c r="R45" s="57" t="s">
        <v>564</v>
      </c>
      <c r="S45" s="58" t="s">
        <v>565</v>
      </c>
      <c r="T45" s="51">
        <v>31461</v>
      </c>
    </row>
    <row r="46" spans="1:20" x14ac:dyDescent="0.25">
      <c r="A46" s="51" t="str">
        <f>(COUNTIF($K$2:K46,K46))&amp;K46</f>
        <v>231700</v>
      </c>
      <c r="B46" s="52" t="s">
        <v>581</v>
      </c>
      <c r="C46" s="53" t="s">
        <v>566</v>
      </c>
      <c r="D46" s="54" t="s">
        <v>564</v>
      </c>
      <c r="E46" s="55">
        <v>1075400</v>
      </c>
      <c r="F46" s="55">
        <v>708760</v>
      </c>
      <c r="G46" s="55">
        <v>73500</v>
      </c>
      <c r="H46" s="55" t="s">
        <v>576</v>
      </c>
      <c r="I46" s="55">
        <v>-30.500000000000004</v>
      </c>
      <c r="J46" s="55">
        <v>13.95</v>
      </c>
      <c r="K46" s="56">
        <v>31700</v>
      </c>
      <c r="L46" s="55">
        <v>284.55</v>
      </c>
      <c r="M46" s="55">
        <v>75.150000000000006</v>
      </c>
      <c r="N46" s="55" t="s">
        <v>576</v>
      </c>
      <c r="O46" s="55">
        <v>4540</v>
      </c>
      <c r="P46" s="55">
        <v>54300</v>
      </c>
      <c r="Q46" s="55">
        <v>112120</v>
      </c>
      <c r="R46" s="57" t="s">
        <v>564</v>
      </c>
      <c r="S46" s="58" t="s">
        <v>565</v>
      </c>
      <c r="T46" s="51">
        <v>31461</v>
      </c>
    </row>
    <row r="47" spans="1:20" x14ac:dyDescent="0.25">
      <c r="A47" s="51" t="str">
        <f>(COUNTIF($K$2:K47,K47))&amp;K47</f>
        <v>231800</v>
      </c>
      <c r="B47" s="52" t="s">
        <v>581</v>
      </c>
      <c r="C47" s="53" t="s">
        <v>566</v>
      </c>
      <c r="D47" s="54" t="s">
        <v>564</v>
      </c>
      <c r="E47" s="55">
        <v>903840</v>
      </c>
      <c r="F47" s="55">
        <v>653160</v>
      </c>
      <c r="G47" s="55">
        <v>67780</v>
      </c>
      <c r="H47" s="55" t="s">
        <v>576</v>
      </c>
      <c r="I47" s="55">
        <v>-18.05</v>
      </c>
      <c r="J47" s="55">
        <v>5.45</v>
      </c>
      <c r="K47" s="56">
        <v>31800</v>
      </c>
      <c r="L47" s="55">
        <v>377.15</v>
      </c>
      <c r="M47" s="55">
        <v>91.799999999999955</v>
      </c>
      <c r="N47" s="55" t="s">
        <v>576</v>
      </c>
      <c r="O47" s="55">
        <v>6780</v>
      </c>
      <c r="P47" s="55">
        <v>21760</v>
      </c>
      <c r="Q47" s="55">
        <v>42580</v>
      </c>
      <c r="R47" s="57" t="s">
        <v>564</v>
      </c>
      <c r="S47" s="58" t="s">
        <v>565</v>
      </c>
      <c r="T47" s="51">
        <v>31461</v>
      </c>
    </row>
    <row r="48" spans="1:20" x14ac:dyDescent="0.25">
      <c r="A48" s="51" t="str">
        <f>(COUNTIF($K$2:K48,K48))&amp;K48</f>
        <v>231900</v>
      </c>
      <c r="B48" s="52" t="s">
        <v>581</v>
      </c>
      <c r="C48" s="53" t="s">
        <v>562</v>
      </c>
      <c r="D48" s="54" t="s">
        <v>563</v>
      </c>
      <c r="E48" s="55">
        <v>760580</v>
      </c>
      <c r="F48" s="55">
        <v>499100</v>
      </c>
      <c r="G48" s="55">
        <v>-12700</v>
      </c>
      <c r="H48" s="55" t="s">
        <v>576</v>
      </c>
      <c r="I48" s="55">
        <v>-9.0500000000000007</v>
      </c>
      <c r="J48" s="55">
        <v>2.0499999999999998</v>
      </c>
      <c r="K48" s="56">
        <v>31900</v>
      </c>
      <c r="L48" s="55">
        <v>476.1</v>
      </c>
      <c r="M48" s="55">
        <v>99.400000000000034</v>
      </c>
      <c r="N48" s="55" t="s">
        <v>576</v>
      </c>
      <c r="O48" s="55">
        <v>1740</v>
      </c>
      <c r="P48" s="55">
        <v>7280</v>
      </c>
      <c r="Q48" s="55">
        <v>8820</v>
      </c>
      <c r="R48" s="57" t="s">
        <v>564</v>
      </c>
      <c r="S48" s="58" t="s">
        <v>565</v>
      </c>
      <c r="T48" s="51">
        <v>31461</v>
      </c>
    </row>
    <row r="49" spans="1:20" x14ac:dyDescent="0.25">
      <c r="A49" s="51" t="str">
        <f>(COUNTIF($K$2:K49,K49))&amp;K49</f>
        <v>232000</v>
      </c>
      <c r="B49" s="52" t="s">
        <v>581</v>
      </c>
      <c r="C49" s="53" t="s">
        <v>566</v>
      </c>
      <c r="D49" s="54" t="s">
        <v>564</v>
      </c>
      <c r="E49" s="55">
        <v>550340</v>
      </c>
      <c r="F49" s="55">
        <v>647740</v>
      </c>
      <c r="G49" s="55">
        <v>36080</v>
      </c>
      <c r="H49" s="55" t="s">
        <v>576</v>
      </c>
      <c r="I49" s="55">
        <v>-4.9000000000000004</v>
      </c>
      <c r="J49" s="55">
        <v>1.1000000000000001</v>
      </c>
      <c r="K49" s="56">
        <v>32000</v>
      </c>
      <c r="L49" s="55">
        <v>572.04999999999995</v>
      </c>
      <c r="M49" s="55">
        <v>101.54999999999995</v>
      </c>
      <c r="N49" s="55" t="s">
        <v>576</v>
      </c>
      <c r="O49" s="55">
        <v>1080</v>
      </c>
      <c r="P49" s="55">
        <v>13200</v>
      </c>
      <c r="Q49" s="55">
        <v>5240</v>
      </c>
      <c r="R49" s="57" t="s">
        <v>564</v>
      </c>
      <c r="S49" s="58" t="s">
        <v>565</v>
      </c>
      <c r="T49" s="51">
        <v>31461</v>
      </c>
    </row>
    <row r="50" spans="1:20" x14ac:dyDescent="0.25">
      <c r="A50" s="51" t="str">
        <f>(COUNTIF($K$2:K50,K50))&amp;K50</f>
        <v>232100</v>
      </c>
      <c r="B50" s="52" t="s">
        <v>581</v>
      </c>
      <c r="C50" s="53" t="s">
        <v>566</v>
      </c>
      <c r="D50" s="54" t="s">
        <v>564</v>
      </c>
      <c r="E50" s="55">
        <v>226200</v>
      </c>
      <c r="F50" s="55">
        <v>165860</v>
      </c>
      <c r="G50" s="55">
        <v>15380</v>
      </c>
      <c r="H50" s="55" t="s">
        <v>576</v>
      </c>
      <c r="I50" s="55">
        <v>-2.5999999999999996</v>
      </c>
      <c r="J50" s="55">
        <v>0.55000000000000004</v>
      </c>
      <c r="K50" s="56">
        <v>32100</v>
      </c>
      <c r="L50" s="55">
        <v>575</v>
      </c>
      <c r="M50" s="55">
        <v>0</v>
      </c>
      <c r="N50" s="55" t="s">
        <v>574</v>
      </c>
      <c r="O50" s="55">
        <v>-240</v>
      </c>
      <c r="P50" s="55">
        <v>0</v>
      </c>
      <c r="Q50" s="55">
        <v>0</v>
      </c>
      <c r="R50" s="57" t="s">
        <v>563</v>
      </c>
      <c r="S50" s="58" t="b">
        <v>0</v>
      </c>
      <c r="T50" s="51">
        <v>31461</v>
      </c>
    </row>
    <row r="51" spans="1:20" x14ac:dyDescent="0.25">
      <c r="A51" s="51" t="str">
        <f>(COUNTIF($K$2:K51,K51))&amp;K51</f>
        <v>232200</v>
      </c>
      <c r="B51" s="52" t="s">
        <v>581</v>
      </c>
      <c r="C51" s="53" t="s">
        <v>562</v>
      </c>
      <c r="D51" s="54" t="s">
        <v>563</v>
      </c>
      <c r="E51" s="55">
        <v>114060</v>
      </c>
      <c r="F51" s="55">
        <v>132740</v>
      </c>
      <c r="G51" s="55">
        <v>-15880</v>
      </c>
      <c r="H51" s="55" t="s">
        <v>576</v>
      </c>
      <c r="I51" s="55">
        <v>-1.9000000000000001</v>
      </c>
      <c r="J51" s="55">
        <v>0.45</v>
      </c>
      <c r="K51" s="56">
        <v>32200</v>
      </c>
      <c r="L51" s="55">
        <v>677.35</v>
      </c>
      <c r="M51" s="55">
        <v>4.7000000000000455</v>
      </c>
      <c r="N51" s="55" t="s">
        <v>574</v>
      </c>
      <c r="O51" s="55">
        <v>-1420</v>
      </c>
      <c r="P51" s="55">
        <v>0</v>
      </c>
      <c r="Q51" s="55">
        <v>0</v>
      </c>
      <c r="R51" s="57" t="s">
        <v>563</v>
      </c>
      <c r="S51" s="58" t="s">
        <v>567</v>
      </c>
      <c r="T51" s="51">
        <v>31461</v>
      </c>
    </row>
    <row r="52" spans="1:20" x14ac:dyDescent="0.25">
      <c r="A52" s="51" t="str">
        <f>(COUNTIF($K$2:K52,K52))&amp;K52</f>
        <v>3PCR</v>
      </c>
      <c r="B52" s="52" t="s">
        <v>581</v>
      </c>
      <c r="C52" s="60">
        <v>1.044430180040834</v>
      </c>
      <c r="E52" s="61"/>
      <c r="F52" s="62">
        <v>5172160</v>
      </c>
      <c r="G52" s="63"/>
      <c r="H52" s="64"/>
      <c r="I52" s="64"/>
      <c r="J52" s="64"/>
      <c r="K52" s="65" t="s">
        <v>555</v>
      </c>
      <c r="L52" s="64"/>
      <c r="M52" s="64"/>
      <c r="N52" s="64"/>
      <c r="P52" s="63">
        <v>5401960</v>
      </c>
      <c r="Q52" s="61"/>
      <c r="R52" s="64"/>
      <c r="S52" s="64"/>
    </row>
    <row r="53" spans="1:20" x14ac:dyDescent="0.25">
      <c r="A53" s="51" t="str">
        <f>(COUNTIF($K$2:K53,K53))&amp;K53</f>
        <v>330700</v>
      </c>
      <c r="B53" s="52" t="s">
        <v>581</v>
      </c>
      <c r="C53" s="53" t="s">
        <v>566</v>
      </c>
      <c r="D53" s="54" t="s">
        <v>564</v>
      </c>
      <c r="E53" s="55">
        <v>420</v>
      </c>
      <c r="F53" s="55">
        <v>11880</v>
      </c>
      <c r="G53" s="55">
        <v>60</v>
      </c>
      <c r="H53" s="55" t="s">
        <v>574</v>
      </c>
      <c r="I53" s="55">
        <v>-104.35000000000002</v>
      </c>
      <c r="J53" s="55">
        <v>731.65</v>
      </c>
      <c r="K53" s="56">
        <v>30700</v>
      </c>
      <c r="L53" s="55">
        <v>0.85</v>
      </c>
      <c r="M53" s="55">
        <v>-2.75</v>
      </c>
      <c r="N53" s="55" t="s">
        <v>576</v>
      </c>
      <c r="O53" s="55">
        <v>11220</v>
      </c>
      <c r="P53" s="55">
        <v>201420</v>
      </c>
      <c r="Q53" s="55">
        <v>84340</v>
      </c>
      <c r="R53" s="57" t="s">
        <v>564</v>
      </c>
      <c r="S53" s="58" t="s">
        <v>566</v>
      </c>
      <c r="T53" s="51">
        <v>31461</v>
      </c>
    </row>
    <row r="54" spans="1:20" x14ac:dyDescent="0.25">
      <c r="A54" s="51" t="str">
        <f>(COUNTIF($K$2:K54,K54))&amp;K54</f>
        <v>330800</v>
      </c>
      <c r="B54" s="52" t="s">
        <v>581</v>
      </c>
      <c r="C54" s="53" t="s">
        <v>566</v>
      </c>
      <c r="D54" s="54" t="s">
        <v>564</v>
      </c>
      <c r="E54" s="55">
        <v>320</v>
      </c>
      <c r="F54" s="55">
        <v>7520</v>
      </c>
      <c r="G54" s="55">
        <v>20</v>
      </c>
      <c r="H54" s="55" t="s">
        <v>574</v>
      </c>
      <c r="I54" s="55">
        <v>-105.80000000000007</v>
      </c>
      <c r="J54" s="55">
        <v>629.79999999999995</v>
      </c>
      <c r="K54" s="56">
        <v>30800</v>
      </c>
      <c r="L54" s="55">
        <v>1.2</v>
      </c>
      <c r="M54" s="55">
        <v>-2.8999999999999995</v>
      </c>
      <c r="N54" s="55" t="s">
        <v>576</v>
      </c>
      <c r="O54" s="55">
        <v>2820</v>
      </c>
      <c r="P54" s="55">
        <v>370220</v>
      </c>
      <c r="Q54" s="55">
        <v>165980</v>
      </c>
      <c r="R54" s="57" t="s">
        <v>564</v>
      </c>
      <c r="S54" s="58" t="s">
        <v>566</v>
      </c>
      <c r="T54" s="51">
        <v>31461</v>
      </c>
    </row>
    <row r="55" spans="1:20" x14ac:dyDescent="0.25">
      <c r="A55" s="51" t="str">
        <f>(COUNTIF($K$2:K55,K55))&amp;K55</f>
        <v>330900</v>
      </c>
      <c r="B55" s="52" t="s">
        <v>581</v>
      </c>
      <c r="C55" s="53" t="s">
        <v>566</v>
      </c>
      <c r="D55" s="54" t="s">
        <v>564</v>
      </c>
      <c r="E55" s="55">
        <v>440</v>
      </c>
      <c r="F55" s="55">
        <v>6500</v>
      </c>
      <c r="G55" s="55">
        <v>260</v>
      </c>
      <c r="H55" s="55" t="s">
        <v>574</v>
      </c>
      <c r="I55" s="55">
        <v>-104.09999999999991</v>
      </c>
      <c r="J55" s="55">
        <v>529.45000000000005</v>
      </c>
      <c r="K55" s="56">
        <v>30900</v>
      </c>
      <c r="L55" s="55">
        <v>2.0499999999999998</v>
      </c>
      <c r="M55" s="55">
        <v>-3.45</v>
      </c>
      <c r="N55" s="55" t="s">
        <v>576</v>
      </c>
      <c r="O55" s="55">
        <v>10600</v>
      </c>
      <c r="P55" s="55">
        <v>376480</v>
      </c>
      <c r="Q55" s="55">
        <v>335180</v>
      </c>
      <c r="R55" s="57" t="s">
        <v>564</v>
      </c>
      <c r="S55" s="58" t="s">
        <v>566</v>
      </c>
      <c r="T55" s="51">
        <v>31461</v>
      </c>
    </row>
    <row r="56" spans="1:20" x14ac:dyDescent="0.25">
      <c r="A56" s="51" t="str">
        <f>(COUNTIF($K$2:K56,K56))&amp;K56</f>
        <v>331000</v>
      </c>
      <c r="B56" s="52" t="s">
        <v>581</v>
      </c>
      <c r="C56" s="53" t="s">
        <v>566</v>
      </c>
      <c r="D56" s="54" t="s">
        <v>564</v>
      </c>
      <c r="E56" s="55">
        <v>11860</v>
      </c>
      <c r="F56" s="55">
        <v>89420</v>
      </c>
      <c r="G56" s="55">
        <v>1200</v>
      </c>
      <c r="H56" s="55" t="s">
        <v>574</v>
      </c>
      <c r="I56" s="55">
        <v>-110.55000000000001</v>
      </c>
      <c r="J56" s="55">
        <v>434.3</v>
      </c>
      <c r="K56" s="56">
        <v>31000</v>
      </c>
      <c r="L56" s="55">
        <v>3.75</v>
      </c>
      <c r="M56" s="55">
        <v>-3.6500000000000004</v>
      </c>
      <c r="N56" s="55" t="s">
        <v>576</v>
      </c>
      <c r="O56" s="55">
        <v>146820</v>
      </c>
      <c r="P56" s="55">
        <v>957420</v>
      </c>
      <c r="Q56" s="55">
        <v>833460</v>
      </c>
      <c r="R56" s="57" t="s">
        <v>564</v>
      </c>
      <c r="S56" s="58" t="s">
        <v>566</v>
      </c>
      <c r="T56" s="51">
        <v>31461</v>
      </c>
    </row>
    <row r="57" spans="1:20" x14ac:dyDescent="0.25">
      <c r="A57" s="51" t="str">
        <f>(COUNTIF($K$2:K57,K57))&amp;K57</f>
        <v>331100</v>
      </c>
      <c r="B57" s="52" t="s">
        <v>581</v>
      </c>
      <c r="C57" s="53" t="s">
        <v>566</v>
      </c>
      <c r="D57" s="54" t="s">
        <v>564</v>
      </c>
      <c r="E57" s="55">
        <v>9040</v>
      </c>
      <c r="F57" s="55">
        <v>32980</v>
      </c>
      <c r="G57" s="55">
        <v>2320</v>
      </c>
      <c r="H57" s="55" t="s">
        <v>574</v>
      </c>
      <c r="I57" s="55">
        <v>-106.14999999999998</v>
      </c>
      <c r="J57" s="55">
        <v>339</v>
      </c>
      <c r="K57" s="56">
        <v>31100</v>
      </c>
      <c r="L57" s="55">
        <v>8.6999999999999993</v>
      </c>
      <c r="M57" s="55">
        <v>-1.4500000000000011</v>
      </c>
      <c r="N57" s="55" t="s">
        <v>576</v>
      </c>
      <c r="O57" s="55">
        <v>33580</v>
      </c>
      <c r="P57" s="55">
        <v>552280</v>
      </c>
      <c r="Q57" s="55">
        <v>694820</v>
      </c>
      <c r="R57" s="57" t="s">
        <v>564</v>
      </c>
      <c r="S57" s="58" t="s">
        <v>566</v>
      </c>
      <c r="T57" s="51">
        <v>31461</v>
      </c>
    </row>
    <row r="58" spans="1:20" x14ac:dyDescent="0.25">
      <c r="A58" s="51" t="str">
        <f>(COUNTIF($K$2:K58,K58))&amp;K58</f>
        <v>331200</v>
      </c>
      <c r="B58" s="52" t="s">
        <v>581</v>
      </c>
      <c r="C58" s="53" t="s">
        <v>566</v>
      </c>
      <c r="D58" s="54" t="s">
        <v>564</v>
      </c>
      <c r="E58" s="55">
        <v>44280</v>
      </c>
      <c r="F58" s="55">
        <v>134340</v>
      </c>
      <c r="G58" s="55">
        <v>2620</v>
      </c>
      <c r="H58" s="55" t="s">
        <v>574</v>
      </c>
      <c r="I58" s="55">
        <v>-100.44999999999999</v>
      </c>
      <c r="J58" s="55">
        <v>250</v>
      </c>
      <c r="K58" s="56">
        <v>31200</v>
      </c>
      <c r="L58" s="55">
        <v>19.45</v>
      </c>
      <c r="M58" s="55">
        <v>2.0500000000000007</v>
      </c>
      <c r="N58" s="55" t="s">
        <v>576</v>
      </c>
      <c r="O58" s="55">
        <v>128260</v>
      </c>
      <c r="P58" s="55">
        <v>654200</v>
      </c>
      <c r="Q58" s="55">
        <v>959860</v>
      </c>
      <c r="R58" s="57" t="s">
        <v>564</v>
      </c>
      <c r="S58" s="58" t="s">
        <v>565</v>
      </c>
      <c r="T58" s="51">
        <v>31461</v>
      </c>
    </row>
    <row r="59" spans="1:20" x14ac:dyDescent="0.25">
      <c r="A59" s="51" t="str">
        <f>(COUNTIF($K$2:K59,K59))&amp;K59</f>
        <v>331300</v>
      </c>
      <c r="B59" s="52" t="s">
        <v>581</v>
      </c>
      <c r="C59" s="53" t="s">
        <v>566</v>
      </c>
      <c r="D59" s="54" t="s">
        <v>564</v>
      </c>
      <c r="E59" s="55">
        <v>131680</v>
      </c>
      <c r="F59" s="55">
        <v>130340</v>
      </c>
      <c r="G59" s="55">
        <v>14400</v>
      </c>
      <c r="H59" s="55" t="s">
        <v>576</v>
      </c>
      <c r="I59" s="55">
        <v>-93.950000000000017</v>
      </c>
      <c r="J59" s="55">
        <v>171.6</v>
      </c>
      <c r="K59" s="56">
        <v>31300</v>
      </c>
      <c r="L59" s="55">
        <v>40.549999999999997</v>
      </c>
      <c r="M59" s="55">
        <v>9.5999999999999979</v>
      </c>
      <c r="N59" s="55" t="s">
        <v>576</v>
      </c>
      <c r="O59" s="55">
        <v>115360</v>
      </c>
      <c r="P59" s="55">
        <v>765860</v>
      </c>
      <c r="Q59" s="55">
        <v>1122520</v>
      </c>
      <c r="R59" s="57" t="s">
        <v>564</v>
      </c>
      <c r="S59" s="58" t="s">
        <v>565</v>
      </c>
      <c r="T59" s="51">
        <v>31461</v>
      </c>
    </row>
    <row r="60" spans="1:20" x14ac:dyDescent="0.25">
      <c r="A60" s="51" t="str">
        <f>(COUNTIF($K$2:K60,K60))&amp;K60</f>
        <v>331400</v>
      </c>
      <c r="B60" s="52" t="s">
        <v>581</v>
      </c>
      <c r="C60" s="53" t="s">
        <v>566</v>
      </c>
      <c r="D60" s="54" t="s">
        <v>564</v>
      </c>
      <c r="E60" s="55">
        <v>360520</v>
      </c>
      <c r="F60" s="55">
        <v>235900</v>
      </c>
      <c r="G60" s="112" t="s">
        <v>577</v>
      </c>
      <c r="H60" s="55" t="s">
        <v>576</v>
      </c>
      <c r="I60" s="55">
        <v>-81</v>
      </c>
      <c r="J60" s="55">
        <v>108</v>
      </c>
      <c r="K60" s="56">
        <v>31400</v>
      </c>
      <c r="L60" s="55">
        <v>78.2</v>
      </c>
      <c r="M60" s="55">
        <v>24.25</v>
      </c>
      <c r="N60" s="55" t="s">
        <v>576</v>
      </c>
      <c r="O60" s="55">
        <v>55840</v>
      </c>
      <c r="P60" s="55">
        <v>612060</v>
      </c>
      <c r="Q60" s="55">
        <v>802840</v>
      </c>
      <c r="R60" s="57" t="s">
        <v>564</v>
      </c>
      <c r="S60" s="58" t="s">
        <v>565</v>
      </c>
      <c r="T60" s="51">
        <v>31461</v>
      </c>
    </row>
    <row r="61" spans="1:20" ht="15.75" x14ac:dyDescent="0.25">
      <c r="A61" s="51" t="str">
        <f>(COUNTIF($K$2:K61,K61))&amp;K61</f>
        <v>331500</v>
      </c>
      <c r="B61" s="52" t="s">
        <v>581</v>
      </c>
      <c r="C61" s="53" t="s">
        <v>566</v>
      </c>
      <c r="D61" s="54" t="s">
        <v>564</v>
      </c>
      <c r="E61" s="55">
        <v>1295980</v>
      </c>
      <c r="F61" s="55">
        <v>1026220</v>
      </c>
      <c r="G61" s="55">
        <v>247680</v>
      </c>
      <c r="H61" s="55" t="s">
        <v>576</v>
      </c>
      <c r="I61" s="55">
        <v>-63.6</v>
      </c>
      <c r="J61" s="55">
        <v>62.85</v>
      </c>
      <c r="K61" s="59">
        <v>31500</v>
      </c>
      <c r="L61" s="55">
        <v>132.80000000000001</v>
      </c>
      <c r="M61" s="55">
        <v>42.650000000000006</v>
      </c>
      <c r="N61" s="55" t="s">
        <v>576</v>
      </c>
      <c r="O61" s="55">
        <v>68800</v>
      </c>
      <c r="P61" s="55">
        <v>699280</v>
      </c>
      <c r="Q61" s="55">
        <v>846200</v>
      </c>
      <c r="R61" s="57" t="s">
        <v>564</v>
      </c>
      <c r="S61" s="58" t="s">
        <v>565</v>
      </c>
      <c r="T61" s="51">
        <v>31461</v>
      </c>
    </row>
    <row r="62" spans="1:20" x14ac:dyDescent="0.25">
      <c r="A62" s="51" t="str">
        <f>(COUNTIF($K$2:K62,K62))&amp;K62</f>
        <v>331600</v>
      </c>
      <c r="B62" s="52" t="s">
        <v>581</v>
      </c>
      <c r="C62" s="53" t="s">
        <v>566</v>
      </c>
      <c r="D62" s="54" t="s">
        <v>564</v>
      </c>
      <c r="E62" s="55">
        <v>749080</v>
      </c>
      <c r="F62" s="55">
        <v>689700</v>
      </c>
      <c r="G62" s="55">
        <v>70040</v>
      </c>
      <c r="H62" s="55" t="s">
        <v>576</v>
      </c>
      <c r="I62" s="55">
        <v>-46.7</v>
      </c>
      <c r="J62" s="55">
        <v>31.75</v>
      </c>
      <c r="K62" s="56">
        <v>31600</v>
      </c>
      <c r="L62" s="55">
        <v>201.3</v>
      </c>
      <c r="M62" s="55">
        <v>59.200000000000017</v>
      </c>
      <c r="N62" s="55" t="s">
        <v>576</v>
      </c>
      <c r="O62" s="55">
        <v>21960</v>
      </c>
      <c r="P62" s="55">
        <v>116200</v>
      </c>
      <c r="Q62" s="55">
        <v>217060</v>
      </c>
      <c r="R62" s="57" t="s">
        <v>564</v>
      </c>
      <c r="S62" s="58" t="s">
        <v>565</v>
      </c>
      <c r="T62" s="51">
        <v>31461</v>
      </c>
    </row>
    <row r="63" spans="1:20" x14ac:dyDescent="0.25">
      <c r="A63" s="51" t="str">
        <f>(COUNTIF($K$2:K63,K63))&amp;K63</f>
        <v>331700</v>
      </c>
      <c r="B63" s="52" t="s">
        <v>581</v>
      </c>
      <c r="C63" s="53" t="s">
        <v>566</v>
      </c>
      <c r="D63" s="54" t="s">
        <v>564</v>
      </c>
      <c r="E63" s="55">
        <v>1075400</v>
      </c>
      <c r="F63" s="55">
        <v>708760</v>
      </c>
      <c r="G63" s="55">
        <v>73500</v>
      </c>
      <c r="H63" s="55" t="s">
        <v>576</v>
      </c>
      <c r="I63" s="55">
        <v>-30.500000000000004</v>
      </c>
      <c r="J63" s="55">
        <v>13.95</v>
      </c>
      <c r="K63" s="56">
        <v>31700</v>
      </c>
      <c r="L63" s="55">
        <v>284.55</v>
      </c>
      <c r="M63" s="55">
        <v>75.150000000000006</v>
      </c>
      <c r="N63" s="55" t="s">
        <v>576</v>
      </c>
      <c r="O63" s="55">
        <v>4540</v>
      </c>
      <c r="P63" s="55">
        <v>54300</v>
      </c>
      <c r="Q63" s="55">
        <v>112120</v>
      </c>
      <c r="R63" s="57" t="s">
        <v>564</v>
      </c>
      <c r="S63" s="58" t="s">
        <v>565</v>
      </c>
      <c r="T63" s="51">
        <v>31461</v>
      </c>
    </row>
    <row r="64" spans="1:20" x14ac:dyDescent="0.25">
      <c r="A64" s="51" t="str">
        <f>(COUNTIF($K$2:K64,K64))&amp;K64</f>
        <v>331800</v>
      </c>
      <c r="B64" s="52" t="s">
        <v>581</v>
      </c>
      <c r="C64" s="53" t="s">
        <v>566</v>
      </c>
      <c r="D64" s="54" t="s">
        <v>564</v>
      </c>
      <c r="E64" s="55">
        <v>903840</v>
      </c>
      <c r="F64" s="55">
        <v>653160</v>
      </c>
      <c r="G64" s="55">
        <v>67780</v>
      </c>
      <c r="H64" s="55" t="s">
        <v>576</v>
      </c>
      <c r="I64" s="55">
        <v>-18.05</v>
      </c>
      <c r="J64" s="55">
        <v>5.45</v>
      </c>
      <c r="K64" s="56">
        <v>31800</v>
      </c>
      <c r="L64" s="55">
        <v>377.15</v>
      </c>
      <c r="M64" s="55">
        <v>91.799999999999955</v>
      </c>
      <c r="N64" s="55" t="s">
        <v>576</v>
      </c>
      <c r="O64" s="55">
        <v>6780</v>
      </c>
      <c r="P64" s="55">
        <v>21760</v>
      </c>
      <c r="Q64" s="55">
        <v>42580</v>
      </c>
      <c r="R64" s="57" t="s">
        <v>564</v>
      </c>
      <c r="S64" s="58" t="s">
        <v>565</v>
      </c>
      <c r="T64" s="51">
        <v>31461</v>
      </c>
    </row>
    <row r="65" spans="1:20" x14ac:dyDescent="0.25">
      <c r="A65" s="51" t="str">
        <f>(COUNTIF($K$2:K65,K65))&amp;K65</f>
        <v>331900</v>
      </c>
      <c r="B65" s="52" t="s">
        <v>581</v>
      </c>
      <c r="C65" s="53" t="s">
        <v>562</v>
      </c>
      <c r="D65" s="54" t="s">
        <v>563</v>
      </c>
      <c r="E65" s="55">
        <v>760580</v>
      </c>
      <c r="F65" s="55">
        <v>499100</v>
      </c>
      <c r="G65" s="55">
        <v>-12700</v>
      </c>
      <c r="H65" s="55" t="s">
        <v>576</v>
      </c>
      <c r="I65" s="55">
        <v>-9.0500000000000007</v>
      </c>
      <c r="J65" s="55">
        <v>2.0499999999999998</v>
      </c>
      <c r="K65" s="56">
        <v>31900</v>
      </c>
      <c r="L65" s="55">
        <v>476.1</v>
      </c>
      <c r="M65" s="55">
        <v>99.400000000000034</v>
      </c>
      <c r="N65" s="55" t="s">
        <v>576</v>
      </c>
      <c r="O65" s="55">
        <v>1740</v>
      </c>
      <c r="P65" s="55">
        <v>7280</v>
      </c>
      <c r="Q65" s="55">
        <v>8820</v>
      </c>
      <c r="R65" s="57" t="s">
        <v>564</v>
      </c>
      <c r="S65" s="58" t="s">
        <v>565</v>
      </c>
      <c r="T65" s="51">
        <v>31461</v>
      </c>
    </row>
    <row r="66" spans="1:20" x14ac:dyDescent="0.25">
      <c r="A66" s="51" t="str">
        <f>(COUNTIF($K$2:K66,K66))&amp;K66</f>
        <v>332000</v>
      </c>
      <c r="B66" s="52" t="s">
        <v>581</v>
      </c>
      <c r="C66" s="53" t="s">
        <v>566</v>
      </c>
      <c r="D66" s="54" t="s">
        <v>564</v>
      </c>
      <c r="E66" s="55">
        <v>550340</v>
      </c>
      <c r="F66" s="55">
        <v>647740</v>
      </c>
      <c r="G66" s="55">
        <v>36080</v>
      </c>
      <c r="H66" s="55" t="s">
        <v>576</v>
      </c>
      <c r="I66" s="55">
        <v>-4.9000000000000004</v>
      </c>
      <c r="J66" s="55">
        <v>1.1000000000000001</v>
      </c>
      <c r="K66" s="56">
        <v>32000</v>
      </c>
      <c r="L66" s="55">
        <v>572.04999999999995</v>
      </c>
      <c r="M66" s="55">
        <v>101.54999999999995</v>
      </c>
      <c r="N66" s="55" t="s">
        <v>576</v>
      </c>
      <c r="O66" s="55">
        <v>1080</v>
      </c>
      <c r="P66" s="55">
        <v>13200</v>
      </c>
      <c r="Q66" s="55">
        <v>5240</v>
      </c>
      <c r="R66" s="57" t="s">
        <v>564</v>
      </c>
      <c r="S66" s="58" t="s">
        <v>565</v>
      </c>
      <c r="T66" s="51">
        <v>31461</v>
      </c>
    </row>
    <row r="67" spans="1:20" x14ac:dyDescent="0.25">
      <c r="A67" s="51" t="str">
        <f>(COUNTIF($K$2:K67,K67))&amp;K67</f>
        <v>332100</v>
      </c>
      <c r="B67" s="52" t="s">
        <v>581</v>
      </c>
      <c r="C67" s="53" t="s">
        <v>566</v>
      </c>
      <c r="D67" s="54" t="s">
        <v>564</v>
      </c>
      <c r="E67" s="55">
        <v>226200</v>
      </c>
      <c r="F67" s="55">
        <v>165860</v>
      </c>
      <c r="G67" s="55">
        <v>15380</v>
      </c>
      <c r="H67" s="55" t="s">
        <v>576</v>
      </c>
      <c r="I67" s="55">
        <v>-2.5999999999999996</v>
      </c>
      <c r="J67" s="55">
        <v>0.55000000000000004</v>
      </c>
      <c r="K67" s="56">
        <v>32100</v>
      </c>
      <c r="L67" s="55">
        <v>575</v>
      </c>
      <c r="M67" s="55">
        <v>0</v>
      </c>
      <c r="N67" s="55" t="s">
        <v>574</v>
      </c>
      <c r="O67" s="55">
        <v>-240</v>
      </c>
      <c r="P67" s="55">
        <v>0</v>
      </c>
      <c r="Q67" s="55">
        <v>0</v>
      </c>
      <c r="R67" s="57" t="s">
        <v>563</v>
      </c>
      <c r="S67" s="58" t="b">
        <v>0</v>
      </c>
      <c r="T67" s="51">
        <v>31461</v>
      </c>
    </row>
    <row r="68" spans="1:20" x14ac:dyDescent="0.25">
      <c r="A68" s="51" t="str">
        <f>(COUNTIF($K$2:K68,K68))&amp;K68</f>
        <v>332200</v>
      </c>
      <c r="B68" s="52" t="s">
        <v>581</v>
      </c>
      <c r="C68" s="53" t="s">
        <v>562</v>
      </c>
      <c r="D68" s="54" t="s">
        <v>563</v>
      </c>
      <c r="E68" s="55">
        <v>114060</v>
      </c>
      <c r="F68" s="55">
        <v>132740</v>
      </c>
      <c r="G68" s="55">
        <v>-15880</v>
      </c>
      <c r="H68" s="55" t="s">
        <v>576</v>
      </c>
      <c r="I68" s="55">
        <v>-1.9000000000000001</v>
      </c>
      <c r="J68" s="55">
        <v>0.45</v>
      </c>
      <c r="K68" s="56">
        <v>32200</v>
      </c>
      <c r="L68" s="55">
        <v>677.35</v>
      </c>
      <c r="M68" s="55">
        <v>4.7000000000000455</v>
      </c>
      <c r="N68" s="55" t="s">
        <v>574</v>
      </c>
      <c r="O68" s="55">
        <v>-1420</v>
      </c>
      <c r="P68" s="55">
        <v>0</v>
      </c>
      <c r="Q68" s="55">
        <v>0</v>
      </c>
      <c r="R68" s="57" t="s">
        <v>563</v>
      </c>
      <c r="S68" s="58" t="s">
        <v>567</v>
      </c>
      <c r="T68" s="51">
        <v>31461</v>
      </c>
    </row>
    <row r="69" spans="1:20" x14ac:dyDescent="0.25">
      <c r="A69" s="51" t="str">
        <f>(COUNTIF($K$2:K69,K69))&amp;K69</f>
        <v>4PCR</v>
      </c>
      <c r="B69" s="52" t="s">
        <v>581</v>
      </c>
      <c r="C69" s="60">
        <v>1.044430180040834</v>
      </c>
      <c r="E69" s="61"/>
      <c r="F69" s="62">
        <v>5172160</v>
      </c>
      <c r="G69" s="63"/>
      <c r="H69" s="64"/>
      <c r="I69" s="64"/>
      <c r="J69" s="64"/>
      <c r="K69" s="65" t="s">
        <v>555</v>
      </c>
      <c r="L69" s="64"/>
      <c r="M69" s="64"/>
      <c r="N69" s="64"/>
      <c r="P69" s="63">
        <v>5401960</v>
      </c>
      <c r="Q69" s="61"/>
      <c r="R69" s="64"/>
      <c r="S69" s="64"/>
    </row>
    <row r="70" spans="1:20" x14ac:dyDescent="0.25">
      <c r="A70" s="51" t="str">
        <f>(COUNTIF($K$2:K70,K70))&amp;K70</f>
        <v>430700</v>
      </c>
      <c r="B70" s="52" t="s">
        <v>582</v>
      </c>
      <c r="C70" s="53" t="s">
        <v>566</v>
      </c>
      <c r="D70" s="54" t="s">
        <v>564</v>
      </c>
      <c r="E70" s="55">
        <v>440</v>
      </c>
      <c r="F70" s="55">
        <v>11880</v>
      </c>
      <c r="G70" s="55">
        <v>60</v>
      </c>
      <c r="H70" s="55" t="s">
        <v>574</v>
      </c>
      <c r="I70" s="55">
        <v>-114.35000000000002</v>
      </c>
      <c r="J70" s="55">
        <v>721.65</v>
      </c>
      <c r="K70" s="56">
        <v>30700</v>
      </c>
      <c r="L70" s="55">
        <v>1</v>
      </c>
      <c r="M70" s="55">
        <v>-2.6</v>
      </c>
      <c r="N70" s="55" t="s">
        <v>576</v>
      </c>
      <c r="O70" s="55">
        <v>1700</v>
      </c>
      <c r="P70" s="55">
        <v>191900</v>
      </c>
      <c r="Q70" s="55">
        <v>133460</v>
      </c>
      <c r="R70" s="57" t="s">
        <v>564</v>
      </c>
      <c r="S70" s="58" t="s">
        <v>566</v>
      </c>
      <c r="T70" s="51">
        <v>31450.05</v>
      </c>
    </row>
    <row r="71" spans="1:20" x14ac:dyDescent="0.25">
      <c r="A71" s="51" t="str">
        <f>(COUNTIF($K$2:K71,K71))&amp;K71</f>
        <v>430800</v>
      </c>
      <c r="B71" s="52" t="s">
        <v>582</v>
      </c>
      <c r="C71" s="53" t="s">
        <v>566</v>
      </c>
      <c r="D71" s="54" t="s">
        <v>564</v>
      </c>
      <c r="E71" s="55">
        <v>480</v>
      </c>
      <c r="F71" s="55">
        <v>7520</v>
      </c>
      <c r="G71" s="55">
        <v>20</v>
      </c>
      <c r="H71" s="55" t="s">
        <v>574</v>
      </c>
      <c r="I71" s="55">
        <v>-120.60000000000002</v>
      </c>
      <c r="J71" s="55">
        <v>615</v>
      </c>
      <c r="K71" s="56">
        <v>30800</v>
      </c>
      <c r="L71" s="55">
        <v>1.3</v>
      </c>
      <c r="M71" s="55">
        <v>-2.8</v>
      </c>
      <c r="N71" s="55" t="s">
        <v>576</v>
      </c>
      <c r="O71" s="55">
        <v>10100</v>
      </c>
      <c r="P71" s="55">
        <v>377500</v>
      </c>
      <c r="Q71" s="55">
        <v>272180</v>
      </c>
      <c r="R71" s="57" t="s">
        <v>564</v>
      </c>
      <c r="S71" s="58" t="s">
        <v>566</v>
      </c>
      <c r="T71" s="51">
        <v>31450.05</v>
      </c>
    </row>
    <row r="72" spans="1:20" x14ac:dyDescent="0.25">
      <c r="A72" s="51" t="str">
        <f>(COUNTIF($K$2:K72,K72))&amp;K72</f>
        <v>430900</v>
      </c>
      <c r="B72" s="52" t="s">
        <v>582</v>
      </c>
      <c r="C72" s="53" t="s">
        <v>566</v>
      </c>
      <c r="D72" s="54" t="s">
        <v>564</v>
      </c>
      <c r="E72" s="55">
        <v>860</v>
      </c>
      <c r="F72" s="55">
        <v>6440</v>
      </c>
      <c r="G72" s="55">
        <v>200</v>
      </c>
      <c r="H72" s="55" t="s">
        <v>574</v>
      </c>
      <c r="I72" s="55">
        <v>-115.54999999999995</v>
      </c>
      <c r="J72" s="55">
        <v>518</v>
      </c>
      <c r="K72" s="56">
        <v>30900</v>
      </c>
      <c r="L72" s="55">
        <v>2.0499999999999998</v>
      </c>
      <c r="M72" s="55">
        <v>-3.45</v>
      </c>
      <c r="N72" s="55" t="s">
        <v>576</v>
      </c>
      <c r="O72" s="55">
        <v>58360</v>
      </c>
      <c r="P72" s="55">
        <v>424240</v>
      </c>
      <c r="Q72" s="55">
        <v>466660</v>
      </c>
      <c r="R72" s="57" t="s">
        <v>564</v>
      </c>
      <c r="S72" s="58" t="s">
        <v>566</v>
      </c>
      <c r="T72" s="51">
        <v>31450.05</v>
      </c>
    </row>
    <row r="73" spans="1:20" x14ac:dyDescent="0.25">
      <c r="A73" s="51" t="str">
        <f>(COUNTIF($K$2:K73,K73))&amp;K73</f>
        <v>431000</v>
      </c>
      <c r="B73" s="52" t="s">
        <v>582</v>
      </c>
      <c r="C73" s="53" t="s">
        <v>566</v>
      </c>
      <c r="D73" s="54" t="s">
        <v>564</v>
      </c>
      <c r="E73" s="55">
        <v>17140</v>
      </c>
      <c r="F73" s="55">
        <v>90700</v>
      </c>
      <c r="G73" s="55">
        <v>2480</v>
      </c>
      <c r="H73" s="55" t="s">
        <v>574</v>
      </c>
      <c r="I73" s="55">
        <v>-122.05000000000001</v>
      </c>
      <c r="J73" s="55">
        <v>422.8</v>
      </c>
      <c r="K73" s="56">
        <v>31000</v>
      </c>
      <c r="L73" s="55">
        <v>3.35</v>
      </c>
      <c r="M73" s="55">
        <v>-4.0500000000000007</v>
      </c>
      <c r="N73" s="55" t="s">
        <v>576</v>
      </c>
      <c r="O73" s="55">
        <v>236720</v>
      </c>
      <c r="P73" s="55">
        <v>1047320</v>
      </c>
      <c r="Q73" s="55">
        <v>1243260</v>
      </c>
      <c r="R73" s="57" t="s">
        <v>564</v>
      </c>
      <c r="S73" s="58" t="s">
        <v>566</v>
      </c>
      <c r="T73" s="51">
        <v>31450.05</v>
      </c>
    </row>
    <row r="74" spans="1:20" x14ac:dyDescent="0.25">
      <c r="A74" s="51" t="str">
        <f>(COUNTIF($K$2:K74,K74))&amp;K74</f>
        <v>431100</v>
      </c>
      <c r="B74" s="52" t="s">
        <v>582</v>
      </c>
      <c r="C74" s="53" t="s">
        <v>566</v>
      </c>
      <c r="D74" s="54" t="s">
        <v>564</v>
      </c>
      <c r="E74" s="55">
        <v>15080</v>
      </c>
      <c r="F74" s="55">
        <v>33120</v>
      </c>
      <c r="G74" s="55">
        <v>2460</v>
      </c>
      <c r="H74" s="55" t="s">
        <v>574</v>
      </c>
      <c r="I74" s="55">
        <v>-120.14999999999998</v>
      </c>
      <c r="J74" s="55">
        <v>325</v>
      </c>
      <c r="K74" s="56">
        <v>31100</v>
      </c>
      <c r="L74" s="55">
        <v>6.85</v>
      </c>
      <c r="M74" s="55">
        <v>-3.3000000000000007</v>
      </c>
      <c r="N74" s="55" t="s">
        <v>576</v>
      </c>
      <c r="O74" s="55">
        <v>73700</v>
      </c>
      <c r="P74" s="55">
        <v>592400</v>
      </c>
      <c r="Q74" s="55">
        <v>1114520</v>
      </c>
      <c r="R74" s="57" t="s">
        <v>564</v>
      </c>
      <c r="S74" s="58" t="s">
        <v>566</v>
      </c>
      <c r="T74" s="51">
        <v>31450.05</v>
      </c>
    </row>
    <row r="75" spans="1:20" x14ac:dyDescent="0.25">
      <c r="A75" s="51" t="str">
        <f>(COUNTIF($K$2:K75,K75))&amp;K75</f>
        <v>431200</v>
      </c>
      <c r="B75" s="52" t="s">
        <v>582</v>
      </c>
      <c r="C75" s="53" t="s">
        <v>566</v>
      </c>
      <c r="D75" s="54" t="s">
        <v>564</v>
      </c>
      <c r="E75" s="55">
        <v>81800</v>
      </c>
      <c r="F75" s="55">
        <v>143600</v>
      </c>
      <c r="G75" s="55">
        <v>11880</v>
      </c>
      <c r="H75" s="55" t="s">
        <v>574</v>
      </c>
      <c r="I75" s="55">
        <v>-115.19999999999999</v>
      </c>
      <c r="J75" s="55">
        <v>235.25</v>
      </c>
      <c r="K75" s="56">
        <v>31200</v>
      </c>
      <c r="L75" s="55">
        <v>17.149999999999999</v>
      </c>
      <c r="M75" s="55">
        <v>-0.25</v>
      </c>
      <c r="N75" s="55" t="s">
        <v>576</v>
      </c>
      <c r="O75" s="55">
        <v>252400</v>
      </c>
      <c r="P75" s="55">
        <v>778340</v>
      </c>
      <c r="Q75" s="55">
        <v>1580760</v>
      </c>
      <c r="R75" s="57" t="s">
        <v>564</v>
      </c>
      <c r="S75" s="58" t="s">
        <v>566</v>
      </c>
      <c r="T75" s="51">
        <v>31450.05</v>
      </c>
    </row>
    <row r="76" spans="1:20" x14ac:dyDescent="0.25">
      <c r="A76" s="51" t="str">
        <f>(COUNTIF($K$2:K76,K76))&amp;K76</f>
        <v>431300</v>
      </c>
      <c r="B76" s="52" t="s">
        <v>582</v>
      </c>
      <c r="C76" s="53" t="s">
        <v>566</v>
      </c>
      <c r="D76" s="54" t="s">
        <v>564</v>
      </c>
      <c r="E76" s="55">
        <v>240240</v>
      </c>
      <c r="F76" s="55">
        <v>142840</v>
      </c>
      <c r="G76" s="55">
        <v>26900</v>
      </c>
      <c r="H76" s="55" t="s">
        <v>576</v>
      </c>
      <c r="I76" s="55">
        <v>-106.70000000000002</v>
      </c>
      <c r="J76" s="55">
        <v>158.85</v>
      </c>
      <c r="K76" s="56">
        <v>31300</v>
      </c>
      <c r="L76" s="55">
        <v>39</v>
      </c>
      <c r="M76" s="55">
        <v>8.0500000000000007</v>
      </c>
      <c r="N76" s="55" t="s">
        <v>576</v>
      </c>
      <c r="O76" s="55">
        <v>239400</v>
      </c>
      <c r="P76" s="55">
        <v>889900</v>
      </c>
      <c r="Q76" s="55">
        <v>1825200</v>
      </c>
      <c r="R76" s="57" t="s">
        <v>564</v>
      </c>
      <c r="S76" s="58" t="s">
        <v>565</v>
      </c>
      <c r="T76" s="51">
        <v>31450.05</v>
      </c>
    </row>
    <row r="77" spans="1:20" x14ac:dyDescent="0.25">
      <c r="A77" s="51" t="str">
        <f>(COUNTIF($K$2:K77,K77))&amp;K77</f>
        <v>431400</v>
      </c>
      <c r="B77" s="52" t="s">
        <v>582</v>
      </c>
      <c r="C77" s="53" t="s">
        <v>566</v>
      </c>
      <c r="D77" s="54" t="s">
        <v>564</v>
      </c>
      <c r="E77" s="55">
        <v>733600</v>
      </c>
      <c r="F77" s="55">
        <v>334260</v>
      </c>
      <c r="G77" s="112" t="s">
        <v>577</v>
      </c>
      <c r="H77" s="55" t="s">
        <v>576</v>
      </c>
      <c r="I77" s="55">
        <v>-91.3</v>
      </c>
      <c r="J77" s="55">
        <v>97.7</v>
      </c>
      <c r="K77" s="56">
        <v>31400</v>
      </c>
      <c r="L77" s="55">
        <v>78.5</v>
      </c>
      <c r="M77" s="55">
        <v>24.549999999999997</v>
      </c>
      <c r="N77" s="55" t="s">
        <v>576</v>
      </c>
      <c r="O77" s="55">
        <v>114480</v>
      </c>
      <c r="P77" s="55">
        <v>670700</v>
      </c>
      <c r="Q77" s="55">
        <v>1397140</v>
      </c>
      <c r="R77" s="57" t="s">
        <v>564</v>
      </c>
      <c r="S77" s="58" t="s">
        <v>565</v>
      </c>
      <c r="T77" s="51">
        <v>31450.05</v>
      </c>
    </row>
    <row r="78" spans="1:20" ht="15.75" x14ac:dyDescent="0.25">
      <c r="A78" s="51" t="str">
        <f>(COUNTIF($K$2:K78,K78))&amp;K78</f>
        <v>431500</v>
      </c>
      <c r="B78" s="52" t="s">
        <v>582</v>
      </c>
      <c r="C78" s="53" t="s">
        <v>566</v>
      </c>
      <c r="D78" s="54" t="s">
        <v>564</v>
      </c>
      <c r="E78" s="55">
        <v>2027140</v>
      </c>
      <c r="F78" s="55">
        <v>1267620</v>
      </c>
      <c r="G78" s="55">
        <v>489080</v>
      </c>
      <c r="H78" s="55" t="s">
        <v>576</v>
      </c>
      <c r="I78" s="55">
        <v>-71.400000000000006</v>
      </c>
      <c r="J78" s="55">
        <v>55.05</v>
      </c>
      <c r="K78" s="59">
        <v>31500</v>
      </c>
      <c r="L78" s="55">
        <v>136</v>
      </c>
      <c r="M78" s="55">
        <v>45.849999999999994</v>
      </c>
      <c r="N78" s="55" t="s">
        <v>576</v>
      </c>
      <c r="O78" s="55">
        <v>86040</v>
      </c>
      <c r="P78" s="55">
        <v>716520</v>
      </c>
      <c r="Q78" s="55">
        <v>1263000</v>
      </c>
      <c r="R78" s="57" t="s">
        <v>564</v>
      </c>
      <c r="S78" s="58" t="s">
        <v>565</v>
      </c>
      <c r="T78" s="51">
        <v>31450.05</v>
      </c>
    </row>
    <row r="79" spans="1:20" x14ac:dyDescent="0.25">
      <c r="A79" s="51" t="str">
        <f>(COUNTIF($K$2:K79,K79))&amp;K79</f>
        <v>431600</v>
      </c>
      <c r="B79" s="52" t="s">
        <v>582</v>
      </c>
      <c r="C79" s="53" t="s">
        <v>566</v>
      </c>
      <c r="D79" s="54" t="s">
        <v>564</v>
      </c>
      <c r="E79" s="55">
        <v>1539440</v>
      </c>
      <c r="F79" s="55">
        <v>862340</v>
      </c>
      <c r="G79" s="55">
        <v>242680</v>
      </c>
      <c r="H79" s="55" t="s">
        <v>576</v>
      </c>
      <c r="I79" s="55">
        <v>-51.800000000000004</v>
      </c>
      <c r="J79" s="55">
        <v>26.65</v>
      </c>
      <c r="K79" s="56">
        <v>31600</v>
      </c>
      <c r="L79" s="55">
        <v>208.45</v>
      </c>
      <c r="M79" s="55">
        <v>66.349999999999994</v>
      </c>
      <c r="N79" s="55" t="s">
        <v>576</v>
      </c>
      <c r="O79" s="55">
        <v>27880</v>
      </c>
      <c r="P79" s="55">
        <v>122120</v>
      </c>
      <c r="Q79" s="55">
        <v>363520</v>
      </c>
      <c r="R79" s="57" t="s">
        <v>564</v>
      </c>
      <c r="S79" s="58" t="s">
        <v>565</v>
      </c>
      <c r="T79" s="51">
        <v>31450.05</v>
      </c>
    </row>
    <row r="80" spans="1:20" x14ac:dyDescent="0.25">
      <c r="A80" s="51" t="str">
        <f>(COUNTIF($K$2:K80,K80))&amp;K80</f>
        <v>431700</v>
      </c>
      <c r="B80" s="52" t="s">
        <v>582</v>
      </c>
      <c r="C80" s="53" t="s">
        <v>566</v>
      </c>
      <c r="D80" s="54" t="s">
        <v>564</v>
      </c>
      <c r="E80" s="55">
        <v>1832540</v>
      </c>
      <c r="F80" s="55">
        <v>769300</v>
      </c>
      <c r="G80" s="55">
        <v>134040</v>
      </c>
      <c r="H80" s="55" t="s">
        <v>576</v>
      </c>
      <c r="I80" s="55">
        <v>-32.25</v>
      </c>
      <c r="J80" s="55">
        <v>12.2</v>
      </c>
      <c r="K80" s="56">
        <v>31700</v>
      </c>
      <c r="L80" s="55">
        <v>294.14999999999998</v>
      </c>
      <c r="M80" s="55">
        <v>84.749999999999972</v>
      </c>
      <c r="N80" s="55" t="s">
        <v>576</v>
      </c>
      <c r="O80" s="55">
        <v>21980</v>
      </c>
      <c r="P80" s="55">
        <v>71740</v>
      </c>
      <c r="Q80" s="55">
        <v>184120</v>
      </c>
      <c r="R80" s="57" t="s">
        <v>564</v>
      </c>
      <c r="S80" s="58" t="s">
        <v>565</v>
      </c>
      <c r="T80" s="51">
        <v>31450.05</v>
      </c>
    </row>
    <row r="81" spans="1:20" x14ac:dyDescent="0.25">
      <c r="A81" s="51" t="str">
        <f>(COUNTIF($K$2:K81,K81))&amp;K81</f>
        <v>431800</v>
      </c>
      <c r="B81" s="52" t="s">
        <v>582</v>
      </c>
      <c r="C81" s="53" t="s">
        <v>566</v>
      </c>
      <c r="D81" s="54" t="s">
        <v>564</v>
      </c>
      <c r="E81" s="55">
        <v>1448940</v>
      </c>
      <c r="F81" s="55">
        <v>730120</v>
      </c>
      <c r="G81" s="55">
        <v>144740</v>
      </c>
      <c r="H81" s="55" t="s">
        <v>576</v>
      </c>
      <c r="I81" s="55">
        <v>-18.5</v>
      </c>
      <c r="J81" s="55">
        <v>5</v>
      </c>
      <c r="K81" s="56">
        <v>31800</v>
      </c>
      <c r="L81" s="55">
        <v>387.4</v>
      </c>
      <c r="M81" s="55">
        <v>102.04999999999995</v>
      </c>
      <c r="N81" s="55" t="s">
        <v>576</v>
      </c>
      <c r="O81" s="55">
        <v>18880</v>
      </c>
      <c r="P81" s="55">
        <v>33860</v>
      </c>
      <c r="Q81" s="55">
        <v>69260</v>
      </c>
      <c r="R81" s="57" t="s">
        <v>564</v>
      </c>
      <c r="S81" s="58" t="s">
        <v>565</v>
      </c>
      <c r="T81" s="51">
        <v>31450.05</v>
      </c>
    </row>
    <row r="82" spans="1:20" x14ac:dyDescent="0.25">
      <c r="A82" s="51" t="str">
        <f>(COUNTIF($K$2:K82,K82))&amp;K82</f>
        <v>431900</v>
      </c>
      <c r="B82" s="52" t="s">
        <v>582</v>
      </c>
      <c r="C82" s="53" t="s">
        <v>562</v>
      </c>
      <c r="D82" s="54" t="s">
        <v>563</v>
      </c>
      <c r="E82" s="55">
        <v>1086100</v>
      </c>
      <c r="F82" s="55">
        <v>501400</v>
      </c>
      <c r="G82" s="55">
        <v>-10400</v>
      </c>
      <c r="H82" s="55" t="s">
        <v>576</v>
      </c>
      <c r="I82" s="55">
        <v>-8.9499999999999993</v>
      </c>
      <c r="J82" s="55">
        <v>2.15</v>
      </c>
      <c r="K82" s="56">
        <v>31900</v>
      </c>
      <c r="L82" s="55">
        <v>480.95</v>
      </c>
      <c r="M82" s="55">
        <v>104.25</v>
      </c>
      <c r="N82" s="55" t="s">
        <v>576</v>
      </c>
      <c r="O82" s="55">
        <v>4360</v>
      </c>
      <c r="P82" s="55">
        <v>9900</v>
      </c>
      <c r="Q82" s="55">
        <v>12780</v>
      </c>
      <c r="R82" s="57" t="s">
        <v>564</v>
      </c>
      <c r="S82" s="58" t="s">
        <v>565</v>
      </c>
      <c r="T82" s="51">
        <v>31450.05</v>
      </c>
    </row>
    <row r="83" spans="1:20" x14ac:dyDescent="0.25">
      <c r="A83" s="51" t="str">
        <f>(COUNTIF($K$2:K83,K83))&amp;K83</f>
        <v>432000</v>
      </c>
      <c r="B83" s="52" t="s">
        <v>582</v>
      </c>
      <c r="C83" s="53" t="s">
        <v>566</v>
      </c>
      <c r="D83" s="54" t="s">
        <v>564</v>
      </c>
      <c r="E83" s="55">
        <v>879120</v>
      </c>
      <c r="F83" s="55">
        <v>684440</v>
      </c>
      <c r="G83" s="55">
        <v>72780</v>
      </c>
      <c r="H83" s="55" t="s">
        <v>576</v>
      </c>
      <c r="I83" s="55">
        <v>-4.8499999999999996</v>
      </c>
      <c r="J83" s="55">
        <v>1.1499999999999999</v>
      </c>
      <c r="K83" s="56">
        <v>32000</v>
      </c>
      <c r="L83" s="55">
        <v>583.4</v>
      </c>
      <c r="M83" s="55">
        <v>112.89999999999998</v>
      </c>
      <c r="N83" s="55" t="s">
        <v>576</v>
      </c>
      <c r="O83" s="55">
        <v>320</v>
      </c>
      <c r="P83" s="55">
        <v>12440</v>
      </c>
      <c r="Q83" s="55">
        <v>8540</v>
      </c>
      <c r="R83" s="57" t="s">
        <v>564</v>
      </c>
      <c r="S83" s="58" t="s">
        <v>565</v>
      </c>
      <c r="T83" s="51">
        <v>31450.05</v>
      </c>
    </row>
    <row r="84" spans="1:20" x14ac:dyDescent="0.25">
      <c r="A84" s="51" t="str">
        <f>(COUNTIF($K$2:K84,K84))&amp;K84</f>
        <v>432100</v>
      </c>
      <c r="B84" s="52" t="s">
        <v>582</v>
      </c>
      <c r="C84" s="53" t="s">
        <v>566</v>
      </c>
      <c r="D84" s="54" t="s">
        <v>564</v>
      </c>
      <c r="E84" s="55">
        <v>283400</v>
      </c>
      <c r="F84" s="55">
        <v>152800</v>
      </c>
      <c r="G84" s="55">
        <v>2320</v>
      </c>
      <c r="H84" s="55" t="s">
        <v>576</v>
      </c>
      <c r="I84" s="55">
        <v>-2.5</v>
      </c>
      <c r="J84" s="55">
        <v>0.65</v>
      </c>
      <c r="K84" s="56">
        <v>32100</v>
      </c>
      <c r="L84" s="55">
        <v>575</v>
      </c>
      <c r="M84" s="55">
        <v>0</v>
      </c>
      <c r="N84" s="55" t="s">
        <v>574</v>
      </c>
      <c r="O84" s="55">
        <v>-240</v>
      </c>
      <c r="P84" s="55">
        <v>0</v>
      </c>
      <c r="Q84" s="55">
        <v>0</v>
      </c>
      <c r="R84" s="57" t="s">
        <v>563</v>
      </c>
      <c r="S84" s="58" t="b">
        <v>0</v>
      </c>
      <c r="T84" s="51">
        <v>31450.05</v>
      </c>
    </row>
    <row r="85" spans="1:20" x14ac:dyDescent="0.25">
      <c r="A85" s="51" t="str">
        <f>(COUNTIF($K$2:K85,K85))&amp;K85</f>
        <v>432200</v>
      </c>
      <c r="B85" s="52" t="s">
        <v>582</v>
      </c>
      <c r="C85" s="53" t="s">
        <v>562</v>
      </c>
      <c r="D85" s="54" t="s">
        <v>563</v>
      </c>
      <c r="E85" s="55">
        <v>140060</v>
      </c>
      <c r="F85" s="55">
        <v>105980</v>
      </c>
      <c r="G85" s="55">
        <v>-42640</v>
      </c>
      <c r="H85" s="55" t="s">
        <v>576</v>
      </c>
      <c r="I85" s="55">
        <v>-1.9000000000000001</v>
      </c>
      <c r="J85" s="55">
        <v>0.45</v>
      </c>
      <c r="K85" s="56">
        <v>32200</v>
      </c>
      <c r="L85" s="55">
        <v>677.35</v>
      </c>
      <c r="M85" s="55">
        <v>4.7000000000000455</v>
      </c>
      <c r="N85" s="55" t="s">
        <v>574</v>
      </c>
      <c r="O85" s="55">
        <v>-1420</v>
      </c>
      <c r="P85" s="55">
        <v>0</v>
      </c>
      <c r="Q85" s="55">
        <v>0</v>
      </c>
      <c r="R85" s="57" t="s">
        <v>563</v>
      </c>
      <c r="S85" s="58" t="s">
        <v>567</v>
      </c>
      <c r="T85" s="51">
        <v>31450.05</v>
      </c>
    </row>
    <row r="86" spans="1:20" x14ac:dyDescent="0.25">
      <c r="A86" s="51" t="str">
        <f>(COUNTIF($K$2:K86,K86))&amp;K86</f>
        <v>5PCR</v>
      </c>
      <c r="B86" s="52" t="s">
        <v>582</v>
      </c>
      <c r="C86" s="60">
        <v>1.016172857250409</v>
      </c>
      <c r="E86" s="61"/>
      <c r="F86" s="62">
        <v>5844360</v>
      </c>
      <c r="G86" s="63"/>
      <c r="H86" s="64"/>
      <c r="I86" s="64"/>
      <c r="J86" s="64"/>
      <c r="K86" s="65" t="s">
        <v>555</v>
      </c>
      <c r="L86" s="64"/>
      <c r="M86" s="64"/>
      <c r="N86" s="64"/>
      <c r="P86" s="63">
        <v>5938880</v>
      </c>
      <c r="Q86" s="61"/>
      <c r="R86" s="64"/>
      <c r="S86" s="64"/>
    </row>
    <row r="87" spans="1:20" x14ac:dyDescent="0.25">
      <c r="A87" s="51" t="str">
        <f>(COUNTIF($K$2:K87,K87))&amp;K87</f>
        <v>530700</v>
      </c>
      <c r="B87" s="52" t="s">
        <v>582</v>
      </c>
      <c r="C87" s="53" t="s">
        <v>566</v>
      </c>
      <c r="D87" s="54" t="s">
        <v>564</v>
      </c>
      <c r="E87" s="55">
        <v>440</v>
      </c>
      <c r="F87" s="55">
        <v>11880</v>
      </c>
      <c r="G87" s="55">
        <v>60</v>
      </c>
      <c r="H87" s="55" t="s">
        <v>574</v>
      </c>
      <c r="I87" s="55">
        <v>-114.35000000000002</v>
      </c>
      <c r="J87" s="55">
        <v>721.65</v>
      </c>
      <c r="K87" s="56">
        <v>30700</v>
      </c>
      <c r="L87" s="55">
        <v>1</v>
      </c>
      <c r="M87" s="55">
        <v>-2.6</v>
      </c>
      <c r="N87" s="55" t="s">
        <v>576</v>
      </c>
      <c r="O87" s="55">
        <v>1700</v>
      </c>
      <c r="P87" s="55">
        <v>191900</v>
      </c>
      <c r="Q87" s="55">
        <v>133460</v>
      </c>
      <c r="R87" s="57" t="s">
        <v>564</v>
      </c>
      <c r="S87" s="58" t="s">
        <v>566</v>
      </c>
      <c r="T87" s="51">
        <v>31450.05</v>
      </c>
    </row>
    <row r="88" spans="1:20" x14ac:dyDescent="0.25">
      <c r="A88" s="51" t="str">
        <f>(COUNTIF($K$2:K88,K88))&amp;K88</f>
        <v>530800</v>
      </c>
      <c r="B88" s="52" t="s">
        <v>582</v>
      </c>
      <c r="C88" s="53" t="s">
        <v>566</v>
      </c>
      <c r="D88" s="54" t="s">
        <v>564</v>
      </c>
      <c r="E88" s="55">
        <v>480</v>
      </c>
      <c r="F88" s="55">
        <v>7520</v>
      </c>
      <c r="G88" s="55">
        <v>20</v>
      </c>
      <c r="H88" s="55" t="s">
        <v>574</v>
      </c>
      <c r="I88" s="55">
        <v>-120.60000000000002</v>
      </c>
      <c r="J88" s="55">
        <v>615</v>
      </c>
      <c r="K88" s="56">
        <v>30800</v>
      </c>
      <c r="L88" s="55">
        <v>1.3</v>
      </c>
      <c r="M88" s="55">
        <v>-2.8</v>
      </c>
      <c r="N88" s="55" t="s">
        <v>576</v>
      </c>
      <c r="O88" s="55">
        <v>10100</v>
      </c>
      <c r="P88" s="55">
        <v>377500</v>
      </c>
      <c r="Q88" s="55">
        <v>272180</v>
      </c>
      <c r="R88" s="57" t="s">
        <v>564</v>
      </c>
      <c r="S88" s="58" t="s">
        <v>566</v>
      </c>
      <c r="T88" s="51">
        <v>31450.05</v>
      </c>
    </row>
    <row r="89" spans="1:20" x14ac:dyDescent="0.25">
      <c r="A89" s="51" t="str">
        <f>(COUNTIF($K$2:K89,K89))&amp;K89</f>
        <v>530900</v>
      </c>
      <c r="B89" s="52" t="s">
        <v>582</v>
      </c>
      <c r="C89" s="53" t="s">
        <v>566</v>
      </c>
      <c r="D89" s="54" t="s">
        <v>564</v>
      </c>
      <c r="E89" s="55">
        <v>860</v>
      </c>
      <c r="F89" s="55">
        <v>6440</v>
      </c>
      <c r="G89" s="55">
        <v>200</v>
      </c>
      <c r="H89" s="55" t="s">
        <v>574</v>
      </c>
      <c r="I89" s="55">
        <v>-115.54999999999995</v>
      </c>
      <c r="J89" s="55">
        <v>518</v>
      </c>
      <c r="K89" s="56">
        <v>30900</v>
      </c>
      <c r="L89" s="55">
        <v>2.0499999999999998</v>
      </c>
      <c r="M89" s="55">
        <v>-3.45</v>
      </c>
      <c r="N89" s="55" t="s">
        <v>576</v>
      </c>
      <c r="O89" s="55">
        <v>58360</v>
      </c>
      <c r="P89" s="55">
        <v>424240</v>
      </c>
      <c r="Q89" s="55">
        <v>466660</v>
      </c>
      <c r="R89" s="57" t="s">
        <v>564</v>
      </c>
      <c r="S89" s="58" t="s">
        <v>566</v>
      </c>
      <c r="T89" s="51">
        <v>31450.05</v>
      </c>
    </row>
    <row r="90" spans="1:20" x14ac:dyDescent="0.25">
      <c r="A90" s="51" t="str">
        <f>(COUNTIF($K$2:K90,K90))&amp;K90</f>
        <v>531000</v>
      </c>
      <c r="B90" s="52" t="s">
        <v>582</v>
      </c>
      <c r="C90" s="53" t="s">
        <v>566</v>
      </c>
      <c r="D90" s="54" t="s">
        <v>564</v>
      </c>
      <c r="E90" s="55">
        <v>17140</v>
      </c>
      <c r="F90" s="55">
        <v>90700</v>
      </c>
      <c r="G90" s="55">
        <v>2480</v>
      </c>
      <c r="H90" s="55" t="s">
        <v>574</v>
      </c>
      <c r="I90" s="55">
        <v>-122.05000000000001</v>
      </c>
      <c r="J90" s="55">
        <v>422.8</v>
      </c>
      <c r="K90" s="56">
        <v>31000</v>
      </c>
      <c r="L90" s="55">
        <v>3.35</v>
      </c>
      <c r="M90" s="55">
        <v>-4.0500000000000007</v>
      </c>
      <c r="N90" s="55" t="s">
        <v>576</v>
      </c>
      <c r="O90" s="55">
        <v>236720</v>
      </c>
      <c r="P90" s="55">
        <v>1047320</v>
      </c>
      <c r="Q90" s="55">
        <v>1243260</v>
      </c>
      <c r="R90" s="57" t="s">
        <v>564</v>
      </c>
      <c r="S90" s="58" t="s">
        <v>566</v>
      </c>
      <c r="T90" s="51">
        <v>31450.05</v>
      </c>
    </row>
    <row r="91" spans="1:20" x14ac:dyDescent="0.25">
      <c r="A91" s="51" t="str">
        <f>(COUNTIF($K$2:K91,K91))&amp;K91</f>
        <v>531100</v>
      </c>
      <c r="B91" s="52" t="s">
        <v>582</v>
      </c>
      <c r="C91" s="53" t="s">
        <v>566</v>
      </c>
      <c r="D91" s="54" t="s">
        <v>564</v>
      </c>
      <c r="E91" s="55">
        <v>15080</v>
      </c>
      <c r="F91" s="55">
        <v>33120</v>
      </c>
      <c r="G91" s="55">
        <v>2460</v>
      </c>
      <c r="H91" s="55" t="s">
        <v>574</v>
      </c>
      <c r="I91" s="55">
        <v>-120.14999999999998</v>
      </c>
      <c r="J91" s="55">
        <v>325</v>
      </c>
      <c r="K91" s="56">
        <v>31100</v>
      </c>
      <c r="L91" s="55">
        <v>6.85</v>
      </c>
      <c r="M91" s="55">
        <v>-3.3000000000000007</v>
      </c>
      <c r="N91" s="55" t="s">
        <v>576</v>
      </c>
      <c r="O91" s="55">
        <v>73700</v>
      </c>
      <c r="P91" s="55">
        <v>592400</v>
      </c>
      <c r="Q91" s="55">
        <v>1114520</v>
      </c>
      <c r="R91" s="57" t="s">
        <v>564</v>
      </c>
      <c r="S91" s="58" t="s">
        <v>566</v>
      </c>
      <c r="T91" s="51">
        <v>31450.05</v>
      </c>
    </row>
    <row r="92" spans="1:20" x14ac:dyDescent="0.25">
      <c r="A92" s="51" t="str">
        <f>(COUNTIF($K$2:K92,K92))&amp;K92</f>
        <v>531200</v>
      </c>
      <c r="B92" s="52" t="s">
        <v>582</v>
      </c>
      <c r="C92" s="53" t="s">
        <v>566</v>
      </c>
      <c r="D92" s="54" t="s">
        <v>564</v>
      </c>
      <c r="E92" s="55">
        <v>81800</v>
      </c>
      <c r="F92" s="55">
        <v>143600</v>
      </c>
      <c r="G92" s="55">
        <v>11880</v>
      </c>
      <c r="H92" s="55" t="s">
        <v>574</v>
      </c>
      <c r="I92" s="55">
        <v>-115.19999999999999</v>
      </c>
      <c r="J92" s="55">
        <v>235.25</v>
      </c>
      <c r="K92" s="56">
        <v>31200</v>
      </c>
      <c r="L92" s="55">
        <v>17.149999999999999</v>
      </c>
      <c r="M92" s="55">
        <v>-0.25</v>
      </c>
      <c r="N92" s="55" t="s">
        <v>576</v>
      </c>
      <c r="O92" s="55">
        <v>252400</v>
      </c>
      <c r="P92" s="55">
        <v>778340</v>
      </c>
      <c r="Q92" s="55">
        <v>1580760</v>
      </c>
      <c r="R92" s="57" t="s">
        <v>564</v>
      </c>
      <c r="S92" s="58" t="s">
        <v>566</v>
      </c>
      <c r="T92" s="51">
        <v>31450.05</v>
      </c>
    </row>
    <row r="93" spans="1:20" x14ac:dyDescent="0.25">
      <c r="A93" s="51" t="str">
        <f>(COUNTIF($K$2:K93,K93))&amp;K93</f>
        <v>531300</v>
      </c>
      <c r="B93" s="52" t="s">
        <v>582</v>
      </c>
      <c r="C93" s="53" t="s">
        <v>566</v>
      </c>
      <c r="D93" s="54" t="s">
        <v>564</v>
      </c>
      <c r="E93" s="55">
        <v>240240</v>
      </c>
      <c r="F93" s="55">
        <v>142840</v>
      </c>
      <c r="G93" s="55">
        <v>26900</v>
      </c>
      <c r="H93" s="55" t="s">
        <v>576</v>
      </c>
      <c r="I93" s="55">
        <v>-106.70000000000002</v>
      </c>
      <c r="J93" s="55">
        <v>158.85</v>
      </c>
      <c r="K93" s="56">
        <v>31300</v>
      </c>
      <c r="L93" s="55">
        <v>39</v>
      </c>
      <c r="M93" s="55">
        <v>8.0500000000000007</v>
      </c>
      <c r="N93" s="55" t="s">
        <v>576</v>
      </c>
      <c r="O93" s="55">
        <v>239400</v>
      </c>
      <c r="P93" s="55">
        <v>889900</v>
      </c>
      <c r="Q93" s="55">
        <v>1825200</v>
      </c>
      <c r="R93" s="57" t="s">
        <v>564</v>
      </c>
      <c r="S93" s="58" t="s">
        <v>565</v>
      </c>
      <c r="T93" s="51">
        <v>31450.05</v>
      </c>
    </row>
    <row r="94" spans="1:20" x14ac:dyDescent="0.25">
      <c r="A94" s="51" t="str">
        <f>(COUNTIF($K$2:K94,K94))&amp;K94</f>
        <v>531400</v>
      </c>
      <c r="B94" s="52" t="s">
        <v>582</v>
      </c>
      <c r="C94" s="53" t="s">
        <v>566</v>
      </c>
      <c r="D94" s="54" t="s">
        <v>564</v>
      </c>
      <c r="E94" s="55">
        <v>733600</v>
      </c>
      <c r="F94" s="55">
        <v>334260</v>
      </c>
      <c r="G94" s="112" t="s">
        <v>577</v>
      </c>
      <c r="H94" s="55" t="s">
        <v>576</v>
      </c>
      <c r="I94" s="55">
        <v>-91.3</v>
      </c>
      <c r="J94" s="55">
        <v>97.7</v>
      </c>
      <c r="K94" s="56">
        <v>31400</v>
      </c>
      <c r="L94" s="55">
        <v>78.5</v>
      </c>
      <c r="M94" s="55">
        <v>24.549999999999997</v>
      </c>
      <c r="N94" s="55" t="s">
        <v>576</v>
      </c>
      <c r="O94" s="55">
        <v>114480</v>
      </c>
      <c r="P94" s="55">
        <v>670700</v>
      </c>
      <c r="Q94" s="55">
        <v>1397140</v>
      </c>
      <c r="R94" s="57" t="s">
        <v>564</v>
      </c>
      <c r="S94" s="58" t="s">
        <v>565</v>
      </c>
      <c r="T94" s="51">
        <v>31450.05</v>
      </c>
    </row>
    <row r="95" spans="1:20" ht="15.75" x14ac:dyDescent="0.25">
      <c r="A95" s="51" t="str">
        <f>(COUNTIF($K$2:K95,K95))&amp;K95</f>
        <v>531500</v>
      </c>
      <c r="B95" s="52" t="s">
        <v>582</v>
      </c>
      <c r="C95" s="53" t="s">
        <v>566</v>
      </c>
      <c r="D95" s="54" t="s">
        <v>564</v>
      </c>
      <c r="E95" s="55">
        <v>2027140</v>
      </c>
      <c r="F95" s="55">
        <v>1267620</v>
      </c>
      <c r="G95" s="55">
        <v>489080</v>
      </c>
      <c r="H95" s="55" t="s">
        <v>576</v>
      </c>
      <c r="I95" s="55">
        <v>-71.400000000000006</v>
      </c>
      <c r="J95" s="55">
        <v>55.05</v>
      </c>
      <c r="K95" s="59">
        <v>31500</v>
      </c>
      <c r="L95" s="55">
        <v>136</v>
      </c>
      <c r="M95" s="55">
        <v>45.849999999999994</v>
      </c>
      <c r="N95" s="55" t="s">
        <v>576</v>
      </c>
      <c r="O95" s="55">
        <v>86040</v>
      </c>
      <c r="P95" s="55">
        <v>716520</v>
      </c>
      <c r="Q95" s="55">
        <v>1263000</v>
      </c>
      <c r="R95" s="57" t="s">
        <v>564</v>
      </c>
      <c r="S95" s="58" t="s">
        <v>565</v>
      </c>
      <c r="T95" s="51">
        <v>31450.05</v>
      </c>
    </row>
    <row r="96" spans="1:20" x14ac:dyDescent="0.25">
      <c r="A96" s="51" t="str">
        <f>(COUNTIF($K$2:K96,K96))&amp;K96</f>
        <v>531600</v>
      </c>
      <c r="B96" s="52" t="s">
        <v>582</v>
      </c>
      <c r="C96" s="53" t="s">
        <v>566</v>
      </c>
      <c r="D96" s="54" t="s">
        <v>564</v>
      </c>
      <c r="E96" s="55">
        <v>1539440</v>
      </c>
      <c r="F96" s="55">
        <v>862340</v>
      </c>
      <c r="G96" s="55">
        <v>242680</v>
      </c>
      <c r="H96" s="55" t="s">
        <v>576</v>
      </c>
      <c r="I96" s="55">
        <v>-51.800000000000004</v>
      </c>
      <c r="J96" s="55">
        <v>26.65</v>
      </c>
      <c r="K96" s="56">
        <v>31600</v>
      </c>
      <c r="L96" s="55">
        <v>208.45</v>
      </c>
      <c r="M96" s="55">
        <v>66.349999999999994</v>
      </c>
      <c r="N96" s="55" t="s">
        <v>576</v>
      </c>
      <c r="O96" s="55">
        <v>27880</v>
      </c>
      <c r="P96" s="55">
        <v>122120</v>
      </c>
      <c r="Q96" s="55">
        <v>363520</v>
      </c>
      <c r="R96" s="57" t="s">
        <v>564</v>
      </c>
      <c r="S96" s="58" t="s">
        <v>565</v>
      </c>
      <c r="T96" s="51">
        <v>31450.05</v>
      </c>
    </row>
    <row r="97" spans="1:20" x14ac:dyDescent="0.25">
      <c r="A97" s="51" t="str">
        <f>(COUNTIF($K$2:K97,K97))&amp;K97</f>
        <v>531700</v>
      </c>
      <c r="B97" s="52" t="s">
        <v>582</v>
      </c>
      <c r="C97" s="53" t="s">
        <v>566</v>
      </c>
      <c r="D97" s="54" t="s">
        <v>564</v>
      </c>
      <c r="E97" s="55">
        <v>1832540</v>
      </c>
      <c r="F97" s="55">
        <v>769300</v>
      </c>
      <c r="G97" s="55">
        <v>134040</v>
      </c>
      <c r="H97" s="55" t="s">
        <v>576</v>
      </c>
      <c r="I97" s="55">
        <v>-32.25</v>
      </c>
      <c r="J97" s="55">
        <v>12.2</v>
      </c>
      <c r="K97" s="56">
        <v>31700</v>
      </c>
      <c r="L97" s="55">
        <v>294.14999999999998</v>
      </c>
      <c r="M97" s="55">
        <v>84.749999999999972</v>
      </c>
      <c r="N97" s="55" t="s">
        <v>576</v>
      </c>
      <c r="O97" s="55">
        <v>21980</v>
      </c>
      <c r="P97" s="55">
        <v>71740</v>
      </c>
      <c r="Q97" s="55">
        <v>184120</v>
      </c>
      <c r="R97" s="57" t="s">
        <v>564</v>
      </c>
      <c r="S97" s="58" t="s">
        <v>565</v>
      </c>
      <c r="T97" s="51">
        <v>31450.05</v>
      </c>
    </row>
    <row r="98" spans="1:20" x14ac:dyDescent="0.25">
      <c r="A98" s="51" t="str">
        <f>(COUNTIF($K$2:K98,K98))&amp;K98</f>
        <v>531800</v>
      </c>
      <c r="B98" s="52" t="s">
        <v>582</v>
      </c>
      <c r="C98" s="53" t="s">
        <v>566</v>
      </c>
      <c r="D98" s="54" t="s">
        <v>564</v>
      </c>
      <c r="E98" s="55">
        <v>1448940</v>
      </c>
      <c r="F98" s="55">
        <v>730120</v>
      </c>
      <c r="G98" s="55">
        <v>144740</v>
      </c>
      <c r="H98" s="55" t="s">
        <v>576</v>
      </c>
      <c r="I98" s="55">
        <v>-18.5</v>
      </c>
      <c r="J98" s="55">
        <v>5</v>
      </c>
      <c r="K98" s="56">
        <v>31800</v>
      </c>
      <c r="L98" s="55">
        <v>387.4</v>
      </c>
      <c r="M98" s="55">
        <v>102.04999999999995</v>
      </c>
      <c r="N98" s="55" t="s">
        <v>576</v>
      </c>
      <c r="O98" s="55">
        <v>18880</v>
      </c>
      <c r="P98" s="55">
        <v>33860</v>
      </c>
      <c r="Q98" s="55">
        <v>69260</v>
      </c>
      <c r="R98" s="57" t="s">
        <v>564</v>
      </c>
      <c r="S98" s="58" t="s">
        <v>565</v>
      </c>
      <c r="T98" s="51">
        <v>31450.05</v>
      </c>
    </row>
    <row r="99" spans="1:20" x14ac:dyDescent="0.25">
      <c r="A99" s="51" t="str">
        <f>(COUNTIF($K$2:K99,K99))&amp;K99</f>
        <v>531900</v>
      </c>
      <c r="B99" s="52" t="s">
        <v>582</v>
      </c>
      <c r="C99" s="53" t="s">
        <v>562</v>
      </c>
      <c r="D99" s="54" t="s">
        <v>563</v>
      </c>
      <c r="E99" s="55">
        <v>1086100</v>
      </c>
      <c r="F99" s="55">
        <v>501400</v>
      </c>
      <c r="G99" s="55">
        <v>-10400</v>
      </c>
      <c r="H99" s="55" t="s">
        <v>576</v>
      </c>
      <c r="I99" s="55">
        <v>-8.9499999999999993</v>
      </c>
      <c r="J99" s="55">
        <v>2.15</v>
      </c>
      <c r="K99" s="56">
        <v>31900</v>
      </c>
      <c r="L99" s="55">
        <v>480.95</v>
      </c>
      <c r="M99" s="55">
        <v>104.25</v>
      </c>
      <c r="N99" s="55" t="s">
        <v>576</v>
      </c>
      <c r="O99" s="55">
        <v>4360</v>
      </c>
      <c r="P99" s="55">
        <v>9900</v>
      </c>
      <c r="Q99" s="55">
        <v>12780</v>
      </c>
      <c r="R99" s="57" t="s">
        <v>564</v>
      </c>
      <c r="S99" s="58" t="s">
        <v>565</v>
      </c>
      <c r="T99" s="51">
        <v>31450.05</v>
      </c>
    </row>
    <row r="100" spans="1:20" x14ac:dyDescent="0.25">
      <c r="A100" s="51" t="str">
        <f>(COUNTIF($K$2:K100,K100))&amp;K100</f>
        <v>532000</v>
      </c>
      <c r="B100" s="52" t="s">
        <v>582</v>
      </c>
      <c r="C100" s="53" t="s">
        <v>566</v>
      </c>
      <c r="D100" s="54" t="s">
        <v>564</v>
      </c>
      <c r="E100" s="55">
        <v>879120</v>
      </c>
      <c r="F100" s="55">
        <v>684440</v>
      </c>
      <c r="G100" s="55">
        <v>72780</v>
      </c>
      <c r="H100" s="55" t="s">
        <v>576</v>
      </c>
      <c r="I100" s="55">
        <v>-4.8499999999999996</v>
      </c>
      <c r="J100" s="55">
        <v>1.1499999999999999</v>
      </c>
      <c r="K100" s="56">
        <v>32000</v>
      </c>
      <c r="L100" s="55">
        <v>583.4</v>
      </c>
      <c r="M100" s="55">
        <v>112.89999999999998</v>
      </c>
      <c r="N100" s="55" t="s">
        <v>576</v>
      </c>
      <c r="O100" s="55">
        <v>320</v>
      </c>
      <c r="P100" s="55">
        <v>12440</v>
      </c>
      <c r="Q100" s="55">
        <v>8540</v>
      </c>
      <c r="R100" s="57" t="s">
        <v>564</v>
      </c>
      <c r="S100" s="58" t="s">
        <v>565</v>
      </c>
      <c r="T100" s="51">
        <v>31450.05</v>
      </c>
    </row>
    <row r="101" spans="1:20" x14ac:dyDescent="0.25">
      <c r="A101" s="51" t="str">
        <f>(COUNTIF($K$2:K101,K101))&amp;K101</f>
        <v>532100</v>
      </c>
      <c r="B101" s="52" t="s">
        <v>582</v>
      </c>
      <c r="C101" s="53" t="s">
        <v>566</v>
      </c>
      <c r="D101" s="54" t="s">
        <v>564</v>
      </c>
      <c r="E101" s="55">
        <v>283400</v>
      </c>
      <c r="F101" s="55">
        <v>152800</v>
      </c>
      <c r="G101" s="55">
        <v>2320</v>
      </c>
      <c r="H101" s="55" t="s">
        <v>576</v>
      </c>
      <c r="I101" s="55">
        <v>-2.5</v>
      </c>
      <c r="J101" s="55">
        <v>0.65</v>
      </c>
      <c r="K101" s="56">
        <v>32100</v>
      </c>
      <c r="L101" s="55">
        <v>575</v>
      </c>
      <c r="M101" s="55">
        <v>0</v>
      </c>
      <c r="N101" s="55" t="s">
        <v>574</v>
      </c>
      <c r="O101" s="55">
        <v>-240</v>
      </c>
      <c r="P101" s="55">
        <v>0</v>
      </c>
      <c r="Q101" s="55">
        <v>0</v>
      </c>
      <c r="R101" s="57" t="s">
        <v>563</v>
      </c>
      <c r="S101" s="58" t="b">
        <v>0</v>
      </c>
      <c r="T101" s="51">
        <v>31450.05</v>
      </c>
    </row>
    <row r="102" spans="1:20" x14ac:dyDescent="0.25">
      <c r="A102" s="51" t="str">
        <f>(COUNTIF($K$2:K102,K102))&amp;K102</f>
        <v>532200</v>
      </c>
      <c r="B102" s="52" t="s">
        <v>582</v>
      </c>
      <c r="C102" s="53" t="s">
        <v>562</v>
      </c>
      <c r="D102" s="54" t="s">
        <v>563</v>
      </c>
      <c r="E102" s="55">
        <v>140060</v>
      </c>
      <c r="F102" s="55">
        <v>105980</v>
      </c>
      <c r="G102" s="55">
        <v>-42640</v>
      </c>
      <c r="H102" s="55" t="s">
        <v>576</v>
      </c>
      <c r="I102" s="55">
        <v>-1.9000000000000001</v>
      </c>
      <c r="J102" s="55">
        <v>0.45</v>
      </c>
      <c r="K102" s="56">
        <v>32200</v>
      </c>
      <c r="L102" s="55">
        <v>677.35</v>
      </c>
      <c r="M102" s="55">
        <v>4.7000000000000455</v>
      </c>
      <c r="N102" s="55" t="s">
        <v>574</v>
      </c>
      <c r="O102" s="55">
        <v>-1420</v>
      </c>
      <c r="P102" s="55">
        <v>0</v>
      </c>
      <c r="Q102" s="55">
        <v>0</v>
      </c>
      <c r="R102" s="57" t="s">
        <v>563</v>
      </c>
      <c r="S102" s="58" t="s">
        <v>567</v>
      </c>
      <c r="T102" s="51">
        <v>31450.05</v>
      </c>
    </row>
    <row r="103" spans="1:20" x14ac:dyDescent="0.25">
      <c r="A103" s="51" t="str">
        <f>(COUNTIF($K$2:K103,K103))&amp;K103</f>
        <v>6PCR</v>
      </c>
      <c r="B103" s="52" t="s">
        <v>582</v>
      </c>
      <c r="C103" s="60">
        <v>1.016172857250409</v>
      </c>
      <c r="E103" s="61"/>
      <c r="F103" s="62">
        <v>5844360</v>
      </c>
      <c r="G103" s="63"/>
      <c r="H103" s="64"/>
      <c r="I103" s="64"/>
      <c r="J103" s="64"/>
      <c r="K103" s="65" t="s">
        <v>555</v>
      </c>
      <c r="L103" s="64"/>
      <c r="M103" s="64"/>
      <c r="N103" s="64"/>
      <c r="P103" s="63">
        <v>5938880</v>
      </c>
      <c r="Q103" s="61"/>
      <c r="R103" s="64"/>
      <c r="S103" s="64"/>
    </row>
    <row r="104" spans="1:20" x14ac:dyDescent="0.25">
      <c r="A104" s="51" t="str">
        <f>(COUNTIF($K$2:K104,K104))&amp;K104</f>
        <v>630700</v>
      </c>
      <c r="B104" s="52" t="s">
        <v>583</v>
      </c>
      <c r="C104" s="53" t="s">
        <v>566</v>
      </c>
      <c r="D104" s="54" t="s">
        <v>564</v>
      </c>
      <c r="E104" s="55">
        <v>500</v>
      </c>
      <c r="F104" s="55">
        <v>11880</v>
      </c>
      <c r="G104" s="55">
        <v>60</v>
      </c>
      <c r="H104" s="55" t="s">
        <v>574</v>
      </c>
      <c r="I104" s="55">
        <v>-121</v>
      </c>
      <c r="J104" s="55">
        <v>715</v>
      </c>
      <c r="K104" s="56">
        <v>30700</v>
      </c>
      <c r="L104" s="55">
        <v>0.7</v>
      </c>
      <c r="M104" s="55">
        <v>-2.9000000000000004</v>
      </c>
      <c r="N104" s="55" t="s">
        <v>576</v>
      </c>
      <c r="O104" s="55">
        <v>7160</v>
      </c>
      <c r="P104" s="55">
        <v>197360</v>
      </c>
      <c r="Q104" s="55">
        <v>168920</v>
      </c>
      <c r="R104" s="57" t="s">
        <v>564</v>
      </c>
      <c r="S104" s="58" t="s">
        <v>566</v>
      </c>
      <c r="T104" s="51">
        <v>31452</v>
      </c>
    </row>
    <row r="105" spans="1:20" x14ac:dyDescent="0.25">
      <c r="A105" s="51" t="str">
        <f>(COUNTIF($K$2:K105,K105))&amp;K105</f>
        <v>630800</v>
      </c>
      <c r="B105" s="52" t="s">
        <v>583</v>
      </c>
      <c r="C105" s="53" t="s">
        <v>562</v>
      </c>
      <c r="D105" s="54" t="s">
        <v>563</v>
      </c>
      <c r="E105" s="55">
        <v>700</v>
      </c>
      <c r="F105" s="55">
        <v>7400</v>
      </c>
      <c r="G105" s="55">
        <v>-100</v>
      </c>
      <c r="H105" s="55" t="s">
        <v>574</v>
      </c>
      <c r="I105" s="55">
        <v>-113.60000000000002</v>
      </c>
      <c r="J105" s="55">
        <v>622</v>
      </c>
      <c r="K105" s="56">
        <v>30800</v>
      </c>
      <c r="L105" s="55">
        <v>0.95</v>
      </c>
      <c r="M105" s="55">
        <v>-3.1499999999999995</v>
      </c>
      <c r="N105" s="55" t="s">
        <v>576</v>
      </c>
      <c r="O105" s="55">
        <v>15000</v>
      </c>
      <c r="P105" s="55">
        <v>382400</v>
      </c>
      <c r="Q105" s="55">
        <v>334520</v>
      </c>
      <c r="R105" s="57" t="s">
        <v>564</v>
      </c>
      <c r="S105" s="58" t="s">
        <v>566</v>
      </c>
      <c r="T105" s="51">
        <v>31452</v>
      </c>
    </row>
    <row r="106" spans="1:20" x14ac:dyDescent="0.25">
      <c r="A106" s="51" t="str">
        <f>(COUNTIF($K$2:K106,K106))&amp;K106</f>
        <v>630900</v>
      </c>
      <c r="B106" s="52" t="s">
        <v>583</v>
      </c>
      <c r="C106" s="53" t="s">
        <v>566</v>
      </c>
      <c r="D106" s="54" t="s">
        <v>564</v>
      </c>
      <c r="E106" s="55">
        <v>1240</v>
      </c>
      <c r="F106" s="55">
        <v>6340</v>
      </c>
      <c r="G106" s="55">
        <v>100</v>
      </c>
      <c r="H106" s="55" t="s">
        <v>574</v>
      </c>
      <c r="I106" s="55">
        <v>-108.84999999999991</v>
      </c>
      <c r="J106" s="55">
        <v>524.70000000000005</v>
      </c>
      <c r="K106" s="56">
        <v>30900</v>
      </c>
      <c r="L106" s="55">
        <v>1.6</v>
      </c>
      <c r="M106" s="55">
        <v>-3.9</v>
      </c>
      <c r="N106" s="55" t="s">
        <v>576</v>
      </c>
      <c r="O106" s="55">
        <v>78200</v>
      </c>
      <c r="P106" s="55">
        <v>444080</v>
      </c>
      <c r="Q106" s="55">
        <v>582280</v>
      </c>
      <c r="R106" s="57" t="s">
        <v>564</v>
      </c>
      <c r="S106" s="58" t="s">
        <v>566</v>
      </c>
      <c r="T106" s="51">
        <v>31452</v>
      </c>
    </row>
    <row r="107" spans="1:20" x14ac:dyDescent="0.25">
      <c r="A107" s="51" t="str">
        <f>(COUNTIF($K$2:K107,K107))&amp;K107</f>
        <v>631000</v>
      </c>
      <c r="B107" s="52" t="s">
        <v>583</v>
      </c>
      <c r="C107" s="53" t="s">
        <v>566</v>
      </c>
      <c r="D107" s="54" t="s">
        <v>564</v>
      </c>
      <c r="E107" s="55">
        <v>19560</v>
      </c>
      <c r="F107" s="55">
        <v>91020</v>
      </c>
      <c r="G107" s="55">
        <v>2800</v>
      </c>
      <c r="H107" s="55" t="s">
        <v>574</v>
      </c>
      <c r="I107" s="55">
        <v>-119.85000000000002</v>
      </c>
      <c r="J107" s="55">
        <v>425</v>
      </c>
      <c r="K107" s="56">
        <v>31000</v>
      </c>
      <c r="L107" s="55">
        <v>2.75</v>
      </c>
      <c r="M107" s="55">
        <v>-4.6500000000000004</v>
      </c>
      <c r="N107" s="55" t="s">
        <v>576</v>
      </c>
      <c r="O107" s="55">
        <v>322880</v>
      </c>
      <c r="P107" s="55">
        <v>1133480</v>
      </c>
      <c r="Q107" s="55">
        <v>1550000</v>
      </c>
      <c r="R107" s="57" t="s">
        <v>564</v>
      </c>
      <c r="S107" s="58" t="s">
        <v>566</v>
      </c>
      <c r="T107" s="51">
        <v>31452</v>
      </c>
    </row>
    <row r="108" spans="1:20" x14ac:dyDescent="0.25">
      <c r="A108" s="51" t="str">
        <f>(COUNTIF($K$2:K108,K108))&amp;K108</f>
        <v>631100</v>
      </c>
      <c r="B108" s="52" t="s">
        <v>583</v>
      </c>
      <c r="C108" s="53" t="s">
        <v>566</v>
      </c>
      <c r="D108" s="54" t="s">
        <v>564</v>
      </c>
      <c r="E108" s="55">
        <v>23440</v>
      </c>
      <c r="F108" s="55">
        <v>36660</v>
      </c>
      <c r="G108" s="55">
        <v>6000</v>
      </c>
      <c r="H108" s="55" t="s">
        <v>574</v>
      </c>
      <c r="I108" s="55">
        <v>-115.79999999999995</v>
      </c>
      <c r="J108" s="55">
        <v>329.35</v>
      </c>
      <c r="K108" s="56">
        <v>31100</v>
      </c>
      <c r="L108" s="55">
        <v>5.6</v>
      </c>
      <c r="M108" s="55">
        <v>-4.5500000000000007</v>
      </c>
      <c r="N108" s="55" t="s">
        <v>576</v>
      </c>
      <c r="O108" s="55">
        <v>122100</v>
      </c>
      <c r="P108" s="55">
        <v>640800</v>
      </c>
      <c r="Q108" s="55">
        <v>1609300</v>
      </c>
      <c r="R108" s="57" t="s">
        <v>564</v>
      </c>
      <c r="S108" s="58" t="s">
        <v>566</v>
      </c>
      <c r="T108" s="51">
        <v>31452</v>
      </c>
    </row>
    <row r="109" spans="1:20" x14ac:dyDescent="0.25">
      <c r="A109" s="51" t="str">
        <f>(COUNTIF($K$2:K109,K109))&amp;K109</f>
        <v>631200</v>
      </c>
      <c r="B109" s="52" t="s">
        <v>583</v>
      </c>
      <c r="C109" s="53" t="s">
        <v>566</v>
      </c>
      <c r="D109" s="54" t="s">
        <v>564</v>
      </c>
      <c r="E109" s="55">
        <v>118020</v>
      </c>
      <c r="F109" s="55">
        <v>147400</v>
      </c>
      <c r="G109" s="55">
        <v>15680</v>
      </c>
      <c r="H109" s="55" t="s">
        <v>574</v>
      </c>
      <c r="I109" s="55">
        <v>-115.04999999999998</v>
      </c>
      <c r="J109" s="55">
        <v>235.4</v>
      </c>
      <c r="K109" s="56">
        <v>31200</v>
      </c>
      <c r="L109" s="55">
        <v>15.45</v>
      </c>
      <c r="M109" s="55">
        <v>-1.9499999999999993</v>
      </c>
      <c r="N109" s="55" t="s">
        <v>576</v>
      </c>
      <c r="O109" s="55">
        <v>328300</v>
      </c>
      <c r="P109" s="55">
        <v>854240</v>
      </c>
      <c r="Q109" s="55">
        <v>2203980</v>
      </c>
      <c r="R109" s="57" t="s">
        <v>564</v>
      </c>
      <c r="S109" s="58" t="s">
        <v>566</v>
      </c>
      <c r="T109" s="51">
        <v>31452</v>
      </c>
    </row>
    <row r="110" spans="1:20" x14ac:dyDescent="0.25">
      <c r="A110" s="51" t="str">
        <f>(COUNTIF($K$2:K110,K110))&amp;K110</f>
        <v>631300</v>
      </c>
      <c r="B110" s="52" t="s">
        <v>583</v>
      </c>
      <c r="C110" s="53" t="s">
        <v>566</v>
      </c>
      <c r="D110" s="54" t="s">
        <v>564</v>
      </c>
      <c r="E110" s="55">
        <v>314460</v>
      </c>
      <c r="F110" s="55">
        <v>165840</v>
      </c>
      <c r="G110" s="55">
        <v>49900</v>
      </c>
      <c r="H110" s="55" t="s">
        <v>576</v>
      </c>
      <c r="I110" s="55">
        <v>-108.05000000000001</v>
      </c>
      <c r="J110" s="55">
        <v>157.5</v>
      </c>
      <c r="K110" s="56">
        <v>31300</v>
      </c>
      <c r="L110" s="55">
        <v>37.35</v>
      </c>
      <c r="M110" s="55">
        <v>6.4000000000000021</v>
      </c>
      <c r="N110" s="55" t="s">
        <v>576</v>
      </c>
      <c r="O110" s="55">
        <v>319180</v>
      </c>
      <c r="P110" s="55">
        <v>969680</v>
      </c>
      <c r="Q110" s="55">
        <v>2501340</v>
      </c>
      <c r="R110" s="57" t="s">
        <v>564</v>
      </c>
      <c r="S110" s="58" t="s">
        <v>565</v>
      </c>
      <c r="T110" s="51">
        <v>31452</v>
      </c>
    </row>
    <row r="111" spans="1:20" x14ac:dyDescent="0.25">
      <c r="A111" s="51" t="str">
        <f>(COUNTIF($K$2:K111,K111))&amp;K111</f>
        <v>631400</v>
      </c>
      <c r="B111" s="52" t="s">
        <v>583</v>
      </c>
      <c r="C111" s="53" t="s">
        <v>566</v>
      </c>
      <c r="D111" s="54" t="s">
        <v>564</v>
      </c>
      <c r="E111" s="55">
        <v>1021700</v>
      </c>
      <c r="F111" s="55">
        <v>423940</v>
      </c>
      <c r="G111" s="112" t="s">
        <v>577</v>
      </c>
      <c r="H111" s="55" t="s">
        <v>576</v>
      </c>
      <c r="I111" s="55">
        <v>-94</v>
      </c>
      <c r="J111" s="55">
        <v>95</v>
      </c>
      <c r="K111" s="56">
        <v>31400</v>
      </c>
      <c r="L111" s="55">
        <v>75.5</v>
      </c>
      <c r="M111" s="55">
        <v>21.549999999999997</v>
      </c>
      <c r="N111" s="55" t="s">
        <v>576</v>
      </c>
      <c r="O111" s="55">
        <v>174580</v>
      </c>
      <c r="P111" s="55">
        <v>730800</v>
      </c>
      <c r="Q111" s="55">
        <v>1903360</v>
      </c>
      <c r="R111" s="57" t="s">
        <v>564</v>
      </c>
      <c r="S111" s="58" t="s">
        <v>565</v>
      </c>
      <c r="T111" s="51">
        <v>31452</v>
      </c>
    </row>
    <row r="112" spans="1:20" ht="15.75" x14ac:dyDescent="0.25">
      <c r="A112" s="51" t="str">
        <f>(COUNTIF($K$2:K112,K112))&amp;K112</f>
        <v>631500</v>
      </c>
      <c r="B112" s="52" t="s">
        <v>583</v>
      </c>
      <c r="C112" s="53" t="s">
        <v>566</v>
      </c>
      <c r="D112" s="54" t="s">
        <v>564</v>
      </c>
      <c r="E112" s="55">
        <v>2632120</v>
      </c>
      <c r="F112" s="55">
        <v>1444980</v>
      </c>
      <c r="G112" s="55">
        <v>666440</v>
      </c>
      <c r="H112" s="55" t="s">
        <v>576</v>
      </c>
      <c r="I112" s="55">
        <v>-74.800000000000011</v>
      </c>
      <c r="J112" s="55">
        <v>51.65</v>
      </c>
      <c r="K112" s="59">
        <v>31500</v>
      </c>
      <c r="L112" s="55">
        <v>132</v>
      </c>
      <c r="M112" s="55">
        <v>41.849999999999994</v>
      </c>
      <c r="N112" s="55" t="s">
        <v>576</v>
      </c>
      <c r="O112" s="55">
        <v>115380</v>
      </c>
      <c r="P112" s="55">
        <v>745860</v>
      </c>
      <c r="Q112" s="55">
        <v>1562820</v>
      </c>
      <c r="R112" s="57" t="s">
        <v>564</v>
      </c>
      <c r="S112" s="58" t="s">
        <v>565</v>
      </c>
      <c r="T112" s="51">
        <v>31452</v>
      </c>
    </row>
    <row r="113" spans="1:20" x14ac:dyDescent="0.25">
      <c r="A113" s="51" t="str">
        <f>(COUNTIF($K$2:K113,K113))&amp;K113</f>
        <v>631600</v>
      </c>
      <c r="B113" s="52" t="s">
        <v>583</v>
      </c>
      <c r="C113" s="53" t="s">
        <v>566</v>
      </c>
      <c r="D113" s="54" t="s">
        <v>564</v>
      </c>
      <c r="E113" s="55">
        <v>2139080</v>
      </c>
      <c r="F113" s="55">
        <v>996280</v>
      </c>
      <c r="G113" s="55">
        <v>376620</v>
      </c>
      <c r="H113" s="55" t="s">
        <v>576</v>
      </c>
      <c r="I113" s="55">
        <v>-54.7</v>
      </c>
      <c r="J113" s="55">
        <v>23.75</v>
      </c>
      <c r="K113" s="56">
        <v>31600</v>
      </c>
      <c r="L113" s="55">
        <v>203.45</v>
      </c>
      <c r="M113" s="55">
        <v>61.349999999999994</v>
      </c>
      <c r="N113" s="55" t="s">
        <v>576</v>
      </c>
      <c r="O113" s="55">
        <v>39860</v>
      </c>
      <c r="P113" s="55">
        <v>134100</v>
      </c>
      <c r="Q113" s="55">
        <v>450120</v>
      </c>
      <c r="R113" s="57" t="s">
        <v>564</v>
      </c>
      <c r="S113" s="58" t="s">
        <v>565</v>
      </c>
      <c r="T113" s="51">
        <v>31452</v>
      </c>
    </row>
    <row r="114" spans="1:20" x14ac:dyDescent="0.25">
      <c r="A114" s="51" t="str">
        <f>(COUNTIF($K$2:K114,K114))&amp;K114</f>
        <v>631700</v>
      </c>
      <c r="B114" s="52" t="s">
        <v>583</v>
      </c>
      <c r="C114" s="53" t="s">
        <v>566</v>
      </c>
      <c r="D114" s="54" t="s">
        <v>564</v>
      </c>
      <c r="E114" s="55">
        <v>2340260</v>
      </c>
      <c r="F114" s="55">
        <v>877540</v>
      </c>
      <c r="G114" s="55">
        <v>242280</v>
      </c>
      <c r="H114" s="55" t="s">
        <v>576</v>
      </c>
      <c r="I114" s="55">
        <v>-34.75</v>
      </c>
      <c r="J114" s="55">
        <v>9.6999999999999993</v>
      </c>
      <c r="K114" s="56">
        <v>31700</v>
      </c>
      <c r="L114" s="55">
        <v>290.05</v>
      </c>
      <c r="M114" s="55">
        <v>80.650000000000006</v>
      </c>
      <c r="N114" s="55" t="s">
        <v>576</v>
      </c>
      <c r="O114" s="55">
        <v>25940</v>
      </c>
      <c r="P114" s="55">
        <v>75700</v>
      </c>
      <c r="Q114" s="55">
        <v>233060</v>
      </c>
      <c r="R114" s="57" t="s">
        <v>564</v>
      </c>
      <c r="S114" s="58" t="s">
        <v>565</v>
      </c>
      <c r="T114" s="51">
        <v>31452</v>
      </c>
    </row>
    <row r="115" spans="1:20" x14ac:dyDescent="0.25">
      <c r="A115" s="51" t="str">
        <f>(COUNTIF($K$2:K115,K115))&amp;K115</f>
        <v>631800</v>
      </c>
      <c r="B115" s="52" t="s">
        <v>583</v>
      </c>
      <c r="C115" s="53" t="s">
        <v>566</v>
      </c>
      <c r="D115" s="54" t="s">
        <v>564</v>
      </c>
      <c r="E115" s="55">
        <v>1864900</v>
      </c>
      <c r="F115" s="55">
        <v>802120</v>
      </c>
      <c r="G115" s="55">
        <v>216740</v>
      </c>
      <c r="H115" s="55" t="s">
        <v>576</v>
      </c>
      <c r="I115" s="55">
        <v>-19.850000000000001</v>
      </c>
      <c r="J115" s="55">
        <v>3.65</v>
      </c>
      <c r="K115" s="56">
        <v>31800</v>
      </c>
      <c r="L115" s="55">
        <v>384.85</v>
      </c>
      <c r="M115" s="55">
        <v>99.5</v>
      </c>
      <c r="N115" s="55" t="s">
        <v>576</v>
      </c>
      <c r="O115" s="55">
        <v>19800</v>
      </c>
      <c r="P115" s="55">
        <v>34780</v>
      </c>
      <c r="Q115" s="55">
        <v>80360</v>
      </c>
      <c r="R115" s="57" t="s">
        <v>564</v>
      </c>
      <c r="S115" s="58" t="s">
        <v>565</v>
      </c>
      <c r="T115" s="51">
        <v>31452</v>
      </c>
    </row>
    <row r="116" spans="1:20" x14ac:dyDescent="0.25">
      <c r="A116" s="51" t="str">
        <f>(COUNTIF($K$2:K116,K116))&amp;K116</f>
        <v>631900</v>
      </c>
      <c r="B116" s="52" t="s">
        <v>583</v>
      </c>
      <c r="C116" s="53" t="s">
        <v>566</v>
      </c>
      <c r="D116" s="54" t="s">
        <v>564</v>
      </c>
      <c r="E116" s="55">
        <v>1293900</v>
      </c>
      <c r="F116" s="55">
        <v>515200</v>
      </c>
      <c r="G116" s="55">
        <v>3400</v>
      </c>
      <c r="H116" s="55" t="s">
        <v>576</v>
      </c>
      <c r="I116" s="55">
        <v>-9.4499999999999993</v>
      </c>
      <c r="J116" s="55">
        <v>1.65</v>
      </c>
      <c r="K116" s="56">
        <v>31900</v>
      </c>
      <c r="L116" s="55">
        <v>483.5</v>
      </c>
      <c r="M116" s="55">
        <v>106.80000000000001</v>
      </c>
      <c r="N116" s="55" t="s">
        <v>576</v>
      </c>
      <c r="O116" s="55">
        <v>4340</v>
      </c>
      <c r="P116" s="55">
        <v>9880</v>
      </c>
      <c r="Q116" s="55">
        <v>15860</v>
      </c>
      <c r="R116" s="57" t="s">
        <v>564</v>
      </c>
      <c r="S116" s="58" t="s">
        <v>565</v>
      </c>
      <c r="T116" s="51">
        <v>31452</v>
      </c>
    </row>
    <row r="117" spans="1:20" x14ac:dyDescent="0.25">
      <c r="A117" s="51" t="str">
        <f>(COUNTIF($K$2:K117,K117))&amp;K117</f>
        <v>632000</v>
      </c>
      <c r="B117" s="52" t="s">
        <v>583</v>
      </c>
      <c r="C117" s="53" t="s">
        <v>566</v>
      </c>
      <c r="D117" s="54" t="s">
        <v>564</v>
      </c>
      <c r="E117" s="55">
        <v>1108880</v>
      </c>
      <c r="F117" s="55">
        <v>726000</v>
      </c>
      <c r="G117" s="55">
        <v>114340</v>
      </c>
      <c r="H117" s="55" t="s">
        <v>576</v>
      </c>
      <c r="I117" s="55">
        <v>-4.9000000000000004</v>
      </c>
      <c r="J117" s="55">
        <v>1.1000000000000001</v>
      </c>
      <c r="K117" s="56">
        <v>32000</v>
      </c>
      <c r="L117" s="55">
        <v>580</v>
      </c>
      <c r="M117" s="55">
        <v>109.5</v>
      </c>
      <c r="N117" s="55" t="s">
        <v>576</v>
      </c>
      <c r="O117" s="55">
        <v>780</v>
      </c>
      <c r="P117" s="55">
        <v>12900</v>
      </c>
      <c r="Q117" s="55">
        <v>9820</v>
      </c>
      <c r="R117" s="57" t="s">
        <v>564</v>
      </c>
      <c r="S117" s="58" t="s">
        <v>565</v>
      </c>
      <c r="T117" s="51">
        <v>31452</v>
      </c>
    </row>
    <row r="118" spans="1:20" x14ac:dyDescent="0.25">
      <c r="A118" s="51" t="str">
        <f>(COUNTIF($K$2:K118,K118))&amp;K118</f>
        <v>632100</v>
      </c>
      <c r="B118" s="52" t="s">
        <v>583</v>
      </c>
      <c r="C118" s="53" t="s">
        <v>562</v>
      </c>
      <c r="D118" s="54" t="s">
        <v>563</v>
      </c>
      <c r="E118" s="55">
        <v>335660</v>
      </c>
      <c r="F118" s="55">
        <v>139640</v>
      </c>
      <c r="G118" s="55">
        <v>-10840</v>
      </c>
      <c r="H118" s="55" t="s">
        <v>576</v>
      </c>
      <c r="I118" s="55">
        <v>-2.5</v>
      </c>
      <c r="J118" s="55">
        <v>0.65</v>
      </c>
      <c r="K118" s="56">
        <v>32100</v>
      </c>
      <c r="L118" s="55">
        <v>575</v>
      </c>
      <c r="M118" s="55">
        <v>0</v>
      </c>
      <c r="N118" s="55" t="s">
        <v>574</v>
      </c>
      <c r="O118" s="55">
        <v>-240</v>
      </c>
      <c r="P118" s="55">
        <v>0</v>
      </c>
      <c r="Q118" s="55">
        <v>0</v>
      </c>
      <c r="R118" s="57" t="s">
        <v>563</v>
      </c>
      <c r="S118" s="58" t="b">
        <v>0</v>
      </c>
      <c r="T118" s="51">
        <v>31452</v>
      </c>
    </row>
    <row r="119" spans="1:20" x14ac:dyDescent="0.25">
      <c r="A119" s="51" t="str">
        <f>(COUNTIF($K$2:K119,K119))&amp;K119</f>
        <v>632200</v>
      </c>
      <c r="B119" s="52" t="s">
        <v>583</v>
      </c>
      <c r="C119" s="53" t="s">
        <v>562</v>
      </c>
      <c r="D119" s="54" t="s">
        <v>563</v>
      </c>
      <c r="E119" s="55">
        <v>164800</v>
      </c>
      <c r="F119" s="55">
        <v>105360</v>
      </c>
      <c r="G119" s="55">
        <v>-43260</v>
      </c>
      <c r="H119" s="55" t="s">
        <v>576</v>
      </c>
      <c r="I119" s="55">
        <v>-1.85</v>
      </c>
      <c r="J119" s="55">
        <v>0.5</v>
      </c>
      <c r="K119" s="56">
        <v>32200</v>
      </c>
      <c r="L119" s="55">
        <v>677.35</v>
      </c>
      <c r="M119" s="55">
        <v>4.7000000000000455</v>
      </c>
      <c r="N119" s="55" t="s">
        <v>574</v>
      </c>
      <c r="O119" s="55">
        <v>-1420</v>
      </c>
      <c r="P119" s="55">
        <v>0</v>
      </c>
      <c r="Q119" s="55">
        <v>0</v>
      </c>
      <c r="R119" s="57" t="s">
        <v>563</v>
      </c>
      <c r="S119" s="58" t="s">
        <v>567</v>
      </c>
      <c r="T119" s="51">
        <v>31452</v>
      </c>
    </row>
    <row r="120" spans="1:20" x14ac:dyDescent="0.25">
      <c r="A120" s="51" t="str">
        <f>(COUNTIF($K$2:K120,K120))&amp;K120</f>
        <v>7PCR</v>
      </c>
      <c r="B120" s="52" t="s">
        <v>583</v>
      </c>
      <c r="C120" s="60">
        <v>0.97975560206845602</v>
      </c>
      <c r="E120" s="61"/>
      <c r="F120" s="62">
        <v>6497600</v>
      </c>
      <c r="G120" s="63"/>
      <c r="H120" s="64"/>
      <c r="I120" s="64"/>
      <c r="J120" s="64"/>
      <c r="K120" s="65" t="s">
        <v>555</v>
      </c>
      <c r="L120" s="64"/>
      <c r="M120" s="64"/>
      <c r="N120" s="64"/>
      <c r="P120" s="63">
        <v>6366060</v>
      </c>
      <c r="Q120" s="61"/>
      <c r="R120" s="64"/>
      <c r="S120" s="64"/>
    </row>
    <row r="121" spans="1:20" x14ac:dyDescent="0.25">
      <c r="A121" s="51" t="str">
        <f>(COUNTIF($K$2:K121,K121))&amp;K121</f>
        <v>730700</v>
      </c>
      <c r="B121" s="52" t="s">
        <v>583</v>
      </c>
      <c r="C121" s="53" t="s">
        <v>566</v>
      </c>
      <c r="D121" s="54" t="s">
        <v>564</v>
      </c>
      <c r="E121" s="55">
        <v>500</v>
      </c>
      <c r="F121" s="55">
        <v>11880</v>
      </c>
      <c r="G121" s="55">
        <v>60</v>
      </c>
      <c r="H121" s="55" t="s">
        <v>574</v>
      </c>
      <c r="I121" s="55">
        <v>-121</v>
      </c>
      <c r="J121" s="55">
        <v>715</v>
      </c>
      <c r="K121" s="56">
        <v>30700</v>
      </c>
      <c r="L121" s="55">
        <v>0.7</v>
      </c>
      <c r="M121" s="55">
        <v>-2.9000000000000004</v>
      </c>
      <c r="N121" s="55" t="s">
        <v>576</v>
      </c>
      <c r="O121" s="55">
        <v>7160</v>
      </c>
      <c r="P121" s="55">
        <v>197360</v>
      </c>
      <c r="Q121" s="55">
        <v>168920</v>
      </c>
      <c r="R121" s="57" t="s">
        <v>564</v>
      </c>
      <c r="S121" s="58" t="s">
        <v>566</v>
      </c>
      <c r="T121" s="51">
        <v>31452</v>
      </c>
    </row>
    <row r="122" spans="1:20" x14ac:dyDescent="0.25">
      <c r="A122" s="51" t="str">
        <f>(COUNTIF($K$2:K122,K122))&amp;K122</f>
        <v>730800</v>
      </c>
      <c r="B122" s="52" t="s">
        <v>583</v>
      </c>
      <c r="C122" s="53" t="s">
        <v>562</v>
      </c>
      <c r="D122" s="54" t="s">
        <v>563</v>
      </c>
      <c r="E122" s="55">
        <v>700</v>
      </c>
      <c r="F122" s="55">
        <v>7400</v>
      </c>
      <c r="G122" s="55">
        <v>-100</v>
      </c>
      <c r="H122" s="55" t="s">
        <v>574</v>
      </c>
      <c r="I122" s="55">
        <v>-113.60000000000002</v>
      </c>
      <c r="J122" s="55">
        <v>622</v>
      </c>
      <c r="K122" s="56">
        <v>30800</v>
      </c>
      <c r="L122" s="55">
        <v>0.95</v>
      </c>
      <c r="M122" s="55">
        <v>-3.1499999999999995</v>
      </c>
      <c r="N122" s="55" t="s">
        <v>576</v>
      </c>
      <c r="O122" s="55">
        <v>15000</v>
      </c>
      <c r="P122" s="55">
        <v>382400</v>
      </c>
      <c r="Q122" s="55">
        <v>334520</v>
      </c>
      <c r="R122" s="57" t="s">
        <v>564</v>
      </c>
      <c r="S122" s="58" t="s">
        <v>566</v>
      </c>
      <c r="T122" s="51">
        <v>31452</v>
      </c>
    </row>
    <row r="123" spans="1:20" x14ac:dyDescent="0.25">
      <c r="A123" s="51" t="str">
        <f>(COUNTIF($K$2:K123,K123))&amp;K123</f>
        <v>730900</v>
      </c>
      <c r="B123" s="52" t="s">
        <v>583</v>
      </c>
      <c r="C123" s="53" t="s">
        <v>566</v>
      </c>
      <c r="D123" s="54" t="s">
        <v>564</v>
      </c>
      <c r="E123" s="55">
        <v>1240</v>
      </c>
      <c r="F123" s="55">
        <v>6340</v>
      </c>
      <c r="G123" s="55">
        <v>100</v>
      </c>
      <c r="H123" s="55" t="s">
        <v>574</v>
      </c>
      <c r="I123" s="55">
        <v>-108.84999999999991</v>
      </c>
      <c r="J123" s="55">
        <v>524.70000000000005</v>
      </c>
      <c r="K123" s="56">
        <v>30900</v>
      </c>
      <c r="L123" s="55">
        <v>1.6</v>
      </c>
      <c r="M123" s="55">
        <v>-3.9</v>
      </c>
      <c r="N123" s="55" t="s">
        <v>576</v>
      </c>
      <c r="O123" s="55">
        <v>78200</v>
      </c>
      <c r="P123" s="55">
        <v>444080</v>
      </c>
      <c r="Q123" s="55">
        <v>582280</v>
      </c>
      <c r="R123" s="57" t="s">
        <v>564</v>
      </c>
      <c r="S123" s="58" t="s">
        <v>566</v>
      </c>
      <c r="T123" s="51">
        <v>31452</v>
      </c>
    </row>
    <row r="124" spans="1:20" x14ac:dyDescent="0.25">
      <c r="A124" s="51" t="str">
        <f>(COUNTIF($K$2:K124,K124))&amp;K124</f>
        <v>731000</v>
      </c>
      <c r="B124" s="52" t="s">
        <v>583</v>
      </c>
      <c r="C124" s="53" t="s">
        <v>566</v>
      </c>
      <c r="D124" s="54" t="s">
        <v>564</v>
      </c>
      <c r="E124" s="55">
        <v>19560</v>
      </c>
      <c r="F124" s="55">
        <v>91020</v>
      </c>
      <c r="G124" s="55">
        <v>2800</v>
      </c>
      <c r="H124" s="55" t="s">
        <v>574</v>
      </c>
      <c r="I124" s="55">
        <v>-119.85000000000002</v>
      </c>
      <c r="J124" s="55">
        <v>425</v>
      </c>
      <c r="K124" s="56">
        <v>31000</v>
      </c>
      <c r="L124" s="55">
        <v>2.75</v>
      </c>
      <c r="M124" s="55">
        <v>-4.6500000000000004</v>
      </c>
      <c r="N124" s="55" t="s">
        <v>576</v>
      </c>
      <c r="O124" s="55">
        <v>322880</v>
      </c>
      <c r="P124" s="55">
        <v>1133480</v>
      </c>
      <c r="Q124" s="55">
        <v>1550000</v>
      </c>
      <c r="R124" s="57" t="s">
        <v>564</v>
      </c>
      <c r="S124" s="58" t="s">
        <v>566</v>
      </c>
      <c r="T124" s="51">
        <v>31452</v>
      </c>
    </row>
    <row r="125" spans="1:20" x14ac:dyDescent="0.25">
      <c r="A125" s="51" t="str">
        <f>(COUNTIF($K$2:K125,K125))&amp;K125</f>
        <v>731100</v>
      </c>
      <c r="B125" s="52" t="s">
        <v>583</v>
      </c>
      <c r="C125" s="53" t="s">
        <v>566</v>
      </c>
      <c r="D125" s="54" t="s">
        <v>564</v>
      </c>
      <c r="E125" s="55">
        <v>23440</v>
      </c>
      <c r="F125" s="55">
        <v>36660</v>
      </c>
      <c r="G125" s="55">
        <v>6000</v>
      </c>
      <c r="H125" s="55" t="s">
        <v>574</v>
      </c>
      <c r="I125" s="55">
        <v>-115.79999999999995</v>
      </c>
      <c r="J125" s="55">
        <v>329.35</v>
      </c>
      <c r="K125" s="56">
        <v>31100</v>
      </c>
      <c r="L125" s="55">
        <v>5.6</v>
      </c>
      <c r="M125" s="55">
        <v>-4.5500000000000007</v>
      </c>
      <c r="N125" s="55" t="s">
        <v>576</v>
      </c>
      <c r="O125" s="55">
        <v>122100</v>
      </c>
      <c r="P125" s="55">
        <v>640800</v>
      </c>
      <c r="Q125" s="55">
        <v>1609300</v>
      </c>
      <c r="R125" s="57" t="s">
        <v>564</v>
      </c>
      <c r="S125" s="58" t="s">
        <v>566</v>
      </c>
      <c r="T125" s="51">
        <v>31452</v>
      </c>
    </row>
    <row r="126" spans="1:20" x14ac:dyDescent="0.25">
      <c r="A126" s="51" t="str">
        <f>(COUNTIF($K$2:K126,K126))&amp;K126</f>
        <v>731200</v>
      </c>
      <c r="B126" s="52" t="s">
        <v>583</v>
      </c>
      <c r="C126" s="53" t="s">
        <v>566</v>
      </c>
      <c r="D126" s="54" t="s">
        <v>564</v>
      </c>
      <c r="E126" s="55">
        <v>118020</v>
      </c>
      <c r="F126" s="55">
        <v>147400</v>
      </c>
      <c r="G126" s="55">
        <v>15680</v>
      </c>
      <c r="H126" s="55" t="s">
        <v>574</v>
      </c>
      <c r="I126" s="55">
        <v>-115.04999999999998</v>
      </c>
      <c r="J126" s="55">
        <v>235.4</v>
      </c>
      <c r="K126" s="56">
        <v>31200</v>
      </c>
      <c r="L126" s="55">
        <v>15.45</v>
      </c>
      <c r="M126" s="55">
        <v>-1.9499999999999993</v>
      </c>
      <c r="N126" s="55" t="s">
        <v>576</v>
      </c>
      <c r="O126" s="55">
        <v>328300</v>
      </c>
      <c r="P126" s="55">
        <v>854240</v>
      </c>
      <c r="Q126" s="55">
        <v>2203980</v>
      </c>
      <c r="R126" s="57" t="s">
        <v>564</v>
      </c>
      <c r="S126" s="58" t="s">
        <v>566</v>
      </c>
      <c r="T126" s="51">
        <v>31452</v>
      </c>
    </row>
    <row r="127" spans="1:20" x14ac:dyDescent="0.25">
      <c r="A127" s="51" t="str">
        <f>(COUNTIF($K$2:K127,K127))&amp;K127</f>
        <v>731300</v>
      </c>
      <c r="B127" s="52" t="s">
        <v>583</v>
      </c>
      <c r="C127" s="53" t="s">
        <v>566</v>
      </c>
      <c r="D127" s="54" t="s">
        <v>564</v>
      </c>
      <c r="E127" s="55">
        <v>314460</v>
      </c>
      <c r="F127" s="55">
        <v>165840</v>
      </c>
      <c r="G127" s="55">
        <v>49900</v>
      </c>
      <c r="H127" s="55" t="s">
        <v>576</v>
      </c>
      <c r="I127" s="55">
        <v>-108.05000000000001</v>
      </c>
      <c r="J127" s="55">
        <v>157.5</v>
      </c>
      <c r="K127" s="56">
        <v>31300</v>
      </c>
      <c r="L127" s="55">
        <v>37.35</v>
      </c>
      <c r="M127" s="55">
        <v>6.4000000000000021</v>
      </c>
      <c r="N127" s="55" t="s">
        <v>576</v>
      </c>
      <c r="O127" s="55">
        <v>319180</v>
      </c>
      <c r="P127" s="55">
        <v>969680</v>
      </c>
      <c r="Q127" s="55">
        <v>2501340</v>
      </c>
      <c r="R127" s="57" t="s">
        <v>564</v>
      </c>
      <c r="S127" s="58" t="s">
        <v>565</v>
      </c>
      <c r="T127" s="51">
        <v>31452</v>
      </c>
    </row>
    <row r="128" spans="1:20" x14ac:dyDescent="0.25">
      <c r="A128" s="51" t="str">
        <f>(COUNTIF($K$2:K128,K128))&amp;K128</f>
        <v>731400</v>
      </c>
      <c r="B128" s="52" t="s">
        <v>583</v>
      </c>
      <c r="C128" s="53" t="s">
        <v>566</v>
      </c>
      <c r="D128" s="54" t="s">
        <v>564</v>
      </c>
      <c r="E128" s="55">
        <v>1021700</v>
      </c>
      <c r="F128" s="55">
        <v>423940</v>
      </c>
      <c r="G128" s="112" t="s">
        <v>577</v>
      </c>
      <c r="H128" s="55" t="s">
        <v>576</v>
      </c>
      <c r="I128" s="55">
        <v>-94</v>
      </c>
      <c r="J128" s="55">
        <v>95</v>
      </c>
      <c r="K128" s="56">
        <v>31400</v>
      </c>
      <c r="L128" s="55">
        <v>75.5</v>
      </c>
      <c r="M128" s="55">
        <v>21.549999999999997</v>
      </c>
      <c r="N128" s="55" t="s">
        <v>576</v>
      </c>
      <c r="O128" s="55">
        <v>174580</v>
      </c>
      <c r="P128" s="55">
        <v>730800</v>
      </c>
      <c r="Q128" s="55">
        <v>1903360</v>
      </c>
      <c r="R128" s="57" t="s">
        <v>564</v>
      </c>
      <c r="S128" s="58" t="s">
        <v>565</v>
      </c>
      <c r="T128" s="51">
        <v>31452</v>
      </c>
    </row>
    <row r="129" spans="1:20" ht="15.75" x14ac:dyDescent="0.25">
      <c r="A129" s="51" t="str">
        <f>(COUNTIF($K$2:K129,K129))&amp;K129</f>
        <v>731500</v>
      </c>
      <c r="B129" s="52" t="s">
        <v>583</v>
      </c>
      <c r="C129" s="53" t="s">
        <v>566</v>
      </c>
      <c r="D129" s="54" t="s">
        <v>564</v>
      </c>
      <c r="E129" s="55">
        <v>2632120</v>
      </c>
      <c r="F129" s="55">
        <v>1444980</v>
      </c>
      <c r="G129" s="55">
        <v>666440</v>
      </c>
      <c r="H129" s="55" t="s">
        <v>576</v>
      </c>
      <c r="I129" s="55">
        <v>-74.800000000000011</v>
      </c>
      <c r="J129" s="55">
        <v>51.65</v>
      </c>
      <c r="K129" s="59">
        <v>31500</v>
      </c>
      <c r="L129" s="55">
        <v>132</v>
      </c>
      <c r="M129" s="55">
        <v>41.849999999999994</v>
      </c>
      <c r="N129" s="55" t="s">
        <v>576</v>
      </c>
      <c r="O129" s="55">
        <v>115380</v>
      </c>
      <c r="P129" s="55">
        <v>745860</v>
      </c>
      <c r="Q129" s="55">
        <v>1562820</v>
      </c>
      <c r="R129" s="57" t="s">
        <v>564</v>
      </c>
      <c r="S129" s="58" t="s">
        <v>565</v>
      </c>
      <c r="T129" s="51">
        <v>31452</v>
      </c>
    </row>
    <row r="130" spans="1:20" x14ac:dyDescent="0.25">
      <c r="A130" s="51" t="str">
        <f>(COUNTIF($K$2:K130,K130))&amp;K130</f>
        <v>731600</v>
      </c>
      <c r="B130" s="52" t="s">
        <v>583</v>
      </c>
      <c r="C130" s="53" t="s">
        <v>566</v>
      </c>
      <c r="D130" s="54" t="s">
        <v>564</v>
      </c>
      <c r="E130" s="55">
        <v>2139080</v>
      </c>
      <c r="F130" s="55">
        <v>996280</v>
      </c>
      <c r="G130" s="55">
        <v>376620</v>
      </c>
      <c r="H130" s="55" t="s">
        <v>576</v>
      </c>
      <c r="I130" s="55">
        <v>-54.7</v>
      </c>
      <c r="J130" s="55">
        <v>23.75</v>
      </c>
      <c r="K130" s="56">
        <v>31600</v>
      </c>
      <c r="L130" s="55">
        <v>203.45</v>
      </c>
      <c r="M130" s="55">
        <v>61.349999999999994</v>
      </c>
      <c r="N130" s="55" t="s">
        <v>576</v>
      </c>
      <c r="O130" s="55">
        <v>39860</v>
      </c>
      <c r="P130" s="55">
        <v>134100</v>
      </c>
      <c r="Q130" s="55">
        <v>450120</v>
      </c>
      <c r="R130" s="57" t="s">
        <v>564</v>
      </c>
      <c r="S130" s="58" t="s">
        <v>565</v>
      </c>
      <c r="T130" s="51">
        <v>31452</v>
      </c>
    </row>
    <row r="131" spans="1:20" x14ac:dyDescent="0.25">
      <c r="A131" s="51" t="str">
        <f>(COUNTIF($K$2:K131,K131))&amp;K131</f>
        <v>731700</v>
      </c>
      <c r="B131" s="52" t="s">
        <v>583</v>
      </c>
      <c r="C131" s="53" t="s">
        <v>566</v>
      </c>
      <c r="D131" s="54" t="s">
        <v>564</v>
      </c>
      <c r="E131" s="55">
        <v>2340260</v>
      </c>
      <c r="F131" s="55">
        <v>877540</v>
      </c>
      <c r="G131" s="55">
        <v>242280</v>
      </c>
      <c r="H131" s="55" t="s">
        <v>576</v>
      </c>
      <c r="I131" s="55">
        <v>-34.75</v>
      </c>
      <c r="J131" s="55">
        <v>9.6999999999999993</v>
      </c>
      <c r="K131" s="56">
        <v>31700</v>
      </c>
      <c r="L131" s="55">
        <v>290.05</v>
      </c>
      <c r="M131" s="55">
        <v>80.650000000000006</v>
      </c>
      <c r="N131" s="55" t="s">
        <v>576</v>
      </c>
      <c r="O131" s="55">
        <v>25940</v>
      </c>
      <c r="P131" s="55">
        <v>75700</v>
      </c>
      <c r="Q131" s="55">
        <v>233060</v>
      </c>
      <c r="R131" s="57" t="s">
        <v>564</v>
      </c>
      <c r="S131" s="58" t="s">
        <v>565</v>
      </c>
      <c r="T131" s="51">
        <v>31452</v>
      </c>
    </row>
    <row r="132" spans="1:20" x14ac:dyDescent="0.25">
      <c r="A132" s="51" t="str">
        <f>(COUNTIF($K$2:K132,K132))&amp;K132</f>
        <v>731800</v>
      </c>
      <c r="B132" s="52" t="s">
        <v>583</v>
      </c>
      <c r="C132" s="53" t="s">
        <v>566</v>
      </c>
      <c r="D132" s="54" t="s">
        <v>564</v>
      </c>
      <c r="E132" s="55">
        <v>1864900</v>
      </c>
      <c r="F132" s="55">
        <v>802120</v>
      </c>
      <c r="G132" s="55">
        <v>216740</v>
      </c>
      <c r="H132" s="55" t="s">
        <v>576</v>
      </c>
      <c r="I132" s="55">
        <v>-19.850000000000001</v>
      </c>
      <c r="J132" s="55">
        <v>3.65</v>
      </c>
      <c r="K132" s="56">
        <v>31800</v>
      </c>
      <c r="L132" s="55">
        <v>384.85</v>
      </c>
      <c r="M132" s="55">
        <v>99.5</v>
      </c>
      <c r="N132" s="55" t="s">
        <v>576</v>
      </c>
      <c r="O132" s="55">
        <v>19800</v>
      </c>
      <c r="P132" s="55">
        <v>34780</v>
      </c>
      <c r="Q132" s="55">
        <v>80360</v>
      </c>
      <c r="R132" s="57" t="s">
        <v>564</v>
      </c>
      <c r="S132" s="58" t="s">
        <v>565</v>
      </c>
      <c r="T132" s="51">
        <v>31452</v>
      </c>
    </row>
    <row r="133" spans="1:20" x14ac:dyDescent="0.25">
      <c r="A133" s="51" t="str">
        <f>(COUNTIF($K$2:K133,K133))&amp;K133</f>
        <v>731900</v>
      </c>
      <c r="B133" s="52" t="s">
        <v>583</v>
      </c>
      <c r="C133" s="53" t="s">
        <v>566</v>
      </c>
      <c r="D133" s="54" t="s">
        <v>564</v>
      </c>
      <c r="E133" s="55">
        <v>1293900</v>
      </c>
      <c r="F133" s="55">
        <v>515200</v>
      </c>
      <c r="G133" s="55">
        <v>3400</v>
      </c>
      <c r="H133" s="55" t="s">
        <v>576</v>
      </c>
      <c r="I133" s="55">
        <v>-9.4499999999999993</v>
      </c>
      <c r="J133" s="55">
        <v>1.65</v>
      </c>
      <c r="K133" s="56">
        <v>31900</v>
      </c>
      <c r="L133" s="55">
        <v>483.5</v>
      </c>
      <c r="M133" s="55">
        <v>106.80000000000001</v>
      </c>
      <c r="N133" s="55" t="s">
        <v>576</v>
      </c>
      <c r="O133" s="55">
        <v>4340</v>
      </c>
      <c r="P133" s="55">
        <v>9880</v>
      </c>
      <c r="Q133" s="55">
        <v>15860</v>
      </c>
      <c r="R133" s="57" t="s">
        <v>564</v>
      </c>
      <c r="S133" s="58" t="s">
        <v>565</v>
      </c>
      <c r="T133" s="51">
        <v>31452</v>
      </c>
    </row>
    <row r="134" spans="1:20" x14ac:dyDescent="0.25">
      <c r="A134" s="51" t="str">
        <f>(COUNTIF($K$2:K134,K134))&amp;K134</f>
        <v>732000</v>
      </c>
      <c r="B134" s="52" t="s">
        <v>583</v>
      </c>
      <c r="C134" s="53" t="s">
        <v>566</v>
      </c>
      <c r="D134" s="54" t="s">
        <v>564</v>
      </c>
      <c r="E134" s="55">
        <v>1108880</v>
      </c>
      <c r="F134" s="55">
        <v>726000</v>
      </c>
      <c r="G134" s="55">
        <v>114340</v>
      </c>
      <c r="H134" s="55" t="s">
        <v>576</v>
      </c>
      <c r="I134" s="55">
        <v>-4.9000000000000004</v>
      </c>
      <c r="J134" s="55">
        <v>1.1000000000000001</v>
      </c>
      <c r="K134" s="56">
        <v>32000</v>
      </c>
      <c r="L134" s="55">
        <v>580</v>
      </c>
      <c r="M134" s="55">
        <v>109.5</v>
      </c>
      <c r="N134" s="55" t="s">
        <v>576</v>
      </c>
      <c r="O134" s="55">
        <v>780</v>
      </c>
      <c r="P134" s="55">
        <v>12900</v>
      </c>
      <c r="Q134" s="55">
        <v>9820</v>
      </c>
      <c r="R134" s="57" t="s">
        <v>564</v>
      </c>
      <c r="S134" s="58" t="s">
        <v>565</v>
      </c>
      <c r="T134" s="51">
        <v>31452</v>
      </c>
    </row>
    <row r="135" spans="1:20" x14ac:dyDescent="0.25">
      <c r="A135" s="51" t="str">
        <f>(COUNTIF($K$2:K135,K135))&amp;K135</f>
        <v>732100</v>
      </c>
      <c r="B135" s="52" t="s">
        <v>583</v>
      </c>
      <c r="C135" s="53" t="s">
        <v>562</v>
      </c>
      <c r="D135" s="54" t="s">
        <v>563</v>
      </c>
      <c r="E135" s="55">
        <v>335660</v>
      </c>
      <c r="F135" s="55">
        <v>139640</v>
      </c>
      <c r="G135" s="55">
        <v>-10840</v>
      </c>
      <c r="H135" s="55" t="s">
        <v>576</v>
      </c>
      <c r="I135" s="55">
        <v>-2.5</v>
      </c>
      <c r="J135" s="55">
        <v>0.65</v>
      </c>
      <c r="K135" s="56">
        <v>32100</v>
      </c>
      <c r="L135" s="55">
        <v>575</v>
      </c>
      <c r="M135" s="55">
        <v>0</v>
      </c>
      <c r="N135" s="55" t="s">
        <v>574</v>
      </c>
      <c r="O135" s="55">
        <v>-240</v>
      </c>
      <c r="P135" s="55">
        <v>0</v>
      </c>
      <c r="Q135" s="55">
        <v>0</v>
      </c>
      <c r="R135" s="57" t="s">
        <v>563</v>
      </c>
      <c r="S135" s="58" t="b">
        <v>0</v>
      </c>
      <c r="T135" s="51">
        <v>31452</v>
      </c>
    </row>
    <row r="136" spans="1:20" x14ac:dyDescent="0.25">
      <c r="A136" s="51" t="str">
        <f>(COUNTIF($K$2:K136,K136))&amp;K136</f>
        <v>732200</v>
      </c>
      <c r="B136" s="52" t="s">
        <v>583</v>
      </c>
      <c r="C136" s="53" t="s">
        <v>562</v>
      </c>
      <c r="D136" s="54" t="s">
        <v>563</v>
      </c>
      <c r="E136" s="55">
        <v>164800</v>
      </c>
      <c r="F136" s="55">
        <v>105360</v>
      </c>
      <c r="G136" s="55">
        <v>-43260</v>
      </c>
      <c r="H136" s="55" t="s">
        <v>576</v>
      </c>
      <c r="I136" s="55">
        <v>-1.85</v>
      </c>
      <c r="J136" s="55">
        <v>0.5</v>
      </c>
      <c r="K136" s="56">
        <v>32200</v>
      </c>
      <c r="L136" s="55">
        <v>677.35</v>
      </c>
      <c r="M136" s="55">
        <v>4.7000000000000455</v>
      </c>
      <c r="N136" s="55" t="s">
        <v>574</v>
      </c>
      <c r="O136" s="55">
        <v>-1420</v>
      </c>
      <c r="P136" s="55">
        <v>0</v>
      </c>
      <c r="Q136" s="55">
        <v>0</v>
      </c>
      <c r="R136" s="57" t="s">
        <v>563</v>
      </c>
      <c r="S136" s="58" t="s">
        <v>567</v>
      </c>
      <c r="T136" s="51">
        <v>31452</v>
      </c>
    </row>
    <row r="137" spans="1:20" x14ac:dyDescent="0.25">
      <c r="A137" s="51" t="str">
        <f>(COUNTIF($K$2:K137,K137))&amp;K137</f>
        <v>8PCR</v>
      </c>
      <c r="B137" s="52" t="s">
        <v>583</v>
      </c>
      <c r="C137" s="60">
        <v>0.97975560206845602</v>
      </c>
      <c r="E137" s="61"/>
      <c r="F137" s="62">
        <v>6497600</v>
      </c>
      <c r="G137" s="63"/>
      <c r="H137" s="64"/>
      <c r="I137" s="64"/>
      <c r="J137" s="64"/>
      <c r="K137" s="65" t="s">
        <v>555</v>
      </c>
      <c r="L137" s="64"/>
      <c r="M137" s="64"/>
      <c r="N137" s="64"/>
      <c r="P137" s="63">
        <v>6366060</v>
      </c>
      <c r="Q137" s="61"/>
      <c r="R137" s="64"/>
      <c r="S137" s="64"/>
    </row>
    <row r="138" spans="1:20" x14ac:dyDescent="0.25">
      <c r="A138" s="51" t="str">
        <f>(COUNTIF($K$2:K138,K138))&amp;K138</f>
        <v>130600</v>
      </c>
      <c r="B138" s="52" t="s">
        <v>584</v>
      </c>
      <c r="C138" s="53" t="s">
        <v>562</v>
      </c>
      <c r="D138" s="54" t="s">
        <v>563</v>
      </c>
      <c r="E138" s="55">
        <v>400</v>
      </c>
      <c r="F138" s="55">
        <v>4480</v>
      </c>
      <c r="G138" s="55">
        <v>-60</v>
      </c>
      <c r="H138" s="55" t="s">
        <v>574</v>
      </c>
      <c r="I138" s="55">
        <v>-132.70000000000005</v>
      </c>
      <c r="J138" s="55">
        <v>800</v>
      </c>
      <c r="K138" s="56">
        <v>30600</v>
      </c>
      <c r="L138" s="55">
        <v>0.65</v>
      </c>
      <c r="M138" s="55">
        <v>-2.35</v>
      </c>
      <c r="N138" s="55" t="s">
        <v>576</v>
      </c>
      <c r="O138" s="55">
        <v>3340</v>
      </c>
      <c r="P138" s="55">
        <v>202580</v>
      </c>
      <c r="Q138" s="55">
        <v>94220</v>
      </c>
      <c r="R138" s="57" t="s">
        <v>564</v>
      </c>
      <c r="S138" s="58" t="s">
        <v>566</v>
      </c>
      <c r="T138" s="51">
        <v>31432.05</v>
      </c>
    </row>
    <row r="139" spans="1:20" x14ac:dyDescent="0.25">
      <c r="A139" s="51" t="str">
        <f>(COUNTIF($K$2:K139,K139))&amp;K139</f>
        <v>830700</v>
      </c>
      <c r="B139" s="52" t="s">
        <v>584</v>
      </c>
      <c r="C139" s="53" t="s">
        <v>566</v>
      </c>
      <c r="D139" s="54" t="s">
        <v>564</v>
      </c>
      <c r="E139" s="55">
        <v>820</v>
      </c>
      <c r="F139" s="55">
        <v>11860</v>
      </c>
      <c r="G139" s="55">
        <v>40</v>
      </c>
      <c r="H139" s="55" t="s">
        <v>574</v>
      </c>
      <c r="I139" s="55">
        <v>-133.39999999999998</v>
      </c>
      <c r="J139" s="55">
        <v>702.6</v>
      </c>
      <c r="K139" s="56">
        <v>30700</v>
      </c>
      <c r="L139" s="55">
        <v>0.8</v>
      </c>
      <c r="M139" s="55">
        <v>-2.8</v>
      </c>
      <c r="N139" s="55" t="s">
        <v>576</v>
      </c>
      <c r="O139" s="55">
        <v>6120</v>
      </c>
      <c r="P139" s="55">
        <v>196320</v>
      </c>
      <c r="Q139" s="55">
        <v>194820</v>
      </c>
      <c r="R139" s="57" t="s">
        <v>564</v>
      </c>
      <c r="S139" s="58" t="s">
        <v>566</v>
      </c>
      <c r="T139" s="51">
        <v>31432.05</v>
      </c>
    </row>
    <row r="140" spans="1:20" x14ac:dyDescent="0.25">
      <c r="A140" s="51" t="str">
        <f>(COUNTIF($K$2:K140,K140))&amp;K140</f>
        <v>830800</v>
      </c>
      <c r="B140" s="52" t="s">
        <v>584</v>
      </c>
      <c r="C140" s="53" t="s">
        <v>562</v>
      </c>
      <c r="D140" s="54" t="s">
        <v>563</v>
      </c>
      <c r="E140" s="55">
        <v>840</v>
      </c>
      <c r="F140" s="55">
        <v>7340</v>
      </c>
      <c r="G140" s="55">
        <v>-160</v>
      </c>
      <c r="H140" s="55" t="s">
        <v>574</v>
      </c>
      <c r="I140" s="55">
        <v>-133.39999999999998</v>
      </c>
      <c r="J140" s="55">
        <v>602.20000000000005</v>
      </c>
      <c r="K140" s="56">
        <v>30800</v>
      </c>
      <c r="L140" s="55">
        <v>1.1499999999999999</v>
      </c>
      <c r="M140" s="55">
        <v>-2.9499999999999997</v>
      </c>
      <c r="N140" s="55" t="s">
        <v>576</v>
      </c>
      <c r="O140" s="55">
        <v>28760</v>
      </c>
      <c r="P140" s="55">
        <v>396160</v>
      </c>
      <c r="Q140" s="55">
        <v>381320</v>
      </c>
      <c r="R140" s="57" t="s">
        <v>564</v>
      </c>
      <c r="S140" s="58" t="s">
        <v>566</v>
      </c>
      <c r="T140" s="51">
        <v>31432.05</v>
      </c>
    </row>
    <row r="141" spans="1:20" x14ac:dyDescent="0.25">
      <c r="A141" s="51" t="str">
        <f>(COUNTIF($K$2:K141,K141))&amp;K141</f>
        <v>830900</v>
      </c>
      <c r="B141" s="52" t="s">
        <v>584</v>
      </c>
      <c r="C141" s="53" t="s">
        <v>566</v>
      </c>
      <c r="D141" s="54" t="s">
        <v>564</v>
      </c>
      <c r="E141" s="55">
        <v>1580</v>
      </c>
      <c r="F141" s="55">
        <v>6280</v>
      </c>
      <c r="G141" s="55">
        <v>40</v>
      </c>
      <c r="H141" s="55" t="s">
        <v>574</v>
      </c>
      <c r="I141" s="55">
        <v>-127.39999999999998</v>
      </c>
      <c r="J141" s="55">
        <v>506.15</v>
      </c>
      <c r="K141" s="56">
        <v>30900</v>
      </c>
      <c r="L141" s="55">
        <v>1.7</v>
      </c>
      <c r="M141" s="55">
        <v>-3.8</v>
      </c>
      <c r="N141" s="55" t="s">
        <v>576</v>
      </c>
      <c r="O141" s="55">
        <v>102000</v>
      </c>
      <c r="P141" s="55">
        <v>467880</v>
      </c>
      <c r="Q141" s="55">
        <v>672880</v>
      </c>
      <c r="R141" s="57" t="s">
        <v>564</v>
      </c>
      <c r="S141" s="58" t="s">
        <v>566</v>
      </c>
      <c r="T141" s="51">
        <v>31432.05</v>
      </c>
    </row>
    <row r="142" spans="1:20" x14ac:dyDescent="0.25">
      <c r="A142" s="51" t="str">
        <f>(COUNTIF($K$2:K142,K142))&amp;K142</f>
        <v>831000</v>
      </c>
      <c r="B142" s="52" t="s">
        <v>584</v>
      </c>
      <c r="C142" s="53" t="s">
        <v>566</v>
      </c>
      <c r="D142" s="54" t="s">
        <v>564</v>
      </c>
      <c r="E142" s="55">
        <v>30400</v>
      </c>
      <c r="F142" s="55">
        <v>94140</v>
      </c>
      <c r="G142" s="55">
        <v>5920</v>
      </c>
      <c r="H142" s="55" t="s">
        <v>574</v>
      </c>
      <c r="I142" s="55">
        <v>-138.35000000000002</v>
      </c>
      <c r="J142" s="55">
        <v>406.5</v>
      </c>
      <c r="K142" s="56">
        <v>31000</v>
      </c>
      <c r="L142" s="55">
        <v>2.95</v>
      </c>
      <c r="M142" s="55">
        <v>-4.45</v>
      </c>
      <c r="N142" s="55" t="s">
        <v>576</v>
      </c>
      <c r="O142" s="55">
        <v>364220</v>
      </c>
      <c r="P142" s="55">
        <v>1174820</v>
      </c>
      <c r="Q142" s="55">
        <v>1822580</v>
      </c>
      <c r="R142" s="57" t="s">
        <v>564</v>
      </c>
      <c r="S142" s="58" t="s">
        <v>566</v>
      </c>
      <c r="T142" s="51">
        <v>31432.05</v>
      </c>
    </row>
    <row r="143" spans="1:20" x14ac:dyDescent="0.25">
      <c r="A143" s="51" t="str">
        <f>(COUNTIF($K$2:K143,K143))&amp;K143</f>
        <v>831100</v>
      </c>
      <c r="B143" s="52" t="s">
        <v>584</v>
      </c>
      <c r="C143" s="53" t="s">
        <v>566</v>
      </c>
      <c r="D143" s="54" t="s">
        <v>564</v>
      </c>
      <c r="E143" s="55">
        <v>28560</v>
      </c>
      <c r="F143" s="55">
        <v>37860</v>
      </c>
      <c r="G143" s="55">
        <v>7200</v>
      </c>
      <c r="H143" s="55" t="s">
        <v>574</v>
      </c>
      <c r="I143" s="55">
        <v>-133.14999999999998</v>
      </c>
      <c r="J143" s="55">
        <v>312</v>
      </c>
      <c r="K143" s="56">
        <v>31100</v>
      </c>
      <c r="L143" s="55">
        <v>6</v>
      </c>
      <c r="M143" s="55">
        <v>-4.1500000000000004</v>
      </c>
      <c r="N143" s="55" t="s">
        <v>576</v>
      </c>
      <c r="O143" s="55">
        <v>218860</v>
      </c>
      <c r="P143" s="55">
        <v>737560</v>
      </c>
      <c r="Q143" s="55">
        <v>2039540</v>
      </c>
      <c r="R143" s="57" t="s">
        <v>564</v>
      </c>
      <c r="S143" s="58" t="s">
        <v>566</v>
      </c>
      <c r="T143" s="51">
        <v>31432.05</v>
      </c>
    </row>
    <row r="144" spans="1:20" x14ac:dyDescent="0.25">
      <c r="A144" s="51" t="str">
        <f>(COUNTIF($K$2:K144,K144))&amp;K144</f>
        <v>831200</v>
      </c>
      <c r="B144" s="52" t="s">
        <v>584</v>
      </c>
      <c r="C144" s="53" t="s">
        <v>566</v>
      </c>
      <c r="D144" s="54" t="s">
        <v>564</v>
      </c>
      <c r="E144" s="55">
        <v>173680</v>
      </c>
      <c r="F144" s="55">
        <v>161920</v>
      </c>
      <c r="G144" s="55">
        <v>30200</v>
      </c>
      <c r="H144" s="55" t="s">
        <v>574</v>
      </c>
      <c r="I144" s="55">
        <v>-129.35</v>
      </c>
      <c r="J144" s="55">
        <v>221.1</v>
      </c>
      <c r="K144" s="56">
        <v>31200</v>
      </c>
      <c r="L144" s="55">
        <v>16.25</v>
      </c>
      <c r="M144" s="55">
        <v>-1.1499999999999986</v>
      </c>
      <c r="N144" s="55" t="s">
        <v>576</v>
      </c>
      <c r="O144" s="55">
        <v>456500</v>
      </c>
      <c r="P144" s="55">
        <v>982440</v>
      </c>
      <c r="Q144" s="55">
        <v>2658880</v>
      </c>
      <c r="R144" s="57" t="s">
        <v>564</v>
      </c>
      <c r="S144" s="58" t="s">
        <v>566</v>
      </c>
      <c r="T144" s="51">
        <v>31432.05</v>
      </c>
    </row>
    <row r="145" spans="1:20" x14ac:dyDescent="0.25">
      <c r="A145" s="51" t="str">
        <f>(COUNTIF($K$2:K145,K145))&amp;K145</f>
        <v>831300</v>
      </c>
      <c r="B145" s="52" t="s">
        <v>584</v>
      </c>
      <c r="C145" s="53" t="s">
        <v>566</v>
      </c>
      <c r="D145" s="54" t="s">
        <v>564</v>
      </c>
      <c r="E145" s="55">
        <v>434820</v>
      </c>
      <c r="F145" s="55">
        <v>185900</v>
      </c>
      <c r="G145" s="112" t="s">
        <v>577</v>
      </c>
      <c r="H145" s="55" t="s">
        <v>576</v>
      </c>
      <c r="I145" s="55">
        <v>-121.85000000000002</v>
      </c>
      <c r="J145" s="55">
        <v>143.69999999999999</v>
      </c>
      <c r="K145" s="56">
        <v>31300</v>
      </c>
      <c r="L145" s="55">
        <v>39</v>
      </c>
      <c r="M145" s="55">
        <v>8.0500000000000007</v>
      </c>
      <c r="N145" s="55" t="s">
        <v>576</v>
      </c>
      <c r="O145" s="55">
        <v>318400</v>
      </c>
      <c r="P145" s="55">
        <v>968900</v>
      </c>
      <c r="Q145" s="55">
        <v>3124020</v>
      </c>
      <c r="R145" s="57" t="s">
        <v>564</v>
      </c>
      <c r="S145" s="58" t="s">
        <v>565</v>
      </c>
      <c r="T145" s="51">
        <v>31432.05</v>
      </c>
    </row>
    <row r="146" spans="1:20" ht="15.75" x14ac:dyDescent="0.25">
      <c r="A146" s="51" t="str">
        <f>(COUNTIF($K$2:K146,K146))&amp;K146</f>
        <v>831400</v>
      </c>
      <c r="B146" s="52" t="s">
        <v>584</v>
      </c>
      <c r="C146" s="53" t="s">
        <v>566</v>
      </c>
      <c r="D146" s="54" t="s">
        <v>564</v>
      </c>
      <c r="E146" s="55">
        <v>1376520</v>
      </c>
      <c r="F146" s="55">
        <v>479980</v>
      </c>
      <c r="G146" s="55">
        <v>295680</v>
      </c>
      <c r="H146" s="55" t="s">
        <v>576</v>
      </c>
      <c r="I146" s="55">
        <v>-104.75</v>
      </c>
      <c r="J146" s="55">
        <v>84.25</v>
      </c>
      <c r="K146" s="59">
        <v>31400</v>
      </c>
      <c r="L146" s="55">
        <v>79.55</v>
      </c>
      <c r="M146" s="55">
        <v>25.599999999999994</v>
      </c>
      <c r="N146" s="55" t="s">
        <v>576</v>
      </c>
      <c r="O146" s="55">
        <v>211340</v>
      </c>
      <c r="P146" s="55">
        <v>767560</v>
      </c>
      <c r="Q146" s="55">
        <v>2515060</v>
      </c>
      <c r="R146" s="57" t="s">
        <v>564</v>
      </c>
      <c r="S146" s="58" t="s">
        <v>565</v>
      </c>
      <c r="T146" s="51">
        <v>31432.05</v>
      </c>
    </row>
    <row r="147" spans="1:20" x14ac:dyDescent="0.25">
      <c r="A147" s="51" t="str">
        <f>(COUNTIF($K$2:K147,K147))&amp;K147</f>
        <v>831500</v>
      </c>
      <c r="B147" s="52" t="s">
        <v>584</v>
      </c>
      <c r="C147" s="53" t="s">
        <v>566</v>
      </c>
      <c r="D147" s="54" t="s">
        <v>564</v>
      </c>
      <c r="E147" s="55">
        <v>3335180</v>
      </c>
      <c r="F147" s="55">
        <v>1609800</v>
      </c>
      <c r="G147" s="55">
        <v>831260</v>
      </c>
      <c r="H147" s="55" t="s">
        <v>576</v>
      </c>
      <c r="I147" s="55">
        <v>-82.45</v>
      </c>
      <c r="J147" s="55">
        <v>44</v>
      </c>
      <c r="K147" s="56">
        <v>31500</v>
      </c>
      <c r="L147" s="55">
        <v>138.4</v>
      </c>
      <c r="M147" s="55">
        <v>48.25</v>
      </c>
      <c r="N147" s="55" t="s">
        <v>576</v>
      </c>
      <c r="O147" s="55">
        <v>95380</v>
      </c>
      <c r="P147" s="55">
        <v>725860</v>
      </c>
      <c r="Q147" s="55">
        <v>1919380</v>
      </c>
      <c r="R147" s="57" t="s">
        <v>564</v>
      </c>
      <c r="S147" s="58" t="s">
        <v>565</v>
      </c>
      <c r="T147" s="51">
        <v>31432.05</v>
      </c>
    </row>
    <row r="148" spans="1:20" x14ac:dyDescent="0.25">
      <c r="A148" s="51" t="str">
        <f>(COUNTIF($K$2:K148,K148))&amp;K148</f>
        <v>831600</v>
      </c>
      <c r="B148" s="52" t="s">
        <v>584</v>
      </c>
      <c r="C148" s="53" t="s">
        <v>566</v>
      </c>
      <c r="D148" s="54" t="s">
        <v>564</v>
      </c>
      <c r="E148" s="55">
        <v>2813960</v>
      </c>
      <c r="F148" s="55">
        <v>1097260</v>
      </c>
      <c r="G148" s="55">
        <v>477600</v>
      </c>
      <c r="H148" s="55" t="s">
        <v>576</v>
      </c>
      <c r="I148" s="55">
        <v>-59.300000000000004</v>
      </c>
      <c r="J148" s="55">
        <v>19.149999999999999</v>
      </c>
      <c r="K148" s="56">
        <v>31600</v>
      </c>
      <c r="L148" s="55">
        <v>213.65</v>
      </c>
      <c r="M148" s="55">
        <v>71.550000000000011</v>
      </c>
      <c r="N148" s="55" t="s">
        <v>576</v>
      </c>
      <c r="O148" s="55">
        <v>36020</v>
      </c>
      <c r="P148" s="55">
        <v>130260</v>
      </c>
      <c r="Q148" s="55">
        <v>561340</v>
      </c>
      <c r="R148" s="57" t="s">
        <v>564</v>
      </c>
      <c r="S148" s="58" t="s">
        <v>565</v>
      </c>
      <c r="T148" s="51">
        <v>31432.05</v>
      </c>
    </row>
    <row r="149" spans="1:20" x14ac:dyDescent="0.25">
      <c r="A149" s="51" t="str">
        <f>(COUNTIF($K$2:K149,K149))&amp;K149</f>
        <v>831700</v>
      </c>
      <c r="B149" s="52" t="s">
        <v>584</v>
      </c>
      <c r="C149" s="53" t="s">
        <v>566</v>
      </c>
      <c r="D149" s="54" t="s">
        <v>564</v>
      </c>
      <c r="E149" s="55">
        <v>2892380</v>
      </c>
      <c r="F149" s="55">
        <v>1007700</v>
      </c>
      <c r="G149" s="55">
        <v>372440</v>
      </c>
      <c r="H149" s="55" t="s">
        <v>576</v>
      </c>
      <c r="I149" s="55">
        <v>-37.400000000000006</v>
      </c>
      <c r="J149" s="55">
        <v>7.05</v>
      </c>
      <c r="K149" s="56">
        <v>31700</v>
      </c>
      <c r="L149" s="55">
        <v>301.64999999999998</v>
      </c>
      <c r="M149" s="55">
        <v>92.249999999999972</v>
      </c>
      <c r="N149" s="55" t="s">
        <v>576</v>
      </c>
      <c r="O149" s="55">
        <v>25800</v>
      </c>
      <c r="P149" s="55">
        <v>75560</v>
      </c>
      <c r="Q149" s="55">
        <v>289740</v>
      </c>
      <c r="R149" s="57" t="s">
        <v>564</v>
      </c>
      <c r="S149" s="58" t="s">
        <v>565</v>
      </c>
      <c r="T149" s="51">
        <v>31432.05</v>
      </c>
    </row>
    <row r="150" spans="1:20" x14ac:dyDescent="0.25">
      <c r="A150" s="51" t="str">
        <f>(COUNTIF($K$2:K150,K150))&amp;K150</f>
        <v>831800</v>
      </c>
      <c r="B150" s="52" t="s">
        <v>584</v>
      </c>
      <c r="C150" s="53" t="s">
        <v>566</v>
      </c>
      <c r="D150" s="54" t="s">
        <v>564</v>
      </c>
      <c r="E150" s="55">
        <v>2200900</v>
      </c>
      <c r="F150" s="55">
        <v>830060</v>
      </c>
      <c r="G150" s="55">
        <v>244680</v>
      </c>
      <c r="H150" s="55" t="s">
        <v>576</v>
      </c>
      <c r="I150" s="55">
        <v>-20.8</v>
      </c>
      <c r="J150" s="55">
        <v>2.7</v>
      </c>
      <c r="K150" s="56">
        <v>31800</v>
      </c>
      <c r="L150" s="55">
        <v>396.15</v>
      </c>
      <c r="M150" s="55">
        <v>110.79999999999995</v>
      </c>
      <c r="N150" s="55" t="s">
        <v>576</v>
      </c>
      <c r="O150" s="55">
        <v>16420</v>
      </c>
      <c r="P150" s="55">
        <v>31400</v>
      </c>
      <c r="Q150" s="55">
        <v>105980</v>
      </c>
      <c r="R150" s="57" t="s">
        <v>564</v>
      </c>
      <c r="S150" s="58" t="s">
        <v>565</v>
      </c>
      <c r="T150" s="51">
        <v>31432.05</v>
      </c>
    </row>
    <row r="151" spans="1:20" x14ac:dyDescent="0.25">
      <c r="A151" s="51" t="str">
        <f>(COUNTIF($K$2:K151,K151))&amp;K151</f>
        <v>831900</v>
      </c>
      <c r="B151" s="52" t="s">
        <v>584</v>
      </c>
      <c r="C151" s="53" t="s">
        <v>562</v>
      </c>
      <c r="D151" s="54" t="s">
        <v>563</v>
      </c>
      <c r="E151" s="55">
        <v>1563000</v>
      </c>
      <c r="F151" s="55">
        <v>510780</v>
      </c>
      <c r="G151" s="55">
        <v>-1020</v>
      </c>
      <c r="H151" s="55" t="s">
        <v>576</v>
      </c>
      <c r="I151" s="55">
        <v>-9.7999999999999989</v>
      </c>
      <c r="J151" s="55">
        <v>1.3</v>
      </c>
      <c r="K151" s="56">
        <v>31900</v>
      </c>
      <c r="L151" s="55">
        <v>499.9</v>
      </c>
      <c r="M151" s="55">
        <v>123.19999999999999</v>
      </c>
      <c r="N151" s="55" t="s">
        <v>576</v>
      </c>
      <c r="O151" s="55">
        <v>2560</v>
      </c>
      <c r="P151" s="55">
        <v>8100</v>
      </c>
      <c r="Q151" s="55">
        <v>20560</v>
      </c>
      <c r="R151" s="57" t="s">
        <v>564</v>
      </c>
      <c r="S151" s="58" t="s">
        <v>565</v>
      </c>
      <c r="T151" s="51">
        <v>31432.05</v>
      </c>
    </row>
    <row r="152" spans="1:20" x14ac:dyDescent="0.25">
      <c r="A152" s="51" t="str">
        <f>(COUNTIF($K$2:K152,K152))&amp;K152</f>
        <v>832000</v>
      </c>
      <c r="B152" s="52" t="s">
        <v>584</v>
      </c>
      <c r="C152" s="53" t="s">
        <v>566</v>
      </c>
      <c r="D152" s="54" t="s">
        <v>564</v>
      </c>
      <c r="E152" s="55">
        <v>1361260</v>
      </c>
      <c r="F152" s="55">
        <v>765600</v>
      </c>
      <c r="G152" s="55">
        <v>153940</v>
      </c>
      <c r="H152" s="55" t="s">
        <v>576</v>
      </c>
      <c r="I152" s="55">
        <v>-5</v>
      </c>
      <c r="J152" s="55">
        <v>1</v>
      </c>
      <c r="K152" s="56">
        <v>32000</v>
      </c>
      <c r="L152" s="55">
        <v>594.29999999999995</v>
      </c>
      <c r="M152" s="55">
        <v>123.79999999999995</v>
      </c>
      <c r="N152" s="55" t="s">
        <v>576</v>
      </c>
      <c r="O152" s="55">
        <v>800</v>
      </c>
      <c r="P152" s="55">
        <v>12920</v>
      </c>
      <c r="Q152" s="55">
        <v>13260</v>
      </c>
      <c r="R152" s="57" t="s">
        <v>564</v>
      </c>
      <c r="S152" s="58" t="s">
        <v>565</v>
      </c>
      <c r="T152" s="51">
        <v>31432.05</v>
      </c>
    </row>
    <row r="153" spans="1:20" x14ac:dyDescent="0.25">
      <c r="A153" s="51" t="str">
        <f>(COUNTIF($K$2:K153,K153))&amp;K153</f>
        <v>832100</v>
      </c>
      <c r="B153" s="52" t="s">
        <v>584</v>
      </c>
      <c r="C153" s="53" t="s">
        <v>566</v>
      </c>
      <c r="D153" s="54" t="s">
        <v>564</v>
      </c>
      <c r="E153" s="55">
        <v>372420</v>
      </c>
      <c r="F153" s="55">
        <v>151260</v>
      </c>
      <c r="G153" s="55">
        <v>780</v>
      </c>
      <c r="H153" s="55" t="s">
        <v>576</v>
      </c>
      <c r="I153" s="55">
        <v>-2.5</v>
      </c>
      <c r="J153" s="55">
        <v>0.65</v>
      </c>
      <c r="K153" s="56">
        <v>32100</v>
      </c>
      <c r="L153" s="55">
        <v>575</v>
      </c>
      <c r="M153" s="55">
        <v>0</v>
      </c>
      <c r="N153" s="55" t="s">
        <v>574</v>
      </c>
      <c r="O153" s="55">
        <v>-240</v>
      </c>
      <c r="P153" s="55">
        <v>0</v>
      </c>
      <c r="Q153" s="55">
        <v>0</v>
      </c>
      <c r="R153" s="57" t="s">
        <v>563</v>
      </c>
      <c r="S153" s="58" t="b">
        <v>0</v>
      </c>
      <c r="T153" s="51">
        <v>31432.05</v>
      </c>
    </row>
    <row r="154" spans="1:20" x14ac:dyDescent="0.25">
      <c r="A154" s="51" t="str">
        <f>(COUNTIF($K$2:K154,K154))&amp;K154</f>
        <v>9PCR</v>
      </c>
      <c r="B154" s="52" t="s">
        <v>584</v>
      </c>
      <c r="C154" s="60">
        <v>0.98794924607380974</v>
      </c>
      <c r="E154" s="61"/>
      <c r="F154" s="62">
        <v>6962220</v>
      </c>
      <c r="G154" s="63"/>
      <c r="H154" s="64"/>
      <c r="I154" s="64"/>
      <c r="J154" s="64"/>
      <c r="K154" s="65" t="s">
        <v>555</v>
      </c>
      <c r="L154" s="64"/>
      <c r="M154" s="64"/>
      <c r="N154" s="64"/>
      <c r="P154" s="63">
        <v>6878320</v>
      </c>
      <c r="Q154" s="61"/>
      <c r="R154" s="64"/>
      <c r="S154" s="64"/>
    </row>
    <row r="155" spans="1:20" x14ac:dyDescent="0.25">
      <c r="A155" s="51" t="str">
        <f>(COUNTIF($K$2:K155,K155))&amp;K155</f>
        <v>230600</v>
      </c>
      <c r="B155" s="52" t="s">
        <v>584</v>
      </c>
      <c r="C155" s="53" t="s">
        <v>562</v>
      </c>
      <c r="D155" s="54" t="s">
        <v>563</v>
      </c>
      <c r="E155" s="55">
        <v>400</v>
      </c>
      <c r="F155" s="55">
        <v>4480</v>
      </c>
      <c r="G155" s="55">
        <v>-60</v>
      </c>
      <c r="H155" s="55" t="s">
        <v>574</v>
      </c>
      <c r="I155" s="55">
        <v>-132.70000000000005</v>
      </c>
      <c r="J155" s="55">
        <v>800</v>
      </c>
      <c r="K155" s="56">
        <v>30600</v>
      </c>
      <c r="L155" s="55">
        <v>0.65</v>
      </c>
      <c r="M155" s="55">
        <v>-2.35</v>
      </c>
      <c r="N155" s="55" t="s">
        <v>576</v>
      </c>
      <c r="O155" s="55">
        <v>3340</v>
      </c>
      <c r="P155" s="55">
        <v>202580</v>
      </c>
      <c r="Q155" s="55">
        <v>94220</v>
      </c>
      <c r="R155" s="57" t="s">
        <v>564</v>
      </c>
      <c r="S155" s="58" t="s">
        <v>566</v>
      </c>
      <c r="T155" s="51">
        <v>31432.05</v>
      </c>
    </row>
    <row r="156" spans="1:20" x14ac:dyDescent="0.25">
      <c r="A156" s="51" t="str">
        <f>(COUNTIF($K$2:K156,K156))&amp;K156</f>
        <v>930700</v>
      </c>
      <c r="B156" s="52" t="s">
        <v>584</v>
      </c>
      <c r="C156" s="53" t="s">
        <v>566</v>
      </c>
      <c r="D156" s="54" t="s">
        <v>564</v>
      </c>
      <c r="E156" s="55">
        <v>820</v>
      </c>
      <c r="F156" s="55">
        <v>11860</v>
      </c>
      <c r="G156" s="55">
        <v>40</v>
      </c>
      <c r="H156" s="55" t="s">
        <v>574</v>
      </c>
      <c r="I156" s="55">
        <v>-133.39999999999998</v>
      </c>
      <c r="J156" s="55">
        <v>702.6</v>
      </c>
      <c r="K156" s="56">
        <v>30700</v>
      </c>
      <c r="L156" s="55">
        <v>0.8</v>
      </c>
      <c r="M156" s="55">
        <v>-2.8</v>
      </c>
      <c r="N156" s="55" t="s">
        <v>576</v>
      </c>
      <c r="O156" s="55">
        <v>6120</v>
      </c>
      <c r="P156" s="55">
        <v>196320</v>
      </c>
      <c r="Q156" s="55">
        <v>194820</v>
      </c>
      <c r="R156" s="57" t="s">
        <v>564</v>
      </c>
      <c r="S156" s="58" t="s">
        <v>566</v>
      </c>
      <c r="T156" s="51">
        <v>31432.05</v>
      </c>
    </row>
    <row r="157" spans="1:20" x14ac:dyDescent="0.25">
      <c r="A157" s="51" t="str">
        <f>(COUNTIF($K$2:K157,K157))&amp;K157</f>
        <v>930800</v>
      </c>
      <c r="B157" s="52" t="s">
        <v>584</v>
      </c>
      <c r="C157" s="53" t="s">
        <v>562</v>
      </c>
      <c r="D157" s="54" t="s">
        <v>563</v>
      </c>
      <c r="E157" s="55">
        <v>840</v>
      </c>
      <c r="F157" s="55">
        <v>7340</v>
      </c>
      <c r="G157" s="55">
        <v>-160</v>
      </c>
      <c r="H157" s="55" t="s">
        <v>574</v>
      </c>
      <c r="I157" s="55">
        <v>-133.39999999999998</v>
      </c>
      <c r="J157" s="55">
        <v>602.20000000000005</v>
      </c>
      <c r="K157" s="56">
        <v>30800</v>
      </c>
      <c r="L157" s="55">
        <v>1.1499999999999999</v>
      </c>
      <c r="M157" s="55">
        <v>-2.9499999999999997</v>
      </c>
      <c r="N157" s="55" t="s">
        <v>576</v>
      </c>
      <c r="O157" s="55">
        <v>28760</v>
      </c>
      <c r="P157" s="55">
        <v>396160</v>
      </c>
      <c r="Q157" s="55">
        <v>381320</v>
      </c>
      <c r="R157" s="57" t="s">
        <v>564</v>
      </c>
      <c r="S157" s="58" t="s">
        <v>566</v>
      </c>
      <c r="T157" s="51">
        <v>31432.05</v>
      </c>
    </row>
    <row r="158" spans="1:20" x14ac:dyDescent="0.25">
      <c r="A158" s="51" t="str">
        <f>(COUNTIF($K$2:K158,K158))&amp;K158</f>
        <v>930900</v>
      </c>
      <c r="B158" s="52" t="s">
        <v>584</v>
      </c>
      <c r="C158" s="53" t="s">
        <v>566</v>
      </c>
      <c r="D158" s="54" t="s">
        <v>564</v>
      </c>
      <c r="E158" s="55">
        <v>1580</v>
      </c>
      <c r="F158" s="55">
        <v>6280</v>
      </c>
      <c r="G158" s="55">
        <v>40</v>
      </c>
      <c r="H158" s="55" t="s">
        <v>574</v>
      </c>
      <c r="I158" s="55">
        <v>-127.39999999999998</v>
      </c>
      <c r="J158" s="55">
        <v>506.15</v>
      </c>
      <c r="K158" s="56">
        <v>30900</v>
      </c>
      <c r="L158" s="55">
        <v>1.7</v>
      </c>
      <c r="M158" s="55">
        <v>-3.8</v>
      </c>
      <c r="N158" s="55" t="s">
        <v>576</v>
      </c>
      <c r="O158" s="55">
        <v>102000</v>
      </c>
      <c r="P158" s="55">
        <v>467880</v>
      </c>
      <c r="Q158" s="55">
        <v>672880</v>
      </c>
      <c r="R158" s="57" t="s">
        <v>564</v>
      </c>
      <c r="S158" s="58" t="s">
        <v>566</v>
      </c>
      <c r="T158" s="51">
        <v>31432.05</v>
      </c>
    </row>
    <row r="159" spans="1:20" x14ac:dyDescent="0.25">
      <c r="A159" s="51" t="str">
        <f>(COUNTIF($K$2:K159,K159))&amp;K159</f>
        <v>931000</v>
      </c>
      <c r="B159" s="52" t="s">
        <v>584</v>
      </c>
      <c r="C159" s="53" t="s">
        <v>566</v>
      </c>
      <c r="D159" s="54" t="s">
        <v>564</v>
      </c>
      <c r="E159" s="55">
        <v>30400</v>
      </c>
      <c r="F159" s="55">
        <v>94140</v>
      </c>
      <c r="G159" s="55">
        <v>5920</v>
      </c>
      <c r="H159" s="55" t="s">
        <v>574</v>
      </c>
      <c r="I159" s="55">
        <v>-138.35000000000002</v>
      </c>
      <c r="J159" s="55">
        <v>406.5</v>
      </c>
      <c r="K159" s="56">
        <v>31000</v>
      </c>
      <c r="L159" s="55">
        <v>2.95</v>
      </c>
      <c r="M159" s="55">
        <v>-4.45</v>
      </c>
      <c r="N159" s="55" t="s">
        <v>576</v>
      </c>
      <c r="O159" s="55">
        <v>364220</v>
      </c>
      <c r="P159" s="55">
        <v>1174820</v>
      </c>
      <c r="Q159" s="55">
        <v>1822580</v>
      </c>
      <c r="R159" s="57" t="s">
        <v>564</v>
      </c>
      <c r="S159" s="58" t="s">
        <v>566</v>
      </c>
      <c r="T159" s="51">
        <v>31432.05</v>
      </c>
    </row>
    <row r="160" spans="1:20" x14ac:dyDescent="0.25">
      <c r="A160" s="51" t="str">
        <f>(COUNTIF($K$2:K160,K160))&amp;K160</f>
        <v>931100</v>
      </c>
      <c r="B160" s="52" t="s">
        <v>584</v>
      </c>
      <c r="C160" s="53" t="s">
        <v>566</v>
      </c>
      <c r="D160" s="54" t="s">
        <v>564</v>
      </c>
      <c r="E160" s="55">
        <v>28560</v>
      </c>
      <c r="F160" s="55">
        <v>37860</v>
      </c>
      <c r="G160" s="55">
        <v>7200</v>
      </c>
      <c r="H160" s="55" t="s">
        <v>574</v>
      </c>
      <c r="I160" s="55">
        <v>-133.14999999999998</v>
      </c>
      <c r="J160" s="55">
        <v>312</v>
      </c>
      <c r="K160" s="56">
        <v>31100</v>
      </c>
      <c r="L160" s="55">
        <v>6</v>
      </c>
      <c r="M160" s="55">
        <v>-4.1500000000000004</v>
      </c>
      <c r="N160" s="55" t="s">
        <v>576</v>
      </c>
      <c r="O160" s="55">
        <v>218860</v>
      </c>
      <c r="P160" s="55">
        <v>737560</v>
      </c>
      <c r="Q160" s="55">
        <v>2039540</v>
      </c>
      <c r="R160" s="57" t="s">
        <v>564</v>
      </c>
      <c r="S160" s="58" t="s">
        <v>566</v>
      </c>
      <c r="T160" s="51">
        <v>31432.05</v>
      </c>
    </row>
    <row r="161" spans="1:20" x14ac:dyDescent="0.25">
      <c r="A161" s="51" t="str">
        <f>(COUNTIF($K$2:K161,K161))&amp;K161</f>
        <v>931200</v>
      </c>
      <c r="B161" s="52" t="s">
        <v>584</v>
      </c>
      <c r="C161" s="53" t="s">
        <v>566</v>
      </c>
      <c r="D161" s="54" t="s">
        <v>564</v>
      </c>
      <c r="E161" s="55">
        <v>173680</v>
      </c>
      <c r="F161" s="55">
        <v>161920</v>
      </c>
      <c r="G161" s="55">
        <v>30200</v>
      </c>
      <c r="H161" s="55" t="s">
        <v>574</v>
      </c>
      <c r="I161" s="55">
        <v>-129.35</v>
      </c>
      <c r="J161" s="55">
        <v>221.1</v>
      </c>
      <c r="K161" s="56">
        <v>31200</v>
      </c>
      <c r="L161" s="55">
        <v>16.25</v>
      </c>
      <c r="M161" s="55">
        <v>-1.1499999999999986</v>
      </c>
      <c r="N161" s="55" t="s">
        <v>576</v>
      </c>
      <c r="O161" s="55">
        <v>456500</v>
      </c>
      <c r="P161" s="55">
        <v>982440</v>
      </c>
      <c r="Q161" s="55">
        <v>2658880</v>
      </c>
      <c r="R161" s="57" t="s">
        <v>564</v>
      </c>
      <c r="S161" s="58" t="s">
        <v>566</v>
      </c>
      <c r="T161" s="51">
        <v>31432.05</v>
      </c>
    </row>
    <row r="162" spans="1:20" x14ac:dyDescent="0.25">
      <c r="A162" s="51" t="str">
        <f>(COUNTIF($K$2:K162,K162))&amp;K162</f>
        <v>931300</v>
      </c>
      <c r="B162" s="52" t="s">
        <v>584</v>
      </c>
      <c r="C162" s="53" t="s">
        <v>566</v>
      </c>
      <c r="D162" s="54" t="s">
        <v>564</v>
      </c>
      <c r="E162" s="55">
        <v>434820</v>
      </c>
      <c r="F162" s="55">
        <v>185900</v>
      </c>
      <c r="G162" s="112" t="s">
        <v>577</v>
      </c>
      <c r="H162" s="55" t="s">
        <v>576</v>
      </c>
      <c r="I162" s="55">
        <v>-121.85000000000002</v>
      </c>
      <c r="J162" s="55">
        <v>143.69999999999999</v>
      </c>
      <c r="K162" s="56">
        <v>31300</v>
      </c>
      <c r="L162" s="55">
        <v>39</v>
      </c>
      <c r="M162" s="55">
        <v>8.0500000000000007</v>
      </c>
      <c r="N162" s="55" t="s">
        <v>576</v>
      </c>
      <c r="O162" s="55">
        <v>318400</v>
      </c>
      <c r="P162" s="55">
        <v>968900</v>
      </c>
      <c r="Q162" s="55">
        <v>3124020</v>
      </c>
      <c r="R162" s="57" t="s">
        <v>564</v>
      </c>
      <c r="S162" s="58" t="s">
        <v>565</v>
      </c>
      <c r="T162" s="51">
        <v>31432.05</v>
      </c>
    </row>
    <row r="163" spans="1:20" ht="15.75" x14ac:dyDescent="0.25">
      <c r="A163" s="51" t="str">
        <f>(COUNTIF($K$2:K163,K163))&amp;K163</f>
        <v>931400</v>
      </c>
      <c r="B163" s="52" t="s">
        <v>584</v>
      </c>
      <c r="C163" s="53" t="s">
        <v>566</v>
      </c>
      <c r="D163" s="54" t="s">
        <v>564</v>
      </c>
      <c r="E163" s="55">
        <v>1376520</v>
      </c>
      <c r="F163" s="55">
        <v>479980</v>
      </c>
      <c r="G163" s="55">
        <v>295680</v>
      </c>
      <c r="H163" s="55" t="s">
        <v>576</v>
      </c>
      <c r="I163" s="55">
        <v>-104.75</v>
      </c>
      <c r="J163" s="55">
        <v>84.25</v>
      </c>
      <c r="K163" s="59">
        <v>31400</v>
      </c>
      <c r="L163" s="55">
        <v>79.55</v>
      </c>
      <c r="M163" s="55">
        <v>25.599999999999994</v>
      </c>
      <c r="N163" s="55" t="s">
        <v>576</v>
      </c>
      <c r="O163" s="55">
        <v>211340</v>
      </c>
      <c r="P163" s="55">
        <v>767560</v>
      </c>
      <c r="Q163" s="55">
        <v>2515060</v>
      </c>
      <c r="R163" s="57" t="s">
        <v>564</v>
      </c>
      <c r="S163" s="58" t="s">
        <v>565</v>
      </c>
      <c r="T163" s="51">
        <v>31432.05</v>
      </c>
    </row>
    <row r="164" spans="1:20" x14ac:dyDescent="0.25">
      <c r="A164" s="51" t="str">
        <f>(COUNTIF($K$2:K164,K164))&amp;K164</f>
        <v>931500</v>
      </c>
      <c r="B164" s="52" t="s">
        <v>584</v>
      </c>
      <c r="C164" s="53" t="s">
        <v>566</v>
      </c>
      <c r="D164" s="54" t="s">
        <v>564</v>
      </c>
      <c r="E164" s="55">
        <v>3335180</v>
      </c>
      <c r="F164" s="55">
        <v>1609800</v>
      </c>
      <c r="G164" s="55">
        <v>831260</v>
      </c>
      <c r="H164" s="55" t="s">
        <v>576</v>
      </c>
      <c r="I164" s="55">
        <v>-82.45</v>
      </c>
      <c r="J164" s="55">
        <v>44</v>
      </c>
      <c r="K164" s="56">
        <v>31500</v>
      </c>
      <c r="L164" s="55">
        <v>138.4</v>
      </c>
      <c r="M164" s="55">
        <v>48.25</v>
      </c>
      <c r="N164" s="55" t="s">
        <v>576</v>
      </c>
      <c r="O164" s="55">
        <v>95380</v>
      </c>
      <c r="P164" s="55">
        <v>725860</v>
      </c>
      <c r="Q164" s="55">
        <v>1919380</v>
      </c>
      <c r="R164" s="57" t="s">
        <v>564</v>
      </c>
      <c r="S164" s="58" t="s">
        <v>565</v>
      </c>
      <c r="T164" s="51">
        <v>31432.05</v>
      </c>
    </row>
    <row r="165" spans="1:20" x14ac:dyDescent="0.25">
      <c r="A165" s="51" t="str">
        <f>(COUNTIF($K$2:K165,K165))&amp;K165</f>
        <v>931600</v>
      </c>
      <c r="B165" s="52" t="s">
        <v>584</v>
      </c>
      <c r="C165" s="53" t="s">
        <v>566</v>
      </c>
      <c r="D165" s="54" t="s">
        <v>564</v>
      </c>
      <c r="E165" s="55">
        <v>2813960</v>
      </c>
      <c r="F165" s="55">
        <v>1097260</v>
      </c>
      <c r="G165" s="55">
        <v>477600</v>
      </c>
      <c r="H165" s="55" t="s">
        <v>576</v>
      </c>
      <c r="I165" s="55">
        <v>-59.300000000000004</v>
      </c>
      <c r="J165" s="55">
        <v>19.149999999999999</v>
      </c>
      <c r="K165" s="56">
        <v>31600</v>
      </c>
      <c r="L165" s="55">
        <v>213.65</v>
      </c>
      <c r="M165" s="55">
        <v>71.550000000000011</v>
      </c>
      <c r="N165" s="55" t="s">
        <v>576</v>
      </c>
      <c r="O165" s="55">
        <v>36020</v>
      </c>
      <c r="P165" s="55">
        <v>130260</v>
      </c>
      <c r="Q165" s="55">
        <v>561340</v>
      </c>
      <c r="R165" s="57" t="s">
        <v>564</v>
      </c>
      <c r="S165" s="58" t="s">
        <v>565</v>
      </c>
      <c r="T165" s="51">
        <v>31432.05</v>
      </c>
    </row>
    <row r="166" spans="1:20" x14ac:dyDescent="0.25">
      <c r="A166" s="51" t="str">
        <f>(COUNTIF($K$2:K166,K166))&amp;K166</f>
        <v>931700</v>
      </c>
      <c r="B166" s="52" t="s">
        <v>584</v>
      </c>
      <c r="C166" s="53" t="s">
        <v>566</v>
      </c>
      <c r="D166" s="54" t="s">
        <v>564</v>
      </c>
      <c r="E166" s="55">
        <v>2892380</v>
      </c>
      <c r="F166" s="55">
        <v>1007700</v>
      </c>
      <c r="G166" s="55">
        <v>372440</v>
      </c>
      <c r="H166" s="55" t="s">
        <v>576</v>
      </c>
      <c r="I166" s="55">
        <v>-37.400000000000006</v>
      </c>
      <c r="J166" s="55">
        <v>7.05</v>
      </c>
      <c r="K166" s="56">
        <v>31700</v>
      </c>
      <c r="L166" s="55">
        <v>301.64999999999998</v>
      </c>
      <c r="M166" s="55">
        <v>92.249999999999972</v>
      </c>
      <c r="N166" s="55" t="s">
        <v>576</v>
      </c>
      <c r="O166" s="55">
        <v>25800</v>
      </c>
      <c r="P166" s="55">
        <v>75560</v>
      </c>
      <c r="Q166" s="55">
        <v>289740</v>
      </c>
      <c r="R166" s="57" t="s">
        <v>564</v>
      </c>
      <c r="S166" s="58" t="s">
        <v>565</v>
      </c>
      <c r="T166" s="51">
        <v>31432.05</v>
      </c>
    </row>
    <row r="167" spans="1:20" x14ac:dyDescent="0.25">
      <c r="A167" s="51" t="str">
        <f>(COUNTIF($K$2:K167,K167))&amp;K167</f>
        <v>931800</v>
      </c>
      <c r="B167" s="52" t="s">
        <v>584</v>
      </c>
      <c r="C167" s="53" t="s">
        <v>566</v>
      </c>
      <c r="D167" s="54" t="s">
        <v>564</v>
      </c>
      <c r="E167" s="55">
        <v>2200900</v>
      </c>
      <c r="F167" s="55">
        <v>830060</v>
      </c>
      <c r="G167" s="55">
        <v>244680</v>
      </c>
      <c r="H167" s="55" t="s">
        <v>576</v>
      </c>
      <c r="I167" s="55">
        <v>-20.8</v>
      </c>
      <c r="J167" s="55">
        <v>2.7</v>
      </c>
      <c r="K167" s="56">
        <v>31800</v>
      </c>
      <c r="L167" s="55">
        <v>396.15</v>
      </c>
      <c r="M167" s="55">
        <v>110.79999999999995</v>
      </c>
      <c r="N167" s="55" t="s">
        <v>576</v>
      </c>
      <c r="O167" s="55">
        <v>16420</v>
      </c>
      <c r="P167" s="55">
        <v>31400</v>
      </c>
      <c r="Q167" s="55">
        <v>105980</v>
      </c>
      <c r="R167" s="57" t="s">
        <v>564</v>
      </c>
      <c r="S167" s="58" t="s">
        <v>565</v>
      </c>
      <c r="T167" s="51">
        <v>31432.05</v>
      </c>
    </row>
    <row r="168" spans="1:20" x14ac:dyDescent="0.25">
      <c r="A168" s="51" t="str">
        <f>(COUNTIF($K$2:K168,K168))&amp;K168</f>
        <v>931900</v>
      </c>
      <c r="B168" s="52" t="s">
        <v>584</v>
      </c>
      <c r="C168" s="53" t="s">
        <v>562</v>
      </c>
      <c r="D168" s="54" t="s">
        <v>563</v>
      </c>
      <c r="E168" s="55">
        <v>1563000</v>
      </c>
      <c r="F168" s="55">
        <v>510780</v>
      </c>
      <c r="G168" s="55">
        <v>-1020</v>
      </c>
      <c r="H168" s="55" t="s">
        <v>576</v>
      </c>
      <c r="I168" s="55">
        <v>-9.7999999999999989</v>
      </c>
      <c r="J168" s="55">
        <v>1.3</v>
      </c>
      <c r="K168" s="56">
        <v>31900</v>
      </c>
      <c r="L168" s="55">
        <v>499.9</v>
      </c>
      <c r="M168" s="55">
        <v>123.19999999999999</v>
      </c>
      <c r="N168" s="55" t="s">
        <v>576</v>
      </c>
      <c r="O168" s="55">
        <v>2560</v>
      </c>
      <c r="P168" s="55">
        <v>8100</v>
      </c>
      <c r="Q168" s="55">
        <v>20560</v>
      </c>
      <c r="R168" s="57" t="s">
        <v>564</v>
      </c>
      <c r="S168" s="58" t="s">
        <v>565</v>
      </c>
      <c r="T168" s="51">
        <v>31432.05</v>
      </c>
    </row>
    <row r="169" spans="1:20" x14ac:dyDescent="0.25">
      <c r="A169" s="51" t="str">
        <f>(COUNTIF($K$2:K169,K169))&amp;K169</f>
        <v>932000</v>
      </c>
      <c r="B169" s="52" t="s">
        <v>584</v>
      </c>
      <c r="C169" s="53" t="s">
        <v>566</v>
      </c>
      <c r="D169" s="54" t="s">
        <v>564</v>
      </c>
      <c r="E169" s="55">
        <v>1361260</v>
      </c>
      <c r="F169" s="55">
        <v>765600</v>
      </c>
      <c r="G169" s="55">
        <v>153940</v>
      </c>
      <c r="H169" s="55" t="s">
        <v>576</v>
      </c>
      <c r="I169" s="55">
        <v>-5</v>
      </c>
      <c r="J169" s="55">
        <v>1</v>
      </c>
      <c r="K169" s="56">
        <v>32000</v>
      </c>
      <c r="L169" s="55">
        <v>594.29999999999995</v>
      </c>
      <c r="M169" s="55">
        <v>123.79999999999995</v>
      </c>
      <c r="N169" s="55" t="s">
        <v>576</v>
      </c>
      <c r="O169" s="55">
        <v>800</v>
      </c>
      <c r="P169" s="55">
        <v>12920</v>
      </c>
      <c r="Q169" s="55">
        <v>13260</v>
      </c>
      <c r="R169" s="57" t="s">
        <v>564</v>
      </c>
      <c r="S169" s="58" t="s">
        <v>565</v>
      </c>
      <c r="T169" s="51">
        <v>31432.05</v>
      </c>
    </row>
    <row r="170" spans="1:20" x14ac:dyDescent="0.25">
      <c r="A170" s="51" t="str">
        <f>(COUNTIF($K$2:K170,K170))&amp;K170</f>
        <v>932100</v>
      </c>
      <c r="B170" s="52" t="s">
        <v>584</v>
      </c>
      <c r="C170" s="53" t="s">
        <v>566</v>
      </c>
      <c r="D170" s="54" t="s">
        <v>564</v>
      </c>
      <c r="E170" s="55">
        <v>372420</v>
      </c>
      <c r="F170" s="55">
        <v>151260</v>
      </c>
      <c r="G170" s="55">
        <v>780</v>
      </c>
      <c r="H170" s="55" t="s">
        <v>576</v>
      </c>
      <c r="I170" s="55">
        <v>-2.5</v>
      </c>
      <c r="J170" s="55">
        <v>0.65</v>
      </c>
      <c r="K170" s="56">
        <v>32100</v>
      </c>
      <c r="L170" s="55">
        <v>575</v>
      </c>
      <c r="M170" s="55">
        <v>0</v>
      </c>
      <c r="N170" s="55" t="s">
        <v>574</v>
      </c>
      <c r="O170" s="55">
        <v>-240</v>
      </c>
      <c r="P170" s="55">
        <v>0</v>
      </c>
      <c r="Q170" s="55">
        <v>0</v>
      </c>
      <c r="R170" s="57" t="s">
        <v>563</v>
      </c>
      <c r="S170" s="58" t="b">
        <v>0</v>
      </c>
      <c r="T170" s="51">
        <v>31432.05</v>
      </c>
    </row>
    <row r="171" spans="1:20" x14ac:dyDescent="0.25">
      <c r="A171" s="51" t="str">
        <f>(COUNTIF($K$2:K171,K171))&amp;K171</f>
        <v>10PCR</v>
      </c>
      <c r="B171" s="52" t="s">
        <v>584</v>
      </c>
      <c r="C171" s="60">
        <v>0.98794924607380974</v>
      </c>
      <c r="E171" s="61"/>
      <c r="F171" s="62">
        <v>6962220</v>
      </c>
      <c r="G171" s="63"/>
      <c r="H171" s="64"/>
      <c r="I171" s="64"/>
      <c r="J171" s="64"/>
      <c r="K171" s="65" t="s">
        <v>555</v>
      </c>
      <c r="L171" s="64"/>
      <c r="M171" s="64"/>
      <c r="N171" s="64"/>
      <c r="P171" s="63">
        <v>6878320</v>
      </c>
      <c r="Q171" s="61"/>
      <c r="R171" s="64"/>
      <c r="S171" s="64"/>
    </row>
    <row r="172" spans="1:20" x14ac:dyDescent="0.25">
      <c r="A172" s="51" t="str">
        <f>(COUNTIF($K$2:K172,K172))&amp;K172</f>
        <v>330600</v>
      </c>
      <c r="B172" s="52" t="s">
        <v>585</v>
      </c>
      <c r="C172" s="53" t="s">
        <v>562</v>
      </c>
      <c r="D172" s="54" t="s">
        <v>563</v>
      </c>
      <c r="E172" s="55">
        <v>500</v>
      </c>
      <c r="F172" s="55">
        <v>4340</v>
      </c>
      <c r="G172" s="55">
        <v>-200</v>
      </c>
      <c r="H172" s="55" t="s">
        <v>574</v>
      </c>
      <c r="I172" s="55">
        <v>-111.85000000000002</v>
      </c>
      <c r="J172" s="55">
        <v>820.85</v>
      </c>
      <c r="K172" s="56">
        <v>30600</v>
      </c>
      <c r="L172" s="55">
        <v>0.55000000000000004</v>
      </c>
      <c r="M172" s="55">
        <v>-2.4500000000000002</v>
      </c>
      <c r="N172" s="55" t="s">
        <v>576</v>
      </c>
      <c r="O172" s="55">
        <v>2700</v>
      </c>
      <c r="P172" s="55">
        <v>201940</v>
      </c>
      <c r="Q172" s="55">
        <v>99300</v>
      </c>
      <c r="R172" s="57" t="s">
        <v>564</v>
      </c>
      <c r="S172" s="58" t="s">
        <v>566</v>
      </c>
      <c r="T172" s="51">
        <v>31449.9</v>
      </c>
    </row>
    <row r="173" spans="1:20" x14ac:dyDescent="0.25">
      <c r="A173" s="51" t="str">
        <f>(COUNTIF($K$2:K173,K173))&amp;K173</f>
        <v>1030700</v>
      </c>
      <c r="B173" s="52" t="s">
        <v>585</v>
      </c>
      <c r="C173" s="53" t="b">
        <v>0</v>
      </c>
      <c r="D173" s="54" t="s">
        <v>563</v>
      </c>
      <c r="E173" s="55">
        <v>900</v>
      </c>
      <c r="F173" s="55">
        <v>11820</v>
      </c>
      <c r="G173" s="55">
        <v>0</v>
      </c>
      <c r="H173" s="55" t="s">
        <v>574</v>
      </c>
      <c r="I173" s="55">
        <v>-114.89999999999998</v>
      </c>
      <c r="J173" s="55">
        <v>721.1</v>
      </c>
      <c r="K173" s="56">
        <v>30700</v>
      </c>
      <c r="L173" s="55">
        <v>0.7</v>
      </c>
      <c r="M173" s="55">
        <v>-2.9000000000000004</v>
      </c>
      <c r="N173" s="55" t="s">
        <v>576</v>
      </c>
      <c r="O173" s="55">
        <v>3980</v>
      </c>
      <c r="P173" s="55">
        <v>194180</v>
      </c>
      <c r="Q173" s="55">
        <v>205940</v>
      </c>
      <c r="R173" s="57" t="s">
        <v>564</v>
      </c>
      <c r="S173" s="58" t="s">
        <v>566</v>
      </c>
      <c r="T173" s="51">
        <v>31449.9</v>
      </c>
    </row>
    <row r="174" spans="1:20" x14ac:dyDescent="0.25">
      <c r="A174" s="51" t="str">
        <f>(COUNTIF($K$2:K174,K174))&amp;K174</f>
        <v>1030800</v>
      </c>
      <c r="B174" s="52" t="s">
        <v>585</v>
      </c>
      <c r="C174" s="53" t="s">
        <v>562</v>
      </c>
      <c r="D174" s="54" t="s">
        <v>563</v>
      </c>
      <c r="E174" s="55">
        <v>900</v>
      </c>
      <c r="F174" s="55">
        <v>7360</v>
      </c>
      <c r="G174" s="55">
        <v>-140</v>
      </c>
      <c r="H174" s="55" t="s">
        <v>574</v>
      </c>
      <c r="I174" s="55">
        <v>-112.64999999999998</v>
      </c>
      <c r="J174" s="55">
        <v>622.95000000000005</v>
      </c>
      <c r="K174" s="56">
        <v>30800</v>
      </c>
      <c r="L174" s="55">
        <v>0.95</v>
      </c>
      <c r="M174" s="55">
        <v>-3.1499999999999995</v>
      </c>
      <c r="N174" s="55" t="s">
        <v>576</v>
      </c>
      <c r="O174" s="55">
        <v>18040</v>
      </c>
      <c r="P174" s="55">
        <v>385440</v>
      </c>
      <c r="Q174" s="55">
        <v>410440</v>
      </c>
      <c r="R174" s="57" t="s">
        <v>564</v>
      </c>
      <c r="S174" s="58" t="s">
        <v>566</v>
      </c>
      <c r="T174" s="51">
        <v>31449.9</v>
      </c>
    </row>
    <row r="175" spans="1:20" x14ac:dyDescent="0.25">
      <c r="A175" s="51" t="str">
        <f>(COUNTIF($K$2:K175,K175))&amp;K175</f>
        <v>1030900</v>
      </c>
      <c r="B175" s="52" t="s">
        <v>585</v>
      </c>
      <c r="C175" s="53" t="s">
        <v>566</v>
      </c>
      <c r="D175" s="54" t="s">
        <v>564</v>
      </c>
      <c r="E175" s="55">
        <v>2180</v>
      </c>
      <c r="F175" s="55">
        <v>6420</v>
      </c>
      <c r="G175" s="55">
        <v>180</v>
      </c>
      <c r="H175" s="55" t="s">
        <v>574</v>
      </c>
      <c r="I175" s="55">
        <v>-112.04999999999995</v>
      </c>
      <c r="J175" s="55">
        <v>521.5</v>
      </c>
      <c r="K175" s="56">
        <v>30900</v>
      </c>
      <c r="L175" s="55">
        <v>1.5</v>
      </c>
      <c r="M175" s="55">
        <v>-4</v>
      </c>
      <c r="N175" s="55" t="s">
        <v>576</v>
      </c>
      <c r="O175" s="55">
        <v>114800</v>
      </c>
      <c r="P175" s="55">
        <v>480680</v>
      </c>
      <c r="Q175" s="55">
        <v>748540</v>
      </c>
      <c r="R175" s="57" t="s">
        <v>564</v>
      </c>
      <c r="S175" s="58" t="s">
        <v>566</v>
      </c>
      <c r="T175" s="51">
        <v>31449.9</v>
      </c>
    </row>
    <row r="176" spans="1:20" x14ac:dyDescent="0.25">
      <c r="A176" s="51" t="str">
        <f>(COUNTIF($K$2:K176,K176))&amp;K176</f>
        <v>1031000</v>
      </c>
      <c r="B176" s="52" t="s">
        <v>585</v>
      </c>
      <c r="C176" s="53" t="s">
        <v>566</v>
      </c>
      <c r="D176" s="54" t="s">
        <v>564</v>
      </c>
      <c r="E176" s="55">
        <v>36380</v>
      </c>
      <c r="F176" s="55">
        <v>94540</v>
      </c>
      <c r="G176" s="55">
        <v>6320</v>
      </c>
      <c r="H176" s="55" t="s">
        <v>574</v>
      </c>
      <c r="I176" s="55">
        <v>-122.65000000000003</v>
      </c>
      <c r="J176" s="55">
        <v>422.2</v>
      </c>
      <c r="K176" s="56">
        <v>31000</v>
      </c>
      <c r="L176" s="55">
        <v>2.6</v>
      </c>
      <c r="M176" s="55">
        <v>-4.8000000000000007</v>
      </c>
      <c r="N176" s="55" t="s">
        <v>576</v>
      </c>
      <c r="O176" s="55">
        <v>440880</v>
      </c>
      <c r="P176" s="55">
        <v>1251480</v>
      </c>
      <c r="Q176" s="55">
        <v>2008080</v>
      </c>
      <c r="R176" s="57" t="s">
        <v>564</v>
      </c>
      <c r="S176" s="58" t="s">
        <v>566</v>
      </c>
      <c r="T176" s="51">
        <v>31449.9</v>
      </c>
    </row>
    <row r="177" spans="1:20" x14ac:dyDescent="0.25">
      <c r="A177" s="51" t="str">
        <f>(COUNTIF($K$2:K177,K177))&amp;K177</f>
        <v>1031100</v>
      </c>
      <c r="B177" s="52" t="s">
        <v>585</v>
      </c>
      <c r="C177" s="53" t="s">
        <v>566</v>
      </c>
      <c r="D177" s="54" t="s">
        <v>564</v>
      </c>
      <c r="E177" s="55">
        <v>32400</v>
      </c>
      <c r="F177" s="55">
        <v>38640</v>
      </c>
      <c r="G177" s="55">
        <v>7980</v>
      </c>
      <c r="H177" s="55" t="s">
        <v>574</v>
      </c>
      <c r="I177" s="55">
        <v>-119.09999999999997</v>
      </c>
      <c r="J177" s="55">
        <v>326.05</v>
      </c>
      <c r="K177" s="56">
        <v>31100</v>
      </c>
      <c r="L177" s="55">
        <v>5.05</v>
      </c>
      <c r="M177" s="55">
        <v>-5.1000000000000005</v>
      </c>
      <c r="N177" s="55" t="s">
        <v>576</v>
      </c>
      <c r="O177" s="55">
        <v>307700</v>
      </c>
      <c r="P177" s="55">
        <v>826400</v>
      </c>
      <c r="Q177" s="55">
        <v>2372100</v>
      </c>
      <c r="R177" s="57" t="s">
        <v>564</v>
      </c>
      <c r="S177" s="58" t="s">
        <v>566</v>
      </c>
      <c r="T177" s="51">
        <v>31449.9</v>
      </c>
    </row>
    <row r="178" spans="1:20" x14ac:dyDescent="0.25">
      <c r="A178" s="51" t="str">
        <f>(COUNTIF($K$2:K178,K178))&amp;K178</f>
        <v>1031200</v>
      </c>
      <c r="B178" s="52" t="s">
        <v>585</v>
      </c>
      <c r="C178" s="53" t="s">
        <v>566</v>
      </c>
      <c r="D178" s="54" t="s">
        <v>564</v>
      </c>
      <c r="E178" s="55">
        <v>252520</v>
      </c>
      <c r="F178" s="55">
        <v>165220</v>
      </c>
      <c r="G178" s="55">
        <v>33500</v>
      </c>
      <c r="H178" s="55" t="s">
        <v>574</v>
      </c>
      <c r="I178" s="55">
        <v>-114.85</v>
      </c>
      <c r="J178" s="55">
        <v>235.6</v>
      </c>
      <c r="K178" s="56">
        <v>31200</v>
      </c>
      <c r="L178" s="55">
        <v>13.9</v>
      </c>
      <c r="M178" s="55">
        <v>-3.4999999999999982</v>
      </c>
      <c r="N178" s="55" t="s">
        <v>576</v>
      </c>
      <c r="O178" s="55">
        <v>524920</v>
      </c>
      <c r="P178" s="55">
        <v>1050860</v>
      </c>
      <c r="Q178" s="55">
        <v>3079960</v>
      </c>
      <c r="R178" s="57" t="s">
        <v>564</v>
      </c>
      <c r="S178" s="58" t="s">
        <v>566</v>
      </c>
      <c r="T178" s="51">
        <v>31449.9</v>
      </c>
    </row>
    <row r="179" spans="1:20" x14ac:dyDescent="0.25">
      <c r="A179" s="51" t="str">
        <f>(COUNTIF($K$2:K179,K179))&amp;K179</f>
        <v>1031300</v>
      </c>
      <c r="B179" s="52" t="s">
        <v>585</v>
      </c>
      <c r="C179" s="53" t="s">
        <v>566</v>
      </c>
      <c r="D179" s="54" t="s">
        <v>564</v>
      </c>
      <c r="E179" s="55">
        <v>520100</v>
      </c>
      <c r="F179" s="55">
        <v>190860</v>
      </c>
      <c r="G179" s="112" t="s">
        <v>577</v>
      </c>
      <c r="H179" s="55" t="s">
        <v>576</v>
      </c>
      <c r="I179" s="55">
        <v>-110.15</v>
      </c>
      <c r="J179" s="55">
        <v>155.4</v>
      </c>
      <c r="K179" s="56">
        <v>31300</v>
      </c>
      <c r="L179" s="55">
        <v>34.25</v>
      </c>
      <c r="M179" s="55">
        <v>3.3000000000000007</v>
      </c>
      <c r="N179" s="55" t="s">
        <v>576</v>
      </c>
      <c r="O179" s="55">
        <v>389040</v>
      </c>
      <c r="P179" s="55">
        <v>1039540</v>
      </c>
      <c r="Q179" s="55">
        <v>3591040</v>
      </c>
      <c r="R179" s="57" t="s">
        <v>564</v>
      </c>
      <c r="S179" s="58" t="s">
        <v>565</v>
      </c>
      <c r="T179" s="51">
        <v>31449.9</v>
      </c>
    </row>
    <row r="180" spans="1:20" ht="15.75" x14ac:dyDescent="0.25">
      <c r="A180" s="51" t="str">
        <f>(COUNTIF($K$2:K180,K180))&amp;K180</f>
        <v>1031400</v>
      </c>
      <c r="B180" s="52" t="s">
        <v>585</v>
      </c>
      <c r="C180" s="53" t="s">
        <v>566</v>
      </c>
      <c r="D180" s="54" t="s">
        <v>564</v>
      </c>
      <c r="E180" s="55">
        <v>1655620</v>
      </c>
      <c r="F180" s="55">
        <v>544460</v>
      </c>
      <c r="G180" s="55">
        <v>360160</v>
      </c>
      <c r="H180" s="55" t="s">
        <v>576</v>
      </c>
      <c r="I180" s="55">
        <v>-96.4</v>
      </c>
      <c r="J180" s="55">
        <v>92.6</v>
      </c>
      <c r="K180" s="59">
        <v>31400</v>
      </c>
      <c r="L180" s="55">
        <v>71.900000000000006</v>
      </c>
      <c r="M180" s="55">
        <v>17.950000000000003</v>
      </c>
      <c r="N180" s="55" t="s">
        <v>576</v>
      </c>
      <c r="O180" s="55">
        <v>248220</v>
      </c>
      <c r="P180" s="55">
        <v>804440</v>
      </c>
      <c r="Q180" s="55">
        <v>2920500</v>
      </c>
      <c r="R180" s="57" t="s">
        <v>564</v>
      </c>
      <c r="S180" s="58" t="s">
        <v>565</v>
      </c>
      <c r="T180" s="51">
        <v>31449.9</v>
      </c>
    </row>
    <row r="181" spans="1:20" x14ac:dyDescent="0.25">
      <c r="A181" s="51" t="str">
        <f>(COUNTIF($K$2:K181,K181))&amp;K181</f>
        <v>1031500</v>
      </c>
      <c r="B181" s="52" t="s">
        <v>585</v>
      </c>
      <c r="C181" s="53" t="s">
        <v>566</v>
      </c>
      <c r="D181" s="54" t="s">
        <v>564</v>
      </c>
      <c r="E181" s="55">
        <v>3905160</v>
      </c>
      <c r="F181" s="55">
        <v>1765320</v>
      </c>
      <c r="G181" s="55">
        <v>986780</v>
      </c>
      <c r="H181" s="55" t="s">
        <v>576</v>
      </c>
      <c r="I181" s="55">
        <v>-76.900000000000006</v>
      </c>
      <c r="J181" s="55">
        <v>49.55</v>
      </c>
      <c r="K181" s="56">
        <v>31500</v>
      </c>
      <c r="L181" s="55">
        <v>128.85</v>
      </c>
      <c r="M181" s="55">
        <v>38.699999999999989</v>
      </c>
      <c r="N181" s="55" t="s">
        <v>576</v>
      </c>
      <c r="O181" s="55">
        <v>106540</v>
      </c>
      <c r="P181" s="55">
        <v>737020</v>
      </c>
      <c r="Q181" s="55">
        <v>2130740</v>
      </c>
      <c r="R181" s="57" t="s">
        <v>564</v>
      </c>
      <c r="S181" s="58" t="s">
        <v>565</v>
      </c>
      <c r="T181" s="51">
        <v>31449.9</v>
      </c>
    </row>
    <row r="182" spans="1:20" x14ac:dyDescent="0.25">
      <c r="A182" s="51" t="str">
        <f>(COUNTIF($K$2:K182,K182))&amp;K182</f>
        <v>1031600</v>
      </c>
      <c r="B182" s="52" t="s">
        <v>585</v>
      </c>
      <c r="C182" s="53" t="s">
        <v>566</v>
      </c>
      <c r="D182" s="54" t="s">
        <v>564</v>
      </c>
      <c r="E182" s="55">
        <v>3272780</v>
      </c>
      <c r="F182" s="55">
        <v>1178900</v>
      </c>
      <c r="G182" s="55">
        <v>559240</v>
      </c>
      <c r="H182" s="55" t="s">
        <v>576</v>
      </c>
      <c r="I182" s="55">
        <v>-56.1</v>
      </c>
      <c r="J182" s="55">
        <v>22.35</v>
      </c>
      <c r="K182" s="56">
        <v>31600</v>
      </c>
      <c r="L182" s="55">
        <v>202.4</v>
      </c>
      <c r="M182" s="55">
        <v>60.300000000000011</v>
      </c>
      <c r="N182" s="55" t="s">
        <v>576</v>
      </c>
      <c r="O182" s="55">
        <v>48500</v>
      </c>
      <c r="P182" s="55">
        <v>142740</v>
      </c>
      <c r="Q182" s="55">
        <v>627280</v>
      </c>
      <c r="R182" s="57" t="s">
        <v>564</v>
      </c>
      <c r="S182" s="58" t="s">
        <v>565</v>
      </c>
      <c r="T182" s="51">
        <v>31449.9</v>
      </c>
    </row>
    <row r="183" spans="1:20" x14ac:dyDescent="0.25">
      <c r="A183" s="51" t="str">
        <f>(COUNTIF($K$2:K183,K183))&amp;K183</f>
        <v>1031700</v>
      </c>
      <c r="B183" s="52" t="s">
        <v>585</v>
      </c>
      <c r="C183" s="53" t="s">
        <v>566</v>
      </c>
      <c r="D183" s="54" t="s">
        <v>564</v>
      </c>
      <c r="E183" s="55">
        <v>3314060</v>
      </c>
      <c r="F183" s="55">
        <v>1092020</v>
      </c>
      <c r="G183" s="55">
        <v>456760</v>
      </c>
      <c r="H183" s="55" t="s">
        <v>576</v>
      </c>
      <c r="I183" s="55">
        <v>-35.950000000000003</v>
      </c>
      <c r="J183" s="55">
        <v>8.5</v>
      </c>
      <c r="K183" s="56">
        <v>31700</v>
      </c>
      <c r="L183" s="55">
        <v>287.89999999999998</v>
      </c>
      <c r="M183" s="55">
        <v>78.499999999999972</v>
      </c>
      <c r="N183" s="55" t="s">
        <v>576</v>
      </c>
      <c r="O183" s="55">
        <v>25960</v>
      </c>
      <c r="P183" s="55">
        <v>75720</v>
      </c>
      <c r="Q183" s="55">
        <v>319500</v>
      </c>
      <c r="R183" s="57" t="s">
        <v>564</v>
      </c>
      <c r="S183" s="58" t="s">
        <v>565</v>
      </c>
      <c r="T183" s="51">
        <v>31449.9</v>
      </c>
    </row>
    <row r="184" spans="1:20" x14ac:dyDescent="0.25">
      <c r="A184" s="51" t="str">
        <f>(COUNTIF($K$2:K184,K184))&amp;K184</f>
        <v>1031800</v>
      </c>
      <c r="B184" s="52" t="s">
        <v>585</v>
      </c>
      <c r="C184" s="53" t="s">
        <v>566</v>
      </c>
      <c r="D184" s="54" t="s">
        <v>564</v>
      </c>
      <c r="E184" s="55">
        <v>2446800</v>
      </c>
      <c r="F184" s="55">
        <v>858280</v>
      </c>
      <c r="G184" s="55">
        <v>272900</v>
      </c>
      <c r="H184" s="55" t="s">
        <v>576</v>
      </c>
      <c r="I184" s="55">
        <v>-20.350000000000001</v>
      </c>
      <c r="J184" s="55">
        <v>3.15</v>
      </c>
      <c r="K184" s="56">
        <v>31800</v>
      </c>
      <c r="L184" s="55">
        <v>383.4</v>
      </c>
      <c r="M184" s="55">
        <v>98.049999999999955</v>
      </c>
      <c r="N184" s="55" t="s">
        <v>576</v>
      </c>
      <c r="O184" s="55">
        <v>13380</v>
      </c>
      <c r="P184" s="55">
        <v>28360</v>
      </c>
      <c r="Q184" s="55">
        <v>118000</v>
      </c>
      <c r="R184" s="57" t="s">
        <v>564</v>
      </c>
      <c r="S184" s="58" t="s">
        <v>565</v>
      </c>
      <c r="T184" s="51">
        <v>31449.9</v>
      </c>
    </row>
    <row r="185" spans="1:20" x14ac:dyDescent="0.25">
      <c r="A185" s="51" t="str">
        <f>(COUNTIF($K$2:K185,K185))&amp;K185</f>
        <v>1031900</v>
      </c>
      <c r="B185" s="52" t="s">
        <v>585</v>
      </c>
      <c r="C185" s="53" t="s">
        <v>562</v>
      </c>
      <c r="D185" s="54" t="s">
        <v>563</v>
      </c>
      <c r="E185" s="55">
        <v>1746660</v>
      </c>
      <c r="F185" s="55">
        <v>485240</v>
      </c>
      <c r="G185" s="55">
        <v>-26560</v>
      </c>
      <c r="H185" s="55" t="s">
        <v>576</v>
      </c>
      <c r="I185" s="55">
        <v>-9.75</v>
      </c>
      <c r="J185" s="55">
        <v>1.35</v>
      </c>
      <c r="K185" s="56">
        <v>31900</v>
      </c>
      <c r="L185" s="55">
        <v>481.5</v>
      </c>
      <c r="M185" s="55">
        <v>104.80000000000001</v>
      </c>
      <c r="N185" s="55" t="s">
        <v>576</v>
      </c>
      <c r="O185" s="55">
        <v>2420</v>
      </c>
      <c r="P185" s="55">
        <v>7960</v>
      </c>
      <c r="Q185" s="55">
        <v>22600</v>
      </c>
      <c r="R185" s="57" t="s">
        <v>564</v>
      </c>
      <c r="S185" s="58" t="s">
        <v>565</v>
      </c>
      <c r="T185" s="51">
        <v>31449.9</v>
      </c>
    </row>
    <row r="186" spans="1:20" x14ac:dyDescent="0.25">
      <c r="A186" s="51" t="str">
        <f>(COUNTIF($K$2:K186,K186))&amp;K186</f>
        <v>1032000</v>
      </c>
      <c r="B186" s="52" t="s">
        <v>585</v>
      </c>
      <c r="C186" s="53" t="s">
        <v>566</v>
      </c>
      <c r="D186" s="54" t="s">
        <v>564</v>
      </c>
      <c r="E186" s="55">
        <v>1486360</v>
      </c>
      <c r="F186" s="55">
        <v>736760</v>
      </c>
      <c r="G186" s="55">
        <v>125100</v>
      </c>
      <c r="H186" s="55" t="s">
        <v>576</v>
      </c>
      <c r="I186" s="55">
        <v>-5.05</v>
      </c>
      <c r="J186" s="55">
        <v>0.95</v>
      </c>
      <c r="K186" s="56">
        <v>32000</v>
      </c>
      <c r="L186" s="55">
        <v>580</v>
      </c>
      <c r="M186" s="55">
        <v>109.5</v>
      </c>
      <c r="N186" s="55" t="s">
        <v>576</v>
      </c>
      <c r="O186" s="55">
        <v>500</v>
      </c>
      <c r="P186" s="55">
        <v>12620</v>
      </c>
      <c r="Q186" s="55">
        <v>13640</v>
      </c>
      <c r="R186" s="57" t="s">
        <v>564</v>
      </c>
      <c r="S186" s="58" t="s">
        <v>565</v>
      </c>
      <c r="T186" s="51">
        <v>31449.9</v>
      </c>
    </row>
    <row r="187" spans="1:20" x14ac:dyDescent="0.25">
      <c r="A187" s="51" t="str">
        <f>(COUNTIF($K$2:K187,K187))&amp;K187</f>
        <v>1032100</v>
      </c>
      <c r="B187" s="52" t="s">
        <v>585</v>
      </c>
      <c r="C187" s="53" t="s">
        <v>562</v>
      </c>
      <c r="D187" s="54" t="s">
        <v>563</v>
      </c>
      <c r="E187" s="55">
        <v>384700</v>
      </c>
      <c r="F187" s="55">
        <v>147060</v>
      </c>
      <c r="G187" s="55">
        <v>-3420</v>
      </c>
      <c r="H187" s="55" t="s">
        <v>576</v>
      </c>
      <c r="I187" s="55">
        <v>-2.5499999999999998</v>
      </c>
      <c r="J187" s="55">
        <v>0.6</v>
      </c>
      <c r="K187" s="56">
        <v>32100</v>
      </c>
      <c r="L187" s="55">
        <v>680.25</v>
      </c>
      <c r="M187" s="55">
        <v>105.25</v>
      </c>
      <c r="N187" s="55" t="s">
        <v>576</v>
      </c>
      <c r="O187" s="55">
        <v>0</v>
      </c>
      <c r="P187" s="55">
        <v>240</v>
      </c>
      <c r="Q187" s="55">
        <v>40</v>
      </c>
      <c r="R187" s="57" t="s">
        <v>563</v>
      </c>
      <c r="S187" s="58" t="b">
        <v>0</v>
      </c>
      <c r="T187" s="51">
        <v>31449.9</v>
      </c>
    </row>
    <row r="188" spans="1:20" x14ac:dyDescent="0.25">
      <c r="A188" s="51" t="str">
        <f>(COUNTIF($K$2:K188,K188))&amp;K188</f>
        <v>11PCR</v>
      </c>
      <c r="B188" s="52" t="s">
        <v>585</v>
      </c>
      <c r="C188" s="60">
        <v>0.98804188207292243</v>
      </c>
      <c r="E188" s="61"/>
      <c r="F188" s="62">
        <v>7327240</v>
      </c>
      <c r="G188" s="63"/>
      <c r="H188" s="64"/>
      <c r="I188" s="64"/>
      <c r="J188" s="64"/>
      <c r="K188" s="65" t="s">
        <v>555</v>
      </c>
      <c r="L188" s="64"/>
      <c r="M188" s="64"/>
      <c r="N188" s="64"/>
      <c r="P188" s="63">
        <v>7239620</v>
      </c>
      <c r="Q188" s="61"/>
      <c r="R188" s="64"/>
      <c r="S188" s="64"/>
    </row>
    <row r="189" spans="1:20" x14ac:dyDescent="0.25">
      <c r="A189" s="51" t="str">
        <f>(COUNTIF($K$2:K189,K189))&amp;K189</f>
        <v>430600</v>
      </c>
      <c r="B189" s="52" t="s">
        <v>585</v>
      </c>
      <c r="C189" s="53" t="s">
        <v>562</v>
      </c>
      <c r="D189" s="54" t="s">
        <v>563</v>
      </c>
      <c r="E189" s="55">
        <v>500</v>
      </c>
      <c r="F189" s="55">
        <v>4340</v>
      </c>
      <c r="G189" s="55">
        <v>-200</v>
      </c>
      <c r="H189" s="55" t="s">
        <v>574</v>
      </c>
      <c r="I189" s="55">
        <v>-111.85000000000002</v>
      </c>
      <c r="J189" s="55">
        <v>820.85</v>
      </c>
      <c r="K189" s="56">
        <v>30600</v>
      </c>
      <c r="L189" s="55">
        <v>0.55000000000000004</v>
      </c>
      <c r="M189" s="55">
        <v>-2.4500000000000002</v>
      </c>
      <c r="N189" s="55" t="s">
        <v>576</v>
      </c>
      <c r="O189" s="55">
        <v>2700</v>
      </c>
      <c r="P189" s="55">
        <v>201940</v>
      </c>
      <c r="Q189" s="55">
        <v>99300</v>
      </c>
      <c r="R189" s="57" t="s">
        <v>564</v>
      </c>
      <c r="S189" s="58" t="s">
        <v>566</v>
      </c>
      <c r="T189" s="51">
        <v>31449.9</v>
      </c>
    </row>
    <row r="190" spans="1:20" x14ac:dyDescent="0.25">
      <c r="A190" s="51" t="str">
        <f>(COUNTIF($K$2:K190,K190))&amp;K190</f>
        <v>1130700</v>
      </c>
      <c r="B190" s="52" t="s">
        <v>585</v>
      </c>
      <c r="C190" s="53" t="b">
        <v>0</v>
      </c>
      <c r="D190" s="54" t="s">
        <v>563</v>
      </c>
      <c r="E190" s="55">
        <v>900</v>
      </c>
      <c r="F190" s="55">
        <v>11820</v>
      </c>
      <c r="G190" s="55">
        <v>0</v>
      </c>
      <c r="H190" s="55" t="s">
        <v>574</v>
      </c>
      <c r="I190" s="55">
        <v>-114.89999999999998</v>
      </c>
      <c r="J190" s="55">
        <v>721.1</v>
      </c>
      <c r="K190" s="56">
        <v>30700</v>
      </c>
      <c r="L190" s="55">
        <v>0.7</v>
      </c>
      <c r="M190" s="55">
        <v>-2.9000000000000004</v>
      </c>
      <c r="N190" s="55" t="s">
        <v>576</v>
      </c>
      <c r="O190" s="55">
        <v>3980</v>
      </c>
      <c r="P190" s="55">
        <v>194180</v>
      </c>
      <c r="Q190" s="55">
        <v>205940</v>
      </c>
      <c r="R190" s="57" t="s">
        <v>564</v>
      </c>
      <c r="S190" s="58" t="s">
        <v>566</v>
      </c>
      <c r="T190" s="51">
        <v>31449.9</v>
      </c>
    </row>
    <row r="191" spans="1:20" x14ac:dyDescent="0.25">
      <c r="A191" s="51" t="str">
        <f>(COUNTIF($K$2:K191,K191))&amp;K191</f>
        <v>1130800</v>
      </c>
      <c r="B191" s="52" t="s">
        <v>585</v>
      </c>
      <c r="C191" s="53" t="s">
        <v>562</v>
      </c>
      <c r="D191" s="54" t="s">
        <v>563</v>
      </c>
      <c r="E191" s="55">
        <v>900</v>
      </c>
      <c r="F191" s="55">
        <v>7360</v>
      </c>
      <c r="G191" s="55">
        <v>-140</v>
      </c>
      <c r="H191" s="55" t="s">
        <v>574</v>
      </c>
      <c r="I191" s="55">
        <v>-112.64999999999998</v>
      </c>
      <c r="J191" s="55">
        <v>622.95000000000005</v>
      </c>
      <c r="K191" s="56">
        <v>30800</v>
      </c>
      <c r="L191" s="55">
        <v>0.95</v>
      </c>
      <c r="M191" s="55">
        <v>-3.1499999999999995</v>
      </c>
      <c r="N191" s="55" t="s">
        <v>576</v>
      </c>
      <c r="O191" s="55">
        <v>18040</v>
      </c>
      <c r="P191" s="55">
        <v>385440</v>
      </c>
      <c r="Q191" s="55">
        <v>410440</v>
      </c>
      <c r="R191" s="57" t="s">
        <v>564</v>
      </c>
      <c r="S191" s="58" t="s">
        <v>566</v>
      </c>
      <c r="T191" s="51">
        <v>31449.9</v>
      </c>
    </row>
    <row r="192" spans="1:20" x14ac:dyDescent="0.25">
      <c r="A192" s="51" t="str">
        <f>(COUNTIF($K$2:K192,K192))&amp;K192</f>
        <v>1130900</v>
      </c>
      <c r="B192" s="52" t="s">
        <v>585</v>
      </c>
      <c r="C192" s="53" t="s">
        <v>566</v>
      </c>
      <c r="D192" s="54" t="s">
        <v>564</v>
      </c>
      <c r="E192" s="55">
        <v>2180</v>
      </c>
      <c r="F192" s="55">
        <v>6420</v>
      </c>
      <c r="G192" s="55">
        <v>180</v>
      </c>
      <c r="H192" s="55" t="s">
        <v>574</v>
      </c>
      <c r="I192" s="55">
        <v>-112.04999999999995</v>
      </c>
      <c r="J192" s="55">
        <v>521.5</v>
      </c>
      <c r="K192" s="56">
        <v>30900</v>
      </c>
      <c r="L192" s="55">
        <v>1.5</v>
      </c>
      <c r="M192" s="55">
        <v>-4</v>
      </c>
      <c r="N192" s="55" t="s">
        <v>576</v>
      </c>
      <c r="O192" s="55">
        <v>114800</v>
      </c>
      <c r="P192" s="55">
        <v>480680</v>
      </c>
      <c r="Q192" s="55">
        <v>748540</v>
      </c>
      <c r="R192" s="57" t="s">
        <v>564</v>
      </c>
      <c r="S192" s="58" t="s">
        <v>566</v>
      </c>
      <c r="T192" s="51">
        <v>31449.9</v>
      </c>
    </row>
    <row r="193" spans="1:20" x14ac:dyDescent="0.25">
      <c r="A193" s="51" t="str">
        <f>(COUNTIF($K$2:K193,K193))&amp;K193</f>
        <v>1131000</v>
      </c>
      <c r="B193" s="52" t="s">
        <v>585</v>
      </c>
      <c r="C193" s="53" t="s">
        <v>566</v>
      </c>
      <c r="D193" s="54" t="s">
        <v>564</v>
      </c>
      <c r="E193" s="55">
        <v>36380</v>
      </c>
      <c r="F193" s="55">
        <v>94540</v>
      </c>
      <c r="G193" s="55">
        <v>6320</v>
      </c>
      <c r="H193" s="55" t="s">
        <v>574</v>
      </c>
      <c r="I193" s="55">
        <v>-122.65000000000003</v>
      </c>
      <c r="J193" s="55">
        <v>422.2</v>
      </c>
      <c r="K193" s="56">
        <v>31000</v>
      </c>
      <c r="L193" s="55">
        <v>2.6</v>
      </c>
      <c r="M193" s="55">
        <v>-4.8000000000000007</v>
      </c>
      <c r="N193" s="55" t="s">
        <v>576</v>
      </c>
      <c r="O193" s="55">
        <v>440880</v>
      </c>
      <c r="P193" s="55">
        <v>1251480</v>
      </c>
      <c r="Q193" s="55">
        <v>2008080</v>
      </c>
      <c r="R193" s="57" t="s">
        <v>564</v>
      </c>
      <c r="S193" s="58" t="s">
        <v>566</v>
      </c>
      <c r="T193" s="51">
        <v>31449.9</v>
      </c>
    </row>
    <row r="194" spans="1:20" x14ac:dyDescent="0.25">
      <c r="A194" s="51" t="str">
        <f>(COUNTIF($K$2:K194,K194))&amp;K194</f>
        <v>1131100</v>
      </c>
      <c r="B194" s="52" t="s">
        <v>585</v>
      </c>
      <c r="C194" s="53" t="s">
        <v>566</v>
      </c>
      <c r="D194" s="54" t="s">
        <v>564</v>
      </c>
      <c r="E194" s="55">
        <v>32400</v>
      </c>
      <c r="F194" s="55">
        <v>38640</v>
      </c>
      <c r="G194" s="55">
        <v>7980</v>
      </c>
      <c r="H194" s="55" t="s">
        <v>574</v>
      </c>
      <c r="I194" s="55">
        <v>-119.09999999999997</v>
      </c>
      <c r="J194" s="55">
        <v>326.05</v>
      </c>
      <c r="K194" s="56">
        <v>31100</v>
      </c>
      <c r="L194" s="55">
        <v>5.05</v>
      </c>
      <c r="M194" s="55">
        <v>-5.1000000000000005</v>
      </c>
      <c r="N194" s="55" t="s">
        <v>576</v>
      </c>
      <c r="O194" s="55">
        <v>307700</v>
      </c>
      <c r="P194" s="55">
        <v>826400</v>
      </c>
      <c r="Q194" s="55">
        <v>2372100</v>
      </c>
      <c r="R194" s="57" t="s">
        <v>564</v>
      </c>
      <c r="S194" s="58" t="s">
        <v>566</v>
      </c>
      <c r="T194" s="51">
        <v>31449.9</v>
      </c>
    </row>
    <row r="195" spans="1:20" x14ac:dyDescent="0.25">
      <c r="A195" s="51" t="str">
        <f>(COUNTIF($K$2:K195,K195))&amp;K195</f>
        <v>1131200</v>
      </c>
      <c r="B195" s="52" t="s">
        <v>585</v>
      </c>
      <c r="C195" s="53" t="s">
        <v>566</v>
      </c>
      <c r="D195" s="54" t="s">
        <v>564</v>
      </c>
      <c r="E195" s="55">
        <v>252520</v>
      </c>
      <c r="F195" s="55">
        <v>165220</v>
      </c>
      <c r="G195" s="55">
        <v>33500</v>
      </c>
      <c r="H195" s="55" t="s">
        <v>574</v>
      </c>
      <c r="I195" s="55">
        <v>-114.85</v>
      </c>
      <c r="J195" s="55">
        <v>235.6</v>
      </c>
      <c r="K195" s="56">
        <v>31200</v>
      </c>
      <c r="L195" s="55">
        <v>13.9</v>
      </c>
      <c r="M195" s="55">
        <v>-3.4999999999999982</v>
      </c>
      <c r="N195" s="55" t="s">
        <v>576</v>
      </c>
      <c r="O195" s="55">
        <v>524920</v>
      </c>
      <c r="P195" s="55">
        <v>1050860</v>
      </c>
      <c r="Q195" s="55">
        <v>3079960</v>
      </c>
      <c r="R195" s="57" t="s">
        <v>564</v>
      </c>
      <c r="S195" s="58" t="s">
        <v>566</v>
      </c>
      <c r="T195" s="51">
        <v>31449.9</v>
      </c>
    </row>
    <row r="196" spans="1:20" x14ac:dyDescent="0.25">
      <c r="A196" s="51" t="str">
        <f>(COUNTIF($K$2:K196,K196))&amp;K196</f>
        <v>1131300</v>
      </c>
      <c r="B196" s="52" t="s">
        <v>585</v>
      </c>
      <c r="C196" s="53" t="s">
        <v>566</v>
      </c>
      <c r="D196" s="54" t="s">
        <v>564</v>
      </c>
      <c r="E196" s="55">
        <v>520100</v>
      </c>
      <c r="F196" s="55">
        <v>190860</v>
      </c>
      <c r="G196" s="112" t="s">
        <v>577</v>
      </c>
      <c r="H196" s="55" t="s">
        <v>576</v>
      </c>
      <c r="I196" s="55">
        <v>-110.15</v>
      </c>
      <c r="J196" s="55">
        <v>155.4</v>
      </c>
      <c r="K196" s="56">
        <v>31300</v>
      </c>
      <c r="L196" s="55">
        <v>34.25</v>
      </c>
      <c r="M196" s="55">
        <v>3.3000000000000007</v>
      </c>
      <c r="N196" s="55" t="s">
        <v>576</v>
      </c>
      <c r="O196" s="55">
        <v>389040</v>
      </c>
      <c r="P196" s="55">
        <v>1039540</v>
      </c>
      <c r="Q196" s="55">
        <v>3591040</v>
      </c>
      <c r="R196" s="57" t="s">
        <v>564</v>
      </c>
      <c r="S196" s="58" t="s">
        <v>565</v>
      </c>
      <c r="T196" s="51">
        <v>31449.9</v>
      </c>
    </row>
    <row r="197" spans="1:20" ht="15.75" x14ac:dyDescent="0.25">
      <c r="A197" s="51" t="str">
        <f>(COUNTIF($K$2:K197,K197))&amp;K197</f>
        <v>1131400</v>
      </c>
      <c r="B197" s="52" t="s">
        <v>585</v>
      </c>
      <c r="C197" s="53" t="s">
        <v>566</v>
      </c>
      <c r="D197" s="54" t="s">
        <v>564</v>
      </c>
      <c r="E197" s="55">
        <v>1655620</v>
      </c>
      <c r="F197" s="55">
        <v>544460</v>
      </c>
      <c r="G197" s="55">
        <v>360160</v>
      </c>
      <c r="H197" s="55" t="s">
        <v>576</v>
      </c>
      <c r="I197" s="55">
        <v>-96.4</v>
      </c>
      <c r="J197" s="55">
        <v>92.6</v>
      </c>
      <c r="K197" s="59">
        <v>31400</v>
      </c>
      <c r="L197" s="55">
        <v>71.900000000000006</v>
      </c>
      <c r="M197" s="55">
        <v>17.950000000000003</v>
      </c>
      <c r="N197" s="55" t="s">
        <v>576</v>
      </c>
      <c r="O197" s="55">
        <v>248220</v>
      </c>
      <c r="P197" s="55">
        <v>804440</v>
      </c>
      <c r="Q197" s="55">
        <v>2920500</v>
      </c>
      <c r="R197" s="57" t="s">
        <v>564</v>
      </c>
      <c r="S197" s="58" t="s">
        <v>565</v>
      </c>
      <c r="T197" s="51">
        <v>31449.9</v>
      </c>
    </row>
    <row r="198" spans="1:20" x14ac:dyDescent="0.25">
      <c r="A198" s="51" t="str">
        <f>(COUNTIF($K$2:K198,K198))&amp;K198</f>
        <v>1131500</v>
      </c>
      <c r="B198" s="52" t="s">
        <v>585</v>
      </c>
      <c r="C198" s="53" t="s">
        <v>566</v>
      </c>
      <c r="D198" s="54" t="s">
        <v>564</v>
      </c>
      <c r="E198" s="55">
        <v>3905160</v>
      </c>
      <c r="F198" s="55">
        <v>1765320</v>
      </c>
      <c r="G198" s="55">
        <v>986780</v>
      </c>
      <c r="H198" s="55" t="s">
        <v>576</v>
      </c>
      <c r="I198" s="55">
        <v>-76.900000000000006</v>
      </c>
      <c r="J198" s="55">
        <v>49.55</v>
      </c>
      <c r="K198" s="56">
        <v>31500</v>
      </c>
      <c r="L198" s="55">
        <v>128.85</v>
      </c>
      <c r="M198" s="55">
        <v>38.699999999999989</v>
      </c>
      <c r="N198" s="55" t="s">
        <v>576</v>
      </c>
      <c r="O198" s="55">
        <v>106540</v>
      </c>
      <c r="P198" s="55">
        <v>737020</v>
      </c>
      <c r="Q198" s="55">
        <v>2130740</v>
      </c>
      <c r="R198" s="57" t="s">
        <v>564</v>
      </c>
      <c r="S198" s="58" t="s">
        <v>565</v>
      </c>
      <c r="T198" s="51">
        <v>31449.9</v>
      </c>
    </row>
    <row r="199" spans="1:20" x14ac:dyDescent="0.25">
      <c r="A199" s="51" t="str">
        <f>(COUNTIF($K$2:K199,K199))&amp;K199</f>
        <v>1131600</v>
      </c>
      <c r="B199" s="52" t="s">
        <v>585</v>
      </c>
      <c r="C199" s="53" t="s">
        <v>566</v>
      </c>
      <c r="D199" s="54" t="s">
        <v>564</v>
      </c>
      <c r="E199" s="55">
        <v>3272780</v>
      </c>
      <c r="F199" s="55">
        <v>1178900</v>
      </c>
      <c r="G199" s="55">
        <v>559240</v>
      </c>
      <c r="H199" s="55" t="s">
        <v>576</v>
      </c>
      <c r="I199" s="55">
        <v>-56.1</v>
      </c>
      <c r="J199" s="55">
        <v>22.35</v>
      </c>
      <c r="K199" s="56">
        <v>31600</v>
      </c>
      <c r="L199" s="55">
        <v>202.4</v>
      </c>
      <c r="M199" s="55">
        <v>60.300000000000011</v>
      </c>
      <c r="N199" s="55" t="s">
        <v>576</v>
      </c>
      <c r="O199" s="55">
        <v>48500</v>
      </c>
      <c r="P199" s="55">
        <v>142740</v>
      </c>
      <c r="Q199" s="55">
        <v>627280</v>
      </c>
      <c r="R199" s="57" t="s">
        <v>564</v>
      </c>
      <c r="S199" s="58" t="s">
        <v>565</v>
      </c>
      <c r="T199" s="51">
        <v>31449.9</v>
      </c>
    </row>
    <row r="200" spans="1:20" x14ac:dyDescent="0.25">
      <c r="A200" s="51" t="str">
        <f>(COUNTIF($K$2:K200,K200))&amp;K200</f>
        <v>1131700</v>
      </c>
      <c r="B200" s="52" t="s">
        <v>585</v>
      </c>
      <c r="C200" s="53" t="s">
        <v>566</v>
      </c>
      <c r="D200" s="54" t="s">
        <v>564</v>
      </c>
      <c r="E200" s="55">
        <v>3314060</v>
      </c>
      <c r="F200" s="55">
        <v>1092020</v>
      </c>
      <c r="G200" s="55">
        <v>456760</v>
      </c>
      <c r="H200" s="55" t="s">
        <v>576</v>
      </c>
      <c r="I200" s="55">
        <v>-35.950000000000003</v>
      </c>
      <c r="J200" s="55">
        <v>8.5</v>
      </c>
      <c r="K200" s="56">
        <v>31700</v>
      </c>
      <c r="L200" s="55">
        <v>287.89999999999998</v>
      </c>
      <c r="M200" s="55">
        <v>78.499999999999972</v>
      </c>
      <c r="N200" s="55" t="s">
        <v>576</v>
      </c>
      <c r="O200" s="55">
        <v>25960</v>
      </c>
      <c r="P200" s="55">
        <v>75720</v>
      </c>
      <c r="Q200" s="55">
        <v>319500</v>
      </c>
      <c r="R200" s="57" t="s">
        <v>564</v>
      </c>
      <c r="S200" s="58" t="s">
        <v>565</v>
      </c>
      <c r="T200" s="51">
        <v>31449.9</v>
      </c>
    </row>
    <row r="201" spans="1:20" x14ac:dyDescent="0.25">
      <c r="A201" s="51" t="str">
        <f>(COUNTIF($K$2:K201,K201))&amp;K201</f>
        <v>1131800</v>
      </c>
      <c r="B201" s="52" t="s">
        <v>585</v>
      </c>
      <c r="C201" s="53" t="s">
        <v>566</v>
      </c>
      <c r="D201" s="54" t="s">
        <v>564</v>
      </c>
      <c r="E201" s="55">
        <v>2446800</v>
      </c>
      <c r="F201" s="55">
        <v>858280</v>
      </c>
      <c r="G201" s="55">
        <v>272900</v>
      </c>
      <c r="H201" s="55" t="s">
        <v>576</v>
      </c>
      <c r="I201" s="55">
        <v>-20.350000000000001</v>
      </c>
      <c r="J201" s="55">
        <v>3.15</v>
      </c>
      <c r="K201" s="56">
        <v>31800</v>
      </c>
      <c r="L201" s="55">
        <v>383.4</v>
      </c>
      <c r="M201" s="55">
        <v>98.049999999999955</v>
      </c>
      <c r="N201" s="55" t="s">
        <v>576</v>
      </c>
      <c r="O201" s="55">
        <v>13380</v>
      </c>
      <c r="P201" s="55">
        <v>28360</v>
      </c>
      <c r="Q201" s="55">
        <v>118000</v>
      </c>
      <c r="R201" s="57" t="s">
        <v>564</v>
      </c>
      <c r="S201" s="58" t="s">
        <v>565</v>
      </c>
      <c r="T201" s="51">
        <v>31449.9</v>
      </c>
    </row>
    <row r="202" spans="1:20" x14ac:dyDescent="0.25">
      <c r="A202" s="51" t="str">
        <f>(COUNTIF($K$2:K202,K202))&amp;K202</f>
        <v>1131900</v>
      </c>
      <c r="B202" s="52" t="s">
        <v>585</v>
      </c>
      <c r="C202" s="53" t="s">
        <v>562</v>
      </c>
      <c r="D202" s="54" t="s">
        <v>563</v>
      </c>
      <c r="E202" s="55">
        <v>1746660</v>
      </c>
      <c r="F202" s="55">
        <v>485240</v>
      </c>
      <c r="G202" s="55">
        <v>-26560</v>
      </c>
      <c r="H202" s="55" t="s">
        <v>576</v>
      </c>
      <c r="I202" s="55">
        <v>-9.75</v>
      </c>
      <c r="J202" s="55">
        <v>1.35</v>
      </c>
      <c r="K202" s="56">
        <v>31900</v>
      </c>
      <c r="L202" s="55">
        <v>481.5</v>
      </c>
      <c r="M202" s="55">
        <v>104.80000000000001</v>
      </c>
      <c r="N202" s="55" t="s">
        <v>576</v>
      </c>
      <c r="O202" s="55">
        <v>2420</v>
      </c>
      <c r="P202" s="55">
        <v>7960</v>
      </c>
      <c r="Q202" s="55">
        <v>22600</v>
      </c>
      <c r="R202" s="57" t="s">
        <v>564</v>
      </c>
      <c r="S202" s="58" t="s">
        <v>565</v>
      </c>
      <c r="T202" s="51">
        <v>31449.9</v>
      </c>
    </row>
    <row r="203" spans="1:20" x14ac:dyDescent="0.25">
      <c r="A203" s="51" t="str">
        <f>(COUNTIF($K$2:K203,K203))&amp;K203</f>
        <v>1132000</v>
      </c>
      <c r="B203" s="52" t="s">
        <v>585</v>
      </c>
      <c r="C203" s="53" t="s">
        <v>566</v>
      </c>
      <c r="D203" s="54" t="s">
        <v>564</v>
      </c>
      <c r="E203" s="55">
        <v>1486360</v>
      </c>
      <c r="F203" s="55">
        <v>736760</v>
      </c>
      <c r="G203" s="55">
        <v>125100</v>
      </c>
      <c r="H203" s="55" t="s">
        <v>576</v>
      </c>
      <c r="I203" s="55">
        <v>-5.05</v>
      </c>
      <c r="J203" s="55">
        <v>0.95</v>
      </c>
      <c r="K203" s="56">
        <v>32000</v>
      </c>
      <c r="L203" s="55">
        <v>580</v>
      </c>
      <c r="M203" s="55">
        <v>109.5</v>
      </c>
      <c r="N203" s="55" t="s">
        <v>576</v>
      </c>
      <c r="O203" s="55">
        <v>500</v>
      </c>
      <c r="P203" s="55">
        <v>12620</v>
      </c>
      <c r="Q203" s="55">
        <v>13640</v>
      </c>
      <c r="R203" s="57" t="s">
        <v>564</v>
      </c>
      <c r="S203" s="58" t="s">
        <v>565</v>
      </c>
      <c r="T203" s="51">
        <v>31449.9</v>
      </c>
    </row>
    <row r="204" spans="1:20" x14ac:dyDescent="0.25">
      <c r="A204" s="51" t="str">
        <f>(COUNTIF($K$2:K204,K204))&amp;K204</f>
        <v>1132100</v>
      </c>
      <c r="B204" s="52" t="s">
        <v>585</v>
      </c>
      <c r="C204" s="53" t="s">
        <v>562</v>
      </c>
      <c r="D204" s="54" t="s">
        <v>563</v>
      </c>
      <c r="E204" s="55">
        <v>384700</v>
      </c>
      <c r="F204" s="55">
        <v>147060</v>
      </c>
      <c r="G204" s="55">
        <v>-3420</v>
      </c>
      <c r="H204" s="55" t="s">
        <v>576</v>
      </c>
      <c r="I204" s="55">
        <v>-2.5499999999999998</v>
      </c>
      <c r="J204" s="55">
        <v>0.6</v>
      </c>
      <c r="K204" s="56">
        <v>32100</v>
      </c>
      <c r="L204" s="55">
        <v>680.25</v>
      </c>
      <c r="M204" s="55">
        <v>105.25</v>
      </c>
      <c r="N204" s="55" t="s">
        <v>576</v>
      </c>
      <c r="O204" s="55">
        <v>0</v>
      </c>
      <c r="P204" s="55">
        <v>240</v>
      </c>
      <c r="Q204" s="55">
        <v>40</v>
      </c>
      <c r="R204" s="57" t="s">
        <v>563</v>
      </c>
      <c r="S204" s="58" t="b">
        <v>0</v>
      </c>
      <c r="T204" s="51">
        <v>31449.9</v>
      </c>
    </row>
    <row r="205" spans="1:20" x14ac:dyDescent="0.25">
      <c r="A205" s="51" t="str">
        <f>(COUNTIF($K$2:K205,K205))&amp;K205</f>
        <v>12PCR</v>
      </c>
      <c r="B205" s="52" t="s">
        <v>585</v>
      </c>
      <c r="C205" s="60">
        <v>0.98804188207292243</v>
      </c>
      <c r="E205" s="61"/>
      <c r="F205" s="62">
        <v>7327240</v>
      </c>
      <c r="G205" s="63"/>
      <c r="H205" s="64"/>
      <c r="I205" s="64"/>
      <c r="J205" s="64"/>
      <c r="K205" s="65" t="s">
        <v>555</v>
      </c>
      <c r="L205" s="64"/>
      <c r="M205" s="64"/>
      <c r="N205" s="64"/>
      <c r="P205" s="63">
        <v>7239620</v>
      </c>
      <c r="Q205" s="61"/>
      <c r="R205" s="64"/>
      <c r="S205" s="64"/>
    </row>
    <row r="206" spans="1:20" x14ac:dyDescent="0.25">
      <c r="A206" s="51" t="str">
        <f>(COUNTIF($K$2:K206,K206))&amp;K206</f>
        <v>1230700</v>
      </c>
      <c r="B206" s="52" t="s">
        <v>586</v>
      </c>
      <c r="C206" s="53" t="b">
        <v>0</v>
      </c>
      <c r="D206" s="54" t="s">
        <v>563</v>
      </c>
      <c r="E206" s="55">
        <v>900</v>
      </c>
      <c r="F206" s="55">
        <v>11820</v>
      </c>
      <c r="G206" s="55">
        <v>0</v>
      </c>
      <c r="H206" s="55" t="s">
        <v>574</v>
      </c>
      <c r="I206" s="55">
        <v>-114.89999999999998</v>
      </c>
      <c r="J206" s="55">
        <v>721.1</v>
      </c>
      <c r="K206" s="56">
        <v>30700</v>
      </c>
      <c r="L206" s="55">
        <v>0.65</v>
      </c>
      <c r="M206" s="55">
        <v>-2.95</v>
      </c>
      <c r="N206" s="55" t="s">
        <v>576</v>
      </c>
      <c r="O206" s="55">
        <v>7360</v>
      </c>
      <c r="P206" s="55">
        <v>197560</v>
      </c>
      <c r="Q206" s="55">
        <v>218700</v>
      </c>
      <c r="R206" s="57" t="s">
        <v>564</v>
      </c>
      <c r="S206" s="58" t="s">
        <v>566</v>
      </c>
      <c r="T206" s="51">
        <v>31454.95</v>
      </c>
    </row>
    <row r="207" spans="1:20" x14ac:dyDescent="0.25">
      <c r="A207" s="51" t="str">
        <f>(COUNTIF($K$2:K207,K207))&amp;K207</f>
        <v>1230800</v>
      </c>
      <c r="B207" s="52" t="s">
        <v>586</v>
      </c>
      <c r="C207" s="53" t="s">
        <v>562</v>
      </c>
      <c r="D207" s="54" t="s">
        <v>563</v>
      </c>
      <c r="E207" s="55">
        <v>900</v>
      </c>
      <c r="F207" s="55">
        <v>7360</v>
      </c>
      <c r="G207" s="55">
        <v>-140</v>
      </c>
      <c r="H207" s="55" t="s">
        <v>574</v>
      </c>
      <c r="I207" s="55">
        <v>-112.64999999999998</v>
      </c>
      <c r="J207" s="55">
        <v>622.95000000000005</v>
      </c>
      <c r="K207" s="56">
        <v>30800</v>
      </c>
      <c r="L207" s="55">
        <v>0.85</v>
      </c>
      <c r="M207" s="55">
        <v>-3.2499999999999996</v>
      </c>
      <c r="N207" s="55" t="s">
        <v>576</v>
      </c>
      <c r="O207" s="55">
        <v>5640</v>
      </c>
      <c r="P207" s="55">
        <v>373040</v>
      </c>
      <c r="Q207" s="55">
        <v>430020</v>
      </c>
      <c r="R207" s="57" t="s">
        <v>564</v>
      </c>
      <c r="S207" s="58" t="s">
        <v>566</v>
      </c>
      <c r="T207" s="51">
        <v>31454.95</v>
      </c>
    </row>
    <row r="208" spans="1:20" x14ac:dyDescent="0.25">
      <c r="A208" s="51" t="str">
        <f>(COUNTIF($K$2:K208,K208))&amp;K208</f>
        <v>1230900</v>
      </c>
      <c r="B208" s="52" t="s">
        <v>586</v>
      </c>
      <c r="C208" s="53" t="s">
        <v>566</v>
      </c>
      <c r="D208" s="54" t="s">
        <v>564</v>
      </c>
      <c r="E208" s="55">
        <v>2300</v>
      </c>
      <c r="F208" s="55">
        <v>6420</v>
      </c>
      <c r="G208" s="55">
        <v>180</v>
      </c>
      <c r="H208" s="55" t="s">
        <v>574</v>
      </c>
      <c r="I208" s="55">
        <v>-108.89999999999998</v>
      </c>
      <c r="J208" s="55">
        <v>524.65</v>
      </c>
      <c r="K208" s="56">
        <v>30900</v>
      </c>
      <c r="L208" s="55">
        <v>1.4</v>
      </c>
      <c r="M208" s="55">
        <v>-4.0999999999999996</v>
      </c>
      <c r="N208" s="55" t="s">
        <v>576</v>
      </c>
      <c r="O208" s="55">
        <v>120300</v>
      </c>
      <c r="P208" s="55">
        <v>486180</v>
      </c>
      <c r="Q208" s="55">
        <v>813800</v>
      </c>
      <c r="R208" s="57" t="s">
        <v>564</v>
      </c>
      <c r="S208" s="58" t="s">
        <v>566</v>
      </c>
      <c r="T208" s="51">
        <v>31454.95</v>
      </c>
    </row>
    <row r="209" spans="1:20" x14ac:dyDescent="0.25">
      <c r="A209" s="51" t="str">
        <f>(COUNTIF($K$2:K209,K209))&amp;K209</f>
        <v>1231000</v>
      </c>
      <c r="B209" s="52" t="s">
        <v>586</v>
      </c>
      <c r="C209" s="53" t="s">
        <v>566</v>
      </c>
      <c r="D209" s="54" t="s">
        <v>564</v>
      </c>
      <c r="E209" s="55">
        <v>44000</v>
      </c>
      <c r="F209" s="55">
        <v>96920</v>
      </c>
      <c r="G209" s="55">
        <v>8700</v>
      </c>
      <c r="H209" s="55" t="s">
        <v>574</v>
      </c>
      <c r="I209" s="55">
        <v>-114.70000000000005</v>
      </c>
      <c r="J209" s="55">
        <v>430.15</v>
      </c>
      <c r="K209" s="56">
        <v>31000</v>
      </c>
      <c r="L209" s="55">
        <v>2.25</v>
      </c>
      <c r="M209" s="55">
        <v>-5.15</v>
      </c>
      <c r="N209" s="55" t="s">
        <v>576</v>
      </c>
      <c r="O209" s="55">
        <v>514660</v>
      </c>
      <c r="P209" s="55">
        <v>1325260</v>
      </c>
      <c r="Q209" s="55">
        <v>2190380</v>
      </c>
      <c r="R209" s="57" t="s">
        <v>564</v>
      </c>
      <c r="S209" s="58" t="s">
        <v>566</v>
      </c>
      <c r="T209" s="51">
        <v>31454.95</v>
      </c>
    </row>
    <row r="210" spans="1:20" x14ac:dyDescent="0.25">
      <c r="A210" s="51" t="str">
        <f>(COUNTIF($K$2:K210,K210))&amp;K210</f>
        <v>1231100</v>
      </c>
      <c r="B210" s="52" t="s">
        <v>586</v>
      </c>
      <c r="C210" s="53" t="s">
        <v>566</v>
      </c>
      <c r="D210" s="54" t="s">
        <v>564</v>
      </c>
      <c r="E210" s="55">
        <v>37700</v>
      </c>
      <c r="F210" s="55">
        <v>39640</v>
      </c>
      <c r="G210" s="55">
        <v>8980</v>
      </c>
      <c r="H210" s="55" t="s">
        <v>574</v>
      </c>
      <c r="I210" s="55">
        <v>-110.59999999999997</v>
      </c>
      <c r="J210" s="55">
        <v>334.55</v>
      </c>
      <c r="K210" s="56">
        <v>31100</v>
      </c>
      <c r="L210" s="55">
        <v>4.5</v>
      </c>
      <c r="M210" s="55">
        <v>-5.65</v>
      </c>
      <c r="N210" s="55" t="s">
        <v>576</v>
      </c>
      <c r="O210" s="55">
        <v>353360</v>
      </c>
      <c r="P210" s="55">
        <v>872060</v>
      </c>
      <c r="Q210" s="55">
        <v>2590500</v>
      </c>
      <c r="R210" s="57" t="s">
        <v>564</v>
      </c>
      <c r="S210" s="58" t="s">
        <v>566</v>
      </c>
      <c r="T210" s="51">
        <v>31454.95</v>
      </c>
    </row>
    <row r="211" spans="1:20" x14ac:dyDescent="0.25">
      <c r="A211" s="51" t="str">
        <f>(COUNTIF($K$2:K211,K211))&amp;K211</f>
        <v>1231200</v>
      </c>
      <c r="B211" s="52" t="s">
        <v>586</v>
      </c>
      <c r="C211" s="53" t="s">
        <v>566</v>
      </c>
      <c r="D211" s="54" t="s">
        <v>564</v>
      </c>
      <c r="E211" s="55">
        <v>323380</v>
      </c>
      <c r="F211" s="55">
        <v>175180</v>
      </c>
      <c r="G211" s="55">
        <v>43460</v>
      </c>
      <c r="H211" s="55" t="s">
        <v>574</v>
      </c>
      <c r="I211" s="55">
        <v>-108.44999999999999</v>
      </c>
      <c r="J211" s="55">
        <v>242</v>
      </c>
      <c r="K211" s="56">
        <v>31200</v>
      </c>
      <c r="L211" s="55">
        <v>12.55</v>
      </c>
      <c r="M211" s="55">
        <v>-4.8499999999999979</v>
      </c>
      <c r="N211" s="55" t="s">
        <v>576</v>
      </c>
      <c r="O211" s="55">
        <v>570100</v>
      </c>
      <c r="P211" s="55">
        <v>1096040</v>
      </c>
      <c r="Q211" s="55">
        <v>3430100</v>
      </c>
      <c r="R211" s="57" t="s">
        <v>564</v>
      </c>
      <c r="S211" s="58" t="s">
        <v>566</v>
      </c>
      <c r="T211" s="51">
        <v>31454.95</v>
      </c>
    </row>
    <row r="212" spans="1:20" x14ac:dyDescent="0.25">
      <c r="A212" s="51" t="str">
        <f>(COUNTIF($K$2:K212,K212))&amp;K212</f>
        <v>1231300</v>
      </c>
      <c r="B212" s="52" t="s">
        <v>586</v>
      </c>
      <c r="C212" s="53" t="s">
        <v>566</v>
      </c>
      <c r="D212" s="54" t="s">
        <v>564</v>
      </c>
      <c r="E212" s="55">
        <v>610660</v>
      </c>
      <c r="F212" s="55">
        <v>197040</v>
      </c>
      <c r="G212" s="55">
        <v>81100</v>
      </c>
      <c r="H212" s="55" t="s">
        <v>576</v>
      </c>
      <c r="I212" s="55">
        <v>-105.65</v>
      </c>
      <c r="J212" s="55">
        <v>159.9</v>
      </c>
      <c r="K212" s="56">
        <v>31300</v>
      </c>
      <c r="L212" s="55">
        <v>31.3</v>
      </c>
      <c r="M212" s="55">
        <v>0.35000000000000142</v>
      </c>
      <c r="N212" s="55" t="s">
        <v>576</v>
      </c>
      <c r="O212" s="55">
        <v>463620</v>
      </c>
      <c r="P212" s="55">
        <v>1114120</v>
      </c>
      <c r="Q212" s="55">
        <v>3981120</v>
      </c>
      <c r="R212" s="57" t="s">
        <v>564</v>
      </c>
      <c r="S212" s="58" t="s">
        <v>565</v>
      </c>
      <c r="T212" s="51">
        <v>31454.95</v>
      </c>
    </row>
    <row r="213" spans="1:20" x14ac:dyDescent="0.25">
      <c r="A213" s="51" t="str">
        <f>(COUNTIF($K$2:K213,K213))&amp;K213</f>
        <v>1231400</v>
      </c>
      <c r="B213" s="52" t="s">
        <v>586</v>
      </c>
      <c r="C213" s="53" t="s">
        <v>566</v>
      </c>
      <c r="D213" s="54" t="s">
        <v>564</v>
      </c>
      <c r="E213" s="55">
        <v>1957400</v>
      </c>
      <c r="F213" s="55">
        <v>578160</v>
      </c>
      <c r="G213" s="112" t="s">
        <v>577</v>
      </c>
      <c r="H213" s="55" t="s">
        <v>576</v>
      </c>
      <c r="I213" s="55">
        <v>-93.45</v>
      </c>
      <c r="J213" s="55">
        <v>95.55</v>
      </c>
      <c r="K213" s="56">
        <v>31400</v>
      </c>
      <c r="L213" s="55">
        <v>67.95</v>
      </c>
      <c r="M213" s="55">
        <v>14</v>
      </c>
      <c r="N213" s="55" t="s">
        <v>576</v>
      </c>
      <c r="O213" s="55">
        <v>319240</v>
      </c>
      <c r="P213" s="55">
        <v>875460</v>
      </c>
      <c r="Q213" s="55">
        <v>3311780</v>
      </c>
      <c r="R213" s="57" t="s">
        <v>564</v>
      </c>
      <c r="S213" s="58" t="s">
        <v>565</v>
      </c>
      <c r="T213" s="51">
        <v>31454.95</v>
      </c>
    </row>
    <row r="214" spans="1:20" ht="15.75" x14ac:dyDescent="0.25">
      <c r="A214" s="51" t="str">
        <f>(COUNTIF($K$2:K214,K214))&amp;K214</f>
        <v>1231500</v>
      </c>
      <c r="B214" s="52" t="s">
        <v>586</v>
      </c>
      <c r="C214" s="53" t="s">
        <v>566</v>
      </c>
      <c r="D214" s="54" t="s">
        <v>564</v>
      </c>
      <c r="E214" s="55">
        <v>4379200</v>
      </c>
      <c r="F214" s="55">
        <v>1861660</v>
      </c>
      <c r="G214" s="55">
        <v>1083120</v>
      </c>
      <c r="H214" s="55" t="s">
        <v>576</v>
      </c>
      <c r="I214" s="55">
        <v>-75.7</v>
      </c>
      <c r="J214" s="55">
        <v>50.75</v>
      </c>
      <c r="K214" s="59">
        <v>31500</v>
      </c>
      <c r="L214" s="55">
        <v>123.1</v>
      </c>
      <c r="M214" s="55">
        <v>32.949999999999989</v>
      </c>
      <c r="N214" s="55" t="s">
        <v>576</v>
      </c>
      <c r="O214" s="55">
        <v>115680</v>
      </c>
      <c r="P214" s="55">
        <v>746160</v>
      </c>
      <c r="Q214" s="55">
        <v>2364640</v>
      </c>
      <c r="R214" s="57" t="s">
        <v>564</v>
      </c>
      <c r="S214" s="58" t="s">
        <v>565</v>
      </c>
      <c r="T214" s="51">
        <v>31454.95</v>
      </c>
    </row>
    <row r="215" spans="1:20" x14ac:dyDescent="0.25">
      <c r="A215" s="51" t="str">
        <f>(COUNTIF($K$2:K215,K215))&amp;K215</f>
        <v>1231600</v>
      </c>
      <c r="B215" s="52" t="s">
        <v>586</v>
      </c>
      <c r="C215" s="53" t="s">
        <v>566</v>
      </c>
      <c r="D215" s="54" t="s">
        <v>564</v>
      </c>
      <c r="E215" s="55">
        <v>3654220</v>
      </c>
      <c r="F215" s="55">
        <v>1231620</v>
      </c>
      <c r="G215" s="55">
        <v>611960</v>
      </c>
      <c r="H215" s="55" t="s">
        <v>576</v>
      </c>
      <c r="I215" s="55">
        <v>-55.85</v>
      </c>
      <c r="J215" s="55">
        <v>22.6</v>
      </c>
      <c r="K215" s="56">
        <v>31600</v>
      </c>
      <c r="L215" s="55">
        <v>195.95</v>
      </c>
      <c r="M215" s="55">
        <v>53.849999999999994</v>
      </c>
      <c r="N215" s="55" t="s">
        <v>576</v>
      </c>
      <c r="O215" s="55">
        <v>63940</v>
      </c>
      <c r="P215" s="55">
        <v>158180</v>
      </c>
      <c r="Q215" s="55">
        <v>704000</v>
      </c>
      <c r="R215" s="57" t="s">
        <v>564</v>
      </c>
      <c r="S215" s="58" t="s">
        <v>565</v>
      </c>
      <c r="T215" s="51">
        <v>31454.95</v>
      </c>
    </row>
    <row r="216" spans="1:20" x14ac:dyDescent="0.25">
      <c r="A216" s="51" t="str">
        <f>(COUNTIF($K$2:K216,K216))&amp;K216</f>
        <v>1231700</v>
      </c>
      <c r="B216" s="52" t="s">
        <v>586</v>
      </c>
      <c r="C216" s="53" t="s">
        <v>566</v>
      </c>
      <c r="D216" s="54" t="s">
        <v>564</v>
      </c>
      <c r="E216" s="55">
        <v>3634360</v>
      </c>
      <c r="F216" s="55">
        <v>1166740</v>
      </c>
      <c r="G216" s="55">
        <v>531480</v>
      </c>
      <c r="H216" s="55" t="s">
        <v>576</v>
      </c>
      <c r="I216" s="55">
        <v>-36.050000000000004</v>
      </c>
      <c r="J216" s="55">
        <v>8.4</v>
      </c>
      <c r="K216" s="56">
        <v>31700</v>
      </c>
      <c r="L216" s="55">
        <v>280.89999999999998</v>
      </c>
      <c r="M216" s="55">
        <v>71.499999999999972</v>
      </c>
      <c r="N216" s="55" t="s">
        <v>576</v>
      </c>
      <c r="O216" s="55">
        <v>27860</v>
      </c>
      <c r="P216" s="55">
        <v>77620</v>
      </c>
      <c r="Q216" s="55">
        <v>339500</v>
      </c>
      <c r="R216" s="57" t="s">
        <v>564</v>
      </c>
      <c r="S216" s="58" t="s">
        <v>565</v>
      </c>
      <c r="T216" s="51">
        <v>31454.95</v>
      </c>
    </row>
    <row r="217" spans="1:20" x14ac:dyDescent="0.25">
      <c r="A217" s="51" t="str">
        <f>(COUNTIF($K$2:K217,K217))&amp;K217</f>
        <v>1231800</v>
      </c>
      <c r="B217" s="52" t="s">
        <v>586</v>
      </c>
      <c r="C217" s="53" t="s">
        <v>566</v>
      </c>
      <c r="D217" s="54" t="s">
        <v>564</v>
      </c>
      <c r="E217" s="55">
        <v>2669040</v>
      </c>
      <c r="F217" s="55">
        <v>898960</v>
      </c>
      <c r="G217" s="55">
        <v>313580</v>
      </c>
      <c r="H217" s="55" t="s">
        <v>576</v>
      </c>
      <c r="I217" s="55">
        <v>-20.399999999999999</v>
      </c>
      <c r="J217" s="55">
        <v>3.1</v>
      </c>
      <c r="K217" s="56">
        <v>31800</v>
      </c>
      <c r="L217" s="55">
        <v>374.45</v>
      </c>
      <c r="M217" s="55">
        <v>89.099999999999966</v>
      </c>
      <c r="N217" s="55" t="s">
        <v>576</v>
      </c>
      <c r="O217" s="55">
        <v>17600</v>
      </c>
      <c r="P217" s="55">
        <v>32580</v>
      </c>
      <c r="Q217" s="55">
        <v>132220</v>
      </c>
      <c r="R217" s="57" t="s">
        <v>564</v>
      </c>
      <c r="S217" s="58" t="s">
        <v>565</v>
      </c>
      <c r="T217" s="51">
        <v>31454.95</v>
      </c>
    </row>
    <row r="218" spans="1:20" x14ac:dyDescent="0.25">
      <c r="A218" s="51" t="str">
        <f>(COUNTIF($K$2:K218,K218))&amp;K218</f>
        <v>1231900</v>
      </c>
      <c r="B218" s="52" t="s">
        <v>586</v>
      </c>
      <c r="C218" s="53" t="s">
        <v>562</v>
      </c>
      <c r="D218" s="54" t="s">
        <v>563</v>
      </c>
      <c r="E218" s="55">
        <v>1919140</v>
      </c>
      <c r="F218" s="55">
        <v>497460</v>
      </c>
      <c r="G218" s="55">
        <v>-14340</v>
      </c>
      <c r="H218" s="55" t="s">
        <v>576</v>
      </c>
      <c r="I218" s="55">
        <v>-9.7999999999999989</v>
      </c>
      <c r="J218" s="55">
        <v>1.3</v>
      </c>
      <c r="K218" s="56">
        <v>31900</v>
      </c>
      <c r="L218" s="55">
        <v>469.7</v>
      </c>
      <c r="M218" s="55">
        <v>93</v>
      </c>
      <c r="N218" s="55" t="s">
        <v>576</v>
      </c>
      <c r="O218" s="55">
        <v>2240</v>
      </c>
      <c r="P218" s="55">
        <v>7780</v>
      </c>
      <c r="Q218" s="55">
        <v>24200</v>
      </c>
      <c r="R218" s="57" t="s">
        <v>564</v>
      </c>
      <c r="S218" s="58" t="s">
        <v>565</v>
      </c>
      <c r="T218" s="51">
        <v>31454.95</v>
      </c>
    </row>
    <row r="219" spans="1:20" x14ac:dyDescent="0.25">
      <c r="A219" s="51" t="str">
        <f>(COUNTIF($K$2:K219,K219))&amp;K219</f>
        <v>1232000</v>
      </c>
      <c r="B219" s="52" t="s">
        <v>586</v>
      </c>
      <c r="C219" s="53" t="s">
        <v>566</v>
      </c>
      <c r="D219" s="54" t="s">
        <v>564</v>
      </c>
      <c r="E219" s="55">
        <v>1579880</v>
      </c>
      <c r="F219" s="55">
        <v>742500</v>
      </c>
      <c r="G219" s="55">
        <v>130840</v>
      </c>
      <c r="H219" s="55" t="s">
        <v>576</v>
      </c>
      <c r="I219" s="55">
        <v>-5.0999999999999996</v>
      </c>
      <c r="J219" s="55">
        <v>0.9</v>
      </c>
      <c r="K219" s="56">
        <v>32000</v>
      </c>
      <c r="L219" s="55">
        <v>568.45000000000005</v>
      </c>
      <c r="M219" s="55">
        <v>97.950000000000045</v>
      </c>
      <c r="N219" s="55" t="s">
        <v>576</v>
      </c>
      <c r="O219" s="55">
        <v>280</v>
      </c>
      <c r="P219" s="55">
        <v>12400</v>
      </c>
      <c r="Q219" s="55">
        <v>14420</v>
      </c>
      <c r="R219" s="57" t="s">
        <v>564</v>
      </c>
      <c r="S219" s="58" t="s">
        <v>565</v>
      </c>
      <c r="T219" s="51">
        <v>31454.95</v>
      </c>
    </row>
    <row r="220" spans="1:20" x14ac:dyDescent="0.25">
      <c r="A220" s="51" t="str">
        <f>(COUNTIF($K$2:K220,K220))&amp;K220</f>
        <v>1232100</v>
      </c>
      <c r="B220" s="52" t="s">
        <v>586</v>
      </c>
      <c r="C220" s="53" t="s">
        <v>562</v>
      </c>
      <c r="D220" s="54" t="s">
        <v>563</v>
      </c>
      <c r="E220" s="55">
        <v>392980</v>
      </c>
      <c r="F220" s="55">
        <v>147080</v>
      </c>
      <c r="G220" s="55">
        <v>-3400</v>
      </c>
      <c r="H220" s="55" t="s">
        <v>576</v>
      </c>
      <c r="I220" s="55">
        <v>-2.5499999999999998</v>
      </c>
      <c r="J220" s="55">
        <v>0.6</v>
      </c>
      <c r="K220" s="56">
        <v>32100</v>
      </c>
      <c r="L220" s="55">
        <v>680.25</v>
      </c>
      <c r="M220" s="55">
        <v>105.25</v>
      </c>
      <c r="N220" s="55" t="s">
        <v>576</v>
      </c>
      <c r="O220" s="55">
        <v>0</v>
      </c>
      <c r="P220" s="55">
        <v>240</v>
      </c>
      <c r="Q220" s="55">
        <v>40</v>
      </c>
      <c r="R220" s="57" t="s">
        <v>563</v>
      </c>
      <c r="S220" s="58" t="b">
        <v>0</v>
      </c>
      <c r="T220" s="51">
        <v>31454.95</v>
      </c>
    </row>
    <row r="221" spans="1:20" x14ac:dyDescent="0.25">
      <c r="A221" s="51" t="str">
        <f>(COUNTIF($K$2:K221,K221))&amp;K221</f>
        <v>832200</v>
      </c>
      <c r="B221" s="52" t="s">
        <v>586</v>
      </c>
      <c r="C221" s="53" t="s">
        <v>562</v>
      </c>
      <c r="D221" s="54" t="s">
        <v>563</v>
      </c>
      <c r="E221" s="55">
        <v>206900</v>
      </c>
      <c r="F221" s="55">
        <v>104160</v>
      </c>
      <c r="G221" s="55">
        <v>-44460</v>
      </c>
      <c r="H221" s="55" t="s">
        <v>576</v>
      </c>
      <c r="I221" s="55">
        <v>-1.9000000000000001</v>
      </c>
      <c r="J221" s="55">
        <v>0.45</v>
      </c>
      <c r="K221" s="56">
        <v>32200</v>
      </c>
      <c r="L221" s="55">
        <v>777.5</v>
      </c>
      <c r="M221" s="55">
        <v>104.85000000000002</v>
      </c>
      <c r="N221" s="55" t="s">
        <v>576</v>
      </c>
      <c r="O221" s="55">
        <v>-20</v>
      </c>
      <c r="P221" s="55">
        <v>1400</v>
      </c>
      <c r="Q221" s="55">
        <v>60</v>
      </c>
      <c r="R221" s="57" t="s">
        <v>563</v>
      </c>
      <c r="S221" s="58" t="s">
        <v>567</v>
      </c>
      <c r="T221" s="51">
        <v>31454.95</v>
      </c>
    </row>
    <row r="222" spans="1:20" x14ac:dyDescent="0.25">
      <c r="A222" s="51" t="str">
        <f>(COUNTIF($K$2:K222,K222))&amp;K222</f>
        <v>13PCR</v>
      </c>
      <c r="B222" s="52" t="s">
        <v>586</v>
      </c>
      <c r="C222" s="60">
        <v>0.95019271595523214</v>
      </c>
      <c r="E222" s="61"/>
      <c r="F222" s="62">
        <v>7762720</v>
      </c>
      <c r="G222" s="63"/>
      <c r="H222" s="64"/>
      <c r="I222" s="64"/>
      <c r="J222" s="64"/>
      <c r="K222" s="65" t="s">
        <v>555</v>
      </c>
      <c r="L222" s="64"/>
      <c r="M222" s="64"/>
      <c r="N222" s="64"/>
      <c r="P222" s="63">
        <v>7376080</v>
      </c>
      <c r="Q222" s="61"/>
      <c r="R222" s="64"/>
      <c r="S222" s="64"/>
    </row>
    <row r="223" spans="1:20" x14ac:dyDescent="0.25">
      <c r="A223" s="51" t="str">
        <f>(COUNTIF($K$2:K223,K223))&amp;K223</f>
        <v>1330700</v>
      </c>
      <c r="B223" s="52" t="s">
        <v>586</v>
      </c>
      <c r="C223" s="53" t="b">
        <v>0</v>
      </c>
      <c r="D223" s="54" t="s">
        <v>563</v>
      </c>
      <c r="E223" s="55">
        <v>900</v>
      </c>
      <c r="F223" s="55">
        <v>11820</v>
      </c>
      <c r="G223" s="55">
        <v>0</v>
      </c>
      <c r="H223" s="55" t="s">
        <v>574</v>
      </c>
      <c r="I223" s="55">
        <v>-114.89999999999998</v>
      </c>
      <c r="J223" s="55">
        <v>721.1</v>
      </c>
      <c r="K223" s="56">
        <v>30700</v>
      </c>
      <c r="L223" s="55">
        <v>0.65</v>
      </c>
      <c r="M223" s="55">
        <v>-2.95</v>
      </c>
      <c r="N223" s="55" t="s">
        <v>576</v>
      </c>
      <c r="O223" s="55">
        <v>7360</v>
      </c>
      <c r="P223" s="55">
        <v>197560</v>
      </c>
      <c r="Q223" s="55">
        <v>218700</v>
      </c>
      <c r="R223" s="57" t="s">
        <v>564</v>
      </c>
      <c r="S223" s="58" t="s">
        <v>566</v>
      </c>
      <c r="T223" s="51">
        <v>31454.95</v>
      </c>
    </row>
    <row r="224" spans="1:20" x14ac:dyDescent="0.25">
      <c r="A224" s="51" t="str">
        <f>(COUNTIF($K$2:K224,K224))&amp;K224</f>
        <v>1330800</v>
      </c>
      <c r="B224" s="52" t="s">
        <v>586</v>
      </c>
      <c r="C224" s="53" t="s">
        <v>562</v>
      </c>
      <c r="D224" s="54" t="s">
        <v>563</v>
      </c>
      <c r="E224" s="55">
        <v>900</v>
      </c>
      <c r="F224" s="55">
        <v>7360</v>
      </c>
      <c r="G224" s="55">
        <v>-140</v>
      </c>
      <c r="H224" s="55" t="s">
        <v>574</v>
      </c>
      <c r="I224" s="55">
        <v>-112.64999999999998</v>
      </c>
      <c r="J224" s="55">
        <v>622.95000000000005</v>
      </c>
      <c r="K224" s="56">
        <v>30800</v>
      </c>
      <c r="L224" s="55">
        <v>0.85</v>
      </c>
      <c r="M224" s="55">
        <v>-3.2499999999999996</v>
      </c>
      <c r="N224" s="55" t="s">
        <v>576</v>
      </c>
      <c r="O224" s="55">
        <v>5640</v>
      </c>
      <c r="P224" s="55">
        <v>373040</v>
      </c>
      <c r="Q224" s="55">
        <v>430020</v>
      </c>
      <c r="R224" s="57" t="s">
        <v>564</v>
      </c>
      <c r="S224" s="58" t="s">
        <v>566</v>
      </c>
      <c r="T224" s="51">
        <v>31454.95</v>
      </c>
    </row>
    <row r="225" spans="1:20" x14ac:dyDescent="0.25">
      <c r="A225" s="51" t="str">
        <f>(COUNTIF($K$2:K225,K225))&amp;K225</f>
        <v>1330900</v>
      </c>
      <c r="B225" s="52" t="s">
        <v>586</v>
      </c>
      <c r="C225" s="53" t="s">
        <v>566</v>
      </c>
      <c r="D225" s="54" t="s">
        <v>564</v>
      </c>
      <c r="E225" s="55">
        <v>2300</v>
      </c>
      <c r="F225" s="55">
        <v>6420</v>
      </c>
      <c r="G225" s="55">
        <v>180</v>
      </c>
      <c r="H225" s="55" t="s">
        <v>574</v>
      </c>
      <c r="I225" s="55">
        <v>-108.89999999999998</v>
      </c>
      <c r="J225" s="55">
        <v>524.65</v>
      </c>
      <c r="K225" s="56">
        <v>30900</v>
      </c>
      <c r="L225" s="55">
        <v>1.4</v>
      </c>
      <c r="M225" s="55">
        <v>-4.0999999999999996</v>
      </c>
      <c r="N225" s="55" t="s">
        <v>576</v>
      </c>
      <c r="O225" s="55">
        <v>120300</v>
      </c>
      <c r="P225" s="55">
        <v>486180</v>
      </c>
      <c r="Q225" s="55">
        <v>813800</v>
      </c>
      <c r="R225" s="57" t="s">
        <v>564</v>
      </c>
      <c r="S225" s="58" t="s">
        <v>566</v>
      </c>
      <c r="T225" s="51">
        <v>31454.95</v>
      </c>
    </row>
    <row r="226" spans="1:20" x14ac:dyDescent="0.25">
      <c r="A226" s="51" t="str">
        <f>(COUNTIF($K$2:K226,K226))&amp;K226</f>
        <v>1331000</v>
      </c>
      <c r="B226" s="52" t="s">
        <v>586</v>
      </c>
      <c r="C226" s="53" t="s">
        <v>566</v>
      </c>
      <c r="D226" s="54" t="s">
        <v>564</v>
      </c>
      <c r="E226" s="55">
        <v>44000</v>
      </c>
      <c r="F226" s="55">
        <v>96920</v>
      </c>
      <c r="G226" s="55">
        <v>8700</v>
      </c>
      <c r="H226" s="55" t="s">
        <v>574</v>
      </c>
      <c r="I226" s="55">
        <v>-114.70000000000005</v>
      </c>
      <c r="J226" s="55">
        <v>430.15</v>
      </c>
      <c r="K226" s="56">
        <v>31000</v>
      </c>
      <c r="L226" s="55">
        <v>2.25</v>
      </c>
      <c r="M226" s="55">
        <v>-5.15</v>
      </c>
      <c r="N226" s="55" t="s">
        <v>576</v>
      </c>
      <c r="O226" s="55">
        <v>514660</v>
      </c>
      <c r="P226" s="55">
        <v>1325260</v>
      </c>
      <c r="Q226" s="55">
        <v>2190380</v>
      </c>
      <c r="R226" s="57" t="s">
        <v>564</v>
      </c>
      <c r="S226" s="58" t="s">
        <v>566</v>
      </c>
      <c r="T226" s="51">
        <v>31454.95</v>
      </c>
    </row>
    <row r="227" spans="1:20" x14ac:dyDescent="0.25">
      <c r="A227" s="51" t="str">
        <f>(COUNTIF($K$2:K227,K227))&amp;K227</f>
        <v>1331100</v>
      </c>
      <c r="B227" s="52" t="s">
        <v>586</v>
      </c>
      <c r="C227" s="53" t="s">
        <v>566</v>
      </c>
      <c r="D227" s="54" t="s">
        <v>564</v>
      </c>
      <c r="E227" s="55">
        <v>37700</v>
      </c>
      <c r="F227" s="55">
        <v>39640</v>
      </c>
      <c r="G227" s="55">
        <v>8980</v>
      </c>
      <c r="H227" s="55" t="s">
        <v>574</v>
      </c>
      <c r="I227" s="55">
        <v>-110.59999999999997</v>
      </c>
      <c r="J227" s="55">
        <v>334.55</v>
      </c>
      <c r="K227" s="56">
        <v>31100</v>
      </c>
      <c r="L227" s="55">
        <v>4.5</v>
      </c>
      <c r="M227" s="55">
        <v>-5.65</v>
      </c>
      <c r="N227" s="55" t="s">
        <v>576</v>
      </c>
      <c r="O227" s="55">
        <v>353360</v>
      </c>
      <c r="P227" s="55">
        <v>872060</v>
      </c>
      <c r="Q227" s="55">
        <v>2590500</v>
      </c>
      <c r="R227" s="57" t="s">
        <v>564</v>
      </c>
      <c r="S227" s="58" t="s">
        <v>566</v>
      </c>
      <c r="T227" s="51">
        <v>31454.95</v>
      </c>
    </row>
    <row r="228" spans="1:20" x14ac:dyDescent="0.25">
      <c r="A228" s="51" t="str">
        <f>(COUNTIF($K$2:K228,K228))&amp;K228</f>
        <v>1331200</v>
      </c>
      <c r="B228" s="52" t="s">
        <v>586</v>
      </c>
      <c r="C228" s="53" t="s">
        <v>566</v>
      </c>
      <c r="D228" s="54" t="s">
        <v>564</v>
      </c>
      <c r="E228" s="55">
        <v>323380</v>
      </c>
      <c r="F228" s="55">
        <v>175180</v>
      </c>
      <c r="G228" s="55">
        <v>43460</v>
      </c>
      <c r="H228" s="55" t="s">
        <v>574</v>
      </c>
      <c r="I228" s="55">
        <v>-108.44999999999999</v>
      </c>
      <c r="J228" s="55">
        <v>242</v>
      </c>
      <c r="K228" s="56">
        <v>31200</v>
      </c>
      <c r="L228" s="55">
        <v>12.55</v>
      </c>
      <c r="M228" s="55">
        <v>-4.8499999999999979</v>
      </c>
      <c r="N228" s="55" t="s">
        <v>576</v>
      </c>
      <c r="O228" s="55">
        <v>570100</v>
      </c>
      <c r="P228" s="55">
        <v>1096040</v>
      </c>
      <c r="Q228" s="55">
        <v>3430100</v>
      </c>
      <c r="R228" s="57" t="s">
        <v>564</v>
      </c>
      <c r="S228" s="58" t="s">
        <v>566</v>
      </c>
      <c r="T228" s="51">
        <v>31454.95</v>
      </c>
    </row>
    <row r="229" spans="1:20" x14ac:dyDescent="0.25">
      <c r="A229" s="51" t="str">
        <f>(COUNTIF($K$2:K229,K229))&amp;K229</f>
        <v>1331300</v>
      </c>
      <c r="B229" s="52" t="s">
        <v>586</v>
      </c>
      <c r="C229" s="53" t="s">
        <v>566</v>
      </c>
      <c r="D229" s="54" t="s">
        <v>564</v>
      </c>
      <c r="E229" s="55">
        <v>610660</v>
      </c>
      <c r="F229" s="55">
        <v>197040</v>
      </c>
      <c r="G229" s="55">
        <v>81100</v>
      </c>
      <c r="H229" s="55" t="s">
        <v>576</v>
      </c>
      <c r="I229" s="55">
        <v>-105.65</v>
      </c>
      <c r="J229" s="55">
        <v>159.9</v>
      </c>
      <c r="K229" s="56">
        <v>31300</v>
      </c>
      <c r="L229" s="55">
        <v>31.3</v>
      </c>
      <c r="M229" s="55">
        <v>0.35000000000000142</v>
      </c>
      <c r="N229" s="55" t="s">
        <v>576</v>
      </c>
      <c r="O229" s="55">
        <v>463620</v>
      </c>
      <c r="P229" s="55">
        <v>1114120</v>
      </c>
      <c r="Q229" s="55">
        <v>3981120</v>
      </c>
      <c r="R229" s="57" t="s">
        <v>564</v>
      </c>
      <c r="S229" s="58" t="s">
        <v>565</v>
      </c>
      <c r="T229" s="51">
        <v>31454.95</v>
      </c>
    </row>
    <row r="230" spans="1:20" x14ac:dyDescent="0.25">
      <c r="A230" s="51" t="str">
        <f>(COUNTIF($K$2:K230,K230))&amp;K230</f>
        <v>1331400</v>
      </c>
      <c r="B230" s="52" t="s">
        <v>586</v>
      </c>
      <c r="C230" s="53" t="s">
        <v>566</v>
      </c>
      <c r="D230" s="54" t="s">
        <v>564</v>
      </c>
      <c r="E230" s="55">
        <v>1957400</v>
      </c>
      <c r="F230" s="55">
        <v>578160</v>
      </c>
      <c r="G230" s="112" t="s">
        <v>577</v>
      </c>
      <c r="H230" s="55" t="s">
        <v>576</v>
      </c>
      <c r="I230" s="55">
        <v>-93.45</v>
      </c>
      <c r="J230" s="55">
        <v>95.55</v>
      </c>
      <c r="K230" s="56">
        <v>31400</v>
      </c>
      <c r="L230" s="55">
        <v>67.95</v>
      </c>
      <c r="M230" s="55">
        <v>14</v>
      </c>
      <c r="N230" s="55" t="s">
        <v>576</v>
      </c>
      <c r="O230" s="55">
        <v>319240</v>
      </c>
      <c r="P230" s="55">
        <v>875460</v>
      </c>
      <c r="Q230" s="55">
        <v>3311780</v>
      </c>
      <c r="R230" s="57" t="s">
        <v>564</v>
      </c>
      <c r="S230" s="58" t="s">
        <v>565</v>
      </c>
      <c r="T230" s="51">
        <v>31454.95</v>
      </c>
    </row>
    <row r="231" spans="1:20" ht="15.75" x14ac:dyDescent="0.25">
      <c r="A231" s="51" t="str">
        <f>(COUNTIF($K$2:K231,K231))&amp;K231</f>
        <v>1331500</v>
      </c>
      <c r="B231" s="52" t="s">
        <v>586</v>
      </c>
      <c r="C231" s="53" t="s">
        <v>566</v>
      </c>
      <c r="D231" s="54" t="s">
        <v>564</v>
      </c>
      <c r="E231" s="55">
        <v>4379200</v>
      </c>
      <c r="F231" s="55">
        <v>1861660</v>
      </c>
      <c r="G231" s="55">
        <v>1083120</v>
      </c>
      <c r="H231" s="55" t="s">
        <v>576</v>
      </c>
      <c r="I231" s="55">
        <v>-75.7</v>
      </c>
      <c r="J231" s="55">
        <v>50.75</v>
      </c>
      <c r="K231" s="59">
        <v>31500</v>
      </c>
      <c r="L231" s="55">
        <v>123.1</v>
      </c>
      <c r="M231" s="55">
        <v>32.949999999999989</v>
      </c>
      <c r="N231" s="55" t="s">
        <v>576</v>
      </c>
      <c r="O231" s="55">
        <v>115680</v>
      </c>
      <c r="P231" s="55">
        <v>746160</v>
      </c>
      <c r="Q231" s="55">
        <v>2364640</v>
      </c>
      <c r="R231" s="57" t="s">
        <v>564</v>
      </c>
      <c r="S231" s="58" t="s">
        <v>565</v>
      </c>
      <c r="T231" s="51">
        <v>31454.95</v>
      </c>
    </row>
    <row r="232" spans="1:20" x14ac:dyDescent="0.25">
      <c r="A232" s="51" t="str">
        <f>(COUNTIF($K$2:K232,K232))&amp;K232</f>
        <v>1331600</v>
      </c>
      <c r="B232" s="52" t="s">
        <v>586</v>
      </c>
      <c r="C232" s="53" t="s">
        <v>566</v>
      </c>
      <c r="D232" s="54" t="s">
        <v>564</v>
      </c>
      <c r="E232" s="55">
        <v>3654220</v>
      </c>
      <c r="F232" s="55">
        <v>1231620</v>
      </c>
      <c r="G232" s="55">
        <v>611960</v>
      </c>
      <c r="H232" s="55" t="s">
        <v>576</v>
      </c>
      <c r="I232" s="55">
        <v>-55.85</v>
      </c>
      <c r="J232" s="55">
        <v>22.6</v>
      </c>
      <c r="K232" s="56">
        <v>31600</v>
      </c>
      <c r="L232" s="55">
        <v>195.95</v>
      </c>
      <c r="M232" s="55">
        <v>53.849999999999994</v>
      </c>
      <c r="N232" s="55" t="s">
        <v>576</v>
      </c>
      <c r="O232" s="55">
        <v>63940</v>
      </c>
      <c r="P232" s="55">
        <v>158180</v>
      </c>
      <c r="Q232" s="55">
        <v>704000</v>
      </c>
      <c r="R232" s="57" t="s">
        <v>564</v>
      </c>
      <c r="S232" s="58" t="s">
        <v>565</v>
      </c>
      <c r="T232" s="51">
        <v>31454.95</v>
      </c>
    </row>
    <row r="233" spans="1:20" x14ac:dyDescent="0.25">
      <c r="A233" s="51" t="str">
        <f>(COUNTIF($K$2:K233,K233))&amp;K233</f>
        <v>1331700</v>
      </c>
      <c r="B233" s="52" t="s">
        <v>586</v>
      </c>
      <c r="C233" s="53" t="s">
        <v>566</v>
      </c>
      <c r="D233" s="54" t="s">
        <v>564</v>
      </c>
      <c r="E233" s="55">
        <v>3634360</v>
      </c>
      <c r="F233" s="55">
        <v>1166740</v>
      </c>
      <c r="G233" s="55">
        <v>531480</v>
      </c>
      <c r="H233" s="55" t="s">
        <v>576</v>
      </c>
      <c r="I233" s="55">
        <v>-36.050000000000004</v>
      </c>
      <c r="J233" s="55">
        <v>8.4</v>
      </c>
      <c r="K233" s="56">
        <v>31700</v>
      </c>
      <c r="L233" s="55">
        <v>280.89999999999998</v>
      </c>
      <c r="M233" s="55">
        <v>71.499999999999972</v>
      </c>
      <c r="N233" s="55" t="s">
        <v>576</v>
      </c>
      <c r="O233" s="55">
        <v>27860</v>
      </c>
      <c r="P233" s="55">
        <v>77620</v>
      </c>
      <c r="Q233" s="55">
        <v>339500</v>
      </c>
      <c r="R233" s="57" t="s">
        <v>564</v>
      </c>
      <c r="S233" s="58" t="s">
        <v>565</v>
      </c>
      <c r="T233" s="51">
        <v>31454.95</v>
      </c>
    </row>
    <row r="234" spans="1:20" x14ac:dyDescent="0.25">
      <c r="A234" s="51" t="str">
        <f>(COUNTIF($K$2:K234,K234))&amp;K234</f>
        <v>1331800</v>
      </c>
      <c r="B234" s="52" t="s">
        <v>586</v>
      </c>
      <c r="C234" s="53" t="s">
        <v>566</v>
      </c>
      <c r="D234" s="54" t="s">
        <v>564</v>
      </c>
      <c r="E234" s="55">
        <v>2669040</v>
      </c>
      <c r="F234" s="55">
        <v>898960</v>
      </c>
      <c r="G234" s="55">
        <v>313580</v>
      </c>
      <c r="H234" s="55" t="s">
        <v>576</v>
      </c>
      <c r="I234" s="55">
        <v>-20.399999999999999</v>
      </c>
      <c r="J234" s="55">
        <v>3.1</v>
      </c>
      <c r="K234" s="56">
        <v>31800</v>
      </c>
      <c r="L234" s="55">
        <v>374.45</v>
      </c>
      <c r="M234" s="55">
        <v>89.099999999999966</v>
      </c>
      <c r="N234" s="55" t="s">
        <v>576</v>
      </c>
      <c r="O234" s="55">
        <v>17600</v>
      </c>
      <c r="P234" s="55">
        <v>32580</v>
      </c>
      <c r="Q234" s="55">
        <v>132220</v>
      </c>
      <c r="R234" s="57" t="s">
        <v>564</v>
      </c>
      <c r="S234" s="58" t="s">
        <v>565</v>
      </c>
      <c r="T234" s="51">
        <v>31454.95</v>
      </c>
    </row>
    <row r="235" spans="1:20" x14ac:dyDescent="0.25">
      <c r="A235" s="51" t="str">
        <f>(COUNTIF($K$2:K235,K235))&amp;K235</f>
        <v>1331900</v>
      </c>
      <c r="B235" s="52" t="s">
        <v>586</v>
      </c>
      <c r="C235" s="53" t="s">
        <v>562</v>
      </c>
      <c r="D235" s="54" t="s">
        <v>563</v>
      </c>
      <c r="E235" s="55">
        <v>1919140</v>
      </c>
      <c r="F235" s="55">
        <v>497460</v>
      </c>
      <c r="G235" s="55">
        <v>-14340</v>
      </c>
      <c r="H235" s="55" t="s">
        <v>576</v>
      </c>
      <c r="I235" s="55">
        <v>-9.7999999999999989</v>
      </c>
      <c r="J235" s="55">
        <v>1.3</v>
      </c>
      <c r="K235" s="56">
        <v>31900</v>
      </c>
      <c r="L235" s="55">
        <v>469.7</v>
      </c>
      <c r="M235" s="55">
        <v>93</v>
      </c>
      <c r="N235" s="55" t="s">
        <v>576</v>
      </c>
      <c r="O235" s="55">
        <v>2240</v>
      </c>
      <c r="P235" s="55">
        <v>7780</v>
      </c>
      <c r="Q235" s="55">
        <v>24200</v>
      </c>
      <c r="R235" s="57" t="s">
        <v>564</v>
      </c>
      <c r="S235" s="58" t="s">
        <v>565</v>
      </c>
      <c r="T235" s="51">
        <v>31454.95</v>
      </c>
    </row>
    <row r="236" spans="1:20" x14ac:dyDescent="0.25">
      <c r="A236" s="51" t="str">
        <f>(COUNTIF($K$2:K236,K236))&amp;K236</f>
        <v>1332000</v>
      </c>
      <c r="B236" s="52" t="s">
        <v>586</v>
      </c>
      <c r="C236" s="53" t="s">
        <v>566</v>
      </c>
      <c r="D236" s="54" t="s">
        <v>564</v>
      </c>
      <c r="E236" s="55">
        <v>1579880</v>
      </c>
      <c r="F236" s="55">
        <v>742500</v>
      </c>
      <c r="G236" s="55">
        <v>130840</v>
      </c>
      <c r="H236" s="55" t="s">
        <v>576</v>
      </c>
      <c r="I236" s="55">
        <v>-5.0999999999999996</v>
      </c>
      <c r="J236" s="55">
        <v>0.9</v>
      </c>
      <c r="K236" s="56">
        <v>32000</v>
      </c>
      <c r="L236" s="55">
        <v>568.45000000000005</v>
      </c>
      <c r="M236" s="55">
        <v>97.950000000000045</v>
      </c>
      <c r="N236" s="55" t="s">
        <v>576</v>
      </c>
      <c r="O236" s="55">
        <v>280</v>
      </c>
      <c r="P236" s="55">
        <v>12400</v>
      </c>
      <c r="Q236" s="55">
        <v>14420</v>
      </c>
      <c r="R236" s="57" t="s">
        <v>564</v>
      </c>
      <c r="S236" s="58" t="s">
        <v>565</v>
      </c>
      <c r="T236" s="51">
        <v>31454.95</v>
      </c>
    </row>
    <row r="237" spans="1:20" x14ac:dyDescent="0.25">
      <c r="A237" s="51" t="str">
        <f>(COUNTIF($K$2:K237,K237))&amp;K237</f>
        <v>1332100</v>
      </c>
      <c r="B237" s="52" t="s">
        <v>586</v>
      </c>
      <c r="C237" s="53" t="s">
        <v>562</v>
      </c>
      <c r="D237" s="54" t="s">
        <v>563</v>
      </c>
      <c r="E237" s="55">
        <v>392980</v>
      </c>
      <c r="F237" s="55">
        <v>147080</v>
      </c>
      <c r="G237" s="55">
        <v>-3400</v>
      </c>
      <c r="H237" s="55" t="s">
        <v>576</v>
      </c>
      <c r="I237" s="55">
        <v>-2.5499999999999998</v>
      </c>
      <c r="J237" s="55">
        <v>0.6</v>
      </c>
      <c r="K237" s="56">
        <v>32100</v>
      </c>
      <c r="L237" s="55">
        <v>680.25</v>
      </c>
      <c r="M237" s="55">
        <v>105.25</v>
      </c>
      <c r="N237" s="55" t="s">
        <v>576</v>
      </c>
      <c r="O237" s="55">
        <v>0</v>
      </c>
      <c r="P237" s="55">
        <v>240</v>
      </c>
      <c r="Q237" s="55">
        <v>40</v>
      </c>
      <c r="R237" s="57" t="s">
        <v>563</v>
      </c>
      <c r="S237" s="58" t="b">
        <v>0</v>
      </c>
      <c r="T237" s="51">
        <v>31454.95</v>
      </c>
    </row>
    <row r="238" spans="1:20" x14ac:dyDescent="0.25">
      <c r="A238" s="51" t="str">
        <f>(COUNTIF($K$2:K238,K238))&amp;K238</f>
        <v>932200</v>
      </c>
      <c r="B238" s="52" t="s">
        <v>586</v>
      </c>
      <c r="C238" s="53" t="s">
        <v>562</v>
      </c>
      <c r="D238" s="54" t="s">
        <v>563</v>
      </c>
      <c r="E238" s="55">
        <v>206900</v>
      </c>
      <c r="F238" s="55">
        <v>104160</v>
      </c>
      <c r="G238" s="55">
        <v>-44460</v>
      </c>
      <c r="H238" s="55" t="s">
        <v>576</v>
      </c>
      <c r="I238" s="55">
        <v>-1.9000000000000001</v>
      </c>
      <c r="J238" s="55">
        <v>0.45</v>
      </c>
      <c r="K238" s="56">
        <v>32200</v>
      </c>
      <c r="L238" s="55">
        <v>777.5</v>
      </c>
      <c r="M238" s="55">
        <v>104.85000000000002</v>
      </c>
      <c r="N238" s="55" t="s">
        <v>576</v>
      </c>
      <c r="O238" s="55">
        <v>-20</v>
      </c>
      <c r="P238" s="55">
        <v>1400</v>
      </c>
      <c r="Q238" s="55">
        <v>60</v>
      </c>
      <c r="R238" s="57" t="s">
        <v>563</v>
      </c>
      <c r="S238" s="58" t="s">
        <v>567</v>
      </c>
      <c r="T238" s="51">
        <v>31454.95</v>
      </c>
    </row>
    <row r="239" spans="1:20" x14ac:dyDescent="0.25">
      <c r="A239" s="51" t="str">
        <f>(COUNTIF($K$2:K239,K239))&amp;K239</f>
        <v>14PCR</v>
      </c>
      <c r="B239" s="52" t="s">
        <v>586</v>
      </c>
      <c r="C239" s="60">
        <v>0.95019271595523214</v>
      </c>
      <c r="E239" s="61"/>
      <c r="F239" s="62">
        <v>7762720</v>
      </c>
      <c r="G239" s="63"/>
      <c r="H239" s="64"/>
      <c r="I239" s="64"/>
      <c r="J239" s="64"/>
      <c r="K239" s="65" t="s">
        <v>555</v>
      </c>
      <c r="L239" s="64"/>
      <c r="M239" s="64"/>
      <c r="N239" s="64"/>
      <c r="P239" s="63">
        <v>7376080</v>
      </c>
      <c r="Q239" s="61"/>
      <c r="R239" s="64"/>
      <c r="S239" s="64"/>
    </row>
    <row r="240" spans="1:20" x14ac:dyDescent="0.25">
      <c r="A240" s="51" t="str">
        <f>(COUNTIF($K$2:K240,K240))&amp;K240</f>
        <v>530600</v>
      </c>
      <c r="B240" s="52" t="s">
        <v>587</v>
      </c>
      <c r="C240" s="53" t="s">
        <v>562</v>
      </c>
      <c r="D240" s="54" t="s">
        <v>563</v>
      </c>
      <c r="E240" s="55">
        <v>620</v>
      </c>
      <c r="F240" s="55">
        <v>4240</v>
      </c>
      <c r="G240" s="55">
        <v>-300</v>
      </c>
      <c r="H240" s="55" t="s">
        <v>574</v>
      </c>
      <c r="I240" s="55">
        <v>-141.60000000000002</v>
      </c>
      <c r="J240" s="55">
        <v>791.1</v>
      </c>
      <c r="K240" s="56">
        <v>30600</v>
      </c>
      <c r="L240" s="55">
        <v>0.5</v>
      </c>
      <c r="M240" s="55">
        <v>-2.5</v>
      </c>
      <c r="N240" s="55" t="s">
        <v>576</v>
      </c>
      <c r="O240" s="55">
        <v>3140</v>
      </c>
      <c r="P240" s="55">
        <v>202380</v>
      </c>
      <c r="Q240" s="55">
        <v>109680</v>
      </c>
      <c r="R240" s="57" t="s">
        <v>564</v>
      </c>
      <c r="S240" s="58" t="s">
        <v>566</v>
      </c>
      <c r="T240" s="51">
        <v>31412.25</v>
      </c>
    </row>
    <row r="241" spans="1:20" x14ac:dyDescent="0.25">
      <c r="A241" s="51" t="str">
        <f>(COUNTIF($K$2:K241,K241))&amp;K241</f>
        <v>1430700</v>
      </c>
      <c r="B241" s="52" t="s">
        <v>587</v>
      </c>
      <c r="C241" s="53" t="s">
        <v>562</v>
      </c>
      <c r="D241" s="54" t="s">
        <v>563</v>
      </c>
      <c r="E241" s="55">
        <v>940</v>
      </c>
      <c r="F241" s="55">
        <v>11780</v>
      </c>
      <c r="G241" s="55">
        <v>-40</v>
      </c>
      <c r="H241" s="55" t="s">
        <v>574</v>
      </c>
      <c r="I241" s="55">
        <v>-144.89999999999998</v>
      </c>
      <c r="J241" s="55">
        <v>691.1</v>
      </c>
      <c r="K241" s="56">
        <v>30700</v>
      </c>
      <c r="L241" s="55">
        <v>0.7</v>
      </c>
      <c r="M241" s="55">
        <v>-2.9000000000000004</v>
      </c>
      <c r="N241" s="55" t="s">
        <v>576</v>
      </c>
      <c r="O241" s="55">
        <v>13300</v>
      </c>
      <c r="P241" s="55">
        <v>203500</v>
      </c>
      <c r="Q241" s="55">
        <v>226520</v>
      </c>
      <c r="R241" s="57" t="s">
        <v>564</v>
      </c>
      <c r="S241" s="58" t="s">
        <v>566</v>
      </c>
      <c r="T241" s="51">
        <v>31412.25</v>
      </c>
    </row>
    <row r="242" spans="1:20" x14ac:dyDescent="0.25">
      <c r="A242" s="51" t="str">
        <f>(COUNTIF($K$2:K242,K242))&amp;K242</f>
        <v>1430800</v>
      </c>
      <c r="B242" s="52" t="s">
        <v>587</v>
      </c>
      <c r="C242" s="53" t="s">
        <v>562</v>
      </c>
      <c r="D242" s="54" t="s">
        <v>563</v>
      </c>
      <c r="E242" s="55">
        <v>940</v>
      </c>
      <c r="F242" s="55">
        <v>7340</v>
      </c>
      <c r="G242" s="55">
        <v>-160</v>
      </c>
      <c r="H242" s="55" t="s">
        <v>574</v>
      </c>
      <c r="I242" s="55">
        <v>-124.60000000000002</v>
      </c>
      <c r="J242" s="55">
        <v>611</v>
      </c>
      <c r="K242" s="56">
        <v>30800</v>
      </c>
      <c r="L242" s="55">
        <v>0.85</v>
      </c>
      <c r="M242" s="55">
        <v>-3.2499999999999996</v>
      </c>
      <c r="N242" s="55" t="s">
        <v>576</v>
      </c>
      <c r="O242" s="55">
        <v>9360</v>
      </c>
      <c r="P242" s="55">
        <v>376760</v>
      </c>
      <c r="Q242" s="55">
        <v>462740</v>
      </c>
      <c r="R242" s="57" t="s">
        <v>564</v>
      </c>
      <c r="S242" s="58" t="s">
        <v>566</v>
      </c>
      <c r="T242" s="51">
        <v>31412.25</v>
      </c>
    </row>
    <row r="243" spans="1:20" x14ac:dyDescent="0.25">
      <c r="A243" s="51" t="str">
        <f>(COUNTIF($K$2:K243,K243))&amp;K243</f>
        <v>1430900</v>
      </c>
      <c r="B243" s="52" t="s">
        <v>587</v>
      </c>
      <c r="C243" s="53" t="s">
        <v>566</v>
      </c>
      <c r="D243" s="54" t="s">
        <v>564</v>
      </c>
      <c r="E243" s="55">
        <v>2560</v>
      </c>
      <c r="F243" s="55">
        <v>6380</v>
      </c>
      <c r="G243" s="55">
        <v>140</v>
      </c>
      <c r="H243" s="55" t="s">
        <v>574</v>
      </c>
      <c r="I243" s="55">
        <v>-139.14999999999998</v>
      </c>
      <c r="J243" s="55">
        <v>494.4</v>
      </c>
      <c r="K243" s="56">
        <v>30900</v>
      </c>
      <c r="L243" s="55">
        <v>1.6</v>
      </c>
      <c r="M243" s="55">
        <v>-3.9</v>
      </c>
      <c r="N243" s="55" t="s">
        <v>576</v>
      </c>
      <c r="O243" s="55">
        <v>129100</v>
      </c>
      <c r="P243" s="55">
        <v>494980</v>
      </c>
      <c r="Q243" s="55">
        <v>895600</v>
      </c>
      <c r="R243" s="57" t="s">
        <v>564</v>
      </c>
      <c r="S243" s="58" t="s">
        <v>566</v>
      </c>
      <c r="T243" s="51">
        <v>31412.25</v>
      </c>
    </row>
    <row r="244" spans="1:20" x14ac:dyDescent="0.25">
      <c r="A244" s="51" t="str">
        <f>(COUNTIF($K$2:K244,K244))&amp;K244</f>
        <v>1431000</v>
      </c>
      <c r="B244" s="52" t="s">
        <v>587</v>
      </c>
      <c r="C244" s="53" t="s">
        <v>566</v>
      </c>
      <c r="D244" s="54" t="s">
        <v>564</v>
      </c>
      <c r="E244" s="55">
        <v>55700</v>
      </c>
      <c r="F244" s="55">
        <v>99780</v>
      </c>
      <c r="G244" s="55">
        <v>11560</v>
      </c>
      <c r="H244" s="55" t="s">
        <v>574</v>
      </c>
      <c r="I244" s="55">
        <v>-151.85000000000002</v>
      </c>
      <c r="J244" s="55">
        <v>393</v>
      </c>
      <c r="K244" s="56">
        <v>31000</v>
      </c>
      <c r="L244" s="55">
        <v>3.05</v>
      </c>
      <c r="M244" s="55">
        <v>-4.3500000000000005</v>
      </c>
      <c r="N244" s="55" t="s">
        <v>576</v>
      </c>
      <c r="O244" s="55">
        <v>564500</v>
      </c>
      <c r="P244" s="55">
        <v>1375100</v>
      </c>
      <c r="Q244" s="55">
        <v>2495440</v>
      </c>
      <c r="R244" s="57" t="s">
        <v>564</v>
      </c>
      <c r="S244" s="58" t="s">
        <v>566</v>
      </c>
      <c r="T244" s="51">
        <v>31412.25</v>
      </c>
    </row>
    <row r="245" spans="1:20" x14ac:dyDescent="0.25">
      <c r="A245" s="51" t="str">
        <f>(COUNTIF($K$2:K245,K245))&amp;K245</f>
        <v>1431100</v>
      </c>
      <c r="B245" s="52" t="s">
        <v>587</v>
      </c>
      <c r="C245" s="53" t="s">
        <v>566</v>
      </c>
      <c r="D245" s="54" t="s">
        <v>564</v>
      </c>
      <c r="E245" s="55">
        <v>44040</v>
      </c>
      <c r="F245" s="55">
        <v>39420</v>
      </c>
      <c r="G245" s="55">
        <v>8760</v>
      </c>
      <c r="H245" s="55" t="s">
        <v>574</v>
      </c>
      <c r="I245" s="55">
        <v>-148.14999999999998</v>
      </c>
      <c r="J245" s="55">
        <v>297</v>
      </c>
      <c r="K245" s="56">
        <v>31100</v>
      </c>
      <c r="L245" s="55">
        <v>6.6</v>
      </c>
      <c r="M245" s="55">
        <v>-3.5500000000000007</v>
      </c>
      <c r="N245" s="55" t="s">
        <v>576</v>
      </c>
      <c r="O245" s="55">
        <v>402240</v>
      </c>
      <c r="P245" s="55">
        <v>920940</v>
      </c>
      <c r="Q245" s="55">
        <v>2927540</v>
      </c>
      <c r="R245" s="57" t="s">
        <v>564</v>
      </c>
      <c r="S245" s="58" t="s">
        <v>566</v>
      </c>
      <c r="T245" s="51">
        <v>31412.25</v>
      </c>
    </row>
    <row r="246" spans="1:20" x14ac:dyDescent="0.25">
      <c r="A246" s="51" t="str">
        <f>(COUNTIF($K$2:K246,K246))&amp;K246</f>
        <v>1431200</v>
      </c>
      <c r="B246" s="52" t="s">
        <v>587</v>
      </c>
      <c r="C246" s="53" t="s">
        <v>566</v>
      </c>
      <c r="D246" s="54" t="s">
        <v>564</v>
      </c>
      <c r="E246" s="55">
        <v>437880</v>
      </c>
      <c r="F246" s="55">
        <v>198200</v>
      </c>
      <c r="G246" s="55">
        <v>66480</v>
      </c>
      <c r="H246" s="55" t="s">
        <v>574</v>
      </c>
      <c r="I246" s="55">
        <v>-140.5</v>
      </c>
      <c r="J246" s="55">
        <v>209.95</v>
      </c>
      <c r="K246" s="56">
        <v>31200</v>
      </c>
      <c r="L246" s="55">
        <v>17.25</v>
      </c>
      <c r="M246" s="55">
        <v>-0.14999999999999858</v>
      </c>
      <c r="N246" s="55" t="s">
        <v>576</v>
      </c>
      <c r="O246" s="55">
        <v>613580</v>
      </c>
      <c r="P246" s="55">
        <v>1139520</v>
      </c>
      <c r="Q246" s="55">
        <v>3884340</v>
      </c>
      <c r="R246" s="57" t="s">
        <v>564</v>
      </c>
      <c r="S246" s="58" t="s">
        <v>566</v>
      </c>
      <c r="T246" s="51">
        <v>31412.25</v>
      </c>
    </row>
    <row r="247" spans="1:20" x14ac:dyDescent="0.25">
      <c r="A247" s="51" t="str">
        <f>(COUNTIF($K$2:K247,K247))&amp;K247</f>
        <v>1431300</v>
      </c>
      <c r="B247" s="52" t="s">
        <v>587</v>
      </c>
      <c r="C247" s="53" t="s">
        <v>566</v>
      </c>
      <c r="D247" s="54" t="s">
        <v>564</v>
      </c>
      <c r="E247" s="55">
        <v>730300</v>
      </c>
      <c r="F247" s="55">
        <v>209660</v>
      </c>
      <c r="G247" s="112" t="s">
        <v>577</v>
      </c>
      <c r="H247" s="55" t="s">
        <v>576</v>
      </c>
      <c r="I247" s="55">
        <v>-133.65</v>
      </c>
      <c r="J247" s="55">
        <v>131.9</v>
      </c>
      <c r="K247" s="56">
        <v>31300</v>
      </c>
      <c r="L247" s="55">
        <v>40.049999999999997</v>
      </c>
      <c r="M247" s="55">
        <v>9.0999999999999979</v>
      </c>
      <c r="N247" s="55" t="s">
        <v>576</v>
      </c>
      <c r="O247" s="55">
        <v>507220</v>
      </c>
      <c r="P247" s="55">
        <v>1157720</v>
      </c>
      <c r="Q247" s="55">
        <v>4559360</v>
      </c>
      <c r="R247" s="57" t="s">
        <v>564</v>
      </c>
      <c r="S247" s="58" t="s">
        <v>565</v>
      </c>
      <c r="T247" s="51">
        <v>31412.25</v>
      </c>
    </row>
    <row r="248" spans="1:20" ht="15.75" x14ac:dyDescent="0.25">
      <c r="A248" s="51" t="str">
        <f>(COUNTIF($K$2:K248,K248))&amp;K248</f>
        <v>1431400</v>
      </c>
      <c r="B248" s="52" t="s">
        <v>587</v>
      </c>
      <c r="C248" s="53" t="s">
        <v>566</v>
      </c>
      <c r="D248" s="54" t="s">
        <v>564</v>
      </c>
      <c r="E248" s="55">
        <v>2383160</v>
      </c>
      <c r="F248" s="55">
        <v>607220</v>
      </c>
      <c r="G248" s="55">
        <v>422920</v>
      </c>
      <c r="H248" s="55" t="s">
        <v>576</v>
      </c>
      <c r="I248" s="55">
        <v>-115.2</v>
      </c>
      <c r="J248" s="55">
        <v>73.8</v>
      </c>
      <c r="K248" s="59">
        <v>31400</v>
      </c>
      <c r="L248" s="55">
        <v>82.6</v>
      </c>
      <c r="M248" s="55">
        <v>28.649999999999991</v>
      </c>
      <c r="N248" s="55" t="s">
        <v>576</v>
      </c>
      <c r="O248" s="55">
        <v>355220</v>
      </c>
      <c r="P248" s="55">
        <v>911440</v>
      </c>
      <c r="Q248" s="55">
        <v>3844800</v>
      </c>
      <c r="R248" s="57" t="s">
        <v>564</v>
      </c>
      <c r="S248" s="58" t="s">
        <v>565</v>
      </c>
      <c r="T248" s="51">
        <v>31412.25</v>
      </c>
    </row>
    <row r="249" spans="1:20" x14ac:dyDescent="0.25">
      <c r="A249" s="51" t="str">
        <f>(COUNTIF($K$2:K249,K249))&amp;K249</f>
        <v>1431500</v>
      </c>
      <c r="B249" s="52" t="s">
        <v>587</v>
      </c>
      <c r="C249" s="53" t="s">
        <v>566</v>
      </c>
      <c r="D249" s="54" t="s">
        <v>564</v>
      </c>
      <c r="E249" s="55">
        <v>5074020</v>
      </c>
      <c r="F249" s="55">
        <v>1898660</v>
      </c>
      <c r="G249" s="55">
        <v>1120120</v>
      </c>
      <c r="H249" s="55" t="s">
        <v>576</v>
      </c>
      <c r="I249" s="55">
        <v>-89.6</v>
      </c>
      <c r="J249" s="55">
        <v>36.85</v>
      </c>
      <c r="K249" s="56">
        <v>31500</v>
      </c>
      <c r="L249" s="55">
        <v>144.9</v>
      </c>
      <c r="M249" s="55">
        <v>54.75</v>
      </c>
      <c r="N249" s="55" t="s">
        <v>576</v>
      </c>
      <c r="O249" s="55">
        <v>113040</v>
      </c>
      <c r="P249" s="55">
        <v>743520</v>
      </c>
      <c r="Q249" s="55">
        <v>2653600</v>
      </c>
      <c r="R249" s="57" t="s">
        <v>564</v>
      </c>
      <c r="S249" s="58" t="s">
        <v>565</v>
      </c>
      <c r="T249" s="51">
        <v>31412.25</v>
      </c>
    </row>
    <row r="250" spans="1:20" x14ac:dyDescent="0.25">
      <c r="A250" s="51" t="str">
        <f>(COUNTIF($K$2:K250,K250))&amp;K250</f>
        <v>1431600</v>
      </c>
      <c r="B250" s="52" t="s">
        <v>587</v>
      </c>
      <c r="C250" s="53" t="s">
        <v>566</v>
      </c>
      <c r="D250" s="54" t="s">
        <v>564</v>
      </c>
      <c r="E250" s="55">
        <v>4257540</v>
      </c>
      <c r="F250" s="55">
        <v>1291680</v>
      </c>
      <c r="G250" s="55">
        <v>672020</v>
      </c>
      <c r="H250" s="55" t="s">
        <v>576</v>
      </c>
      <c r="I250" s="55">
        <v>-63.5</v>
      </c>
      <c r="J250" s="55">
        <v>14.95</v>
      </c>
      <c r="K250" s="56">
        <v>31600</v>
      </c>
      <c r="L250" s="55">
        <v>223.5</v>
      </c>
      <c r="M250" s="55">
        <v>81.400000000000006</v>
      </c>
      <c r="N250" s="55" t="s">
        <v>576</v>
      </c>
      <c r="O250" s="55">
        <v>77440</v>
      </c>
      <c r="P250" s="55">
        <v>171680</v>
      </c>
      <c r="Q250" s="55">
        <v>827220</v>
      </c>
      <c r="R250" s="57" t="s">
        <v>564</v>
      </c>
      <c r="S250" s="58" t="s">
        <v>565</v>
      </c>
      <c r="T250" s="51">
        <v>31412.25</v>
      </c>
    </row>
    <row r="251" spans="1:20" x14ac:dyDescent="0.25">
      <c r="A251" s="51" t="str">
        <f>(COUNTIF($K$2:K251,K251))&amp;K251</f>
        <v>1431700</v>
      </c>
      <c r="B251" s="52" t="s">
        <v>587</v>
      </c>
      <c r="C251" s="53" t="s">
        <v>566</v>
      </c>
      <c r="D251" s="54" t="s">
        <v>564</v>
      </c>
      <c r="E251" s="55">
        <v>4031720</v>
      </c>
      <c r="F251" s="55">
        <v>1209660</v>
      </c>
      <c r="G251" s="55">
        <v>574400</v>
      </c>
      <c r="H251" s="55" t="s">
        <v>576</v>
      </c>
      <c r="I251" s="55">
        <v>-38.900000000000006</v>
      </c>
      <c r="J251" s="55">
        <v>5.55</v>
      </c>
      <c r="K251" s="56">
        <v>31700</v>
      </c>
      <c r="L251" s="55">
        <v>313.3</v>
      </c>
      <c r="M251" s="55">
        <v>103.9</v>
      </c>
      <c r="N251" s="55" t="s">
        <v>576</v>
      </c>
      <c r="O251" s="55">
        <v>28860</v>
      </c>
      <c r="P251" s="55">
        <v>78620</v>
      </c>
      <c r="Q251" s="55">
        <v>382600</v>
      </c>
      <c r="R251" s="57" t="s">
        <v>564</v>
      </c>
      <c r="S251" s="58" t="s">
        <v>565</v>
      </c>
      <c r="T251" s="51">
        <v>31412.25</v>
      </c>
    </row>
    <row r="252" spans="1:20" x14ac:dyDescent="0.25">
      <c r="A252" s="51" t="str">
        <f>(COUNTIF($K$2:K252,K252))&amp;K252</f>
        <v>1431800</v>
      </c>
      <c r="B252" s="52" t="s">
        <v>587</v>
      </c>
      <c r="C252" s="53" t="s">
        <v>566</v>
      </c>
      <c r="D252" s="54" t="s">
        <v>564</v>
      </c>
      <c r="E252" s="55">
        <v>2962820</v>
      </c>
      <c r="F252" s="55">
        <v>954580</v>
      </c>
      <c r="G252" s="55">
        <v>369200</v>
      </c>
      <c r="H252" s="55" t="s">
        <v>576</v>
      </c>
      <c r="I252" s="55">
        <v>-21.2</v>
      </c>
      <c r="J252" s="55">
        <v>2.2999999999999998</v>
      </c>
      <c r="K252" s="56">
        <v>31800</v>
      </c>
      <c r="L252" s="55">
        <v>411.55</v>
      </c>
      <c r="M252" s="55">
        <v>126.19999999999999</v>
      </c>
      <c r="N252" s="55" t="s">
        <v>576</v>
      </c>
      <c r="O252" s="55">
        <v>15820</v>
      </c>
      <c r="P252" s="55">
        <v>30800</v>
      </c>
      <c r="Q252" s="55">
        <v>152120</v>
      </c>
      <c r="R252" s="57" t="s">
        <v>564</v>
      </c>
      <c r="S252" s="58" t="s">
        <v>565</v>
      </c>
      <c r="T252" s="51">
        <v>31412.25</v>
      </c>
    </row>
    <row r="253" spans="1:20" x14ac:dyDescent="0.25">
      <c r="A253" s="51" t="str">
        <f>(COUNTIF($K$2:K253,K253))&amp;K253</f>
        <v>1431900</v>
      </c>
      <c r="B253" s="52" t="s">
        <v>587</v>
      </c>
      <c r="C253" s="53" t="s">
        <v>566</v>
      </c>
      <c r="D253" s="54" t="s">
        <v>564</v>
      </c>
      <c r="E253" s="55">
        <v>2143340</v>
      </c>
      <c r="F253" s="55">
        <v>531060</v>
      </c>
      <c r="G253" s="55">
        <v>19260</v>
      </c>
      <c r="H253" s="55" t="s">
        <v>576</v>
      </c>
      <c r="I253" s="55">
        <v>-9.9499999999999993</v>
      </c>
      <c r="J253" s="55">
        <v>1.1499999999999999</v>
      </c>
      <c r="K253" s="56">
        <v>31900</v>
      </c>
      <c r="L253" s="55">
        <v>510.85</v>
      </c>
      <c r="M253" s="55">
        <v>134.15000000000003</v>
      </c>
      <c r="N253" s="55" t="s">
        <v>576</v>
      </c>
      <c r="O253" s="55">
        <v>2380</v>
      </c>
      <c r="P253" s="55">
        <v>7920</v>
      </c>
      <c r="Q253" s="55">
        <v>26940</v>
      </c>
      <c r="R253" s="57" t="s">
        <v>564</v>
      </c>
      <c r="S253" s="58" t="s">
        <v>565</v>
      </c>
      <c r="T253" s="51">
        <v>31412.25</v>
      </c>
    </row>
    <row r="254" spans="1:20" x14ac:dyDescent="0.25">
      <c r="A254" s="51" t="str">
        <f>(COUNTIF($K$2:K254,K254))&amp;K254</f>
        <v>1432000</v>
      </c>
      <c r="B254" s="52" t="s">
        <v>587</v>
      </c>
      <c r="C254" s="53" t="s">
        <v>566</v>
      </c>
      <c r="D254" s="54" t="s">
        <v>564</v>
      </c>
      <c r="E254" s="55">
        <v>1747780</v>
      </c>
      <c r="F254" s="55">
        <v>751800</v>
      </c>
      <c r="G254" s="55">
        <v>140140</v>
      </c>
      <c r="H254" s="55" t="s">
        <v>576</v>
      </c>
      <c r="I254" s="55">
        <v>-5.2</v>
      </c>
      <c r="J254" s="55">
        <v>0.8</v>
      </c>
      <c r="K254" s="56">
        <v>32000</v>
      </c>
      <c r="L254" s="55">
        <v>611.9</v>
      </c>
      <c r="M254" s="55">
        <v>141.39999999999998</v>
      </c>
      <c r="N254" s="55" t="s">
        <v>576</v>
      </c>
      <c r="O254" s="55">
        <v>-360</v>
      </c>
      <c r="P254" s="55">
        <v>11760</v>
      </c>
      <c r="Q254" s="55">
        <v>17660</v>
      </c>
      <c r="R254" s="57" t="s">
        <v>563</v>
      </c>
      <c r="S254" s="58" t="s">
        <v>567</v>
      </c>
      <c r="T254" s="51">
        <v>31412.25</v>
      </c>
    </row>
    <row r="255" spans="1:20" x14ac:dyDescent="0.25">
      <c r="A255" s="51" t="str">
        <f>(COUNTIF($K$2:K255,K255))&amp;K255</f>
        <v>1432100</v>
      </c>
      <c r="B255" s="52" t="s">
        <v>587</v>
      </c>
      <c r="C255" s="53" t="s">
        <v>562</v>
      </c>
      <c r="D255" s="54" t="s">
        <v>563</v>
      </c>
      <c r="E255" s="55">
        <v>415120</v>
      </c>
      <c r="F255" s="55">
        <v>147820</v>
      </c>
      <c r="G255" s="55">
        <v>-2660</v>
      </c>
      <c r="H255" s="55" t="s">
        <v>576</v>
      </c>
      <c r="I255" s="55">
        <v>-2.5499999999999998</v>
      </c>
      <c r="J255" s="55">
        <v>0.6</v>
      </c>
      <c r="K255" s="56">
        <v>32100</v>
      </c>
      <c r="L255" s="55">
        <v>680.25</v>
      </c>
      <c r="M255" s="55">
        <v>105.25</v>
      </c>
      <c r="N255" s="55" t="s">
        <v>574</v>
      </c>
      <c r="O255" s="55">
        <v>0</v>
      </c>
      <c r="P255" s="55">
        <v>240</v>
      </c>
      <c r="Q255" s="55">
        <v>40</v>
      </c>
      <c r="R255" s="57" t="s">
        <v>563</v>
      </c>
      <c r="S255" s="58" t="b">
        <v>0</v>
      </c>
      <c r="T255" s="51">
        <v>31412.25</v>
      </c>
    </row>
    <row r="256" spans="1:20" x14ac:dyDescent="0.25">
      <c r="A256" s="51" t="str">
        <f>(COUNTIF($K$2:K256,K256))&amp;K256</f>
        <v>15PCR</v>
      </c>
      <c r="B256" s="52" t="s">
        <v>587</v>
      </c>
      <c r="C256" s="60">
        <v>0.98213138451654358</v>
      </c>
      <c r="E256" s="61"/>
      <c r="F256" s="62">
        <v>7969280</v>
      </c>
      <c r="G256" s="63"/>
      <c r="H256" s="64"/>
      <c r="I256" s="64"/>
      <c r="J256" s="64"/>
      <c r="K256" s="65" t="s">
        <v>555</v>
      </c>
      <c r="L256" s="64"/>
      <c r="M256" s="64"/>
      <c r="N256" s="64"/>
      <c r="P256" s="63">
        <v>7826880</v>
      </c>
      <c r="Q256" s="61"/>
      <c r="R256" s="64"/>
      <c r="S256" s="64"/>
    </row>
    <row r="257" spans="1:20" x14ac:dyDescent="0.25">
      <c r="A257" s="51" t="str">
        <f>(COUNTIF($K$2:K257,K257))&amp;K257</f>
        <v>630600</v>
      </c>
      <c r="B257" s="52" t="s">
        <v>587</v>
      </c>
      <c r="C257" s="53" t="s">
        <v>562</v>
      </c>
      <c r="D257" s="54" t="s">
        <v>563</v>
      </c>
      <c r="E257" s="55">
        <v>620</v>
      </c>
      <c r="F257" s="55">
        <v>4240</v>
      </c>
      <c r="G257" s="55">
        <v>-300</v>
      </c>
      <c r="H257" s="55" t="s">
        <v>574</v>
      </c>
      <c r="I257" s="55">
        <v>-141.60000000000002</v>
      </c>
      <c r="J257" s="55">
        <v>791.1</v>
      </c>
      <c r="K257" s="56">
        <v>30600</v>
      </c>
      <c r="L257" s="55">
        <v>0.5</v>
      </c>
      <c r="M257" s="55">
        <v>-2.5</v>
      </c>
      <c r="N257" s="55" t="s">
        <v>576</v>
      </c>
      <c r="O257" s="55">
        <v>3140</v>
      </c>
      <c r="P257" s="55">
        <v>202380</v>
      </c>
      <c r="Q257" s="55">
        <v>109680</v>
      </c>
      <c r="R257" s="57" t="s">
        <v>564</v>
      </c>
      <c r="S257" s="58" t="s">
        <v>566</v>
      </c>
      <c r="T257" s="51">
        <v>31412.25</v>
      </c>
    </row>
    <row r="258" spans="1:20" x14ac:dyDescent="0.25">
      <c r="A258" s="51" t="str">
        <f>(COUNTIF($K$2:K258,K258))&amp;K258</f>
        <v>1530700</v>
      </c>
      <c r="B258" s="52" t="s">
        <v>587</v>
      </c>
      <c r="C258" s="53" t="s">
        <v>562</v>
      </c>
      <c r="D258" s="54" t="s">
        <v>563</v>
      </c>
      <c r="E258" s="55">
        <v>940</v>
      </c>
      <c r="F258" s="55">
        <v>11780</v>
      </c>
      <c r="G258" s="55">
        <v>-40</v>
      </c>
      <c r="H258" s="55" t="s">
        <v>574</v>
      </c>
      <c r="I258" s="55">
        <v>-144.89999999999998</v>
      </c>
      <c r="J258" s="55">
        <v>691.1</v>
      </c>
      <c r="K258" s="56">
        <v>30700</v>
      </c>
      <c r="L258" s="55">
        <v>0.7</v>
      </c>
      <c r="M258" s="55">
        <v>-2.9000000000000004</v>
      </c>
      <c r="N258" s="55" t="s">
        <v>576</v>
      </c>
      <c r="O258" s="55">
        <v>13300</v>
      </c>
      <c r="P258" s="55">
        <v>203500</v>
      </c>
      <c r="Q258" s="55">
        <v>226520</v>
      </c>
      <c r="R258" s="57" t="s">
        <v>564</v>
      </c>
      <c r="S258" s="58" t="s">
        <v>566</v>
      </c>
      <c r="T258" s="51">
        <v>31412.25</v>
      </c>
    </row>
    <row r="259" spans="1:20" x14ac:dyDescent="0.25">
      <c r="A259" s="51" t="str">
        <f>(COUNTIF($K$2:K259,K259))&amp;K259</f>
        <v>1530800</v>
      </c>
      <c r="B259" s="52" t="s">
        <v>587</v>
      </c>
      <c r="C259" s="53" t="s">
        <v>562</v>
      </c>
      <c r="D259" s="54" t="s">
        <v>563</v>
      </c>
      <c r="E259" s="55">
        <v>940</v>
      </c>
      <c r="F259" s="55">
        <v>7340</v>
      </c>
      <c r="G259" s="55">
        <v>-160</v>
      </c>
      <c r="H259" s="55" t="s">
        <v>574</v>
      </c>
      <c r="I259" s="55">
        <v>-124.60000000000002</v>
      </c>
      <c r="J259" s="55">
        <v>611</v>
      </c>
      <c r="K259" s="56">
        <v>30800</v>
      </c>
      <c r="L259" s="55">
        <v>0.85</v>
      </c>
      <c r="M259" s="55">
        <v>-3.2499999999999996</v>
      </c>
      <c r="N259" s="55" t="s">
        <v>576</v>
      </c>
      <c r="O259" s="55">
        <v>9360</v>
      </c>
      <c r="P259" s="55">
        <v>376760</v>
      </c>
      <c r="Q259" s="55">
        <v>462740</v>
      </c>
      <c r="R259" s="57" t="s">
        <v>564</v>
      </c>
      <c r="S259" s="58" t="s">
        <v>566</v>
      </c>
      <c r="T259" s="51">
        <v>31412.25</v>
      </c>
    </row>
    <row r="260" spans="1:20" x14ac:dyDescent="0.25">
      <c r="A260" s="51" t="str">
        <f>(COUNTIF($K$2:K260,K260))&amp;K260</f>
        <v>1530900</v>
      </c>
      <c r="B260" s="52" t="s">
        <v>587</v>
      </c>
      <c r="C260" s="53" t="s">
        <v>566</v>
      </c>
      <c r="D260" s="54" t="s">
        <v>564</v>
      </c>
      <c r="E260" s="55">
        <v>2560</v>
      </c>
      <c r="F260" s="55">
        <v>6380</v>
      </c>
      <c r="G260" s="55">
        <v>140</v>
      </c>
      <c r="H260" s="55" t="s">
        <v>574</v>
      </c>
      <c r="I260" s="55">
        <v>-139.14999999999998</v>
      </c>
      <c r="J260" s="55">
        <v>494.4</v>
      </c>
      <c r="K260" s="56">
        <v>30900</v>
      </c>
      <c r="L260" s="55">
        <v>1.6</v>
      </c>
      <c r="M260" s="55">
        <v>-3.9</v>
      </c>
      <c r="N260" s="55" t="s">
        <v>576</v>
      </c>
      <c r="O260" s="55">
        <v>129100</v>
      </c>
      <c r="P260" s="55">
        <v>494980</v>
      </c>
      <c r="Q260" s="55">
        <v>895600</v>
      </c>
      <c r="R260" s="57" t="s">
        <v>564</v>
      </c>
      <c r="S260" s="58" t="s">
        <v>566</v>
      </c>
      <c r="T260" s="51">
        <v>31412.25</v>
      </c>
    </row>
    <row r="261" spans="1:20" x14ac:dyDescent="0.25">
      <c r="A261" s="51" t="str">
        <f>(COUNTIF($K$2:K261,K261))&amp;K261</f>
        <v>1531000</v>
      </c>
      <c r="B261" s="52" t="s">
        <v>587</v>
      </c>
      <c r="C261" s="53" t="s">
        <v>566</v>
      </c>
      <c r="D261" s="54" t="s">
        <v>564</v>
      </c>
      <c r="E261" s="55">
        <v>55700</v>
      </c>
      <c r="F261" s="55">
        <v>99780</v>
      </c>
      <c r="G261" s="55">
        <v>11560</v>
      </c>
      <c r="H261" s="55" t="s">
        <v>574</v>
      </c>
      <c r="I261" s="55">
        <v>-151.85000000000002</v>
      </c>
      <c r="J261" s="55">
        <v>393</v>
      </c>
      <c r="K261" s="56">
        <v>31000</v>
      </c>
      <c r="L261" s="55">
        <v>3.05</v>
      </c>
      <c r="M261" s="55">
        <v>-4.3500000000000005</v>
      </c>
      <c r="N261" s="55" t="s">
        <v>576</v>
      </c>
      <c r="O261" s="55">
        <v>564500</v>
      </c>
      <c r="P261" s="55">
        <v>1375100</v>
      </c>
      <c r="Q261" s="55">
        <v>2495440</v>
      </c>
      <c r="R261" s="57" t="s">
        <v>564</v>
      </c>
      <c r="S261" s="58" t="s">
        <v>566</v>
      </c>
      <c r="T261" s="51">
        <v>31412.25</v>
      </c>
    </row>
    <row r="262" spans="1:20" x14ac:dyDescent="0.25">
      <c r="A262" s="51" t="str">
        <f>(COUNTIF($K$2:K262,K262))&amp;K262</f>
        <v>1531100</v>
      </c>
      <c r="B262" s="52" t="s">
        <v>587</v>
      </c>
      <c r="C262" s="53" t="s">
        <v>566</v>
      </c>
      <c r="D262" s="54" t="s">
        <v>564</v>
      </c>
      <c r="E262" s="55">
        <v>44040</v>
      </c>
      <c r="F262" s="55">
        <v>39420</v>
      </c>
      <c r="G262" s="55">
        <v>8760</v>
      </c>
      <c r="H262" s="55" t="s">
        <v>574</v>
      </c>
      <c r="I262" s="55">
        <v>-148.14999999999998</v>
      </c>
      <c r="J262" s="55">
        <v>297</v>
      </c>
      <c r="K262" s="56">
        <v>31100</v>
      </c>
      <c r="L262" s="55">
        <v>6.6</v>
      </c>
      <c r="M262" s="55">
        <v>-3.5500000000000007</v>
      </c>
      <c r="N262" s="55" t="s">
        <v>576</v>
      </c>
      <c r="O262" s="55">
        <v>402240</v>
      </c>
      <c r="P262" s="55">
        <v>920940</v>
      </c>
      <c r="Q262" s="55">
        <v>2927540</v>
      </c>
      <c r="R262" s="57" t="s">
        <v>564</v>
      </c>
      <c r="S262" s="58" t="s">
        <v>566</v>
      </c>
      <c r="T262" s="51">
        <v>31412.25</v>
      </c>
    </row>
    <row r="263" spans="1:20" x14ac:dyDescent="0.25">
      <c r="A263" s="51" t="str">
        <f>(COUNTIF($K$2:K263,K263))&amp;K263</f>
        <v>1531200</v>
      </c>
      <c r="B263" s="52" t="s">
        <v>587</v>
      </c>
      <c r="C263" s="53" t="s">
        <v>566</v>
      </c>
      <c r="D263" s="54" t="s">
        <v>564</v>
      </c>
      <c r="E263" s="55">
        <v>437880</v>
      </c>
      <c r="F263" s="55">
        <v>198200</v>
      </c>
      <c r="G263" s="55">
        <v>66480</v>
      </c>
      <c r="H263" s="55" t="s">
        <v>574</v>
      </c>
      <c r="I263" s="55">
        <v>-140.5</v>
      </c>
      <c r="J263" s="55">
        <v>209.95</v>
      </c>
      <c r="K263" s="56">
        <v>31200</v>
      </c>
      <c r="L263" s="55">
        <v>17.25</v>
      </c>
      <c r="M263" s="55">
        <v>-0.14999999999999858</v>
      </c>
      <c r="N263" s="55" t="s">
        <v>576</v>
      </c>
      <c r="O263" s="55">
        <v>613580</v>
      </c>
      <c r="P263" s="55">
        <v>1139520</v>
      </c>
      <c r="Q263" s="55">
        <v>3884340</v>
      </c>
      <c r="R263" s="57" t="s">
        <v>564</v>
      </c>
      <c r="S263" s="58" t="s">
        <v>566</v>
      </c>
      <c r="T263" s="51">
        <v>31412.25</v>
      </c>
    </row>
    <row r="264" spans="1:20" x14ac:dyDescent="0.25">
      <c r="A264" s="51" t="str">
        <f>(COUNTIF($K$2:K264,K264))&amp;K264</f>
        <v>1531300</v>
      </c>
      <c r="B264" s="52" t="s">
        <v>587</v>
      </c>
      <c r="C264" s="53" t="s">
        <v>566</v>
      </c>
      <c r="D264" s="54" t="s">
        <v>564</v>
      </c>
      <c r="E264" s="55">
        <v>730300</v>
      </c>
      <c r="F264" s="55">
        <v>209660</v>
      </c>
      <c r="G264" s="112" t="s">
        <v>577</v>
      </c>
      <c r="H264" s="55" t="s">
        <v>576</v>
      </c>
      <c r="I264" s="55">
        <v>-133.65</v>
      </c>
      <c r="J264" s="55">
        <v>131.9</v>
      </c>
      <c r="K264" s="56">
        <v>31300</v>
      </c>
      <c r="L264" s="55">
        <v>40.049999999999997</v>
      </c>
      <c r="M264" s="55">
        <v>9.0999999999999979</v>
      </c>
      <c r="N264" s="55" t="s">
        <v>576</v>
      </c>
      <c r="O264" s="55">
        <v>507220</v>
      </c>
      <c r="P264" s="55">
        <v>1157720</v>
      </c>
      <c r="Q264" s="55">
        <v>4559360</v>
      </c>
      <c r="R264" s="57" t="s">
        <v>564</v>
      </c>
      <c r="S264" s="58" t="s">
        <v>565</v>
      </c>
      <c r="T264" s="51">
        <v>31412.25</v>
      </c>
    </row>
    <row r="265" spans="1:20" ht="15.75" x14ac:dyDescent="0.25">
      <c r="A265" s="51" t="str">
        <f>(COUNTIF($K$2:K265,K265))&amp;K265</f>
        <v>1531400</v>
      </c>
      <c r="B265" s="52" t="s">
        <v>587</v>
      </c>
      <c r="C265" s="53" t="s">
        <v>566</v>
      </c>
      <c r="D265" s="54" t="s">
        <v>564</v>
      </c>
      <c r="E265" s="55">
        <v>2383160</v>
      </c>
      <c r="F265" s="55">
        <v>607220</v>
      </c>
      <c r="G265" s="55">
        <v>422920</v>
      </c>
      <c r="H265" s="55" t="s">
        <v>576</v>
      </c>
      <c r="I265" s="55">
        <v>-115.2</v>
      </c>
      <c r="J265" s="55">
        <v>73.8</v>
      </c>
      <c r="K265" s="59">
        <v>31400</v>
      </c>
      <c r="L265" s="55">
        <v>82.6</v>
      </c>
      <c r="M265" s="55">
        <v>28.649999999999991</v>
      </c>
      <c r="N265" s="55" t="s">
        <v>576</v>
      </c>
      <c r="O265" s="55">
        <v>355220</v>
      </c>
      <c r="P265" s="55">
        <v>911440</v>
      </c>
      <c r="Q265" s="55">
        <v>3844800</v>
      </c>
      <c r="R265" s="57" t="s">
        <v>564</v>
      </c>
      <c r="S265" s="58" t="s">
        <v>565</v>
      </c>
      <c r="T265" s="51">
        <v>31412.25</v>
      </c>
    </row>
    <row r="266" spans="1:20" x14ac:dyDescent="0.25">
      <c r="A266" s="51" t="str">
        <f>(COUNTIF($K$2:K266,K266))&amp;K266</f>
        <v>1531500</v>
      </c>
      <c r="B266" s="52" t="s">
        <v>587</v>
      </c>
      <c r="C266" s="53" t="s">
        <v>566</v>
      </c>
      <c r="D266" s="54" t="s">
        <v>564</v>
      </c>
      <c r="E266" s="55">
        <v>5074020</v>
      </c>
      <c r="F266" s="55">
        <v>1898660</v>
      </c>
      <c r="G266" s="55">
        <v>1120120</v>
      </c>
      <c r="H266" s="55" t="s">
        <v>576</v>
      </c>
      <c r="I266" s="55">
        <v>-89.6</v>
      </c>
      <c r="J266" s="55">
        <v>36.85</v>
      </c>
      <c r="K266" s="56">
        <v>31500</v>
      </c>
      <c r="L266" s="55">
        <v>144.9</v>
      </c>
      <c r="M266" s="55">
        <v>54.75</v>
      </c>
      <c r="N266" s="55" t="s">
        <v>576</v>
      </c>
      <c r="O266" s="55">
        <v>113040</v>
      </c>
      <c r="P266" s="55">
        <v>743520</v>
      </c>
      <c r="Q266" s="55">
        <v>2653600</v>
      </c>
      <c r="R266" s="57" t="s">
        <v>564</v>
      </c>
      <c r="S266" s="58" t="s">
        <v>565</v>
      </c>
      <c r="T266" s="51">
        <v>31412.25</v>
      </c>
    </row>
    <row r="267" spans="1:20" x14ac:dyDescent="0.25">
      <c r="A267" s="51" t="str">
        <f>(COUNTIF($K$2:K267,K267))&amp;K267</f>
        <v>1531600</v>
      </c>
      <c r="B267" s="52" t="s">
        <v>587</v>
      </c>
      <c r="C267" s="53" t="s">
        <v>566</v>
      </c>
      <c r="D267" s="54" t="s">
        <v>564</v>
      </c>
      <c r="E267" s="55">
        <v>4257540</v>
      </c>
      <c r="F267" s="55">
        <v>1291680</v>
      </c>
      <c r="G267" s="55">
        <v>672020</v>
      </c>
      <c r="H267" s="55" t="s">
        <v>576</v>
      </c>
      <c r="I267" s="55">
        <v>-63.5</v>
      </c>
      <c r="J267" s="55">
        <v>14.95</v>
      </c>
      <c r="K267" s="56">
        <v>31600</v>
      </c>
      <c r="L267" s="55">
        <v>223.5</v>
      </c>
      <c r="M267" s="55">
        <v>81.400000000000006</v>
      </c>
      <c r="N267" s="55" t="s">
        <v>576</v>
      </c>
      <c r="O267" s="55">
        <v>77440</v>
      </c>
      <c r="P267" s="55">
        <v>171680</v>
      </c>
      <c r="Q267" s="55">
        <v>827220</v>
      </c>
      <c r="R267" s="57" t="s">
        <v>564</v>
      </c>
      <c r="S267" s="58" t="s">
        <v>565</v>
      </c>
      <c r="T267" s="51">
        <v>31412.25</v>
      </c>
    </row>
    <row r="268" spans="1:20" x14ac:dyDescent="0.25">
      <c r="A268" s="51" t="str">
        <f>(COUNTIF($K$2:K268,K268))&amp;K268</f>
        <v>1531700</v>
      </c>
      <c r="B268" s="52" t="s">
        <v>587</v>
      </c>
      <c r="C268" s="53" t="s">
        <v>566</v>
      </c>
      <c r="D268" s="54" t="s">
        <v>564</v>
      </c>
      <c r="E268" s="55">
        <v>4031720</v>
      </c>
      <c r="F268" s="55">
        <v>1209660</v>
      </c>
      <c r="G268" s="55">
        <v>574400</v>
      </c>
      <c r="H268" s="55" t="s">
        <v>576</v>
      </c>
      <c r="I268" s="55">
        <v>-38.900000000000006</v>
      </c>
      <c r="J268" s="55">
        <v>5.55</v>
      </c>
      <c r="K268" s="56">
        <v>31700</v>
      </c>
      <c r="L268" s="55">
        <v>313.3</v>
      </c>
      <c r="M268" s="55">
        <v>103.9</v>
      </c>
      <c r="N268" s="55" t="s">
        <v>576</v>
      </c>
      <c r="O268" s="55">
        <v>28860</v>
      </c>
      <c r="P268" s="55">
        <v>78620</v>
      </c>
      <c r="Q268" s="55">
        <v>382600</v>
      </c>
      <c r="R268" s="57" t="s">
        <v>564</v>
      </c>
      <c r="S268" s="58" t="s">
        <v>565</v>
      </c>
      <c r="T268" s="51">
        <v>31412.25</v>
      </c>
    </row>
    <row r="269" spans="1:20" x14ac:dyDescent="0.25">
      <c r="A269" s="51" t="str">
        <f>(COUNTIF($K$2:K269,K269))&amp;K269</f>
        <v>1531800</v>
      </c>
      <c r="B269" s="52" t="s">
        <v>587</v>
      </c>
      <c r="C269" s="53" t="s">
        <v>566</v>
      </c>
      <c r="D269" s="54" t="s">
        <v>564</v>
      </c>
      <c r="E269" s="55">
        <v>2962820</v>
      </c>
      <c r="F269" s="55">
        <v>954580</v>
      </c>
      <c r="G269" s="55">
        <v>369200</v>
      </c>
      <c r="H269" s="55" t="s">
        <v>576</v>
      </c>
      <c r="I269" s="55">
        <v>-21.2</v>
      </c>
      <c r="J269" s="55">
        <v>2.2999999999999998</v>
      </c>
      <c r="K269" s="56">
        <v>31800</v>
      </c>
      <c r="L269" s="55">
        <v>411.55</v>
      </c>
      <c r="M269" s="55">
        <v>126.19999999999999</v>
      </c>
      <c r="N269" s="55" t="s">
        <v>576</v>
      </c>
      <c r="O269" s="55">
        <v>15820</v>
      </c>
      <c r="P269" s="55">
        <v>30800</v>
      </c>
      <c r="Q269" s="55">
        <v>152120</v>
      </c>
      <c r="R269" s="57" t="s">
        <v>564</v>
      </c>
      <c r="S269" s="58" t="s">
        <v>565</v>
      </c>
      <c r="T269" s="51">
        <v>31412.25</v>
      </c>
    </row>
    <row r="270" spans="1:20" x14ac:dyDescent="0.25">
      <c r="A270" s="51" t="str">
        <f>(COUNTIF($K$2:K270,K270))&amp;K270</f>
        <v>1531900</v>
      </c>
      <c r="B270" s="52" t="s">
        <v>587</v>
      </c>
      <c r="C270" s="53" t="s">
        <v>566</v>
      </c>
      <c r="D270" s="54" t="s">
        <v>564</v>
      </c>
      <c r="E270" s="55">
        <v>2143340</v>
      </c>
      <c r="F270" s="55">
        <v>531060</v>
      </c>
      <c r="G270" s="55">
        <v>19260</v>
      </c>
      <c r="H270" s="55" t="s">
        <v>576</v>
      </c>
      <c r="I270" s="55">
        <v>-9.9499999999999993</v>
      </c>
      <c r="J270" s="55">
        <v>1.1499999999999999</v>
      </c>
      <c r="K270" s="56">
        <v>31900</v>
      </c>
      <c r="L270" s="55">
        <v>510.85</v>
      </c>
      <c r="M270" s="55">
        <v>134.15000000000003</v>
      </c>
      <c r="N270" s="55" t="s">
        <v>576</v>
      </c>
      <c r="O270" s="55">
        <v>2380</v>
      </c>
      <c r="P270" s="55">
        <v>7920</v>
      </c>
      <c r="Q270" s="55">
        <v>26940</v>
      </c>
      <c r="R270" s="57" t="s">
        <v>564</v>
      </c>
      <c r="S270" s="58" t="s">
        <v>565</v>
      </c>
      <c r="T270" s="51">
        <v>31412.25</v>
      </c>
    </row>
    <row r="271" spans="1:20" x14ac:dyDescent="0.25">
      <c r="A271" s="51" t="str">
        <f>(COUNTIF($K$2:K271,K271))&amp;K271</f>
        <v>1532000</v>
      </c>
      <c r="B271" s="52" t="s">
        <v>587</v>
      </c>
      <c r="C271" s="53" t="s">
        <v>566</v>
      </c>
      <c r="D271" s="54" t="s">
        <v>564</v>
      </c>
      <c r="E271" s="55">
        <v>1747780</v>
      </c>
      <c r="F271" s="55">
        <v>751800</v>
      </c>
      <c r="G271" s="55">
        <v>140140</v>
      </c>
      <c r="H271" s="55" t="s">
        <v>576</v>
      </c>
      <c r="I271" s="55">
        <v>-5.2</v>
      </c>
      <c r="J271" s="55">
        <v>0.8</v>
      </c>
      <c r="K271" s="56">
        <v>32000</v>
      </c>
      <c r="L271" s="55">
        <v>611.9</v>
      </c>
      <c r="M271" s="55">
        <v>141.39999999999998</v>
      </c>
      <c r="N271" s="55" t="s">
        <v>576</v>
      </c>
      <c r="O271" s="55">
        <v>-360</v>
      </c>
      <c r="P271" s="55">
        <v>11760</v>
      </c>
      <c r="Q271" s="55">
        <v>17660</v>
      </c>
      <c r="R271" s="57" t="s">
        <v>563</v>
      </c>
      <c r="S271" s="58" t="s">
        <v>567</v>
      </c>
      <c r="T271" s="51">
        <v>31412.25</v>
      </c>
    </row>
    <row r="272" spans="1:20" x14ac:dyDescent="0.25">
      <c r="A272" s="51" t="str">
        <f>(COUNTIF($K$2:K272,K272))&amp;K272</f>
        <v>1532100</v>
      </c>
      <c r="B272" s="52" t="s">
        <v>587</v>
      </c>
      <c r="C272" s="53" t="s">
        <v>562</v>
      </c>
      <c r="D272" s="54" t="s">
        <v>563</v>
      </c>
      <c r="E272" s="55">
        <v>415120</v>
      </c>
      <c r="F272" s="55">
        <v>147820</v>
      </c>
      <c r="G272" s="55">
        <v>-2660</v>
      </c>
      <c r="H272" s="55" t="s">
        <v>576</v>
      </c>
      <c r="I272" s="55">
        <v>-2.5499999999999998</v>
      </c>
      <c r="J272" s="55">
        <v>0.6</v>
      </c>
      <c r="K272" s="56">
        <v>32100</v>
      </c>
      <c r="L272" s="55">
        <v>680.25</v>
      </c>
      <c r="M272" s="55">
        <v>105.25</v>
      </c>
      <c r="N272" s="55" t="s">
        <v>574</v>
      </c>
      <c r="O272" s="55">
        <v>0</v>
      </c>
      <c r="P272" s="55">
        <v>240</v>
      </c>
      <c r="Q272" s="55">
        <v>40</v>
      </c>
      <c r="R272" s="57" t="s">
        <v>563</v>
      </c>
      <c r="S272" s="58" t="b">
        <v>0</v>
      </c>
      <c r="T272" s="51">
        <v>31412.25</v>
      </c>
    </row>
    <row r="273" spans="1:20" x14ac:dyDescent="0.25">
      <c r="A273" s="51" t="str">
        <f>(COUNTIF($K$2:K273,K273))&amp;K273</f>
        <v>16PCR</v>
      </c>
      <c r="B273" s="52" t="s">
        <v>587</v>
      </c>
      <c r="C273" s="60">
        <v>0.98213138451654358</v>
      </c>
      <c r="E273" s="61"/>
      <c r="F273" s="62">
        <v>7969280</v>
      </c>
      <c r="G273" s="63"/>
      <c r="H273" s="64"/>
      <c r="I273" s="64"/>
      <c r="J273" s="64"/>
      <c r="K273" s="65" t="s">
        <v>555</v>
      </c>
      <c r="L273" s="64"/>
      <c r="M273" s="64"/>
      <c r="N273" s="64"/>
      <c r="P273" s="63">
        <v>7826880</v>
      </c>
      <c r="Q273" s="61"/>
      <c r="R273" s="64"/>
      <c r="S273" s="64"/>
    </row>
    <row r="274" spans="1:20" x14ac:dyDescent="0.25">
      <c r="A274" s="51" t="str">
        <f>(COUNTIF($K$2:K274,K274))&amp;K274</f>
        <v>730600</v>
      </c>
      <c r="B274" s="52" t="s">
        <v>588</v>
      </c>
      <c r="C274" s="53" t="s">
        <v>562</v>
      </c>
      <c r="D274" s="54" t="s">
        <v>563</v>
      </c>
      <c r="E274" s="55">
        <v>620</v>
      </c>
      <c r="F274" s="55">
        <v>4240</v>
      </c>
      <c r="G274" s="55">
        <v>-300</v>
      </c>
      <c r="H274" s="55" t="s">
        <v>574</v>
      </c>
      <c r="I274" s="55">
        <v>-141.60000000000002</v>
      </c>
      <c r="J274" s="55">
        <v>791.1</v>
      </c>
      <c r="K274" s="56">
        <v>30600</v>
      </c>
      <c r="L274" s="55">
        <v>0.5</v>
      </c>
      <c r="M274" s="55">
        <v>-2.5</v>
      </c>
      <c r="N274" s="55" t="s">
        <v>576</v>
      </c>
      <c r="O274" s="55">
        <v>4000</v>
      </c>
      <c r="P274" s="55">
        <v>203240</v>
      </c>
      <c r="Q274" s="55">
        <v>116840</v>
      </c>
      <c r="R274" s="57" t="s">
        <v>564</v>
      </c>
      <c r="S274" s="58" t="s">
        <v>566</v>
      </c>
      <c r="T274" s="51">
        <v>31411</v>
      </c>
    </row>
    <row r="275" spans="1:20" x14ac:dyDescent="0.25">
      <c r="A275" s="51" t="str">
        <f>(COUNTIF($K$2:K275,K275))&amp;K275</f>
        <v>1630700</v>
      </c>
      <c r="B275" s="52" t="s">
        <v>588</v>
      </c>
      <c r="C275" s="53" t="s">
        <v>562</v>
      </c>
      <c r="D275" s="54" t="s">
        <v>563</v>
      </c>
      <c r="E275" s="55">
        <v>1040</v>
      </c>
      <c r="F275" s="55">
        <v>11780</v>
      </c>
      <c r="G275" s="55">
        <v>-40</v>
      </c>
      <c r="H275" s="55" t="s">
        <v>574</v>
      </c>
      <c r="I275" s="55">
        <v>-141</v>
      </c>
      <c r="J275" s="55">
        <v>695</v>
      </c>
      <c r="K275" s="56">
        <v>30700</v>
      </c>
      <c r="L275" s="55">
        <v>0.7</v>
      </c>
      <c r="M275" s="55">
        <v>-2.9000000000000004</v>
      </c>
      <c r="N275" s="55" t="s">
        <v>576</v>
      </c>
      <c r="O275" s="55">
        <v>16760</v>
      </c>
      <c r="P275" s="55">
        <v>206960</v>
      </c>
      <c r="Q275" s="55">
        <v>242120</v>
      </c>
      <c r="R275" s="57" t="s">
        <v>564</v>
      </c>
      <c r="S275" s="58" t="s">
        <v>566</v>
      </c>
      <c r="T275" s="51">
        <v>31411</v>
      </c>
    </row>
    <row r="276" spans="1:20" x14ac:dyDescent="0.25">
      <c r="A276" s="51" t="str">
        <f>(COUNTIF($K$2:K276,K276))&amp;K276</f>
        <v>1630800</v>
      </c>
      <c r="B276" s="52" t="s">
        <v>588</v>
      </c>
      <c r="C276" s="53" t="s">
        <v>562</v>
      </c>
      <c r="D276" s="54" t="s">
        <v>563</v>
      </c>
      <c r="E276" s="55">
        <v>980</v>
      </c>
      <c r="F276" s="55">
        <v>7300</v>
      </c>
      <c r="G276" s="55">
        <v>-200</v>
      </c>
      <c r="H276" s="55" t="s">
        <v>574</v>
      </c>
      <c r="I276" s="55">
        <v>-140.60000000000002</v>
      </c>
      <c r="J276" s="55">
        <v>595</v>
      </c>
      <c r="K276" s="56">
        <v>30800</v>
      </c>
      <c r="L276" s="55">
        <v>1</v>
      </c>
      <c r="M276" s="55">
        <v>-3.0999999999999996</v>
      </c>
      <c r="N276" s="55" t="s">
        <v>576</v>
      </c>
      <c r="O276" s="55">
        <v>12500</v>
      </c>
      <c r="P276" s="55">
        <v>379900</v>
      </c>
      <c r="Q276" s="55">
        <v>501200</v>
      </c>
      <c r="R276" s="57" t="s">
        <v>564</v>
      </c>
      <c r="S276" s="58" t="s">
        <v>566</v>
      </c>
      <c r="T276" s="51">
        <v>31411</v>
      </c>
    </row>
    <row r="277" spans="1:20" x14ac:dyDescent="0.25">
      <c r="A277" s="51" t="str">
        <f>(COUNTIF($K$2:K277,K277))&amp;K277</f>
        <v>1630900</v>
      </c>
      <c r="B277" s="52" t="s">
        <v>588</v>
      </c>
      <c r="C277" s="53" t="s">
        <v>566</v>
      </c>
      <c r="D277" s="54" t="s">
        <v>564</v>
      </c>
      <c r="E277" s="55">
        <v>2640</v>
      </c>
      <c r="F277" s="55">
        <v>6400</v>
      </c>
      <c r="G277" s="55">
        <v>160</v>
      </c>
      <c r="H277" s="55" t="s">
        <v>574</v>
      </c>
      <c r="I277" s="55">
        <v>-137.59999999999997</v>
      </c>
      <c r="J277" s="55">
        <v>495.95</v>
      </c>
      <c r="K277" s="56">
        <v>30900</v>
      </c>
      <c r="L277" s="55">
        <v>1.75</v>
      </c>
      <c r="M277" s="55">
        <v>-3.75</v>
      </c>
      <c r="N277" s="55" t="s">
        <v>576</v>
      </c>
      <c r="O277" s="55">
        <v>127300</v>
      </c>
      <c r="P277" s="55">
        <v>493180</v>
      </c>
      <c r="Q277" s="55">
        <v>973260</v>
      </c>
      <c r="R277" s="57" t="s">
        <v>564</v>
      </c>
      <c r="S277" s="58" t="s">
        <v>566</v>
      </c>
      <c r="T277" s="51">
        <v>31411</v>
      </c>
    </row>
    <row r="278" spans="1:20" x14ac:dyDescent="0.25">
      <c r="A278" s="51" t="str">
        <f>(COUNTIF($K$2:K278,K278))&amp;K278</f>
        <v>1631000</v>
      </c>
      <c r="B278" s="52" t="s">
        <v>588</v>
      </c>
      <c r="C278" s="53" t="s">
        <v>566</v>
      </c>
      <c r="D278" s="54" t="s">
        <v>564</v>
      </c>
      <c r="E278" s="55">
        <v>63500</v>
      </c>
      <c r="F278" s="55">
        <v>102020</v>
      </c>
      <c r="G278" s="55">
        <v>13800</v>
      </c>
      <c r="H278" s="55" t="s">
        <v>574</v>
      </c>
      <c r="I278" s="55">
        <v>-149.70000000000005</v>
      </c>
      <c r="J278" s="55">
        <v>395.15</v>
      </c>
      <c r="K278" s="56">
        <v>31000</v>
      </c>
      <c r="L278" s="55">
        <v>3.5</v>
      </c>
      <c r="M278" s="55">
        <v>-3.9000000000000004</v>
      </c>
      <c r="N278" s="55" t="s">
        <v>576</v>
      </c>
      <c r="O278" s="55">
        <v>617640</v>
      </c>
      <c r="P278" s="55">
        <v>1428240</v>
      </c>
      <c r="Q278" s="55">
        <v>2777060</v>
      </c>
      <c r="R278" s="57" t="s">
        <v>564</v>
      </c>
      <c r="S278" s="58" t="s">
        <v>566</v>
      </c>
      <c r="T278" s="51">
        <v>31411</v>
      </c>
    </row>
    <row r="279" spans="1:20" x14ac:dyDescent="0.25">
      <c r="A279" s="51" t="str">
        <f>(COUNTIF($K$2:K279,K279))&amp;K279</f>
        <v>1631100</v>
      </c>
      <c r="B279" s="52" t="s">
        <v>588</v>
      </c>
      <c r="C279" s="53" t="s">
        <v>566</v>
      </c>
      <c r="D279" s="54" t="s">
        <v>564</v>
      </c>
      <c r="E279" s="55">
        <v>50220</v>
      </c>
      <c r="F279" s="55">
        <v>39540</v>
      </c>
      <c r="G279" s="55">
        <v>8880</v>
      </c>
      <c r="H279" s="55" t="s">
        <v>574</v>
      </c>
      <c r="I279" s="55">
        <v>-146.64999999999998</v>
      </c>
      <c r="J279" s="55">
        <v>298.5</v>
      </c>
      <c r="K279" s="56">
        <v>31100</v>
      </c>
      <c r="L279" s="55">
        <v>6.85</v>
      </c>
      <c r="M279" s="55">
        <v>-3.3000000000000007</v>
      </c>
      <c r="N279" s="55" t="s">
        <v>576</v>
      </c>
      <c r="O279" s="55">
        <v>424180</v>
      </c>
      <c r="P279" s="55">
        <v>942880</v>
      </c>
      <c r="Q279" s="55">
        <v>3169080</v>
      </c>
      <c r="R279" s="57" t="s">
        <v>564</v>
      </c>
      <c r="S279" s="58" t="s">
        <v>566</v>
      </c>
      <c r="T279" s="51">
        <v>31411</v>
      </c>
    </row>
    <row r="280" spans="1:20" x14ac:dyDescent="0.25">
      <c r="A280" s="51" t="str">
        <f>(COUNTIF($K$2:K280,K280))&amp;K280</f>
        <v>1631200</v>
      </c>
      <c r="B280" s="52" t="s">
        <v>588</v>
      </c>
      <c r="C280" s="53" t="s">
        <v>566</v>
      </c>
      <c r="D280" s="54" t="s">
        <v>564</v>
      </c>
      <c r="E280" s="55">
        <v>506560</v>
      </c>
      <c r="F280" s="55">
        <v>213300</v>
      </c>
      <c r="G280" s="55">
        <v>81580</v>
      </c>
      <c r="H280" s="55" t="s">
        <v>574</v>
      </c>
      <c r="I280" s="55">
        <v>-142.6</v>
      </c>
      <c r="J280" s="55">
        <v>207.85</v>
      </c>
      <c r="K280" s="56">
        <v>31200</v>
      </c>
      <c r="L280" s="55">
        <v>16.7</v>
      </c>
      <c r="M280" s="55">
        <v>-0.69999999999999929</v>
      </c>
      <c r="N280" s="55" t="s">
        <v>576</v>
      </c>
      <c r="O280" s="55">
        <v>641100</v>
      </c>
      <c r="P280" s="55">
        <v>1167040</v>
      </c>
      <c r="Q280" s="55">
        <v>4258380</v>
      </c>
      <c r="R280" s="57" t="s">
        <v>564</v>
      </c>
      <c r="S280" s="58" t="s">
        <v>566</v>
      </c>
      <c r="T280" s="51">
        <v>31411</v>
      </c>
    </row>
    <row r="281" spans="1:20" x14ac:dyDescent="0.25">
      <c r="A281" s="51" t="str">
        <f>(COUNTIF($K$2:K281,K281))&amp;K281</f>
        <v>1631300</v>
      </c>
      <c r="B281" s="52" t="s">
        <v>588</v>
      </c>
      <c r="C281" s="53" t="s">
        <v>566</v>
      </c>
      <c r="D281" s="54" t="s">
        <v>564</v>
      </c>
      <c r="E281" s="55">
        <v>839060</v>
      </c>
      <c r="F281" s="55">
        <v>223960</v>
      </c>
      <c r="G281" s="112" t="s">
        <v>577</v>
      </c>
      <c r="H281" s="55" t="s">
        <v>576</v>
      </c>
      <c r="I281" s="55">
        <v>-135.5</v>
      </c>
      <c r="J281" s="55">
        <v>130.05000000000001</v>
      </c>
      <c r="K281" s="56">
        <v>31300</v>
      </c>
      <c r="L281" s="55">
        <v>39.9</v>
      </c>
      <c r="M281" s="55">
        <v>8.9499999999999993</v>
      </c>
      <c r="N281" s="55" t="s">
        <v>576</v>
      </c>
      <c r="O281" s="55">
        <v>519860</v>
      </c>
      <c r="P281" s="55">
        <v>1170360</v>
      </c>
      <c r="Q281" s="55">
        <v>4974320</v>
      </c>
      <c r="R281" s="57" t="s">
        <v>564</v>
      </c>
      <c r="S281" s="58" t="s">
        <v>565</v>
      </c>
      <c r="T281" s="51">
        <v>31411</v>
      </c>
    </row>
    <row r="282" spans="1:20" ht="15.75" x14ac:dyDescent="0.25">
      <c r="A282" s="51" t="str">
        <f>(COUNTIF($K$2:K282,K282))&amp;K282</f>
        <v>1631400</v>
      </c>
      <c r="B282" s="52" t="s">
        <v>588</v>
      </c>
      <c r="C282" s="53" t="s">
        <v>566</v>
      </c>
      <c r="D282" s="54" t="s">
        <v>564</v>
      </c>
      <c r="E282" s="55">
        <v>2758500</v>
      </c>
      <c r="F282" s="55">
        <v>700640</v>
      </c>
      <c r="G282" s="55">
        <v>516340</v>
      </c>
      <c r="H282" s="55" t="s">
        <v>576</v>
      </c>
      <c r="I282" s="55">
        <v>-116.55</v>
      </c>
      <c r="J282" s="55">
        <v>72.45</v>
      </c>
      <c r="K282" s="59">
        <v>31400</v>
      </c>
      <c r="L282" s="55">
        <v>82.35</v>
      </c>
      <c r="M282" s="55">
        <v>28.399999999999991</v>
      </c>
      <c r="N282" s="55" t="s">
        <v>576</v>
      </c>
      <c r="O282" s="55">
        <v>323840</v>
      </c>
      <c r="P282" s="55">
        <v>880060</v>
      </c>
      <c r="Q282" s="55">
        <v>4216080</v>
      </c>
      <c r="R282" s="57" t="s">
        <v>564</v>
      </c>
      <c r="S282" s="58" t="s">
        <v>565</v>
      </c>
      <c r="T282" s="51">
        <v>31411</v>
      </c>
    </row>
    <row r="283" spans="1:20" x14ac:dyDescent="0.25">
      <c r="A283" s="51" t="str">
        <f>(COUNTIF($K$2:K283,K283))&amp;K283</f>
        <v>1631500</v>
      </c>
      <c r="B283" s="52" t="s">
        <v>588</v>
      </c>
      <c r="C283" s="53" t="s">
        <v>566</v>
      </c>
      <c r="D283" s="54" t="s">
        <v>564</v>
      </c>
      <c r="E283" s="55">
        <v>5668720</v>
      </c>
      <c r="F283" s="55">
        <v>1987600</v>
      </c>
      <c r="G283" s="55">
        <v>1209060</v>
      </c>
      <c r="H283" s="55" t="s">
        <v>576</v>
      </c>
      <c r="I283" s="55">
        <v>-90.9</v>
      </c>
      <c r="J283" s="55">
        <v>35.549999999999997</v>
      </c>
      <c r="K283" s="56">
        <v>31500</v>
      </c>
      <c r="L283" s="55">
        <v>144.9</v>
      </c>
      <c r="M283" s="55">
        <v>54.75</v>
      </c>
      <c r="N283" s="55" t="s">
        <v>576</v>
      </c>
      <c r="O283" s="55">
        <v>84840</v>
      </c>
      <c r="P283" s="55">
        <v>715320</v>
      </c>
      <c r="Q283" s="55">
        <v>2872320</v>
      </c>
      <c r="R283" s="57" t="s">
        <v>564</v>
      </c>
      <c r="S283" s="58" t="s">
        <v>565</v>
      </c>
      <c r="T283" s="51">
        <v>31411</v>
      </c>
    </row>
    <row r="284" spans="1:20" x14ac:dyDescent="0.25">
      <c r="A284" s="51" t="str">
        <f>(COUNTIF($K$2:K284,K284))&amp;K284</f>
        <v>1631600</v>
      </c>
      <c r="B284" s="52" t="s">
        <v>588</v>
      </c>
      <c r="C284" s="53" t="s">
        <v>566</v>
      </c>
      <c r="D284" s="54" t="s">
        <v>564</v>
      </c>
      <c r="E284" s="55">
        <v>4789220</v>
      </c>
      <c r="F284" s="55">
        <v>1367980</v>
      </c>
      <c r="G284" s="55">
        <v>748320</v>
      </c>
      <c r="H284" s="55" t="s">
        <v>576</v>
      </c>
      <c r="I284" s="55">
        <v>-63.900000000000006</v>
      </c>
      <c r="J284" s="55">
        <v>14.55</v>
      </c>
      <c r="K284" s="56">
        <v>31600</v>
      </c>
      <c r="L284" s="55">
        <v>223.95</v>
      </c>
      <c r="M284" s="55">
        <v>81.849999999999994</v>
      </c>
      <c r="N284" s="55" t="s">
        <v>576</v>
      </c>
      <c r="O284" s="55">
        <v>59080</v>
      </c>
      <c r="P284" s="55">
        <v>153320</v>
      </c>
      <c r="Q284" s="55">
        <v>882720</v>
      </c>
      <c r="R284" s="57" t="s">
        <v>564</v>
      </c>
      <c r="S284" s="58" t="s">
        <v>565</v>
      </c>
      <c r="T284" s="51">
        <v>31411</v>
      </c>
    </row>
    <row r="285" spans="1:20" x14ac:dyDescent="0.25">
      <c r="A285" s="51" t="str">
        <f>(COUNTIF($K$2:K285,K285))&amp;K285</f>
        <v>1631700</v>
      </c>
      <c r="B285" s="52" t="s">
        <v>588</v>
      </c>
      <c r="C285" s="53" t="s">
        <v>566</v>
      </c>
      <c r="D285" s="54" t="s">
        <v>564</v>
      </c>
      <c r="E285" s="55">
        <v>4469240</v>
      </c>
      <c r="F285" s="55">
        <v>1184880</v>
      </c>
      <c r="G285" s="55">
        <v>549620</v>
      </c>
      <c r="H285" s="55" t="s">
        <v>576</v>
      </c>
      <c r="I285" s="55">
        <v>-38.650000000000006</v>
      </c>
      <c r="J285" s="55">
        <v>5.8</v>
      </c>
      <c r="K285" s="56">
        <v>31700</v>
      </c>
      <c r="L285" s="55">
        <v>316.3</v>
      </c>
      <c r="M285" s="55">
        <v>106.9</v>
      </c>
      <c r="N285" s="55" t="s">
        <v>576</v>
      </c>
      <c r="O285" s="55">
        <v>17340</v>
      </c>
      <c r="P285" s="55">
        <v>67100</v>
      </c>
      <c r="Q285" s="55">
        <v>423240</v>
      </c>
      <c r="R285" s="57" t="s">
        <v>564</v>
      </c>
      <c r="S285" s="58" t="s">
        <v>565</v>
      </c>
      <c r="T285" s="51">
        <v>31411</v>
      </c>
    </row>
    <row r="286" spans="1:20" x14ac:dyDescent="0.25">
      <c r="A286" s="51" t="str">
        <f>(COUNTIF($K$2:K286,K286))&amp;K286</f>
        <v>1631800</v>
      </c>
      <c r="B286" s="52" t="s">
        <v>588</v>
      </c>
      <c r="C286" s="53" t="s">
        <v>566</v>
      </c>
      <c r="D286" s="54" t="s">
        <v>564</v>
      </c>
      <c r="E286" s="55">
        <v>3284760</v>
      </c>
      <c r="F286" s="55">
        <v>910580</v>
      </c>
      <c r="G286" s="55">
        <v>325200</v>
      </c>
      <c r="H286" s="55" t="s">
        <v>576</v>
      </c>
      <c r="I286" s="55">
        <v>-21.25</v>
      </c>
      <c r="J286" s="55">
        <v>2.25</v>
      </c>
      <c r="K286" s="56">
        <v>31800</v>
      </c>
      <c r="L286" s="55">
        <v>410.75</v>
      </c>
      <c r="M286" s="55">
        <v>125.39999999999998</v>
      </c>
      <c r="N286" s="55" t="s">
        <v>576</v>
      </c>
      <c r="O286" s="55">
        <v>11800</v>
      </c>
      <c r="P286" s="55">
        <v>26780</v>
      </c>
      <c r="Q286" s="55">
        <v>159540</v>
      </c>
      <c r="R286" s="57" t="s">
        <v>564</v>
      </c>
      <c r="S286" s="58" t="s">
        <v>565</v>
      </c>
      <c r="T286" s="51">
        <v>31411</v>
      </c>
    </row>
    <row r="287" spans="1:20" x14ac:dyDescent="0.25">
      <c r="A287" s="51" t="str">
        <f>(COUNTIF($K$2:K287,K287))&amp;K287</f>
        <v>1631900</v>
      </c>
      <c r="B287" s="52" t="s">
        <v>588</v>
      </c>
      <c r="C287" s="53" t="s">
        <v>562</v>
      </c>
      <c r="D287" s="54" t="s">
        <v>563</v>
      </c>
      <c r="E287" s="55">
        <v>2247800</v>
      </c>
      <c r="F287" s="55">
        <v>508980</v>
      </c>
      <c r="G287" s="55">
        <v>-2820</v>
      </c>
      <c r="H287" s="55" t="s">
        <v>576</v>
      </c>
      <c r="I287" s="55">
        <v>-9.85</v>
      </c>
      <c r="J287" s="55">
        <v>1.25</v>
      </c>
      <c r="K287" s="56">
        <v>31900</v>
      </c>
      <c r="L287" s="55">
        <v>509.4</v>
      </c>
      <c r="M287" s="55">
        <v>132.69999999999999</v>
      </c>
      <c r="N287" s="55" t="s">
        <v>576</v>
      </c>
      <c r="O287" s="55">
        <v>1980</v>
      </c>
      <c r="P287" s="55">
        <v>7520</v>
      </c>
      <c r="Q287" s="55">
        <v>27880</v>
      </c>
      <c r="R287" s="57" t="s">
        <v>564</v>
      </c>
      <c r="S287" s="58" t="s">
        <v>565</v>
      </c>
      <c r="T287" s="51">
        <v>31411</v>
      </c>
    </row>
    <row r="288" spans="1:20" x14ac:dyDescent="0.25">
      <c r="A288" s="51" t="str">
        <f>(COUNTIF($K$2:K288,K288))&amp;K288</f>
        <v>1632000</v>
      </c>
      <c r="B288" s="52" t="s">
        <v>588</v>
      </c>
      <c r="C288" s="53" t="s">
        <v>566</v>
      </c>
      <c r="D288" s="54" t="s">
        <v>564</v>
      </c>
      <c r="E288" s="55">
        <v>2582980</v>
      </c>
      <c r="F288" s="55">
        <v>789820</v>
      </c>
      <c r="G288" s="55">
        <v>178160</v>
      </c>
      <c r="H288" s="55" t="s">
        <v>576</v>
      </c>
      <c r="I288" s="55">
        <v>-5.15</v>
      </c>
      <c r="J288" s="55">
        <v>0.85</v>
      </c>
      <c r="K288" s="56">
        <v>32000</v>
      </c>
      <c r="L288" s="55">
        <v>608.9</v>
      </c>
      <c r="M288" s="55">
        <v>138.39999999999998</v>
      </c>
      <c r="N288" s="55" t="s">
        <v>576</v>
      </c>
      <c r="O288" s="55">
        <v>520</v>
      </c>
      <c r="P288" s="55">
        <v>12640</v>
      </c>
      <c r="Q288" s="55">
        <v>18000</v>
      </c>
      <c r="R288" s="57" t="s">
        <v>564</v>
      </c>
      <c r="S288" s="58" t="s">
        <v>565</v>
      </c>
      <c r="T288" s="51">
        <v>31411</v>
      </c>
    </row>
    <row r="289" spans="1:20" x14ac:dyDescent="0.25">
      <c r="A289" s="51" t="str">
        <f>(COUNTIF($K$2:K289,K289))&amp;K289</f>
        <v>1632100</v>
      </c>
      <c r="B289" s="52" t="s">
        <v>588</v>
      </c>
      <c r="C289" s="53" t="s">
        <v>562</v>
      </c>
      <c r="D289" s="54" t="s">
        <v>563</v>
      </c>
      <c r="E289" s="55">
        <v>420460</v>
      </c>
      <c r="F289" s="55">
        <v>149000</v>
      </c>
      <c r="G289" s="55">
        <v>-1480</v>
      </c>
      <c r="H289" s="55" t="s">
        <v>576</v>
      </c>
      <c r="I289" s="55">
        <v>-2.5999999999999996</v>
      </c>
      <c r="J289" s="55">
        <v>0.55000000000000004</v>
      </c>
      <c r="K289" s="56">
        <v>32100</v>
      </c>
      <c r="L289" s="55">
        <v>680.25</v>
      </c>
      <c r="M289" s="55">
        <v>105.25</v>
      </c>
      <c r="N289" s="55" t="s">
        <v>574</v>
      </c>
      <c r="O289" s="55">
        <v>0</v>
      </c>
      <c r="P289" s="55">
        <v>240</v>
      </c>
      <c r="Q289" s="55">
        <v>40</v>
      </c>
      <c r="R289" s="57" t="s">
        <v>563</v>
      </c>
      <c r="S289" s="58" t="b">
        <v>0</v>
      </c>
      <c r="T289" s="51">
        <v>31411</v>
      </c>
    </row>
    <row r="290" spans="1:20" x14ac:dyDescent="0.25">
      <c r="A290" s="51" t="str">
        <f>(COUNTIF($K$2:K290,K290))&amp;K290</f>
        <v>17PCR</v>
      </c>
      <c r="B290" s="52" t="s">
        <v>588</v>
      </c>
      <c r="C290" s="60">
        <v>0.95696404248527656</v>
      </c>
      <c r="E290" s="61"/>
      <c r="F290" s="62">
        <v>8208020</v>
      </c>
      <c r="G290" s="63"/>
      <c r="H290" s="64"/>
      <c r="I290" s="64"/>
      <c r="J290" s="64"/>
      <c r="K290" s="65" t="s">
        <v>555</v>
      </c>
      <c r="L290" s="64"/>
      <c r="M290" s="64"/>
      <c r="N290" s="64"/>
      <c r="P290" s="63">
        <v>7854780</v>
      </c>
      <c r="Q290" s="61"/>
      <c r="R290" s="64"/>
      <c r="S290" s="64"/>
    </row>
    <row r="291" spans="1:20" x14ac:dyDescent="0.25">
      <c r="A291" s="51" t="str">
        <f>(COUNTIF($K$2:K291,K291))&amp;K291</f>
        <v>830600</v>
      </c>
      <c r="B291" s="52" t="s">
        <v>588</v>
      </c>
      <c r="C291" s="53" t="s">
        <v>562</v>
      </c>
      <c r="D291" s="54" t="s">
        <v>563</v>
      </c>
      <c r="E291" s="55">
        <v>620</v>
      </c>
      <c r="F291" s="55">
        <v>4240</v>
      </c>
      <c r="G291" s="55">
        <v>-300</v>
      </c>
      <c r="H291" s="55" t="s">
        <v>574</v>
      </c>
      <c r="I291" s="55">
        <v>-141.60000000000002</v>
      </c>
      <c r="J291" s="55">
        <v>791.1</v>
      </c>
      <c r="K291" s="56">
        <v>30600</v>
      </c>
      <c r="L291" s="55">
        <v>0.5</v>
      </c>
      <c r="M291" s="55">
        <v>-2.5</v>
      </c>
      <c r="N291" s="55" t="s">
        <v>576</v>
      </c>
      <c r="O291" s="55">
        <v>4000</v>
      </c>
      <c r="P291" s="55">
        <v>203240</v>
      </c>
      <c r="Q291" s="55">
        <v>116840</v>
      </c>
      <c r="R291" s="57" t="s">
        <v>564</v>
      </c>
      <c r="S291" s="58" t="s">
        <v>566</v>
      </c>
      <c r="T291" s="51">
        <v>31411</v>
      </c>
    </row>
    <row r="292" spans="1:20" x14ac:dyDescent="0.25">
      <c r="A292" s="51" t="str">
        <f>(COUNTIF($K$2:K292,K292))&amp;K292</f>
        <v>1730700</v>
      </c>
      <c r="B292" s="52" t="s">
        <v>588</v>
      </c>
      <c r="C292" s="53" t="s">
        <v>562</v>
      </c>
      <c r="D292" s="54" t="s">
        <v>563</v>
      </c>
      <c r="E292" s="55">
        <v>1040</v>
      </c>
      <c r="F292" s="55">
        <v>11780</v>
      </c>
      <c r="G292" s="55">
        <v>-40</v>
      </c>
      <c r="H292" s="55" t="s">
        <v>574</v>
      </c>
      <c r="I292" s="55">
        <v>-141</v>
      </c>
      <c r="J292" s="55">
        <v>695</v>
      </c>
      <c r="K292" s="56">
        <v>30700</v>
      </c>
      <c r="L292" s="55">
        <v>0.7</v>
      </c>
      <c r="M292" s="55">
        <v>-2.9000000000000004</v>
      </c>
      <c r="N292" s="55" t="s">
        <v>576</v>
      </c>
      <c r="O292" s="55">
        <v>16760</v>
      </c>
      <c r="P292" s="55">
        <v>206960</v>
      </c>
      <c r="Q292" s="55">
        <v>242120</v>
      </c>
      <c r="R292" s="57" t="s">
        <v>564</v>
      </c>
      <c r="S292" s="58" t="s">
        <v>566</v>
      </c>
      <c r="T292" s="51">
        <v>31411</v>
      </c>
    </row>
    <row r="293" spans="1:20" x14ac:dyDescent="0.25">
      <c r="A293" s="51" t="str">
        <f>(COUNTIF($K$2:K293,K293))&amp;K293</f>
        <v>1730800</v>
      </c>
      <c r="B293" s="52" t="s">
        <v>588</v>
      </c>
      <c r="C293" s="53" t="s">
        <v>562</v>
      </c>
      <c r="D293" s="54" t="s">
        <v>563</v>
      </c>
      <c r="E293" s="55">
        <v>980</v>
      </c>
      <c r="F293" s="55">
        <v>7300</v>
      </c>
      <c r="G293" s="55">
        <v>-200</v>
      </c>
      <c r="H293" s="55" t="s">
        <v>574</v>
      </c>
      <c r="I293" s="55">
        <v>-140.60000000000002</v>
      </c>
      <c r="J293" s="55">
        <v>595</v>
      </c>
      <c r="K293" s="56">
        <v>30800</v>
      </c>
      <c r="L293" s="55">
        <v>1</v>
      </c>
      <c r="M293" s="55">
        <v>-3.0999999999999996</v>
      </c>
      <c r="N293" s="55" t="s">
        <v>576</v>
      </c>
      <c r="O293" s="55">
        <v>12500</v>
      </c>
      <c r="P293" s="55">
        <v>379900</v>
      </c>
      <c r="Q293" s="55">
        <v>501200</v>
      </c>
      <c r="R293" s="57" t="s">
        <v>564</v>
      </c>
      <c r="S293" s="58" t="s">
        <v>566</v>
      </c>
      <c r="T293" s="51">
        <v>31411</v>
      </c>
    </row>
    <row r="294" spans="1:20" x14ac:dyDescent="0.25">
      <c r="A294" s="51" t="str">
        <f>(COUNTIF($K$2:K294,K294))&amp;K294</f>
        <v>1730900</v>
      </c>
      <c r="B294" s="52" t="s">
        <v>588</v>
      </c>
      <c r="C294" s="53" t="s">
        <v>566</v>
      </c>
      <c r="D294" s="54" t="s">
        <v>564</v>
      </c>
      <c r="E294" s="55">
        <v>2640</v>
      </c>
      <c r="F294" s="55">
        <v>6400</v>
      </c>
      <c r="G294" s="55">
        <v>160</v>
      </c>
      <c r="H294" s="55" t="s">
        <v>574</v>
      </c>
      <c r="I294" s="55">
        <v>-137.59999999999997</v>
      </c>
      <c r="J294" s="55">
        <v>495.95</v>
      </c>
      <c r="K294" s="56">
        <v>30900</v>
      </c>
      <c r="L294" s="55">
        <v>1.75</v>
      </c>
      <c r="M294" s="55">
        <v>-3.75</v>
      </c>
      <c r="N294" s="55" t="s">
        <v>576</v>
      </c>
      <c r="O294" s="55">
        <v>127300</v>
      </c>
      <c r="P294" s="55">
        <v>493180</v>
      </c>
      <c r="Q294" s="55">
        <v>973260</v>
      </c>
      <c r="R294" s="57" t="s">
        <v>564</v>
      </c>
      <c r="S294" s="58" t="s">
        <v>566</v>
      </c>
      <c r="T294" s="51">
        <v>31411</v>
      </c>
    </row>
    <row r="295" spans="1:20" x14ac:dyDescent="0.25">
      <c r="A295" s="51" t="str">
        <f>(COUNTIF($K$2:K295,K295))&amp;K295</f>
        <v>1731000</v>
      </c>
      <c r="B295" s="52" t="s">
        <v>588</v>
      </c>
      <c r="C295" s="53" t="s">
        <v>566</v>
      </c>
      <c r="D295" s="54" t="s">
        <v>564</v>
      </c>
      <c r="E295" s="55">
        <v>63500</v>
      </c>
      <c r="F295" s="55">
        <v>102020</v>
      </c>
      <c r="G295" s="55">
        <v>13800</v>
      </c>
      <c r="H295" s="55" t="s">
        <v>574</v>
      </c>
      <c r="I295" s="55">
        <v>-149.70000000000005</v>
      </c>
      <c r="J295" s="55">
        <v>395.15</v>
      </c>
      <c r="K295" s="56">
        <v>31000</v>
      </c>
      <c r="L295" s="55">
        <v>3.5</v>
      </c>
      <c r="M295" s="55">
        <v>-3.9000000000000004</v>
      </c>
      <c r="N295" s="55" t="s">
        <v>576</v>
      </c>
      <c r="O295" s="55">
        <v>617640</v>
      </c>
      <c r="P295" s="55">
        <v>1428240</v>
      </c>
      <c r="Q295" s="55">
        <v>2777060</v>
      </c>
      <c r="R295" s="57" t="s">
        <v>564</v>
      </c>
      <c r="S295" s="58" t="s">
        <v>566</v>
      </c>
      <c r="T295" s="51">
        <v>31411</v>
      </c>
    </row>
    <row r="296" spans="1:20" x14ac:dyDescent="0.25">
      <c r="A296" s="51" t="str">
        <f>(COUNTIF($K$2:K296,K296))&amp;K296</f>
        <v>1731100</v>
      </c>
      <c r="B296" s="52" t="s">
        <v>588</v>
      </c>
      <c r="C296" s="53" t="s">
        <v>566</v>
      </c>
      <c r="D296" s="54" t="s">
        <v>564</v>
      </c>
      <c r="E296" s="55">
        <v>50220</v>
      </c>
      <c r="F296" s="55">
        <v>39540</v>
      </c>
      <c r="G296" s="55">
        <v>8880</v>
      </c>
      <c r="H296" s="55" t="s">
        <v>574</v>
      </c>
      <c r="I296" s="55">
        <v>-146.64999999999998</v>
      </c>
      <c r="J296" s="55">
        <v>298.5</v>
      </c>
      <c r="K296" s="56">
        <v>31100</v>
      </c>
      <c r="L296" s="55">
        <v>6.85</v>
      </c>
      <c r="M296" s="55">
        <v>-3.3000000000000007</v>
      </c>
      <c r="N296" s="55" t="s">
        <v>576</v>
      </c>
      <c r="O296" s="55">
        <v>424180</v>
      </c>
      <c r="P296" s="55">
        <v>942880</v>
      </c>
      <c r="Q296" s="55">
        <v>3169080</v>
      </c>
      <c r="R296" s="57" t="s">
        <v>564</v>
      </c>
      <c r="S296" s="58" t="s">
        <v>566</v>
      </c>
      <c r="T296" s="51">
        <v>31411</v>
      </c>
    </row>
    <row r="297" spans="1:20" x14ac:dyDescent="0.25">
      <c r="A297" s="51" t="str">
        <f>(COUNTIF($K$2:K297,K297))&amp;K297</f>
        <v>1731200</v>
      </c>
      <c r="B297" s="52" t="s">
        <v>588</v>
      </c>
      <c r="C297" s="53" t="s">
        <v>566</v>
      </c>
      <c r="D297" s="54" t="s">
        <v>564</v>
      </c>
      <c r="E297" s="55">
        <v>506560</v>
      </c>
      <c r="F297" s="55">
        <v>213300</v>
      </c>
      <c r="G297" s="55">
        <v>81580</v>
      </c>
      <c r="H297" s="55" t="s">
        <v>574</v>
      </c>
      <c r="I297" s="55">
        <v>-142.6</v>
      </c>
      <c r="J297" s="55">
        <v>207.85</v>
      </c>
      <c r="K297" s="56">
        <v>31200</v>
      </c>
      <c r="L297" s="55">
        <v>16.7</v>
      </c>
      <c r="M297" s="55">
        <v>-0.69999999999999929</v>
      </c>
      <c r="N297" s="55" t="s">
        <v>576</v>
      </c>
      <c r="O297" s="55">
        <v>641100</v>
      </c>
      <c r="P297" s="55">
        <v>1167040</v>
      </c>
      <c r="Q297" s="55">
        <v>4258380</v>
      </c>
      <c r="R297" s="57" t="s">
        <v>564</v>
      </c>
      <c r="S297" s="58" t="s">
        <v>566</v>
      </c>
      <c r="T297" s="51">
        <v>31411</v>
      </c>
    </row>
    <row r="298" spans="1:20" x14ac:dyDescent="0.25">
      <c r="A298" s="51" t="str">
        <f>(COUNTIF($K$2:K298,K298))&amp;K298</f>
        <v>1731300</v>
      </c>
      <c r="B298" s="52" t="s">
        <v>588</v>
      </c>
      <c r="C298" s="53" t="s">
        <v>566</v>
      </c>
      <c r="D298" s="54" t="s">
        <v>564</v>
      </c>
      <c r="E298" s="55">
        <v>839060</v>
      </c>
      <c r="F298" s="55">
        <v>223960</v>
      </c>
      <c r="G298" s="112" t="s">
        <v>577</v>
      </c>
      <c r="H298" s="55" t="s">
        <v>576</v>
      </c>
      <c r="I298" s="55">
        <v>-135.5</v>
      </c>
      <c r="J298" s="55">
        <v>130.05000000000001</v>
      </c>
      <c r="K298" s="56">
        <v>31300</v>
      </c>
      <c r="L298" s="55">
        <v>39.9</v>
      </c>
      <c r="M298" s="55">
        <v>8.9499999999999993</v>
      </c>
      <c r="N298" s="55" t="s">
        <v>576</v>
      </c>
      <c r="O298" s="55">
        <v>519860</v>
      </c>
      <c r="P298" s="55">
        <v>1170360</v>
      </c>
      <c r="Q298" s="55">
        <v>4974320</v>
      </c>
      <c r="R298" s="57" t="s">
        <v>564</v>
      </c>
      <c r="S298" s="58" t="s">
        <v>565</v>
      </c>
      <c r="T298" s="51">
        <v>31411</v>
      </c>
    </row>
    <row r="299" spans="1:20" ht="15.75" x14ac:dyDescent="0.25">
      <c r="A299" s="51" t="str">
        <f>(COUNTIF($K$2:K299,K299))&amp;K299</f>
        <v>1731400</v>
      </c>
      <c r="B299" s="52" t="s">
        <v>588</v>
      </c>
      <c r="C299" s="53" t="s">
        <v>566</v>
      </c>
      <c r="D299" s="54" t="s">
        <v>564</v>
      </c>
      <c r="E299" s="55">
        <v>2758500</v>
      </c>
      <c r="F299" s="55">
        <v>700640</v>
      </c>
      <c r="G299" s="55">
        <v>516340</v>
      </c>
      <c r="H299" s="55" t="s">
        <v>576</v>
      </c>
      <c r="I299" s="55">
        <v>-116.55</v>
      </c>
      <c r="J299" s="55">
        <v>72.45</v>
      </c>
      <c r="K299" s="59">
        <v>31400</v>
      </c>
      <c r="L299" s="55">
        <v>82.35</v>
      </c>
      <c r="M299" s="55">
        <v>28.399999999999991</v>
      </c>
      <c r="N299" s="55" t="s">
        <v>576</v>
      </c>
      <c r="O299" s="55">
        <v>323840</v>
      </c>
      <c r="P299" s="55">
        <v>880060</v>
      </c>
      <c r="Q299" s="55">
        <v>4216080</v>
      </c>
      <c r="R299" s="57" t="s">
        <v>564</v>
      </c>
      <c r="S299" s="58" t="s">
        <v>565</v>
      </c>
      <c r="T299" s="51">
        <v>31411</v>
      </c>
    </row>
    <row r="300" spans="1:20" x14ac:dyDescent="0.25">
      <c r="A300" s="51" t="str">
        <f>(COUNTIF($K$2:K300,K300))&amp;K300</f>
        <v>1731500</v>
      </c>
      <c r="B300" s="52" t="s">
        <v>588</v>
      </c>
      <c r="C300" s="53" t="s">
        <v>566</v>
      </c>
      <c r="D300" s="54" t="s">
        <v>564</v>
      </c>
      <c r="E300" s="55">
        <v>5668720</v>
      </c>
      <c r="F300" s="55">
        <v>1987600</v>
      </c>
      <c r="G300" s="55">
        <v>1209060</v>
      </c>
      <c r="H300" s="55" t="s">
        <v>576</v>
      </c>
      <c r="I300" s="55">
        <v>-90.9</v>
      </c>
      <c r="J300" s="55">
        <v>35.549999999999997</v>
      </c>
      <c r="K300" s="56">
        <v>31500</v>
      </c>
      <c r="L300" s="55">
        <v>144.9</v>
      </c>
      <c r="M300" s="55">
        <v>54.75</v>
      </c>
      <c r="N300" s="55" t="s">
        <v>576</v>
      </c>
      <c r="O300" s="55">
        <v>84840</v>
      </c>
      <c r="P300" s="55">
        <v>715320</v>
      </c>
      <c r="Q300" s="55">
        <v>2872320</v>
      </c>
      <c r="R300" s="57" t="s">
        <v>564</v>
      </c>
      <c r="S300" s="58" t="s">
        <v>565</v>
      </c>
      <c r="T300" s="51">
        <v>31411</v>
      </c>
    </row>
    <row r="301" spans="1:20" x14ac:dyDescent="0.25">
      <c r="A301" s="51" t="str">
        <f>(COUNTIF($K$2:K301,K301))&amp;K301</f>
        <v>1731600</v>
      </c>
      <c r="B301" s="52" t="s">
        <v>588</v>
      </c>
      <c r="C301" s="53" t="s">
        <v>566</v>
      </c>
      <c r="D301" s="54" t="s">
        <v>564</v>
      </c>
      <c r="E301" s="55">
        <v>4789220</v>
      </c>
      <c r="F301" s="55">
        <v>1367980</v>
      </c>
      <c r="G301" s="55">
        <v>748320</v>
      </c>
      <c r="H301" s="55" t="s">
        <v>576</v>
      </c>
      <c r="I301" s="55">
        <v>-63.900000000000006</v>
      </c>
      <c r="J301" s="55">
        <v>14.55</v>
      </c>
      <c r="K301" s="56">
        <v>31600</v>
      </c>
      <c r="L301" s="55">
        <v>223.95</v>
      </c>
      <c r="M301" s="55">
        <v>81.849999999999994</v>
      </c>
      <c r="N301" s="55" t="s">
        <v>576</v>
      </c>
      <c r="O301" s="55">
        <v>59080</v>
      </c>
      <c r="P301" s="55">
        <v>153320</v>
      </c>
      <c r="Q301" s="55">
        <v>882720</v>
      </c>
      <c r="R301" s="57" t="s">
        <v>564</v>
      </c>
      <c r="S301" s="58" t="s">
        <v>565</v>
      </c>
      <c r="T301" s="51">
        <v>31411</v>
      </c>
    </row>
    <row r="302" spans="1:20" x14ac:dyDescent="0.25">
      <c r="A302" s="51" t="str">
        <f>(COUNTIF($K$2:K302,K302))&amp;K302</f>
        <v>1731700</v>
      </c>
      <c r="B302" s="52" t="s">
        <v>588</v>
      </c>
      <c r="C302" s="53" t="s">
        <v>566</v>
      </c>
      <c r="D302" s="54" t="s">
        <v>564</v>
      </c>
      <c r="E302" s="55">
        <v>4469240</v>
      </c>
      <c r="F302" s="55">
        <v>1184880</v>
      </c>
      <c r="G302" s="55">
        <v>549620</v>
      </c>
      <c r="H302" s="55" t="s">
        <v>576</v>
      </c>
      <c r="I302" s="55">
        <v>-38.650000000000006</v>
      </c>
      <c r="J302" s="55">
        <v>5.8</v>
      </c>
      <c r="K302" s="56">
        <v>31700</v>
      </c>
      <c r="L302" s="55">
        <v>316.3</v>
      </c>
      <c r="M302" s="55">
        <v>106.9</v>
      </c>
      <c r="N302" s="55" t="s">
        <v>576</v>
      </c>
      <c r="O302" s="55">
        <v>17340</v>
      </c>
      <c r="P302" s="55">
        <v>67100</v>
      </c>
      <c r="Q302" s="55">
        <v>423240</v>
      </c>
      <c r="R302" s="57" t="s">
        <v>564</v>
      </c>
      <c r="S302" s="58" t="s">
        <v>565</v>
      </c>
      <c r="T302" s="51">
        <v>31411</v>
      </c>
    </row>
    <row r="303" spans="1:20" x14ac:dyDescent="0.25">
      <c r="A303" s="51" t="str">
        <f>(COUNTIF($K$2:K303,K303))&amp;K303</f>
        <v>1731800</v>
      </c>
      <c r="B303" s="52" t="s">
        <v>588</v>
      </c>
      <c r="C303" s="53" t="s">
        <v>566</v>
      </c>
      <c r="D303" s="54" t="s">
        <v>564</v>
      </c>
      <c r="E303" s="55">
        <v>3284760</v>
      </c>
      <c r="F303" s="55">
        <v>910580</v>
      </c>
      <c r="G303" s="55">
        <v>325200</v>
      </c>
      <c r="H303" s="55" t="s">
        <v>576</v>
      </c>
      <c r="I303" s="55">
        <v>-21.25</v>
      </c>
      <c r="J303" s="55">
        <v>2.25</v>
      </c>
      <c r="K303" s="56">
        <v>31800</v>
      </c>
      <c r="L303" s="55">
        <v>410.75</v>
      </c>
      <c r="M303" s="55">
        <v>125.39999999999998</v>
      </c>
      <c r="N303" s="55" t="s">
        <v>576</v>
      </c>
      <c r="O303" s="55">
        <v>11800</v>
      </c>
      <c r="P303" s="55">
        <v>26780</v>
      </c>
      <c r="Q303" s="55">
        <v>159540</v>
      </c>
      <c r="R303" s="57" t="s">
        <v>564</v>
      </c>
      <c r="S303" s="58" t="s">
        <v>565</v>
      </c>
      <c r="T303" s="51">
        <v>31411</v>
      </c>
    </row>
    <row r="304" spans="1:20" x14ac:dyDescent="0.25">
      <c r="A304" s="51" t="str">
        <f>(COUNTIF($K$2:K304,K304))&amp;K304</f>
        <v>1731900</v>
      </c>
      <c r="B304" s="52" t="s">
        <v>588</v>
      </c>
      <c r="C304" s="53" t="s">
        <v>562</v>
      </c>
      <c r="D304" s="54" t="s">
        <v>563</v>
      </c>
      <c r="E304" s="55">
        <v>2247800</v>
      </c>
      <c r="F304" s="55">
        <v>508980</v>
      </c>
      <c r="G304" s="55">
        <v>-2820</v>
      </c>
      <c r="H304" s="55" t="s">
        <v>576</v>
      </c>
      <c r="I304" s="55">
        <v>-9.85</v>
      </c>
      <c r="J304" s="55">
        <v>1.25</v>
      </c>
      <c r="K304" s="56">
        <v>31900</v>
      </c>
      <c r="L304" s="55">
        <v>509.4</v>
      </c>
      <c r="M304" s="55">
        <v>132.69999999999999</v>
      </c>
      <c r="N304" s="55" t="s">
        <v>576</v>
      </c>
      <c r="O304" s="55">
        <v>1980</v>
      </c>
      <c r="P304" s="55">
        <v>7520</v>
      </c>
      <c r="Q304" s="55">
        <v>27880</v>
      </c>
      <c r="R304" s="57" t="s">
        <v>564</v>
      </c>
      <c r="S304" s="58" t="s">
        <v>565</v>
      </c>
      <c r="T304" s="51">
        <v>31411</v>
      </c>
    </row>
    <row r="305" spans="1:20" x14ac:dyDescent="0.25">
      <c r="A305" s="51" t="str">
        <f>(COUNTIF($K$2:K305,K305))&amp;K305</f>
        <v>1732000</v>
      </c>
      <c r="B305" s="52" t="s">
        <v>588</v>
      </c>
      <c r="C305" s="53" t="s">
        <v>566</v>
      </c>
      <c r="D305" s="54" t="s">
        <v>564</v>
      </c>
      <c r="E305" s="55">
        <v>2582980</v>
      </c>
      <c r="F305" s="55">
        <v>789820</v>
      </c>
      <c r="G305" s="55">
        <v>178160</v>
      </c>
      <c r="H305" s="55" t="s">
        <v>576</v>
      </c>
      <c r="I305" s="55">
        <v>-5.15</v>
      </c>
      <c r="J305" s="55">
        <v>0.85</v>
      </c>
      <c r="K305" s="56">
        <v>32000</v>
      </c>
      <c r="L305" s="55">
        <v>608.9</v>
      </c>
      <c r="M305" s="55">
        <v>138.39999999999998</v>
      </c>
      <c r="N305" s="55" t="s">
        <v>576</v>
      </c>
      <c r="O305" s="55">
        <v>520</v>
      </c>
      <c r="P305" s="55">
        <v>12640</v>
      </c>
      <c r="Q305" s="55">
        <v>18000</v>
      </c>
      <c r="R305" s="57" t="s">
        <v>564</v>
      </c>
      <c r="S305" s="58" t="s">
        <v>565</v>
      </c>
      <c r="T305" s="51">
        <v>31411</v>
      </c>
    </row>
    <row r="306" spans="1:20" x14ac:dyDescent="0.25">
      <c r="A306" s="51" t="str">
        <f>(COUNTIF($K$2:K306,K306))&amp;K306</f>
        <v>1732100</v>
      </c>
      <c r="B306" s="52" t="s">
        <v>588</v>
      </c>
      <c r="C306" s="53" t="s">
        <v>562</v>
      </c>
      <c r="D306" s="54" t="s">
        <v>563</v>
      </c>
      <c r="E306" s="55">
        <v>420460</v>
      </c>
      <c r="F306" s="55">
        <v>149000</v>
      </c>
      <c r="G306" s="55">
        <v>-1480</v>
      </c>
      <c r="H306" s="55" t="s">
        <v>576</v>
      </c>
      <c r="I306" s="55">
        <v>-2.5999999999999996</v>
      </c>
      <c r="J306" s="55">
        <v>0.55000000000000004</v>
      </c>
      <c r="K306" s="56">
        <v>32100</v>
      </c>
      <c r="L306" s="55">
        <v>680.25</v>
      </c>
      <c r="M306" s="55">
        <v>105.25</v>
      </c>
      <c r="N306" s="55" t="s">
        <v>574</v>
      </c>
      <c r="O306" s="55">
        <v>0</v>
      </c>
      <c r="P306" s="55">
        <v>240</v>
      </c>
      <c r="Q306" s="55">
        <v>40</v>
      </c>
      <c r="R306" s="57" t="s">
        <v>563</v>
      </c>
      <c r="S306" s="58" t="b">
        <v>0</v>
      </c>
      <c r="T306" s="51">
        <v>31411</v>
      </c>
    </row>
    <row r="307" spans="1:20" x14ac:dyDescent="0.25">
      <c r="A307" s="51" t="str">
        <f>(COUNTIF($K$2:K307,K307))&amp;K307</f>
        <v>18PCR</v>
      </c>
      <c r="B307" s="52" t="s">
        <v>588</v>
      </c>
      <c r="C307" s="60">
        <v>0.95696404248527656</v>
      </c>
      <c r="E307" s="61"/>
      <c r="F307" s="62">
        <v>8208020</v>
      </c>
      <c r="G307" s="63"/>
      <c r="H307" s="64"/>
      <c r="I307" s="64"/>
      <c r="J307" s="64"/>
      <c r="K307" s="65" t="s">
        <v>555</v>
      </c>
      <c r="L307" s="64"/>
      <c r="M307" s="64"/>
      <c r="N307" s="64"/>
      <c r="P307" s="63">
        <v>7854780</v>
      </c>
      <c r="Q307" s="61"/>
      <c r="R307" s="64"/>
      <c r="S307" s="64"/>
    </row>
    <row r="308" spans="1:20" x14ac:dyDescent="0.25">
      <c r="A308" s="51" t="str">
        <f>(COUNTIF($K$2:K308,K308))&amp;K308</f>
        <v>930600</v>
      </c>
      <c r="B308" s="52" t="s">
        <v>589</v>
      </c>
      <c r="C308" s="53" t="s">
        <v>562</v>
      </c>
      <c r="D308" s="54" t="s">
        <v>563</v>
      </c>
      <c r="E308" s="55">
        <v>620</v>
      </c>
      <c r="F308" s="55">
        <v>4240</v>
      </c>
      <c r="G308" s="55">
        <v>-300</v>
      </c>
      <c r="H308" s="55" t="s">
        <v>574</v>
      </c>
      <c r="I308" s="55">
        <v>-141.60000000000002</v>
      </c>
      <c r="J308" s="55">
        <v>791.1</v>
      </c>
      <c r="K308" s="56">
        <v>30600</v>
      </c>
      <c r="L308" s="55">
        <v>0.6</v>
      </c>
      <c r="M308" s="55">
        <v>-2.4</v>
      </c>
      <c r="N308" s="55" t="s">
        <v>576</v>
      </c>
      <c r="O308" s="55">
        <v>100</v>
      </c>
      <c r="P308" s="55">
        <v>199340</v>
      </c>
      <c r="Q308" s="55">
        <v>119360</v>
      </c>
      <c r="R308" s="57" t="s">
        <v>564</v>
      </c>
      <c r="S308" s="58" t="s">
        <v>566</v>
      </c>
      <c r="T308" s="51">
        <v>31396</v>
      </c>
    </row>
    <row r="309" spans="1:20" x14ac:dyDescent="0.25">
      <c r="A309" s="51" t="str">
        <f>(COUNTIF($K$2:K309,K309))&amp;K309</f>
        <v>1830700</v>
      </c>
      <c r="B309" s="52" t="s">
        <v>589</v>
      </c>
      <c r="C309" s="53" t="s">
        <v>566</v>
      </c>
      <c r="D309" s="54" t="s">
        <v>564</v>
      </c>
      <c r="E309" s="55">
        <v>1120</v>
      </c>
      <c r="F309" s="55">
        <v>11860</v>
      </c>
      <c r="G309" s="55">
        <v>40</v>
      </c>
      <c r="H309" s="55" t="s">
        <v>574</v>
      </c>
      <c r="I309" s="55">
        <v>-147.29999999999995</v>
      </c>
      <c r="J309" s="55">
        <v>688.7</v>
      </c>
      <c r="K309" s="56">
        <v>30700</v>
      </c>
      <c r="L309" s="55">
        <v>0.75</v>
      </c>
      <c r="M309" s="55">
        <v>-2.85</v>
      </c>
      <c r="N309" s="55" t="s">
        <v>576</v>
      </c>
      <c r="O309" s="55">
        <v>22140</v>
      </c>
      <c r="P309" s="55">
        <v>212340</v>
      </c>
      <c r="Q309" s="55">
        <v>248000</v>
      </c>
      <c r="R309" s="57" t="s">
        <v>564</v>
      </c>
      <c r="S309" s="58" t="s">
        <v>566</v>
      </c>
      <c r="T309" s="51">
        <v>31396</v>
      </c>
    </row>
    <row r="310" spans="1:20" x14ac:dyDescent="0.25">
      <c r="A310" s="51" t="str">
        <f>(COUNTIF($K$2:K310,K310))&amp;K310</f>
        <v>1830800</v>
      </c>
      <c r="B310" s="52" t="s">
        <v>589</v>
      </c>
      <c r="C310" s="53" t="s">
        <v>562</v>
      </c>
      <c r="D310" s="54" t="s">
        <v>563</v>
      </c>
      <c r="E310" s="55">
        <v>1160</v>
      </c>
      <c r="F310" s="55">
        <v>7280</v>
      </c>
      <c r="G310" s="55">
        <v>-220</v>
      </c>
      <c r="H310" s="55" t="s">
        <v>574</v>
      </c>
      <c r="I310" s="55">
        <v>-149.35000000000002</v>
      </c>
      <c r="J310" s="55">
        <v>586.25</v>
      </c>
      <c r="K310" s="56">
        <v>30800</v>
      </c>
      <c r="L310" s="55">
        <v>0.95</v>
      </c>
      <c r="M310" s="55">
        <v>-3.1499999999999995</v>
      </c>
      <c r="N310" s="55" t="s">
        <v>576</v>
      </c>
      <c r="O310" s="55">
        <v>11020</v>
      </c>
      <c r="P310" s="55">
        <v>378420</v>
      </c>
      <c r="Q310" s="55">
        <v>543500</v>
      </c>
      <c r="R310" s="57" t="s">
        <v>564</v>
      </c>
      <c r="S310" s="58" t="s">
        <v>566</v>
      </c>
      <c r="T310" s="51">
        <v>31396</v>
      </c>
    </row>
    <row r="311" spans="1:20" x14ac:dyDescent="0.25">
      <c r="A311" s="51" t="str">
        <f>(COUNTIF($K$2:K311,K311))&amp;K311</f>
        <v>1830900</v>
      </c>
      <c r="B311" s="52" t="s">
        <v>589</v>
      </c>
      <c r="C311" s="53" t="s">
        <v>566</v>
      </c>
      <c r="D311" s="54" t="s">
        <v>564</v>
      </c>
      <c r="E311" s="55">
        <v>2800</v>
      </c>
      <c r="F311" s="55">
        <v>6380</v>
      </c>
      <c r="G311" s="55">
        <v>140</v>
      </c>
      <c r="H311" s="55" t="s">
        <v>574</v>
      </c>
      <c r="I311" s="55">
        <v>-147.49999999999994</v>
      </c>
      <c r="J311" s="55">
        <v>486.05</v>
      </c>
      <c r="K311" s="56">
        <v>30900</v>
      </c>
      <c r="L311" s="55">
        <v>1.7</v>
      </c>
      <c r="M311" s="55">
        <v>-3.8</v>
      </c>
      <c r="N311" s="55" t="s">
        <v>576</v>
      </c>
      <c r="O311" s="55">
        <v>154740</v>
      </c>
      <c r="P311" s="55">
        <v>520620</v>
      </c>
      <c r="Q311" s="55">
        <v>1046980</v>
      </c>
      <c r="R311" s="57" t="s">
        <v>564</v>
      </c>
      <c r="S311" s="58" t="s">
        <v>566</v>
      </c>
      <c r="T311" s="51">
        <v>31396</v>
      </c>
    </row>
    <row r="312" spans="1:20" x14ac:dyDescent="0.25">
      <c r="A312" s="51" t="str">
        <f>(COUNTIF($K$2:K312,K312))&amp;K312</f>
        <v>1831000</v>
      </c>
      <c r="B312" s="52" t="s">
        <v>589</v>
      </c>
      <c r="C312" s="53" t="s">
        <v>566</v>
      </c>
      <c r="D312" s="54" t="s">
        <v>564</v>
      </c>
      <c r="E312" s="55">
        <v>74400</v>
      </c>
      <c r="F312" s="55">
        <v>103920</v>
      </c>
      <c r="G312" s="55">
        <v>15700</v>
      </c>
      <c r="H312" s="55" t="s">
        <v>574</v>
      </c>
      <c r="I312" s="55">
        <v>-159.65000000000003</v>
      </c>
      <c r="J312" s="55">
        <v>385.2</v>
      </c>
      <c r="K312" s="56">
        <v>31000</v>
      </c>
      <c r="L312" s="55">
        <v>3.4</v>
      </c>
      <c r="M312" s="55">
        <v>-4</v>
      </c>
      <c r="N312" s="55" t="s">
        <v>576</v>
      </c>
      <c r="O312" s="55">
        <v>654820</v>
      </c>
      <c r="P312" s="55">
        <v>1465420</v>
      </c>
      <c r="Q312" s="55">
        <v>2975600</v>
      </c>
      <c r="R312" s="57" t="s">
        <v>564</v>
      </c>
      <c r="S312" s="58" t="s">
        <v>566</v>
      </c>
      <c r="T312" s="51">
        <v>31396</v>
      </c>
    </row>
    <row r="313" spans="1:20" x14ac:dyDescent="0.25">
      <c r="A313" s="51" t="str">
        <f>(COUNTIF($K$2:K313,K313))&amp;K313</f>
        <v>1831100</v>
      </c>
      <c r="B313" s="52" t="s">
        <v>589</v>
      </c>
      <c r="C313" s="53" t="s">
        <v>566</v>
      </c>
      <c r="D313" s="54" t="s">
        <v>564</v>
      </c>
      <c r="E313" s="55">
        <v>58300</v>
      </c>
      <c r="F313" s="55">
        <v>41160</v>
      </c>
      <c r="G313" s="55">
        <v>10500</v>
      </c>
      <c r="H313" s="55" t="s">
        <v>574</v>
      </c>
      <c r="I313" s="55">
        <v>-151.94999999999999</v>
      </c>
      <c r="J313" s="55">
        <v>293.2</v>
      </c>
      <c r="K313" s="56">
        <v>31100</v>
      </c>
      <c r="L313" s="55">
        <v>6.75</v>
      </c>
      <c r="M313" s="55">
        <v>-3.4000000000000004</v>
      </c>
      <c r="N313" s="55" t="s">
        <v>576</v>
      </c>
      <c r="O313" s="55">
        <v>438660</v>
      </c>
      <c r="P313" s="55">
        <v>957360</v>
      </c>
      <c r="Q313" s="55">
        <v>3380560</v>
      </c>
      <c r="R313" s="57" t="s">
        <v>564</v>
      </c>
      <c r="S313" s="58" t="s">
        <v>566</v>
      </c>
      <c r="T313" s="51">
        <v>31396</v>
      </c>
    </row>
    <row r="314" spans="1:20" x14ac:dyDescent="0.25">
      <c r="A314" s="51" t="str">
        <f>(COUNTIF($K$2:K314,K314))&amp;K314</f>
        <v>1831200</v>
      </c>
      <c r="B314" s="52" t="s">
        <v>589</v>
      </c>
      <c r="C314" s="53" t="s">
        <v>566</v>
      </c>
      <c r="D314" s="54" t="s">
        <v>564</v>
      </c>
      <c r="E314" s="55">
        <v>577380</v>
      </c>
      <c r="F314" s="55">
        <v>223340</v>
      </c>
      <c r="G314" s="55">
        <v>91620</v>
      </c>
      <c r="H314" s="55" t="s">
        <v>576</v>
      </c>
      <c r="I314" s="55">
        <v>-150.89999999999998</v>
      </c>
      <c r="J314" s="55">
        <v>199.55</v>
      </c>
      <c r="K314" s="56">
        <v>31200</v>
      </c>
      <c r="L314" s="55">
        <v>17.25</v>
      </c>
      <c r="M314" s="55">
        <v>-0.14999999999999858</v>
      </c>
      <c r="N314" s="55" t="s">
        <v>576</v>
      </c>
      <c r="O314" s="55">
        <v>713160</v>
      </c>
      <c r="P314" s="55">
        <v>1239100</v>
      </c>
      <c r="Q314" s="55">
        <v>4665620</v>
      </c>
      <c r="R314" s="57" t="s">
        <v>564</v>
      </c>
      <c r="S314" s="58" t="s">
        <v>566</v>
      </c>
      <c r="T314" s="51">
        <v>31396</v>
      </c>
    </row>
    <row r="315" spans="1:20" x14ac:dyDescent="0.25">
      <c r="A315" s="51" t="str">
        <f>(COUNTIF($K$2:K315,K315))&amp;K315</f>
        <v>1831300</v>
      </c>
      <c r="B315" s="52" t="s">
        <v>589</v>
      </c>
      <c r="C315" s="53" t="s">
        <v>566</v>
      </c>
      <c r="D315" s="54" t="s">
        <v>564</v>
      </c>
      <c r="E315" s="55">
        <v>983440</v>
      </c>
      <c r="F315" s="55">
        <v>252560</v>
      </c>
      <c r="G315" s="112" t="s">
        <v>577</v>
      </c>
      <c r="H315" s="55" t="s">
        <v>576</v>
      </c>
      <c r="I315" s="55">
        <v>-143.05000000000001</v>
      </c>
      <c r="J315" s="55">
        <v>122.5</v>
      </c>
      <c r="K315" s="56">
        <v>31300</v>
      </c>
      <c r="L315" s="55">
        <v>41.5</v>
      </c>
      <c r="M315" s="55">
        <v>10.55</v>
      </c>
      <c r="N315" s="55" t="s">
        <v>576</v>
      </c>
      <c r="O315" s="55">
        <v>499740</v>
      </c>
      <c r="P315" s="55">
        <v>1150240</v>
      </c>
      <c r="Q315" s="55">
        <v>5519700</v>
      </c>
      <c r="R315" s="57" t="s">
        <v>564</v>
      </c>
      <c r="S315" s="58" t="s">
        <v>565</v>
      </c>
      <c r="T315" s="51">
        <v>31396</v>
      </c>
    </row>
    <row r="316" spans="1:20" ht="15.75" x14ac:dyDescent="0.25">
      <c r="A316" s="51" t="str">
        <f>(COUNTIF($K$2:K316,K316))&amp;K316</f>
        <v>1831400</v>
      </c>
      <c r="B316" s="52" t="s">
        <v>589</v>
      </c>
      <c r="C316" s="53" t="s">
        <v>566</v>
      </c>
      <c r="D316" s="54" t="s">
        <v>564</v>
      </c>
      <c r="E316" s="55">
        <v>3220520</v>
      </c>
      <c r="F316" s="55">
        <v>775600</v>
      </c>
      <c r="G316" s="55">
        <v>591300</v>
      </c>
      <c r="H316" s="55" t="s">
        <v>576</v>
      </c>
      <c r="I316" s="55">
        <v>-123</v>
      </c>
      <c r="J316" s="55">
        <v>66</v>
      </c>
      <c r="K316" s="59">
        <v>31400</v>
      </c>
      <c r="L316" s="55">
        <v>85.85</v>
      </c>
      <c r="M316" s="55">
        <v>31.899999999999991</v>
      </c>
      <c r="N316" s="55" t="s">
        <v>576</v>
      </c>
      <c r="O316" s="55">
        <v>334120</v>
      </c>
      <c r="P316" s="55">
        <v>890340</v>
      </c>
      <c r="Q316" s="55">
        <v>4722580</v>
      </c>
      <c r="R316" s="57" t="s">
        <v>564</v>
      </c>
      <c r="S316" s="58" t="s">
        <v>565</v>
      </c>
      <c r="T316" s="51">
        <v>31396</v>
      </c>
    </row>
    <row r="317" spans="1:20" x14ac:dyDescent="0.25">
      <c r="A317" s="51" t="str">
        <f>(COUNTIF($K$2:K317,K317))&amp;K317</f>
        <v>1831500</v>
      </c>
      <c r="B317" s="52" t="s">
        <v>589</v>
      </c>
      <c r="C317" s="53" t="s">
        <v>566</v>
      </c>
      <c r="D317" s="54" t="s">
        <v>564</v>
      </c>
      <c r="E317" s="55">
        <v>6350860</v>
      </c>
      <c r="F317" s="55">
        <v>2077080</v>
      </c>
      <c r="G317" s="55">
        <v>1298540</v>
      </c>
      <c r="H317" s="55" t="s">
        <v>576</v>
      </c>
      <c r="I317" s="55">
        <v>-95.65</v>
      </c>
      <c r="J317" s="55">
        <v>30.8</v>
      </c>
      <c r="K317" s="56">
        <v>31500</v>
      </c>
      <c r="L317" s="55">
        <v>149.69999999999999</v>
      </c>
      <c r="M317" s="55">
        <v>59.549999999999983</v>
      </c>
      <c r="N317" s="55" t="s">
        <v>576</v>
      </c>
      <c r="O317" s="55">
        <v>65520</v>
      </c>
      <c r="P317" s="55">
        <v>696000</v>
      </c>
      <c r="Q317" s="55">
        <v>3106620</v>
      </c>
      <c r="R317" s="57" t="s">
        <v>564</v>
      </c>
      <c r="S317" s="58" t="s">
        <v>565</v>
      </c>
      <c r="T317" s="51">
        <v>31396</v>
      </c>
    </row>
    <row r="318" spans="1:20" x14ac:dyDescent="0.25">
      <c r="A318" s="51" t="str">
        <f>(COUNTIF($K$2:K318,K318))&amp;K318</f>
        <v>1831600</v>
      </c>
      <c r="B318" s="52" t="s">
        <v>589</v>
      </c>
      <c r="C318" s="53" t="s">
        <v>566</v>
      </c>
      <c r="D318" s="54" t="s">
        <v>564</v>
      </c>
      <c r="E318" s="55">
        <v>5392640</v>
      </c>
      <c r="F318" s="55">
        <v>1479040</v>
      </c>
      <c r="G318" s="55">
        <v>859380</v>
      </c>
      <c r="H318" s="55" t="s">
        <v>576</v>
      </c>
      <c r="I318" s="55">
        <v>-66.400000000000006</v>
      </c>
      <c r="J318" s="55">
        <v>12.05</v>
      </c>
      <c r="K318" s="56">
        <v>31600</v>
      </c>
      <c r="L318" s="55">
        <v>230.5</v>
      </c>
      <c r="M318" s="55">
        <v>88.4</v>
      </c>
      <c r="N318" s="55" t="s">
        <v>576</v>
      </c>
      <c r="O318" s="55">
        <v>61360</v>
      </c>
      <c r="P318" s="55">
        <v>155600</v>
      </c>
      <c r="Q318" s="55">
        <v>960180</v>
      </c>
      <c r="R318" s="57" t="s">
        <v>564</v>
      </c>
      <c r="S318" s="58" t="s">
        <v>565</v>
      </c>
      <c r="T318" s="51">
        <v>31396</v>
      </c>
    </row>
    <row r="319" spans="1:20" x14ac:dyDescent="0.25">
      <c r="A319" s="51" t="str">
        <f>(COUNTIF($K$2:K319,K319))&amp;K319</f>
        <v>1831700</v>
      </c>
      <c r="B319" s="52" t="s">
        <v>589</v>
      </c>
      <c r="C319" s="53" t="s">
        <v>566</v>
      </c>
      <c r="D319" s="54" t="s">
        <v>564</v>
      </c>
      <c r="E319" s="55">
        <v>4999780</v>
      </c>
      <c r="F319" s="55">
        <v>1219080</v>
      </c>
      <c r="G319" s="55">
        <v>583820</v>
      </c>
      <c r="H319" s="55" t="s">
        <v>576</v>
      </c>
      <c r="I319" s="55">
        <v>-39.450000000000003</v>
      </c>
      <c r="J319" s="55">
        <v>5</v>
      </c>
      <c r="K319" s="56">
        <v>31700</v>
      </c>
      <c r="L319" s="55">
        <v>323.60000000000002</v>
      </c>
      <c r="M319" s="55">
        <v>114.20000000000002</v>
      </c>
      <c r="N319" s="55" t="s">
        <v>576</v>
      </c>
      <c r="O319" s="55">
        <v>6400</v>
      </c>
      <c r="P319" s="55">
        <v>56160</v>
      </c>
      <c r="Q319" s="55">
        <v>446100</v>
      </c>
      <c r="R319" s="57" t="s">
        <v>564</v>
      </c>
      <c r="S319" s="58" t="s">
        <v>565</v>
      </c>
      <c r="T319" s="51">
        <v>31396</v>
      </c>
    </row>
    <row r="320" spans="1:20" x14ac:dyDescent="0.25">
      <c r="A320" s="51" t="str">
        <f>(COUNTIF($K$2:K320,K320))&amp;K320</f>
        <v>1831800</v>
      </c>
      <c r="B320" s="52" t="s">
        <v>589</v>
      </c>
      <c r="C320" s="53" t="s">
        <v>566</v>
      </c>
      <c r="D320" s="54" t="s">
        <v>564</v>
      </c>
      <c r="E320" s="55">
        <v>3510860</v>
      </c>
      <c r="F320" s="55">
        <v>972260</v>
      </c>
      <c r="G320" s="55">
        <v>386880</v>
      </c>
      <c r="H320" s="55" t="s">
        <v>576</v>
      </c>
      <c r="I320" s="55">
        <v>-21.35</v>
      </c>
      <c r="J320" s="55">
        <v>2.15</v>
      </c>
      <c r="K320" s="56">
        <v>31800</v>
      </c>
      <c r="L320" s="55">
        <v>420</v>
      </c>
      <c r="M320" s="55">
        <v>134.64999999999998</v>
      </c>
      <c r="N320" s="55" t="s">
        <v>576</v>
      </c>
      <c r="O320" s="55">
        <v>11240</v>
      </c>
      <c r="P320" s="55">
        <v>26220</v>
      </c>
      <c r="Q320" s="55">
        <v>169860</v>
      </c>
      <c r="R320" s="57" t="s">
        <v>564</v>
      </c>
      <c r="S320" s="58" t="s">
        <v>565</v>
      </c>
      <c r="T320" s="51">
        <v>31396</v>
      </c>
    </row>
    <row r="321" spans="1:20" x14ac:dyDescent="0.25">
      <c r="A321" s="51" t="str">
        <f>(COUNTIF($K$2:K321,K321))&amp;K321</f>
        <v>1831900</v>
      </c>
      <c r="B321" s="52" t="s">
        <v>589</v>
      </c>
      <c r="C321" s="53" t="s">
        <v>562</v>
      </c>
      <c r="D321" s="54" t="s">
        <v>563</v>
      </c>
      <c r="E321" s="55">
        <v>2360520</v>
      </c>
      <c r="F321" s="55">
        <v>500080</v>
      </c>
      <c r="G321" s="55">
        <v>-11720</v>
      </c>
      <c r="H321" s="55" t="s">
        <v>576</v>
      </c>
      <c r="I321" s="55">
        <v>-9.9499999999999993</v>
      </c>
      <c r="J321" s="55">
        <v>1.1499999999999999</v>
      </c>
      <c r="K321" s="56">
        <v>31900</v>
      </c>
      <c r="L321" s="55">
        <v>520</v>
      </c>
      <c r="M321" s="55">
        <v>143.30000000000001</v>
      </c>
      <c r="N321" s="55" t="s">
        <v>576</v>
      </c>
      <c r="O321" s="55">
        <v>1600</v>
      </c>
      <c r="P321" s="55">
        <v>7140</v>
      </c>
      <c r="Q321" s="55">
        <v>28880</v>
      </c>
      <c r="R321" s="57" t="s">
        <v>564</v>
      </c>
      <c r="S321" s="58" t="s">
        <v>565</v>
      </c>
      <c r="T321" s="51">
        <v>31396</v>
      </c>
    </row>
    <row r="322" spans="1:20" x14ac:dyDescent="0.25">
      <c r="A322" s="51" t="str">
        <f>(COUNTIF($K$2:K322,K322))&amp;K322</f>
        <v>1832000</v>
      </c>
      <c r="B322" s="52" t="s">
        <v>589</v>
      </c>
      <c r="C322" s="53" t="s">
        <v>566</v>
      </c>
      <c r="D322" s="54" t="s">
        <v>564</v>
      </c>
      <c r="E322" s="55">
        <v>2654000</v>
      </c>
      <c r="F322" s="55">
        <v>775580</v>
      </c>
      <c r="G322" s="55">
        <v>163920</v>
      </c>
      <c r="H322" s="55" t="s">
        <v>576</v>
      </c>
      <c r="I322" s="55">
        <v>-5.15</v>
      </c>
      <c r="J322" s="55">
        <v>0.85</v>
      </c>
      <c r="K322" s="56">
        <v>32000</v>
      </c>
      <c r="L322" s="55">
        <v>617.04999999999995</v>
      </c>
      <c r="M322" s="55">
        <v>146.54999999999995</v>
      </c>
      <c r="N322" s="55" t="s">
        <v>576</v>
      </c>
      <c r="O322" s="55">
        <v>480</v>
      </c>
      <c r="P322" s="55">
        <v>12600</v>
      </c>
      <c r="Q322" s="55">
        <v>18560</v>
      </c>
      <c r="R322" s="57" t="s">
        <v>564</v>
      </c>
      <c r="S322" s="58" t="s">
        <v>565</v>
      </c>
      <c r="T322" s="51">
        <v>31396</v>
      </c>
    </row>
    <row r="323" spans="1:20" x14ac:dyDescent="0.25">
      <c r="A323" s="51" t="str">
        <f>(COUNTIF($K$2:K323,K323))&amp;K323</f>
        <v>1832100</v>
      </c>
      <c r="B323" s="52" t="s">
        <v>589</v>
      </c>
      <c r="C323" s="53" t="s">
        <v>562</v>
      </c>
      <c r="D323" s="54" t="s">
        <v>563</v>
      </c>
      <c r="E323" s="55">
        <v>441080</v>
      </c>
      <c r="F323" s="55">
        <v>149580</v>
      </c>
      <c r="G323" s="55">
        <v>-900</v>
      </c>
      <c r="H323" s="55" t="s">
        <v>576</v>
      </c>
      <c r="I323" s="55">
        <v>-2.5</v>
      </c>
      <c r="J323" s="55">
        <v>0.65</v>
      </c>
      <c r="K323" s="56">
        <v>32100</v>
      </c>
      <c r="L323" s="55">
        <v>714</v>
      </c>
      <c r="M323" s="55">
        <v>139</v>
      </c>
      <c r="N323" s="55" t="s">
        <v>576</v>
      </c>
      <c r="O323" s="55">
        <v>40</v>
      </c>
      <c r="P323" s="55">
        <v>280</v>
      </c>
      <c r="Q323" s="55">
        <v>160</v>
      </c>
      <c r="R323" s="57" t="s">
        <v>564</v>
      </c>
      <c r="S323" s="58" t="s">
        <v>565</v>
      </c>
      <c r="T323" s="51">
        <v>31396</v>
      </c>
    </row>
    <row r="324" spans="1:20" x14ac:dyDescent="0.25">
      <c r="A324" s="51" t="str">
        <f>(COUNTIF($K$2:K324,K324))&amp;K324</f>
        <v>19PCR</v>
      </c>
      <c r="B324" s="52" t="s">
        <v>589</v>
      </c>
      <c r="C324" s="60">
        <v>0.92651970452515631</v>
      </c>
      <c r="E324" s="61"/>
      <c r="F324" s="62">
        <v>8599040</v>
      </c>
      <c r="G324" s="63"/>
      <c r="H324" s="64"/>
      <c r="I324" s="64"/>
      <c r="J324" s="64"/>
      <c r="K324" s="65" t="s">
        <v>555</v>
      </c>
      <c r="L324" s="64"/>
      <c r="M324" s="64"/>
      <c r="N324" s="64"/>
      <c r="P324" s="63">
        <v>7967180</v>
      </c>
      <c r="Q324" s="61"/>
      <c r="R324" s="64"/>
      <c r="S324" s="64"/>
    </row>
    <row r="325" spans="1:20" x14ac:dyDescent="0.25">
      <c r="A325" s="51" t="str">
        <f>(COUNTIF($K$2:K325,K325))&amp;K325</f>
        <v>1030600</v>
      </c>
      <c r="B325" s="52" t="s">
        <v>589</v>
      </c>
      <c r="C325" s="53" t="s">
        <v>562</v>
      </c>
      <c r="D325" s="54" t="s">
        <v>563</v>
      </c>
      <c r="E325" s="55">
        <v>620</v>
      </c>
      <c r="F325" s="55">
        <v>4240</v>
      </c>
      <c r="G325" s="55">
        <v>-300</v>
      </c>
      <c r="H325" s="55" t="s">
        <v>574</v>
      </c>
      <c r="I325" s="55">
        <v>-141.60000000000002</v>
      </c>
      <c r="J325" s="55">
        <v>791.1</v>
      </c>
      <c r="K325" s="56">
        <v>30600</v>
      </c>
      <c r="L325" s="55">
        <v>0.6</v>
      </c>
      <c r="M325" s="55">
        <v>-2.4</v>
      </c>
      <c r="N325" s="55" t="s">
        <v>576</v>
      </c>
      <c r="O325" s="55">
        <v>100</v>
      </c>
      <c r="P325" s="55">
        <v>199340</v>
      </c>
      <c r="Q325" s="55">
        <v>119360</v>
      </c>
      <c r="R325" s="57" t="s">
        <v>564</v>
      </c>
      <c r="S325" s="58" t="s">
        <v>566</v>
      </c>
      <c r="T325" s="51">
        <v>31396</v>
      </c>
    </row>
    <row r="326" spans="1:20" x14ac:dyDescent="0.25">
      <c r="A326" s="51" t="str">
        <f>(COUNTIF($K$2:K326,K326))&amp;K326</f>
        <v>1930700</v>
      </c>
      <c r="B326" s="52" t="s">
        <v>589</v>
      </c>
      <c r="C326" s="53" t="s">
        <v>566</v>
      </c>
      <c r="D326" s="54" t="s">
        <v>564</v>
      </c>
      <c r="E326" s="55">
        <v>1120</v>
      </c>
      <c r="F326" s="55">
        <v>11860</v>
      </c>
      <c r="G326" s="55">
        <v>40</v>
      </c>
      <c r="H326" s="55" t="s">
        <v>574</v>
      </c>
      <c r="I326" s="55">
        <v>-147.29999999999995</v>
      </c>
      <c r="J326" s="55">
        <v>688.7</v>
      </c>
      <c r="K326" s="56">
        <v>30700</v>
      </c>
      <c r="L326" s="55">
        <v>0.75</v>
      </c>
      <c r="M326" s="55">
        <v>-2.85</v>
      </c>
      <c r="N326" s="55" t="s">
        <v>576</v>
      </c>
      <c r="O326" s="55">
        <v>22140</v>
      </c>
      <c r="P326" s="55">
        <v>212340</v>
      </c>
      <c r="Q326" s="55">
        <v>248000</v>
      </c>
      <c r="R326" s="57" t="s">
        <v>564</v>
      </c>
      <c r="S326" s="58" t="s">
        <v>566</v>
      </c>
      <c r="T326" s="51">
        <v>31396</v>
      </c>
    </row>
    <row r="327" spans="1:20" x14ac:dyDescent="0.25">
      <c r="A327" s="51" t="str">
        <f>(COUNTIF($K$2:K327,K327))&amp;K327</f>
        <v>1930800</v>
      </c>
      <c r="B327" s="52" t="s">
        <v>589</v>
      </c>
      <c r="C327" s="53" t="s">
        <v>562</v>
      </c>
      <c r="D327" s="54" t="s">
        <v>563</v>
      </c>
      <c r="E327" s="55">
        <v>1160</v>
      </c>
      <c r="F327" s="55">
        <v>7280</v>
      </c>
      <c r="G327" s="55">
        <v>-220</v>
      </c>
      <c r="H327" s="55" t="s">
        <v>574</v>
      </c>
      <c r="I327" s="55">
        <v>-149.35000000000002</v>
      </c>
      <c r="J327" s="55">
        <v>586.25</v>
      </c>
      <c r="K327" s="56">
        <v>30800</v>
      </c>
      <c r="L327" s="55">
        <v>0.95</v>
      </c>
      <c r="M327" s="55">
        <v>-3.1499999999999995</v>
      </c>
      <c r="N327" s="55" t="s">
        <v>576</v>
      </c>
      <c r="O327" s="55">
        <v>11020</v>
      </c>
      <c r="P327" s="55">
        <v>378420</v>
      </c>
      <c r="Q327" s="55">
        <v>543500</v>
      </c>
      <c r="R327" s="57" t="s">
        <v>564</v>
      </c>
      <c r="S327" s="58" t="s">
        <v>566</v>
      </c>
      <c r="T327" s="51">
        <v>31396</v>
      </c>
    </row>
    <row r="328" spans="1:20" x14ac:dyDescent="0.25">
      <c r="A328" s="51" t="str">
        <f>(COUNTIF($K$2:K328,K328))&amp;K328</f>
        <v>1930900</v>
      </c>
      <c r="B328" s="52" t="s">
        <v>589</v>
      </c>
      <c r="C328" s="53" t="s">
        <v>566</v>
      </c>
      <c r="D328" s="54" t="s">
        <v>564</v>
      </c>
      <c r="E328" s="55">
        <v>2800</v>
      </c>
      <c r="F328" s="55">
        <v>6380</v>
      </c>
      <c r="G328" s="55">
        <v>140</v>
      </c>
      <c r="H328" s="55" t="s">
        <v>574</v>
      </c>
      <c r="I328" s="55">
        <v>-147.49999999999994</v>
      </c>
      <c r="J328" s="55">
        <v>486.05</v>
      </c>
      <c r="K328" s="56">
        <v>30900</v>
      </c>
      <c r="L328" s="55">
        <v>1.7</v>
      </c>
      <c r="M328" s="55">
        <v>-3.8</v>
      </c>
      <c r="N328" s="55" t="s">
        <v>576</v>
      </c>
      <c r="O328" s="55">
        <v>154740</v>
      </c>
      <c r="P328" s="55">
        <v>520620</v>
      </c>
      <c r="Q328" s="55">
        <v>1046980</v>
      </c>
      <c r="R328" s="57" t="s">
        <v>564</v>
      </c>
      <c r="S328" s="58" t="s">
        <v>566</v>
      </c>
      <c r="T328" s="51">
        <v>31396</v>
      </c>
    </row>
    <row r="329" spans="1:20" x14ac:dyDescent="0.25">
      <c r="A329" s="51" t="str">
        <f>(COUNTIF($K$2:K329,K329))&amp;K329</f>
        <v>1931000</v>
      </c>
      <c r="B329" s="52" t="s">
        <v>589</v>
      </c>
      <c r="C329" s="53" t="s">
        <v>566</v>
      </c>
      <c r="D329" s="54" t="s">
        <v>564</v>
      </c>
      <c r="E329" s="55">
        <v>74400</v>
      </c>
      <c r="F329" s="55">
        <v>103920</v>
      </c>
      <c r="G329" s="55">
        <v>15700</v>
      </c>
      <c r="H329" s="55" t="s">
        <v>574</v>
      </c>
      <c r="I329" s="55">
        <v>-159.65000000000003</v>
      </c>
      <c r="J329" s="55">
        <v>385.2</v>
      </c>
      <c r="K329" s="56">
        <v>31000</v>
      </c>
      <c r="L329" s="55">
        <v>3.4</v>
      </c>
      <c r="M329" s="55">
        <v>-4</v>
      </c>
      <c r="N329" s="55" t="s">
        <v>576</v>
      </c>
      <c r="O329" s="55">
        <v>654820</v>
      </c>
      <c r="P329" s="55">
        <v>1465420</v>
      </c>
      <c r="Q329" s="55">
        <v>2975600</v>
      </c>
      <c r="R329" s="57" t="s">
        <v>564</v>
      </c>
      <c r="S329" s="58" t="s">
        <v>566</v>
      </c>
      <c r="T329" s="51">
        <v>31396</v>
      </c>
    </row>
    <row r="330" spans="1:20" x14ac:dyDescent="0.25">
      <c r="A330" s="51" t="str">
        <f>(COUNTIF($K$2:K330,K330))&amp;K330</f>
        <v>1931100</v>
      </c>
      <c r="B330" s="52" t="s">
        <v>589</v>
      </c>
      <c r="C330" s="53" t="s">
        <v>566</v>
      </c>
      <c r="D330" s="54" t="s">
        <v>564</v>
      </c>
      <c r="E330" s="55">
        <v>58300</v>
      </c>
      <c r="F330" s="55">
        <v>41160</v>
      </c>
      <c r="G330" s="55">
        <v>10500</v>
      </c>
      <c r="H330" s="55" t="s">
        <v>574</v>
      </c>
      <c r="I330" s="55">
        <v>-151.94999999999999</v>
      </c>
      <c r="J330" s="55">
        <v>293.2</v>
      </c>
      <c r="K330" s="56">
        <v>31100</v>
      </c>
      <c r="L330" s="55">
        <v>6.75</v>
      </c>
      <c r="M330" s="55">
        <v>-3.4000000000000004</v>
      </c>
      <c r="N330" s="55" t="s">
        <v>576</v>
      </c>
      <c r="O330" s="55">
        <v>438660</v>
      </c>
      <c r="P330" s="55">
        <v>957360</v>
      </c>
      <c r="Q330" s="55">
        <v>3380560</v>
      </c>
      <c r="R330" s="57" t="s">
        <v>564</v>
      </c>
      <c r="S330" s="58" t="s">
        <v>566</v>
      </c>
      <c r="T330" s="51">
        <v>31396</v>
      </c>
    </row>
    <row r="331" spans="1:20" x14ac:dyDescent="0.25">
      <c r="A331" s="51" t="str">
        <f>(COUNTIF($K$2:K331,K331))&amp;K331</f>
        <v>1931200</v>
      </c>
      <c r="B331" s="52" t="s">
        <v>589</v>
      </c>
      <c r="C331" s="53" t="s">
        <v>566</v>
      </c>
      <c r="D331" s="54" t="s">
        <v>564</v>
      </c>
      <c r="E331" s="55">
        <v>577380</v>
      </c>
      <c r="F331" s="55">
        <v>223340</v>
      </c>
      <c r="G331" s="55">
        <v>91620</v>
      </c>
      <c r="H331" s="55" t="s">
        <v>576</v>
      </c>
      <c r="I331" s="55">
        <v>-150.89999999999998</v>
      </c>
      <c r="J331" s="55">
        <v>199.55</v>
      </c>
      <c r="K331" s="56">
        <v>31200</v>
      </c>
      <c r="L331" s="55">
        <v>17.25</v>
      </c>
      <c r="M331" s="55">
        <v>-0.14999999999999858</v>
      </c>
      <c r="N331" s="55" t="s">
        <v>576</v>
      </c>
      <c r="O331" s="55">
        <v>713160</v>
      </c>
      <c r="P331" s="55">
        <v>1239100</v>
      </c>
      <c r="Q331" s="55">
        <v>4665620</v>
      </c>
      <c r="R331" s="57" t="s">
        <v>564</v>
      </c>
      <c r="S331" s="58" t="s">
        <v>566</v>
      </c>
      <c r="T331" s="51">
        <v>31396</v>
      </c>
    </row>
    <row r="332" spans="1:20" x14ac:dyDescent="0.25">
      <c r="A332" s="51" t="str">
        <f>(COUNTIF($K$2:K332,K332))&amp;K332</f>
        <v>1931300</v>
      </c>
      <c r="B332" s="52" t="s">
        <v>589</v>
      </c>
      <c r="C332" s="53" t="s">
        <v>566</v>
      </c>
      <c r="D332" s="54" t="s">
        <v>564</v>
      </c>
      <c r="E332" s="55">
        <v>983440</v>
      </c>
      <c r="F332" s="55">
        <v>252560</v>
      </c>
      <c r="G332" s="112" t="s">
        <v>577</v>
      </c>
      <c r="H332" s="55" t="s">
        <v>576</v>
      </c>
      <c r="I332" s="55">
        <v>-143.05000000000001</v>
      </c>
      <c r="J332" s="55">
        <v>122.5</v>
      </c>
      <c r="K332" s="56">
        <v>31300</v>
      </c>
      <c r="L332" s="55">
        <v>41.5</v>
      </c>
      <c r="M332" s="55">
        <v>10.55</v>
      </c>
      <c r="N332" s="55" t="s">
        <v>576</v>
      </c>
      <c r="O332" s="55">
        <v>499740</v>
      </c>
      <c r="P332" s="55">
        <v>1150240</v>
      </c>
      <c r="Q332" s="55">
        <v>5519700</v>
      </c>
      <c r="R332" s="57" t="s">
        <v>564</v>
      </c>
      <c r="S332" s="58" t="s">
        <v>565</v>
      </c>
      <c r="T332" s="51">
        <v>31396</v>
      </c>
    </row>
    <row r="333" spans="1:20" ht="15.75" x14ac:dyDescent="0.25">
      <c r="A333" s="51" t="str">
        <f>(COUNTIF($K$2:K333,K333))&amp;K333</f>
        <v>1931400</v>
      </c>
      <c r="B333" s="52" t="s">
        <v>589</v>
      </c>
      <c r="C333" s="53" t="s">
        <v>566</v>
      </c>
      <c r="D333" s="54" t="s">
        <v>564</v>
      </c>
      <c r="E333" s="55">
        <v>3220520</v>
      </c>
      <c r="F333" s="55">
        <v>775600</v>
      </c>
      <c r="G333" s="55">
        <v>591300</v>
      </c>
      <c r="H333" s="55" t="s">
        <v>576</v>
      </c>
      <c r="I333" s="55">
        <v>-123</v>
      </c>
      <c r="J333" s="55">
        <v>66</v>
      </c>
      <c r="K333" s="59">
        <v>31400</v>
      </c>
      <c r="L333" s="55">
        <v>85.85</v>
      </c>
      <c r="M333" s="55">
        <v>31.899999999999991</v>
      </c>
      <c r="N333" s="55" t="s">
        <v>576</v>
      </c>
      <c r="O333" s="55">
        <v>334120</v>
      </c>
      <c r="P333" s="55">
        <v>890340</v>
      </c>
      <c r="Q333" s="55">
        <v>4722580</v>
      </c>
      <c r="R333" s="57" t="s">
        <v>564</v>
      </c>
      <c r="S333" s="58" t="s">
        <v>565</v>
      </c>
      <c r="T333" s="51">
        <v>31396</v>
      </c>
    </row>
    <row r="334" spans="1:20" x14ac:dyDescent="0.25">
      <c r="A334" s="51" t="str">
        <f>(COUNTIF($K$2:K334,K334))&amp;K334</f>
        <v>1931500</v>
      </c>
      <c r="B334" s="52" t="s">
        <v>589</v>
      </c>
      <c r="C334" s="53" t="s">
        <v>566</v>
      </c>
      <c r="D334" s="54" t="s">
        <v>564</v>
      </c>
      <c r="E334" s="55">
        <v>6350860</v>
      </c>
      <c r="F334" s="55">
        <v>2077080</v>
      </c>
      <c r="G334" s="55">
        <v>1298540</v>
      </c>
      <c r="H334" s="55" t="s">
        <v>576</v>
      </c>
      <c r="I334" s="55">
        <v>-95.65</v>
      </c>
      <c r="J334" s="55">
        <v>30.8</v>
      </c>
      <c r="K334" s="56">
        <v>31500</v>
      </c>
      <c r="L334" s="55">
        <v>149.69999999999999</v>
      </c>
      <c r="M334" s="55">
        <v>59.549999999999983</v>
      </c>
      <c r="N334" s="55" t="s">
        <v>576</v>
      </c>
      <c r="O334" s="55">
        <v>65520</v>
      </c>
      <c r="P334" s="55">
        <v>696000</v>
      </c>
      <c r="Q334" s="55">
        <v>3106620</v>
      </c>
      <c r="R334" s="57" t="s">
        <v>564</v>
      </c>
      <c r="S334" s="58" t="s">
        <v>565</v>
      </c>
      <c r="T334" s="51">
        <v>31396</v>
      </c>
    </row>
    <row r="335" spans="1:20" x14ac:dyDescent="0.25">
      <c r="A335" s="51" t="str">
        <f>(COUNTIF($K$2:K335,K335))&amp;K335</f>
        <v>1931600</v>
      </c>
      <c r="B335" s="52" t="s">
        <v>589</v>
      </c>
      <c r="C335" s="53" t="s">
        <v>566</v>
      </c>
      <c r="D335" s="54" t="s">
        <v>564</v>
      </c>
      <c r="E335" s="55">
        <v>5392640</v>
      </c>
      <c r="F335" s="55">
        <v>1479040</v>
      </c>
      <c r="G335" s="55">
        <v>859380</v>
      </c>
      <c r="H335" s="55" t="s">
        <v>576</v>
      </c>
      <c r="I335" s="55">
        <v>-66.400000000000006</v>
      </c>
      <c r="J335" s="55">
        <v>12.05</v>
      </c>
      <c r="K335" s="56">
        <v>31600</v>
      </c>
      <c r="L335" s="55">
        <v>230.5</v>
      </c>
      <c r="M335" s="55">
        <v>88.4</v>
      </c>
      <c r="N335" s="55" t="s">
        <v>576</v>
      </c>
      <c r="O335" s="55">
        <v>61360</v>
      </c>
      <c r="P335" s="55">
        <v>155600</v>
      </c>
      <c r="Q335" s="55">
        <v>960180</v>
      </c>
      <c r="R335" s="57" t="s">
        <v>564</v>
      </c>
      <c r="S335" s="58" t="s">
        <v>565</v>
      </c>
      <c r="T335" s="51">
        <v>31396</v>
      </c>
    </row>
    <row r="336" spans="1:20" x14ac:dyDescent="0.25">
      <c r="A336" s="51" t="str">
        <f>(COUNTIF($K$2:K336,K336))&amp;K336</f>
        <v>1931700</v>
      </c>
      <c r="B336" s="52" t="s">
        <v>589</v>
      </c>
      <c r="C336" s="53" t="s">
        <v>566</v>
      </c>
      <c r="D336" s="54" t="s">
        <v>564</v>
      </c>
      <c r="E336" s="55">
        <v>4999780</v>
      </c>
      <c r="F336" s="55">
        <v>1219080</v>
      </c>
      <c r="G336" s="55">
        <v>583820</v>
      </c>
      <c r="H336" s="55" t="s">
        <v>576</v>
      </c>
      <c r="I336" s="55">
        <v>-39.450000000000003</v>
      </c>
      <c r="J336" s="55">
        <v>5</v>
      </c>
      <c r="K336" s="56">
        <v>31700</v>
      </c>
      <c r="L336" s="55">
        <v>323.60000000000002</v>
      </c>
      <c r="M336" s="55">
        <v>114.20000000000002</v>
      </c>
      <c r="N336" s="55" t="s">
        <v>576</v>
      </c>
      <c r="O336" s="55">
        <v>6400</v>
      </c>
      <c r="P336" s="55">
        <v>56160</v>
      </c>
      <c r="Q336" s="55">
        <v>446100</v>
      </c>
      <c r="R336" s="57" t="s">
        <v>564</v>
      </c>
      <c r="S336" s="58" t="s">
        <v>565</v>
      </c>
      <c r="T336" s="51">
        <v>31396</v>
      </c>
    </row>
    <row r="337" spans="1:20" x14ac:dyDescent="0.25">
      <c r="A337" s="51" t="str">
        <f>(COUNTIF($K$2:K337,K337))&amp;K337</f>
        <v>1931800</v>
      </c>
      <c r="B337" s="52" t="s">
        <v>589</v>
      </c>
      <c r="C337" s="53" t="s">
        <v>566</v>
      </c>
      <c r="D337" s="54" t="s">
        <v>564</v>
      </c>
      <c r="E337" s="55">
        <v>3510860</v>
      </c>
      <c r="F337" s="55">
        <v>972260</v>
      </c>
      <c r="G337" s="55">
        <v>386880</v>
      </c>
      <c r="H337" s="55" t="s">
        <v>576</v>
      </c>
      <c r="I337" s="55">
        <v>-21.35</v>
      </c>
      <c r="J337" s="55">
        <v>2.15</v>
      </c>
      <c r="K337" s="56">
        <v>31800</v>
      </c>
      <c r="L337" s="55">
        <v>420</v>
      </c>
      <c r="M337" s="55">
        <v>134.64999999999998</v>
      </c>
      <c r="N337" s="55" t="s">
        <v>576</v>
      </c>
      <c r="O337" s="55">
        <v>11240</v>
      </c>
      <c r="P337" s="55">
        <v>26220</v>
      </c>
      <c r="Q337" s="55">
        <v>169860</v>
      </c>
      <c r="R337" s="57" t="s">
        <v>564</v>
      </c>
      <c r="S337" s="58" t="s">
        <v>565</v>
      </c>
      <c r="T337" s="51">
        <v>31396</v>
      </c>
    </row>
    <row r="338" spans="1:20" x14ac:dyDescent="0.25">
      <c r="A338" s="51" t="str">
        <f>(COUNTIF($K$2:K338,K338))&amp;K338</f>
        <v>1931900</v>
      </c>
      <c r="B338" s="52" t="s">
        <v>589</v>
      </c>
      <c r="C338" s="53" t="s">
        <v>562</v>
      </c>
      <c r="D338" s="54" t="s">
        <v>563</v>
      </c>
      <c r="E338" s="55">
        <v>2360520</v>
      </c>
      <c r="F338" s="55">
        <v>500080</v>
      </c>
      <c r="G338" s="55">
        <v>-11720</v>
      </c>
      <c r="H338" s="55" t="s">
        <v>576</v>
      </c>
      <c r="I338" s="55">
        <v>-9.9499999999999993</v>
      </c>
      <c r="J338" s="55">
        <v>1.1499999999999999</v>
      </c>
      <c r="K338" s="56">
        <v>31900</v>
      </c>
      <c r="L338" s="55">
        <v>520</v>
      </c>
      <c r="M338" s="55">
        <v>143.30000000000001</v>
      </c>
      <c r="N338" s="55" t="s">
        <v>576</v>
      </c>
      <c r="O338" s="55">
        <v>1600</v>
      </c>
      <c r="P338" s="55">
        <v>7140</v>
      </c>
      <c r="Q338" s="55">
        <v>28880</v>
      </c>
      <c r="R338" s="57" t="s">
        <v>564</v>
      </c>
      <c r="S338" s="58" t="s">
        <v>565</v>
      </c>
      <c r="T338" s="51">
        <v>31396</v>
      </c>
    </row>
    <row r="339" spans="1:20" x14ac:dyDescent="0.25">
      <c r="A339" s="51" t="str">
        <f>(COUNTIF($K$2:K339,K339))&amp;K339</f>
        <v>1932000</v>
      </c>
      <c r="B339" s="52" t="s">
        <v>589</v>
      </c>
      <c r="C339" s="53" t="s">
        <v>566</v>
      </c>
      <c r="D339" s="54" t="s">
        <v>564</v>
      </c>
      <c r="E339" s="55">
        <v>2654000</v>
      </c>
      <c r="F339" s="55">
        <v>775580</v>
      </c>
      <c r="G339" s="55">
        <v>163920</v>
      </c>
      <c r="H339" s="55" t="s">
        <v>576</v>
      </c>
      <c r="I339" s="55">
        <v>-5.15</v>
      </c>
      <c r="J339" s="55">
        <v>0.85</v>
      </c>
      <c r="K339" s="56">
        <v>32000</v>
      </c>
      <c r="L339" s="55">
        <v>617.04999999999995</v>
      </c>
      <c r="M339" s="55">
        <v>146.54999999999995</v>
      </c>
      <c r="N339" s="55" t="s">
        <v>576</v>
      </c>
      <c r="O339" s="55">
        <v>480</v>
      </c>
      <c r="P339" s="55">
        <v>12600</v>
      </c>
      <c r="Q339" s="55">
        <v>18560</v>
      </c>
      <c r="R339" s="57" t="s">
        <v>564</v>
      </c>
      <c r="S339" s="58" t="s">
        <v>565</v>
      </c>
      <c r="T339" s="51">
        <v>31396</v>
      </c>
    </row>
    <row r="340" spans="1:20" x14ac:dyDescent="0.25">
      <c r="A340" s="51" t="str">
        <f>(COUNTIF($K$2:K340,K340))&amp;K340</f>
        <v>1932100</v>
      </c>
      <c r="B340" s="52" t="s">
        <v>589</v>
      </c>
      <c r="C340" s="53" t="s">
        <v>562</v>
      </c>
      <c r="D340" s="54" t="s">
        <v>563</v>
      </c>
      <c r="E340" s="55">
        <v>441080</v>
      </c>
      <c r="F340" s="55">
        <v>149580</v>
      </c>
      <c r="G340" s="55">
        <v>-900</v>
      </c>
      <c r="H340" s="55" t="s">
        <v>576</v>
      </c>
      <c r="I340" s="55">
        <v>-2.5</v>
      </c>
      <c r="J340" s="55">
        <v>0.65</v>
      </c>
      <c r="K340" s="56">
        <v>32100</v>
      </c>
      <c r="L340" s="55">
        <v>714</v>
      </c>
      <c r="M340" s="55">
        <v>139</v>
      </c>
      <c r="N340" s="55" t="s">
        <v>576</v>
      </c>
      <c r="O340" s="55">
        <v>40</v>
      </c>
      <c r="P340" s="55">
        <v>280</v>
      </c>
      <c r="Q340" s="55">
        <v>160</v>
      </c>
      <c r="R340" s="57" t="s">
        <v>564</v>
      </c>
      <c r="S340" s="58" t="s">
        <v>565</v>
      </c>
      <c r="T340" s="51">
        <v>31396</v>
      </c>
    </row>
    <row r="341" spans="1:20" x14ac:dyDescent="0.25">
      <c r="A341" s="51" t="str">
        <f>(COUNTIF($K$2:K341,K341))&amp;K341</f>
        <v>20PCR</v>
      </c>
      <c r="B341" s="52" t="s">
        <v>589</v>
      </c>
      <c r="C341" s="60">
        <v>0.92651970452515631</v>
      </c>
      <c r="E341" s="61"/>
      <c r="F341" s="62">
        <v>8599040</v>
      </c>
      <c r="G341" s="63"/>
      <c r="H341" s="64"/>
      <c r="I341" s="64"/>
      <c r="J341" s="64"/>
      <c r="K341" s="65" t="s">
        <v>555</v>
      </c>
      <c r="L341" s="64"/>
      <c r="M341" s="64"/>
      <c r="N341" s="64"/>
      <c r="P341" s="63">
        <v>7967180</v>
      </c>
      <c r="Q341" s="61"/>
      <c r="R341" s="64"/>
      <c r="S341" s="64"/>
    </row>
    <row r="342" spans="1:20" x14ac:dyDescent="0.25">
      <c r="A342" s="51" t="str">
        <f>(COUNTIF($K$2:K342,K342))&amp;K342</f>
        <v>1130600</v>
      </c>
      <c r="B342" s="52" t="s">
        <v>590</v>
      </c>
      <c r="C342" s="53" t="s">
        <v>562</v>
      </c>
      <c r="D342" s="54" t="s">
        <v>563</v>
      </c>
      <c r="E342" s="55">
        <v>840</v>
      </c>
      <c r="F342" s="55">
        <v>4200</v>
      </c>
      <c r="G342" s="55">
        <v>-340</v>
      </c>
      <c r="H342" s="55" t="s">
        <v>574</v>
      </c>
      <c r="I342" s="55">
        <v>-144.55000000000007</v>
      </c>
      <c r="J342" s="55">
        <v>788.15</v>
      </c>
      <c r="K342" s="56">
        <v>30600</v>
      </c>
      <c r="L342" s="55">
        <v>0.6</v>
      </c>
      <c r="M342" s="55">
        <v>-2.4</v>
      </c>
      <c r="N342" s="55" t="s">
        <v>576</v>
      </c>
      <c r="O342" s="55">
        <v>700</v>
      </c>
      <c r="P342" s="55">
        <v>199940</v>
      </c>
      <c r="Q342" s="55">
        <v>121160</v>
      </c>
      <c r="R342" s="57" t="s">
        <v>564</v>
      </c>
      <c r="S342" s="58" t="s">
        <v>566</v>
      </c>
      <c r="T342" s="51">
        <v>31400.05</v>
      </c>
    </row>
    <row r="343" spans="1:20" x14ac:dyDescent="0.25">
      <c r="A343" s="51" t="str">
        <f>(COUNTIF($K$2:K343,K343))&amp;K343</f>
        <v>2030700</v>
      </c>
      <c r="B343" s="52" t="s">
        <v>590</v>
      </c>
      <c r="C343" s="53" t="s">
        <v>566</v>
      </c>
      <c r="D343" s="54" t="s">
        <v>564</v>
      </c>
      <c r="E343" s="55">
        <v>1340</v>
      </c>
      <c r="F343" s="55">
        <v>11900</v>
      </c>
      <c r="G343" s="55">
        <v>80</v>
      </c>
      <c r="H343" s="55" t="s">
        <v>574</v>
      </c>
      <c r="I343" s="55">
        <v>-144</v>
      </c>
      <c r="J343" s="55">
        <v>692</v>
      </c>
      <c r="K343" s="56">
        <v>30700</v>
      </c>
      <c r="L343" s="55">
        <v>0.8</v>
      </c>
      <c r="M343" s="55">
        <v>-2.8</v>
      </c>
      <c r="N343" s="55" t="s">
        <v>576</v>
      </c>
      <c r="O343" s="55">
        <v>26560</v>
      </c>
      <c r="P343" s="55">
        <v>216760</v>
      </c>
      <c r="Q343" s="55">
        <v>258900</v>
      </c>
      <c r="R343" s="57" t="s">
        <v>564</v>
      </c>
      <c r="S343" s="58" t="s">
        <v>566</v>
      </c>
      <c r="T343" s="51">
        <v>31400.05</v>
      </c>
    </row>
    <row r="344" spans="1:20" x14ac:dyDescent="0.25">
      <c r="A344" s="51" t="str">
        <f>(COUNTIF($K$2:K344,K344))&amp;K344</f>
        <v>2030800</v>
      </c>
      <c r="B344" s="52" t="s">
        <v>590</v>
      </c>
      <c r="C344" s="53" t="s">
        <v>562</v>
      </c>
      <c r="D344" s="54" t="s">
        <v>563</v>
      </c>
      <c r="E344" s="55">
        <v>1280</v>
      </c>
      <c r="F344" s="55">
        <v>7280</v>
      </c>
      <c r="G344" s="55">
        <v>-220</v>
      </c>
      <c r="H344" s="55" t="s">
        <v>574</v>
      </c>
      <c r="I344" s="55">
        <v>-145.39999999999998</v>
      </c>
      <c r="J344" s="55">
        <v>590.20000000000005</v>
      </c>
      <c r="K344" s="56">
        <v>30800</v>
      </c>
      <c r="L344" s="55">
        <v>1.1000000000000001</v>
      </c>
      <c r="M344" s="55">
        <v>-2.9999999999999996</v>
      </c>
      <c r="N344" s="55" t="s">
        <v>576</v>
      </c>
      <c r="O344" s="55">
        <v>8380</v>
      </c>
      <c r="P344" s="55">
        <v>375780</v>
      </c>
      <c r="Q344" s="55">
        <v>570140</v>
      </c>
      <c r="R344" s="57" t="s">
        <v>564</v>
      </c>
      <c r="S344" s="58" t="s">
        <v>566</v>
      </c>
      <c r="T344" s="51">
        <v>31400.05</v>
      </c>
    </row>
    <row r="345" spans="1:20" x14ac:dyDescent="0.25">
      <c r="A345" s="51" t="str">
        <f>(COUNTIF($K$2:K345,K345))&amp;K345</f>
        <v>2030900</v>
      </c>
      <c r="B345" s="52" t="s">
        <v>590</v>
      </c>
      <c r="C345" s="53" t="s">
        <v>566</v>
      </c>
      <c r="D345" s="54" t="s">
        <v>564</v>
      </c>
      <c r="E345" s="55">
        <v>2860</v>
      </c>
      <c r="F345" s="55">
        <v>6360</v>
      </c>
      <c r="G345" s="55">
        <v>120</v>
      </c>
      <c r="H345" s="55" t="s">
        <v>574</v>
      </c>
      <c r="I345" s="55">
        <v>-138.74999999999994</v>
      </c>
      <c r="J345" s="55">
        <v>494.8</v>
      </c>
      <c r="K345" s="56">
        <v>30900</v>
      </c>
      <c r="L345" s="55">
        <v>1.95</v>
      </c>
      <c r="M345" s="55">
        <v>-3.55</v>
      </c>
      <c r="N345" s="55" t="s">
        <v>576</v>
      </c>
      <c r="O345" s="55">
        <v>161820</v>
      </c>
      <c r="P345" s="55">
        <v>527700</v>
      </c>
      <c r="Q345" s="55">
        <v>1130440</v>
      </c>
      <c r="R345" s="57" t="s">
        <v>564</v>
      </c>
      <c r="S345" s="58" t="s">
        <v>566</v>
      </c>
      <c r="T345" s="51">
        <v>31400.05</v>
      </c>
    </row>
    <row r="346" spans="1:20" x14ac:dyDescent="0.25">
      <c r="A346" s="51" t="str">
        <f>(COUNTIF($K$2:K346,K346))&amp;K346</f>
        <v>2031000</v>
      </c>
      <c r="B346" s="52" t="s">
        <v>590</v>
      </c>
      <c r="C346" s="53" t="s">
        <v>566</v>
      </c>
      <c r="D346" s="54" t="s">
        <v>564</v>
      </c>
      <c r="E346" s="55">
        <v>77940</v>
      </c>
      <c r="F346" s="55">
        <v>106360</v>
      </c>
      <c r="G346" s="55">
        <v>18140</v>
      </c>
      <c r="H346" s="55" t="s">
        <v>574</v>
      </c>
      <c r="I346" s="55">
        <v>-157</v>
      </c>
      <c r="J346" s="55">
        <v>387.85</v>
      </c>
      <c r="K346" s="56">
        <v>31000</v>
      </c>
      <c r="L346" s="55">
        <v>3.75</v>
      </c>
      <c r="M346" s="55">
        <v>-3.6500000000000004</v>
      </c>
      <c r="N346" s="55" t="s">
        <v>576</v>
      </c>
      <c r="O346" s="55">
        <v>681200</v>
      </c>
      <c r="P346" s="55">
        <v>1491800</v>
      </c>
      <c r="Q346" s="55">
        <v>3152900</v>
      </c>
      <c r="R346" s="57" t="s">
        <v>564</v>
      </c>
      <c r="S346" s="58" t="s">
        <v>566</v>
      </c>
      <c r="T346" s="51">
        <v>31400.05</v>
      </c>
    </row>
    <row r="347" spans="1:20" x14ac:dyDescent="0.25">
      <c r="A347" s="51" t="str">
        <f>(COUNTIF($K$2:K347,K347))&amp;K347</f>
        <v>2031100</v>
      </c>
      <c r="B347" s="52" t="s">
        <v>590</v>
      </c>
      <c r="C347" s="53" t="s">
        <v>566</v>
      </c>
      <c r="D347" s="54" t="s">
        <v>564</v>
      </c>
      <c r="E347" s="55">
        <v>64200</v>
      </c>
      <c r="F347" s="55">
        <v>42260</v>
      </c>
      <c r="G347" s="55">
        <v>11600</v>
      </c>
      <c r="H347" s="55" t="s">
        <v>574</v>
      </c>
      <c r="I347" s="55">
        <v>-153.19999999999999</v>
      </c>
      <c r="J347" s="55">
        <v>291.95</v>
      </c>
      <c r="K347" s="56">
        <v>31100</v>
      </c>
      <c r="L347" s="55">
        <v>7.4</v>
      </c>
      <c r="M347" s="55">
        <v>-2.75</v>
      </c>
      <c r="N347" s="55" t="s">
        <v>576</v>
      </c>
      <c r="O347" s="55">
        <v>449160</v>
      </c>
      <c r="P347" s="55">
        <v>967860</v>
      </c>
      <c r="Q347" s="55">
        <v>3601000</v>
      </c>
      <c r="R347" s="57" t="s">
        <v>564</v>
      </c>
      <c r="S347" s="58" t="s">
        <v>566</v>
      </c>
      <c r="T347" s="51">
        <v>31400.05</v>
      </c>
    </row>
    <row r="348" spans="1:20" x14ac:dyDescent="0.25">
      <c r="A348" s="51" t="str">
        <f>(COUNTIF($K$2:K348,K348))&amp;K348</f>
        <v>2031200</v>
      </c>
      <c r="B348" s="52" t="s">
        <v>590</v>
      </c>
      <c r="C348" s="53" t="s">
        <v>566</v>
      </c>
      <c r="D348" s="54" t="s">
        <v>564</v>
      </c>
      <c r="E348" s="55">
        <v>629700</v>
      </c>
      <c r="F348" s="55">
        <v>229860</v>
      </c>
      <c r="G348" s="55">
        <v>98140</v>
      </c>
      <c r="H348" s="55" t="s">
        <v>576</v>
      </c>
      <c r="I348" s="55">
        <v>-148.85</v>
      </c>
      <c r="J348" s="55">
        <v>201.6</v>
      </c>
      <c r="K348" s="56">
        <v>31200</v>
      </c>
      <c r="L348" s="55">
        <v>17.399999999999999</v>
      </c>
      <c r="M348" s="55">
        <v>0</v>
      </c>
      <c r="N348" s="55" t="s">
        <v>576</v>
      </c>
      <c r="O348" s="55">
        <v>763080</v>
      </c>
      <c r="P348" s="55">
        <v>1289020</v>
      </c>
      <c r="Q348" s="55">
        <v>5036080</v>
      </c>
      <c r="R348" s="57" t="s">
        <v>564</v>
      </c>
      <c r="S348" s="58" t="b">
        <v>0</v>
      </c>
      <c r="T348" s="51">
        <v>31400.05</v>
      </c>
    </row>
    <row r="349" spans="1:20" x14ac:dyDescent="0.25">
      <c r="A349" s="51" t="str">
        <f>(COUNTIF($K$2:K349,K349))&amp;K349</f>
        <v>2031300</v>
      </c>
      <c r="B349" s="52" t="s">
        <v>590</v>
      </c>
      <c r="C349" s="53" t="s">
        <v>566</v>
      </c>
      <c r="D349" s="54" t="s">
        <v>564</v>
      </c>
      <c r="E349" s="55">
        <v>1092260</v>
      </c>
      <c r="F349" s="55">
        <v>254780</v>
      </c>
      <c r="G349" s="112" t="s">
        <v>577</v>
      </c>
      <c r="H349" s="55" t="s">
        <v>576</v>
      </c>
      <c r="I349" s="55">
        <v>-140.15</v>
      </c>
      <c r="J349" s="55">
        <v>125.4</v>
      </c>
      <c r="K349" s="56">
        <v>31300</v>
      </c>
      <c r="L349" s="55">
        <v>40.700000000000003</v>
      </c>
      <c r="M349" s="55">
        <v>9.7500000000000036</v>
      </c>
      <c r="N349" s="55" t="s">
        <v>576</v>
      </c>
      <c r="O349" s="55">
        <v>507860</v>
      </c>
      <c r="P349" s="55">
        <v>1158360</v>
      </c>
      <c r="Q349" s="55">
        <v>5898500</v>
      </c>
      <c r="R349" s="57" t="s">
        <v>564</v>
      </c>
      <c r="S349" s="58" t="s">
        <v>565</v>
      </c>
      <c r="T349" s="51">
        <v>31400.05</v>
      </c>
    </row>
    <row r="350" spans="1:20" ht="15.75" x14ac:dyDescent="0.25">
      <c r="A350" s="51" t="str">
        <f>(COUNTIF($K$2:K350,K350))&amp;K350</f>
        <v>2031400</v>
      </c>
      <c r="B350" s="52" t="s">
        <v>590</v>
      </c>
      <c r="C350" s="53" t="s">
        <v>566</v>
      </c>
      <c r="D350" s="54" t="s">
        <v>564</v>
      </c>
      <c r="E350" s="55">
        <v>3569300</v>
      </c>
      <c r="F350" s="55">
        <v>826360</v>
      </c>
      <c r="G350" s="55">
        <v>642060</v>
      </c>
      <c r="H350" s="55" t="s">
        <v>576</v>
      </c>
      <c r="I350" s="55">
        <v>-121.5</v>
      </c>
      <c r="J350" s="55">
        <v>67.5</v>
      </c>
      <c r="K350" s="59">
        <v>31400</v>
      </c>
      <c r="L350" s="55">
        <v>83.5</v>
      </c>
      <c r="M350" s="55">
        <v>29.549999999999997</v>
      </c>
      <c r="N350" s="55" t="s">
        <v>576</v>
      </c>
      <c r="O350" s="55">
        <v>352660</v>
      </c>
      <c r="P350" s="55">
        <v>908880</v>
      </c>
      <c r="Q350" s="55">
        <v>5086260</v>
      </c>
      <c r="R350" s="57" t="s">
        <v>564</v>
      </c>
      <c r="S350" s="58" t="s">
        <v>565</v>
      </c>
      <c r="T350" s="51">
        <v>31400.05</v>
      </c>
    </row>
    <row r="351" spans="1:20" x14ac:dyDescent="0.25">
      <c r="A351" s="51" t="str">
        <f>(COUNTIF($K$2:K351,K351))&amp;K351</f>
        <v>2031500</v>
      </c>
      <c r="B351" s="52" t="s">
        <v>590</v>
      </c>
      <c r="C351" s="53" t="s">
        <v>566</v>
      </c>
      <c r="D351" s="54" t="s">
        <v>564</v>
      </c>
      <c r="E351" s="55">
        <v>6888300</v>
      </c>
      <c r="F351" s="55">
        <v>2122180</v>
      </c>
      <c r="G351" s="55">
        <v>1343640</v>
      </c>
      <c r="H351" s="55" t="s">
        <v>576</v>
      </c>
      <c r="I351" s="55">
        <v>-95.25</v>
      </c>
      <c r="J351" s="55">
        <v>31.2</v>
      </c>
      <c r="K351" s="56">
        <v>31500</v>
      </c>
      <c r="L351" s="55">
        <v>146.94999999999999</v>
      </c>
      <c r="M351" s="55">
        <v>56.799999999999983</v>
      </c>
      <c r="N351" s="55" t="s">
        <v>576</v>
      </c>
      <c r="O351" s="55">
        <v>51700</v>
      </c>
      <c r="P351" s="55">
        <v>682180</v>
      </c>
      <c r="Q351" s="55">
        <v>3292400</v>
      </c>
      <c r="R351" s="57" t="s">
        <v>564</v>
      </c>
      <c r="S351" s="58" t="s">
        <v>565</v>
      </c>
      <c r="T351" s="51">
        <v>31400.05</v>
      </c>
    </row>
    <row r="352" spans="1:20" x14ac:dyDescent="0.25">
      <c r="A352" s="51" t="str">
        <f>(COUNTIF($K$2:K352,K352))&amp;K352</f>
        <v>2031600</v>
      </c>
      <c r="B352" s="52" t="s">
        <v>590</v>
      </c>
      <c r="C352" s="53" t="s">
        <v>566</v>
      </c>
      <c r="D352" s="54" t="s">
        <v>564</v>
      </c>
      <c r="E352" s="55">
        <v>6012580</v>
      </c>
      <c r="F352" s="55">
        <v>1525180</v>
      </c>
      <c r="G352" s="55">
        <v>905520</v>
      </c>
      <c r="H352" s="55" t="s">
        <v>576</v>
      </c>
      <c r="I352" s="55">
        <v>-66.75</v>
      </c>
      <c r="J352" s="55">
        <v>11.7</v>
      </c>
      <c r="K352" s="56">
        <v>31600</v>
      </c>
      <c r="L352" s="55">
        <v>228.2</v>
      </c>
      <c r="M352" s="55">
        <v>86.1</v>
      </c>
      <c r="N352" s="55" t="s">
        <v>576</v>
      </c>
      <c r="O352" s="55">
        <v>49360</v>
      </c>
      <c r="P352" s="55">
        <v>143600</v>
      </c>
      <c r="Q352" s="55">
        <v>1005160</v>
      </c>
      <c r="R352" s="57" t="s">
        <v>564</v>
      </c>
      <c r="S352" s="58" t="s">
        <v>565</v>
      </c>
      <c r="T352" s="51">
        <v>31400.05</v>
      </c>
    </row>
    <row r="353" spans="1:20" x14ac:dyDescent="0.25">
      <c r="A353" s="51" t="str">
        <f>(COUNTIF($K$2:K353,K353))&amp;K353</f>
        <v>2031700</v>
      </c>
      <c r="B353" s="52" t="s">
        <v>590</v>
      </c>
      <c r="C353" s="53" t="s">
        <v>566</v>
      </c>
      <c r="D353" s="54" t="s">
        <v>564</v>
      </c>
      <c r="E353" s="55">
        <v>5457780</v>
      </c>
      <c r="F353" s="55">
        <v>1260680</v>
      </c>
      <c r="G353" s="55">
        <v>625420</v>
      </c>
      <c r="H353" s="55" t="s">
        <v>576</v>
      </c>
      <c r="I353" s="55">
        <v>-39.900000000000006</v>
      </c>
      <c r="J353" s="55">
        <v>4.55</v>
      </c>
      <c r="K353" s="56">
        <v>31700</v>
      </c>
      <c r="L353" s="55">
        <v>319.60000000000002</v>
      </c>
      <c r="M353" s="55">
        <v>110.20000000000002</v>
      </c>
      <c r="N353" s="55" t="s">
        <v>576</v>
      </c>
      <c r="O353" s="55">
        <v>6440</v>
      </c>
      <c r="P353" s="55">
        <v>56200</v>
      </c>
      <c r="Q353" s="55">
        <v>461160</v>
      </c>
      <c r="R353" s="57" t="s">
        <v>564</v>
      </c>
      <c r="S353" s="58" t="s">
        <v>565</v>
      </c>
      <c r="T353" s="51">
        <v>31400.05</v>
      </c>
    </row>
    <row r="354" spans="1:20" x14ac:dyDescent="0.25">
      <c r="A354" s="51" t="str">
        <f>(COUNTIF($K$2:K354,K354))&amp;K354</f>
        <v>2031800</v>
      </c>
      <c r="B354" s="52" t="s">
        <v>590</v>
      </c>
      <c r="C354" s="53" t="s">
        <v>566</v>
      </c>
      <c r="D354" s="54" t="s">
        <v>564</v>
      </c>
      <c r="E354" s="55">
        <v>3819120</v>
      </c>
      <c r="F354" s="55">
        <v>976620</v>
      </c>
      <c r="G354" s="55">
        <v>391240</v>
      </c>
      <c r="H354" s="55" t="s">
        <v>576</v>
      </c>
      <c r="I354" s="55">
        <v>-21.85</v>
      </c>
      <c r="J354" s="55">
        <v>1.65</v>
      </c>
      <c r="K354" s="56">
        <v>31800</v>
      </c>
      <c r="L354" s="55">
        <v>417.65</v>
      </c>
      <c r="M354" s="55">
        <v>132.29999999999995</v>
      </c>
      <c r="N354" s="55" t="s">
        <v>576</v>
      </c>
      <c r="O354" s="55">
        <v>10400</v>
      </c>
      <c r="P354" s="55">
        <v>25380</v>
      </c>
      <c r="Q354" s="55">
        <v>177960</v>
      </c>
      <c r="R354" s="57" t="s">
        <v>564</v>
      </c>
      <c r="S354" s="58" t="s">
        <v>565</v>
      </c>
      <c r="T354" s="51">
        <v>31400.05</v>
      </c>
    </row>
    <row r="355" spans="1:20" x14ac:dyDescent="0.25">
      <c r="A355" s="51" t="str">
        <f>(COUNTIF($K$2:K355,K355))&amp;K355</f>
        <v>2031900</v>
      </c>
      <c r="B355" s="52" t="s">
        <v>590</v>
      </c>
      <c r="C355" s="53" t="s">
        <v>562</v>
      </c>
      <c r="D355" s="54" t="s">
        <v>563</v>
      </c>
      <c r="E355" s="55">
        <v>2495020</v>
      </c>
      <c r="F355" s="55">
        <v>493100</v>
      </c>
      <c r="G355" s="55">
        <v>-18700</v>
      </c>
      <c r="H355" s="55" t="s">
        <v>576</v>
      </c>
      <c r="I355" s="55">
        <v>-10.15</v>
      </c>
      <c r="J355" s="55">
        <v>0.95</v>
      </c>
      <c r="K355" s="56">
        <v>31900</v>
      </c>
      <c r="L355" s="55">
        <v>515</v>
      </c>
      <c r="M355" s="55">
        <v>138.30000000000001</v>
      </c>
      <c r="N355" s="55" t="s">
        <v>576</v>
      </c>
      <c r="O355" s="55">
        <v>1660</v>
      </c>
      <c r="P355" s="55">
        <v>7200</v>
      </c>
      <c r="Q355" s="55">
        <v>30320</v>
      </c>
      <c r="R355" s="57" t="s">
        <v>564</v>
      </c>
      <c r="S355" s="58" t="s">
        <v>565</v>
      </c>
      <c r="T355" s="51">
        <v>31400.05</v>
      </c>
    </row>
    <row r="356" spans="1:20" x14ac:dyDescent="0.25">
      <c r="A356" s="51" t="str">
        <f>(COUNTIF($K$2:K356,K356))&amp;K356</f>
        <v>2032000</v>
      </c>
      <c r="B356" s="52" t="s">
        <v>590</v>
      </c>
      <c r="C356" s="53" t="s">
        <v>566</v>
      </c>
      <c r="D356" s="54" t="s">
        <v>564</v>
      </c>
      <c r="E356" s="55">
        <v>2842620</v>
      </c>
      <c r="F356" s="55">
        <v>782140</v>
      </c>
      <c r="G356" s="55">
        <v>170480</v>
      </c>
      <c r="H356" s="55" t="s">
        <v>576</v>
      </c>
      <c r="I356" s="55">
        <v>-5.15</v>
      </c>
      <c r="J356" s="55">
        <v>0.85</v>
      </c>
      <c r="K356" s="56">
        <v>32000</v>
      </c>
      <c r="L356" s="55">
        <v>615</v>
      </c>
      <c r="M356" s="55">
        <v>144.5</v>
      </c>
      <c r="N356" s="55" t="s">
        <v>576</v>
      </c>
      <c r="O356" s="55">
        <v>220</v>
      </c>
      <c r="P356" s="55">
        <v>12340</v>
      </c>
      <c r="Q356" s="55">
        <v>19080</v>
      </c>
      <c r="R356" s="57" t="s">
        <v>564</v>
      </c>
      <c r="S356" s="58" t="s">
        <v>565</v>
      </c>
      <c r="T356" s="51">
        <v>31400.05</v>
      </c>
    </row>
    <row r="357" spans="1:20" x14ac:dyDescent="0.25">
      <c r="A357" s="51" t="str">
        <f>(COUNTIF($K$2:K357,K357))&amp;K357</f>
        <v>2032100</v>
      </c>
      <c r="B357" s="52" t="s">
        <v>590</v>
      </c>
      <c r="C357" s="53" t="s">
        <v>562</v>
      </c>
      <c r="D357" s="54" t="s">
        <v>563</v>
      </c>
      <c r="E357" s="55">
        <v>446460</v>
      </c>
      <c r="F357" s="55">
        <v>148140</v>
      </c>
      <c r="G357" s="55">
        <v>-2340</v>
      </c>
      <c r="H357" s="55" t="s">
        <v>576</v>
      </c>
      <c r="I357" s="55">
        <v>-2.5</v>
      </c>
      <c r="J357" s="55">
        <v>0.65</v>
      </c>
      <c r="K357" s="56">
        <v>32100</v>
      </c>
      <c r="L357" s="55">
        <v>714</v>
      </c>
      <c r="M357" s="55">
        <v>139</v>
      </c>
      <c r="N357" s="55" t="s">
        <v>576</v>
      </c>
      <c r="O357" s="55">
        <v>40</v>
      </c>
      <c r="P357" s="55">
        <v>280</v>
      </c>
      <c r="Q357" s="55">
        <v>160</v>
      </c>
      <c r="R357" s="57" t="s">
        <v>564</v>
      </c>
      <c r="S357" s="58" t="s">
        <v>565</v>
      </c>
      <c r="T357" s="51">
        <v>31400.05</v>
      </c>
    </row>
    <row r="358" spans="1:20" x14ac:dyDescent="0.25">
      <c r="A358" s="51" t="str">
        <f>(COUNTIF($K$2:K358,K358))&amp;K358</f>
        <v>21PCR</v>
      </c>
      <c r="B358" s="52" t="s">
        <v>590</v>
      </c>
      <c r="C358" s="60">
        <v>0.91655261781890107</v>
      </c>
      <c r="E358" s="61"/>
      <c r="F358" s="62">
        <v>8797400</v>
      </c>
      <c r="G358" s="63"/>
      <c r="H358" s="64"/>
      <c r="I358" s="64"/>
      <c r="J358" s="64"/>
      <c r="K358" s="65" t="s">
        <v>555</v>
      </c>
      <c r="L358" s="64"/>
      <c r="M358" s="64"/>
      <c r="N358" s="64"/>
      <c r="P358" s="63">
        <v>8063280</v>
      </c>
      <c r="Q358" s="61"/>
      <c r="R358" s="64"/>
      <c r="S358" s="64"/>
    </row>
    <row r="359" spans="1:20" x14ac:dyDescent="0.25">
      <c r="A359" s="51" t="str">
        <f>(COUNTIF($K$2:K359,K359))&amp;K359</f>
        <v>1230600</v>
      </c>
      <c r="B359" s="52" t="s">
        <v>590</v>
      </c>
      <c r="C359" s="53" t="s">
        <v>562</v>
      </c>
      <c r="D359" s="54" t="s">
        <v>563</v>
      </c>
      <c r="E359" s="55">
        <v>840</v>
      </c>
      <c r="F359" s="55">
        <v>4200</v>
      </c>
      <c r="G359" s="55">
        <v>-340</v>
      </c>
      <c r="H359" s="55" t="s">
        <v>574</v>
      </c>
      <c r="I359" s="55">
        <v>-144.55000000000007</v>
      </c>
      <c r="J359" s="55">
        <v>788.15</v>
      </c>
      <c r="K359" s="56">
        <v>30600</v>
      </c>
      <c r="L359" s="55">
        <v>0.6</v>
      </c>
      <c r="M359" s="55">
        <v>-2.4</v>
      </c>
      <c r="N359" s="55" t="s">
        <v>576</v>
      </c>
      <c r="O359" s="55">
        <v>700</v>
      </c>
      <c r="P359" s="55">
        <v>199940</v>
      </c>
      <c r="Q359" s="55">
        <v>121160</v>
      </c>
      <c r="R359" s="57" t="s">
        <v>564</v>
      </c>
      <c r="S359" s="58" t="s">
        <v>566</v>
      </c>
      <c r="T359" s="51">
        <v>31400.05</v>
      </c>
    </row>
    <row r="360" spans="1:20" x14ac:dyDescent="0.25">
      <c r="A360" s="51" t="str">
        <f>(COUNTIF($K$2:K360,K360))&amp;K360</f>
        <v>2130700</v>
      </c>
      <c r="B360" s="52" t="s">
        <v>590</v>
      </c>
      <c r="C360" s="53" t="s">
        <v>566</v>
      </c>
      <c r="D360" s="54" t="s">
        <v>564</v>
      </c>
      <c r="E360" s="55">
        <v>1340</v>
      </c>
      <c r="F360" s="55">
        <v>11900</v>
      </c>
      <c r="G360" s="55">
        <v>80</v>
      </c>
      <c r="H360" s="55" t="s">
        <v>574</v>
      </c>
      <c r="I360" s="55">
        <v>-144</v>
      </c>
      <c r="J360" s="55">
        <v>692</v>
      </c>
      <c r="K360" s="56">
        <v>30700</v>
      </c>
      <c r="L360" s="55">
        <v>0.8</v>
      </c>
      <c r="M360" s="55">
        <v>-2.8</v>
      </c>
      <c r="N360" s="55" t="s">
        <v>576</v>
      </c>
      <c r="O360" s="55">
        <v>26560</v>
      </c>
      <c r="P360" s="55">
        <v>216760</v>
      </c>
      <c r="Q360" s="55">
        <v>258900</v>
      </c>
      <c r="R360" s="57" t="s">
        <v>564</v>
      </c>
      <c r="S360" s="58" t="s">
        <v>566</v>
      </c>
      <c r="T360" s="51">
        <v>31400.05</v>
      </c>
    </row>
    <row r="361" spans="1:20" x14ac:dyDescent="0.25">
      <c r="A361" s="51" t="str">
        <f>(COUNTIF($K$2:K361,K361))&amp;K361</f>
        <v>2130800</v>
      </c>
      <c r="B361" s="52" t="s">
        <v>590</v>
      </c>
      <c r="C361" s="53" t="s">
        <v>562</v>
      </c>
      <c r="D361" s="54" t="s">
        <v>563</v>
      </c>
      <c r="E361" s="55">
        <v>1280</v>
      </c>
      <c r="F361" s="55">
        <v>7280</v>
      </c>
      <c r="G361" s="55">
        <v>-220</v>
      </c>
      <c r="H361" s="55" t="s">
        <v>574</v>
      </c>
      <c r="I361" s="55">
        <v>-145.39999999999998</v>
      </c>
      <c r="J361" s="55">
        <v>590.20000000000005</v>
      </c>
      <c r="K361" s="56">
        <v>30800</v>
      </c>
      <c r="L361" s="55">
        <v>1.1000000000000001</v>
      </c>
      <c r="M361" s="55">
        <v>-2.9999999999999996</v>
      </c>
      <c r="N361" s="55" t="s">
        <v>576</v>
      </c>
      <c r="O361" s="55">
        <v>8380</v>
      </c>
      <c r="P361" s="55">
        <v>375780</v>
      </c>
      <c r="Q361" s="55">
        <v>570140</v>
      </c>
      <c r="R361" s="57" t="s">
        <v>564</v>
      </c>
      <c r="S361" s="58" t="s">
        <v>566</v>
      </c>
      <c r="T361" s="51">
        <v>31400.05</v>
      </c>
    </row>
    <row r="362" spans="1:20" x14ac:dyDescent="0.25">
      <c r="A362" s="51" t="str">
        <f>(COUNTIF($K$2:K362,K362))&amp;K362</f>
        <v>2130900</v>
      </c>
      <c r="B362" s="52" t="s">
        <v>590</v>
      </c>
      <c r="C362" s="53" t="s">
        <v>566</v>
      </c>
      <c r="D362" s="54" t="s">
        <v>564</v>
      </c>
      <c r="E362" s="55">
        <v>2860</v>
      </c>
      <c r="F362" s="55">
        <v>6360</v>
      </c>
      <c r="G362" s="55">
        <v>120</v>
      </c>
      <c r="H362" s="55" t="s">
        <v>574</v>
      </c>
      <c r="I362" s="55">
        <v>-138.74999999999994</v>
      </c>
      <c r="J362" s="55">
        <v>494.8</v>
      </c>
      <c r="K362" s="56">
        <v>30900</v>
      </c>
      <c r="L362" s="55">
        <v>1.95</v>
      </c>
      <c r="M362" s="55">
        <v>-3.55</v>
      </c>
      <c r="N362" s="55" t="s">
        <v>576</v>
      </c>
      <c r="O362" s="55">
        <v>161820</v>
      </c>
      <c r="P362" s="55">
        <v>527700</v>
      </c>
      <c r="Q362" s="55">
        <v>1130440</v>
      </c>
      <c r="R362" s="57" t="s">
        <v>564</v>
      </c>
      <c r="S362" s="58" t="s">
        <v>566</v>
      </c>
      <c r="T362" s="51">
        <v>31400.05</v>
      </c>
    </row>
    <row r="363" spans="1:20" x14ac:dyDescent="0.25">
      <c r="A363" s="51" t="str">
        <f>(COUNTIF($K$2:K363,K363))&amp;K363</f>
        <v>2131000</v>
      </c>
      <c r="B363" s="52" t="s">
        <v>590</v>
      </c>
      <c r="C363" s="53" t="s">
        <v>566</v>
      </c>
      <c r="D363" s="54" t="s">
        <v>564</v>
      </c>
      <c r="E363" s="55">
        <v>77940</v>
      </c>
      <c r="F363" s="55">
        <v>106360</v>
      </c>
      <c r="G363" s="55">
        <v>18140</v>
      </c>
      <c r="H363" s="55" t="s">
        <v>574</v>
      </c>
      <c r="I363" s="55">
        <v>-157</v>
      </c>
      <c r="J363" s="55">
        <v>387.85</v>
      </c>
      <c r="K363" s="56">
        <v>31000</v>
      </c>
      <c r="L363" s="55">
        <v>3.75</v>
      </c>
      <c r="M363" s="55">
        <v>-3.6500000000000004</v>
      </c>
      <c r="N363" s="55" t="s">
        <v>576</v>
      </c>
      <c r="O363" s="55">
        <v>681200</v>
      </c>
      <c r="P363" s="55">
        <v>1491800</v>
      </c>
      <c r="Q363" s="55">
        <v>3152900</v>
      </c>
      <c r="R363" s="57" t="s">
        <v>564</v>
      </c>
      <c r="S363" s="58" t="s">
        <v>566</v>
      </c>
      <c r="T363" s="51">
        <v>31400.05</v>
      </c>
    </row>
    <row r="364" spans="1:20" x14ac:dyDescent="0.25">
      <c r="A364" s="51" t="str">
        <f>(COUNTIF($K$2:K364,K364))&amp;K364</f>
        <v>2131100</v>
      </c>
      <c r="B364" s="52" t="s">
        <v>590</v>
      </c>
      <c r="C364" s="53" t="s">
        <v>566</v>
      </c>
      <c r="D364" s="54" t="s">
        <v>564</v>
      </c>
      <c r="E364" s="55">
        <v>64200</v>
      </c>
      <c r="F364" s="55">
        <v>42260</v>
      </c>
      <c r="G364" s="55">
        <v>11600</v>
      </c>
      <c r="H364" s="55" t="s">
        <v>574</v>
      </c>
      <c r="I364" s="55">
        <v>-153.19999999999999</v>
      </c>
      <c r="J364" s="55">
        <v>291.95</v>
      </c>
      <c r="K364" s="56">
        <v>31100</v>
      </c>
      <c r="L364" s="55">
        <v>7.4</v>
      </c>
      <c r="M364" s="55">
        <v>-2.75</v>
      </c>
      <c r="N364" s="55" t="s">
        <v>576</v>
      </c>
      <c r="O364" s="55">
        <v>449160</v>
      </c>
      <c r="P364" s="55">
        <v>967860</v>
      </c>
      <c r="Q364" s="55">
        <v>3601000</v>
      </c>
      <c r="R364" s="57" t="s">
        <v>564</v>
      </c>
      <c r="S364" s="58" t="s">
        <v>566</v>
      </c>
      <c r="T364" s="51">
        <v>31400.05</v>
      </c>
    </row>
    <row r="365" spans="1:20" x14ac:dyDescent="0.25">
      <c r="A365" s="51" t="str">
        <f>(COUNTIF($K$2:K365,K365))&amp;K365</f>
        <v>2131200</v>
      </c>
      <c r="B365" s="52" t="s">
        <v>590</v>
      </c>
      <c r="C365" s="53" t="s">
        <v>566</v>
      </c>
      <c r="D365" s="54" t="s">
        <v>564</v>
      </c>
      <c r="E365" s="55">
        <v>629700</v>
      </c>
      <c r="F365" s="55">
        <v>229860</v>
      </c>
      <c r="G365" s="55">
        <v>98140</v>
      </c>
      <c r="H365" s="55" t="s">
        <v>576</v>
      </c>
      <c r="I365" s="55">
        <v>-148.85</v>
      </c>
      <c r="J365" s="55">
        <v>201.6</v>
      </c>
      <c r="K365" s="56">
        <v>31200</v>
      </c>
      <c r="L365" s="55">
        <v>17.399999999999999</v>
      </c>
      <c r="M365" s="55">
        <v>0</v>
      </c>
      <c r="N365" s="55" t="s">
        <v>576</v>
      </c>
      <c r="O365" s="55">
        <v>763080</v>
      </c>
      <c r="P365" s="55">
        <v>1289020</v>
      </c>
      <c r="Q365" s="55">
        <v>5036080</v>
      </c>
      <c r="R365" s="57" t="s">
        <v>564</v>
      </c>
      <c r="S365" s="58" t="b">
        <v>0</v>
      </c>
      <c r="T365" s="51">
        <v>31400.05</v>
      </c>
    </row>
    <row r="366" spans="1:20" x14ac:dyDescent="0.25">
      <c r="A366" s="51" t="str">
        <f>(COUNTIF($K$2:K366,K366))&amp;K366</f>
        <v>2131300</v>
      </c>
      <c r="B366" s="52" t="s">
        <v>590</v>
      </c>
      <c r="C366" s="53" t="s">
        <v>566</v>
      </c>
      <c r="D366" s="54" t="s">
        <v>564</v>
      </c>
      <c r="E366" s="55">
        <v>1092260</v>
      </c>
      <c r="F366" s="55">
        <v>254780</v>
      </c>
      <c r="G366" s="112" t="s">
        <v>577</v>
      </c>
      <c r="H366" s="55" t="s">
        <v>576</v>
      </c>
      <c r="I366" s="55">
        <v>-140.15</v>
      </c>
      <c r="J366" s="55">
        <v>125.4</v>
      </c>
      <c r="K366" s="56">
        <v>31300</v>
      </c>
      <c r="L366" s="55">
        <v>40.700000000000003</v>
      </c>
      <c r="M366" s="55">
        <v>9.7500000000000036</v>
      </c>
      <c r="N366" s="55" t="s">
        <v>576</v>
      </c>
      <c r="O366" s="55">
        <v>507860</v>
      </c>
      <c r="P366" s="55">
        <v>1158360</v>
      </c>
      <c r="Q366" s="55">
        <v>5898500</v>
      </c>
      <c r="R366" s="57" t="s">
        <v>564</v>
      </c>
      <c r="S366" s="58" t="s">
        <v>565</v>
      </c>
      <c r="T366" s="51">
        <v>31400.05</v>
      </c>
    </row>
    <row r="367" spans="1:20" ht="15.75" x14ac:dyDescent="0.25">
      <c r="A367" s="51" t="str">
        <f>(COUNTIF($K$2:K367,K367))&amp;K367</f>
        <v>2131400</v>
      </c>
      <c r="B367" s="52" t="s">
        <v>590</v>
      </c>
      <c r="C367" s="53" t="s">
        <v>566</v>
      </c>
      <c r="D367" s="54" t="s">
        <v>564</v>
      </c>
      <c r="E367" s="55">
        <v>3569300</v>
      </c>
      <c r="F367" s="55">
        <v>826360</v>
      </c>
      <c r="G367" s="55">
        <v>642060</v>
      </c>
      <c r="H367" s="55" t="s">
        <v>576</v>
      </c>
      <c r="I367" s="55">
        <v>-121.5</v>
      </c>
      <c r="J367" s="55">
        <v>67.5</v>
      </c>
      <c r="K367" s="59">
        <v>31400</v>
      </c>
      <c r="L367" s="55">
        <v>83.5</v>
      </c>
      <c r="M367" s="55">
        <v>29.549999999999997</v>
      </c>
      <c r="N367" s="55" t="s">
        <v>576</v>
      </c>
      <c r="O367" s="55">
        <v>352660</v>
      </c>
      <c r="P367" s="55">
        <v>908880</v>
      </c>
      <c r="Q367" s="55">
        <v>5086260</v>
      </c>
      <c r="R367" s="57" t="s">
        <v>564</v>
      </c>
      <c r="S367" s="58" t="s">
        <v>565</v>
      </c>
      <c r="T367" s="51">
        <v>31400.05</v>
      </c>
    </row>
    <row r="368" spans="1:20" x14ac:dyDescent="0.25">
      <c r="A368" s="51" t="str">
        <f>(COUNTIF($K$2:K368,K368))&amp;K368</f>
        <v>2131500</v>
      </c>
      <c r="B368" s="52" t="s">
        <v>590</v>
      </c>
      <c r="C368" s="53" t="s">
        <v>566</v>
      </c>
      <c r="D368" s="54" t="s">
        <v>564</v>
      </c>
      <c r="E368" s="55">
        <v>6888300</v>
      </c>
      <c r="F368" s="55">
        <v>2122180</v>
      </c>
      <c r="G368" s="55">
        <v>1343640</v>
      </c>
      <c r="H368" s="55" t="s">
        <v>576</v>
      </c>
      <c r="I368" s="55">
        <v>-95.25</v>
      </c>
      <c r="J368" s="55">
        <v>31.2</v>
      </c>
      <c r="K368" s="56">
        <v>31500</v>
      </c>
      <c r="L368" s="55">
        <v>146.94999999999999</v>
      </c>
      <c r="M368" s="55">
        <v>56.799999999999983</v>
      </c>
      <c r="N368" s="55" t="s">
        <v>576</v>
      </c>
      <c r="O368" s="55">
        <v>51700</v>
      </c>
      <c r="P368" s="55">
        <v>682180</v>
      </c>
      <c r="Q368" s="55">
        <v>3292400</v>
      </c>
      <c r="R368" s="57" t="s">
        <v>564</v>
      </c>
      <c r="S368" s="58" t="s">
        <v>565</v>
      </c>
      <c r="T368" s="51">
        <v>31400.05</v>
      </c>
    </row>
    <row r="369" spans="1:20" x14ac:dyDescent="0.25">
      <c r="A369" s="51" t="str">
        <f>(COUNTIF($K$2:K369,K369))&amp;K369</f>
        <v>2131600</v>
      </c>
      <c r="B369" s="52" t="s">
        <v>590</v>
      </c>
      <c r="C369" s="53" t="s">
        <v>566</v>
      </c>
      <c r="D369" s="54" t="s">
        <v>564</v>
      </c>
      <c r="E369" s="55">
        <v>6012580</v>
      </c>
      <c r="F369" s="55">
        <v>1525180</v>
      </c>
      <c r="G369" s="55">
        <v>905520</v>
      </c>
      <c r="H369" s="55" t="s">
        <v>576</v>
      </c>
      <c r="I369" s="55">
        <v>-66.75</v>
      </c>
      <c r="J369" s="55">
        <v>11.7</v>
      </c>
      <c r="K369" s="56">
        <v>31600</v>
      </c>
      <c r="L369" s="55">
        <v>228.2</v>
      </c>
      <c r="M369" s="55">
        <v>86.1</v>
      </c>
      <c r="N369" s="55" t="s">
        <v>576</v>
      </c>
      <c r="O369" s="55">
        <v>49360</v>
      </c>
      <c r="P369" s="55">
        <v>143600</v>
      </c>
      <c r="Q369" s="55">
        <v>1005160</v>
      </c>
      <c r="R369" s="57" t="s">
        <v>564</v>
      </c>
      <c r="S369" s="58" t="s">
        <v>565</v>
      </c>
      <c r="T369" s="51">
        <v>31400.05</v>
      </c>
    </row>
    <row r="370" spans="1:20" x14ac:dyDescent="0.25">
      <c r="A370" s="51" t="str">
        <f>(COUNTIF($K$2:K370,K370))&amp;K370</f>
        <v>2131700</v>
      </c>
      <c r="B370" s="52" t="s">
        <v>590</v>
      </c>
      <c r="C370" s="53" t="s">
        <v>566</v>
      </c>
      <c r="D370" s="54" t="s">
        <v>564</v>
      </c>
      <c r="E370" s="55">
        <v>5457780</v>
      </c>
      <c r="F370" s="55">
        <v>1260680</v>
      </c>
      <c r="G370" s="55">
        <v>625420</v>
      </c>
      <c r="H370" s="55" t="s">
        <v>576</v>
      </c>
      <c r="I370" s="55">
        <v>-39.900000000000006</v>
      </c>
      <c r="J370" s="55">
        <v>4.55</v>
      </c>
      <c r="K370" s="56">
        <v>31700</v>
      </c>
      <c r="L370" s="55">
        <v>319.60000000000002</v>
      </c>
      <c r="M370" s="55">
        <v>110.20000000000002</v>
      </c>
      <c r="N370" s="55" t="s">
        <v>576</v>
      </c>
      <c r="O370" s="55">
        <v>6440</v>
      </c>
      <c r="P370" s="55">
        <v>56200</v>
      </c>
      <c r="Q370" s="55">
        <v>461160</v>
      </c>
      <c r="R370" s="57" t="s">
        <v>564</v>
      </c>
      <c r="S370" s="58" t="s">
        <v>565</v>
      </c>
      <c r="T370" s="51">
        <v>31400.05</v>
      </c>
    </row>
    <row r="371" spans="1:20" x14ac:dyDescent="0.25">
      <c r="A371" s="51" t="str">
        <f>(COUNTIF($K$2:K371,K371))&amp;K371</f>
        <v>2131800</v>
      </c>
      <c r="B371" s="52" t="s">
        <v>590</v>
      </c>
      <c r="C371" s="53" t="s">
        <v>566</v>
      </c>
      <c r="D371" s="54" t="s">
        <v>564</v>
      </c>
      <c r="E371" s="55">
        <v>3819120</v>
      </c>
      <c r="F371" s="55">
        <v>976620</v>
      </c>
      <c r="G371" s="55">
        <v>391240</v>
      </c>
      <c r="H371" s="55" t="s">
        <v>576</v>
      </c>
      <c r="I371" s="55">
        <v>-21.85</v>
      </c>
      <c r="J371" s="55">
        <v>1.65</v>
      </c>
      <c r="K371" s="56">
        <v>31800</v>
      </c>
      <c r="L371" s="55">
        <v>417.65</v>
      </c>
      <c r="M371" s="55">
        <v>132.29999999999995</v>
      </c>
      <c r="N371" s="55" t="s">
        <v>576</v>
      </c>
      <c r="O371" s="55">
        <v>10400</v>
      </c>
      <c r="P371" s="55">
        <v>25380</v>
      </c>
      <c r="Q371" s="55">
        <v>177960</v>
      </c>
      <c r="R371" s="57" t="s">
        <v>564</v>
      </c>
      <c r="S371" s="58" t="s">
        <v>565</v>
      </c>
      <c r="T371" s="51">
        <v>31400.05</v>
      </c>
    </row>
    <row r="372" spans="1:20" x14ac:dyDescent="0.25">
      <c r="A372" s="51" t="str">
        <f>(COUNTIF($K$2:K372,K372))&amp;K372</f>
        <v>2131900</v>
      </c>
      <c r="B372" s="52" t="s">
        <v>590</v>
      </c>
      <c r="C372" s="53" t="s">
        <v>562</v>
      </c>
      <c r="D372" s="54" t="s">
        <v>563</v>
      </c>
      <c r="E372" s="55">
        <v>2495020</v>
      </c>
      <c r="F372" s="55">
        <v>493100</v>
      </c>
      <c r="G372" s="55">
        <v>-18700</v>
      </c>
      <c r="H372" s="55" t="s">
        <v>576</v>
      </c>
      <c r="I372" s="55">
        <v>-10.15</v>
      </c>
      <c r="J372" s="55">
        <v>0.95</v>
      </c>
      <c r="K372" s="56">
        <v>31900</v>
      </c>
      <c r="L372" s="55">
        <v>515</v>
      </c>
      <c r="M372" s="55">
        <v>138.30000000000001</v>
      </c>
      <c r="N372" s="55" t="s">
        <v>576</v>
      </c>
      <c r="O372" s="55">
        <v>1660</v>
      </c>
      <c r="P372" s="55">
        <v>7200</v>
      </c>
      <c r="Q372" s="55">
        <v>30320</v>
      </c>
      <c r="R372" s="57" t="s">
        <v>564</v>
      </c>
      <c r="S372" s="58" t="s">
        <v>565</v>
      </c>
      <c r="T372" s="51">
        <v>31400.05</v>
      </c>
    </row>
    <row r="373" spans="1:20" x14ac:dyDescent="0.25">
      <c r="A373" s="51" t="str">
        <f>(COUNTIF($K$2:K373,K373))&amp;K373</f>
        <v>2132000</v>
      </c>
      <c r="B373" s="52" t="s">
        <v>590</v>
      </c>
      <c r="C373" s="53" t="s">
        <v>566</v>
      </c>
      <c r="D373" s="54" t="s">
        <v>564</v>
      </c>
      <c r="E373" s="55">
        <v>2842620</v>
      </c>
      <c r="F373" s="55">
        <v>782140</v>
      </c>
      <c r="G373" s="55">
        <v>170480</v>
      </c>
      <c r="H373" s="55" t="s">
        <v>576</v>
      </c>
      <c r="I373" s="55">
        <v>-5.15</v>
      </c>
      <c r="J373" s="55">
        <v>0.85</v>
      </c>
      <c r="K373" s="56">
        <v>32000</v>
      </c>
      <c r="L373" s="55">
        <v>615</v>
      </c>
      <c r="M373" s="55">
        <v>144.5</v>
      </c>
      <c r="N373" s="55" t="s">
        <v>576</v>
      </c>
      <c r="O373" s="55">
        <v>220</v>
      </c>
      <c r="P373" s="55">
        <v>12340</v>
      </c>
      <c r="Q373" s="55">
        <v>19080</v>
      </c>
      <c r="R373" s="57" t="s">
        <v>564</v>
      </c>
      <c r="S373" s="58" t="s">
        <v>565</v>
      </c>
      <c r="T373" s="51">
        <v>31400.05</v>
      </c>
    </row>
    <row r="374" spans="1:20" x14ac:dyDescent="0.25">
      <c r="A374" s="51" t="str">
        <f>(COUNTIF($K$2:K374,K374))&amp;K374</f>
        <v>2132100</v>
      </c>
      <c r="B374" s="52" t="s">
        <v>590</v>
      </c>
      <c r="C374" s="53" t="s">
        <v>562</v>
      </c>
      <c r="D374" s="54" t="s">
        <v>563</v>
      </c>
      <c r="E374" s="55">
        <v>446460</v>
      </c>
      <c r="F374" s="55">
        <v>148140</v>
      </c>
      <c r="G374" s="55">
        <v>-2340</v>
      </c>
      <c r="H374" s="55" t="s">
        <v>576</v>
      </c>
      <c r="I374" s="55">
        <v>-2.5</v>
      </c>
      <c r="J374" s="55">
        <v>0.65</v>
      </c>
      <c r="K374" s="56">
        <v>32100</v>
      </c>
      <c r="L374" s="55">
        <v>714</v>
      </c>
      <c r="M374" s="55">
        <v>139</v>
      </c>
      <c r="N374" s="55" t="s">
        <v>576</v>
      </c>
      <c r="O374" s="55">
        <v>40</v>
      </c>
      <c r="P374" s="55">
        <v>280</v>
      </c>
      <c r="Q374" s="55">
        <v>160</v>
      </c>
      <c r="R374" s="57" t="s">
        <v>564</v>
      </c>
      <c r="S374" s="58" t="s">
        <v>565</v>
      </c>
      <c r="T374" s="51">
        <v>31400.05</v>
      </c>
    </row>
    <row r="375" spans="1:20" x14ac:dyDescent="0.25">
      <c r="A375" s="51" t="str">
        <f>(COUNTIF($K$2:K375,K375))&amp;K375</f>
        <v>22PCR</v>
      </c>
      <c r="B375" s="52" t="s">
        <v>590</v>
      </c>
      <c r="C375" s="60">
        <v>0.91655261781890107</v>
      </c>
      <c r="E375" s="61"/>
      <c r="F375" s="62">
        <v>8797400</v>
      </c>
      <c r="G375" s="63"/>
      <c r="H375" s="64"/>
      <c r="I375" s="64"/>
      <c r="J375" s="64"/>
      <c r="K375" s="65" t="s">
        <v>555</v>
      </c>
      <c r="L375" s="64"/>
      <c r="M375" s="64"/>
      <c r="N375" s="64"/>
      <c r="P375" s="63">
        <v>8063280</v>
      </c>
      <c r="Q375" s="61"/>
      <c r="R375" s="64"/>
      <c r="S375" s="64"/>
    </row>
    <row r="376" spans="1:20" x14ac:dyDescent="0.25">
      <c r="A376" s="51" t="str">
        <f>(COUNTIF($K$2:K376,K376))&amp;K376</f>
        <v>1330600</v>
      </c>
      <c r="B376" s="52" t="s">
        <v>591</v>
      </c>
      <c r="C376" s="53" t="s">
        <v>562</v>
      </c>
      <c r="D376" s="54" t="s">
        <v>563</v>
      </c>
      <c r="E376" s="55">
        <v>840</v>
      </c>
      <c r="F376" s="55">
        <v>4200</v>
      </c>
      <c r="G376" s="55">
        <v>-340</v>
      </c>
      <c r="H376" s="55" t="s">
        <v>574</v>
      </c>
      <c r="I376" s="55">
        <v>-144.55000000000007</v>
      </c>
      <c r="J376" s="55">
        <v>788.15</v>
      </c>
      <c r="K376" s="56">
        <v>30600</v>
      </c>
      <c r="L376" s="55">
        <v>0.55000000000000004</v>
      </c>
      <c r="M376" s="55">
        <v>-2.4500000000000002</v>
      </c>
      <c r="N376" s="55" t="s">
        <v>576</v>
      </c>
      <c r="O376" s="55">
        <v>820</v>
      </c>
      <c r="P376" s="55">
        <v>200060</v>
      </c>
      <c r="Q376" s="55">
        <v>126880</v>
      </c>
      <c r="R376" s="57" t="s">
        <v>564</v>
      </c>
      <c r="S376" s="58" t="s">
        <v>566</v>
      </c>
      <c r="T376" s="51">
        <v>31406.45</v>
      </c>
    </row>
    <row r="377" spans="1:20" x14ac:dyDescent="0.25">
      <c r="A377" s="51" t="str">
        <f>(COUNTIF($K$2:K377,K377))&amp;K377</f>
        <v>2230700</v>
      </c>
      <c r="B377" s="52" t="s">
        <v>591</v>
      </c>
      <c r="C377" s="53" t="s">
        <v>566</v>
      </c>
      <c r="D377" s="54" t="s">
        <v>564</v>
      </c>
      <c r="E377" s="55">
        <v>1720</v>
      </c>
      <c r="F377" s="55">
        <v>11900</v>
      </c>
      <c r="G377" s="55">
        <v>80</v>
      </c>
      <c r="H377" s="55" t="s">
        <v>574</v>
      </c>
      <c r="I377" s="55">
        <v>-144.64999999999998</v>
      </c>
      <c r="J377" s="55">
        <v>691.35</v>
      </c>
      <c r="K377" s="56">
        <v>30700</v>
      </c>
      <c r="L377" s="55">
        <v>0.7</v>
      </c>
      <c r="M377" s="55">
        <v>-2.9000000000000004</v>
      </c>
      <c r="N377" s="55" t="s">
        <v>576</v>
      </c>
      <c r="O377" s="55">
        <v>28820</v>
      </c>
      <c r="P377" s="55">
        <v>219020</v>
      </c>
      <c r="Q377" s="55">
        <v>261820</v>
      </c>
      <c r="R377" s="57" t="s">
        <v>564</v>
      </c>
      <c r="S377" s="58" t="s">
        <v>566</v>
      </c>
      <c r="T377" s="51">
        <v>31406.45</v>
      </c>
    </row>
    <row r="378" spans="1:20" x14ac:dyDescent="0.25">
      <c r="A378" s="51" t="str">
        <f>(COUNTIF($K$2:K378,K378))&amp;K378</f>
        <v>2230800</v>
      </c>
      <c r="B378" s="52" t="s">
        <v>591</v>
      </c>
      <c r="C378" s="53" t="s">
        <v>562</v>
      </c>
      <c r="D378" s="54" t="s">
        <v>563</v>
      </c>
      <c r="E378" s="55">
        <v>1280</v>
      </c>
      <c r="F378" s="55">
        <v>7280</v>
      </c>
      <c r="G378" s="55">
        <v>-220</v>
      </c>
      <c r="H378" s="55" t="s">
        <v>574</v>
      </c>
      <c r="I378" s="55">
        <v>-145.39999999999998</v>
      </c>
      <c r="J378" s="55">
        <v>590.20000000000005</v>
      </c>
      <c r="K378" s="56">
        <v>30800</v>
      </c>
      <c r="L378" s="55">
        <v>1</v>
      </c>
      <c r="M378" s="55">
        <v>-3.0999999999999996</v>
      </c>
      <c r="N378" s="55" t="s">
        <v>576</v>
      </c>
      <c r="O378" s="55">
        <v>7880</v>
      </c>
      <c r="P378" s="55">
        <v>375280</v>
      </c>
      <c r="Q378" s="55">
        <v>590720</v>
      </c>
      <c r="R378" s="57" t="s">
        <v>564</v>
      </c>
      <c r="S378" s="58" t="s">
        <v>566</v>
      </c>
      <c r="T378" s="51">
        <v>31406.45</v>
      </c>
    </row>
    <row r="379" spans="1:20" x14ac:dyDescent="0.25">
      <c r="A379" s="51" t="str">
        <f>(COUNTIF($K$2:K379,K379))&amp;K379</f>
        <v>2230900</v>
      </c>
      <c r="B379" s="52" t="s">
        <v>591</v>
      </c>
      <c r="C379" s="53" t="s">
        <v>566</v>
      </c>
      <c r="D379" s="54" t="s">
        <v>564</v>
      </c>
      <c r="E379" s="55">
        <v>2960</v>
      </c>
      <c r="F379" s="55">
        <v>6380</v>
      </c>
      <c r="G379" s="55">
        <v>140</v>
      </c>
      <c r="H379" s="55" t="s">
        <v>574</v>
      </c>
      <c r="I379" s="55">
        <v>-145.54999999999995</v>
      </c>
      <c r="J379" s="55">
        <v>488</v>
      </c>
      <c r="K379" s="56">
        <v>30900</v>
      </c>
      <c r="L379" s="55">
        <v>1.8</v>
      </c>
      <c r="M379" s="55">
        <v>-3.7</v>
      </c>
      <c r="N379" s="55" t="s">
        <v>576</v>
      </c>
      <c r="O379" s="55">
        <v>163700</v>
      </c>
      <c r="P379" s="55">
        <v>529580</v>
      </c>
      <c r="Q379" s="55">
        <v>1183420</v>
      </c>
      <c r="R379" s="57" t="s">
        <v>564</v>
      </c>
      <c r="S379" s="58" t="s">
        <v>566</v>
      </c>
      <c r="T379" s="51">
        <v>31406.45</v>
      </c>
    </row>
    <row r="380" spans="1:20" x14ac:dyDescent="0.25">
      <c r="A380" s="51" t="str">
        <f>(COUNTIF($K$2:K380,K380))&amp;K380</f>
        <v>2231000</v>
      </c>
      <c r="B380" s="52" t="s">
        <v>591</v>
      </c>
      <c r="C380" s="53" t="s">
        <v>566</v>
      </c>
      <c r="D380" s="54" t="s">
        <v>564</v>
      </c>
      <c r="E380" s="55">
        <v>82260</v>
      </c>
      <c r="F380" s="55">
        <v>106480</v>
      </c>
      <c r="G380" s="55">
        <v>18260</v>
      </c>
      <c r="H380" s="55" t="s">
        <v>574</v>
      </c>
      <c r="I380" s="55">
        <v>-149.85000000000002</v>
      </c>
      <c r="J380" s="55">
        <v>395</v>
      </c>
      <c r="K380" s="56">
        <v>31000</v>
      </c>
      <c r="L380" s="55">
        <v>3.15</v>
      </c>
      <c r="M380" s="55">
        <v>-4.25</v>
      </c>
      <c r="N380" s="55" t="s">
        <v>576</v>
      </c>
      <c r="O380" s="55">
        <v>695520</v>
      </c>
      <c r="P380" s="55">
        <v>1506120</v>
      </c>
      <c r="Q380" s="55">
        <v>3356160</v>
      </c>
      <c r="R380" s="57" t="s">
        <v>564</v>
      </c>
      <c r="S380" s="58" t="s">
        <v>566</v>
      </c>
      <c r="T380" s="51">
        <v>31406.45</v>
      </c>
    </row>
    <row r="381" spans="1:20" x14ac:dyDescent="0.25">
      <c r="A381" s="51" t="str">
        <f>(COUNTIF($K$2:K381,K381))&amp;K381</f>
        <v>2231100</v>
      </c>
      <c r="B381" s="52" t="s">
        <v>591</v>
      </c>
      <c r="C381" s="53" t="s">
        <v>566</v>
      </c>
      <c r="D381" s="54" t="s">
        <v>564</v>
      </c>
      <c r="E381" s="55">
        <v>68300</v>
      </c>
      <c r="F381" s="55">
        <v>41700</v>
      </c>
      <c r="G381" s="55">
        <v>11040</v>
      </c>
      <c r="H381" s="55" t="s">
        <v>574</v>
      </c>
      <c r="I381" s="55">
        <v>-147.04999999999995</v>
      </c>
      <c r="J381" s="55">
        <v>298.10000000000002</v>
      </c>
      <c r="K381" s="56">
        <v>31100</v>
      </c>
      <c r="L381" s="55">
        <v>6</v>
      </c>
      <c r="M381" s="55">
        <v>-4.1500000000000004</v>
      </c>
      <c r="N381" s="55" t="s">
        <v>576</v>
      </c>
      <c r="O381" s="55">
        <v>485920</v>
      </c>
      <c r="P381" s="55">
        <v>1004620</v>
      </c>
      <c r="Q381" s="55">
        <v>3849560</v>
      </c>
      <c r="R381" s="57" t="s">
        <v>564</v>
      </c>
      <c r="S381" s="58" t="s">
        <v>566</v>
      </c>
      <c r="T381" s="51">
        <v>31406.45</v>
      </c>
    </row>
    <row r="382" spans="1:20" x14ac:dyDescent="0.25">
      <c r="A382" s="51" t="str">
        <f>(COUNTIF($K$2:K382,K382))&amp;K382</f>
        <v>2231200</v>
      </c>
      <c r="B382" s="52" t="s">
        <v>591</v>
      </c>
      <c r="C382" s="53" t="s">
        <v>566</v>
      </c>
      <c r="D382" s="54" t="s">
        <v>564</v>
      </c>
      <c r="E382" s="55">
        <v>665380</v>
      </c>
      <c r="F382" s="55">
        <v>231900</v>
      </c>
      <c r="G382" s="55">
        <v>100180</v>
      </c>
      <c r="H382" s="55" t="s">
        <v>576</v>
      </c>
      <c r="I382" s="55">
        <v>-142.39999999999998</v>
      </c>
      <c r="J382" s="55">
        <v>208.05</v>
      </c>
      <c r="K382" s="56">
        <v>31200</v>
      </c>
      <c r="L382" s="55">
        <v>15.25</v>
      </c>
      <c r="M382" s="55">
        <v>-2.1499999999999986</v>
      </c>
      <c r="N382" s="55" t="s">
        <v>576</v>
      </c>
      <c r="O382" s="55">
        <v>767460</v>
      </c>
      <c r="P382" s="55">
        <v>1293400</v>
      </c>
      <c r="Q382" s="55">
        <v>5317440</v>
      </c>
      <c r="R382" s="57" t="s">
        <v>564</v>
      </c>
      <c r="S382" s="58" t="s">
        <v>566</v>
      </c>
      <c r="T382" s="51">
        <v>31406.45</v>
      </c>
    </row>
    <row r="383" spans="1:20" x14ac:dyDescent="0.25">
      <c r="A383" s="51" t="str">
        <f>(COUNTIF($K$2:K383,K383))&amp;K383</f>
        <v>2231300</v>
      </c>
      <c r="B383" s="52" t="s">
        <v>591</v>
      </c>
      <c r="C383" s="53" t="s">
        <v>566</v>
      </c>
      <c r="D383" s="54" t="s">
        <v>564</v>
      </c>
      <c r="E383" s="55">
        <v>1153500</v>
      </c>
      <c r="F383" s="55">
        <v>265860</v>
      </c>
      <c r="G383" s="55">
        <v>149920</v>
      </c>
      <c r="H383" s="55" t="s">
        <v>576</v>
      </c>
      <c r="I383" s="55">
        <v>-135.9</v>
      </c>
      <c r="J383" s="55">
        <v>129.65</v>
      </c>
      <c r="K383" s="56">
        <v>31300</v>
      </c>
      <c r="L383" s="55">
        <v>37.299999999999997</v>
      </c>
      <c r="M383" s="55">
        <v>6.3499999999999979</v>
      </c>
      <c r="N383" s="55" t="s">
        <v>576</v>
      </c>
      <c r="O383" s="55">
        <v>521860</v>
      </c>
      <c r="P383" s="55">
        <v>1172360</v>
      </c>
      <c r="Q383" s="55">
        <v>6205760</v>
      </c>
      <c r="R383" s="57" t="s">
        <v>564</v>
      </c>
      <c r="S383" s="58" t="s">
        <v>565</v>
      </c>
      <c r="T383" s="51">
        <v>31406.45</v>
      </c>
    </row>
    <row r="384" spans="1:20" ht="15.75" x14ac:dyDescent="0.25">
      <c r="A384" s="51" t="str">
        <f>(COUNTIF($K$2:K384,K384))&amp;K384</f>
        <v>2231400</v>
      </c>
      <c r="B384" s="52" t="s">
        <v>591</v>
      </c>
      <c r="C384" s="53" t="s">
        <v>566</v>
      </c>
      <c r="D384" s="54" t="s">
        <v>564</v>
      </c>
      <c r="E384" s="55">
        <v>3846940</v>
      </c>
      <c r="F384" s="55">
        <v>886100</v>
      </c>
      <c r="G384" s="55">
        <v>701800</v>
      </c>
      <c r="H384" s="55" t="s">
        <v>576</v>
      </c>
      <c r="I384" s="55">
        <v>-118.15</v>
      </c>
      <c r="J384" s="55">
        <v>70.849999999999994</v>
      </c>
      <c r="K384" s="59">
        <v>31400</v>
      </c>
      <c r="L384" s="55">
        <v>78.8</v>
      </c>
      <c r="M384" s="55">
        <v>24.849999999999994</v>
      </c>
      <c r="N384" s="55" t="s">
        <v>576</v>
      </c>
      <c r="O384" s="55">
        <v>341900</v>
      </c>
      <c r="P384" s="55">
        <v>898120</v>
      </c>
      <c r="Q384" s="55">
        <v>5353160</v>
      </c>
      <c r="R384" s="57" t="s">
        <v>564</v>
      </c>
      <c r="S384" s="58" t="s">
        <v>565</v>
      </c>
      <c r="T384" s="51">
        <v>31406.45</v>
      </c>
    </row>
    <row r="385" spans="1:20" x14ac:dyDescent="0.25">
      <c r="A385" s="51" t="str">
        <f>(COUNTIF($K$2:K385,K385))&amp;K385</f>
        <v>2231500</v>
      </c>
      <c r="B385" s="52" t="s">
        <v>591</v>
      </c>
      <c r="C385" s="53" t="s">
        <v>566</v>
      </c>
      <c r="D385" s="54" t="s">
        <v>564</v>
      </c>
      <c r="E385" s="55">
        <v>7392660</v>
      </c>
      <c r="F385" s="55">
        <v>2252620</v>
      </c>
      <c r="G385" s="55">
        <v>1474080</v>
      </c>
      <c r="H385" s="55" t="s">
        <v>576</v>
      </c>
      <c r="I385" s="55">
        <v>-93.550000000000011</v>
      </c>
      <c r="J385" s="55">
        <v>32.9</v>
      </c>
      <c r="K385" s="56">
        <v>31500</v>
      </c>
      <c r="L385" s="55">
        <v>141.55000000000001</v>
      </c>
      <c r="M385" s="55">
        <v>51.400000000000006</v>
      </c>
      <c r="N385" s="55" t="s">
        <v>576</v>
      </c>
      <c r="O385" s="55">
        <v>57560</v>
      </c>
      <c r="P385" s="55">
        <v>688040</v>
      </c>
      <c r="Q385" s="55">
        <v>3414300</v>
      </c>
      <c r="R385" s="57" t="s">
        <v>564</v>
      </c>
      <c r="S385" s="58" t="s">
        <v>565</v>
      </c>
      <c r="T385" s="51">
        <v>31406.45</v>
      </c>
    </row>
    <row r="386" spans="1:20" x14ac:dyDescent="0.25">
      <c r="A386" s="51" t="str">
        <f>(COUNTIF($K$2:K386,K386))&amp;K386</f>
        <v>2231600</v>
      </c>
      <c r="B386" s="52" t="s">
        <v>591</v>
      </c>
      <c r="C386" s="53" t="s">
        <v>566</v>
      </c>
      <c r="D386" s="54" t="s">
        <v>564</v>
      </c>
      <c r="E386" s="55">
        <v>6422540</v>
      </c>
      <c r="F386" s="55">
        <v>1634340</v>
      </c>
      <c r="G386" s="55">
        <v>1014680</v>
      </c>
      <c r="H386" s="55" t="s">
        <v>576</v>
      </c>
      <c r="I386" s="55">
        <v>-66.100000000000009</v>
      </c>
      <c r="J386" s="55">
        <v>12.35</v>
      </c>
      <c r="K386" s="56">
        <v>31600</v>
      </c>
      <c r="L386" s="55">
        <v>220.65</v>
      </c>
      <c r="M386" s="55">
        <v>78.550000000000011</v>
      </c>
      <c r="N386" s="55" t="s">
        <v>576</v>
      </c>
      <c r="O386" s="55">
        <v>51000</v>
      </c>
      <c r="P386" s="55">
        <v>145240</v>
      </c>
      <c r="Q386" s="55">
        <v>1027880</v>
      </c>
      <c r="R386" s="57" t="s">
        <v>564</v>
      </c>
      <c r="S386" s="58" t="s">
        <v>565</v>
      </c>
      <c r="T386" s="51">
        <v>31406.45</v>
      </c>
    </row>
    <row r="387" spans="1:20" x14ac:dyDescent="0.25">
      <c r="A387" s="51" t="str">
        <f>(COUNTIF($K$2:K387,K387))&amp;K387</f>
        <v>2231700</v>
      </c>
      <c r="B387" s="52" t="s">
        <v>591</v>
      </c>
      <c r="C387" s="53" t="s">
        <v>566</v>
      </c>
      <c r="D387" s="54" t="s">
        <v>564</v>
      </c>
      <c r="E387" s="55">
        <v>5770620</v>
      </c>
      <c r="F387" s="55">
        <v>1286480</v>
      </c>
      <c r="G387" s="55">
        <v>651220</v>
      </c>
      <c r="H387" s="55" t="s">
        <v>576</v>
      </c>
      <c r="I387" s="55">
        <v>-39.950000000000003</v>
      </c>
      <c r="J387" s="55">
        <v>4.5</v>
      </c>
      <c r="K387" s="56">
        <v>31700</v>
      </c>
      <c r="L387" s="55">
        <v>313.10000000000002</v>
      </c>
      <c r="M387" s="55">
        <v>103.70000000000002</v>
      </c>
      <c r="N387" s="55" t="s">
        <v>576</v>
      </c>
      <c r="O387" s="55">
        <v>7000</v>
      </c>
      <c r="P387" s="55">
        <v>56760</v>
      </c>
      <c r="Q387" s="55">
        <v>469780</v>
      </c>
      <c r="R387" s="57" t="s">
        <v>564</v>
      </c>
      <c r="S387" s="58" t="s">
        <v>565</v>
      </c>
      <c r="T387" s="51">
        <v>31406.45</v>
      </c>
    </row>
    <row r="388" spans="1:20" x14ac:dyDescent="0.25">
      <c r="A388" s="51" t="str">
        <f>(COUNTIF($K$2:K388,K388))&amp;K388</f>
        <v>2231800</v>
      </c>
      <c r="B388" s="52" t="s">
        <v>591</v>
      </c>
      <c r="C388" s="53" t="s">
        <v>566</v>
      </c>
      <c r="D388" s="54" t="s">
        <v>564</v>
      </c>
      <c r="E388" s="55">
        <v>4062580</v>
      </c>
      <c r="F388" s="55">
        <v>1009180</v>
      </c>
      <c r="G388" s="55">
        <v>423800</v>
      </c>
      <c r="H388" s="55" t="s">
        <v>576</v>
      </c>
      <c r="I388" s="55">
        <v>-21.9</v>
      </c>
      <c r="J388" s="55">
        <v>1.6</v>
      </c>
      <c r="K388" s="56">
        <v>31800</v>
      </c>
      <c r="L388" s="55">
        <v>411.15</v>
      </c>
      <c r="M388" s="55">
        <v>125.79999999999995</v>
      </c>
      <c r="N388" s="55" t="s">
        <v>576</v>
      </c>
      <c r="O388" s="55">
        <v>9960</v>
      </c>
      <c r="P388" s="55">
        <v>24940</v>
      </c>
      <c r="Q388" s="55">
        <v>179320</v>
      </c>
      <c r="R388" s="57" t="s">
        <v>564</v>
      </c>
      <c r="S388" s="58" t="s">
        <v>565</v>
      </c>
      <c r="T388" s="51">
        <v>31406.45</v>
      </c>
    </row>
    <row r="389" spans="1:20" x14ac:dyDescent="0.25">
      <c r="A389" s="51" t="str">
        <f>(COUNTIF($K$2:K389,K389))&amp;K389</f>
        <v>2231900</v>
      </c>
      <c r="B389" s="52" t="s">
        <v>591</v>
      </c>
      <c r="C389" s="53" t="s">
        <v>562</v>
      </c>
      <c r="D389" s="54" t="s">
        <v>563</v>
      </c>
      <c r="E389" s="55">
        <v>2598540</v>
      </c>
      <c r="F389" s="55">
        <v>491820</v>
      </c>
      <c r="G389" s="55">
        <v>-19980</v>
      </c>
      <c r="H389" s="55" t="s">
        <v>576</v>
      </c>
      <c r="I389" s="55">
        <v>-10.199999999999999</v>
      </c>
      <c r="J389" s="55">
        <v>0.9</v>
      </c>
      <c r="K389" s="56">
        <v>31900</v>
      </c>
      <c r="L389" s="55">
        <v>509.85</v>
      </c>
      <c r="M389" s="55">
        <v>133.15000000000003</v>
      </c>
      <c r="N389" s="55" t="s">
        <v>576</v>
      </c>
      <c r="O389" s="55">
        <v>1480</v>
      </c>
      <c r="P389" s="55">
        <v>7020</v>
      </c>
      <c r="Q389" s="55">
        <v>30580</v>
      </c>
      <c r="R389" s="57" t="s">
        <v>564</v>
      </c>
      <c r="S389" s="58" t="s">
        <v>565</v>
      </c>
      <c r="T389" s="51">
        <v>31406.45</v>
      </c>
    </row>
    <row r="390" spans="1:20" x14ac:dyDescent="0.25">
      <c r="A390" s="51" t="str">
        <f>(COUNTIF($K$2:K390,K390))&amp;K390</f>
        <v>2232000</v>
      </c>
      <c r="B390" s="52" t="s">
        <v>591</v>
      </c>
      <c r="C390" s="53" t="s">
        <v>566</v>
      </c>
      <c r="D390" s="54" t="s">
        <v>564</v>
      </c>
      <c r="E390" s="55">
        <v>3018800</v>
      </c>
      <c r="F390" s="55">
        <v>788240</v>
      </c>
      <c r="G390" s="55">
        <v>176580</v>
      </c>
      <c r="H390" s="55" t="s">
        <v>576</v>
      </c>
      <c r="I390" s="55">
        <v>-5.2</v>
      </c>
      <c r="J390" s="55">
        <v>0.8</v>
      </c>
      <c r="K390" s="56">
        <v>32000</v>
      </c>
      <c r="L390" s="55">
        <v>615.79999999999995</v>
      </c>
      <c r="M390" s="55">
        <v>145.29999999999995</v>
      </c>
      <c r="N390" s="55" t="s">
        <v>576</v>
      </c>
      <c r="O390" s="55">
        <v>-80</v>
      </c>
      <c r="P390" s="55">
        <v>12040</v>
      </c>
      <c r="Q390" s="55">
        <v>19920</v>
      </c>
      <c r="R390" s="57" t="s">
        <v>563</v>
      </c>
      <c r="S390" s="58" t="s">
        <v>567</v>
      </c>
      <c r="T390" s="51">
        <v>31406.45</v>
      </c>
    </row>
    <row r="391" spans="1:20" x14ac:dyDescent="0.25">
      <c r="A391" s="51" t="str">
        <f>(COUNTIF($K$2:K391,K391))&amp;K391</f>
        <v>2232100</v>
      </c>
      <c r="B391" s="52" t="s">
        <v>591</v>
      </c>
      <c r="C391" s="53" t="s">
        <v>562</v>
      </c>
      <c r="D391" s="54" t="s">
        <v>563</v>
      </c>
      <c r="E391" s="55">
        <v>457600</v>
      </c>
      <c r="F391" s="55">
        <v>149320</v>
      </c>
      <c r="G391" s="55">
        <v>-1160</v>
      </c>
      <c r="H391" s="55" t="s">
        <v>576</v>
      </c>
      <c r="I391" s="55">
        <v>-2.5499999999999998</v>
      </c>
      <c r="J391" s="55">
        <v>0.6</v>
      </c>
      <c r="K391" s="56">
        <v>32100</v>
      </c>
      <c r="L391" s="55">
        <v>714</v>
      </c>
      <c r="M391" s="55">
        <v>139</v>
      </c>
      <c r="N391" s="55" t="s">
        <v>576</v>
      </c>
      <c r="O391" s="55">
        <v>40</v>
      </c>
      <c r="P391" s="55">
        <v>280</v>
      </c>
      <c r="Q391" s="55">
        <v>160</v>
      </c>
      <c r="R391" s="57" t="s">
        <v>564</v>
      </c>
      <c r="S391" s="58" t="s">
        <v>565</v>
      </c>
      <c r="T391" s="51">
        <v>31406.45</v>
      </c>
    </row>
    <row r="392" spans="1:20" x14ac:dyDescent="0.25">
      <c r="A392" s="51" t="str">
        <f>(COUNTIF($K$2:K392,K392))&amp;K392</f>
        <v>23PCR</v>
      </c>
      <c r="B392" s="52" t="s">
        <v>591</v>
      </c>
      <c r="C392" s="60">
        <v>0.88653338856308184</v>
      </c>
      <c r="E392" s="61"/>
      <c r="F392" s="62">
        <v>9173800</v>
      </c>
      <c r="G392" s="63"/>
      <c r="H392" s="64"/>
      <c r="I392" s="64"/>
      <c r="J392" s="64"/>
      <c r="K392" s="65" t="s">
        <v>555</v>
      </c>
      <c r="L392" s="64"/>
      <c r="M392" s="64"/>
      <c r="N392" s="64"/>
      <c r="P392" s="63">
        <v>8132880</v>
      </c>
      <c r="Q392" s="61"/>
      <c r="R392" s="64"/>
      <c r="S392" s="64"/>
    </row>
    <row r="393" spans="1:20" x14ac:dyDescent="0.25">
      <c r="A393" s="51" t="str">
        <f>(COUNTIF($K$2:K393,K393))&amp;K393</f>
        <v>1430600</v>
      </c>
      <c r="B393" s="52" t="s">
        <v>591</v>
      </c>
      <c r="C393" s="53" t="s">
        <v>562</v>
      </c>
      <c r="D393" s="54" t="s">
        <v>563</v>
      </c>
      <c r="E393" s="55">
        <v>840</v>
      </c>
      <c r="F393" s="55">
        <v>4200</v>
      </c>
      <c r="G393" s="55">
        <v>-340</v>
      </c>
      <c r="H393" s="55" t="s">
        <v>574</v>
      </c>
      <c r="I393" s="55">
        <v>-144.55000000000007</v>
      </c>
      <c r="J393" s="55">
        <v>788.15</v>
      </c>
      <c r="K393" s="56">
        <v>30600</v>
      </c>
      <c r="L393" s="55">
        <v>0.55000000000000004</v>
      </c>
      <c r="M393" s="55">
        <v>-2.4500000000000002</v>
      </c>
      <c r="N393" s="55" t="s">
        <v>576</v>
      </c>
      <c r="O393" s="55">
        <v>820</v>
      </c>
      <c r="P393" s="55">
        <v>200060</v>
      </c>
      <c r="Q393" s="55">
        <v>126880</v>
      </c>
      <c r="R393" s="57" t="s">
        <v>564</v>
      </c>
      <c r="S393" s="58" t="s">
        <v>566</v>
      </c>
      <c r="T393" s="51">
        <v>31406.45</v>
      </c>
    </row>
    <row r="394" spans="1:20" x14ac:dyDescent="0.25">
      <c r="A394" s="51" t="str">
        <f>(COUNTIF($K$2:K394,K394))&amp;K394</f>
        <v>2330700</v>
      </c>
      <c r="B394" s="52" t="s">
        <v>591</v>
      </c>
      <c r="C394" s="53" t="s">
        <v>566</v>
      </c>
      <c r="D394" s="54" t="s">
        <v>564</v>
      </c>
      <c r="E394" s="55">
        <v>1720</v>
      </c>
      <c r="F394" s="55">
        <v>11900</v>
      </c>
      <c r="G394" s="55">
        <v>80</v>
      </c>
      <c r="H394" s="55" t="s">
        <v>574</v>
      </c>
      <c r="I394" s="55">
        <v>-144.64999999999998</v>
      </c>
      <c r="J394" s="55">
        <v>691.35</v>
      </c>
      <c r="K394" s="56">
        <v>30700</v>
      </c>
      <c r="L394" s="55">
        <v>0.7</v>
      </c>
      <c r="M394" s="55">
        <v>-2.9000000000000004</v>
      </c>
      <c r="N394" s="55" t="s">
        <v>576</v>
      </c>
      <c r="O394" s="55">
        <v>28820</v>
      </c>
      <c r="P394" s="55">
        <v>219020</v>
      </c>
      <c r="Q394" s="55">
        <v>261820</v>
      </c>
      <c r="R394" s="57" t="s">
        <v>564</v>
      </c>
      <c r="S394" s="58" t="s">
        <v>566</v>
      </c>
      <c r="T394" s="51">
        <v>31406.45</v>
      </c>
    </row>
    <row r="395" spans="1:20" x14ac:dyDescent="0.25">
      <c r="A395" s="51" t="str">
        <f>(COUNTIF($K$2:K395,K395))&amp;K395</f>
        <v>2330800</v>
      </c>
      <c r="B395" s="52" t="s">
        <v>591</v>
      </c>
      <c r="C395" s="53" t="s">
        <v>562</v>
      </c>
      <c r="D395" s="54" t="s">
        <v>563</v>
      </c>
      <c r="E395" s="55">
        <v>1280</v>
      </c>
      <c r="F395" s="55">
        <v>7280</v>
      </c>
      <c r="G395" s="55">
        <v>-220</v>
      </c>
      <c r="H395" s="55" t="s">
        <v>574</v>
      </c>
      <c r="I395" s="55">
        <v>-145.39999999999998</v>
      </c>
      <c r="J395" s="55">
        <v>590.20000000000005</v>
      </c>
      <c r="K395" s="56">
        <v>30800</v>
      </c>
      <c r="L395" s="55">
        <v>1</v>
      </c>
      <c r="M395" s="55">
        <v>-3.0999999999999996</v>
      </c>
      <c r="N395" s="55" t="s">
        <v>576</v>
      </c>
      <c r="O395" s="55">
        <v>7880</v>
      </c>
      <c r="P395" s="55">
        <v>375280</v>
      </c>
      <c r="Q395" s="55">
        <v>590720</v>
      </c>
      <c r="R395" s="57" t="s">
        <v>564</v>
      </c>
      <c r="S395" s="58" t="s">
        <v>566</v>
      </c>
      <c r="T395" s="51">
        <v>31406.45</v>
      </c>
    </row>
    <row r="396" spans="1:20" x14ac:dyDescent="0.25">
      <c r="A396" s="51" t="str">
        <f>(COUNTIF($K$2:K396,K396))&amp;K396</f>
        <v>2330900</v>
      </c>
      <c r="B396" s="52" t="s">
        <v>591</v>
      </c>
      <c r="C396" s="53" t="s">
        <v>566</v>
      </c>
      <c r="D396" s="54" t="s">
        <v>564</v>
      </c>
      <c r="E396" s="55">
        <v>2960</v>
      </c>
      <c r="F396" s="55">
        <v>6380</v>
      </c>
      <c r="G396" s="55">
        <v>140</v>
      </c>
      <c r="H396" s="55" t="s">
        <v>574</v>
      </c>
      <c r="I396" s="55">
        <v>-145.54999999999995</v>
      </c>
      <c r="J396" s="55">
        <v>488</v>
      </c>
      <c r="K396" s="56">
        <v>30900</v>
      </c>
      <c r="L396" s="55">
        <v>1.8</v>
      </c>
      <c r="M396" s="55">
        <v>-3.7</v>
      </c>
      <c r="N396" s="55" t="s">
        <v>576</v>
      </c>
      <c r="O396" s="55">
        <v>163700</v>
      </c>
      <c r="P396" s="55">
        <v>529580</v>
      </c>
      <c r="Q396" s="55">
        <v>1183420</v>
      </c>
      <c r="R396" s="57" t="s">
        <v>564</v>
      </c>
      <c r="S396" s="58" t="s">
        <v>566</v>
      </c>
      <c r="T396" s="51">
        <v>31406.45</v>
      </c>
    </row>
    <row r="397" spans="1:20" x14ac:dyDescent="0.25">
      <c r="A397" s="51" t="str">
        <f>(COUNTIF($K$2:K397,K397))&amp;K397</f>
        <v>2331000</v>
      </c>
      <c r="B397" s="52" t="s">
        <v>591</v>
      </c>
      <c r="C397" s="53" t="s">
        <v>566</v>
      </c>
      <c r="D397" s="54" t="s">
        <v>564</v>
      </c>
      <c r="E397" s="55">
        <v>82260</v>
      </c>
      <c r="F397" s="55">
        <v>106480</v>
      </c>
      <c r="G397" s="55">
        <v>18260</v>
      </c>
      <c r="H397" s="55" t="s">
        <v>574</v>
      </c>
      <c r="I397" s="55">
        <v>-149.85000000000002</v>
      </c>
      <c r="J397" s="55">
        <v>395</v>
      </c>
      <c r="K397" s="56">
        <v>31000</v>
      </c>
      <c r="L397" s="55">
        <v>3.15</v>
      </c>
      <c r="M397" s="55">
        <v>-4.25</v>
      </c>
      <c r="N397" s="55" t="s">
        <v>576</v>
      </c>
      <c r="O397" s="55">
        <v>695520</v>
      </c>
      <c r="P397" s="55">
        <v>1506120</v>
      </c>
      <c r="Q397" s="55">
        <v>3356160</v>
      </c>
      <c r="R397" s="57" t="s">
        <v>564</v>
      </c>
      <c r="S397" s="58" t="s">
        <v>566</v>
      </c>
      <c r="T397" s="51">
        <v>31406.45</v>
      </c>
    </row>
    <row r="398" spans="1:20" x14ac:dyDescent="0.25">
      <c r="A398" s="51" t="str">
        <f>(COUNTIF($K$2:K398,K398))&amp;K398</f>
        <v>2331100</v>
      </c>
      <c r="B398" s="52" t="s">
        <v>591</v>
      </c>
      <c r="C398" s="53" t="s">
        <v>566</v>
      </c>
      <c r="D398" s="54" t="s">
        <v>564</v>
      </c>
      <c r="E398" s="55">
        <v>68300</v>
      </c>
      <c r="F398" s="55">
        <v>41700</v>
      </c>
      <c r="G398" s="55">
        <v>11040</v>
      </c>
      <c r="H398" s="55" t="s">
        <v>574</v>
      </c>
      <c r="I398" s="55">
        <v>-147.04999999999995</v>
      </c>
      <c r="J398" s="55">
        <v>298.10000000000002</v>
      </c>
      <c r="K398" s="56">
        <v>31100</v>
      </c>
      <c r="L398" s="55">
        <v>6</v>
      </c>
      <c r="M398" s="55">
        <v>-4.1500000000000004</v>
      </c>
      <c r="N398" s="55" t="s">
        <v>576</v>
      </c>
      <c r="O398" s="55">
        <v>485920</v>
      </c>
      <c r="P398" s="55">
        <v>1004620</v>
      </c>
      <c r="Q398" s="55">
        <v>3849560</v>
      </c>
      <c r="R398" s="57" t="s">
        <v>564</v>
      </c>
      <c r="S398" s="58" t="s">
        <v>566</v>
      </c>
      <c r="T398" s="51">
        <v>31406.45</v>
      </c>
    </row>
    <row r="399" spans="1:20" x14ac:dyDescent="0.25">
      <c r="A399" s="51" t="str">
        <f>(COUNTIF($K$2:K399,K399))&amp;K399</f>
        <v>2331200</v>
      </c>
      <c r="B399" s="52" t="s">
        <v>591</v>
      </c>
      <c r="C399" s="53" t="s">
        <v>566</v>
      </c>
      <c r="D399" s="54" t="s">
        <v>564</v>
      </c>
      <c r="E399" s="55">
        <v>665380</v>
      </c>
      <c r="F399" s="55">
        <v>231900</v>
      </c>
      <c r="G399" s="55">
        <v>100180</v>
      </c>
      <c r="H399" s="55" t="s">
        <v>576</v>
      </c>
      <c r="I399" s="55">
        <v>-142.39999999999998</v>
      </c>
      <c r="J399" s="55">
        <v>208.05</v>
      </c>
      <c r="K399" s="56">
        <v>31200</v>
      </c>
      <c r="L399" s="55">
        <v>15.25</v>
      </c>
      <c r="M399" s="55">
        <v>-2.1499999999999986</v>
      </c>
      <c r="N399" s="55" t="s">
        <v>576</v>
      </c>
      <c r="O399" s="55">
        <v>767460</v>
      </c>
      <c r="P399" s="55">
        <v>1293400</v>
      </c>
      <c r="Q399" s="55">
        <v>5317440</v>
      </c>
      <c r="R399" s="57" t="s">
        <v>564</v>
      </c>
      <c r="S399" s="58" t="s">
        <v>566</v>
      </c>
      <c r="T399" s="51">
        <v>31406.45</v>
      </c>
    </row>
    <row r="400" spans="1:20" x14ac:dyDescent="0.25">
      <c r="A400" s="51" t="str">
        <f>(COUNTIF($K$2:K400,K400))&amp;K400</f>
        <v>2331300</v>
      </c>
      <c r="B400" s="52" t="s">
        <v>591</v>
      </c>
      <c r="C400" s="53" t="s">
        <v>566</v>
      </c>
      <c r="D400" s="54" t="s">
        <v>564</v>
      </c>
      <c r="E400" s="55">
        <v>1153500</v>
      </c>
      <c r="F400" s="55">
        <v>265860</v>
      </c>
      <c r="G400" s="55">
        <v>149920</v>
      </c>
      <c r="H400" s="55" t="s">
        <v>576</v>
      </c>
      <c r="I400" s="55">
        <v>-135.9</v>
      </c>
      <c r="J400" s="55">
        <v>129.65</v>
      </c>
      <c r="K400" s="56">
        <v>31300</v>
      </c>
      <c r="L400" s="55">
        <v>37.299999999999997</v>
      </c>
      <c r="M400" s="55">
        <v>6.3499999999999979</v>
      </c>
      <c r="N400" s="55" t="s">
        <v>576</v>
      </c>
      <c r="O400" s="55">
        <v>521860</v>
      </c>
      <c r="P400" s="55">
        <v>1172360</v>
      </c>
      <c r="Q400" s="55">
        <v>6205760</v>
      </c>
      <c r="R400" s="57" t="s">
        <v>564</v>
      </c>
      <c r="S400" s="58" t="s">
        <v>565</v>
      </c>
      <c r="T400" s="51">
        <v>31406.45</v>
      </c>
    </row>
    <row r="401" spans="1:20" ht="15.75" x14ac:dyDescent="0.25">
      <c r="A401" s="51" t="str">
        <f>(COUNTIF($K$2:K401,K401))&amp;K401</f>
        <v>2331400</v>
      </c>
      <c r="B401" s="52" t="s">
        <v>591</v>
      </c>
      <c r="C401" s="53" t="s">
        <v>566</v>
      </c>
      <c r="D401" s="54" t="s">
        <v>564</v>
      </c>
      <c r="E401" s="55">
        <v>3846940</v>
      </c>
      <c r="F401" s="55">
        <v>886100</v>
      </c>
      <c r="G401" s="55">
        <v>701800</v>
      </c>
      <c r="H401" s="55" t="s">
        <v>576</v>
      </c>
      <c r="I401" s="55">
        <v>-118.15</v>
      </c>
      <c r="J401" s="55">
        <v>70.849999999999994</v>
      </c>
      <c r="K401" s="59">
        <v>31400</v>
      </c>
      <c r="L401" s="55">
        <v>78.8</v>
      </c>
      <c r="M401" s="55">
        <v>24.849999999999994</v>
      </c>
      <c r="N401" s="55" t="s">
        <v>576</v>
      </c>
      <c r="O401" s="55">
        <v>341900</v>
      </c>
      <c r="P401" s="55">
        <v>898120</v>
      </c>
      <c r="Q401" s="55">
        <v>5353160</v>
      </c>
      <c r="R401" s="57" t="s">
        <v>564</v>
      </c>
      <c r="S401" s="58" t="s">
        <v>565</v>
      </c>
      <c r="T401" s="51">
        <v>31406.45</v>
      </c>
    </row>
    <row r="402" spans="1:20" x14ac:dyDescent="0.25">
      <c r="A402" s="51" t="str">
        <f>(COUNTIF($K$2:K402,K402))&amp;K402</f>
        <v>2331500</v>
      </c>
      <c r="B402" s="52" t="s">
        <v>591</v>
      </c>
      <c r="C402" s="53" t="s">
        <v>566</v>
      </c>
      <c r="D402" s="54" t="s">
        <v>564</v>
      </c>
      <c r="E402" s="55">
        <v>7392660</v>
      </c>
      <c r="F402" s="55">
        <v>2252620</v>
      </c>
      <c r="G402" s="55">
        <v>1474080</v>
      </c>
      <c r="H402" s="55" t="s">
        <v>576</v>
      </c>
      <c r="I402" s="55">
        <v>-93.550000000000011</v>
      </c>
      <c r="J402" s="55">
        <v>32.9</v>
      </c>
      <c r="K402" s="56">
        <v>31500</v>
      </c>
      <c r="L402" s="55">
        <v>141.55000000000001</v>
      </c>
      <c r="M402" s="55">
        <v>51.400000000000006</v>
      </c>
      <c r="N402" s="55" t="s">
        <v>576</v>
      </c>
      <c r="O402" s="55">
        <v>57560</v>
      </c>
      <c r="P402" s="55">
        <v>688040</v>
      </c>
      <c r="Q402" s="55">
        <v>3414300</v>
      </c>
      <c r="R402" s="57" t="s">
        <v>564</v>
      </c>
      <c r="S402" s="58" t="s">
        <v>565</v>
      </c>
      <c r="T402" s="51">
        <v>31406.45</v>
      </c>
    </row>
    <row r="403" spans="1:20" x14ac:dyDescent="0.25">
      <c r="A403" s="51" t="str">
        <f>(COUNTIF($K$2:K403,K403))&amp;K403</f>
        <v>2331600</v>
      </c>
      <c r="B403" s="52" t="s">
        <v>591</v>
      </c>
      <c r="C403" s="53" t="s">
        <v>566</v>
      </c>
      <c r="D403" s="54" t="s">
        <v>564</v>
      </c>
      <c r="E403" s="55">
        <v>6422540</v>
      </c>
      <c r="F403" s="55">
        <v>1634340</v>
      </c>
      <c r="G403" s="55">
        <v>1014680</v>
      </c>
      <c r="H403" s="55" t="s">
        <v>576</v>
      </c>
      <c r="I403" s="55">
        <v>-66.100000000000009</v>
      </c>
      <c r="J403" s="55">
        <v>12.35</v>
      </c>
      <c r="K403" s="56">
        <v>31600</v>
      </c>
      <c r="L403" s="55">
        <v>220.65</v>
      </c>
      <c r="M403" s="55">
        <v>78.550000000000011</v>
      </c>
      <c r="N403" s="55" t="s">
        <v>576</v>
      </c>
      <c r="O403" s="55">
        <v>51000</v>
      </c>
      <c r="P403" s="55">
        <v>145240</v>
      </c>
      <c r="Q403" s="55">
        <v>1027880</v>
      </c>
      <c r="R403" s="57" t="s">
        <v>564</v>
      </c>
      <c r="S403" s="58" t="s">
        <v>565</v>
      </c>
      <c r="T403" s="51">
        <v>31406.45</v>
      </c>
    </row>
    <row r="404" spans="1:20" x14ac:dyDescent="0.25">
      <c r="A404" s="51" t="str">
        <f>(COUNTIF($K$2:K404,K404))&amp;K404</f>
        <v>2331700</v>
      </c>
      <c r="B404" s="52" t="s">
        <v>591</v>
      </c>
      <c r="C404" s="53" t="s">
        <v>566</v>
      </c>
      <c r="D404" s="54" t="s">
        <v>564</v>
      </c>
      <c r="E404" s="55">
        <v>5770620</v>
      </c>
      <c r="F404" s="55">
        <v>1286480</v>
      </c>
      <c r="G404" s="55">
        <v>651220</v>
      </c>
      <c r="H404" s="55" t="s">
        <v>576</v>
      </c>
      <c r="I404" s="55">
        <v>-39.950000000000003</v>
      </c>
      <c r="J404" s="55">
        <v>4.5</v>
      </c>
      <c r="K404" s="56">
        <v>31700</v>
      </c>
      <c r="L404" s="55">
        <v>313.10000000000002</v>
      </c>
      <c r="M404" s="55">
        <v>103.70000000000002</v>
      </c>
      <c r="N404" s="55" t="s">
        <v>576</v>
      </c>
      <c r="O404" s="55">
        <v>7000</v>
      </c>
      <c r="P404" s="55">
        <v>56760</v>
      </c>
      <c r="Q404" s="55">
        <v>469780</v>
      </c>
      <c r="R404" s="57" t="s">
        <v>564</v>
      </c>
      <c r="S404" s="58" t="s">
        <v>565</v>
      </c>
      <c r="T404" s="51">
        <v>31406.45</v>
      </c>
    </row>
    <row r="405" spans="1:20" x14ac:dyDescent="0.25">
      <c r="A405" s="51" t="str">
        <f>(COUNTIF($K$2:K405,K405))&amp;K405</f>
        <v>2331800</v>
      </c>
      <c r="B405" s="52" t="s">
        <v>591</v>
      </c>
      <c r="C405" s="53" t="s">
        <v>566</v>
      </c>
      <c r="D405" s="54" t="s">
        <v>564</v>
      </c>
      <c r="E405" s="55">
        <v>4062580</v>
      </c>
      <c r="F405" s="55">
        <v>1009180</v>
      </c>
      <c r="G405" s="55">
        <v>423800</v>
      </c>
      <c r="H405" s="55" t="s">
        <v>576</v>
      </c>
      <c r="I405" s="55">
        <v>-21.9</v>
      </c>
      <c r="J405" s="55">
        <v>1.6</v>
      </c>
      <c r="K405" s="56">
        <v>31800</v>
      </c>
      <c r="L405" s="55">
        <v>411.15</v>
      </c>
      <c r="M405" s="55">
        <v>125.79999999999995</v>
      </c>
      <c r="N405" s="55" t="s">
        <v>576</v>
      </c>
      <c r="O405" s="55">
        <v>9960</v>
      </c>
      <c r="P405" s="55">
        <v>24940</v>
      </c>
      <c r="Q405" s="55">
        <v>179320</v>
      </c>
      <c r="R405" s="57" t="s">
        <v>564</v>
      </c>
      <c r="S405" s="58" t="s">
        <v>565</v>
      </c>
      <c r="T405" s="51">
        <v>31406.45</v>
      </c>
    </row>
    <row r="406" spans="1:20" x14ac:dyDescent="0.25">
      <c r="A406" s="51" t="str">
        <f>(COUNTIF($K$2:K406,K406))&amp;K406</f>
        <v>2331900</v>
      </c>
      <c r="B406" s="52" t="s">
        <v>591</v>
      </c>
      <c r="C406" s="53" t="s">
        <v>562</v>
      </c>
      <c r="D406" s="54" t="s">
        <v>563</v>
      </c>
      <c r="E406" s="55">
        <v>2598540</v>
      </c>
      <c r="F406" s="55">
        <v>491820</v>
      </c>
      <c r="G406" s="55">
        <v>-19980</v>
      </c>
      <c r="H406" s="55" t="s">
        <v>576</v>
      </c>
      <c r="I406" s="55">
        <v>-10.199999999999999</v>
      </c>
      <c r="J406" s="55">
        <v>0.9</v>
      </c>
      <c r="K406" s="56">
        <v>31900</v>
      </c>
      <c r="L406" s="55">
        <v>509.85</v>
      </c>
      <c r="M406" s="55">
        <v>133.15000000000003</v>
      </c>
      <c r="N406" s="55" t="s">
        <v>576</v>
      </c>
      <c r="O406" s="55">
        <v>1480</v>
      </c>
      <c r="P406" s="55">
        <v>7020</v>
      </c>
      <c r="Q406" s="55">
        <v>30580</v>
      </c>
      <c r="R406" s="57" t="s">
        <v>564</v>
      </c>
      <c r="S406" s="58" t="s">
        <v>565</v>
      </c>
      <c r="T406" s="51">
        <v>31406.45</v>
      </c>
    </row>
    <row r="407" spans="1:20" x14ac:dyDescent="0.25">
      <c r="A407" s="51" t="str">
        <f>(COUNTIF($K$2:K407,K407))&amp;K407</f>
        <v>2332000</v>
      </c>
      <c r="B407" s="52" t="s">
        <v>591</v>
      </c>
      <c r="C407" s="53" t="s">
        <v>566</v>
      </c>
      <c r="D407" s="54" t="s">
        <v>564</v>
      </c>
      <c r="E407" s="55">
        <v>3018800</v>
      </c>
      <c r="F407" s="55">
        <v>788240</v>
      </c>
      <c r="G407" s="55">
        <v>176580</v>
      </c>
      <c r="H407" s="55" t="s">
        <v>576</v>
      </c>
      <c r="I407" s="55">
        <v>-5.2</v>
      </c>
      <c r="J407" s="55">
        <v>0.8</v>
      </c>
      <c r="K407" s="56">
        <v>32000</v>
      </c>
      <c r="L407" s="55">
        <v>615.79999999999995</v>
      </c>
      <c r="M407" s="55">
        <v>145.29999999999995</v>
      </c>
      <c r="N407" s="55" t="s">
        <v>576</v>
      </c>
      <c r="O407" s="55">
        <v>-80</v>
      </c>
      <c r="P407" s="55">
        <v>12040</v>
      </c>
      <c r="Q407" s="55">
        <v>19920</v>
      </c>
      <c r="R407" s="57" t="s">
        <v>563</v>
      </c>
      <c r="S407" s="58" t="s">
        <v>567</v>
      </c>
      <c r="T407" s="51">
        <v>31406.45</v>
      </c>
    </row>
    <row r="408" spans="1:20" x14ac:dyDescent="0.25">
      <c r="A408" s="51" t="str">
        <f>(COUNTIF($K$2:K408,K408))&amp;K408</f>
        <v>2332100</v>
      </c>
      <c r="B408" s="52" t="s">
        <v>591</v>
      </c>
      <c r="C408" s="53" t="s">
        <v>562</v>
      </c>
      <c r="D408" s="54" t="s">
        <v>563</v>
      </c>
      <c r="E408" s="55">
        <v>457600</v>
      </c>
      <c r="F408" s="55">
        <v>149320</v>
      </c>
      <c r="G408" s="55">
        <v>-1160</v>
      </c>
      <c r="H408" s="55" t="s">
        <v>576</v>
      </c>
      <c r="I408" s="55">
        <v>-2.5499999999999998</v>
      </c>
      <c r="J408" s="55">
        <v>0.6</v>
      </c>
      <c r="K408" s="56">
        <v>32100</v>
      </c>
      <c r="L408" s="55">
        <v>714</v>
      </c>
      <c r="M408" s="55">
        <v>139</v>
      </c>
      <c r="N408" s="55" t="s">
        <v>576</v>
      </c>
      <c r="O408" s="55">
        <v>40</v>
      </c>
      <c r="P408" s="55">
        <v>280</v>
      </c>
      <c r="Q408" s="55">
        <v>160</v>
      </c>
      <c r="R408" s="57" t="s">
        <v>564</v>
      </c>
      <c r="S408" s="58" t="s">
        <v>565</v>
      </c>
      <c r="T408" s="51">
        <v>31406.45</v>
      </c>
    </row>
    <row r="409" spans="1:20" x14ac:dyDescent="0.25">
      <c r="A409" s="51" t="str">
        <f>(COUNTIF($K$2:K409,K409))&amp;K409</f>
        <v>24PCR</v>
      </c>
      <c r="B409" s="52" t="s">
        <v>591</v>
      </c>
      <c r="C409" s="60">
        <v>0.88653338856308184</v>
      </c>
      <c r="E409" s="61"/>
      <c r="F409" s="62">
        <v>9173800</v>
      </c>
      <c r="G409" s="63"/>
      <c r="H409" s="64"/>
      <c r="I409" s="64"/>
      <c r="J409" s="64"/>
      <c r="K409" s="65" t="s">
        <v>555</v>
      </c>
      <c r="L409" s="64"/>
      <c r="M409" s="64"/>
      <c r="N409" s="64"/>
      <c r="P409" s="63">
        <v>8132880</v>
      </c>
      <c r="Q409" s="61"/>
      <c r="R409" s="64"/>
      <c r="S409" s="64"/>
    </row>
    <row r="410" spans="1:20" x14ac:dyDescent="0.25">
      <c r="A410" s="51" t="str">
        <f>(COUNTIF($K$2:K410,K410))&amp;K410</f>
        <v>1530600</v>
      </c>
      <c r="B410" s="52" t="s">
        <v>592</v>
      </c>
      <c r="C410" s="53" t="s">
        <v>562</v>
      </c>
      <c r="D410" s="54" t="s">
        <v>563</v>
      </c>
      <c r="E410" s="55">
        <v>900</v>
      </c>
      <c r="F410" s="55">
        <v>4080</v>
      </c>
      <c r="G410" s="55">
        <v>-460</v>
      </c>
      <c r="H410" s="55" t="s">
        <v>574</v>
      </c>
      <c r="I410" s="55">
        <v>-168.55000000000007</v>
      </c>
      <c r="J410" s="55">
        <v>764.15</v>
      </c>
      <c r="K410" s="56">
        <v>30600</v>
      </c>
      <c r="L410" s="55">
        <v>0.55000000000000004</v>
      </c>
      <c r="M410" s="55">
        <v>-2.4500000000000002</v>
      </c>
      <c r="N410" s="55" t="s">
        <v>576</v>
      </c>
      <c r="O410" s="55">
        <v>3720</v>
      </c>
      <c r="P410" s="55">
        <v>202960</v>
      </c>
      <c r="Q410" s="55">
        <v>129520</v>
      </c>
      <c r="R410" s="57" t="s">
        <v>564</v>
      </c>
      <c r="S410" s="58" t="s">
        <v>566</v>
      </c>
      <c r="T410" s="51">
        <v>31372.45</v>
      </c>
    </row>
    <row r="411" spans="1:20" x14ac:dyDescent="0.25">
      <c r="A411" s="51" t="str">
        <f>(COUNTIF($K$2:K411,K411))&amp;K411</f>
        <v>2430700</v>
      </c>
      <c r="B411" s="52" t="s">
        <v>592</v>
      </c>
      <c r="C411" s="53" t="s">
        <v>562</v>
      </c>
      <c r="D411" s="54" t="s">
        <v>563</v>
      </c>
      <c r="E411" s="55">
        <v>4640</v>
      </c>
      <c r="F411" s="55">
        <v>11560</v>
      </c>
      <c r="G411" s="55">
        <v>-260</v>
      </c>
      <c r="H411" s="55" t="s">
        <v>574</v>
      </c>
      <c r="I411" s="55">
        <v>-168.5</v>
      </c>
      <c r="J411" s="55">
        <v>667.5</v>
      </c>
      <c r="K411" s="56">
        <v>30700</v>
      </c>
      <c r="L411" s="55">
        <v>0.8</v>
      </c>
      <c r="M411" s="55">
        <v>-2.8</v>
      </c>
      <c r="N411" s="55" t="s">
        <v>576</v>
      </c>
      <c r="O411" s="55">
        <v>29700</v>
      </c>
      <c r="P411" s="55">
        <v>219900</v>
      </c>
      <c r="Q411" s="55">
        <v>268360</v>
      </c>
      <c r="R411" s="57" t="s">
        <v>564</v>
      </c>
      <c r="S411" s="58" t="s">
        <v>566</v>
      </c>
      <c r="T411" s="51">
        <v>31372.45</v>
      </c>
    </row>
    <row r="412" spans="1:20" x14ac:dyDescent="0.25">
      <c r="A412" s="51" t="str">
        <f>(COUNTIF($K$2:K412,K412))&amp;K412</f>
        <v>2430800</v>
      </c>
      <c r="B412" s="52" t="s">
        <v>592</v>
      </c>
      <c r="C412" s="53" t="s">
        <v>562</v>
      </c>
      <c r="D412" s="54" t="s">
        <v>563</v>
      </c>
      <c r="E412" s="55">
        <v>2060</v>
      </c>
      <c r="F412" s="55">
        <v>7360</v>
      </c>
      <c r="G412" s="55">
        <v>-140</v>
      </c>
      <c r="H412" s="55" t="s">
        <v>574</v>
      </c>
      <c r="I412" s="55">
        <v>-177.89999999999998</v>
      </c>
      <c r="J412" s="55">
        <v>557.70000000000005</v>
      </c>
      <c r="K412" s="56">
        <v>30800</v>
      </c>
      <c r="L412" s="55">
        <v>1.05</v>
      </c>
      <c r="M412" s="55">
        <v>-3.05</v>
      </c>
      <c r="N412" s="55" t="s">
        <v>576</v>
      </c>
      <c r="O412" s="55">
        <v>11480</v>
      </c>
      <c r="P412" s="55">
        <v>378880</v>
      </c>
      <c r="Q412" s="55">
        <v>628780</v>
      </c>
      <c r="R412" s="57" t="s">
        <v>564</v>
      </c>
      <c r="S412" s="58" t="s">
        <v>566</v>
      </c>
      <c r="T412" s="51">
        <v>31372.45</v>
      </c>
    </row>
    <row r="413" spans="1:20" x14ac:dyDescent="0.25">
      <c r="A413" s="51" t="str">
        <f>(COUNTIF($K$2:K413,K413))&amp;K413</f>
        <v>2430900</v>
      </c>
      <c r="B413" s="52" t="s">
        <v>592</v>
      </c>
      <c r="C413" s="53" t="s">
        <v>566</v>
      </c>
      <c r="D413" s="54" t="s">
        <v>564</v>
      </c>
      <c r="E413" s="55">
        <v>3180</v>
      </c>
      <c r="F413" s="55">
        <v>6320</v>
      </c>
      <c r="G413" s="55">
        <v>80</v>
      </c>
      <c r="H413" s="55" t="s">
        <v>574</v>
      </c>
      <c r="I413" s="55">
        <v>-180.29999999999995</v>
      </c>
      <c r="J413" s="55">
        <v>453.25</v>
      </c>
      <c r="K413" s="56">
        <v>30900</v>
      </c>
      <c r="L413" s="55">
        <v>1.85</v>
      </c>
      <c r="M413" s="55">
        <v>-3.65</v>
      </c>
      <c r="N413" s="55" t="s">
        <v>576</v>
      </c>
      <c r="O413" s="55">
        <v>170120</v>
      </c>
      <c r="P413" s="55">
        <v>536000</v>
      </c>
      <c r="Q413" s="55">
        <v>1270760</v>
      </c>
      <c r="R413" s="57" t="s">
        <v>564</v>
      </c>
      <c r="S413" s="58" t="s">
        <v>566</v>
      </c>
      <c r="T413" s="51">
        <v>31372.45</v>
      </c>
    </row>
    <row r="414" spans="1:20" x14ac:dyDescent="0.25">
      <c r="A414" s="51" t="str">
        <f>(COUNTIF($K$2:K414,K414))&amp;K414</f>
        <v>2431000</v>
      </c>
      <c r="B414" s="52" t="s">
        <v>592</v>
      </c>
      <c r="C414" s="53" t="s">
        <v>566</v>
      </c>
      <c r="D414" s="54" t="s">
        <v>564</v>
      </c>
      <c r="E414" s="55">
        <v>91120</v>
      </c>
      <c r="F414" s="55">
        <v>104560</v>
      </c>
      <c r="G414" s="55">
        <v>16340</v>
      </c>
      <c r="H414" s="55" t="s">
        <v>574</v>
      </c>
      <c r="I414" s="55">
        <v>-183.90000000000003</v>
      </c>
      <c r="J414" s="55">
        <v>360.95</v>
      </c>
      <c r="K414" s="56">
        <v>31000</v>
      </c>
      <c r="L414" s="55">
        <v>3.55</v>
      </c>
      <c r="M414" s="55">
        <v>-3.8500000000000005</v>
      </c>
      <c r="N414" s="55" t="s">
        <v>576</v>
      </c>
      <c r="O414" s="55">
        <v>739320</v>
      </c>
      <c r="P414" s="55">
        <v>1549920</v>
      </c>
      <c r="Q414" s="55">
        <v>3621980</v>
      </c>
      <c r="R414" s="57" t="s">
        <v>564</v>
      </c>
      <c r="S414" s="58" t="s">
        <v>566</v>
      </c>
      <c r="T414" s="51">
        <v>31372.45</v>
      </c>
    </row>
    <row r="415" spans="1:20" x14ac:dyDescent="0.25">
      <c r="A415" s="51" t="str">
        <f>(COUNTIF($K$2:K415,K415))&amp;K415</f>
        <v>2431100</v>
      </c>
      <c r="B415" s="52" t="s">
        <v>592</v>
      </c>
      <c r="C415" s="53" t="s">
        <v>566</v>
      </c>
      <c r="D415" s="54" t="s">
        <v>564</v>
      </c>
      <c r="E415" s="55">
        <v>79980</v>
      </c>
      <c r="F415" s="55">
        <v>42680</v>
      </c>
      <c r="G415" s="55">
        <v>12020</v>
      </c>
      <c r="H415" s="55" t="s">
        <v>574</v>
      </c>
      <c r="I415" s="55">
        <v>-181.29999999999995</v>
      </c>
      <c r="J415" s="55">
        <v>263.85000000000002</v>
      </c>
      <c r="K415" s="56">
        <v>31100</v>
      </c>
      <c r="L415" s="55">
        <v>7</v>
      </c>
      <c r="M415" s="55">
        <v>-3.1500000000000004</v>
      </c>
      <c r="N415" s="55" t="s">
        <v>576</v>
      </c>
      <c r="O415" s="55">
        <v>502360</v>
      </c>
      <c r="P415" s="55">
        <v>1021060</v>
      </c>
      <c r="Q415" s="55">
        <v>4122460</v>
      </c>
      <c r="R415" s="57" t="s">
        <v>564</v>
      </c>
      <c r="S415" s="58" t="s">
        <v>566</v>
      </c>
      <c r="T415" s="51">
        <v>31372.45</v>
      </c>
    </row>
    <row r="416" spans="1:20" x14ac:dyDescent="0.25">
      <c r="A416" s="51" t="str">
        <f>(COUNTIF($K$2:K416,K416))&amp;K416</f>
        <v>2431200</v>
      </c>
      <c r="B416" s="52" t="s">
        <v>592</v>
      </c>
      <c r="C416" s="53" t="s">
        <v>566</v>
      </c>
      <c r="D416" s="54" t="s">
        <v>564</v>
      </c>
      <c r="E416" s="55">
        <v>763140</v>
      </c>
      <c r="F416" s="55">
        <v>237720</v>
      </c>
      <c r="G416" s="55">
        <v>106000</v>
      </c>
      <c r="H416" s="55" t="s">
        <v>576</v>
      </c>
      <c r="I416" s="55">
        <v>-175.35</v>
      </c>
      <c r="J416" s="55">
        <v>175.1</v>
      </c>
      <c r="K416" s="56">
        <v>31200</v>
      </c>
      <c r="L416" s="55">
        <v>18.7</v>
      </c>
      <c r="M416" s="55">
        <v>1.3000000000000007</v>
      </c>
      <c r="N416" s="55" t="s">
        <v>576</v>
      </c>
      <c r="O416" s="55">
        <v>822080</v>
      </c>
      <c r="P416" s="55">
        <v>1348020</v>
      </c>
      <c r="Q416" s="55">
        <v>5798160</v>
      </c>
      <c r="R416" s="57" t="s">
        <v>564</v>
      </c>
      <c r="S416" s="58" t="s">
        <v>565</v>
      </c>
      <c r="T416" s="51">
        <v>31372.45</v>
      </c>
    </row>
    <row r="417" spans="1:20" x14ac:dyDescent="0.25">
      <c r="A417" s="51" t="str">
        <f>(COUNTIF($K$2:K417,K417))&amp;K417</f>
        <v>2431300</v>
      </c>
      <c r="B417" s="52" t="s">
        <v>592</v>
      </c>
      <c r="C417" s="53" t="s">
        <v>566</v>
      </c>
      <c r="D417" s="54" t="s">
        <v>564</v>
      </c>
      <c r="E417" s="55">
        <v>1337480</v>
      </c>
      <c r="F417" s="55">
        <v>273780</v>
      </c>
      <c r="G417" s="55">
        <v>157840</v>
      </c>
      <c r="H417" s="55" t="s">
        <v>576</v>
      </c>
      <c r="I417" s="55">
        <v>-163.4</v>
      </c>
      <c r="J417" s="55">
        <v>102.15</v>
      </c>
      <c r="K417" s="56">
        <v>31300</v>
      </c>
      <c r="L417" s="55">
        <v>45.85</v>
      </c>
      <c r="M417" s="55">
        <v>14.900000000000002</v>
      </c>
      <c r="N417" s="55" t="s">
        <v>576</v>
      </c>
      <c r="O417" s="55">
        <v>557640</v>
      </c>
      <c r="P417" s="55">
        <v>1208140</v>
      </c>
      <c r="Q417" s="55">
        <v>6802520</v>
      </c>
      <c r="R417" s="57" t="s">
        <v>564</v>
      </c>
      <c r="S417" s="58" t="s">
        <v>565</v>
      </c>
      <c r="T417" s="51">
        <v>31372.45</v>
      </c>
    </row>
    <row r="418" spans="1:20" ht="15.75" x14ac:dyDescent="0.25">
      <c r="A418" s="51" t="str">
        <f>(COUNTIF($K$2:K418,K418))&amp;K418</f>
        <v>2431400</v>
      </c>
      <c r="B418" s="52" t="s">
        <v>592</v>
      </c>
      <c r="C418" s="53" t="s">
        <v>566</v>
      </c>
      <c r="D418" s="54" t="s">
        <v>564</v>
      </c>
      <c r="E418" s="55">
        <v>4428100</v>
      </c>
      <c r="F418" s="55">
        <v>942720</v>
      </c>
      <c r="G418" s="55">
        <v>758420</v>
      </c>
      <c r="H418" s="55" t="s">
        <v>576</v>
      </c>
      <c r="I418" s="55">
        <v>-138.65</v>
      </c>
      <c r="J418" s="55">
        <v>50.35</v>
      </c>
      <c r="K418" s="59">
        <v>31400</v>
      </c>
      <c r="L418" s="55">
        <v>93.9</v>
      </c>
      <c r="M418" s="55">
        <v>39.950000000000003</v>
      </c>
      <c r="N418" s="55" t="s">
        <v>576</v>
      </c>
      <c r="O418" s="55">
        <v>376980</v>
      </c>
      <c r="P418" s="55">
        <v>933200</v>
      </c>
      <c r="Q418" s="55">
        <v>5883980</v>
      </c>
      <c r="R418" s="57" t="s">
        <v>564</v>
      </c>
      <c r="S418" s="58" t="s">
        <v>565</v>
      </c>
      <c r="T418" s="51">
        <v>31372.45</v>
      </c>
    </row>
    <row r="419" spans="1:20" x14ac:dyDescent="0.25">
      <c r="A419" s="51" t="str">
        <f>(COUNTIF($K$2:K419,K419))&amp;K419</f>
        <v>2431500</v>
      </c>
      <c r="B419" s="52" t="s">
        <v>592</v>
      </c>
      <c r="C419" s="53" t="s">
        <v>566</v>
      </c>
      <c r="D419" s="54" t="s">
        <v>564</v>
      </c>
      <c r="E419" s="55">
        <v>8267240</v>
      </c>
      <c r="F419" s="55">
        <v>2328640</v>
      </c>
      <c r="G419" s="55">
        <v>1550100</v>
      </c>
      <c r="H419" s="55" t="s">
        <v>576</v>
      </c>
      <c r="I419" s="55">
        <v>-104.80000000000001</v>
      </c>
      <c r="J419" s="55">
        <v>21.65</v>
      </c>
      <c r="K419" s="56">
        <v>31500</v>
      </c>
      <c r="L419" s="55">
        <v>165.35</v>
      </c>
      <c r="M419" s="55">
        <v>75.199999999999989</v>
      </c>
      <c r="N419" s="55" t="s">
        <v>576</v>
      </c>
      <c r="O419" s="55">
        <v>37060</v>
      </c>
      <c r="P419" s="55">
        <v>667540</v>
      </c>
      <c r="Q419" s="55">
        <v>3699740</v>
      </c>
      <c r="R419" s="57" t="s">
        <v>564</v>
      </c>
      <c r="S419" s="58" t="s">
        <v>565</v>
      </c>
      <c r="T419" s="51">
        <v>31372.45</v>
      </c>
    </row>
    <row r="420" spans="1:20" x14ac:dyDescent="0.25">
      <c r="A420" s="51" t="str">
        <f>(COUNTIF($K$2:K420,K420))&amp;K420</f>
        <v>2431600</v>
      </c>
      <c r="B420" s="52" t="s">
        <v>592</v>
      </c>
      <c r="C420" s="53" t="s">
        <v>566</v>
      </c>
      <c r="D420" s="54" t="s">
        <v>564</v>
      </c>
      <c r="E420" s="55">
        <v>7058460</v>
      </c>
      <c r="F420" s="55">
        <v>1700520</v>
      </c>
      <c r="G420" s="55">
        <v>1080860</v>
      </c>
      <c r="H420" s="55" t="s">
        <v>576</v>
      </c>
      <c r="I420" s="55">
        <v>-70.150000000000006</v>
      </c>
      <c r="J420" s="55">
        <v>8.3000000000000007</v>
      </c>
      <c r="K420" s="56">
        <v>31600</v>
      </c>
      <c r="L420" s="55">
        <v>251.35</v>
      </c>
      <c r="M420" s="55">
        <v>109.25</v>
      </c>
      <c r="N420" s="55" t="s">
        <v>576</v>
      </c>
      <c r="O420" s="55">
        <v>51320</v>
      </c>
      <c r="P420" s="55">
        <v>145560</v>
      </c>
      <c r="Q420" s="55">
        <v>1108520</v>
      </c>
      <c r="R420" s="57" t="s">
        <v>564</v>
      </c>
      <c r="S420" s="58" t="s">
        <v>565</v>
      </c>
      <c r="T420" s="51">
        <v>31372.45</v>
      </c>
    </row>
    <row r="421" spans="1:20" x14ac:dyDescent="0.25">
      <c r="A421" s="51" t="str">
        <f>(COUNTIF($K$2:K421,K421))&amp;K421</f>
        <v>2431700</v>
      </c>
      <c r="B421" s="52" t="s">
        <v>592</v>
      </c>
      <c r="C421" s="53" t="s">
        <v>566</v>
      </c>
      <c r="D421" s="54" t="s">
        <v>564</v>
      </c>
      <c r="E421" s="55">
        <v>6191180</v>
      </c>
      <c r="F421" s="55">
        <v>1310500</v>
      </c>
      <c r="G421" s="55">
        <v>675240</v>
      </c>
      <c r="H421" s="55" t="s">
        <v>576</v>
      </c>
      <c r="I421" s="55">
        <v>-40.85</v>
      </c>
      <c r="J421" s="55">
        <v>3.6</v>
      </c>
      <c r="K421" s="56">
        <v>31700</v>
      </c>
      <c r="L421" s="55">
        <v>345.6</v>
      </c>
      <c r="M421" s="55">
        <v>136.20000000000002</v>
      </c>
      <c r="N421" s="55" t="s">
        <v>576</v>
      </c>
      <c r="O421" s="55">
        <v>4780</v>
      </c>
      <c r="P421" s="55">
        <v>54540</v>
      </c>
      <c r="Q421" s="55">
        <v>495180</v>
      </c>
      <c r="R421" s="57" t="s">
        <v>564</v>
      </c>
      <c r="S421" s="58" t="s">
        <v>565</v>
      </c>
      <c r="T421" s="51">
        <v>31372.45</v>
      </c>
    </row>
    <row r="422" spans="1:20" x14ac:dyDescent="0.25">
      <c r="A422" s="51" t="str">
        <f>(COUNTIF($K$2:K422,K422))&amp;K422</f>
        <v>2431800</v>
      </c>
      <c r="B422" s="52" t="s">
        <v>592</v>
      </c>
      <c r="C422" s="53" t="s">
        <v>566</v>
      </c>
      <c r="D422" s="54" t="s">
        <v>564</v>
      </c>
      <c r="E422" s="55">
        <v>4318380</v>
      </c>
      <c r="F422" s="55">
        <v>1016600</v>
      </c>
      <c r="G422" s="55">
        <v>431220</v>
      </c>
      <c r="H422" s="55" t="s">
        <v>576</v>
      </c>
      <c r="I422" s="55">
        <v>-21.85</v>
      </c>
      <c r="J422" s="55">
        <v>1.65</v>
      </c>
      <c r="K422" s="56">
        <v>31800</v>
      </c>
      <c r="L422" s="55">
        <v>441.35</v>
      </c>
      <c r="M422" s="55">
        <v>156</v>
      </c>
      <c r="N422" s="55" t="s">
        <v>576</v>
      </c>
      <c r="O422" s="55">
        <v>9200</v>
      </c>
      <c r="P422" s="55">
        <v>24180</v>
      </c>
      <c r="Q422" s="55">
        <v>191580</v>
      </c>
      <c r="R422" s="57" t="s">
        <v>564</v>
      </c>
      <c r="S422" s="58" t="s">
        <v>565</v>
      </c>
      <c r="T422" s="51">
        <v>31372.45</v>
      </c>
    </row>
    <row r="423" spans="1:20" x14ac:dyDescent="0.25">
      <c r="A423" s="51" t="str">
        <f>(COUNTIF($K$2:K423,K423))&amp;K423</f>
        <v>2431900</v>
      </c>
      <c r="B423" s="52" t="s">
        <v>592</v>
      </c>
      <c r="C423" s="53" t="s">
        <v>562</v>
      </c>
      <c r="D423" s="54" t="s">
        <v>563</v>
      </c>
      <c r="E423" s="55">
        <v>2809220</v>
      </c>
      <c r="F423" s="55">
        <v>504840</v>
      </c>
      <c r="G423" s="55">
        <v>-6960</v>
      </c>
      <c r="H423" s="55" t="s">
        <v>576</v>
      </c>
      <c r="I423" s="55">
        <v>-10.199999999999999</v>
      </c>
      <c r="J423" s="55">
        <v>0.9</v>
      </c>
      <c r="K423" s="56">
        <v>31900</v>
      </c>
      <c r="L423" s="55">
        <v>546</v>
      </c>
      <c r="M423" s="55">
        <v>169.3</v>
      </c>
      <c r="N423" s="55" t="s">
        <v>576</v>
      </c>
      <c r="O423" s="55">
        <v>1380</v>
      </c>
      <c r="P423" s="55">
        <v>6920</v>
      </c>
      <c r="Q423" s="55">
        <v>31900</v>
      </c>
      <c r="R423" s="57" t="s">
        <v>564</v>
      </c>
      <c r="S423" s="58" t="s">
        <v>565</v>
      </c>
      <c r="T423" s="51">
        <v>31372.45</v>
      </c>
    </row>
    <row r="424" spans="1:20" x14ac:dyDescent="0.25">
      <c r="A424" s="51" t="str">
        <f>(COUNTIF($K$2:K424,K424))&amp;K424</f>
        <v>2432000</v>
      </c>
      <c r="B424" s="52" t="s">
        <v>592</v>
      </c>
      <c r="C424" s="53" t="s">
        <v>566</v>
      </c>
      <c r="D424" s="54" t="s">
        <v>564</v>
      </c>
      <c r="E424" s="55">
        <v>3463820</v>
      </c>
      <c r="F424" s="55">
        <v>766800</v>
      </c>
      <c r="G424" s="55">
        <v>155140</v>
      </c>
      <c r="H424" s="55" t="s">
        <v>576</v>
      </c>
      <c r="I424" s="55">
        <v>-5.2</v>
      </c>
      <c r="J424" s="55">
        <v>0.8</v>
      </c>
      <c r="K424" s="56">
        <v>32000</v>
      </c>
      <c r="L424" s="55">
        <v>646.75</v>
      </c>
      <c r="M424" s="55">
        <v>176.25</v>
      </c>
      <c r="N424" s="55" t="s">
        <v>576</v>
      </c>
      <c r="O424" s="55">
        <v>-660</v>
      </c>
      <c r="P424" s="55">
        <v>11460</v>
      </c>
      <c r="Q424" s="55">
        <v>21340</v>
      </c>
      <c r="R424" s="57" t="s">
        <v>563</v>
      </c>
      <c r="S424" s="58" t="s">
        <v>567</v>
      </c>
      <c r="T424" s="51">
        <v>31372.45</v>
      </c>
    </row>
    <row r="425" spans="1:20" x14ac:dyDescent="0.25">
      <c r="A425" s="51" t="str">
        <f>(COUNTIF($K$2:K425,K425))&amp;K425</f>
        <v>2432100</v>
      </c>
      <c r="B425" s="52" t="s">
        <v>592</v>
      </c>
      <c r="C425" s="53" t="s">
        <v>562</v>
      </c>
      <c r="D425" s="54" t="s">
        <v>563</v>
      </c>
      <c r="E425" s="55">
        <v>490460</v>
      </c>
      <c r="F425" s="55">
        <v>148120</v>
      </c>
      <c r="G425" s="55">
        <v>-2360</v>
      </c>
      <c r="H425" s="55" t="s">
        <v>576</v>
      </c>
      <c r="I425" s="55">
        <v>-2.5499999999999998</v>
      </c>
      <c r="J425" s="55">
        <v>0.6</v>
      </c>
      <c r="K425" s="56">
        <v>32100</v>
      </c>
      <c r="L425" s="55">
        <v>714</v>
      </c>
      <c r="M425" s="55">
        <v>139</v>
      </c>
      <c r="N425" s="55" t="s">
        <v>574</v>
      </c>
      <c r="O425" s="55">
        <v>40</v>
      </c>
      <c r="P425" s="55">
        <v>280</v>
      </c>
      <c r="Q425" s="55">
        <v>160</v>
      </c>
      <c r="R425" s="57" t="s">
        <v>564</v>
      </c>
      <c r="S425" s="58" t="s">
        <v>565</v>
      </c>
      <c r="T425" s="51">
        <v>31372.45</v>
      </c>
    </row>
    <row r="426" spans="1:20" x14ac:dyDescent="0.25">
      <c r="A426" s="51" t="str">
        <f>(COUNTIF($K$2:K426,K426))&amp;K426</f>
        <v>25PCR</v>
      </c>
      <c r="B426" s="52" t="s">
        <v>592</v>
      </c>
      <c r="C426" s="60">
        <v>0.88325041459369813</v>
      </c>
      <c r="E426" s="61"/>
      <c r="F426" s="62">
        <v>9406800</v>
      </c>
      <c r="G426" s="63"/>
      <c r="H426" s="64"/>
      <c r="I426" s="64"/>
      <c r="J426" s="64"/>
      <c r="K426" s="65" t="s">
        <v>555</v>
      </c>
      <c r="L426" s="64"/>
      <c r="M426" s="64"/>
      <c r="N426" s="64"/>
      <c r="P426" s="63">
        <v>8308560</v>
      </c>
      <c r="Q426" s="61"/>
      <c r="R426" s="64"/>
      <c r="S426" s="64"/>
    </row>
    <row r="427" spans="1:20" x14ac:dyDescent="0.25">
      <c r="A427" s="51" t="str">
        <f>(COUNTIF($K$2:K427,K427))&amp;K427</f>
        <v>1630600</v>
      </c>
      <c r="B427" s="52" t="s">
        <v>592</v>
      </c>
      <c r="C427" s="53" t="s">
        <v>562</v>
      </c>
      <c r="D427" s="54" t="s">
        <v>563</v>
      </c>
      <c r="E427" s="55">
        <v>900</v>
      </c>
      <c r="F427" s="55">
        <v>4080</v>
      </c>
      <c r="G427" s="55">
        <v>-460</v>
      </c>
      <c r="H427" s="55" t="s">
        <v>574</v>
      </c>
      <c r="I427" s="55">
        <v>-168.55000000000007</v>
      </c>
      <c r="J427" s="55">
        <v>764.15</v>
      </c>
      <c r="K427" s="56">
        <v>30600</v>
      </c>
      <c r="L427" s="55">
        <v>0.55000000000000004</v>
      </c>
      <c r="M427" s="55">
        <v>-2.4500000000000002</v>
      </c>
      <c r="N427" s="55" t="s">
        <v>576</v>
      </c>
      <c r="O427" s="55">
        <v>3720</v>
      </c>
      <c r="P427" s="55">
        <v>202960</v>
      </c>
      <c r="Q427" s="55">
        <v>129520</v>
      </c>
      <c r="R427" s="57" t="s">
        <v>564</v>
      </c>
      <c r="S427" s="58" t="s">
        <v>566</v>
      </c>
      <c r="T427" s="51">
        <v>31372.45</v>
      </c>
    </row>
    <row r="428" spans="1:20" x14ac:dyDescent="0.25">
      <c r="A428" s="51" t="str">
        <f>(COUNTIF($K$2:K428,K428))&amp;K428</f>
        <v>2530700</v>
      </c>
      <c r="B428" s="52" t="s">
        <v>592</v>
      </c>
      <c r="C428" s="53" t="s">
        <v>562</v>
      </c>
      <c r="D428" s="54" t="s">
        <v>563</v>
      </c>
      <c r="E428" s="55">
        <v>4640</v>
      </c>
      <c r="F428" s="55">
        <v>11560</v>
      </c>
      <c r="G428" s="55">
        <v>-260</v>
      </c>
      <c r="H428" s="55" t="s">
        <v>574</v>
      </c>
      <c r="I428" s="55">
        <v>-168.5</v>
      </c>
      <c r="J428" s="55">
        <v>667.5</v>
      </c>
      <c r="K428" s="56">
        <v>30700</v>
      </c>
      <c r="L428" s="55">
        <v>0.8</v>
      </c>
      <c r="M428" s="55">
        <v>-2.8</v>
      </c>
      <c r="N428" s="55" t="s">
        <v>576</v>
      </c>
      <c r="O428" s="55">
        <v>29700</v>
      </c>
      <c r="P428" s="55">
        <v>219900</v>
      </c>
      <c r="Q428" s="55">
        <v>268360</v>
      </c>
      <c r="R428" s="57" t="s">
        <v>564</v>
      </c>
      <c r="S428" s="58" t="s">
        <v>566</v>
      </c>
      <c r="T428" s="51">
        <v>31372.45</v>
      </c>
    </row>
    <row r="429" spans="1:20" x14ac:dyDescent="0.25">
      <c r="A429" s="51" t="str">
        <f>(COUNTIF($K$2:K429,K429))&amp;K429</f>
        <v>2530800</v>
      </c>
      <c r="B429" s="52" t="s">
        <v>592</v>
      </c>
      <c r="C429" s="53" t="s">
        <v>562</v>
      </c>
      <c r="D429" s="54" t="s">
        <v>563</v>
      </c>
      <c r="E429" s="55">
        <v>2060</v>
      </c>
      <c r="F429" s="55">
        <v>7360</v>
      </c>
      <c r="G429" s="55">
        <v>-140</v>
      </c>
      <c r="H429" s="55" t="s">
        <v>574</v>
      </c>
      <c r="I429" s="55">
        <v>-177.89999999999998</v>
      </c>
      <c r="J429" s="55">
        <v>557.70000000000005</v>
      </c>
      <c r="K429" s="56">
        <v>30800</v>
      </c>
      <c r="L429" s="55">
        <v>1.05</v>
      </c>
      <c r="M429" s="55">
        <v>-3.05</v>
      </c>
      <c r="N429" s="55" t="s">
        <v>576</v>
      </c>
      <c r="O429" s="55">
        <v>11480</v>
      </c>
      <c r="P429" s="55">
        <v>378880</v>
      </c>
      <c r="Q429" s="55">
        <v>628780</v>
      </c>
      <c r="R429" s="57" t="s">
        <v>564</v>
      </c>
      <c r="S429" s="58" t="s">
        <v>566</v>
      </c>
      <c r="T429" s="51">
        <v>31372.45</v>
      </c>
    </row>
    <row r="430" spans="1:20" x14ac:dyDescent="0.25">
      <c r="A430" s="51" t="str">
        <f>(COUNTIF($K$2:K430,K430))&amp;K430</f>
        <v>2530900</v>
      </c>
      <c r="B430" s="52" t="s">
        <v>592</v>
      </c>
      <c r="C430" s="53" t="s">
        <v>566</v>
      </c>
      <c r="D430" s="54" t="s">
        <v>564</v>
      </c>
      <c r="E430" s="55">
        <v>3180</v>
      </c>
      <c r="F430" s="55">
        <v>6320</v>
      </c>
      <c r="G430" s="55">
        <v>80</v>
      </c>
      <c r="H430" s="55" t="s">
        <v>574</v>
      </c>
      <c r="I430" s="55">
        <v>-180.29999999999995</v>
      </c>
      <c r="J430" s="55">
        <v>453.25</v>
      </c>
      <c r="K430" s="56">
        <v>30900</v>
      </c>
      <c r="L430" s="55">
        <v>1.85</v>
      </c>
      <c r="M430" s="55">
        <v>-3.65</v>
      </c>
      <c r="N430" s="55" t="s">
        <v>576</v>
      </c>
      <c r="O430" s="55">
        <v>170120</v>
      </c>
      <c r="P430" s="55">
        <v>536000</v>
      </c>
      <c r="Q430" s="55">
        <v>1270760</v>
      </c>
      <c r="R430" s="57" t="s">
        <v>564</v>
      </c>
      <c r="S430" s="58" t="s">
        <v>566</v>
      </c>
      <c r="T430" s="51">
        <v>31372.45</v>
      </c>
    </row>
    <row r="431" spans="1:20" x14ac:dyDescent="0.25">
      <c r="A431" s="51" t="str">
        <f>(COUNTIF($K$2:K431,K431))&amp;K431</f>
        <v>2531000</v>
      </c>
      <c r="B431" s="52" t="s">
        <v>592</v>
      </c>
      <c r="C431" s="53" t="s">
        <v>566</v>
      </c>
      <c r="D431" s="54" t="s">
        <v>564</v>
      </c>
      <c r="E431" s="55">
        <v>91120</v>
      </c>
      <c r="F431" s="55">
        <v>104560</v>
      </c>
      <c r="G431" s="55">
        <v>16340</v>
      </c>
      <c r="H431" s="55" t="s">
        <v>574</v>
      </c>
      <c r="I431" s="55">
        <v>-183.90000000000003</v>
      </c>
      <c r="J431" s="55">
        <v>360.95</v>
      </c>
      <c r="K431" s="56">
        <v>31000</v>
      </c>
      <c r="L431" s="55">
        <v>3.55</v>
      </c>
      <c r="M431" s="55">
        <v>-3.8500000000000005</v>
      </c>
      <c r="N431" s="55" t="s">
        <v>576</v>
      </c>
      <c r="O431" s="55">
        <v>739320</v>
      </c>
      <c r="P431" s="55">
        <v>1549920</v>
      </c>
      <c r="Q431" s="55">
        <v>3621980</v>
      </c>
      <c r="R431" s="57" t="s">
        <v>564</v>
      </c>
      <c r="S431" s="58" t="s">
        <v>566</v>
      </c>
      <c r="T431" s="51">
        <v>31372.45</v>
      </c>
    </row>
    <row r="432" spans="1:20" x14ac:dyDescent="0.25">
      <c r="A432" s="51" t="str">
        <f>(COUNTIF($K$2:K432,K432))&amp;K432</f>
        <v>2531100</v>
      </c>
      <c r="B432" s="52" t="s">
        <v>592</v>
      </c>
      <c r="C432" s="53" t="s">
        <v>566</v>
      </c>
      <c r="D432" s="54" t="s">
        <v>564</v>
      </c>
      <c r="E432" s="55">
        <v>79980</v>
      </c>
      <c r="F432" s="55">
        <v>42680</v>
      </c>
      <c r="G432" s="55">
        <v>12020</v>
      </c>
      <c r="H432" s="55" t="s">
        <v>574</v>
      </c>
      <c r="I432" s="55">
        <v>-181.29999999999995</v>
      </c>
      <c r="J432" s="55">
        <v>263.85000000000002</v>
      </c>
      <c r="K432" s="56">
        <v>31100</v>
      </c>
      <c r="L432" s="55">
        <v>7</v>
      </c>
      <c r="M432" s="55">
        <v>-3.1500000000000004</v>
      </c>
      <c r="N432" s="55" t="s">
        <v>576</v>
      </c>
      <c r="O432" s="55">
        <v>502360</v>
      </c>
      <c r="P432" s="55">
        <v>1021060</v>
      </c>
      <c r="Q432" s="55">
        <v>4122460</v>
      </c>
      <c r="R432" s="57" t="s">
        <v>564</v>
      </c>
      <c r="S432" s="58" t="s">
        <v>566</v>
      </c>
      <c r="T432" s="51">
        <v>31372.45</v>
      </c>
    </row>
    <row r="433" spans="1:20" x14ac:dyDescent="0.25">
      <c r="A433" s="51" t="str">
        <f>(COUNTIF($K$2:K433,K433))&amp;K433</f>
        <v>2531200</v>
      </c>
      <c r="B433" s="52" t="s">
        <v>592</v>
      </c>
      <c r="C433" s="53" t="s">
        <v>566</v>
      </c>
      <c r="D433" s="54" t="s">
        <v>564</v>
      </c>
      <c r="E433" s="55">
        <v>763140</v>
      </c>
      <c r="F433" s="55">
        <v>237720</v>
      </c>
      <c r="G433" s="55">
        <v>106000</v>
      </c>
      <c r="H433" s="55" t="s">
        <v>576</v>
      </c>
      <c r="I433" s="55">
        <v>-175.35</v>
      </c>
      <c r="J433" s="55">
        <v>175.1</v>
      </c>
      <c r="K433" s="56">
        <v>31200</v>
      </c>
      <c r="L433" s="55">
        <v>18.7</v>
      </c>
      <c r="M433" s="55">
        <v>1.3000000000000007</v>
      </c>
      <c r="N433" s="55" t="s">
        <v>576</v>
      </c>
      <c r="O433" s="55">
        <v>822080</v>
      </c>
      <c r="P433" s="55">
        <v>1348020</v>
      </c>
      <c r="Q433" s="55">
        <v>5798160</v>
      </c>
      <c r="R433" s="57" t="s">
        <v>564</v>
      </c>
      <c r="S433" s="58" t="s">
        <v>565</v>
      </c>
      <c r="T433" s="51">
        <v>31372.45</v>
      </c>
    </row>
    <row r="434" spans="1:20" x14ac:dyDescent="0.25">
      <c r="A434" s="51" t="str">
        <f>(COUNTIF($K$2:K434,K434))&amp;K434</f>
        <v>2531300</v>
      </c>
      <c r="B434" s="52" t="s">
        <v>592</v>
      </c>
      <c r="C434" s="53" t="s">
        <v>566</v>
      </c>
      <c r="D434" s="54" t="s">
        <v>564</v>
      </c>
      <c r="E434" s="55">
        <v>1337480</v>
      </c>
      <c r="F434" s="55">
        <v>273780</v>
      </c>
      <c r="G434" s="55">
        <v>157840</v>
      </c>
      <c r="H434" s="55" t="s">
        <v>576</v>
      </c>
      <c r="I434" s="55">
        <v>-163.4</v>
      </c>
      <c r="J434" s="55">
        <v>102.15</v>
      </c>
      <c r="K434" s="56">
        <v>31300</v>
      </c>
      <c r="L434" s="55">
        <v>45.85</v>
      </c>
      <c r="M434" s="55">
        <v>14.900000000000002</v>
      </c>
      <c r="N434" s="55" t="s">
        <v>576</v>
      </c>
      <c r="O434" s="55">
        <v>557640</v>
      </c>
      <c r="P434" s="55">
        <v>1208140</v>
      </c>
      <c r="Q434" s="55">
        <v>6802520</v>
      </c>
      <c r="R434" s="57" t="s">
        <v>564</v>
      </c>
      <c r="S434" s="58" t="s">
        <v>565</v>
      </c>
      <c r="T434" s="51">
        <v>31372.45</v>
      </c>
    </row>
    <row r="435" spans="1:20" ht="15.75" x14ac:dyDescent="0.25">
      <c r="A435" s="51" t="str">
        <f>(COUNTIF($K$2:K435,K435))&amp;K435</f>
        <v>2531400</v>
      </c>
      <c r="B435" s="52" t="s">
        <v>592</v>
      </c>
      <c r="C435" s="53" t="s">
        <v>566</v>
      </c>
      <c r="D435" s="54" t="s">
        <v>564</v>
      </c>
      <c r="E435" s="55">
        <v>4428100</v>
      </c>
      <c r="F435" s="55">
        <v>942720</v>
      </c>
      <c r="G435" s="55">
        <v>758420</v>
      </c>
      <c r="H435" s="55" t="s">
        <v>576</v>
      </c>
      <c r="I435" s="55">
        <v>-138.65</v>
      </c>
      <c r="J435" s="55">
        <v>50.35</v>
      </c>
      <c r="K435" s="59">
        <v>31400</v>
      </c>
      <c r="L435" s="55">
        <v>93.9</v>
      </c>
      <c r="M435" s="55">
        <v>39.950000000000003</v>
      </c>
      <c r="N435" s="55" t="s">
        <v>576</v>
      </c>
      <c r="O435" s="55">
        <v>376980</v>
      </c>
      <c r="P435" s="55">
        <v>933200</v>
      </c>
      <c r="Q435" s="55">
        <v>5883980</v>
      </c>
      <c r="R435" s="57" t="s">
        <v>564</v>
      </c>
      <c r="S435" s="58" t="s">
        <v>565</v>
      </c>
      <c r="T435" s="51">
        <v>31372.45</v>
      </c>
    </row>
    <row r="436" spans="1:20" x14ac:dyDescent="0.25">
      <c r="A436" s="51" t="str">
        <f>(COUNTIF($K$2:K436,K436))&amp;K436</f>
        <v>2531500</v>
      </c>
      <c r="B436" s="52" t="s">
        <v>592</v>
      </c>
      <c r="C436" s="53" t="s">
        <v>566</v>
      </c>
      <c r="D436" s="54" t="s">
        <v>564</v>
      </c>
      <c r="E436" s="55">
        <v>8267240</v>
      </c>
      <c r="F436" s="55">
        <v>2328640</v>
      </c>
      <c r="G436" s="55">
        <v>1550100</v>
      </c>
      <c r="H436" s="55" t="s">
        <v>576</v>
      </c>
      <c r="I436" s="55">
        <v>-104.80000000000001</v>
      </c>
      <c r="J436" s="55">
        <v>21.65</v>
      </c>
      <c r="K436" s="56">
        <v>31500</v>
      </c>
      <c r="L436" s="55">
        <v>165.35</v>
      </c>
      <c r="M436" s="55">
        <v>75.199999999999989</v>
      </c>
      <c r="N436" s="55" t="s">
        <v>576</v>
      </c>
      <c r="O436" s="55">
        <v>37060</v>
      </c>
      <c r="P436" s="55">
        <v>667540</v>
      </c>
      <c r="Q436" s="55">
        <v>3699740</v>
      </c>
      <c r="R436" s="57" t="s">
        <v>564</v>
      </c>
      <c r="S436" s="58" t="s">
        <v>565</v>
      </c>
      <c r="T436" s="51">
        <v>31372.45</v>
      </c>
    </row>
    <row r="437" spans="1:20" x14ac:dyDescent="0.25">
      <c r="A437" s="51" t="str">
        <f>(COUNTIF($K$2:K437,K437))&amp;K437</f>
        <v>2531600</v>
      </c>
      <c r="B437" s="52" t="s">
        <v>592</v>
      </c>
      <c r="C437" s="53" t="s">
        <v>566</v>
      </c>
      <c r="D437" s="54" t="s">
        <v>564</v>
      </c>
      <c r="E437" s="55">
        <v>7058460</v>
      </c>
      <c r="F437" s="55">
        <v>1700520</v>
      </c>
      <c r="G437" s="55">
        <v>1080860</v>
      </c>
      <c r="H437" s="55" t="s">
        <v>576</v>
      </c>
      <c r="I437" s="55">
        <v>-70.150000000000006</v>
      </c>
      <c r="J437" s="55">
        <v>8.3000000000000007</v>
      </c>
      <c r="K437" s="56">
        <v>31600</v>
      </c>
      <c r="L437" s="55">
        <v>251.35</v>
      </c>
      <c r="M437" s="55">
        <v>109.25</v>
      </c>
      <c r="N437" s="55" t="s">
        <v>576</v>
      </c>
      <c r="O437" s="55">
        <v>51320</v>
      </c>
      <c r="P437" s="55">
        <v>145560</v>
      </c>
      <c r="Q437" s="55">
        <v>1108520</v>
      </c>
      <c r="R437" s="57" t="s">
        <v>564</v>
      </c>
      <c r="S437" s="58" t="s">
        <v>565</v>
      </c>
      <c r="T437" s="51">
        <v>31372.45</v>
      </c>
    </row>
    <row r="438" spans="1:20" x14ac:dyDescent="0.25">
      <c r="A438" s="51" t="str">
        <f>(COUNTIF($K$2:K438,K438))&amp;K438</f>
        <v>2531700</v>
      </c>
      <c r="B438" s="52" t="s">
        <v>592</v>
      </c>
      <c r="C438" s="53" t="s">
        <v>566</v>
      </c>
      <c r="D438" s="54" t="s">
        <v>564</v>
      </c>
      <c r="E438" s="55">
        <v>6191180</v>
      </c>
      <c r="F438" s="55">
        <v>1310500</v>
      </c>
      <c r="G438" s="55">
        <v>675240</v>
      </c>
      <c r="H438" s="55" t="s">
        <v>576</v>
      </c>
      <c r="I438" s="55">
        <v>-40.85</v>
      </c>
      <c r="J438" s="55">
        <v>3.6</v>
      </c>
      <c r="K438" s="56">
        <v>31700</v>
      </c>
      <c r="L438" s="55">
        <v>345.6</v>
      </c>
      <c r="M438" s="55">
        <v>136.20000000000002</v>
      </c>
      <c r="N438" s="55" t="s">
        <v>576</v>
      </c>
      <c r="O438" s="55">
        <v>4780</v>
      </c>
      <c r="P438" s="55">
        <v>54540</v>
      </c>
      <c r="Q438" s="55">
        <v>495180</v>
      </c>
      <c r="R438" s="57" t="s">
        <v>564</v>
      </c>
      <c r="S438" s="58" t="s">
        <v>565</v>
      </c>
      <c r="T438" s="51">
        <v>31372.45</v>
      </c>
    </row>
    <row r="439" spans="1:20" x14ac:dyDescent="0.25">
      <c r="A439" s="51" t="str">
        <f>(COUNTIF($K$2:K439,K439))&amp;K439</f>
        <v>2531800</v>
      </c>
      <c r="B439" s="52" t="s">
        <v>592</v>
      </c>
      <c r="C439" s="53" t="s">
        <v>566</v>
      </c>
      <c r="D439" s="54" t="s">
        <v>564</v>
      </c>
      <c r="E439" s="55">
        <v>4318380</v>
      </c>
      <c r="F439" s="55">
        <v>1016600</v>
      </c>
      <c r="G439" s="55">
        <v>431220</v>
      </c>
      <c r="H439" s="55" t="s">
        <v>576</v>
      </c>
      <c r="I439" s="55">
        <v>-21.85</v>
      </c>
      <c r="J439" s="55">
        <v>1.65</v>
      </c>
      <c r="K439" s="56">
        <v>31800</v>
      </c>
      <c r="L439" s="55">
        <v>441.35</v>
      </c>
      <c r="M439" s="55">
        <v>156</v>
      </c>
      <c r="N439" s="55" t="s">
        <v>576</v>
      </c>
      <c r="O439" s="55">
        <v>9200</v>
      </c>
      <c r="P439" s="55">
        <v>24180</v>
      </c>
      <c r="Q439" s="55">
        <v>191580</v>
      </c>
      <c r="R439" s="57" t="s">
        <v>564</v>
      </c>
      <c r="S439" s="58" t="s">
        <v>565</v>
      </c>
      <c r="T439" s="51">
        <v>31372.45</v>
      </c>
    </row>
    <row r="440" spans="1:20" x14ac:dyDescent="0.25">
      <c r="A440" s="51" t="str">
        <f>(COUNTIF($K$2:K440,K440))&amp;K440</f>
        <v>2531900</v>
      </c>
      <c r="B440" s="52" t="s">
        <v>592</v>
      </c>
      <c r="C440" s="53" t="s">
        <v>562</v>
      </c>
      <c r="D440" s="54" t="s">
        <v>563</v>
      </c>
      <c r="E440" s="55">
        <v>2809220</v>
      </c>
      <c r="F440" s="55">
        <v>504840</v>
      </c>
      <c r="G440" s="55">
        <v>-6960</v>
      </c>
      <c r="H440" s="55" t="s">
        <v>576</v>
      </c>
      <c r="I440" s="55">
        <v>-10.199999999999999</v>
      </c>
      <c r="J440" s="55">
        <v>0.9</v>
      </c>
      <c r="K440" s="56">
        <v>31900</v>
      </c>
      <c r="L440" s="55">
        <v>546</v>
      </c>
      <c r="M440" s="55">
        <v>169.3</v>
      </c>
      <c r="N440" s="55" t="s">
        <v>576</v>
      </c>
      <c r="O440" s="55">
        <v>1380</v>
      </c>
      <c r="P440" s="55">
        <v>6920</v>
      </c>
      <c r="Q440" s="55">
        <v>31900</v>
      </c>
      <c r="R440" s="57" t="s">
        <v>564</v>
      </c>
      <c r="S440" s="58" t="s">
        <v>565</v>
      </c>
      <c r="T440" s="51">
        <v>31372.45</v>
      </c>
    </row>
    <row r="441" spans="1:20" x14ac:dyDescent="0.25">
      <c r="A441" s="51" t="str">
        <f>(COUNTIF($K$2:K441,K441))&amp;K441</f>
        <v>2532000</v>
      </c>
      <c r="B441" s="52" t="s">
        <v>592</v>
      </c>
      <c r="C441" s="53" t="s">
        <v>566</v>
      </c>
      <c r="D441" s="54" t="s">
        <v>564</v>
      </c>
      <c r="E441" s="55">
        <v>3463820</v>
      </c>
      <c r="F441" s="55">
        <v>766800</v>
      </c>
      <c r="G441" s="55">
        <v>155140</v>
      </c>
      <c r="H441" s="55" t="s">
        <v>576</v>
      </c>
      <c r="I441" s="55">
        <v>-5.2</v>
      </c>
      <c r="J441" s="55">
        <v>0.8</v>
      </c>
      <c r="K441" s="56">
        <v>32000</v>
      </c>
      <c r="L441" s="55">
        <v>646.75</v>
      </c>
      <c r="M441" s="55">
        <v>176.25</v>
      </c>
      <c r="N441" s="55" t="s">
        <v>576</v>
      </c>
      <c r="O441" s="55">
        <v>-660</v>
      </c>
      <c r="P441" s="55">
        <v>11460</v>
      </c>
      <c r="Q441" s="55">
        <v>21340</v>
      </c>
      <c r="R441" s="57" t="s">
        <v>563</v>
      </c>
      <c r="S441" s="58" t="s">
        <v>567</v>
      </c>
      <c r="T441" s="51">
        <v>31372.45</v>
      </c>
    </row>
    <row r="442" spans="1:20" x14ac:dyDescent="0.25">
      <c r="A442" s="51" t="str">
        <f>(COUNTIF($K$2:K442,K442))&amp;K442</f>
        <v>2532100</v>
      </c>
      <c r="B442" s="52" t="s">
        <v>592</v>
      </c>
      <c r="C442" s="53" t="s">
        <v>562</v>
      </c>
      <c r="D442" s="54" t="s">
        <v>563</v>
      </c>
      <c r="E442" s="55">
        <v>490460</v>
      </c>
      <c r="F442" s="55">
        <v>148120</v>
      </c>
      <c r="G442" s="55">
        <v>-2360</v>
      </c>
      <c r="H442" s="55" t="s">
        <v>576</v>
      </c>
      <c r="I442" s="55">
        <v>-2.5499999999999998</v>
      </c>
      <c r="J442" s="55">
        <v>0.6</v>
      </c>
      <c r="K442" s="56">
        <v>32100</v>
      </c>
      <c r="L442" s="55">
        <v>714</v>
      </c>
      <c r="M442" s="55">
        <v>139</v>
      </c>
      <c r="N442" s="55" t="s">
        <v>574</v>
      </c>
      <c r="O442" s="55">
        <v>40</v>
      </c>
      <c r="P442" s="55">
        <v>280</v>
      </c>
      <c r="Q442" s="55">
        <v>160</v>
      </c>
      <c r="R442" s="57" t="s">
        <v>564</v>
      </c>
      <c r="S442" s="58" t="s">
        <v>565</v>
      </c>
      <c r="T442" s="51">
        <v>31372.45</v>
      </c>
    </row>
    <row r="443" spans="1:20" x14ac:dyDescent="0.25">
      <c r="A443" s="51" t="str">
        <f>(COUNTIF($K$2:K443,K443))&amp;K443</f>
        <v>26PCR</v>
      </c>
      <c r="B443" s="52" t="s">
        <v>592</v>
      </c>
      <c r="C443" s="60">
        <v>0.88325041459369813</v>
      </c>
      <c r="E443" s="61"/>
      <c r="F443" s="62">
        <v>9406800</v>
      </c>
      <c r="G443" s="63"/>
      <c r="H443" s="64"/>
      <c r="I443" s="64"/>
      <c r="J443" s="64"/>
      <c r="K443" s="65" t="s">
        <v>555</v>
      </c>
      <c r="L443" s="64"/>
      <c r="M443" s="64"/>
      <c r="N443" s="64"/>
      <c r="P443" s="63">
        <v>8308560</v>
      </c>
      <c r="Q443" s="61"/>
      <c r="R443" s="64"/>
      <c r="S443" s="64"/>
    </row>
    <row r="444" spans="1:20" x14ac:dyDescent="0.25">
      <c r="A444" s="51" t="str">
        <f>(COUNTIF($K$2:K444,K444))&amp;K444</f>
        <v>1730600</v>
      </c>
      <c r="B444" s="52" t="s">
        <v>593</v>
      </c>
      <c r="C444" s="53" t="s">
        <v>562</v>
      </c>
      <c r="D444" s="54" t="s">
        <v>563</v>
      </c>
      <c r="E444" s="55">
        <v>900</v>
      </c>
      <c r="F444" s="55">
        <v>4080</v>
      </c>
      <c r="G444" s="55">
        <v>-460</v>
      </c>
      <c r="H444" s="55" t="s">
        <v>574</v>
      </c>
      <c r="I444" s="55">
        <v>-168.55000000000007</v>
      </c>
      <c r="J444" s="55">
        <v>764.15</v>
      </c>
      <c r="K444" s="56">
        <v>30600</v>
      </c>
      <c r="L444" s="55">
        <v>0.6</v>
      </c>
      <c r="M444" s="55">
        <v>-2.4</v>
      </c>
      <c r="N444" s="55" t="s">
        <v>576</v>
      </c>
      <c r="O444" s="55">
        <v>1740</v>
      </c>
      <c r="P444" s="55">
        <v>200980</v>
      </c>
      <c r="Q444" s="55">
        <v>132520</v>
      </c>
      <c r="R444" s="57" t="s">
        <v>564</v>
      </c>
      <c r="S444" s="58" t="s">
        <v>566</v>
      </c>
      <c r="T444" s="51">
        <v>31370</v>
      </c>
    </row>
    <row r="445" spans="1:20" x14ac:dyDescent="0.25">
      <c r="A445" s="51" t="str">
        <f>(COUNTIF($K$2:K445,K445))&amp;K445</f>
        <v>2630700</v>
      </c>
      <c r="B445" s="52" t="s">
        <v>593</v>
      </c>
      <c r="C445" s="53" t="s">
        <v>562</v>
      </c>
      <c r="D445" s="54" t="s">
        <v>563</v>
      </c>
      <c r="E445" s="55">
        <v>4680</v>
      </c>
      <c r="F445" s="55">
        <v>11000</v>
      </c>
      <c r="G445" s="55">
        <v>-820</v>
      </c>
      <c r="H445" s="55" t="s">
        <v>574</v>
      </c>
      <c r="I445" s="55">
        <v>-166.29999999999995</v>
      </c>
      <c r="J445" s="55">
        <v>669.7</v>
      </c>
      <c r="K445" s="56">
        <v>30700</v>
      </c>
      <c r="L445" s="55">
        <v>0.75</v>
      </c>
      <c r="M445" s="55">
        <v>-2.85</v>
      </c>
      <c r="N445" s="55" t="s">
        <v>576</v>
      </c>
      <c r="O445" s="55">
        <v>28420</v>
      </c>
      <c r="P445" s="55">
        <v>218620</v>
      </c>
      <c r="Q445" s="55">
        <v>272340</v>
      </c>
      <c r="R445" s="57" t="s">
        <v>564</v>
      </c>
      <c r="S445" s="58" t="s">
        <v>566</v>
      </c>
      <c r="T445" s="51">
        <v>31370</v>
      </c>
    </row>
    <row r="446" spans="1:20" x14ac:dyDescent="0.25">
      <c r="A446" s="51" t="str">
        <f>(COUNTIF($K$2:K446,K446))&amp;K446</f>
        <v>2630800</v>
      </c>
      <c r="B446" s="52" t="s">
        <v>593</v>
      </c>
      <c r="C446" s="53" t="s">
        <v>562</v>
      </c>
      <c r="D446" s="54" t="s">
        <v>563</v>
      </c>
      <c r="E446" s="55">
        <v>2400</v>
      </c>
      <c r="F446" s="55">
        <v>7060</v>
      </c>
      <c r="G446" s="55">
        <v>-440</v>
      </c>
      <c r="H446" s="55" t="s">
        <v>574</v>
      </c>
      <c r="I446" s="55">
        <v>-182.60000000000002</v>
      </c>
      <c r="J446" s="55">
        <v>553</v>
      </c>
      <c r="K446" s="56">
        <v>30800</v>
      </c>
      <c r="L446" s="55">
        <v>1.05</v>
      </c>
      <c r="M446" s="55">
        <v>-3.05</v>
      </c>
      <c r="N446" s="55" t="s">
        <v>576</v>
      </c>
      <c r="O446" s="55">
        <v>11440</v>
      </c>
      <c r="P446" s="55">
        <v>378840</v>
      </c>
      <c r="Q446" s="55">
        <v>647980</v>
      </c>
      <c r="R446" s="57" t="s">
        <v>564</v>
      </c>
      <c r="S446" s="58" t="s">
        <v>566</v>
      </c>
      <c r="T446" s="51">
        <v>31370</v>
      </c>
    </row>
    <row r="447" spans="1:20" x14ac:dyDescent="0.25">
      <c r="A447" s="51" t="str">
        <f>(COUNTIF($K$2:K447,K447))&amp;K447</f>
        <v>2630900</v>
      </c>
      <c r="B447" s="52" t="s">
        <v>593</v>
      </c>
      <c r="C447" s="53" t="s">
        <v>566</v>
      </c>
      <c r="D447" s="54" t="s">
        <v>564</v>
      </c>
      <c r="E447" s="55">
        <v>3260</v>
      </c>
      <c r="F447" s="55">
        <v>6400</v>
      </c>
      <c r="G447" s="55">
        <v>160</v>
      </c>
      <c r="H447" s="55" t="s">
        <v>574</v>
      </c>
      <c r="I447" s="55">
        <v>-181.09999999999997</v>
      </c>
      <c r="J447" s="55">
        <v>452.45</v>
      </c>
      <c r="K447" s="56">
        <v>30900</v>
      </c>
      <c r="L447" s="55">
        <v>1.85</v>
      </c>
      <c r="M447" s="55">
        <v>-3.65</v>
      </c>
      <c r="N447" s="55" t="s">
        <v>576</v>
      </c>
      <c r="O447" s="55">
        <v>191960</v>
      </c>
      <c r="P447" s="55">
        <v>557840</v>
      </c>
      <c r="Q447" s="55">
        <v>1344920</v>
      </c>
      <c r="R447" s="57" t="s">
        <v>564</v>
      </c>
      <c r="S447" s="58" t="s">
        <v>566</v>
      </c>
      <c r="T447" s="51">
        <v>31370</v>
      </c>
    </row>
    <row r="448" spans="1:20" x14ac:dyDescent="0.25">
      <c r="A448" s="51" t="str">
        <f>(COUNTIF($K$2:K448,K448))&amp;K448</f>
        <v>2631000</v>
      </c>
      <c r="B448" s="52" t="s">
        <v>593</v>
      </c>
      <c r="C448" s="53" t="s">
        <v>566</v>
      </c>
      <c r="D448" s="54" t="s">
        <v>564</v>
      </c>
      <c r="E448" s="55">
        <v>101140</v>
      </c>
      <c r="F448" s="55">
        <v>105060</v>
      </c>
      <c r="G448" s="55">
        <v>16840</v>
      </c>
      <c r="H448" s="55" t="s">
        <v>574</v>
      </c>
      <c r="I448" s="55">
        <v>-189.45000000000005</v>
      </c>
      <c r="J448" s="55">
        <v>355.4</v>
      </c>
      <c r="K448" s="56">
        <v>31000</v>
      </c>
      <c r="L448" s="55">
        <v>3.65</v>
      </c>
      <c r="M448" s="55">
        <v>-3.7500000000000004</v>
      </c>
      <c r="N448" s="55" t="s">
        <v>576</v>
      </c>
      <c r="O448" s="55">
        <v>783820</v>
      </c>
      <c r="P448" s="55">
        <v>1594420</v>
      </c>
      <c r="Q448" s="55">
        <v>3800140</v>
      </c>
      <c r="R448" s="57" t="s">
        <v>564</v>
      </c>
      <c r="S448" s="58" t="s">
        <v>566</v>
      </c>
      <c r="T448" s="51">
        <v>31370</v>
      </c>
    </row>
    <row r="449" spans="1:20" x14ac:dyDescent="0.25">
      <c r="A449" s="51" t="str">
        <f>(COUNTIF($K$2:K449,K449))&amp;K449</f>
        <v>2631100</v>
      </c>
      <c r="B449" s="52" t="s">
        <v>593</v>
      </c>
      <c r="C449" s="53" t="s">
        <v>566</v>
      </c>
      <c r="D449" s="54" t="s">
        <v>564</v>
      </c>
      <c r="E449" s="55">
        <v>90560</v>
      </c>
      <c r="F449" s="55">
        <v>45780</v>
      </c>
      <c r="G449" s="55">
        <v>15120</v>
      </c>
      <c r="H449" s="55" t="s">
        <v>574</v>
      </c>
      <c r="I449" s="55">
        <v>-181.75</v>
      </c>
      <c r="J449" s="55">
        <v>263.39999999999998</v>
      </c>
      <c r="K449" s="56">
        <v>31100</v>
      </c>
      <c r="L449" s="55">
        <v>7.55</v>
      </c>
      <c r="M449" s="55">
        <v>-2.6000000000000005</v>
      </c>
      <c r="N449" s="55" t="s">
        <v>576</v>
      </c>
      <c r="O449" s="55">
        <v>567640</v>
      </c>
      <c r="P449" s="55">
        <v>1086340</v>
      </c>
      <c r="Q449" s="55">
        <v>4366560</v>
      </c>
      <c r="R449" s="57" t="s">
        <v>564</v>
      </c>
      <c r="S449" s="58" t="s">
        <v>566</v>
      </c>
      <c r="T449" s="51">
        <v>31370</v>
      </c>
    </row>
    <row r="450" spans="1:20" x14ac:dyDescent="0.25">
      <c r="A450" s="51" t="str">
        <f>(COUNTIF($K$2:K450,K450))&amp;K450</f>
        <v>2631200</v>
      </c>
      <c r="B450" s="52" t="s">
        <v>593</v>
      </c>
      <c r="C450" s="53" t="s">
        <v>566</v>
      </c>
      <c r="D450" s="54" t="s">
        <v>564</v>
      </c>
      <c r="E450" s="55">
        <v>830240</v>
      </c>
      <c r="F450" s="55">
        <v>250480</v>
      </c>
      <c r="G450" s="55">
        <v>118760</v>
      </c>
      <c r="H450" s="55" t="s">
        <v>576</v>
      </c>
      <c r="I450" s="55">
        <v>-175</v>
      </c>
      <c r="J450" s="55">
        <v>175.45</v>
      </c>
      <c r="K450" s="56">
        <v>31200</v>
      </c>
      <c r="L450" s="55">
        <v>20.149999999999999</v>
      </c>
      <c r="M450" s="55">
        <v>2.75</v>
      </c>
      <c r="N450" s="55" t="s">
        <v>576</v>
      </c>
      <c r="O450" s="55">
        <v>804620</v>
      </c>
      <c r="P450" s="55">
        <v>1330560</v>
      </c>
      <c r="Q450" s="55">
        <v>6238860</v>
      </c>
      <c r="R450" s="57" t="s">
        <v>564</v>
      </c>
      <c r="S450" s="58" t="s">
        <v>565</v>
      </c>
      <c r="T450" s="51">
        <v>31370</v>
      </c>
    </row>
    <row r="451" spans="1:20" x14ac:dyDescent="0.25">
      <c r="A451" s="51" t="str">
        <f>(COUNTIF($K$2:K451,K451))&amp;K451</f>
        <v>2631300</v>
      </c>
      <c r="B451" s="52" t="s">
        <v>593</v>
      </c>
      <c r="C451" s="53" t="s">
        <v>566</v>
      </c>
      <c r="D451" s="54" t="s">
        <v>564</v>
      </c>
      <c r="E451" s="55">
        <v>1492100</v>
      </c>
      <c r="F451" s="55">
        <v>303180</v>
      </c>
      <c r="G451" s="55">
        <v>187240</v>
      </c>
      <c r="H451" s="55" t="s">
        <v>576</v>
      </c>
      <c r="I451" s="55">
        <v>-163.20000000000002</v>
      </c>
      <c r="J451" s="55">
        <v>102.35</v>
      </c>
      <c r="K451" s="56">
        <v>31300</v>
      </c>
      <c r="L451" s="55">
        <v>47.55</v>
      </c>
      <c r="M451" s="55">
        <v>16.599999999999998</v>
      </c>
      <c r="N451" s="55" t="s">
        <v>576</v>
      </c>
      <c r="O451" s="55">
        <v>490260</v>
      </c>
      <c r="P451" s="55">
        <v>1140760</v>
      </c>
      <c r="Q451" s="55">
        <v>7279020</v>
      </c>
      <c r="R451" s="57" t="s">
        <v>564</v>
      </c>
      <c r="S451" s="58" t="s">
        <v>565</v>
      </c>
      <c r="T451" s="51">
        <v>31370</v>
      </c>
    </row>
    <row r="452" spans="1:20" ht="15.75" x14ac:dyDescent="0.25">
      <c r="A452" s="51" t="str">
        <f>(COUNTIF($K$2:K452,K452))&amp;K452</f>
        <v>2631400</v>
      </c>
      <c r="B452" s="52" t="s">
        <v>593</v>
      </c>
      <c r="C452" s="53" t="s">
        <v>566</v>
      </c>
      <c r="D452" s="54" t="s">
        <v>564</v>
      </c>
      <c r="E452" s="55">
        <v>4899200</v>
      </c>
      <c r="F452" s="55">
        <v>1029280</v>
      </c>
      <c r="G452" s="55">
        <v>844980</v>
      </c>
      <c r="H452" s="55" t="s">
        <v>576</v>
      </c>
      <c r="I452" s="55">
        <v>-138.1</v>
      </c>
      <c r="J452" s="55">
        <v>50.9</v>
      </c>
      <c r="K452" s="59">
        <v>31400</v>
      </c>
      <c r="L452" s="55">
        <v>96.45</v>
      </c>
      <c r="M452" s="55">
        <v>42.5</v>
      </c>
      <c r="N452" s="55" t="s">
        <v>576</v>
      </c>
      <c r="O452" s="55">
        <v>294680</v>
      </c>
      <c r="P452" s="55">
        <v>850900</v>
      </c>
      <c r="Q452" s="55">
        <v>6268540</v>
      </c>
      <c r="R452" s="57" t="s">
        <v>564</v>
      </c>
      <c r="S452" s="58" t="s">
        <v>565</v>
      </c>
      <c r="T452" s="51">
        <v>31370</v>
      </c>
    </row>
    <row r="453" spans="1:20" x14ac:dyDescent="0.25">
      <c r="A453" s="51" t="str">
        <f>(COUNTIF($K$2:K453,K453))&amp;K453</f>
        <v>2631500</v>
      </c>
      <c r="B453" s="52" t="s">
        <v>593</v>
      </c>
      <c r="C453" s="53" t="s">
        <v>566</v>
      </c>
      <c r="D453" s="54" t="s">
        <v>564</v>
      </c>
      <c r="E453" s="55">
        <v>8934800</v>
      </c>
      <c r="F453" s="55">
        <v>2390480</v>
      </c>
      <c r="G453" s="55">
        <v>1611940</v>
      </c>
      <c r="H453" s="55" t="s">
        <v>576</v>
      </c>
      <c r="I453" s="55">
        <v>-104.2</v>
      </c>
      <c r="J453" s="55">
        <v>22.25</v>
      </c>
      <c r="K453" s="56">
        <v>31500</v>
      </c>
      <c r="L453" s="55">
        <v>167.95</v>
      </c>
      <c r="M453" s="55">
        <v>77.799999999999983</v>
      </c>
      <c r="N453" s="55" t="s">
        <v>576</v>
      </c>
      <c r="O453" s="55">
        <v>-11380</v>
      </c>
      <c r="P453" s="55">
        <v>619100</v>
      </c>
      <c r="Q453" s="55">
        <v>3912760</v>
      </c>
      <c r="R453" s="57" t="s">
        <v>563</v>
      </c>
      <c r="S453" s="58" t="s">
        <v>567</v>
      </c>
      <c r="T453" s="51">
        <v>31370</v>
      </c>
    </row>
    <row r="454" spans="1:20" x14ac:dyDescent="0.25">
      <c r="A454" s="51" t="str">
        <f>(COUNTIF($K$2:K454,K454))&amp;K454</f>
        <v>2631600</v>
      </c>
      <c r="B454" s="52" t="s">
        <v>593</v>
      </c>
      <c r="C454" s="53" t="s">
        <v>566</v>
      </c>
      <c r="D454" s="54" t="s">
        <v>564</v>
      </c>
      <c r="E454" s="55">
        <v>7502580</v>
      </c>
      <c r="F454" s="55">
        <v>1697620</v>
      </c>
      <c r="G454" s="55">
        <v>1077960</v>
      </c>
      <c r="H454" s="55" t="s">
        <v>576</v>
      </c>
      <c r="I454" s="55">
        <v>-70.150000000000006</v>
      </c>
      <c r="J454" s="55">
        <v>8.3000000000000007</v>
      </c>
      <c r="K454" s="56">
        <v>31600</v>
      </c>
      <c r="L454" s="55">
        <v>253.3</v>
      </c>
      <c r="M454" s="55">
        <v>111.20000000000002</v>
      </c>
      <c r="N454" s="55" t="s">
        <v>576</v>
      </c>
      <c r="O454" s="55">
        <v>31140</v>
      </c>
      <c r="P454" s="55">
        <v>125380</v>
      </c>
      <c r="Q454" s="55">
        <v>1152040</v>
      </c>
      <c r="R454" s="57" t="s">
        <v>564</v>
      </c>
      <c r="S454" s="58" t="s">
        <v>565</v>
      </c>
      <c r="T454" s="51">
        <v>31370</v>
      </c>
    </row>
    <row r="455" spans="1:20" x14ac:dyDescent="0.25">
      <c r="A455" s="51" t="str">
        <f>(COUNTIF($K$2:K455,K455))&amp;K455</f>
        <v>2631700</v>
      </c>
      <c r="B455" s="52" t="s">
        <v>593</v>
      </c>
      <c r="C455" s="53" t="s">
        <v>566</v>
      </c>
      <c r="D455" s="54" t="s">
        <v>564</v>
      </c>
      <c r="E455" s="55">
        <v>6484320</v>
      </c>
      <c r="F455" s="55">
        <v>1310660</v>
      </c>
      <c r="G455" s="55">
        <v>675400</v>
      </c>
      <c r="H455" s="55" t="s">
        <v>576</v>
      </c>
      <c r="I455" s="55">
        <v>-40.85</v>
      </c>
      <c r="J455" s="55">
        <v>3.6</v>
      </c>
      <c r="K455" s="56">
        <v>31700</v>
      </c>
      <c r="L455" s="55">
        <v>349.85</v>
      </c>
      <c r="M455" s="55">
        <v>140.45000000000002</v>
      </c>
      <c r="N455" s="55" t="s">
        <v>576</v>
      </c>
      <c r="O455" s="55">
        <v>360</v>
      </c>
      <c r="P455" s="55">
        <v>50120</v>
      </c>
      <c r="Q455" s="55">
        <v>507000</v>
      </c>
      <c r="R455" s="57" t="s">
        <v>564</v>
      </c>
      <c r="S455" s="58" t="s">
        <v>565</v>
      </c>
      <c r="T455" s="51">
        <v>31370</v>
      </c>
    </row>
    <row r="456" spans="1:20" x14ac:dyDescent="0.25">
      <c r="A456" s="51" t="str">
        <f>(COUNTIF($K$2:K456,K456))&amp;K456</f>
        <v>2631800</v>
      </c>
      <c r="B456" s="52" t="s">
        <v>593</v>
      </c>
      <c r="C456" s="53" t="s">
        <v>566</v>
      </c>
      <c r="D456" s="54" t="s">
        <v>564</v>
      </c>
      <c r="E456" s="55">
        <v>4482680</v>
      </c>
      <c r="F456" s="55">
        <v>1032620</v>
      </c>
      <c r="G456" s="55">
        <v>447240</v>
      </c>
      <c r="H456" s="55" t="s">
        <v>576</v>
      </c>
      <c r="I456" s="55">
        <v>-21.8</v>
      </c>
      <c r="J456" s="55">
        <v>1.7</v>
      </c>
      <c r="K456" s="56">
        <v>31800</v>
      </c>
      <c r="L456" s="55">
        <v>448.35</v>
      </c>
      <c r="M456" s="55">
        <v>163</v>
      </c>
      <c r="N456" s="55" t="s">
        <v>576</v>
      </c>
      <c r="O456" s="55">
        <v>5680</v>
      </c>
      <c r="P456" s="55">
        <v>20660</v>
      </c>
      <c r="Q456" s="55">
        <v>195440</v>
      </c>
      <c r="R456" s="57" t="s">
        <v>564</v>
      </c>
      <c r="S456" s="58" t="s">
        <v>565</v>
      </c>
      <c r="T456" s="51">
        <v>31370</v>
      </c>
    </row>
    <row r="457" spans="1:20" x14ac:dyDescent="0.25">
      <c r="A457" s="51" t="str">
        <f>(COUNTIF($K$2:K457,K457))&amp;K457</f>
        <v>2631900</v>
      </c>
      <c r="B457" s="52" t="s">
        <v>593</v>
      </c>
      <c r="C457" s="53" t="s">
        <v>562</v>
      </c>
      <c r="D457" s="54" t="s">
        <v>563</v>
      </c>
      <c r="E457" s="55">
        <v>2997260</v>
      </c>
      <c r="F457" s="55">
        <v>488240</v>
      </c>
      <c r="G457" s="55">
        <v>-23560</v>
      </c>
      <c r="H457" s="55" t="s">
        <v>576</v>
      </c>
      <c r="I457" s="55">
        <v>-10.15</v>
      </c>
      <c r="J457" s="55">
        <v>0.95</v>
      </c>
      <c r="K457" s="56">
        <v>31900</v>
      </c>
      <c r="L457" s="55">
        <v>548.65</v>
      </c>
      <c r="M457" s="55">
        <v>171.95</v>
      </c>
      <c r="N457" s="55" t="s">
        <v>576</v>
      </c>
      <c r="O457" s="55">
        <v>1540</v>
      </c>
      <c r="P457" s="55">
        <v>7080</v>
      </c>
      <c r="Q457" s="55">
        <v>32780</v>
      </c>
      <c r="R457" s="57" t="s">
        <v>564</v>
      </c>
      <c r="S457" s="58" t="s">
        <v>565</v>
      </c>
      <c r="T457" s="51">
        <v>31370</v>
      </c>
    </row>
    <row r="458" spans="1:20" x14ac:dyDescent="0.25">
      <c r="A458" s="51" t="str">
        <f>(COUNTIF($K$2:K458,K458))&amp;K458</f>
        <v>2632000</v>
      </c>
      <c r="B458" s="52" t="s">
        <v>593</v>
      </c>
      <c r="C458" s="53" t="s">
        <v>566</v>
      </c>
      <c r="D458" s="54" t="s">
        <v>564</v>
      </c>
      <c r="E458" s="55">
        <v>4127240</v>
      </c>
      <c r="F458" s="55">
        <v>823200</v>
      </c>
      <c r="G458" s="55">
        <v>211540</v>
      </c>
      <c r="H458" s="55" t="s">
        <v>576</v>
      </c>
      <c r="I458" s="55">
        <v>-5.25</v>
      </c>
      <c r="J458" s="55">
        <v>0.75</v>
      </c>
      <c r="K458" s="56">
        <v>32000</v>
      </c>
      <c r="L458" s="55">
        <v>646.25</v>
      </c>
      <c r="M458" s="55">
        <v>175.75</v>
      </c>
      <c r="N458" s="55" t="s">
        <v>576</v>
      </c>
      <c r="O458" s="55">
        <v>-900</v>
      </c>
      <c r="P458" s="55">
        <v>11220</v>
      </c>
      <c r="Q458" s="55">
        <v>21480</v>
      </c>
      <c r="R458" s="57" t="s">
        <v>563</v>
      </c>
      <c r="S458" s="58" t="s">
        <v>567</v>
      </c>
      <c r="T458" s="51">
        <v>31370</v>
      </c>
    </row>
    <row r="459" spans="1:20" x14ac:dyDescent="0.25">
      <c r="A459" s="51" t="str">
        <f>(COUNTIF($K$2:K459,K459))&amp;K459</f>
        <v>2632100</v>
      </c>
      <c r="B459" s="52" t="s">
        <v>593</v>
      </c>
      <c r="C459" s="53" t="s">
        <v>566</v>
      </c>
      <c r="D459" s="54" t="s">
        <v>564</v>
      </c>
      <c r="E459" s="55">
        <v>502780</v>
      </c>
      <c r="F459" s="55">
        <v>158440</v>
      </c>
      <c r="G459" s="55">
        <v>7960</v>
      </c>
      <c r="H459" s="55" t="s">
        <v>576</v>
      </c>
      <c r="I459" s="55">
        <v>-2.5</v>
      </c>
      <c r="J459" s="55">
        <v>0.65</v>
      </c>
      <c r="K459" s="56">
        <v>32100</v>
      </c>
      <c r="L459" s="55">
        <v>714</v>
      </c>
      <c r="M459" s="55">
        <v>139</v>
      </c>
      <c r="N459" s="55" t="s">
        <v>574</v>
      </c>
      <c r="O459" s="55">
        <v>40</v>
      </c>
      <c r="P459" s="55">
        <v>280</v>
      </c>
      <c r="Q459" s="55">
        <v>160</v>
      </c>
      <c r="R459" s="57" t="s">
        <v>564</v>
      </c>
      <c r="S459" s="58" t="s">
        <v>565</v>
      </c>
      <c r="T459" s="51">
        <v>31370</v>
      </c>
    </row>
    <row r="460" spans="1:20" x14ac:dyDescent="0.25">
      <c r="A460" s="51" t="str">
        <f>(COUNTIF($K$2:K460,K460))&amp;K460</f>
        <v>27PCR</v>
      </c>
      <c r="B460" s="52" t="s">
        <v>593</v>
      </c>
      <c r="C460" s="60">
        <v>0.84783279074628659</v>
      </c>
      <c r="E460" s="61"/>
      <c r="F460" s="62">
        <v>9663580</v>
      </c>
      <c r="G460" s="63"/>
      <c r="H460" s="64"/>
      <c r="I460" s="64"/>
      <c r="J460" s="64"/>
      <c r="K460" s="65" t="s">
        <v>555</v>
      </c>
      <c r="L460" s="64"/>
      <c r="M460" s="64"/>
      <c r="N460" s="64"/>
      <c r="P460" s="63">
        <v>8193100</v>
      </c>
      <c r="Q460" s="61"/>
      <c r="R460" s="64"/>
      <c r="S460" s="64"/>
    </row>
    <row r="461" spans="1:20" x14ac:dyDescent="0.25">
      <c r="A461" s="51" t="str">
        <f>(COUNTIF($K$2:K461,K461))&amp;K461</f>
        <v>1830600</v>
      </c>
      <c r="B461" s="52" t="s">
        <v>593</v>
      </c>
      <c r="C461" s="53" t="s">
        <v>562</v>
      </c>
      <c r="D461" s="54" t="s">
        <v>563</v>
      </c>
      <c r="E461" s="55">
        <v>900</v>
      </c>
      <c r="F461" s="55">
        <v>4080</v>
      </c>
      <c r="G461" s="55">
        <v>-460</v>
      </c>
      <c r="H461" s="55" t="s">
        <v>574</v>
      </c>
      <c r="I461" s="55">
        <v>-168.55000000000007</v>
      </c>
      <c r="J461" s="55">
        <v>764.15</v>
      </c>
      <c r="K461" s="56">
        <v>30600</v>
      </c>
      <c r="L461" s="55">
        <v>0.6</v>
      </c>
      <c r="M461" s="55">
        <v>-2.4</v>
      </c>
      <c r="N461" s="55" t="s">
        <v>576</v>
      </c>
      <c r="O461" s="55">
        <v>1740</v>
      </c>
      <c r="P461" s="55">
        <v>200980</v>
      </c>
      <c r="Q461" s="55">
        <v>132520</v>
      </c>
      <c r="R461" s="57" t="s">
        <v>564</v>
      </c>
      <c r="S461" s="58" t="s">
        <v>566</v>
      </c>
      <c r="T461" s="51">
        <v>31370</v>
      </c>
    </row>
    <row r="462" spans="1:20" x14ac:dyDescent="0.25">
      <c r="A462" s="51" t="str">
        <f>(COUNTIF($K$2:K462,K462))&amp;K462</f>
        <v>2730700</v>
      </c>
      <c r="B462" s="52" t="s">
        <v>593</v>
      </c>
      <c r="C462" s="53" t="s">
        <v>562</v>
      </c>
      <c r="D462" s="54" t="s">
        <v>563</v>
      </c>
      <c r="E462" s="55">
        <v>4680</v>
      </c>
      <c r="F462" s="55">
        <v>11000</v>
      </c>
      <c r="G462" s="55">
        <v>-820</v>
      </c>
      <c r="H462" s="55" t="s">
        <v>574</v>
      </c>
      <c r="I462" s="55">
        <v>-166.29999999999995</v>
      </c>
      <c r="J462" s="55">
        <v>669.7</v>
      </c>
      <c r="K462" s="56">
        <v>30700</v>
      </c>
      <c r="L462" s="55">
        <v>0.75</v>
      </c>
      <c r="M462" s="55">
        <v>-2.85</v>
      </c>
      <c r="N462" s="55" t="s">
        <v>576</v>
      </c>
      <c r="O462" s="55">
        <v>28420</v>
      </c>
      <c r="P462" s="55">
        <v>218620</v>
      </c>
      <c r="Q462" s="55">
        <v>272340</v>
      </c>
      <c r="R462" s="57" t="s">
        <v>564</v>
      </c>
      <c r="S462" s="58" t="s">
        <v>566</v>
      </c>
      <c r="T462" s="51">
        <v>31370</v>
      </c>
    </row>
    <row r="463" spans="1:20" x14ac:dyDescent="0.25">
      <c r="A463" s="51" t="str">
        <f>(COUNTIF($K$2:K463,K463))&amp;K463</f>
        <v>2730800</v>
      </c>
      <c r="B463" s="52" t="s">
        <v>593</v>
      </c>
      <c r="C463" s="53" t="s">
        <v>562</v>
      </c>
      <c r="D463" s="54" t="s">
        <v>563</v>
      </c>
      <c r="E463" s="55">
        <v>2400</v>
      </c>
      <c r="F463" s="55">
        <v>7060</v>
      </c>
      <c r="G463" s="55">
        <v>-440</v>
      </c>
      <c r="H463" s="55" t="s">
        <v>574</v>
      </c>
      <c r="I463" s="55">
        <v>-182.60000000000002</v>
      </c>
      <c r="J463" s="55">
        <v>553</v>
      </c>
      <c r="K463" s="56">
        <v>30800</v>
      </c>
      <c r="L463" s="55">
        <v>1.05</v>
      </c>
      <c r="M463" s="55">
        <v>-3.05</v>
      </c>
      <c r="N463" s="55" t="s">
        <v>576</v>
      </c>
      <c r="O463" s="55">
        <v>11440</v>
      </c>
      <c r="P463" s="55">
        <v>378840</v>
      </c>
      <c r="Q463" s="55">
        <v>647980</v>
      </c>
      <c r="R463" s="57" t="s">
        <v>564</v>
      </c>
      <c r="S463" s="58" t="s">
        <v>566</v>
      </c>
      <c r="T463" s="51">
        <v>31370</v>
      </c>
    </row>
    <row r="464" spans="1:20" x14ac:dyDescent="0.25">
      <c r="A464" s="51" t="str">
        <f>(COUNTIF($K$2:K464,K464))&amp;K464</f>
        <v>2730900</v>
      </c>
      <c r="B464" s="52" t="s">
        <v>593</v>
      </c>
      <c r="C464" s="53" t="s">
        <v>566</v>
      </c>
      <c r="D464" s="54" t="s">
        <v>564</v>
      </c>
      <c r="E464" s="55">
        <v>3260</v>
      </c>
      <c r="F464" s="55">
        <v>6400</v>
      </c>
      <c r="G464" s="55">
        <v>160</v>
      </c>
      <c r="H464" s="55" t="s">
        <v>574</v>
      </c>
      <c r="I464" s="55">
        <v>-181.09999999999997</v>
      </c>
      <c r="J464" s="55">
        <v>452.45</v>
      </c>
      <c r="K464" s="56">
        <v>30900</v>
      </c>
      <c r="L464" s="55">
        <v>1.85</v>
      </c>
      <c r="M464" s="55">
        <v>-3.65</v>
      </c>
      <c r="N464" s="55" t="s">
        <v>576</v>
      </c>
      <c r="O464" s="55">
        <v>191960</v>
      </c>
      <c r="P464" s="55">
        <v>557840</v>
      </c>
      <c r="Q464" s="55">
        <v>1344920</v>
      </c>
      <c r="R464" s="57" t="s">
        <v>564</v>
      </c>
      <c r="S464" s="58" t="s">
        <v>566</v>
      </c>
      <c r="T464" s="51">
        <v>31370</v>
      </c>
    </row>
    <row r="465" spans="1:20" x14ac:dyDescent="0.25">
      <c r="A465" s="51" t="str">
        <f>(COUNTIF($K$2:K465,K465))&amp;K465</f>
        <v>2731000</v>
      </c>
      <c r="B465" s="52" t="s">
        <v>593</v>
      </c>
      <c r="C465" s="53" t="s">
        <v>566</v>
      </c>
      <c r="D465" s="54" t="s">
        <v>564</v>
      </c>
      <c r="E465" s="55">
        <v>101140</v>
      </c>
      <c r="F465" s="55">
        <v>105060</v>
      </c>
      <c r="G465" s="55">
        <v>16840</v>
      </c>
      <c r="H465" s="55" t="s">
        <v>574</v>
      </c>
      <c r="I465" s="55">
        <v>-189.45000000000005</v>
      </c>
      <c r="J465" s="55">
        <v>355.4</v>
      </c>
      <c r="K465" s="56">
        <v>31000</v>
      </c>
      <c r="L465" s="55">
        <v>3.65</v>
      </c>
      <c r="M465" s="55">
        <v>-3.7500000000000004</v>
      </c>
      <c r="N465" s="55" t="s">
        <v>576</v>
      </c>
      <c r="O465" s="55">
        <v>783820</v>
      </c>
      <c r="P465" s="55">
        <v>1594420</v>
      </c>
      <c r="Q465" s="55">
        <v>3800140</v>
      </c>
      <c r="R465" s="57" t="s">
        <v>564</v>
      </c>
      <c r="S465" s="58" t="s">
        <v>566</v>
      </c>
      <c r="T465" s="51">
        <v>31370</v>
      </c>
    </row>
    <row r="466" spans="1:20" x14ac:dyDescent="0.25">
      <c r="A466" s="51" t="str">
        <f>(COUNTIF($K$2:K466,K466))&amp;K466</f>
        <v>2731100</v>
      </c>
      <c r="B466" s="52" t="s">
        <v>593</v>
      </c>
      <c r="C466" s="53" t="s">
        <v>566</v>
      </c>
      <c r="D466" s="54" t="s">
        <v>564</v>
      </c>
      <c r="E466" s="55">
        <v>90560</v>
      </c>
      <c r="F466" s="55">
        <v>45780</v>
      </c>
      <c r="G466" s="55">
        <v>15120</v>
      </c>
      <c r="H466" s="55" t="s">
        <v>574</v>
      </c>
      <c r="I466" s="55">
        <v>-181.75</v>
      </c>
      <c r="J466" s="55">
        <v>263.39999999999998</v>
      </c>
      <c r="K466" s="56">
        <v>31100</v>
      </c>
      <c r="L466" s="55">
        <v>7.55</v>
      </c>
      <c r="M466" s="55">
        <v>-2.6000000000000005</v>
      </c>
      <c r="N466" s="55" t="s">
        <v>576</v>
      </c>
      <c r="O466" s="55">
        <v>567640</v>
      </c>
      <c r="P466" s="55">
        <v>1086340</v>
      </c>
      <c r="Q466" s="55">
        <v>4366560</v>
      </c>
      <c r="R466" s="57" t="s">
        <v>564</v>
      </c>
      <c r="S466" s="58" t="s">
        <v>566</v>
      </c>
      <c r="T466" s="51">
        <v>31370</v>
      </c>
    </row>
    <row r="467" spans="1:20" x14ac:dyDescent="0.25">
      <c r="A467" s="51" t="str">
        <f>(COUNTIF($K$2:K467,K467))&amp;K467</f>
        <v>2731200</v>
      </c>
      <c r="B467" s="52" t="s">
        <v>593</v>
      </c>
      <c r="C467" s="53" t="s">
        <v>566</v>
      </c>
      <c r="D467" s="54" t="s">
        <v>564</v>
      </c>
      <c r="E467" s="55">
        <v>830240</v>
      </c>
      <c r="F467" s="55">
        <v>250480</v>
      </c>
      <c r="G467" s="55">
        <v>118760</v>
      </c>
      <c r="H467" s="55" t="s">
        <v>576</v>
      </c>
      <c r="I467" s="55">
        <v>-175</v>
      </c>
      <c r="J467" s="55">
        <v>175.45</v>
      </c>
      <c r="K467" s="56">
        <v>31200</v>
      </c>
      <c r="L467" s="55">
        <v>20.149999999999999</v>
      </c>
      <c r="M467" s="55">
        <v>2.75</v>
      </c>
      <c r="N467" s="55" t="s">
        <v>576</v>
      </c>
      <c r="O467" s="55">
        <v>804620</v>
      </c>
      <c r="P467" s="55">
        <v>1330560</v>
      </c>
      <c r="Q467" s="55">
        <v>6238860</v>
      </c>
      <c r="R467" s="57" t="s">
        <v>564</v>
      </c>
      <c r="S467" s="58" t="s">
        <v>565</v>
      </c>
      <c r="T467" s="51">
        <v>31370</v>
      </c>
    </row>
    <row r="468" spans="1:20" x14ac:dyDescent="0.25">
      <c r="A468" s="51" t="str">
        <f>(COUNTIF($K$2:K468,K468))&amp;K468</f>
        <v>2731300</v>
      </c>
      <c r="B468" s="52" t="s">
        <v>593</v>
      </c>
      <c r="C468" s="53" t="s">
        <v>566</v>
      </c>
      <c r="D468" s="54" t="s">
        <v>564</v>
      </c>
      <c r="E468" s="55">
        <v>1492100</v>
      </c>
      <c r="F468" s="55">
        <v>303180</v>
      </c>
      <c r="G468" s="55">
        <v>187240</v>
      </c>
      <c r="H468" s="55" t="s">
        <v>576</v>
      </c>
      <c r="I468" s="55">
        <v>-163.20000000000002</v>
      </c>
      <c r="J468" s="55">
        <v>102.35</v>
      </c>
      <c r="K468" s="56">
        <v>31300</v>
      </c>
      <c r="L468" s="55">
        <v>47.55</v>
      </c>
      <c r="M468" s="55">
        <v>16.599999999999998</v>
      </c>
      <c r="N468" s="55" t="s">
        <v>576</v>
      </c>
      <c r="O468" s="55">
        <v>490260</v>
      </c>
      <c r="P468" s="55">
        <v>1140760</v>
      </c>
      <c r="Q468" s="55">
        <v>7279020</v>
      </c>
      <c r="R468" s="57" t="s">
        <v>564</v>
      </c>
      <c r="S468" s="58" t="s">
        <v>565</v>
      </c>
      <c r="T468" s="51">
        <v>31370</v>
      </c>
    </row>
    <row r="469" spans="1:20" ht="15.75" x14ac:dyDescent="0.25">
      <c r="A469" s="51" t="str">
        <f>(COUNTIF($K$2:K469,K469))&amp;K469</f>
        <v>2731400</v>
      </c>
      <c r="B469" s="52" t="s">
        <v>593</v>
      </c>
      <c r="C469" s="53" t="s">
        <v>566</v>
      </c>
      <c r="D469" s="54" t="s">
        <v>564</v>
      </c>
      <c r="E469" s="55">
        <v>4899200</v>
      </c>
      <c r="F469" s="55">
        <v>1029280</v>
      </c>
      <c r="G469" s="55">
        <v>844980</v>
      </c>
      <c r="H469" s="55" t="s">
        <v>576</v>
      </c>
      <c r="I469" s="55">
        <v>-138.1</v>
      </c>
      <c r="J469" s="55">
        <v>50.9</v>
      </c>
      <c r="K469" s="59">
        <v>31400</v>
      </c>
      <c r="L469" s="55">
        <v>96.45</v>
      </c>
      <c r="M469" s="55">
        <v>42.5</v>
      </c>
      <c r="N469" s="55" t="s">
        <v>576</v>
      </c>
      <c r="O469" s="55">
        <v>294680</v>
      </c>
      <c r="P469" s="55">
        <v>850900</v>
      </c>
      <c r="Q469" s="55">
        <v>6268540</v>
      </c>
      <c r="R469" s="57" t="s">
        <v>564</v>
      </c>
      <c r="S469" s="58" t="s">
        <v>565</v>
      </c>
      <c r="T469" s="51">
        <v>31370</v>
      </c>
    </row>
    <row r="470" spans="1:20" x14ac:dyDescent="0.25">
      <c r="A470" s="51" t="str">
        <f>(COUNTIF($K$2:K470,K470))&amp;K470</f>
        <v>2731500</v>
      </c>
      <c r="B470" s="52" t="s">
        <v>593</v>
      </c>
      <c r="C470" s="53" t="s">
        <v>566</v>
      </c>
      <c r="D470" s="54" t="s">
        <v>564</v>
      </c>
      <c r="E470" s="55">
        <v>8934800</v>
      </c>
      <c r="F470" s="55">
        <v>2390480</v>
      </c>
      <c r="G470" s="55">
        <v>1611940</v>
      </c>
      <c r="H470" s="55" t="s">
        <v>576</v>
      </c>
      <c r="I470" s="55">
        <v>-104.2</v>
      </c>
      <c r="J470" s="55">
        <v>22.25</v>
      </c>
      <c r="K470" s="56">
        <v>31500</v>
      </c>
      <c r="L470" s="55">
        <v>167.95</v>
      </c>
      <c r="M470" s="55">
        <v>77.799999999999983</v>
      </c>
      <c r="N470" s="55" t="s">
        <v>576</v>
      </c>
      <c r="O470" s="55">
        <v>-11380</v>
      </c>
      <c r="P470" s="55">
        <v>619100</v>
      </c>
      <c r="Q470" s="55">
        <v>3912760</v>
      </c>
      <c r="R470" s="57" t="s">
        <v>563</v>
      </c>
      <c r="S470" s="58" t="s">
        <v>567</v>
      </c>
      <c r="T470" s="51">
        <v>31370</v>
      </c>
    </row>
    <row r="471" spans="1:20" x14ac:dyDescent="0.25">
      <c r="A471" s="51" t="str">
        <f>(COUNTIF($K$2:K471,K471))&amp;K471</f>
        <v>2731600</v>
      </c>
      <c r="B471" s="52" t="s">
        <v>593</v>
      </c>
      <c r="C471" s="53" t="s">
        <v>566</v>
      </c>
      <c r="D471" s="54" t="s">
        <v>564</v>
      </c>
      <c r="E471" s="55">
        <v>7502580</v>
      </c>
      <c r="F471" s="55">
        <v>1697620</v>
      </c>
      <c r="G471" s="55">
        <v>1077960</v>
      </c>
      <c r="H471" s="55" t="s">
        <v>576</v>
      </c>
      <c r="I471" s="55">
        <v>-70.150000000000006</v>
      </c>
      <c r="J471" s="55">
        <v>8.3000000000000007</v>
      </c>
      <c r="K471" s="56">
        <v>31600</v>
      </c>
      <c r="L471" s="55">
        <v>253.3</v>
      </c>
      <c r="M471" s="55">
        <v>111.20000000000002</v>
      </c>
      <c r="N471" s="55" t="s">
        <v>576</v>
      </c>
      <c r="O471" s="55">
        <v>31140</v>
      </c>
      <c r="P471" s="55">
        <v>125380</v>
      </c>
      <c r="Q471" s="55">
        <v>1152040</v>
      </c>
      <c r="R471" s="57" t="s">
        <v>564</v>
      </c>
      <c r="S471" s="58" t="s">
        <v>565</v>
      </c>
      <c r="T471" s="51">
        <v>31370</v>
      </c>
    </row>
    <row r="472" spans="1:20" x14ac:dyDescent="0.25">
      <c r="A472" s="51" t="str">
        <f>(COUNTIF($K$2:K472,K472))&amp;K472</f>
        <v>2731700</v>
      </c>
      <c r="B472" s="52" t="s">
        <v>593</v>
      </c>
      <c r="C472" s="53" t="s">
        <v>566</v>
      </c>
      <c r="D472" s="54" t="s">
        <v>564</v>
      </c>
      <c r="E472" s="55">
        <v>6484320</v>
      </c>
      <c r="F472" s="55">
        <v>1310660</v>
      </c>
      <c r="G472" s="55">
        <v>675400</v>
      </c>
      <c r="H472" s="55" t="s">
        <v>576</v>
      </c>
      <c r="I472" s="55">
        <v>-40.85</v>
      </c>
      <c r="J472" s="55">
        <v>3.6</v>
      </c>
      <c r="K472" s="56">
        <v>31700</v>
      </c>
      <c r="L472" s="55">
        <v>349.85</v>
      </c>
      <c r="M472" s="55">
        <v>140.45000000000002</v>
      </c>
      <c r="N472" s="55" t="s">
        <v>576</v>
      </c>
      <c r="O472" s="55">
        <v>360</v>
      </c>
      <c r="P472" s="55">
        <v>50120</v>
      </c>
      <c r="Q472" s="55">
        <v>507000</v>
      </c>
      <c r="R472" s="57" t="s">
        <v>564</v>
      </c>
      <c r="S472" s="58" t="s">
        <v>565</v>
      </c>
      <c r="T472" s="51">
        <v>31370</v>
      </c>
    </row>
    <row r="473" spans="1:20" x14ac:dyDescent="0.25">
      <c r="A473" s="51" t="str">
        <f>(COUNTIF($K$2:K473,K473))&amp;K473</f>
        <v>2731800</v>
      </c>
      <c r="B473" s="52" t="s">
        <v>593</v>
      </c>
      <c r="C473" s="53" t="s">
        <v>566</v>
      </c>
      <c r="D473" s="54" t="s">
        <v>564</v>
      </c>
      <c r="E473" s="55">
        <v>4482680</v>
      </c>
      <c r="F473" s="55">
        <v>1032620</v>
      </c>
      <c r="G473" s="55">
        <v>447240</v>
      </c>
      <c r="H473" s="55" t="s">
        <v>576</v>
      </c>
      <c r="I473" s="55">
        <v>-21.8</v>
      </c>
      <c r="J473" s="55">
        <v>1.7</v>
      </c>
      <c r="K473" s="56">
        <v>31800</v>
      </c>
      <c r="L473" s="55">
        <v>448.35</v>
      </c>
      <c r="M473" s="55">
        <v>163</v>
      </c>
      <c r="N473" s="55" t="s">
        <v>576</v>
      </c>
      <c r="O473" s="55">
        <v>5680</v>
      </c>
      <c r="P473" s="55">
        <v>20660</v>
      </c>
      <c r="Q473" s="55">
        <v>195440</v>
      </c>
      <c r="R473" s="57" t="s">
        <v>564</v>
      </c>
      <c r="S473" s="58" t="s">
        <v>565</v>
      </c>
      <c r="T473" s="51">
        <v>31370</v>
      </c>
    </row>
    <row r="474" spans="1:20" x14ac:dyDescent="0.25">
      <c r="A474" s="51" t="str">
        <f>(COUNTIF($K$2:K474,K474))&amp;K474</f>
        <v>2731900</v>
      </c>
      <c r="B474" s="52" t="s">
        <v>593</v>
      </c>
      <c r="C474" s="53" t="s">
        <v>562</v>
      </c>
      <c r="D474" s="54" t="s">
        <v>563</v>
      </c>
      <c r="E474" s="55">
        <v>2997260</v>
      </c>
      <c r="F474" s="55">
        <v>488240</v>
      </c>
      <c r="G474" s="55">
        <v>-23560</v>
      </c>
      <c r="H474" s="55" t="s">
        <v>576</v>
      </c>
      <c r="I474" s="55">
        <v>-10.15</v>
      </c>
      <c r="J474" s="55">
        <v>0.95</v>
      </c>
      <c r="K474" s="56">
        <v>31900</v>
      </c>
      <c r="L474" s="55">
        <v>548.65</v>
      </c>
      <c r="M474" s="55">
        <v>171.95</v>
      </c>
      <c r="N474" s="55" t="s">
        <v>576</v>
      </c>
      <c r="O474" s="55">
        <v>1540</v>
      </c>
      <c r="P474" s="55">
        <v>7080</v>
      </c>
      <c r="Q474" s="55">
        <v>32780</v>
      </c>
      <c r="R474" s="57" t="s">
        <v>564</v>
      </c>
      <c r="S474" s="58" t="s">
        <v>565</v>
      </c>
      <c r="T474" s="51">
        <v>31370</v>
      </c>
    </row>
    <row r="475" spans="1:20" x14ac:dyDescent="0.25">
      <c r="A475" s="51" t="str">
        <f>(COUNTIF($K$2:K475,K475))&amp;K475</f>
        <v>2732000</v>
      </c>
      <c r="B475" s="52" t="s">
        <v>593</v>
      </c>
      <c r="C475" s="53" t="s">
        <v>566</v>
      </c>
      <c r="D475" s="54" t="s">
        <v>564</v>
      </c>
      <c r="E475" s="55">
        <v>4127240</v>
      </c>
      <c r="F475" s="55">
        <v>823200</v>
      </c>
      <c r="G475" s="55">
        <v>211540</v>
      </c>
      <c r="H475" s="55" t="s">
        <v>576</v>
      </c>
      <c r="I475" s="55">
        <v>-5.25</v>
      </c>
      <c r="J475" s="55">
        <v>0.75</v>
      </c>
      <c r="K475" s="56">
        <v>32000</v>
      </c>
      <c r="L475" s="55">
        <v>646.25</v>
      </c>
      <c r="M475" s="55">
        <v>175.75</v>
      </c>
      <c r="N475" s="55" t="s">
        <v>576</v>
      </c>
      <c r="O475" s="55">
        <v>-900</v>
      </c>
      <c r="P475" s="55">
        <v>11220</v>
      </c>
      <c r="Q475" s="55">
        <v>21480</v>
      </c>
      <c r="R475" s="57" t="s">
        <v>563</v>
      </c>
      <c r="S475" s="58" t="s">
        <v>567</v>
      </c>
      <c r="T475" s="51">
        <v>31370</v>
      </c>
    </row>
    <row r="476" spans="1:20" x14ac:dyDescent="0.25">
      <c r="A476" s="51" t="str">
        <f>(COUNTIF($K$2:K476,K476))&amp;K476</f>
        <v>2732100</v>
      </c>
      <c r="B476" s="52" t="s">
        <v>593</v>
      </c>
      <c r="C476" s="53" t="s">
        <v>566</v>
      </c>
      <c r="D476" s="54" t="s">
        <v>564</v>
      </c>
      <c r="E476" s="55">
        <v>502780</v>
      </c>
      <c r="F476" s="55">
        <v>158440</v>
      </c>
      <c r="G476" s="55">
        <v>7960</v>
      </c>
      <c r="H476" s="55" t="s">
        <v>576</v>
      </c>
      <c r="I476" s="55">
        <v>-2.5</v>
      </c>
      <c r="J476" s="55">
        <v>0.65</v>
      </c>
      <c r="K476" s="56">
        <v>32100</v>
      </c>
      <c r="L476" s="55">
        <v>714</v>
      </c>
      <c r="M476" s="55">
        <v>139</v>
      </c>
      <c r="N476" s="55" t="s">
        <v>574</v>
      </c>
      <c r="O476" s="55">
        <v>40</v>
      </c>
      <c r="P476" s="55">
        <v>280</v>
      </c>
      <c r="Q476" s="55">
        <v>160</v>
      </c>
      <c r="R476" s="57" t="s">
        <v>564</v>
      </c>
      <c r="S476" s="58" t="s">
        <v>565</v>
      </c>
      <c r="T476" s="51">
        <v>31370</v>
      </c>
    </row>
    <row r="477" spans="1:20" x14ac:dyDescent="0.25">
      <c r="A477" s="51" t="str">
        <f>(COUNTIF($K$2:K477,K477))&amp;K477</f>
        <v>28PCR</v>
      </c>
      <c r="B477" s="52" t="s">
        <v>593</v>
      </c>
      <c r="C477" s="60">
        <v>0.84783279074628659</v>
      </c>
      <c r="E477" s="61"/>
      <c r="F477" s="62">
        <v>9663580</v>
      </c>
      <c r="G477" s="63"/>
      <c r="H477" s="64"/>
      <c r="I477" s="64"/>
      <c r="J477" s="64"/>
      <c r="K477" s="65" t="s">
        <v>555</v>
      </c>
      <c r="L477" s="64"/>
      <c r="M477" s="64"/>
      <c r="N477" s="64"/>
      <c r="P477" s="63">
        <v>8193100</v>
      </c>
      <c r="Q477" s="61"/>
      <c r="R477" s="64"/>
      <c r="S477" s="64"/>
    </row>
    <row r="478" spans="1:20" x14ac:dyDescent="0.25">
      <c r="A478" s="51" t="str">
        <f>(COUNTIF($K$2:K478,K478))&amp;K478</f>
        <v>1930600</v>
      </c>
      <c r="B478" s="52" t="s">
        <v>594</v>
      </c>
      <c r="C478" s="53" t="s">
        <v>562</v>
      </c>
      <c r="D478" s="54" t="s">
        <v>563</v>
      </c>
      <c r="E478" s="55">
        <v>920</v>
      </c>
      <c r="F478" s="55">
        <v>4040</v>
      </c>
      <c r="G478" s="55">
        <v>-500</v>
      </c>
      <c r="H478" s="55" t="s">
        <v>574</v>
      </c>
      <c r="I478" s="55">
        <v>-191.60000000000002</v>
      </c>
      <c r="J478" s="55">
        <v>741.1</v>
      </c>
      <c r="K478" s="56">
        <v>30600</v>
      </c>
      <c r="L478" s="55">
        <v>0.65</v>
      </c>
      <c r="M478" s="55">
        <v>-2.35</v>
      </c>
      <c r="N478" s="55" t="s">
        <v>576</v>
      </c>
      <c r="O478" s="55">
        <v>780</v>
      </c>
      <c r="P478" s="55">
        <v>200020</v>
      </c>
      <c r="Q478" s="55">
        <v>137520</v>
      </c>
      <c r="R478" s="57" t="s">
        <v>564</v>
      </c>
      <c r="S478" s="58" t="s">
        <v>566</v>
      </c>
      <c r="T478" s="51">
        <v>31353.45</v>
      </c>
    </row>
    <row r="479" spans="1:20" x14ac:dyDescent="0.25">
      <c r="A479" s="51" t="str">
        <f>(COUNTIF($K$2:K479,K479))&amp;K479</f>
        <v>2830700</v>
      </c>
      <c r="B479" s="52" t="s">
        <v>594</v>
      </c>
      <c r="C479" s="53" t="s">
        <v>562</v>
      </c>
      <c r="D479" s="54" t="s">
        <v>563</v>
      </c>
      <c r="E479" s="55">
        <v>4820</v>
      </c>
      <c r="F479" s="55">
        <v>11020</v>
      </c>
      <c r="G479" s="55">
        <v>-800</v>
      </c>
      <c r="H479" s="55" t="s">
        <v>574</v>
      </c>
      <c r="I479" s="55">
        <v>-201</v>
      </c>
      <c r="J479" s="55">
        <v>635</v>
      </c>
      <c r="K479" s="56">
        <v>30700</v>
      </c>
      <c r="L479" s="55">
        <v>0.95</v>
      </c>
      <c r="M479" s="55">
        <v>-2.6500000000000004</v>
      </c>
      <c r="N479" s="55" t="s">
        <v>576</v>
      </c>
      <c r="O479" s="55">
        <v>29800</v>
      </c>
      <c r="P479" s="55">
        <v>220000</v>
      </c>
      <c r="Q479" s="55">
        <v>277760</v>
      </c>
      <c r="R479" s="57" t="s">
        <v>564</v>
      </c>
      <c r="S479" s="58" t="s">
        <v>566</v>
      </c>
      <c r="T479" s="51">
        <v>31353.45</v>
      </c>
    </row>
    <row r="480" spans="1:20" x14ac:dyDescent="0.25">
      <c r="A480" s="51" t="str">
        <f>(COUNTIF($K$2:K480,K480))&amp;K480</f>
        <v>2830800</v>
      </c>
      <c r="B480" s="52" t="s">
        <v>594</v>
      </c>
      <c r="C480" s="53" t="s">
        <v>562</v>
      </c>
      <c r="D480" s="54" t="s">
        <v>563</v>
      </c>
      <c r="E480" s="55">
        <v>2820</v>
      </c>
      <c r="F480" s="55">
        <v>7120</v>
      </c>
      <c r="G480" s="55">
        <v>-380</v>
      </c>
      <c r="H480" s="55" t="s">
        <v>574</v>
      </c>
      <c r="I480" s="55">
        <v>-198.5</v>
      </c>
      <c r="J480" s="55">
        <v>537.1</v>
      </c>
      <c r="K480" s="56">
        <v>30800</v>
      </c>
      <c r="L480" s="55">
        <v>1.4</v>
      </c>
      <c r="M480" s="55">
        <v>-2.6999999999999997</v>
      </c>
      <c r="N480" s="55" t="s">
        <v>576</v>
      </c>
      <c r="O480" s="55">
        <v>12540</v>
      </c>
      <c r="P480" s="55">
        <v>379940</v>
      </c>
      <c r="Q480" s="55">
        <v>680940</v>
      </c>
      <c r="R480" s="57" t="s">
        <v>564</v>
      </c>
      <c r="S480" s="58" t="s">
        <v>566</v>
      </c>
      <c r="T480" s="51">
        <v>31353.45</v>
      </c>
    </row>
    <row r="481" spans="1:20" x14ac:dyDescent="0.25">
      <c r="A481" s="51" t="str">
        <f>(COUNTIF($K$2:K481,K481))&amp;K481</f>
        <v>2830900</v>
      </c>
      <c r="B481" s="52" t="s">
        <v>594</v>
      </c>
      <c r="C481" s="53" t="s">
        <v>566</v>
      </c>
      <c r="D481" s="54" t="s">
        <v>564</v>
      </c>
      <c r="E481" s="55">
        <v>3920</v>
      </c>
      <c r="F481" s="55">
        <v>6300</v>
      </c>
      <c r="G481" s="55">
        <v>60</v>
      </c>
      <c r="H481" s="55" t="s">
        <v>574</v>
      </c>
      <c r="I481" s="55">
        <v>-193.54999999999995</v>
      </c>
      <c r="J481" s="55">
        <v>440</v>
      </c>
      <c r="K481" s="56">
        <v>30900</v>
      </c>
      <c r="L481" s="55">
        <v>2.25</v>
      </c>
      <c r="M481" s="55">
        <v>-3.25</v>
      </c>
      <c r="N481" s="55" t="s">
        <v>576</v>
      </c>
      <c r="O481" s="55">
        <v>201460</v>
      </c>
      <c r="P481" s="55">
        <v>567340</v>
      </c>
      <c r="Q481" s="55">
        <v>1399360</v>
      </c>
      <c r="R481" s="57" t="s">
        <v>564</v>
      </c>
      <c r="S481" s="58" t="s">
        <v>566</v>
      </c>
      <c r="T481" s="51">
        <v>31353.45</v>
      </c>
    </row>
    <row r="482" spans="1:20" x14ac:dyDescent="0.25">
      <c r="A482" s="51" t="str">
        <f>(COUNTIF($K$2:K482,K482))&amp;K482</f>
        <v>2831000</v>
      </c>
      <c r="B482" s="52" t="s">
        <v>594</v>
      </c>
      <c r="C482" s="53" t="s">
        <v>566</v>
      </c>
      <c r="D482" s="54" t="s">
        <v>564</v>
      </c>
      <c r="E482" s="55">
        <v>115400</v>
      </c>
      <c r="F482" s="55">
        <v>101020</v>
      </c>
      <c r="G482" s="55">
        <v>12800</v>
      </c>
      <c r="H482" s="55" t="s">
        <v>574</v>
      </c>
      <c r="I482" s="55">
        <v>-205.75</v>
      </c>
      <c r="J482" s="55">
        <v>339.1</v>
      </c>
      <c r="K482" s="56">
        <v>31000</v>
      </c>
      <c r="L482" s="55">
        <v>4.3</v>
      </c>
      <c r="M482" s="55">
        <v>-3.1000000000000005</v>
      </c>
      <c r="N482" s="55" t="s">
        <v>576</v>
      </c>
      <c r="O482" s="55">
        <v>820380</v>
      </c>
      <c r="P482" s="55">
        <v>1630980</v>
      </c>
      <c r="Q482" s="55">
        <v>4041500</v>
      </c>
      <c r="R482" s="57" t="s">
        <v>564</v>
      </c>
      <c r="S482" s="58" t="s">
        <v>566</v>
      </c>
      <c r="T482" s="51">
        <v>31353.45</v>
      </c>
    </row>
    <row r="483" spans="1:20" x14ac:dyDescent="0.25">
      <c r="A483" s="51" t="str">
        <f>(COUNTIF($K$2:K483,K483))&amp;K483</f>
        <v>2831100</v>
      </c>
      <c r="B483" s="52" t="s">
        <v>594</v>
      </c>
      <c r="C483" s="53" t="s">
        <v>566</v>
      </c>
      <c r="D483" s="54" t="s">
        <v>564</v>
      </c>
      <c r="E483" s="55">
        <v>103200</v>
      </c>
      <c r="F483" s="55">
        <v>47620</v>
      </c>
      <c r="G483" s="55">
        <v>16960</v>
      </c>
      <c r="H483" s="55" t="s">
        <v>574</v>
      </c>
      <c r="I483" s="55">
        <v>-202.54999999999998</v>
      </c>
      <c r="J483" s="55">
        <v>242.6</v>
      </c>
      <c r="K483" s="56">
        <v>31100</v>
      </c>
      <c r="L483" s="55">
        <v>9.1</v>
      </c>
      <c r="M483" s="55">
        <v>-1.0500000000000007</v>
      </c>
      <c r="N483" s="55" t="s">
        <v>576</v>
      </c>
      <c r="O483" s="55">
        <v>584300</v>
      </c>
      <c r="P483" s="55">
        <v>1103000</v>
      </c>
      <c r="Q483" s="55">
        <v>4678280</v>
      </c>
      <c r="R483" s="57" t="s">
        <v>564</v>
      </c>
      <c r="S483" s="58" t="s">
        <v>566</v>
      </c>
      <c r="T483" s="51">
        <v>31353.45</v>
      </c>
    </row>
    <row r="484" spans="1:20" x14ac:dyDescent="0.25">
      <c r="A484" s="51" t="str">
        <f>(COUNTIF($K$2:K484,K484))&amp;K484</f>
        <v>2831200</v>
      </c>
      <c r="B484" s="52" t="s">
        <v>594</v>
      </c>
      <c r="C484" s="53" t="s">
        <v>566</v>
      </c>
      <c r="D484" s="54" t="s">
        <v>564</v>
      </c>
      <c r="E484" s="55">
        <v>947320</v>
      </c>
      <c r="F484" s="55">
        <v>242380</v>
      </c>
      <c r="G484" s="55">
        <v>110660</v>
      </c>
      <c r="H484" s="55" t="s">
        <v>576</v>
      </c>
      <c r="I484" s="55">
        <v>-193.14999999999998</v>
      </c>
      <c r="J484" s="55">
        <v>157.30000000000001</v>
      </c>
      <c r="K484" s="56">
        <v>31200</v>
      </c>
      <c r="L484" s="55">
        <v>23.7</v>
      </c>
      <c r="M484" s="55">
        <v>6.3000000000000007</v>
      </c>
      <c r="N484" s="55" t="s">
        <v>576</v>
      </c>
      <c r="O484" s="55">
        <v>802980</v>
      </c>
      <c r="P484" s="55">
        <v>1328920</v>
      </c>
      <c r="Q484" s="55">
        <v>6714560</v>
      </c>
      <c r="R484" s="57" t="s">
        <v>564</v>
      </c>
      <c r="S484" s="58" t="s">
        <v>565</v>
      </c>
      <c r="T484" s="51">
        <v>31353.45</v>
      </c>
    </row>
    <row r="485" spans="1:20" x14ac:dyDescent="0.25">
      <c r="A485" s="51" t="str">
        <f>(COUNTIF($K$2:K485,K485))&amp;K485</f>
        <v>2831300</v>
      </c>
      <c r="B485" s="52" t="s">
        <v>594</v>
      </c>
      <c r="C485" s="53" t="s">
        <v>566</v>
      </c>
      <c r="D485" s="54" t="s">
        <v>564</v>
      </c>
      <c r="E485" s="55">
        <v>1750140</v>
      </c>
      <c r="F485" s="55">
        <v>336880</v>
      </c>
      <c r="G485" s="55">
        <v>220940</v>
      </c>
      <c r="H485" s="55" t="s">
        <v>576</v>
      </c>
      <c r="I485" s="55">
        <v>-176.8</v>
      </c>
      <c r="J485" s="55">
        <v>88.75</v>
      </c>
      <c r="K485" s="56">
        <v>31300</v>
      </c>
      <c r="L485" s="55">
        <v>55.4</v>
      </c>
      <c r="M485" s="55">
        <v>24.45</v>
      </c>
      <c r="N485" s="55" t="s">
        <v>576</v>
      </c>
      <c r="O485" s="55">
        <v>480840</v>
      </c>
      <c r="P485" s="55">
        <v>1131340</v>
      </c>
      <c r="Q485" s="55">
        <v>7913520</v>
      </c>
      <c r="R485" s="57" t="s">
        <v>564</v>
      </c>
      <c r="S485" s="58" t="s">
        <v>565</v>
      </c>
      <c r="T485" s="51">
        <v>31353.45</v>
      </c>
    </row>
    <row r="486" spans="1:20" ht="15.75" x14ac:dyDescent="0.25">
      <c r="A486" s="51" t="str">
        <f>(COUNTIF($K$2:K486,K486))&amp;K486</f>
        <v>2831400</v>
      </c>
      <c r="B486" s="52" t="s">
        <v>594</v>
      </c>
      <c r="C486" s="53" t="s">
        <v>566</v>
      </c>
      <c r="D486" s="54" t="s">
        <v>564</v>
      </c>
      <c r="E486" s="55">
        <v>5457660</v>
      </c>
      <c r="F486" s="55">
        <v>1063440</v>
      </c>
      <c r="G486" s="55">
        <v>879140</v>
      </c>
      <c r="H486" s="55" t="s">
        <v>576</v>
      </c>
      <c r="I486" s="55">
        <v>-146.1</v>
      </c>
      <c r="J486" s="55">
        <v>42.9</v>
      </c>
      <c r="K486" s="59">
        <v>31400</v>
      </c>
      <c r="L486" s="55">
        <v>109.45</v>
      </c>
      <c r="M486" s="55">
        <v>55.5</v>
      </c>
      <c r="N486" s="55" t="s">
        <v>576</v>
      </c>
      <c r="O486" s="55">
        <v>268440</v>
      </c>
      <c r="P486" s="55">
        <v>824660</v>
      </c>
      <c r="Q486" s="55">
        <v>6820220</v>
      </c>
      <c r="R486" s="57" t="s">
        <v>564</v>
      </c>
      <c r="S486" s="58" t="s">
        <v>565</v>
      </c>
      <c r="T486" s="51">
        <v>31353.45</v>
      </c>
    </row>
    <row r="487" spans="1:20" x14ac:dyDescent="0.25">
      <c r="A487" s="51" t="str">
        <f>(COUNTIF($K$2:K487,K487))&amp;K487</f>
        <v>2831500</v>
      </c>
      <c r="B487" s="52" t="s">
        <v>594</v>
      </c>
      <c r="C487" s="53" t="s">
        <v>566</v>
      </c>
      <c r="D487" s="54" t="s">
        <v>564</v>
      </c>
      <c r="E487" s="55">
        <v>9655640</v>
      </c>
      <c r="F487" s="55">
        <v>2464700</v>
      </c>
      <c r="G487" s="55">
        <v>1686160</v>
      </c>
      <c r="H487" s="55" t="s">
        <v>576</v>
      </c>
      <c r="I487" s="55">
        <v>-108.25</v>
      </c>
      <c r="J487" s="55">
        <v>18.2</v>
      </c>
      <c r="K487" s="56">
        <v>31500</v>
      </c>
      <c r="L487" s="55">
        <v>184.2</v>
      </c>
      <c r="M487" s="55">
        <v>94.049999999999983</v>
      </c>
      <c r="N487" s="55" t="s">
        <v>576</v>
      </c>
      <c r="O487" s="55">
        <v>-58980</v>
      </c>
      <c r="P487" s="55">
        <v>571500</v>
      </c>
      <c r="Q487" s="55">
        <v>4109680</v>
      </c>
      <c r="R487" s="57" t="s">
        <v>563</v>
      </c>
      <c r="S487" s="58" t="s">
        <v>567</v>
      </c>
      <c r="T487" s="51">
        <v>31353.45</v>
      </c>
    </row>
    <row r="488" spans="1:20" x14ac:dyDescent="0.25">
      <c r="A488" s="51" t="str">
        <f>(COUNTIF($K$2:K488,K488))&amp;K488</f>
        <v>2831600</v>
      </c>
      <c r="B488" s="52" t="s">
        <v>594</v>
      </c>
      <c r="C488" s="53" t="s">
        <v>566</v>
      </c>
      <c r="D488" s="54" t="s">
        <v>564</v>
      </c>
      <c r="E488" s="55">
        <v>7953700</v>
      </c>
      <c r="F488" s="55">
        <v>1741420</v>
      </c>
      <c r="G488" s="55">
        <v>1121760</v>
      </c>
      <c r="H488" s="55" t="s">
        <v>576</v>
      </c>
      <c r="I488" s="55">
        <v>-71.650000000000006</v>
      </c>
      <c r="J488" s="55">
        <v>6.8</v>
      </c>
      <c r="K488" s="56">
        <v>31600</v>
      </c>
      <c r="L488" s="55">
        <v>273</v>
      </c>
      <c r="M488" s="55">
        <v>130.9</v>
      </c>
      <c r="N488" s="55" t="s">
        <v>576</v>
      </c>
      <c r="O488" s="55">
        <v>26820</v>
      </c>
      <c r="P488" s="55">
        <v>121060</v>
      </c>
      <c r="Q488" s="55">
        <v>1188020</v>
      </c>
      <c r="R488" s="57" t="s">
        <v>564</v>
      </c>
      <c r="S488" s="58" t="s">
        <v>565</v>
      </c>
      <c r="T488" s="51">
        <v>31353.45</v>
      </c>
    </row>
    <row r="489" spans="1:20" x14ac:dyDescent="0.25">
      <c r="A489" s="51" t="str">
        <f>(COUNTIF($K$2:K489,K489))&amp;K489</f>
        <v>2831700</v>
      </c>
      <c r="B489" s="52" t="s">
        <v>594</v>
      </c>
      <c r="C489" s="53" t="s">
        <v>566</v>
      </c>
      <c r="D489" s="54" t="s">
        <v>564</v>
      </c>
      <c r="E489" s="55">
        <v>6755440</v>
      </c>
      <c r="F489" s="55">
        <v>1292740</v>
      </c>
      <c r="G489" s="55">
        <v>657480</v>
      </c>
      <c r="H489" s="55" t="s">
        <v>576</v>
      </c>
      <c r="I489" s="55">
        <v>-41.300000000000004</v>
      </c>
      <c r="J489" s="55">
        <v>3.15</v>
      </c>
      <c r="K489" s="56">
        <v>31700</v>
      </c>
      <c r="L489" s="55">
        <v>369.15</v>
      </c>
      <c r="M489" s="55">
        <v>159.74999999999997</v>
      </c>
      <c r="N489" s="55" t="s">
        <v>576</v>
      </c>
      <c r="O489" s="55">
        <v>-1240</v>
      </c>
      <c r="P489" s="55">
        <v>48520</v>
      </c>
      <c r="Q489" s="55">
        <v>520540</v>
      </c>
      <c r="R489" s="57" t="s">
        <v>563</v>
      </c>
      <c r="S489" s="58" t="s">
        <v>567</v>
      </c>
      <c r="T489" s="51">
        <v>31353.45</v>
      </c>
    </row>
    <row r="490" spans="1:20" x14ac:dyDescent="0.25">
      <c r="A490" s="51" t="str">
        <f>(COUNTIF($K$2:K490,K490))&amp;K490</f>
        <v>2831800</v>
      </c>
      <c r="B490" s="52" t="s">
        <v>594</v>
      </c>
      <c r="C490" s="53" t="s">
        <v>566</v>
      </c>
      <c r="D490" s="54" t="s">
        <v>564</v>
      </c>
      <c r="E490" s="55">
        <v>4619820</v>
      </c>
      <c r="F490" s="55">
        <v>1008060</v>
      </c>
      <c r="G490" s="55">
        <v>422680</v>
      </c>
      <c r="H490" s="55" t="s">
        <v>576</v>
      </c>
      <c r="I490" s="55">
        <v>-22</v>
      </c>
      <c r="J490" s="55">
        <v>1.5</v>
      </c>
      <c r="K490" s="56">
        <v>31800</v>
      </c>
      <c r="L490" s="55">
        <v>468.75</v>
      </c>
      <c r="M490" s="55">
        <v>183.39999999999998</v>
      </c>
      <c r="N490" s="55" t="s">
        <v>576</v>
      </c>
      <c r="O490" s="55">
        <v>4660</v>
      </c>
      <c r="P490" s="55">
        <v>19640</v>
      </c>
      <c r="Q490" s="55">
        <v>199800</v>
      </c>
      <c r="R490" s="57" t="s">
        <v>564</v>
      </c>
      <c r="S490" s="58" t="s">
        <v>565</v>
      </c>
      <c r="T490" s="51">
        <v>31353.45</v>
      </c>
    </row>
    <row r="491" spans="1:20" x14ac:dyDescent="0.25">
      <c r="A491" s="51" t="str">
        <f>(COUNTIF($K$2:K491,K491))&amp;K491</f>
        <v>2831900</v>
      </c>
      <c r="B491" s="52" t="s">
        <v>594</v>
      </c>
      <c r="C491" s="53" t="s">
        <v>562</v>
      </c>
      <c r="D491" s="54" t="s">
        <v>563</v>
      </c>
      <c r="E491" s="55">
        <v>3198360</v>
      </c>
      <c r="F491" s="55">
        <v>509940</v>
      </c>
      <c r="G491" s="55">
        <v>-1860</v>
      </c>
      <c r="H491" s="55" t="s">
        <v>576</v>
      </c>
      <c r="I491" s="55">
        <v>-10.15</v>
      </c>
      <c r="J491" s="55">
        <v>0.95</v>
      </c>
      <c r="K491" s="56">
        <v>31900</v>
      </c>
      <c r="L491" s="55">
        <v>564.70000000000005</v>
      </c>
      <c r="M491" s="55">
        <v>188.00000000000006</v>
      </c>
      <c r="N491" s="55" t="s">
        <v>576</v>
      </c>
      <c r="O491" s="55">
        <v>1620</v>
      </c>
      <c r="P491" s="55">
        <v>7160</v>
      </c>
      <c r="Q491" s="55">
        <v>34220</v>
      </c>
      <c r="R491" s="57" t="s">
        <v>564</v>
      </c>
      <c r="S491" s="58" t="s">
        <v>565</v>
      </c>
      <c r="T491" s="51">
        <v>31353.45</v>
      </c>
    </row>
    <row r="492" spans="1:20" x14ac:dyDescent="0.25">
      <c r="A492" s="51" t="str">
        <f>(COUNTIF($K$2:K492,K492))&amp;K492</f>
        <v>2832000</v>
      </c>
      <c r="B492" s="52" t="s">
        <v>594</v>
      </c>
      <c r="C492" s="53" t="s">
        <v>566</v>
      </c>
      <c r="D492" s="54" t="s">
        <v>564</v>
      </c>
      <c r="E492" s="55">
        <v>4160500</v>
      </c>
      <c r="F492" s="55">
        <v>818300</v>
      </c>
      <c r="G492" s="55">
        <v>206640</v>
      </c>
      <c r="H492" s="55" t="s">
        <v>576</v>
      </c>
      <c r="I492" s="55">
        <v>-5.2</v>
      </c>
      <c r="J492" s="55">
        <v>0.8</v>
      </c>
      <c r="K492" s="56">
        <v>32000</v>
      </c>
      <c r="L492" s="55">
        <v>670.3</v>
      </c>
      <c r="M492" s="55">
        <v>199.79999999999995</v>
      </c>
      <c r="N492" s="55" t="s">
        <v>576</v>
      </c>
      <c r="O492" s="55">
        <v>-1000</v>
      </c>
      <c r="P492" s="55">
        <v>11120</v>
      </c>
      <c r="Q492" s="55">
        <v>24300</v>
      </c>
      <c r="R492" s="57" t="s">
        <v>563</v>
      </c>
      <c r="S492" s="58" t="s">
        <v>567</v>
      </c>
      <c r="T492" s="51">
        <v>31353.45</v>
      </c>
    </row>
    <row r="493" spans="1:20" x14ac:dyDescent="0.25">
      <c r="A493" s="51" t="str">
        <f>(COUNTIF($K$2:K493,K493))&amp;K493</f>
        <v>2832100</v>
      </c>
      <c r="B493" s="52" t="s">
        <v>594</v>
      </c>
      <c r="C493" s="53" t="s">
        <v>566</v>
      </c>
      <c r="D493" s="54" t="s">
        <v>564</v>
      </c>
      <c r="E493" s="55">
        <v>510740</v>
      </c>
      <c r="F493" s="55">
        <v>156980</v>
      </c>
      <c r="G493" s="55">
        <v>6500</v>
      </c>
      <c r="H493" s="55" t="s">
        <v>576</v>
      </c>
      <c r="I493" s="55">
        <v>-2.5499999999999998</v>
      </c>
      <c r="J493" s="55">
        <v>0.6</v>
      </c>
      <c r="K493" s="56">
        <v>32100</v>
      </c>
      <c r="L493" s="55">
        <v>714</v>
      </c>
      <c r="M493" s="55">
        <v>139</v>
      </c>
      <c r="N493" s="55" t="s">
        <v>574</v>
      </c>
      <c r="O493" s="55">
        <v>40</v>
      </c>
      <c r="P493" s="55">
        <v>280</v>
      </c>
      <c r="Q493" s="55">
        <v>160</v>
      </c>
      <c r="R493" s="57" t="s">
        <v>564</v>
      </c>
      <c r="S493" s="58" t="s">
        <v>565</v>
      </c>
      <c r="T493" s="51">
        <v>31353.45</v>
      </c>
    </row>
    <row r="494" spans="1:20" x14ac:dyDescent="0.25">
      <c r="A494" s="51" t="str">
        <f>(COUNTIF($K$2:K494,K494))&amp;K494</f>
        <v>29PCR</v>
      </c>
      <c r="B494" s="52" t="s">
        <v>594</v>
      </c>
      <c r="C494" s="60">
        <v>0.8321966253429488</v>
      </c>
      <c r="E494" s="61"/>
      <c r="F494" s="62">
        <v>9811960</v>
      </c>
      <c r="G494" s="63"/>
      <c r="H494" s="64"/>
      <c r="I494" s="64"/>
      <c r="J494" s="64"/>
      <c r="K494" s="65" t="s">
        <v>555</v>
      </c>
      <c r="L494" s="64"/>
      <c r="M494" s="64"/>
      <c r="N494" s="64"/>
      <c r="P494" s="63">
        <v>8165480</v>
      </c>
      <c r="Q494" s="61"/>
      <c r="R494" s="64"/>
      <c r="S494" s="64"/>
    </row>
    <row r="495" spans="1:20" x14ac:dyDescent="0.25">
      <c r="A495" s="51" t="str">
        <f>(COUNTIF($K$2:K495,K495))&amp;K495</f>
        <v>2030600</v>
      </c>
      <c r="B495" s="52" t="s">
        <v>594</v>
      </c>
      <c r="C495" s="53" t="s">
        <v>562</v>
      </c>
      <c r="D495" s="54" t="s">
        <v>563</v>
      </c>
      <c r="E495" s="55">
        <v>920</v>
      </c>
      <c r="F495" s="55">
        <v>4040</v>
      </c>
      <c r="G495" s="55">
        <v>-500</v>
      </c>
      <c r="H495" s="55" t="s">
        <v>574</v>
      </c>
      <c r="I495" s="55">
        <v>-191.60000000000002</v>
      </c>
      <c r="J495" s="55">
        <v>741.1</v>
      </c>
      <c r="K495" s="56">
        <v>30600</v>
      </c>
      <c r="L495" s="55">
        <v>0.65</v>
      </c>
      <c r="M495" s="55">
        <v>-2.35</v>
      </c>
      <c r="N495" s="55" t="s">
        <v>576</v>
      </c>
      <c r="O495" s="55">
        <v>780</v>
      </c>
      <c r="P495" s="55">
        <v>200020</v>
      </c>
      <c r="Q495" s="55">
        <v>137520</v>
      </c>
      <c r="R495" s="57" t="s">
        <v>564</v>
      </c>
      <c r="S495" s="58" t="s">
        <v>566</v>
      </c>
      <c r="T495" s="51">
        <v>31353.45</v>
      </c>
    </row>
    <row r="496" spans="1:20" x14ac:dyDescent="0.25">
      <c r="A496" s="51" t="str">
        <f>(COUNTIF($K$2:K496,K496))&amp;K496</f>
        <v>2930700</v>
      </c>
      <c r="B496" s="52" t="s">
        <v>594</v>
      </c>
      <c r="C496" s="53" t="s">
        <v>562</v>
      </c>
      <c r="D496" s="54" t="s">
        <v>563</v>
      </c>
      <c r="E496" s="55">
        <v>4820</v>
      </c>
      <c r="F496" s="55">
        <v>11020</v>
      </c>
      <c r="G496" s="55">
        <v>-800</v>
      </c>
      <c r="H496" s="55" t="s">
        <v>574</v>
      </c>
      <c r="I496" s="55">
        <v>-201</v>
      </c>
      <c r="J496" s="55">
        <v>635</v>
      </c>
      <c r="K496" s="56">
        <v>30700</v>
      </c>
      <c r="L496" s="55">
        <v>0.95</v>
      </c>
      <c r="M496" s="55">
        <v>-2.6500000000000004</v>
      </c>
      <c r="N496" s="55" t="s">
        <v>576</v>
      </c>
      <c r="O496" s="55">
        <v>29800</v>
      </c>
      <c r="P496" s="55">
        <v>220000</v>
      </c>
      <c r="Q496" s="55">
        <v>277760</v>
      </c>
      <c r="R496" s="57" t="s">
        <v>564</v>
      </c>
      <c r="S496" s="58" t="s">
        <v>566</v>
      </c>
      <c r="T496" s="51">
        <v>31353.45</v>
      </c>
    </row>
    <row r="497" spans="1:20" x14ac:dyDescent="0.25">
      <c r="A497" s="51" t="str">
        <f>(COUNTIF($K$2:K497,K497))&amp;K497</f>
        <v>2930800</v>
      </c>
      <c r="B497" s="52" t="s">
        <v>594</v>
      </c>
      <c r="C497" s="53" t="s">
        <v>562</v>
      </c>
      <c r="D497" s="54" t="s">
        <v>563</v>
      </c>
      <c r="E497" s="55">
        <v>2820</v>
      </c>
      <c r="F497" s="55">
        <v>7120</v>
      </c>
      <c r="G497" s="55">
        <v>-380</v>
      </c>
      <c r="H497" s="55" t="s">
        <v>574</v>
      </c>
      <c r="I497" s="55">
        <v>-198.5</v>
      </c>
      <c r="J497" s="55">
        <v>537.1</v>
      </c>
      <c r="K497" s="56">
        <v>30800</v>
      </c>
      <c r="L497" s="55">
        <v>1.4</v>
      </c>
      <c r="M497" s="55">
        <v>-2.6999999999999997</v>
      </c>
      <c r="N497" s="55" t="s">
        <v>576</v>
      </c>
      <c r="O497" s="55">
        <v>12540</v>
      </c>
      <c r="P497" s="55">
        <v>379940</v>
      </c>
      <c r="Q497" s="55">
        <v>680940</v>
      </c>
      <c r="R497" s="57" t="s">
        <v>564</v>
      </c>
      <c r="S497" s="58" t="s">
        <v>566</v>
      </c>
      <c r="T497" s="51">
        <v>31353.45</v>
      </c>
    </row>
    <row r="498" spans="1:20" x14ac:dyDescent="0.25">
      <c r="A498" s="51" t="str">
        <f>(COUNTIF($K$2:K498,K498))&amp;K498</f>
        <v>2930900</v>
      </c>
      <c r="B498" s="52" t="s">
        <v>594</v>
      </c>
      <c r="C498" s="53" t="s">
        <v>566</v>
      </c>
      <c r="D498" s="54" t="s">
        <v>564</v>
      </c>
      <c r="E498" s="55">
        <v>3920</v>
      </c>
      <c r="F498" s="55">
        <v>6300</v>
      </c>
      <c r="G498" s="55">
        <v>60</v>
      </c>
      <c r="H498" s="55" t="s">
        <v>574</v>
      </c>
      <c r="I498" s="55">
        <v>-193.54999999999995</v>
      </c>
      <c r="J498" s="55">
        <v>440</v>
      </c>
      <c r="K498" s="56">
        <v>30900</v>
      </c>
      <c r="L498" s="55">
        <v>2.25</v>
      </c>
      <c r="M498" s="55">
        <v>-3.25</v>
      </c>
      <c r="N498" s="55" t="s">
        <v>576</v>
      </c>
      <c r="O498" s="55">
        <v>201460</v>
      </c>
      <c r="P498" s="55">
        <v>567340</v>
      </c>
      <c r="Q498" s="55">
        <v>1399360</v>
      </c>
      <c r="R498" s="57" t="s">
        <v>564</v>
      </c>
      <c r="S498" s="58" t="s">
        <v>566</v>
      </c>
      <c r="T498" s="51">
        <v>31353.45</v>
      </c>
    </row>
    <row r="499" spans="1:20" x14ac:dyDescent="0.25">
      <c r="A499" s="51" t="str">
        <f>(COUNTIF($K$2:K499,K499))&amp;K499</f>
        <v>2931000</v>
      </c>
      <c r="B499" s="52" t="s">
        <v>594</v>
      </c>
      <c r="C499" s="53" t="s">
        <v>566</v>
      </c>
      <c r="D499" s="54" t="s">
        <v>564</v>
      </c>
      <c r="E499" s="55">
        <v>115400</v>
      </c>
      <c r="F499" s="55">
        <v>101020</v>
      </c>
      <c r="G499" s="55">
        <v>12800</v>
      </c>
      <c r="H499" s="55" t="s">
        <v>574</v>
      </c>
      <c r="I499" s="55">
        <v>-205.75</v>
      </c>
      <c r="J499" s="55">
        <v>339.1</v>
      </c>
      <c r="K499" s="56">
        <v>31000</v>
      </c>
      <c r="L499" s="55">
        <v>4.3</v>
      </c>
      <c r="M499" s="55">
        <v>-3.1000000000000005</v>
      </c>
      <c r="N499" s="55" t="s">
        <v>576</v>
      </c>
      <c r="O499" s="55">
        <v>820380</v>
      </c>
      <c r="P499" s="55">
        <v>1630980</v>
      </c>
      <c r="Q499" s="55">
        <v>4041500</v>
      </c>
      <c r="R499" s="57" t="s">
        <v>564</v>
      </c>
      <c r="S499" s="58" t="s">
        <v>566</v>
      </c>
      <c r="T499" s="51">
        <v>31353.45</v>
      </c>
    </row>
    <row r="500" spans="1:20" x14ac:dyDescent="0.25">
      <c r="A500" s="51" t="str">
        <f>(COUNTIF($K$2:K500,K500))&amp;K500</f>
        <v>2931100</v>
      </c>
      <c r="B500" s="52" t="s">
        <v>594</v>
      </c>
      <c r="C500" s="53" t="s">
        <v>566</v>
      </c>
      <c r="D500" s="54" t="s">
        <v>564</v>
      </c>
      <c r="E500" s="55">
        <v>103200</v>
      </c>
      <c r="F500" s="55">
        <v>47620</v>
      </c>
      <c r="G500" s="55">
        <v>16960</v>
      </c>
      <c r="H500" s="55" t="s">
        <v>574</v>
      </c>
      <c r="I500" s="55">
        <v>-202.54999999999998</v>
      </c>
      <c r="J500" s="55">
        <v>242.6</v>
      </c>
      <c r="K500" s="56">
        <v>31100</v>
      </c>
      <c r="L500" s="55">
        <v>9.1</v>
      </c>
      <c r="M500" s="55">
        <v>-1.0500000000000007</v>
      </c>
      <c r="N500" s="55" t="s">
        <v>576</v>
      </c>
      <c r="O500" s="55">
        <v>584300</v>
      </c>
      <c r="P500" s="55">
        <v>1103000</v>
      </c>
      <c r="Q500" s="55">
        <v>4678280</v>
      </c>
      <c r="R500" s="57" t="s">
        <v>564</v>
      </c>
      <c r="S500" s="58" t="s">
        <v>566</v>
      </c>
      <c r="T500" s="51">
        <v>31353.45</v>
      </c>
    </row>
    <row r="501" spans="1:20" x14ac:dyDescent="0.25">
      <c r="A501" s="51" t="str">
        <f>(COUNTIF($K$2:K501,K501))&amp;K501</f>
        <v>2931200</v>
      </c>
      <c r="B501" s="52" t="s">
        <v>594</v>
      </c>
      <c r="C501" s="53" t="s">
        <v>566</v>
      </c>
      <c r="D501" s="54" t="s">
        <v>564</v>
      </c>
      <c r="E501" s="55">
        <v>947320</v>
      </c>
      <c r="F501" s="55">
        <v>242380</v>
      </c>
      <c r="G501" s="55">
        <v>110660</v>
      </c>
      <c r="H501" s="55" t="s">
        <v>576</v>
      </c>
      <c r="I501" s="55">
        <v>-193.14999999999998</v>
      </c>
      <c r="J501" s="55">
        <v>157.30000000000001</v>
      </c>
      <c r="K501" s="56">
        <v>31200</v>
      </c>
      <c r="L501" s="55">
        <v>23.7</v>
      </c>
      <c r="M501" s="55">
        <v>6.3000000000000007</v>
      </c>
      <c r="N501" s="55" t="s">
        <v>576</v>
      </c>
      <c r="O501" s="55">
        <v>802980</v>
      </c>
      <c r="P501" s="55">
        <v>1328920</v>
      </c>
      <c r="Q501" s="55">
        <v>6714560</v>
      </c>
      <c r="R501" s="57" t="s">
        <v>564</v>
      </c>
      <c r="S501" s="58" t="s">
        <v>565</v>
      </c>
      <c r="T501" s="51">
        <v>31353.45</v>
      </c>
    </row>
    <row r="502" spans="1:20" x14ac:dyDescent="0.25">
      <c r="A502" s="51" t="str">
        <f>(COUNTIF($K$2:K502,K502))&amp;K502</f>
        <v>2931300</v>
      </c>
      <c r="B502" s="52" t="s">
        <v>594</v>
      </c>
      <c r="C502" s="53" t="s">
        <v>566</v>
      </c>
      <c r="D502" s="54" t="s">
        <v>564</v>
      </c>
      <c r="E502" s="55">
        <v>1750140</v>
      </c>
      <c r="F502" s="55">
        <v>336880</v>
      </c>
      <c r="G502" s="55">
        <v>220940</v>
      </c>
      <c r="H502" s="55" t="s">
        <v>576</v>
      </c>
      <c r="I502" s="55">
        <v>-176.8</v>
      </c>
      <c r="J502" s="55">
        <v>88.75</v>
      </c>
      <c r="K502" s="56">
        <v>31300</v>
      </c>
      <c r="L502" s="55">
        <v>55.4</v>
      </c>
      <c r="M502" s="55">
        <v>24.45</v>
      </c>
      <c r="N502" s="55" t="s">
        <v>576</v>
      </c>
      <c r="O502" s="55">
        <v>480840</v>
      </c>
      <c r="P502" s="55">
        <v>1131340</v>
      </c>
      <c r="Q502" s="55">
        <v>7913520</v>
      </c>
      <c r="R502" s="57" t="s">
        <v>564</v>
      </c>
      <c r="S502" s="58" t="s">
        <v>565</v>
      </c>
      <c r="T502" s="51">
        <v>31353.45</v>
      </c>
    </row>
    <row r="503" spans="1:20" ht="15.75" x14ac:dyDescent="0.25">
      <c r="A503" s="51" t="str">
        <f>(COUNTIF($K$2:K503,K503))&amp;K503</f>
        <v>2931400</v>
      </c>
      <c r="B503" s="52" t="s">
        <v>594</v>
      </c>
      <c r="C503" s="53" t="s">
        <v>566</v>
      </c>
      <c r="D503" s="54" t="s">
        <v>564</v>
      </c>
      <c r="E503" s="55">
        <v>5457660</v>
      </c>
      <c r="F503" s="55">
        <v>1063440</v>
      </c>
      <c r="G503" s="55">
        <v>879140</v>
      </c>
      <c r="H503" s="55" t="s">
        <v>576</v>
      </c>
      <c r="I503" s="55">
        <v>-146.1</v>
      </c>
      <c r="J503" s="55">
        <v>42.9</v>
      </c>
      <c r="K503" s="59">
        <v>31400</v>
      </c>
      <c r="L503" s="55">
        <v>109.45</v>
      </c>
      <c r="M503" s="55">
        <v>55.5</v>
      </c>
      <c r="N503" s="55" t="s">
        <v>576</v>
      </c>
      <c r="O503" s="55">
        <v>268440</v>
      </c>
      <c r="P503" s="55">
        <v>824660</v>
      </c>
      <c r="Q503" s="55">
        <v>6820220</v>
      </c>
      <c r="R503" s="57" t="s">
        <v>564</v>
      </c>
      <c r="S503" s="58" t="s">
        <v>565</v>
      </c>
      <c r="T503" s="51">
        <v>31353.45</v>
      </c>
    </row>
    <row r="504" spans="1:20" x14ac:dyDescent="0.25">
      <c r="A504" s="51" t="str">
        <f>(COUNTIF($K$2:K504,K504))&amp;K504</f>
        <v>2931500</v>
      </c>
      <c r="B504" s="52" t="s">
        <v>594</v>
      </c>
      <c r="C504" s="53" t="s">
        <v>566</v>
      </c>
      <c r="D504" s="54" t="s">
        <v>564</v>
      </c>
      <c r="E504" s="55">
        <v>9655640</v>
      </c>
      <c r="F504" s="55">
        <v>2464700</v>
      </c>
      <c r="G504" s="55">
        <v>1686160</v>
      </c>
      <c r="H504" s="55" t="s">
        <v>576</v>
      </c>
      <c r="I504" s="55">
        <v>-108.25</v>
      </c>
      <c r="J504" s="55">
        <v>18.2</v>
      </c>
      <c r="K504" s="56">
        <v>31500</v>
      </c>
      <c r="L504" s="55">
        <v>184.2</v>
      </c>
      <c r="M504" s="55">
        <v>94.049999999999983</v>
      </c>
      <c r="N504" s="55" t="s">
        <v>576</v>
      </c>
      <c r="O504" s="55">
        <v>-58980</v>
      </c>
      <c r="P504" s="55">
        <v>571500</v>
      </c>
      <c r="Q504" s="55">
        <v>4109680</v>
      </c>
      <c r="R504" s="57" t="s">
        <v>563</v>
      </c>
      <c r="S504" s="58" t="s">
        <v>567</v>
      </c>
      <c r="T504" s="51">
        <v>31353.45</v>
      </c>
    </row>
    <row r="505" spans="1:20" x14ac:dyDescent="0.25">
      <c r="A505" s="51" t="str">
        <f>(COUNTIF($K$2:K505,K505))&amp;K505</f>
        <v>2931600</v>
      </c>
      <c r="B505" s="52" t="s">
        <v>594</v>
      </c>
      <c r="C505" s="53" t="s">
        <v>566</v>
      </c>
      <c r="D505" s="54" t="s">
        <v>564</v>
      </c>
      <c r="E505" s="55">
        <v>7953700</v>
      </c>
      <c r="F505" s="55">
        <v>1741420</v>
      </c>
      <c r="G505" s="55">
        <v>1121760</v>
      </c>
      <c r="H505" s="55" t="s">
        <v>576</v>
      </c>
      <c r="I505" s="55">
        <v>-71.650000000000006</v>
      </c>
      <c r="J505" s="55">
        <v>6.8</v>
      </c>
      <c r="K505" s="56">
        <v>31600</v>
      </c>
      <c r="L505" s="55">
        <v>273</v>
      </c>
      <c r="M505" s="55">
        <v>130.9</v>
      </c>
      <c r="N505" s="55" t="s">
        <v>576</v>
      </c>
      <c r="O505" s="55">
        <v>26820</v>
      </c>
      <c r="P505" s="55">
        <v>121060</v>
      </c>
      <c r="Q505" s="55">
        <v>1188020</v>
      </c>
      <c r="R505" s="57" t="s">
        <v>564</v>
      </c>
      <c r="S505" s="58" t="s">
        <v>565</v>
      </c>
      <c r="T505" s="51">
        <v>31353.45</v>
      </c>
    </row>
    <row r="506" spans="1:20" x14ac:dyDescent="0.25">
      <c r="A506" s="51" t="str">
        <f>(COUNTIF($K$2:K506,K506))&amp;K506</f>
        <v>2931700</v>
      </c>
      <c r="B506" s="52" t="s">
        <v>594</v>
      </c>
      <c r="C506" s="53" t="s">
        <v>566</v>
      </c>
      <c r="D506" s="54" t="s">
        <v>564</v>
      </c>
      <c r="E506" s="55">
        <v>6755440</v>
      </c>
      <c r="F506" s="55">
        <v>1292740</v>
      </c>
      <c r="G506" s="55">
        <v>657480</v>
      </c>
      <c r="H506" s="55" t="s">
        <v>576</v>
      </c>
      <c r="I506" s="55">
        <v>-41.300000000000004</v>
      </c>
      <c r="J506" s="55">
        <v>3.15</v>
      </c>
      <c r="K506" s="56">
        <v>31700</v>
      </c>
      <c r="L506" s="55">
        <v>369.15</v>
      </c>
      <c r="M506" s="55">
        <v>159.74999999999997</v>
      </c>
      <c r="N506" s="55" t="s">
        <v>576</v>
      </c>
      <c r="O506" s="55">
        <v>-1240</v>
      </c>
      <c r="P506" s="55">
        <v>48520</v>
      </c>
      <c r="Q506" s="55">
        <v>520540</v>
      </c>
      <c r="R506" s="57" t="s">
        <v>563</v>
      </c>
      <c r="S506" s="58" t="s">
        <v>567</v>
      </c>
      <c r="T506" s="51">
        <v>31353.45</v>
      </c>
    </row>
    <row r="507" spans="1:20" x14ac:dyDescent="0.25">
      <c r="A507" s="51" t="str">
        <f>(COUNTIF($K$2:K507,K507))&amp;K507</f>
        <v>2931800</v>
      </c>
      <c r="B507" s="52" t="s">
        <v>594</v>
      </c>
      <c r="C507" s="53" t="s">
        <v>566</v>
      </c>
      <c r="D507" s="54" t="s">
        <v>564</v>
      </c>
      <c r="E507" s="55">
        <v>4619820</v>
      </c>
      <c r="F507" s="55">
        <v>1008060</v>
      </c>
      <c r="G507" s="55">
        <v>422680</v>
      </c>
      <c r="H507" s="55" t="s">
        <v>576</v>
      </c>
      <c r="I507" s="55">
        <v>-22</v>
      </c>
      <c r="J507" s="55">
        <v>1.5</v>
      </c>
      <c r="K507" s="56">
        <v>31800</v>
      </c>
      <c r="L507" s="55">
        <v>468.75</v>
      </c>
      <c r="M507" s="55">
        <v>183.39999999999998</v>
      </c>
      <c r="N507" s="55" t="s">
        <v>576</v>
      </c>
      <c r="O507" s="55">
        <v>4660</v>
      </c>
      <c r="P507" s="55">
        <v>19640</v>
      </c>
      <c r="Q507" s="55">
        <v>199800</v>
      </c>
      <c r="R507" s="57" t="s">
        <v>564</v>
      </c>
      <c r="S507" s="58" t="s">
        <v>565</v>
      </c>
      <c r="T507" s="51">
        <v>31353.45</v>
      </c>
    </row>
    <row r="508" spans="1:20" x14ac:dyDescent="0.25">
      <c r="A508" s="51" t="str">
        <f>(COUNTIF($K$2:K508,K508))&amp;K508</f>
        <v>2931900</v>
      </c>
      <c r="B508" s="52" t="s">
        <v>594</v>
      </c>
      <c r="C508" s="53" t="s">
        <v>562</v>
      </c>
      <c r="D508" s="54" t="s">
        <v>563</v>
      </c>
      <c r="E508" s="55">
        <v>3198360</v>
      </c>
      <c r="F508" s="55">
        <v>509940</v>
      </c>
      <c r="G508" s="55">
        <v>-1860</v>
      </c>
      <c r="H508" s="55" t="s">
        <v>576</v>
      </c>
      <c r="I508" s="55">
        <v>-10.15</v>
      </c>
      <c r="J508" s="55">
        <v>0.95</v>
      </c>
      <c r="K508" s="56">
        <v>31900</v>
      </c>
      <c r="L508" s="55">
        <v>564.70000000000005</v>
      </c>
      <c r="M508" s="55">
        <v>188.00000000000006</v>
      </c>
      <c r="N508" s="55" t="s">
        <v>576</v>
      </c>
      <c r="O508" s="55">
        <v>1620</v>
      </c>
      <c r="P508" s="55">
        <v>7160</v>
      </c>
      <c r="Q508" s="55">
        <v>34220</v>
      </c>
      <c r="R508" s="57" t="s">
        <v>564</v>
      </c>
      <c r="S508" s="58" t="s">
        <v>565</v>
      </c>
      <c r="T508" s="51">
        <v>31353.45</v>
      </c>
    </row>
    <row r="509" spans="1:20" x14ac:dyDescent="0.25">
      <c r="A509" s="51" t="str">
        <f>(COUNTIF($K$2:K509,K509))&amp;K509</f>
        <v>2932000</v>
      </c>
      <c r="B509" s="52" t="s">
        <v>594</v>
      </c>
      <c r="C509" s="53" t="s">
        <v>566</v>
      </c>
      <c r="D509" s="54" t="s">
        <v>564</v>
      </c>
      <c r="E509" s="55">
        <v>4160500</v>
      </c>
      <c r="F509" s="55">
        <v>818300</v>
      </c>
      <c r="G509" s="55">
        <v>206640</v>
      </c>
      <c r="H509" s="55" t="s">
        <v>576</v>
      </c>
      <c r="I509" s="55">
        <v>-5.2</v>
      </c>
      <c r="J509" s="55">
        <v>0.8</v>
      </c>
      <c r="K509" s="56">
        <v>32000</v>
      </c>
      <c r="L509" s="55">
        <v>670.3</v>
      </c>
      <c r="M509" s="55">
        <v>199.79999999999995</v>
      </c>
      <c r="N509" s="55" t="s">
        <v>576</v>
      </c>
      <c r="O509" s="55">
        <v>-1000</v>
      </c>
      <c r="P509" s="55">
        <v>11120</v>
      </c>
      <c r="Q509" s="55">
        <v>24300</v>
      </c>
      <c r="R509" s="57" t="s">
        <v>563</v>
      </c>
      <c r="S509" s="58" t="s">
        <v>567</v>
      </c>
      <c r="T509" s="51">
        <v>31353.45</v>
      </c>
    </row>
    <row r="510" spans="1:20" x14ac:dyDescent="0.25">
      <c r="A510" s="51" t="str">
        <f>(COUNTIF($K$2:K510,K510))&amp;K510</f>
        <v>2932100</v>
      </c>
      <c r="B510" s="52" t="s">
        <v>594</v>
      </c>
      <c r="C510" s="53" t="s">
        <v>566</v>
      </c>
      <c r="D510" s="54" t="s">
        <v>564</v>
      </c>
      <c r="E510" s="55">
        <v>510740</v>
      </c>
      <c r="F510" s="55">
        <v>156980</v>
      </c>
      <c r="G510" s="55">
        <v>6500</v>
      </c>
      <c r="H510" s="55" t="s">
        <v>576</v>
      </c>
      <c r="I510" s="55">
        <v>-2.5499999999999998</v>
      </c>
      <c r="J510" s="55">
        <v>0.6</v>
      </c>
      <c r="K510" s="56">
        <v>32100</v>
      </c>
      <c r="L510" s="55">
        <v>714</v>
      </c>
      <c r="M510" s="55">
        <v>139</v>
      </c>
      <c r="N510" s="55" t="s">
        <v>574</v>
      </c>
      <c r="O510" s="55">
        <v>40</v>
      </c>
      <c r="P510" s="55">
        <v>280</v>
      </c>
      <c r="Q510" s="55">
        <v>160</v>
      </c>
      <c r="R510" s="57" t="s">
        <v>564</v>
      </c>
      <c r="S510" s="58" t="s">
        <v>565</v>
      </c>
      <c r="T510" s="51">
        <v>31353.45</v>
      </c>
    </row>
    <row r="511" spans="1:20" x14ac:dyDescent="0.25">
      <c r="A511" s="51" t="str">
        <f>(COUNTIF($K$2:K511,K511))&amp;K511</f>
        <v>30PCR</v>
      </c>
      <c r="B511" s="52" t="s">
        <v>594</v>
      </c>
      <c r="C511" s="60">
        <v>0.8321966253429488</v>
      </c>
      <c r="E511" s="61"/>
      <c r="F511" s="62">
        <v>9811960</v>
      </c>
      <c r="G511" s="63"/>
      <c r="H511" s="64"/>
      <c r="I511" s="64"/>
      <c r="J511" s="64"/>
      <c r="K511" s="65" t="s">
        <v>555</v>
      </c>
      <c r="L511" s="64"/>
      <c r="M511" s="64"/>
      <c r="N511" s="64"/>
      <c r="P511" s="63">
        <v>8165480</v>
      </c>
      <c r="Q511" s="61"/>
      <c r="R511" s="64"/>
      <c r="S511" s="64"/>
    </row>
    <row r="512" spans="1:20" x14ac:dyDescent="0.25">
      <c r="A512" s="51" t="str">
        <f>(COUNTIF($K$2:K512,K512))&amp;K512</f>
        <v>130500</v>
      </c>
      <c r="B512" s="52" t="s">
        <v>595</v>
      </c>
      <c r="C512" s="53" t="s">
        <v>562</v>
      </c>
      <c r="D512" s="54" t="s">
        <v>563</v>
      </c>
      <c r="E512" s="55">
        <v>12020</v>
      </c>
      <c r="F512" s="55">
        <v>26920</v>
      </c>
      <c r="G512" s="55">
        <v>-5300</v>
      </c>
      <c r="H512" s="55" t="s">
        <v>574</v>
      </c>
      <c r="I512" s="55">
        <v>-231.79999999999995</v>
      </c>
      <c r="J512" s="55">
        <v>800</v>
      </c>
      <c r="K512" s="56">
        <v>30500</v>
      </c>
      <c r="L512" s="55">
        <v>0.6</v>
      </c>
      <c r="M512" s="55">
        <v>-2.1</v>
      </c>
      <c r="N512" s="55" t="s">
        <v>576</v>
      </c>
      <c r="O512" s="55">
        <v>-12900</v>
      </c>
      <c r="P512" s="55">
        <v>401440</v>
      </c>
      <c r="Q512" s="55">
        <v>212380</v>
      </c>
      <c r="R512" s="57" t="s">
        <v>563</v>
      </c>
      <c r="S512" s="58" t="s">
        <v>562</v>
      </c>
      <c r="T512" s="51">
        <v>31325</v>
      </c>
    </row>
    <row r="513" spans="1:20" x14ac:dyDescent="0.25">
      <c r="A513" s="51" t="str">
        <f>(COUNTIF($K$2:K513,K513))&amp;K513</f>
        <v>2130600</v>
      </c>
      <c r="B513" s="52" t="s">
        <v>595</v>
      </c>
      <c r="C513" s="53" t="s">
        <v>562</v>
      </c>
      <c r="D513" s="54" t="s">
        <v>563</v>
      </c>
      <c r="E513" s="55">
        <v>920</v>
      </c>
      <c r="F513" s="55">
        <v>4040</v>
      </c>
      <c r="G513" s="55">
        <v>-500</v>
      </c>
      <c r="H513" s="55" t="s">
        <v>576</v>
      </c>
      <c r="I513" s="55">
        <v>-191.60000000000002</v>
      </c>
      <c r="J513" s="55">
        <v>741.1</v>
      </c>
      <c r="K513" s="56">
        <v>30600</v>
      </c>
      <c r="L513" s="55">
        <v>0.8</v>
      </c>
      <c r="M513" s="55">
        <v>-2.2000000000000002</v>
      </c>
      <c r="N513" s="55" t="s">
        <v>576</v>
      </c>
      <c r="O513" s="55">
        <v>2480</v>
      </c>
      <c r="P513" s="55">
        <v>201720</v>
      </c>
      <c r="Q513" s="55">
        <v>165320</v>
      </c>
      <c r="R513" s="57" t="s">
        <v>564</v>
      </c>
      <c r="S513" s="58" t="s">
        <v>566</v>
      </c>
      <c r="T513" s="51">
        <v>31325</v>
      </c>
    </row>
    <row r="514" spans="1:20" x14ac:dyDescent="0.25">
      <c r="A514" s="51" t="str">
        <f>(COUNTIF($K$2:K514,K514))&amp;K514</f>
        <v>3030700</v>
      </c>
      <c r="B514" s="52" t="s">
        <v>595</v>
      </c>
      <c r="C514" s="53" t="s">
        <v>562</v>
      </c>
      <c r="D514" s="54" t="s">
        <v>563</v>
      </c>
      <c r="E514" s="55">
        <v>5400</v>
      </c>
      <c r="F514" s="55">
        <v>10800</v>
      </c>
      <c r="G514" s="55">
        <v>-1020</v>
      </c>
      <c r="H514" s="55" t="s">
        <v>574</v>
      </c>
      <c r="I514" s="55">
        <v>-232</v>
      </c>
      <c r="J514" s="55">
        <v>604</v>
      </c>
      <c r="K514" s="56">
        <v>30700</v>
      </c>
      <c r="L514" s="55">
        <v>1</v>
      </c>
      <c r="M514" s="55">
        <v>-2.6</v>
      </c>
      <c r="N514" s="55" t="s">
        <v>576</v>
      </c>
      <c r="O514" s="55">
        <v>37340</v>
      </c>
      <c r="P514" s="55">
        <v>227540</v>
      </c>
      <c r="Q514" s="55">
        <v>371460</v>
      </c>
      <c r="R514" s="57" t="s">
        <v>564</v>
      </c>
      <c r="S514" s="58" t="s">
        <v>566</v>
      </c>
      <c r="T514" s="51">
        <v>31325</v>
      </c>
    </row>
    <row r="515" spans="1:20" x14ac:dyDescent="0.25">
      <c r="A515" s="51" t="str">
        <f>(COUNTIF($K$2:K515,K515))&amp;K515</f>
        <v>3030800</v>
      </c>
      <c r="B515" s="52" t="s">
        <v>595</v>
      </c>
      <c r="C515" s="53" t="s">
        <v>562</v>
      </c>
      <c r="D515" s="54" t="s">
        <v>563</v>
      </c>
      <c r="E515" s="55">
        <v>2980</v>
      </c>
      <c r="F515" s="55">
        <v>7040</v>
      </c>
      <c r="G515" s="55">
        <v>-460</v>
      </c>
      <c r="H515" s="55" t="s">
        <v>574</v>
      </c>
      <c r="I515" s="55">
        <v>-247.60000000000002</v>
      </c>
      <c r="J515" s="55">
        <v>488</v>
      </c>
      <c r="K515" s="56">
        <v>30800</v>
      </c>
      <c r="L515" s="55">
        <v>1.35</v>
      </c>
      <c r="M515" s="55">
        <v>-2.7499999999999996</v>
      </c>
      <c r="N515" s="55" t="s">
        <v>576</v>
      </c>
      <c r="O515" s="55">
        <v>11240</v>
      </c>
      <c r="P515" s="55">
        <v>378640</v>
      </c>
      <c r="Q515" s="55">
        <v>802980</v>
      </c>
      <c r="R515" s="57" t="s">
        <v>564</v>
      </c>
      <c r="S515" s="58" t="s">
        <v>566</v>
      </c>
      <c r="T515" s="51">
        <v>31325</v>
      </c>
    </row>
    <row r="516" spans="1:20" x14ac:dyDescent="0.25">
      <c r="A516" s="51" t="str">
        <f>(COUNTIF($K$2:K516,K516))&amp;K516</f>
        <v>3030900</v>
      </c>
      <c r="B516" s="52" t="s">
        <v>595</v>
      </c>
      <c r="C516" s="53" t="s">
        <v>566</v>
      </c>
      <c r="D516" s="54" t="s">
        <v>564</v>
      </c>
      <c r="E516" s="55">
        <v>5800</v>
      </c>
      <c r="F516" s="55">
        <v>6740</v>
      </c>
      <c r="G516" s="55">
        <v>500</v>
      </c>
      <c r="H516" s="55" t="s">
        <v>574</v>
      </c>
      <c r="I516" s="55">
        <v>-222.49999999999994</v>
      </c>
      <c r="J516" s="55">
        <v>411.05</v>
      </c>
      <c r="K516" s="56">
        <v>30900</v>
      </c>
      <c r="L516" s="55">
        <v>2.4500000000000002</v>
      </c>
      <c r="M516" s="55">
        <v>-3.05</v>
      </c>
      <c r="N516" s="55" t="s">
        <v>576</v>
      </c>
      <c r="O516" s="55">
        <v>190880</v>
      </c>
      <c r="P516" s="55">
        <v>556760</v>
      </c>
      <c r="Q516" s="55">
        <v>1714260</v>
      </c>
      <c r="R516" s="57" t="s">
        <v>564</v>
      </c>
      <c r="S516" s="58" t="s">
        <v>566</v>
      </c>
      <c r="T516" s="51">
        <v>31325</v>
      </c>
    </row>
    <row r="517" spans="1:20" x14ac:dyDescent="0.25">
      <c r="A517" s="51" t="str">
        <f>(COUNTIF($K$2:K517,K517))&amp;K517</f>
        <v>3031000</v>
      </c>
      <c r="B517" s="52" t="s">
        <v>595</v>
      </c>
      <c r="C517" s="53" t="s">
        <v>566</v>
      </c>
      <c r="D517" s="54" t="s">
        <v>564</v>
      </c>
      <c r="E517" s="55">
        <v>143580</v>
      </c>
      <c r="F517" s="55">
        <v>102520</v>
      </c>
      <c r="G517" s="55">
        <v>14300</v>
      </c>
      <c r="H517" s="55" t="s">
        <v>574</v>
      </c>
      <c r="I517" s="55">
        <v>-234.75</v>
      </c>
      <c r="J517" s="55">
        <v>310.10000000000002</v>
      </c>
      <c r="K517" s="56">
        <v>31000</v>
      </c>
      <c r="L517" s="55">
        <v>4.8</v>
      </c>
      <c r="M517" s="55">
        <v>-2.6000000000000005</v>
      </c>
      <c r="N517" s="55" t="s">
        <v>576</v>
      </c>
      <c r="O517" s="55">
        <v>865940</v>
      </c>
      <c r="P517" s="55">
        <v>1676540</v>
      </c>
      <c r="Q517" s="55">
        <v>4814200</v>
      </c>
      <c r="R517" s="57" t="s">
        <v>564</v>
      </c>
      <c r="S517" s="58" t="s">
        <v>566</v>
      </c>
      <c r="T517" s="51">
        <v>31325</v>
      </c>
    </row>
    <row r="518" spans="1:20" x14ac:dyDescent="0.25">
      <c r="A518" s="51" t="str">
        <f>(COUNTIF($K$2:K518,K518))&amp;K518</f>
        <v>3031100</v>
      </c>
      <c r="B518" s="52" t="s">
        <v>595</v>
      </c>
      <c r="C518" s="53" t="s">
        <v>566</v>
      </c>
      <c r="D518" s="54" t="s">
        <v>564</v>
      </c>
      <c r="E518" s="55">
        <v>146500</v>
      </c>
      <c r="F518" s="55">
        <v>53120</v>
      </c>
      <c r="G518" s="55">
        <v>22460</v>
      </c>
      <c r="H518" s="55" t="s">
        <v>574</v>
      </c>
      <c r="I518" s="55">
        <v>-225.54999999999998</v>
      </c>
      <c r="J518" s="55">
        <v>219.6</v>
      </c>
      <c r="K518" s="56">
        <v>31100</v>
      </c>
      <c r="L518" s="55">
        <v>11.55</v>
      </c>
      <c r="M518" s="55">
        <v>1.4000000000000004</v>
      </c>
      <c r="N518" s="55" t="s">
        <v>576</v>
      </c>
      <c r="O518" s="55">
        <v>588480</v>
      </c>
      <c r="P518" s="55">
        <v>1107180</v>
      </c>
      <c r="Q518" s="55">
        <v>5692540</v>
      </c>
      <c r="R518" s="57" t="s">
        <v>564</v>
      </c>
      <c r="S518" s="58" t="s">
        <v>565</v>
      </c>
      <c r="T518" s="51">
        <v>31325</v>
      </c>
    </row>
    <row r="519" spans="1:20" x14ac:dyDescent="0.25">
      <c r="A519" s="51" t="str">
        <f>(COUNTIF($K$2:K519,K519))&amp;K519</f>
        <v>3031200</v>
      </c>
      <c r="B519" s="52" t="s">
        <v>595</v>
      </c>
      <c r="C519" s="53" t="s">
        <v>566</v>
      </c>
      <c r="D519" s="54" t="s">
        <v>564</v>
      </c>
      <c r="E519" s="55">
        <v>1167220</v>
      </c>
      <c r="F519" s="55">
        <v>246980</v>
      </c>
      <c r="G519" s="55">
        <v>115260</v>
      </c>
      <c r="H519" s="55" t="s">
        <v>576</v>
      </c>
      <c r="I519" s="55">
        <v>-212.54999999999998</v>
      </c>
      <c r="J519" s="55">
        <v>137.9</v>
      </c>
      <c r="K519" s="56">
        <v>31200</v>
      </c>
      <c r="L519" s="55">
        <v>31.7</v>
      </c>
      <c r="M519" s="55">
        <v>14.3</v>
      </c>
      <c r="N519" s="55" t="s">
        <v>576</v>
      </c>
      <c r="O519" s="55">
        <v>678620</v>
      </c>
      <c r="P519" s="55">
        <v>1204560</v>
      </c>
      <c r="Q519" s="55">
        <v>8001720</v>
      </c>
      <c r="R519" s="57" t="s">
        <v>564</v>
      </c>
      <c r="S519" s="58" t="s">
        <v>565</v>
      </c>
      <c r="T519" s="51">
        <v>31325</v>
      </c>
    </row>
    <row r="520" spans="1:20" ht="15.75" x14ac:dyDescent="0.25">
      <c r="A520" s="51" t="str">
        <f>(COUNTIF($K$2:K520,K520))&amp;K520</f>
        <v>3031300</v>
      </c>
      <c r="B520" s="52" t="s">
        <v>595</v>
      </c>
      <c r="C520" s="53" t="s">
        <v>566</v>
      </c>
      <c r="D520" s="54" t="s">
        <v>564</v>
      </c>
      <c r="E520" s="55">
        <v>2290380</v>
      </c>
      <c r="F520" s="55">
        <v>398760</v>
      </c>
      <c r="G520" s="55">
        <v>282820</v>
      </c>
      <c r="H520" s="55" t="s">
        <v>576</v>
      </c>
      <c r="I520" s="55">
        <v>-189.9</v>
      </c>
      <c r="J520" s="55">
        <v>75.650000000000006</v>
      </c>
      <c r="K520" s="59">
        <v>31300</v>
      </c>
      <c r="L520" s="55">
        <v>69.7</v>
      </c>
      <c r="M520" s="55">
        <v>38.75</v>
      </c>
      <c r="N520" s="55" t="s">
        <v>576</v>
      </c>
      <c r="O520" s="55">
        <v>353420</v>
      </c>
      <c r="P520" s="55">
        <v>1003920</v>
      </c>
      <c r="Q520" s="55">
        <v>9173780</v>
      </c>
      <c r="R520" s="57" t="s">
        <v>564</v>
      </c>
      <c r="S520" s="58" t="s">
        <v>565</v>
      </c>
      <c r="T520" s="51">
        <v>31325</v>
      </c>
    </row>
    <row r="521" spans="1:20" x14ac:dyDescent="0.25">
      <c r="A521" s="51" t="str">
        <f>(COUNTIF($K$2:K521,K521))&amp;K521</f>
        <v>3031400</v>
      </c>
      <c r="B521" s="52" t="s">
        <v>595</v>
      </c>
      <c r="C521" s="53" t="s">
        <v>566</v>
      </c>
      <c r="D521" s="54" t="s">
        <v>564</v>
      </c>
      <c r="E521" s="55">
        <v>6418840</v>
      </c>
      <c r="F521" s="55">
        <v>1091380</v>
      </c>
      <c r="G521" s="55">
        <v>907080</v>
      </c>
      <c r="H521" s="55" t="s">
        <v>576</v>
      </c>
      <c r="I521" s="55">
        <v>-152.5</v>
      </c>
      <c r="J521" s="55">
        <v>36.5</v>
      </c>
      <c r="K521" s="56">
        <v>31400</v>
      </c>
      <c r="L521" s="55">
        <v>130</v>
      </c>
      <c r="M521" s="55">
        <v>76.05</v>
      </c>
      <c r="N521" s="55" t="s">
        <v>576</v>
      </c>
      <c r="O521" s="55">
        <v>149880</v>
      </c>
      <c r="P521" s="55">
        <v>706100</v>
      </c>
      <c r="Q521" s="55">
        <v>7612540</v>
      </c>
      <c r="R521" s="57" t="s">
        <v>564</v>
      </c>
      <c r="S521" s="58" t="s">
        <v>565</v>
      </c>
      <c r="T521" s="51">
        <v>31325</v>
      </c>
    </row>
    <row r="522" spans="1:20" x14ac:dyDescent="0.25">
      <c r="A522" s="51" t="str">
        <f>(COUNTIF($K$2:K522,K522))&amp;K522</f>
        <v>3031500</v>
      </c>
      <c r="B522" s="52" t="s">
        <v>595</v>
      </c>
      <c r="C522" s="53" t="s">
        <v>566</v>
      </c>
      <c r="D522" s="54" t="s">
        <v>564</v>
      </c>
      <c r="E522" s="55">
        <v>10816960</v>
      </c>
      <c r="F522" s="55">
        <v>2487940</v>
      </c>
      <c r="G522" s="55">
        <v>1709400</v>
      </c>
      <c r="H522" s="55" t="s">
        <v>576</v>
      </c>
      <c r="I522" s="55">
        <v>-110.75</v>
      </c>
      <c r="J522" s="55">
        <v>15.7</v>
      </c>
      <c r="K522" s="56">
        <v>31500</v>
      </c>
      <c r="L522" s="55">
        <v>208.3</v>
      </c>
      <c r="M522" s="55">
        <v>118.15</v>
      </c>
      <c r="N522" s="55" t="s">
        <v>576</v>
      </c>
      <c r="O522" s="55">
        <v>-94760</v>
      </c>
      <c r="P522" s="55">
        <v>535720</v>
      </c>
      <c r="Q522" s="55">
        <v>4422620</v>
      </c>
      <c r="R522" s="57" t="s">
        <v>563</v>
      </c>
      <c r="S522" s="58" t="s">
        <v>567</v>
      </c>
      <c r="T522" s="51">
        <v>31325</v>
      </c>
    </row>
    <row r="523" spans="1:20" x14ac:dyDescent="0.25">
      <c r="A523" s="51" t="str">
        <f>(COUNTIF($K$2:K523,K523))&amp;K523</f>
        <v>3031600</v>
      </c>
      <c r="B523" s="52" t="s">
        <v>595</v>
      </c>
      <c r="C523" s="53" t="s">
        <v>566</v>
      </c>
      <c r="D523" s="54" t="s">
        <v>564</v>
      </c>
      <c r="E523" s="55">
        <v>8652220</v>
      </c>
      <c r="F523" s="55">
        <v>1752340</v>
      </c>
      <c r="G523" s="55">
        <v>1132680</v>
      </c>
      <c r="H523" s="55" t="s">
        <v>576</v>
      </c>
      <c r="I523" s="55">
        <v>-72.25</v>
      </c>
      <c r="J523" s="55">
        <v>6.2</v>
      </c>
      <c r="K523" s="56">
        <v>31600</v>
      </c>
      <c r="L523" s="55">
        <v>300.25</v>
      </c>
      <c r="M523" s="55">
        <v>158.15</v>
      </c>
      <c r="N523" s="55" t="s">
        <v>576</v>
      </c>
      <c r="O523" s="55">
        <v>13240</v>
      </c>
      <c r="P523" s="55">
        <v>107480</v>
      </c>
      <c r="Q523" s="55">
        <v>1268920</v>
      </c>
      <c r="R523" s="57" t="s">
        <v>564</v>
      </c>
      <c r="S523" s="58" t="s">
        <v>565</v>
      </c>
      <c r="T523" s="51">
        <v>31325</v>
      </c>
    </row>
    <row r="524" spans="1:20" x14ac:dyDescent="0.25">
      <c r="A524" s="51" t="str">
        <f>(COUNTIF($K$2:K524,K524))&amp;K524</f>
        <v>3031700</v>
      </c>
      <c r="B524" s="52" t="s">
        <v>595</v>
      </c>
      <c r="C524" s="53" t="s">
        <v>566</v>
      </c>
      <c r="D524" s="54" t="s">
        <v>564</v>
      </c>
      <c r="E524" s="55">
        <v>7238660</v>
      </c>
      <c r="F524" s="55">
        <v>1287600</v>
      </c>
      <c r="G524" s="55">
        <v>652340</v>
      </c>
      <c r="H524" s="55" t="s">
        <v>576</v>
      </c>
      <c r="I524" s="55">
        <v>-41.6</v>
      </c>
      <c r="J524" s="55">
        <v>2.85</v>
      </c>
      <c r="K524" s="56">
        <v>31700</v>
      </c>
      <c r="L524" s="55">
        <v>394.25</v>
      </c>
      <c r="M524" s="55">
        <v>184.85</v>
      </c>
      <c r="N524" s="55" t="s">
        <v>576</v>
      </c>
      <c r="O524" s="55">
        <v>-3740</v>
      </c>
      <c r="P524" s="55">
        <v>46020</v>
      </c>
      <c r="Q524" s="55">
        <v>547580</v>
      </c>
      <c r="R524" s="57" t="s">
        <v>563</v>
      </c>
      <c r="S524" s="58" t="s">
        <v>567</v>
      </c>
      <c r="T524" s="51">
        <v>31325</v>
      </c>
    </row>
    <row r="525" spans="1:20" x14ac:dyDescent="0.25">
      <c r="A525" s="51" t="str">
        <f>(COUNTIF($K$2:K525,K525))&amp;K525</f>
        <v>3031800</v>
      </c>
      <c r="B525" s="52" t="s">
        <v>595</v>
      </c>
      <c r="C525" s="53" t="s">
        <v>566</v>
      </c>
      <c r="D525" s="54" t="s">
        <v>564</v>
      </c>
      <c r="E525" s="55">
        <v>4899340</v>
      </c>
      <c r="F525" s="55">
        <v>1014480</v>
      </c>
      <c r="G525" s="55">
        <v>429100</v>
      </c>
      <c r="H525" s="55" t="s">
        <v>576</v>
      </c>
      <c r="I525" s="55">
        <v>-22.05</v>
      </c>
      <c r="J525" s="55">
        <v>1.45</v>
      </c>
      <c r="K525" s="56">
        <v>31800</v>
      </c>
      <c r="L525" s="55">
        <v>491.1</v>
      </c>
      <c r="M525" s="55">
        <v>205.75</v>
      </c>
      <c r="N525" s="55" t="s">
        <v>576</v>
      </c>
      <c r="O525" s="55">
        <v>2960</v>
      </c>
      <c r="P525" s="55">
        <v>17940</v>
      </c>
      <c r="Q525" s="55">
        <v>207500</v>
      </c>
      <c r="R525" s="57" t="s">
        <v>564</v>
      </c>
      <c r="S525" s="58" t="s">
        <v>565</v>
      </c>
      <c r="T525" s="51">
        <v>31325</v>
      </c>
    </row>
    <row r="526" spans="1:20" x14ac:dyDescent="0.25">
      <c r="A526" s="51" t="str">
        <f>(COUNTIF($K$2:K526,K526))&amp;K526</f>
        <v>3031900</v>
      </c>
      <c r="B526" s="52" t="s">
        <v>595</v>
      </c>
      <c r="C526" s="53" t="s">
        <v>566</v>
      </c>
      <c r="D526" s="54" t="s">
        <v>564</v>
      </c>
      <c r="E526" s="55">
        <v>3488100</v>
      </c>
      <c r="F526" s="55">
        <v>514480</v>
      </c>
      <c r="G526" s="55">
        <v>2680</v>
      </c>
      <c r="H526" s="55" t="s">
        <v>576</v>
      </c>
      <c r="I526" s="55">
        <v>-10.199999999999999</v>
      </c>
      <c r="J526" s="55">
        <v>0.9</v>
      </c>
      <c r="K526" s="56">
        <v>31900</v>
      </c>
      <c r="L526" s="55">
        <v>591.4</v>
      </c>
      <c r="M526" s="55">
        <v>214.7</v>
      </c>
      <c r="N526" s="55" t="s">
        <v>576</v>
      </c>
      <c r="O526" s="55">
        <v>1640</v>
      </c>
      <c r="P526" s="55">
        <v>7180</v>
      </c>
      <c r="Q526" s="55">
        <v>38340</v>
      </c>
      <c r="R526" s="57" t="s">
        <v>564</v>
      </c>
      <c r="S526" s="58" t="s">
        <v>565</v>
      </c>
      <c r="T526" s="51">
        <v>31325</v>
      </c>
    </row>
    <row r="527" spans="1:20" x14ac:dyDescent="0.25">
      <c r="A527" s="51" t="str">
        <f>(COUNTIF($K$2:K527,K527))&amp;K527</f>
        <v>3032000</v>
      </c>
      <c r="B527" s="52" t="s">
        <v>595</v>
      </c>
      <c r="C527" s="53" t="s">
        <v>566</v>
      </c>
      <c r="D527" s="54" t="s">
        <v>564</v>
      </c>
      <c r="E527" s="55">
        <v>4597320</v>
      </c>
      <c r="F527" s="55">
        <v>835680</v>
      </c>
      <c r="G527" s="55">
        <v>224020</v>
      </c>
      <c r="H527" s="55" t="s">
        <v>576</v>
      </c>
      <c r="I527" s="55">
        <v>-5.3</v>
      </c>
      <c r="J527" s="55">
        <v>0.7</v>
      </c>
      <c r="K527" s="56">
        <v>32000</v>
      </c>
      <c r="L527" s="55">
        <v>696.65</v>
      </c>
      <c r="M527" s="55">
        <v>226.14999999999998</v>
      </c>
      <c r="N527" s="55" t="s">
        <v>576</v>
      </c>
      <c r="O527" s="55">
        <v>-1540</v>
      </c>
      <c r="P527" s="55">
        <v>10580</v>
      </c>
      <c r="Q527" s="55">
        <v>26740</v>
      </c>
      <c r="R527" s="57" t="s">
        <v>563</v>
      </c>
      <c r="S527" s="58" t="s">
        <v>567</v>
      </c>
      <c r="T527" s="51">
        <v>31325</v>
      </c>
    </row>
    <row r="528" spans="1:20" x14ac:dyDescent="0.25">
      <c r="A528" s="51" t="str">
        <f>(COUNTIF($K$2:K528,K528))&amp;K528</f>
        <v>31PCR</v>
      </c>
      <c r="B528" s="52" t="s">
        <v>595</v>
      </c>
      <c r="C528" s="60">
        <v>0.83217861926140302</v>
      </c>
      <c r="E528" s="61"/>
      <c r="F528" s="62">
        <v>9840820</v>
      </c>
      <c r="G528" s="63"/>
      <c r="H528" s="64"/>
      <c r="I528" s="64"/>
      <c r="J528" s="64"/>
      <c r="K528" s="65" t="s">
        <v>555</v>
      </c>
      <c r="L528" s="64"/>
      <c r="M528" s="64"/>
      <c r="N528" s="64"/>
      <c r="P528" s="63">
        <v>8189320</v>
      </c>
      <c r="Q528" s="61"/>
      <c r="R528" s="64"/>
      <c r="S528" s="64"/>
    </row>
    <row r="529" spans="1:20" x14ac:dyDescent="0.25">
      <c r="A529" s="51" t="str">
        <f>(COUNTIF($K$2:K529,K529))&amp;K529</f>
        <v>230500</v>
      </c>
      <c r="B529" s="52" t="s">
        <v>595</v>
      </c>
      <c r="C529" s="53" t="s">
        <v>562</v>
      </c>
      <c r="D529" s="54" t="s">
        <v>563</v>
      </c>
      <c r="E529" s="55">
        <v>12020</v>
      </c>
      <c r="F529" s="55">
        <v>26920</v>
      </c>
      <c r="G529" s="55">
        <v>-5300</v>
      </c>
      <c r="H529" s="55" t="s">
        <v>574</v>
      </c>
      <c r="I529" s="55">
        <v>-231.79999999999995</v>
      </c>
      <c r="J529" s="55">
        <v>800</v>
      </c>
      <c r="K529" s="56">
        <v>30500</v>
      </c>
      <c r="L529" s="55">
        <v>0.6</v>
      </c>
      <c r="M529" s="55">
        <v>-2.1</v>
      </c>
      <c r="N529" s="55" t="s">
        <v>576</v>
      </c>
      <c r="O529" s="55">
        <v>-12900</v>
      </c>
      <c r="P529" s="55">
        <v>401440</v>
      </c>
      <c r="Q529" s="55">
        <v>212380</v>
      </c>
      <c r="R529" s="57" t="s">
        <v>563</v>
      </c>
      <c r="S529" s="58" t="s">
        <v>562</v>
      </c>
      <c r="T529" s="51">
        <v>31325</v>
      </c>
    </row>
    <row r="530" spans="1:20" x14ac:dyDescent="0.25">
      <c r="A530" s="51" t="str">
        <f>(COUNTIF($K$2:K530,K530))&amp;K530</f>
        <v>2230600</v>
      </c>
      <c r="B530" s="52" t="s">
        <v>595</v>
      </c>
      <c r="C530" s="53" t="s">
        <v>562</v>
      </c>
      <c r="D530" s="54" t="s">
        <v>563</v>
      </c>
      <c r="E530" s="55">
        <v>920</v>
      </c>
      <c r="F530" s="55">
        <v>4040</v>
      </c>
      <c r="G530" s="55">
        <v>-500</v>
      </c>
      <c r="H530" s="55" t="s">
        <v>576</v>
      </c>
      <c r="I530" s="55">
        <v>-191.60000000000002</v>
      </c>
      <c r="J530" s="55">
        <v>741.1</v>
      </c>
      <c r="K530" s="56">
        <v>30600</v>
      </c>
      <c r="L530" s="55">
        <v>0.8</v>
      </c>
      <c r="M530" s="55">
        <v>-2.2000000000000002</v>
      </c>
      <c r="N530" s="55" t="s">
        <v>576</v>
      </c>
      <c r="O530" s="55">
        <v>2480</v>
      </c>
      <c r="P530" s="55">
        <v>201720</v>
      </c>
      <c r="Q530" s="55">
        <v>165320</v>
      </c>
      <c r="R530" s="57" t="s">
        <v>564</v>
      </c>
      <c r="S530" s="58" t="s">
        <v>566</v>
      </c>
      <c r="T530" s="51">
        <v>31325</v>
      </c>
    </row>
    <row r="531" spans="1:20" x14ac:dyDescent="0.25">
      <c r="A531" s="51" t="str">
        <f>(COUNTIF($K$2:K531,K531))&amp;K531</f>
        <v>3130700</v>
      </c>
      <c r="B531" s="52" t="s">
        <v>595</v>
      </c>
      <c r="C531" s="53" t="s">
        <v>562</v>
      </c>
      <c r="D531" s="54" t="s">
        <v>563</v>
      </c>
      <c r="E531" s="55">
        <v>5400</v>
      </c>
      <c r="F531" s="55">
        <v>10800</v>
      </c>
      <c r="G531" s="55">
        <v>-1020</v>
      </c>
      <c r="H531" s="55" t="s">
        <v>574</v>
      </c>
      <c r="I531" s="55">
        <v>-232</v>
      </c>
      <c r="J531" s="55">
        <v>604</v>
      </c>
      <c r="K531" s="56">
        <v>30700</v>
      </c>
      <c r="L531" s="55">
        <v>1</v>
      </c>
      <c r="M531" s="55">
        <v>-2.6</v>
      </c>
      <c r="N531" s="55" t="s">
        <v>576</v>
      </c>
      <c r="O531" s="55">
        <v>37340</v>
      </c>
      <c r="P531" s="55">
        <v>227540</v>
      </c>
      <c r="Q531" s="55">
        <v>371460</v>
      </c>
      <c r="R531" s="57" t="s">
        <v>564</v>
      </c>
      <c r="S531" s="58" t="s">
        <v>566</v>
      </c>
      <c r="T531" s="51">
        <v>31325</v>
      </c>
    </row>
    <row r="532" spans="1:20" x14ac:dyDescent="0.25">
      <c r="A532" s="51" t="str">
        <f>(COUNTIF($K$2:K532,K532))&amp;K532</f>
        <v>3130800</v>
      </c>
      <c r="B532" s="52" t="s">
        <v>595</v>
      </c>
      <c r="C532" s="53" t="s">
        <v>562</v>
      </c>
      <c r="D532" s="54" t="s">
        <v>563</v>
      </c>
      <c r="E532" s="55">
        <v>2980</v>
      </c>
      <c r="F532" s="55">
        <v>7040</v>
      </c>
      <c r="G532" s="55">
        <v>-460</v>
      </c>
      <c r="H532" s="55" t="s">
        <v>574</v>
      </c>
      <c r="I532" s="55">
        <v>-247.60000000000002</v>
      </c>
      <c r="J532" s="55">
        <v>488</v>
      </c>
      <c r="K532" s="56">
        <v>30800</v>
      </c>
      <c r="L532" s="55">
        <v>1.35</v>
      </c>
      <c r="M532" s="55">
        <v>-2.7499999999999996</v>
      </c>
      <c r="N532" s="55" t="s">
        <v>576</v>
      </c>
      <c r="O532" s="55">
        <v>11240</v>
      </c>
      <c r="P532" s="55">
        <v>378640</v>
      </c>
      <c r="Q532" s="55">
        <v>802980</v>
      </c>
      <c r="R532" s="57" t="s">
        <v>564</v>
      </c>
      <c r="S532" s="58" t="s">
        <v>566</v>
      </c>
      <c r="T532" s="51">
        <v>31325</v>
      </c>
    </row>
    <row r="533" spans="1:20" x14ac:dyDescent="0.25">
      <c r="A533" s="51" t="str">
        <f>(COUNTIF($K$2:K533,K533))&amp;K533</f>
        <v>3130900</v>
      </c>
      <c r="B533" s="52" t="s">
        <v>595</v>
      </c>
      <c r="C533" s="53" t="s">
        <v>566</v>
      </c>
      <c r="D533" s="54" t="s">
        <v>564</v>
      </c>
      <c r="E533" s="55">
        <v>5800</v>
      </c>
      <c r="F533" s="55">
        <v>6740</v>
      </c>
      <c r="G533" s="55">
        <v>500</v>
      </c>
      <c r="H533" s="55" t="s">
        <v>574</v>
      </c>
      <c r="I533" s="55">
        <v>-222.49999999999994</v>
      </c>
      <c r="J533" s="55">
        <v>411.05</v>
      </c>
      <c r="K533" s="56">
        <v>30900</v>
      </c>
      <c r="L533" s="55">
        <v>2.4500000000000002</v>
      </c>
      <c r="M533" s="55">
        <v>-3.05</v>
      </c>
      <c r="N533" s="55" t="s">
        <v>576</v>
      </c>
      <c r="O533" s="55">
        <v>190880</v>
      </c>
      <c r="P533" s="55">
        <v>556760</v>
      </c>
      <c r="Q533" s="55">
        <v>1714260</v>
      </c>
      <c r="R533" s="57" t="s">
        <v>564</v>
      </c>
      <c r="S533" s="58" t="s">
        <v>566</v>
      </c>
      <c r="T533" s="51">
        <v>31325</v>
      </c>
    </row>
    <row r="534" spans="1:20" x14ac:dyDescent="0.25">
      <c r="A534" s="51" t="str">
        <f>(COUNTIF($K$2:K534,K534))&amp;K534</f>
        <v>3131000</v>
      </c>
      <c r="B534" s="52" t="s">
        <v>595</v>
      </c>
      <c r="C534" s="53" t="s">
        <v>566</v>
      </c>
      <c r="D534" s="54" t="s">
        <v>564</v>
      </c>
      <c r="E534" s="55">
        <v>143580</v>
      </c>
      <c r="F534" s="55">
        <v>102520</v>
      </c>
      <c r="G534" s="55">
        <v>14300</v>
      </c>
      <c r="H534" s="55" t="s">
        <v>574</v>
      </c>
      <c r="I534" s="55">
        <v>-234.75</v>
      </c>
      <c r="J534" s="55">
        <v>310.10000000000002</v>
      </c>
      <c r="K534" s="56">
        <v>31000</v>
      </c>
      <c r="L534" s="55">
        <v>4.8</v>
      </c>
      <c r="M534" s="55">
        <v>-2.6000000000000005</v>
      </c>
      <c r="N534" s="55" t="s">
        <v>576</v>
      </c>
      <c r="O534" s="55">
        <v>865940</v>
      </c>
      <c r="P534" s="55">
        <v>1676540</v>
      </c>
      <c r="Q534" s="55">
        <v>4814200</v>
      </c>
      <c r="R534" s="57" t="s">
        <v>564</v>
      </c>
      <c r="S534" s="58" t="s">
        <v>566</v>
      </c>
      <c r="T534" s="51">
        <v>31325</v>
      </c>
    </row>
    <row r="535" spans="1:20" x14ac:dyDescent="0.25">
      <c r="A535" s="51" t="str">
        <f>(COUNTIF($K$2:K535,K535))&amp;K535</f>
        <v>3131100</v>
      </c>
      <c r="B535" s="52" t="s">
        <v>595</v>
      </c>
      <c r="C535" s="53" t="s">
        <v>566</v>
      </c>
      <c r="D535" s="54" t="s">
        <v>564</v>
      </c>
      <c r="E535" s="55">
        <v>146500</v>
      </c>
      <c r="F535" s="55">
        <v>53120</v>
      </c>
      <c r="G535" s="55">
        <v>22460</v>
      </c>
      <c r="H535" s="55" t="s">
        <v>574</v>
      </c>
      <c r="I535" s="55">
        <v>-225.54999999999998</v>
      </c>
      <c r="J535" s="55">
        <v>219.6</v>
      </c>
      <c r="K535" s="56">
        <v>31100</v>
      </c>
      <c r="L535" s="55">
        <v>11.55</v>
      </c>
      <c r="M535" s="55">
        <v>1.4000000000000004</v>
      </c>
      <c r="N535" s="55" t="s">
        <v>576</v>
      </c>
      <c r="O535" s="55">
        <v>588480</v>
      </c>
      <c r="P535" s="55">
        <v>1107180</v>
      </c>
      <c r="Q535" s="55">
        <v>5692540</v>
      </c>
      <c r="R535" s="57" t="s">
        <v>564</v>
      </c>
      <c r="S535" s="58" t="s">
        <v>565</v>
      </c>
      <c r="T535" s="51">
        <v>31325</v>
      </c>
    </row>
    <row r="536" spans="1:20" x14ac:dyDescent="0.25">
      <c r="A536" s="51" t="str">
        <f>(COUNTIF($K$2:K536,K536))&amp;K536</f>
        <v>3131200</v>
      </c>
      <c r="B536" s="52" t="s">
        <v>595</v>
      </c>
      <c r="C536" s="53" t="s">
        <v>566</v>
      </c>
      <c r="D536" s="54" t="s">
        <v>564</v>
      </c>
      <c r="E536" s="55">
        <v>1167220</v>
      </c>
      <c r="F536" s="55">
        <v>246980</v>
      </c>
      <c r="G536" s="55">
        <v>115260</v>
      </c>
      <c r="H536" s="55" t="s">
        <v>576</v>
      </c>
      <c r="I536" s="55">
        <v>-212.54999999999998</v>
      </c>
      <c r="J536" s="55">
        <v>137.9</v>
      </c>
      <c r="K536" s="56">
        <v>31200</v>
      </c>
      <c r="L536" s="55">
        <v>31.7</v>
      </c>
      <c r="M536" s="55">
        <v>14.3</v>
      </c>
      <c r="N536" s="55" t="s">
        <v>576</v>
      </c>
      <c r="O536" s="55">
        <v>678620</v>
      </c>
      <c r="P536" s="55">
        <v>1204560</v>
      </c>
      <c r="Q536" s="55">
        <v>8001720</v>
      </c>
      <c r="R536" s="57" t="s">
        <v>564</v>
      </c>
      <c r="S536" s="58" t="s">
        <v>565</v>
      </c>
      <c r="T536" s="51">
        <v>31325</v>
      </c>
    </row>
    <row r="537" spans="1:20" ht="15.75" x14ac:dyDescent="0.25">
      <c r="A537" s="51" t="str">
        <f>(COUNTIF($K$2:K537,K537))&amp;K537</f>
        <v>3131300</v>
      </c>
      <c r="B537" s="52" t="s">
        <v>595</v>
      </c>
      <c r="C537" s="53" t="s">
        <v>566</v>
      </c>
      <c r="D537" s="54" t="s">
        <v>564</v>
      </c>
      <c r="E537" s="55">
        <v>2290380</v>
      </c>
      <c r="F537" s="55">
        <v>398760</v>
      </c>
      <c r="G537" s="55">
        <v>282820</v>
      </c>
      <c r="H537" s="55" t="s">
        <v>576</v>
      </c>
      <c r="I537" s="55">
        <v>-189.9</v>
      </c>
      <c r="J537" s="55">
        <v>75.650000000000006</v>
      </c>
      <c r="K537" s="59">
        <v>31300</v>
      </c>
      <c r="L537" s="55">
        <v>69.7</v>
      </c>
      <c r="M537" s="55">
        <v>38.75</v>
      </c>
      <c r="N537" s="55" t="s">
        <v>576</v>
      </c>
      <c r="O537" s="55">
        <v>353420</v>
      </c>
      <c r="P537" s="55">
        <v>1003920</v>
      </c>
      <c r="Q537" s="55">
        <v>9173780</v>
      </c>
      <c r="R537" s="57" t="s">
        <v>564</v>
      </c>
      <c r="S537" s="58" t="s">
        <v>565</v>
      </c>
      <c r="T537" s="51">
        <v>31325</v>
      </c>
    </row>
    <row r="538" spans="1:20" x14ac:dyDescent="0.25">
      <c r="A538" s="51" t="str">
        <f>(COUNTIF($K$2:K538,K538))&amp;K538</f>
        <v>3131400</v>
      </c>
      <c r="B538" s="52" t="s">
        <v>595</v>
      </c>
      <c r="C538" s="53" t="s">
        <v>566</v>
      </c>
      <c r="D538" s="54" t="s">
        <v>564</v>
      </c>
      <c r="E538" s="55">
        <v>6418840</v>
      </c>
      <c r="F538" s="55">
        <v>1091380</v>
      </c>
      <c r="G538" s="55">
        <v>907080</v>
      </c>
      <c r="H538" s="55" t="s">
        <v>576</v>
      </c>
      <c r="I538" s="55">
        <v>-152.5</v>
      </c>
      <c r="J538" s="55">
        <v>36.5</v>
      </c>
      <c r="K538" s="56">
        <v>31400</v>
      </c>
      <c r="L538" s="55">
        <v>130</v>
      </c>
      <c r="M538" s="55">
        <v>76.05</v>
      </c>
      <c r="N538" s="55" t="s">
        <v>576</v>
      </c>
      <c r="O538" s="55">
        <v>149880</v>
      </c>
      <c r="P538" s="55">
        <v>706100</v>
      </c>
      <c r="Q538" s="55">
        <v>7612540</v>
      </c>
      <c r="R538" s="57" t="s">
        <v>564</v>
      </c>
      <c r="S538" s="58" t="s">
        <v>565</v>
      </c>
      <c r="T538" s="51">
        <v>31325</v>
      </c>
    </row>
    <row r="539" spans="1:20" x14ac:dyDescent="0.25">
      <c r="A539" s="51" t="str">
        <f>(COUNTIF($K$2:K539,K539))&amp;K539</f>
        <v>3131500</v>
      </c>
      <c r="B539" s="52" t="s">
        <v>595</v>
      </c>
      <c r="C539" s="53" t="s">
        <v>566</v>
      </c>
      <c r="D539" s="54" t="s">
        <v>564</v>
      </c>
      <c r="E539" s="55">
        <v>10816960</v>
      </c>
      <c r="F539" s="55">
        <v>2487940</v>
      </c>
      <c r="G539" s="55">
        <v>1709400</v>
      </c>
      <c r="H539" s="55" t="s">
        <v>576</v>
      </c>
      <c r="I539" s="55">
        <v>-110.75</v>
      </c>
      <c r="J539" s="55">
        <v>15.7</v>
      </c>
      <c r="K539" s="56">
        <v>31500</v>
      </c>
      <c r="L539" s="55">
        <v>208.3</v>
      </c>
      <c r="M539" s="55">
        <v>118.15</v>
      </c>
      <c r="N539" s="55" t="s">
        <v>576</v>
      </c>
      <c r="O539" s="55">
        <v>-94760</v>
      </c>
      <c r="P539" s="55">
        <v>535720</v>
      </c>
      <c r="Q539" s="55">
        <v>4422620</v>
      </c>
      <c r="R539" s="57" t="s">
        <v>563</v>
      </c>
      <c r="S539" s="58" t="s">
        <v>567</v>
      </c>
      <c r="T539" s="51">
        <v>31325</v>
      </c>
    </row>
    <row r="540" spans="1:20" x14ac:dyDescent="0.25">
      <c r="A540" s="51" t="str">
        <f>(COUNTIF($K$2:K540,K540))&amp;K540</f>
        <v>3131600</v>
      </c>
      <c r="B540" s="52" t="s">
        <v>595</v>
      </c>
      <c r="C540" s="53" t="s">
        <v>566</v>
      </c>
      <c r="D540" s="54" t="s">
        <v>564</v>
      </c>
      <c r="E540" s="55">
        <v>8652220</v>
      </c>
      <c r="F540" s="55">
        <v>1752340</v>
      </c>
      <c r="G540" s="55">
        <v>1132680</v>
      </c>
      <c r="H540" s="55" t="s">
        <v>576</v>
      </c>
      <c r="I540" s="55">
        <v>-72.25</v>
      </c>
      <c r="J540" s="55">
        <v>6.2</v>
      </c>
      <c r="K540" s="56">
        <v>31600</v>
      </c>
      <c r="L540" s="55">
        <v>300.25</v>
      </c>
      <c r="M540" s="55">
        <v>158.15</v>
      </c>
      <c r="N540" s="55" t="s">
        <v>576</v>
      </c>
      <c r="O540" s="55">
        <v>13240</v>
      </c>
      <c r="P540" s="55">
        <v>107480</v>
      </c>
      <c r="Q540" s="55">
        <v>1268920</v>
      </c>
      <c r="R540" s="57" t="s">
        <v>564</v>
      </c>
      <c r="S540" s="58" t="s">
        <v>565</v>
      </c>
      <c r="T540" s="51">
        <v>31325</v>
      </c>
    </row>
    <row r="541" spans="1:20" x14ac:dyDescent="0.25">
      <c r="A541" s="51" t="str">
        <f>(COUNTIF($K$2:K541,K541))&amp;K541</f>
        <v>3131700</v>
      </c>
      <c r="B541" s="52" t="s">
        <v>595</v>
      </c>
      <c r="C541" s="53" t="s">
        <v>566</v>
      </c>
      <c r="D541" s="54" t="s">
        <v>564</v>
      </c>
      <c r="E541" s="55">
        <v>7238660</v>
      </c>
      <c r="F541" s="55">
        <v>1287600</v>
      </c>
      <c r="G541" s="55">
        <v>652340</v>
      </c>
      <c r="H541" s="55" t="s">
        <v>576</v>
      </c>
      <c r="I541" s="55">
        <v>-41.6</v>
      </c>
      <c r="J541" s="55">
        <v>2.85</v>
      </c>
      <c r="K541" s="56">
        <v>31700</v>
      </c>
      <c r="L541" s="55">
        <v>394.25</v>
      </c>
      <c r="M541" s="55">
        <v>184.85</v>
      </c>
      <c r="N541" s="55" t="s">
        <v>576</v>
      </c>
      <c r="O541" s="55">
        <v>-3740</v>
      </c>
      <c r="P541" s="55">
        <v>46020</v>
      </c>
      <c r="Q541" s="55">
        <v>547580</v>
      </c>
      <c r="R541" s="57" t="s">
        <v>563</v>
      </c>
      <c r="S541" s="58" t="s">
        <v>567</v>
      </c>
      <c r="T541" s="51">
        <v>31325</v>
      </c>
    </row>
    <row r="542" spans="1:20" x14ac:dyDescent="0.25">
      <c r="A542" s="51" t="str">
        <f>(COUNTIF($K$2:K542,K542))&amp;K542</f>
        <v>3131800</v>
      </c>
      <c r="B542" s="52" t="s">
        <v>595</v>
      </c>
      <c r="C542" s="53" t="s">
        <v>566</v>
      </c>
      <c r="D542" s="54" t="s">
        <v>564</v>
      </c>
      <c r="E542" s="55">
        <v>4899340</v>
      </c>
      <c r="F542" s="55">
        <v>1014480</v>
      </c>
      <c r="G542" s="55">
        <v>429100</v>
      </c>
      <c r="H542" s="55" t="s">
        <v>576</v>
      </c>
      <c r="I542" s="55">
        <v>-22.05</v>
      </c>
      <c r="J542" s="55">
        <v>1.45</v>
      </c>
      <c r="K542" s="56">
        <v>31800</v>
      </c>
      <c r="L542" s="55">
        <v>491.1</v>
      </c>
      <c r="M542" s="55">
        <v>205.75</v>
      </c>
      <c r="N542" s="55" t="s">
        <v>576</v>
      </c>
      <c r="O542" s="55">
        <v>2960</v>
      </c>
      <c r="P542" s="55">
        <v>17940</v>
      </c>
      <c r="Q542" s="55">
        <v>207500</v>
      </c>
      <c r="R542" s="57" t="s">
        <v>564</v>
      </c>
      <c r="S542" s="58" t="s">
        <v>565</v>
      </c>
      <c r="T542" s="51">
        <v>31325</v>
      </c>
    </row>
    <row r="543" spans="1:20" x14ac:dyDescent="0.25">
      <c r="A543" s="51" t="str">
        <f>(COUNTIF($K$2:K543,K543))&amp;K543</f>
        <v>3131900</v>
      </c>
      <c r="B543" s="52" t="s">
        <v>595</v>
      </c>
      <c r="C543" s="53" t="s">
        <v>566</v>
      </c>
      <c r="D543" s="54" t="s">
        <v>564</v>
      </c>
      <c r="E543" s="55">
        <v>3488100</v>
      </c>
      <c r="F543" s="55">
        <v>514480</v>
      </c>
      <c r="G543" s="55">
        <v>2680</v>
      </c>
      <c r="H543" s="55" t="s">
        <v>576</v>
      </c>
      <c r="I543" s="55">
        <v>-10.199999999999999</v>
      </c>
      <c r="J543" s="55">
        <v>0.9</v>
      </c>
      <c r="K543" s="56">
        <v>31900</v>
      </c>
      <c r="L543" s="55">
        <v>591.4</v>
      </c>
      <c r="M543" s="55">
        <v>214.7</v>
      </c>
      <c r="N543" s="55" t="s">
        <v>576</v>
      </c>
      <c r="O543" s="55">
        <v>1640</v>
      </c>
      <c r="P543" s="55">
        <v>7180</v>
      </c>
      <c r="Q543" s="55">
        <v>38340</v>
      </c>
      <c r="R543" s="57" t="s">
        <v>564</v>
      </c>
      <c r="S543" s="58" t="s">
        <v>565</v>
      </c>
      <c r="T543" s="51">
        <v>31325</v>
      </c>
    </row>
    <row r="544" spans="1:20" x14ac:dyDescent="0.25">
      <c r="A544" s="51" t="str">
        <f>(COUNTIF($K$2:K544,K544))&amp;K544</f>
        <v>3132000</v>
      </c>
      <c r="B544" s="52" t="s">
        <v>595</v>
      </c>
      <c r="C544" s="53" t="s">
        <v>566</v>
      </c>
      <c r="D544" s="54" t="s">
        <v>564</v>
      </c>
      <c r="E544" s="55">
        <v>4597320</v>
      </c>
      <c r="F544" s="55">
        <v>835680</v>
      </c>
      <c r="G544" s="55">
        <v>224020</v>
      </c>
      <c r="H544" s="55" t="s">
        <v>576</v>
      </c>
      <c r="I544" s="55">
        <v>-5.3</v>
      </c>
      <c r="J544" s="55">
        <v>0.7</v>
      </c>
      <c r="K544" s="56">
        <v>32000</v>
      </c>
      <c r="L544" s="55">
        <v>696.65</v>
      </c>
      <c r="M544" s="55">
        <v>226.14999999999998</v>
      </c>
      <c r="N544" s="55" t="s">
        <v>576</v>
      </c>
      <c r="O544" s="55">
        <v>-1540</v>
      </c>
      <c r="P544" s="55">
        <v>10580</v>
      </c>
      <c r="Q544" s="55">
        <v>26740</v>
      </c>
      <c r="R544" s="57" t="s">
        <v>563</v>
      </c>
      <c r="S544" s="58" t="s">
        <v>567</v>
      </c>
      <c r="T544" s="51">
        <v>31325</v>
      </c>
    </row>
    <row r="545" spans="1:20" x14ac:dyDescent="0.25">
      <c r="A545" s="51" t="str">
        <f>(COUNTIF($K$2:K545,K545))&amp;K545</f>
        <v>32PCR</v>
      </c>
      <c r="B545" s="52" t="s">
        <v>595</v>
      </c>
      <c r="C545" s="60">
        <v>0.83217861926140302</v>
      </c>
      <c r="E545" s="61"/>
      <c r="F545" s="62">
        <v>9840820</v>
      </c>
      <c r="G545" s="63"/>
      <c r="H545" s="64"/>
      <c r="I545" s="64"/>
      <c r="J545" s="64"/>
      <c r="K545" s="65" t="s">
        <v>555</v>
      </c>
      <c r="L545" s="64"/>
      <c r="M545" s="64"/>
      <c r="N545" s="64"/>
      <c r="P545" s="63">
        <v>8189320</v>
      </c>
      <c r="Q545" s="61"/>
      <c r="R545" s="64"/>
      <c r="S545" s="64"/>
    </row>
    <row r="546" spans="1:20" x14ac:dyDescent="0.25">
      <c r="A546" s="51" t="str">
        <f>(COUNTIF($K$2:K546,K546))&amp;K546</f>
        <v>330500</v>
      </c>
      <c r="B546" s="52" t="s">
        <v>596</v>
      </c>
      <c r="C546" s="53" t="s">
        <v>562</v>
      </c>
      <c r="D546" s="54" t="s">
        <v>563</v>
      </c>
      <c r="E546" s="55">
        <v>12280</v>
      </c>
      <c r="F546" s="55">
        <v>26940</v>
      </c>
      <c r="G546" s="55">
        <v>-5280</v>
      </c>
      <c r="H546" s="55" t="s">
        <v>574</v>
      </c>
      <c r="I546" s="55">
        <v>-211.79999999999995</v>
      </c>
      <c r="J546" s="55">
        <v>820</v>
      </c>
      <c r="K546" s="56">
        <v>30500</v>
      </c>
      <c r="L546" s="55">
        <v>0.55000000000000004</v>
      </c>
      <c r="M546" s="55">
        <v>-2.1500000000000004</v>
      </c>
      <c r="N546" s="55" t="s">
        <v>576</v>
      </c>
      <c r="O546" s="55">
        <v>-15680</v>
      </c>
      <c r="P546" s="55">
        <v>398660</v>
      </c>
      <c r="Q546" s="55">
        <v>218660</v>
      </c>
      <c r="R546" s="57" t="s">
        <v>563</v>
      </c>
      <c r="S546" s="58" t="s">
        <v>562</v>
      </c>
      <c r="T546" s="51">
        <v>31338.75</v>
      </c>
    </row>
    <row r="547" spans="1:20" x14ac:dyDescent="0.25">
      <c r="A547" s="51" t="str">
        <f>(COUNTIF($K$2:K547,K547))&amp;K547</f>
        <v>2330600</v>
      </c>
      <c r="B547" s="52" t="s">
        <v>596</v>
      </c>
      <c r="C547" s="53" t="s">
        <v>562</v>
      </c>
      <c r="D547" s="54" t="s">
        <v>563</v>
      </c>
      <c r="E547" s="55">
        <v>920</v>
      </c>
      <c r="F547" s="55">
        <v>4040</v>
      </c>
      <c r="G547" s="55">
        <v>-500</v>
      </c>
      <c r="H547" s="55" t="s">
        <v>576</v>
      </c>
      <c r="I547" s="55">
        <v>-191.60000000000002</v>
      </c>
      <c r="J547" s="55">
        <v>741.1</v>
      </c>
      <c r="K547" s="56">
        <v>30600</v>
      </c>
      <c r="L547" s="55">
        <v>0.75</v>
      </c>
      <c r="M547" s="55">
        <v>-2.25</v>
      </c>
      <c r="N547" s="55" t="s">
        <v>576</v>
      </c>
      <c r="O547" s="55">
        <v>8600</v>
      </c>
      <c r="P547" s="55">
        <v>207840</v>
      </c>
      <c r="Q547" s="55">
        <v>173340</v>
      </c>
      <c r="R547" s="57" t="s">
        <v>564</v>
      </c>
      <c r="S547" s="58" t="s">
        <v>566</v>
      </c>
      <c r="T547" s="51">
        <v>31338.75</v>
      </c>
    </row>
    <row r="548" spans="1:20" x14ac:dyDescent="0.25">
      <c r="A548" s="51" t="str">
        <f>(COUNTIF($K$2:K548,K548))&amp;K548</f>
        <v>3230700</v>
      </c>
      <c r="B548" s="52" t="s">
        <v>596</v>
      </c>
      <c r="C548" s="53" t="s">
        <v>562</v>
      </c>
      <c r="D548" s="54" t="s">
        <v>563</v>
      </c>
      <c r="E548" s="55">
        <v>6640</v>
      </c>
      <c r="F548" s="55">
        <v>10800</v>
      </c>
      <c r="G548" s="55">
        <v>-1020</v>
      </c>
      <c r="H548" s="55" t="s">
        <v>574</v>
      </c>
      <c r="I548" s="55">
        <v>-214.75</v>
      </c>
      <c r="J548" s="55">
        <v>621.25</v>
      </c>
      <c r="K548" s="56">
        <v>30700</v>
      </c>
      <c r="L548" s="55">
        <v>0.9</v>
      </c>
      <c r="M548" s="55">
        <v>-2.7</v>
      </c>
      <c r="N548" s="55" t="s">
        <v>576</v>
      </c>
      <c r="O548" s="55">
        <v>87420</v>
      </c>
      <c r="P548" s="55">
        <v>277620</v>
      </c>
      <c r="Q548" s="55">
        <v>405240</v>
      </c>
      <c r="R548" s="57" t="s">
        <v>564</v>
      </c>
      <c r="S548" s="58" t="s">
        <v>566</v>
      </c>
      <c r="T548" s="51">
        <v>31338.75</v>
      </c>
    </row>
    <row r="549" spans="1:20" x14ac:dyDescent="0.25">
      <c r="A549" s="51" t="str">
        <f>(COUNTIF($K$2:K549,K549))&amp;K549</f>
        <v>3230800</v>
      </c>
      <c r="B549" s="52" t="s">
        <v>596</v>
      </c>
      <c r="C549" s="53" t="s">
        <v>562</v>
      </c>
      <c r="D549" s="54" t="s">
        <v>563</v>
      </c>
      <c r="E549" s="55">
        <v>3040</v>
      </c>
      <c r="F549" s="55">
        <v>7020</v>
      </c>
      <c r="G549" s="55">
        <v>-480</v>
      </c>
      <c r="H549" s="55" t="s">
        <v>574</v>
      </c>
      <c r="I549" s="55">
        <v>-215.60000000000002</v>
      </c>
      <c r="J549" s="55">
        <v>520</v>
      </c>
      <c r="K549" s="56">
        <v>30800</v>
      </c>
      <c r="L549" s="55">
        <v>1.2</v>
      </c>
      <c r="M549" s="55">
        <v>-2.8999999999999995</v>
      </c>
      <c r="N549" s="55" t="s">
        <v>576</v>
      </c>
      <c r="O549" s="55">
        <v>15300</v>
      </c>
      <c r="P549" s="55">
        <v>382700</v>
      </c>
      <c r="Q549" s="55">
        <v>873640</v>
      </c>
      <c r="R549" s="57" t="s">
        <v>564</v>
      </c>
      <c r="S549" s="58" t="s">
        <v>566</v>
      </c>
      <c r="T549" s="51">
        <v>31338.75</v>
      </c>
    </row>
    <row r="550" spans="1:20" x14ac:dyDescent="0.25">
      <c r="A550" s="51" t="str">
        <f>(COUNTIF($K$2:K550,K550))&amp;K550</f>
        <v>3230900</v>
      </c>
      <c r="B550" s="52" t="s">
        <v>596</v>
      </c>
      <c r="C550" s="53" t="s">
        <v>566</v>
      </c>
      <c r="D550" s="54" t="s">
        <v>564</v>
      </c>
      <c r="E550" s="55">
        <v>6640</v>
      </c>
      <c r="F550" s="55">
        <v>6760</v>
      </c>
      <c r="G550" s="55">
        <v>520</v>
      </c>
      <c r="H550" s="55" t="s">
        <v>574</v>
      </c>
      <c r="I550" s="55">
        <v>-208.54999999999995</v>
      </c>
      <c r="J550" s="55">
        <v>425</v>
      </c>
      <c r="K550" s="56">
        <v>30900</v>
      </c>
      <c r="L550" s="55">
        <v>2.2000000000000002</v>
      </c>
      <c r="M550" s="55">
        <v>-3.3</v>
      </c>
      <c r="N550" s="55" t="s">
        <v>576</v>
      </c>
      <c r="O550" s="55">
        <v>173640</v>
      </c>
      <c r="P550" s="55">
        <v>539520</v>
      </c>
      <c r="Q550" s="55">
        <v>1838800</v>
      </c>
      <c r="R550" s="57" t="s">
        <v>564</v>
      </c>
      <c r="S550" s="58" t="s">
        <v>566</v>
      </c>
      <c r="T550" s="51">
        <v>31338.75</v>
      </c>
    </row>
    <row r="551" spans="1:20" x14ac:dyDescent="0.25">
      <c r="A551" s="51" t="str">
        <f>(COUNTIF($K$2:K551,K551))&amp;K551</f>
        <v>3231000</v>
      </c>
      <c r="B551" s="52" t="s">
        <v>596</v>
      </c>
      <c r="C551" s="53" t="s">
        <v>566</v>
      </c>
      <c r="D551" s="54" t="s">
        <v>564</v>
      </c>
      <c r="E551" s="55">
        <v>155000</v>
      </c>
      <c r="F551" s="55">
        <v>99100</v>
      </c>
      <c r="G551" s="55">
        <v>10880</v>
      </c>
      <c r="H551" s="55" t="s">
        <v>574</v>
      </c>
      <c r="I551" s="55">
        <v>-217.60000000000002</v>
      </c>
      <c r="J551" s="55">
        <v>327.25</v>
      </c>
      <c r="K551" s="56">
        <v>31000</v>
      </c>
      <c r="L551" s="55">
        <v>4.55</v>
      </c>
      <c r="M551" s="55">
        <v>-2.8500000000000005</v>
      </c>
      <c r="N551" s="55" t="s">
        <v>576</v>
      </c>
      <c r="O551" s="55">
        <v>876000</v>
      </c>
      <c r="P551" s="55">
        <v>1686600</v>
      </c>
      <c r="Q551" s="55">
        <v>5161080</v>
      </c>
      <c r="R551" s="57" t="s">
        <v>564</v>
      </c>
      <c r="S551" s="58" t="s">
        <v>566</v>
      </c>
      <c r="T551" s="51">
        <v>31338.75</v>
      </c>
    </row>
    <row r="552" spans="1:20" x14ac:dyDescent="0.25">
      <c r="A552" s="51" t="str">
        <f>(COUNTIF($K$2:K552,K552))&amp;K552</f>
        <v>3231100</v>
      </c>
      <c r="B552" s="52" t="s">
        <v>596</v>
      </c>
      <c r="C552" s="53" t="s">
        <v>566</v>
      </c>
      <c r="D552" s="54" t="s">
        <v>564</v>
      </c>
      <c r="E552" s="55">
        <v>161140</v>
      </c>
      <c r="F552" s="55">
        <v>58640</v>
      </c>
      <c r="G552" s="55">
        <v>27980</v>
      </c>
      <c r="H552" s="55" t="s">
        <v>574</v>
      </c>
      <c r="I552" s="55">
        <v>-216.14999999999998</v>
      </c>
      <c r="J552" s="55">
        <v>229</v>
      </c>
      <c r="K552" s="56">
        <v>31100</v>
      </c>
      <c r="L552" s="55">
        <v>10.45</v>
      </c>
      <c r="M552" s="55">
        <v>0.29999999999999893</v>
      </c>
      <c r="N552" s="55" t="s">
        <v>576</v>
      </c>
      <c r="O552" s="55">
        <v>682320</v>
      </c>
      <c r="P552" s="55">
        <v>1201020</v>
      </c>
      <c r="Q552" s="55">
        <v>6242620</v>
      </c>
      <c r="R552" s="57" t="s">
        <v>564</v>
      </c>
      <c r="S552" s="58" t="s">
        <v>565</v>
      </c>
      <c r="T552" s="51">
        <v>31338.75</v>
      </c>
    </row>
    <row r="553" spans="1:20" x14ac:dyDescent="0.25">
      <c r="A553" s="51" t="str">
        <f>(COUNTIF($K$2:K553,K553))&amp;K553</f>
        <v>3231200</v>
      </c>
      <c r="B553" s="52" t="s">
        <v>596</v>
      </c>
      <c r="C553" s="53" t="s">
        <v>566</v>
      </c>
      <c r="D553" s="54" t="s">
        <v>564</v>
      </c>
      <c r="E553" s="55">
        <v>1269440</v>
      </c>
      <c r="F553" s="55">
        <v>254720</v>
      </c>
      <c r="G553" s="55">
        <v>123000</v>
      </c>
      <c r="H553" s="55" t="s">
        <v>576</v>
      </c>
      <c r="I553" s="55">
        <v>-203.1</v>
      </c>
      <c r="J553" s="55">
        <v>147.35</v>
      </c>
      <c r="K553" s="56">
        <v>31200</v>
      </c>
      <c r="L553" s="55">
        <v>28.6</v>
      </c>
      <c r="M553" s="55">
        <v>11.200000000000003</v>
      </c>
      <c r="N553" s="55" t="s">
        <v>576</v>
      </c>
      <c r="O553" s="55">
        <v>627860</v>
      </c>
      <c r="P553" s="55">
        <v>1153800</v>
      </c>
      <c r="Q553" s="55">
        <v>8649180</v>
      </c>
      <c r="R553" s="57" t="s">
        <v>564</v>
      </c>
      <c r="S553" s="58" t="s">
        <v>565</v>
      </c>
      <c r="T553" s="51">
        <v>31338.75</v>
      </c>
    </row>
    <row r="554" spans="1:20" ht="15.75" x14ac:dyDescent="0.25">
      <c r="A554" s="51" t="str">
        <f>(COUNTIF($K$2:K554,K554))&amp;K554</f>
        <v>3231300</v>
      </c>
      <c r="B554" s="52" t="s">
        <v>596</v>
      </c>
      <c r="C554" s="53" t="s">
        <v>566</v>
      </c>
      <c r="D554" s="54" t="s">
        <v>564</v>
      </c>
      <c r="E554" s="55">
        <v>2597200</v>
      </c>
      <c r="F554" s="55">
        <v>506480</v>
      </c>
      <c r="G554" s="55">
        <v>390540</v>
      </c>
      <c r="H554" s="55" t="s">
        <v>576</v>
      </c>
      <c r="I554" s="55">
        <v>-182.85000000000002</v>
      </c>
      <c r="J554" s="55">
        <v>82.7</v>
      </c>
      <c r="K554" s="59">
        <v>31300</v>
      </c>
      <c r="L554" s="55">
        <v>64.25</v>
      </c>
      <c r="M554" s="55">
        <v>33.299999999999997</v>
      </c>
      <c r="N554" s="55" t="s">
        <v>576</v>
      </c>
      <c r="O554" s="55">
        <v>276620</v>
      </c>
      <c r="P554" s="55">
        <v>927120</v>
      </c>
      <c r="Q554" s="55">
        <v>9714580</v>
      </c>
      <c r="R554" s="57" t="s">
        <v>564</v>
      </c>
      <c r="S554" s="58" t="s">
        <v>565</v>
      </c>
      <c r="T554" s="51">
        <v>31338.75</v>
      </c>
    </row>
    <row r="555" spans="1:20" x14ac:dyDescent="0.25">
      <c r="A555" s="51" t="str">
        <f>(COUNTIF($K$2:K555,K555))&amp;K555</f>
        <v>3231400</v>
      </c>
      <c r="B555" s="52" t="s">
        <v>596</v>
      </c>
      <c r="C555" s="53" t="s">
        <v>566</v>
      </c>
      <c r="D555" s="54" t="s">
        <v>564</v>
      </c>
      <c r="E555" s="55">
        <v>7017640</v>
      </c>
      <c r="F555" s="55">
        <v>1146760</v>
      </c>
      <c r="G555" s="55">
        <v>962460</v>
      </c>
      <c r="H555" s="55" t="s">
        <v>576</v>
      </c>
      <c r="I555" s="55">
        <v>-148.30000000000001</v>
      </c>
      <c r="J555" s="55">
        <v>40.700000000000003</v>
      </c>
      <c r="K555" s="56">
        <v>31400</v>
      </c>
      <c r="L555" s="55">
        <v>122.1</v>
      </c>
      <c r="M555" s="55">
        <v>68.149999999999991</v>
      </c>
      <c r="N555" s="55" t="s">
        <v>576</v>
      </c>
      <c r="O555" s="55">
        <v>116440</v>
      </c>
      <c r="P555" s="55">
        <v>672660</v>
      </c>
      <c r="Q555" s="55">
        <v>7923380</v>
      </c>
      <c r="R555" s="57" t="s">
        <v>564</v>
      </c>
      <c r="S555" s="58" t="s">
        <v>565</v>
      </c>
      <c r="T555" s="51">
        <v>31338.75</v>
      </c>
    </row>
    <row r="556" spans="1:20" x14ac:dyDescent="0.25">
      <c r="A556" s="51" t="str">
        <f>(COUNTIF($K$2:K556,K556))&amp;K556</f>
        <v>3231500</v>
      </c>
      <c r="B556" s="52" t="s">
        <v>596</v>
      </c>
      <c r="C556" s="53" t="s">
        <v>566</v>
      </c>
      <c r="D556" s="54" t="s">
        <v>564</v>
      </c>
      <c r="E556" s="55">
        <v>11562120</v>
      </c>
      <c r="F556" s="55">
        <v>2454200</v>
      </c>
      <c r="G556" s="55">
        <v>1675660</v>
      </c>
      <c r="H556" s="55" t="s">
        <v>576</v>
      </c>
      <c r="I556" s="55">
        <v>-107.9</v>
      </c>
      <c r="J556" s="55">
        <v>18.55</v>
      </c>
      <c r="K556" s="56">
        <v>31500</v>
      </c>
      <c r="L556" s="55">
        <v>200</v>
      </c>
      <c r="M556" s="55">
        <v>109.85</v>
      </c>
      <c r="N556" s="55" t="s">
        <v>576</v>
      </c>
      <c r="O556" s="55">
        <v>-110160</v>
      </c>
      <c r="P556" s="55">
        <v>520320</v>
      </c>
      <c r="Q556" s="55">
        <v>4546240</v>
      </c>
      <c r="R556" s="57" t="s">
        <v>563</v>
      </c>
      <c r="S556" s="58" t="s">
        <v>567</v>
      </c>
      <c r="T556" s="51">
        <v>31338.75</v>
      </c>
    </row>
    <row r="557" spans="1:20" x14ac:dyDescent="0.25">
      <c r="A557" s="51" t="str">
        <f>(COUNTIF($K$2:K557,K557))&amp;K557</f>
        <v>3231600</v>
      </c>
      <c r="B557" s="52" t="s">
        <v>596</v>
      </c>
      <c r="C557" s="53" t="s">
        <v>566</v>
      </c>
      <c r="D557" s="54" t="s">
        <v>564</v>
      </c>
      <c r="E557" s="55">
        <v>9079300</v>
      </c>
      <c r="F557" s="55">
        <v>1711600</v>
      </c>
      <c r="G557" s="55">
        <v>1091940</v>
      </c>
      <c r="H557" s="55" t="s">
        <v>576</v>
      </c>
      <c r="I557" s="55">
        <v>-71.100000000000009</v>
      </c>
      <c r="J557" s="55">
        <v>7.35</v>
      </c>
      <c r="K557" s="56">
        <v>31600</v>
      </c>
      <c r="L557" s="55">
        <v>287.89999999999998</v>
      </c>
      <c r="M557" s="55">
        <v>145.79999999999998</v>
      </c>
      <c r="N557" s="55" t="s">
        <v>576</v>
      </c>
      <c r="O557" s="55">
        <v>12500</v>
      </c>
      <c r="P557" s="55">
        <v>106740</v>
      </c>
      <c r="Q557" s="55">
        <v>1297840</v>
      </c>
      <c r="R557" s="57" t="s">
        <v>564</v>
      </c>
      <c r="S557" s="58" t="s">
        <v>565</v>
      </c>
      <c r="T557" s="51">
        <v>31338.75</v>
      </c>
    </row>
    <row r="558" spans="1:20" x14ac:dyDescent="0.25">
      <c r="A558" s="51" t="str">
        <f>(COUNTIF($K$2:K558,K558))&amp;K558</f>
        <v>3231700</v>
      </c>
      <c r="B558" s="52" t="s">
        <v>596</v>
      </c>
      <c r="C558" s="53" t="s">
        <v>566</v>
      </c>
      <c r="D558" s="54" t="s">
        <v>564</v>
      </c>
      <c r="E558" s="55">
        <v>7561460</v>
      </c>
      <c r="F558" s="55">
        <v>1269640</v>
      </c>
      <c r="G558" s="55">
        <v>634380</v>
      </c>
      <c r="H558" s="55" t="s">
        <v>576</v>
      </c>
      <c r="I558" s="55">
        <v>-41.25</v>
      </c>
      <c r="J558" s="55">
        <v>3.2</v>
      </c>
      <c r="K558" s="56">
        <v>31700</v>
      </c>
      <c r="L558" s="55">
        <v>385</v>
      </c>
      <c r="M558" s="55">
        <v>175.6</v>
      </c>
      <c r="N558" s="55" t="s">
        <v>576</v>
      </c>
      <c r="O558" s="55">
        <v>-4860</v>
      </c>
      <c r="P558" s="55">
        <v>44900</v>
      </c>
      <c r="Q558" s="55">
        <v>560280</v>
      </c>
      <c r="R558" s="57" t="s">
        <v>563</v>
      </c>
      <c r="S558" s="58" t="s">
        <v>567</v>
      </c>
      <c r="T558" s="51">
        <v>31338.75</v>
      </c>
    </row>
    <row r="559" spans="1:20" x14ac:dyDescent="0.25">
      <c r="A559" s="51" t="str">
        <f>(COUNTIF($K$2:K559,K559))&amp;K559</f>
        <v>3231800</v>
      </c>
      <c r="B559" s="52" t="s">
        <v>596</v>
      </c>
      <c r="C559" s="53" t="s">
        <v>566</v>
      </c>
      <c r="D559" s="54" t="s">
        <v>564</v>
      </c>
      <c r="E559" s="55">
        <v>5109120</v>
      </c>
      <c r="F559" s="55">
        <v>1011500</v>
      </c>
      <c r="G559" s="55">
        <v>426120</v>
      </c>
      <c r="H559" s="55" t="s">
        <v>576</v>
      </c>
      <c r="I559" s="55">
        <v>-22</v>
      </c>
      <c r="J559" s="55">
        <v>1.5</v>
      </c>
      <c r="K559" s="56">
        <v>31800</v>
      </c>
      <c r="L559" s="55">
        <v>482</v>
      </c>
      <c r="M559" s="55">
        <v>196.64999999999998</v>
      </c>
      <c r="N559" s="55" t="s">
        <v>576</v>
      </c>
      <c r="O559" s="55">
        <v>2680</v>
      </c>
      <c r="P559" s="55">
        <v>17660</v>
      </c>
      <c r="Q559" s="55">
        <v>211340</v>
      </c>
      <c r="R559" s="57" t="s">
        <v>564</v>
      </c>
      <c r="S559" s="58" t="s">
        <v>565</v>
      </c>
      <c r="T559" s="51">
        <v>31338.75</v>
      </c>
    </row>
    <row r="560" spans="1:20" x14ac:dyDescent="0.25">
      <c r="A560" s="51" t="str">
        <f>(COUNTIF($K$2:K560,K560))&amp;K560</f>
        <v>3231900</v>
      </c>
      <c r="B560" s="52" t="s">
        <v>596</v>
      </c>
      <c r="C560" s="53" t="s">
        <v>562</v>
      </c>
      <c r="D560" s="54" t="s">
        <v>563</v>
      </c>
      <c r="E560" s="55">
        <v>4125740</v>
      </c>
      <c r="F560" s="55">
        <v>490420</v>
      </c>
      <c r="G560" s="55">
        <v>-21380</v>
      </c>
      <c r="H560" s="55" t="s">
        <v>576</v>
      </c>
      <c r="I560" s="55">
        <v>-10.15</v>
      </c>
      <c r="J560" s="55">
        <v>0.95</v>
      </c>
      <c r="K560" s="56">
        <v>31900</v>
      </c>
      <c r="L560" s="55">
        <v>580</v>
      </c>
      <c r="M560" s="55">
        <v>203.3</v>
      </c>
      <c r="N560" s="55" t="s">
        <v>576</v>
      </c>
      <c r="O560" s="55">
        <v>800</v>
      </c>
      <c r="P560" s="55">
        <v>6340</v>
      </c>
      <c r="Q560" s="55">
        <v>39320</v>
      </c>
      <c r="R560" s="57" t="s">
        <v>564</v>
      </c>
      <c r="S560" s="58" t="s">
        <v>565</v>
      </c>
      <c r="T560" s="51">
        <v>31338.75</v>
      </c>
    </row>
    <row r="561" spans="1:20" x14ac:dyDescent="0.25">
      <c r="A561" s="51" t="str">
        <f>(COUNTIF($K$2:K561,K561))&amp;K561</f>
        <v>3232000</v>
      </c>
      <c r="B561" s="52" t="s">
        <v>596</v>
      </c>
      <c r="C561" s="53" t="s">
        <v>566</v>
      </c>
      <c r="D561" s="54" t="s">
        <v>564</v>
      </c>
      <c r="E561" s="55">
        <v>4688880</v>
      </c>
      <c r="F561" s="55">
        <v>828040</v>
      </c>
      <c r="G561" s="55">
        <v>216380</v>
      </c>
      <c r="H561" s="55" t="s">
        <v>576</v>
      </c>
      <c r="I561" s="55">
        <v>-5.25</v>
      </c>
      <c r="J561" s="55">
        <v>0.75</v>
      </c>
      <c r="K561" s="56">
        <v>32000</v>
      </c>
      <c r="L561" s="55">
        <v>676.15</v>
      </c>
      <c r="M561" s="55">
        <v>205.64999999999998</v>
      </c>
      <c r="N561" s="55" t="s">
        <v>576</v>
      </c>
      <c r="O561" s="55">
        <v>-1120</v>
      </c>
      <c r="P561" s="55">
        <v>11000</v>
      </c>
      <c r="Q561" s="55">
        <v>27180</v>
      </c>
      <c r="R561" s="57" t="s">
        <v>563</v>
      </c>
      <c r="S561" s="58" t="s">
        <v>567</v>
      </c>
      <c r="T561" s="51">
        <v>31338.75</v>
      </c>
    </row>
    <row r="562" spans="1:20" x14ac:dyDescent="0.25">
      <c r="A562" s="51" t="str">
        <f>(COUNTIF($K$2:K562,K562))&amp;K562</f>
        <v>33PCR</v>
      </c>
      <c r="B562" s="52" t="s">
        <v>596</v>
      </c>
      <c r="C562" s="60">
        <v>0.82479826351872121</v>
      </c>
      <c r="E562" s="61"/>
      <c r="F562" s="62">
        <v>9886660</v>
      </c>
      <c r="G562" s="63"/>
      <c r="H562" s="64"/>
      <c r="I562" s="64"/>
      <c r="J562" s="64"/>
      <c r="K562" s="65" t="s">
        <v>555</v>
      </c>
      <c r="L562" s="64"/>
      <c r="M562" s="64"/>
      <c r="N562" s="64"/>
      <c r="P562" s="63">
        <v>8154500</v>
      </c>
      <c r="Q562" s="61"/>
      <c r="R562" s="64"/>
      <c r="S562" s="64"/>
    </row>
    <row r="563" spans="1:20" x14ac:dyDescent="0.25">
      <c r="A563" s="51" t="str">
        <f>(COUNTIF($K$2:K563,K563))&amp;K563</f>
        <v>430500</v>
      </c>
      <c r="B563" s="52" t="s">
        <v>596</v>
      </c>
      <c r="C563" s="53" t="s">
        <v>562</v>
      </c>
      <c r="D563" s="54" t="s">
        <v>563</v>
      </c>
      <c r="E563" s="55">
        <v>12280</v>
      </c>
      <c r="F563" s="55">
        <v>26940</v>
      </c>
      <c r="G563" s="55">
        <v>-5280</v>
      </c>
      <c r="H563" s="55" t="s">
        <v>574</v>
      </c>
      <c r="I563" s="55">
        <v>-211.79999999999995</v>
      </c>
      <c r="J563" s="55">
        <v>820</v>
      </c>
      <c r="K563" s="56">
        <v>30500</v>
      </c>
      <c r="L563" s="55">
        <v>0.55000000000000004</v>
      </c>
      <c r="M563" s="55">
        <v>-2.1500000000000004</v>
      </c>
      <c r="N563" s="55" t="s">
        <v>576</v>
      </c>
      <c r="O563" s="55">
        <v>-15680</v>
      </c>
      <c r="P563" s="55">
        <v>398660</v>
      </c>
      <c r="Q563" s="55">
        <v>218660</v>
      </c>
      <c r="R563" s="57" t="s">
        <v>563</v>
      </c>
      <c r="S563" s="58" t="s">
        <v>562</v>
      </c>
      <c r="T563" s="51">
        <v>31338.75</v>
      </c>
    </row>
    <row r="564" spans="1:20" x14ac:dyDescent="0.25">
      <c r="A564" s="51" t="str">
        <f>(COUNTIF($K$2:K564,K564))&amp;K564</f>
        <v>2430600</v>
      </c>
      <c r="B564" s="52" t="s">
        <v>596</v>
      </c>
      <c r="C564" s="53" t="s">
        <v>562</v>
      </c>
      <c r="D564" s="54" t="s">
        <v>563</v>
      </c>
      <c r="E564" s="55">
        <v>920</v>
      </c>
      <c r="F564" s="55">
        <v>4040</v>
      </c>
      <c r="G564" s="55">
        <v>-500</v>
      </c>
      <c r="H564" s="55" t="s">
        <v>576</v>
      </c>
      <c r="I564" s="55">
        <v>-191.60000000000002</v>
      </c>
      <c r="J564" s="55">
        <v>741.1</v>
      </c>
      <c r="K564" s="56">
        <v>30600</v>
      </c>
      <c r="L564" s="55">
        <v>0.75</v>
      </c>
      <c r="M564" s="55">
        <v>-2.25</v>
      </c>
      <c r="N564" s="55" t="s">
        <v>576</v>
      </c>
      <c r="O564" s="55">
        <v>8600</v>
      </c>
      <c r="P564" s="55">
        <v>207840</v>
      </c>
      <c r="Q564" s="55">
        <v>173340</v>
      </c>
      <c r="R564" s="57" t="s">
        <v>564</v>
      </c>
      <c r="S564" s="58" t="s">
        <v>566</v>
      </c>
      <c r="T564" s="51">
        <v>31338.75</v>
      </c>
    </row>
    <row r="565" spans="1:20" x14ac:dyDescent="0.25">
      <c r="A565" s="51" t="str">
        <f>(COUNTIF($K$2:K565,K565))&amp;K565</f>
        <v>3330700</v>
      </c>
      <c r="B565" s="52" t="s">
        <v>596</v>
      </c>
      <c r="C565" s="53" t="s">
        <v>562</v>
      </c>
      <c r="D565" s="54" t="s">
        <v>563</v>
      </c>
      <c r="E565" s="55">
        <v>6640</v>
      </c>
      <c r="F565" s="55">
        <v>10800</v>
      </c>
      <c r="G565" s="55">
        <v>-1020</v>
      </c>
      <c r="H565" s="55" t="s">
        <v>574</v>
      </c>
      <c r="I565" s="55">
        <v>-214.75</v>
      </c>
      <c r="J565" s="55">
        <v>621.25</v>
      </c>
      <c r="K565" s="56">
        <v>30700</v>
      </c>
      <c r="L565" s="55">
        <v>0.9</v>
      </c>
      <c r="M565" s="55">
        <v>-2.7</v>
      </c>
      <c r="N565" s="55" t="s">
        <v>576</v>
      </c>
      <c r="O565" s="55">
        <v>87420</v>
      </c>
      <c r="P565" s="55">
        <v>277620</v>
      </c>
      <c r="Q565" s="55">
        <v>405240</v>
      </c>
      <c r="R565" s="57" t="s">
        <v>564</v>
      </c>
      <c r="S565" s="58" t="s">
        <v>566</v>
      </c>
      <c r="T565" s="51">
        <v>31338.75</v>
      </c>
    </row>
    <row r="566" spans="1:20" x14ac:dyDescent="0.25">
      <c r="A566" s="51" t="str">
        <f>(COUNTIF($K$2:K566,K566))&amp;K566</f>
        <v>3330800</v>
      </c>
      <c r="B566" s="52" t="s">
        <v>596</v>
      </c>
      <c r="C566" s="53" t="s">
        <v>562</v>
      </c>
      <c r="D566" s="54" t="s">
        <v>563</v>
      </c>
      <c r="E566" s="55">
        <v>3040</v>
      </c>
      <c r="F566" s="55">
        <v>7020</v>
      </c>
      <c r="G566" s="55">
        <v>-480</v>
      </c>
      <c r="H566" s="55" t="s">
        <v>574</v>
      </c>
      <c r="I566" s="55">
        <v>-215.60000000000002</v>
      </c>
      <c r="J566" s="55">
        <v>520</v>
      </c>
      <c r="K566" s="56">
        <v>30800</v>
      </c>
      <c r="L566" s="55">
        <v>1.2</v>
      </c>
      <c r="M566" s="55">
        <v>-2.8999999999999995</v>
      </c>
      <c r="N566" s="55" t="s">
        <v>576</v>
      </c>
      <c r="O566" s="55">
        <v>15300</v>
      </c>
      <c r="P566" s="55">
        <v>382700</v>
      </c>
      <c r="Q566" s="55">
        <v>873640</v>
      </c>
      <c r="R566" s="57" t="s">
        <v>564</v>
      </c>
      <c r="S566" s="58" t="s">
        <v>566</v>
      </c>
      <c r="T566" s="51">
        <v>31338.75</v>
      </c>
    </row>
    <row r="567" spans="1:20" x14ac:dyDescent="0.25">
      <c r="A567" s="51" t="str">
        <f>(COUNTIF($K$2:K567,K567))&amp;K567</f>
        <v>3330900</v>
      </c>
      <c r="B567" s="52" t="s">
        <v>596</v>
      </c>
      <c r="C567" s="53" t="s">
        <v>566</v>
      </c>
      <c r="D567" s="54" t="s">
        <v>564</v>
      </c>
      <c r="E567" s="55">
        <v>6640</v>
      </c>
      <c r="F567" s="55">
        <v>6760</v>
      </c>
      <c r="G567" s="55">
        <v>520</v>
      </c>
      <c r="H567" s="55" t="s">
        <v>574</v>
      </c>
      <c r="I567" s="55">
        <v>-208.54999999999995</v>
      </c>
      <c r="J567" s="55">
        <v>425</v>
      </c>
      <c r="K567" s="56">
        <v>30900</v>
      </c>
      <c r="L567" s="55">
        <v>2.2000000000000002</v>
      </c>
      <c r="M567" s="55">
        <v>-3.3</v>
      </c>
      <c r="N567" s="55" t="s">
        <v>576</v>
      </c>
      <c r="O567" s="55">
        <v>173640</v>
      </c>
      <c r="P567" s="55">
        <v>539520</v>
      </c>
      <c r="Q567" s="55">
        <v>1838800</v>
      </c>
      <c r="R567" s="57" t="s">
        <v>564</v>
      </c>
      <c r="S567" s="58" t="s">
        <v>566</v>
      </c>
      <c r="T567" s="51">
        <v>31338.75</v>
      </c>
    </row>
    <row r="568" spans="1:20" x14ac:dyDescent="0.25">
      <c r="A568" s="51" t="str">
        <f>(COUNTIF($K$2:K568,K568))&amp;K568</f>
        <v>3331000</v>
      </c>
      <c r="B568" s="52" t="s">
        <v>596</v>
      </c>
      <c r="C568" s="53" t="s">
        <v>566</v>
      </c>
      <c r="D568" s="54" t="s">
        <v>564</v>
      </c>
      <c r="E568" s="55">
        <v>155000</v>
      </c>
      <c r="F568" s="55">
        <v>99100</v>
      </c>
      <c r="G568" s="55">
        <v>10880</v>
      </c>
      <c r="H568" s="55" t="s">
        <v>574</v>
      </c>
      <c r="I568" s="55">
        <v>-217.60000000000002</v>
      </c>
      <c r="J568" s="55">
        <v>327.25</v>
      </c>
      <c r="K568" s="56">
        <v>31000</v>
      </c>
      <c r="L568" s="55">
        <v>4.55</v>
      </c>
      <c r="M568" s="55">
        <v>-2.8500000000000005</v>
      </c>
      <c r="N568" s="55" t="s">
        <v>576</v>
      </c>
      <c r="O568" s="55">
        <v>876000</v>
      </c>
      <c r="P568" s="55">
        <v>1686600</v>
      </c>
      <c r="Q568" s="55">
        <v>5161080</v>
      </c>
      <c r="R568" s="57" t="s">
        <v>564</v>
      </c>
      <c r="S568" s="58" t="s">
        <v>566</v>
      </c>
      <c r="T568" s="51">
        <v>31338.75</v>
      </c>
    </row>
    <row r="569" spans="1:20" x14ac:dyDescent="0.25">
      <c r="A569" s="51" t="str">
        <f>(COUNTIF($K$2:K569,K569))&amp;K569</f>
        <v>3331100</v>
      </c>
      <c r="B569" s="52" t="s">
        <v>596</v>
      </c>
      <c r="C569" s="53" t="s">
        <v>566</v>
      </c>
      <c r="D569" s="54" t="s">
        <v>564</v>
      </c>
      <c r="E569" s="55">
        <v>161140</v>
      </c>
      <c r="F569" s="55">
        <v>58640</v>
      </c>
      <c r="G569" s="55">
        <v>27980</v>
      </c>
      <c r="H569" s="55" t="s">
        <v>574</v>
      </c>
      <c r="I569" s="55">
        <v>-216.14999999999998</v>
      </c>
      <c r="J569" s="55">
        <v>229</v>
      </c>
      <c r="K569" s="56">
        <v>31100</v>
      </c>
      <c r="L569" s="55">
        <v>10.45</v>
      </c>
      <c r="M569" s="55">
        <v>0.29999999999999893</v>
      </c>
      <c r="N569" s="55" t="s">
        <v>576</v>
      </c>
      <c r="O569" s="55">
        <v>682320</v>
      </c>
      <c r="P569" s="55">
        <v>1201020</v>
      </c>
      <c r="Q569" s="55">
        <v>6242620</v>
      </c>
      <c r="R569" s="57" t="s">
        <v>564</v>
      </c>
      <c r="S569" s="58" t="s">
        <v>565</v>
      </c>
      <c r="T569" s="51">
        <v>31338.75</v>
      </c>
    </row>
    <row r="570" spans="1:20" x14ac:dyDescent="0.25">
      <c r="A570" s="51" t="str">
        <f>(COUNTIF($K$2:K570,K570))&amp;K570</f>
        <v>3331200</v>
      </c>
      <c r="B570" s="52" t="s">
        <v>596</v>
      </c>
      <c r="C570" s="53" t="s">
        <v>566</v>
      </c>
      <c r="D570" s="54" t="s">
        <v>564</v>
      </c>
      <c r="E570" s="55">
        <v>1269440</v>
      </c>
      <c r="F570" s="55">
        <v>254720</v>
      </c>
      <c r="G570" s="55">
        <v>123000</v>
      </c>
      <c r="H570" s="55" t="s">
        <v>576</v>
      </c>
      <c r="I570" s="55">
        <v>-203.1</v>
      </c>
      <c r="J570" s="55">
        <v>147.35</v>
      </c>
      <c r="K570" s="56">
        <v>31200</v>
      </c>
      <c r="L570" s="55">
        <v>28.6</v>
      </c>
      <c r="M570" s="55">
        <v>11.200000000000003</v>
      </c>
      <c r="N570" s="55" t="s">
        <v>576</v>
      </c>
      <c r="O570" s="55">
        <v>627860</v>
      </c>
      <c r="P570" s="55">
        <v>1153800</v>
      </c>
      <c r="Q570" s="55">
        <v>8649180</v>
      </c>
      <c r="R570" s="57" t="s">
        <v>564</v>
      </c>
      <c r="S570" s="58" t="s">
        <v>565</v>
      </c>
      <c r="T570" s="51">
        <v>31338.75</v>
      </c>
    </row>
    <row r="571" spans="1:20" ht="15.75" x14ac:dyDescent="0.25">
      <c r="A571" s="51" t="str">
        <f>(COUNTIF($K$2:K571,K571))&amp;K571</f>
        <v>3331300</v>
      </c>
      <c r="B571" s="52" t="s">
        <v>596</v>
      </c>
      <c r="C571" s="53" t="s">
        <v>566</v>
      </c>
      <c r="D571" s="54" t="s">
        <v>564</v>
      </c>
      <c r="E571" s="55">
        <v>2597200</v>
      </c>
      <c r="F571" s="55">
        <v>506480</v>
      </c>
      <c r="G571" s="55">
        <v>390540</v>
      </c>
      <c r="H571" s="55" t="s">
        <v>576</v>
      </c>
      <c r="I571" s="55">
        <v>-182.85000000000002</v>
      </c>
      <c r="J571" s="55">
        <v>82.7</v>
      </c>
      <c r="K571" s="59">
        <v>31300</v>
      </c>
      <c r="L571" s="55">
        <v>64.25</v>
      </c>
      <c r="M571" s="55">
        <v>33.299999999999997</v>
      </c>
      <c r="N571" s="55" t="s">
        <v>576</v>
      </c>
      <c r="O571" s="55">
        <v>276620</v>
      </c>
      <c r="P571" s="55">
        <v>927120</v>
      </c>
      <c r="Q571" s="55">
        <v>9714580</v>
      </c>
      <c r="R571" s="57" t="s">
        <v>564</v>
      </c>
      <c r="S571" s="58" t="s">
        <v>565</v>
      </c>
      <c r="T571" s="51">
        <v>31338.75</v>
      </c>
    </row>
    <row r="572" spans="1:20" x14ac:dyDescent="0.25">
      <c r="A572" s="51" t="str">
        <f>(COUNTIF($K$2:K572,K572))&amp;K572</f>
        <v>3331400</v>
      </c>
      <c r="B572" s="52" t="s">
        <v>596</v>
      </c>
      <c r="C572" s="53" t="s">
        <v>566</v>
      </c>
      <c r="D572" s="54" t="s">
        <v>564</v>
      </c>
      <c r="E572" s="55">
        <v>7017640</v>
      </c>
      <c r="F572" s="55">
        <v>1146760</v>
      </c>
      <c r="G572" s="55">
        <v>962460</v>
      </c>
      <c r="H572" s="55" t="s">
        <v>576</v>
      </c>
      <c r="I572" s="55">
        <v>-148.30000000000001</v>
      </c>
      <c r="J572" s="55">
        <v>40.700000000000003</v>
      </c>
      <c r="K572" s="56">
        <v>31400</v>
      </c>
      <c r="L572" s="55">
        <v>122.1</v>
      </c>
      <c r="M572" s="55">
        <v>68.149999999999991</v>
      </c>
      <c r="N572" s="55" t="s">
        <v>576</v>
      </c>
      <c r="O572" s="55">
        <v>116440</v>
      </c>
      <c r="P572" s="55">
        <v>672660</v>
      </c>
      <c r="Q572" s="55">
        <v>7923380</v>
      </c>
      <c r="R572" s="57" t="s">
        <v>564</v>
      </c>
      <c r="S572" s="58" t="s">
        <v>565</v>
      </c>
      <c r="T572" s="51">
        <v>31338.75</v>
      </c>
    </row>
    <row r="573" spans="1:20" x14ac:dyDescent="0.25">
      <c r="A573" s="51" t="str">
        <f>(COUNTIF($K$2:K573,K573))&amp;K573</f>
        <v>3331500</v>
      </c>
      <c r="B573" s="52" t="s">
        <v>596</v>
      </c>
      <c r="C573" s="53" t="s">
        <v>566</v>
      </c>
      <c r="D573" s="54" t="s">
        <v>564</v>
      </c>
      <c r="E573" s="55">
        <v>11562120</v>
      </c>
      <c r="F573" s="55">
        <v>2454200</v>
      </c>
      <c r="G573" s="55">
        <v>1675660</v>
      </c>
      <c r="H573" s="55" t="s">
        <v>576</v>
      </c>
      <c r="I573" s="55">
        <v>-107.9</v>
      </c>
      <c r="J573" s="55">
        <v>18.55</v>
      </c>
      <c r="K573" s="56">
        <v>31500</v>
      </c>
      <c r="L573" s="55">
        <v>200</v>
      </c>
      <c r="M573" s="55">
        <v>109.85</v>
      </c>
      <c r="N573" s="55" t="s">
        <v>576</v>
      </c>
      <c r="O573" s="55">
        <v>-110160</v>
      </c>
      <c r="P573" s="55">
        <v>520320</v>
      </c>
      <c r="Q573" s="55">
        <v>4546240</v>
      </c>
      <c r="R573" s="57" t="s">
        <v>563</v>
      </c>
      <c r="S573" s="58" t="s">
        <v>567</v>
      </c>
      <c r="T573" s="51">
        <v>31338.75</v>
      </c>
    </row>
    <row r="574" spans="1:20" x14ac:dyDescent="0.25">
      <c r="A574" s="51" t="str">
        <f>(COUNTIF($K$2:K574,K574))&amp;K574</f>
        <v>3331600</v>
      </c>
      <c r="B574" s="52" t="s">
        <v>596</v>
      </c>
      <c r="C574" s="53" t="s">
        <v>566</v>
      </c>
      <c r="D574" s="54" t="s">
        <v>564</v>
      </c>
      <c r="E574" s="55">
        <v>9079300</v>
      </c>
      <c r="F574" s="55">
        <v>1711600</v>
      </c>
      <c r="G574" s="55">
        <v>1091940</v>
      </c>
      <c r="H574" s="55" t="s">
        <v>576</v>
      </c>
      <c r="I574" s="55">
        <v>-71.100000000000009</v>
      </c>
      <c r="J574" s="55">
        <v>7.35</v>
      </c>
      <c r="K574" s="56">
        <v>31600</v>
      </c>
      <c r="L574" s="55">
        <v>287.89999999999998</v>
      </c>
      <c r="M574" s="55">
        <v>145.79999999999998</v>
      </c>
      <c r="N574" s="55" t="s">
        <v>576</v>
      </c>
      <c r="O574" s="55">
        <v>12500</v>
      </c>
      <c r="P574" s="55">
        <v>106740</v>
      </c>
      <c r="Q574" s="55">
        <v>1297840</v>
      </c>
      <c r="R574" s="57" t="s">
        <v>564</v>
      </c>
      <c r="S574" s="58" t="s">
        <v>565</v>
      </c>
      <c r="T574" s="51">
        <v>31338.75</v>
      </c>
    </row>
    <row r="575" spans="1:20" x14ac:dyDescent="0.25">
      <c r="A575" s="51" t="str">
        <f>(COUNTIF($K$2:K575,K575))&amp;K575</f>
        <v>3331700</v>
      </c>
      <c r="B575" s="52" t="s">
        <v>596</v>
      </c>
      <c r="C575" s="53" t="s">
        <v>566</v>
      </c>
      <c r="D575" s="54" t="s">
        <v>564</v>
      </c>
      <c r="E575" s="55">
        <v>7561460</v>
      </c>
      <c r="F575" s="55">
        <v>1269640</v>
      </c>
      <c r="G575" s="55">
        <v>634380</v>
      </c>
      <c r="H575" s="55" t="s">
        <v>576</v>
      </c>
      <c r="I575" s="55">
        <v>-41.25</v>
      </c>
      <c r="J575" s="55">
        <v>3.2</v>
      </c>
      <c r="K575" s="56">
        <v>31700</v>
      </c>
      <c r="L575" s="55">
        <v>385</v>
      </c>
      <c r="M575" s="55">
        <v>175.6</v>
      </c>
      <c r="N575" s="55" t="s">
        <v>576</v>
      </c>
      <c r="O575" s="55">
        <v>-4860</v>
      </c>
      <c r="P575" s="55">
        <v>44900</v>
      </c>
      <c r="Q575" s="55">
        <v>560280</v>
      </c>
      <c r="R575" s="57" t="s">
        <v>563</v>
      </c>
      <c r="S575" s="58" t="s">
        <v>567</v>
      </c>
      <c r="T575" s="51">
        <v>31338.75</v>
      </c>
    </row>
    <row r="576" spans="1:20" x14ac:dyDescent="0.25">
      <c r="A576" s="51" t="str">
        <f>(COUNTIF($K$2:K576,K576))&amp;K576</f>
        <v>3331800</v>
      </c>
      <c r="B576" s="52" t="s">
        <v>596</v>
      </c>
      <c r="C576" s="53" t="s">
        <v>566</v>
      </c>
      <c r="D576" s="54" t="s">
        <v>564</v>
      </c>
      <c r="E576" s="55">
        <v>5109120</v>
      </c>
      <c r="F576" s="55">
        <v>1011500</v>
      </c>
      <c r="G576" s="55">
        <v>426120</v>
      </c>
      <c r="H576" s="55" t="s">
        <v>576</v>
      </c>
      <c r="I576" s="55">
        <v>-22</v>
      </c>
      <c r="J576" s="55">
        <v>1.5</v>
      </c>
      <c r="K576" s="56">
        <v>31800</v>
      </c>
      <c r="L576" s="55">
        <v>482</v>
      </c>
      <c r="M576" s="55">
        <v>196.64999999999998</v>
      </c>
      <c r="N576" s="55" t="s">
        <v>576</v>
      </c>
      <c r="O576" s="55">
        <v>2680</v>
      </c>
      <c r="P576" s="55">
        <v>17660</v>
      </c>
      <c r="Q576" s="55">
        <v>211340</v>
      </c>
      <c r="R576" s="57" t="s">
        <v>564</v>
      </c>
      <c r="S576" s="58" t="s">
        <v>565</v>
      </c>
      <c r="T576" s="51">
        <v>31338.75</v>
      </c>
    </row>
    <row r="577" spans="1:20" x14ac:dyDescent="0.25">
      <c r="A577" s="51" t="str">
        <f>(COUNTIF($K$2:K577,K577))&amp;K577</f>
        <v>3331900</v>
      </c>
      <c r="B577" s="52" t="s">
        <v>596</v>
      </c>
      <c r="C577" s="53" t="s">
        <v>562</v>
      </c>
      <c r="D577" s="54" t="s">
        <v>563</v>
      </c>
      <c r="E577" s="55">
        <v>4125740</v>
      </c>
      <c r="F577" s="55">
        <v>490420</v>
      </c>
      <c r="G577" s="55">
        <v>-21380</v>
      </c>
      <c r="H577" s="55" t="s">
        <v>576</v>
      </c>
      <c r="I577" s="55">
        <v>-10.15</v>
      </c>
      <c r="J577" s="55">
        <v>0.95</v>
      </c>
      <c r="K577" s="56">
        <v>31900</v>
      </c>
      <c r="L577" s="55">
        <v>580</v>
      </c>
      <c r="M577" s="55">
        <v>203.3</v>
      </c>
      <c r="N577" s="55" t="s">
        <v>576</v>
      </c>
      <c r="O577" s="55">
        <v>800</v>
      </c>
      <c r="P577" s="55">
        <v>6340</v>
      </c>
      <c r="Q577" s="55">
        <v>39320</v>
      </c>
      <c r="R577" s="57" t="s">
        <v>564</v>
      </c>
      <c r="S577" s="58" t="s">
        <v>565</v>
      </c>
      <c r="T577" s="51">
        <v>31338.75</v>
      </c>
    </row>
    <row r="578" spans="1:20" x14ac:dyDescent="0.25">
      <c r="A578" s="51" t="str">
        <f>(COUNTIF($K$2:K578,K578))&amp;K578</f>
        <v>3332000</v>
      </c>
      <c r="B578" s="52" t="s">
        <v>596</v>
      </c>
      <c r="C578" s="53" t="s">
        <v>566</v>
      </c>
      <c r="D578" s="54" t="s">
        <v>564</v>
      </c>
      <c r="E578" s="55">
        <v>4688880</v>
      </c>
      <c r="F578" s="55">
        <v>828040</v>
      </c>
      <c r="G578" s="55">
        <v>216380</v>
      </c>
      <c r="H578" s="55" t="s">
        <v>576</v>
      </c>
      <c r="I578" s="55">
        <v>-5.25</v>
      </c>
      <c r="J578" s="55">
        <v>0.75</v>
      </c>
      <c r="K578" s="56">
        <v>32000</v>
      </c>
      <c r="L578" s="55">
        <v>676.15</v>
      </c>
      <c r="M578" s="55">
        <v>205.64999999999998</v>
      </c>
      <c r="N578" s="55" t="s">
        <v>576</v>
      </c>
      <c r="O578" s="55">
        <v>-1120</v>
      </c>
      <c r="P578" s="55">
        <v>11000</v>
      </c>
      <c r="Q578" s="55">
        <v>27180</v>
      </c>
      <c r="R578" s="57" t="s">
        <v>563</v>
      </c>
      <c r="S578" s="58" t="s">
        <v>567</v>
      </c>
      <c r="T578" s="51">
        <v>31338.75</v>
      </c>
    </row>
    <row r="579" spans="1:20" x14ac:dyDescent="0.25">
      <c r="A579" s="51" t="str">
        <f>(COUNTIF($K$2:K579,K579))&amp;K579</f>
        <v>34PCR</v>
      </c>
      <c r="B579" s="52" t="s">
        <v>596</v>
      </c>
      <c r="C579" s="60">
        <v>0.82479826351872121</v>
      </c>
      <c r="E579" s="61"/>
      <c r="F579" s="62">
        <v>9886660</v>
      </c>
      <c r="G579" s="63"/>
      <c r="H579" s="64"/>
      <c r="I579" s="64"/>
      <c r="J579" s="64"/>
      <c r="K579" s="65" t="s">
        <v>555</v>
      </c>
      <c r="L579" s="64"/>
      <c r="M579" s="64"/>
      <c r="N579" s="64"/>
      <c r="P579" s="63">
        <v>8154500</v>
      </c>
      <c r="Q579" s="61"/>
      <c r="R579" s="64"/>
      <c r="S579" s="64"/>
    </row>
    <row r="580" spans="1:20" x14ac:dyDescent="0.25">
      <c r="A580" s="51" t="str">
        <f>(COUNTIF($K$2:K580,K580))&amp;K580</f>
        <v>530500</v>
      </c>
      <c r="B580" s="52" t="s">
        <v>597</v>
      </c>
      <c r="C580" s="53" t="s">
        <v>562</v>
      </c>
      <c r="D580" s="54" t="s">
        <v>563</v>
      </c>
      <c r="E580" s="55">
        <v>12460</v>
      </c>
      <c r="F580" s="55">
        <v>26800</v>
      </c>
      <c r="G580" s="55">
        <v>-5420</v>
      </c>
      <c r="H580" s="55" t="s">
        <v>574</v>
      </c>
      <c r="I580" s="55">
        <v>-221</v>
      </c>
      <c r="J580" s="55">
        <v>810.8</v>
      </c>
      <c r="K580" s="56">
        <v>30500</v>
      </c>
      <c r="L580" s="55">
        <v>0.55000000000000004</v>
      </c>
      <c r="M580" s="55">
        <v>-2.1500000000000004</v>
      </c>
      <c r="N580" s="55" t="s">
        <v>576</v>
      </c>
      <c r="O580" s="55">
        <v>-15700</v>
      </c>
      <c r="P580" s="55">
        <v>398640</v>
      </c>
      <c r="Q580" s="55">
        <v>222540</v>
      </c>
      <c r="R580" s="57" t="s">
        <v>563</v>
      </c>
      <c r="S580" s="58" t="s">
        <v>562</v>
      </c>
      <c r="T580" s="51">
        <v>31335.15</v>
      </c>
    </row>
    <row r="581" spans="1:20" x14ac:dyDescent="0.25">
      <c r="A581" s="51" t="str">
        <f>(COUNTIF($K$2:K581,K581))&amp;K581</f>
        <v>2530600</v>
      </c>
      <c r="B581" s="52" t="s">
        <v>597</v>
      </c>
      <c r="C581" s="53" t="s">
        <v>562</v>
      </c>
      <c r="D581" s="54" t="s">
        <v>563</v>
      </c>
      <c r="E581" s="55">
        <v>980</v>
      </c>
      <c r="F581" s="55">
        <v>4020</v>
      </c>
      <c r="G581" s="55">
        <v>-520</v>
      </c>
      <c r="H581" s="55" t="s">
        <v>574</v>
      </c>
      <c r="I581" s="55">
        <v>-219.40000000000009</v>
      </c>
      <c r="J581" s="55">
        <v>713.3</v>
      </c>
      <c r="K581" s="56">
        <v>30600</v>
      </c>
      <c r="L581" s="55">
        <v>0.75</v>
      </c>
      <c r="M581" s="55">
        <v>-2.25</v>
      </c>
      <c r="N581" s="55" t="s">
        <v>576</v>
      </c>
      <c r="O581" s="55">
        <v>7500</v>
      </c>
      <c r="P581" s="55">
        <v>206740</v>
      </c>
      <c r="Q581" s="55">
        <v>178080</v>
      </c>
      <c r="R581" s="57" t="s">
        <v>564</v>
      </c>
      <c r="S581" s="58" t="s">
        <v>566</v>
      </c>
      <c r="T581" s="51">
        <v>31335.15</v>
      </c>
    </row>
    <row r="582" spans="1:20" x14ac:dyDescent="0.25">
      <c r="A582" s="51" t="str">
        <f>(COUNTIF($K$2:K582,K582))&amp;K582</f>
        <v>3430700</v>
      </c>
      <c r="B582" s="52" t="s">
        <v>597</v>
      </c>
      <c r="C582" s="53" t="s">
        <v>562</v>
      </c>
      <c r="D582" s="54" t="s">
        <v>563</v>
      </c>
      <c r="E582" s="55">
        <v>7660</v>
      </c>
      <c r="F582" s="55">
        <v>10920</v>
      </c>
      <c r="G582" s="55">
        <v>-900</v>
      </c>
      <c r="H582" s="55" t="s">
        <v>574</v>
      </c>
      <c r="I582" s="55">
        <v>-220.45000000000005</v>
      </c>
      <c r="J582" s="55">
        <v>615.54999999999995</v>
      </c>
      <c r="K582" s="56">
        <v>30700</v>
      </c>
      <c r="L582" s="55">
        <v>0.95</v>
      </c>
      <c r="M582" s="55">
        <v>-2.6500000000000004</v>
      </c>
      <c r="N582" s="55" t="s">
        <v>576</v>
      </c>
      <c r="O582" s="55">
        <v>82760</v>
      </c>
      <c r="P582" s="55">
        <v>272960</v>
      </c>
      <c r="Q582" s="55">
        <v>431600</v>
      </c>
      <c r="R582" s="57" t="s">
        <v>564</v>
      </c>
      <c r="S582" s="58" t="s">
        <v>566</v>
      </c>
      <c r="T582" s="51">
        <v>31335.15</v>
      </c>
    </row>
    <row r="583" spans="1:20" x14ac:dyDescent="0.25">
      <c r="A583" s="51" t="str">
        <f>(COUNTIF($K$2:K583,K583))&amp;K583</f>
        <v>3430800</v>
      </c>
      <c r="B583" s="52" t="s">
        <v>597</v>
      </c>
      <c r="C583" s="53" t="s">
        <v>562</v>
      </c>
      <c r="D583" s="54" t="s">
        <v>563</v>
      </c>
      <c r="E583" s="55">
        <v>3240</v>
      </c>
      <c r="F583" s="55">
        <v>7020</v>
      </c>
      <c r="G583" s="55">
        <v>-480</v>
      </c>
      <c r="H583" s="55" t="s">
        <v>574</v>
      </c>
      <c r="I583" s="55">
        <v>-215.60000000000002</v>
      </c>
      <c r="J583" s="55">
        <v>520</v>
      </c>
      <c r="K583" s="56">
        <v>30800</v>
      </c>
      <c r="L583" s="55">
        <v>1.3</v>
      </c>
      <c r="M583" s="55">
        <v>-2.8</v>
      </c>
      <c r="N583" s="55" t="s">
        <v>576</v>
      </c>
      <c r="O583" s="55">
        <v>26520</v>
      </c>
      <c r="P583" s="55">
        <v>393920</v>
      </c>
      <c r="Q583" s="55">
        <v>911960</v>
      </c>
      <c r="R583" s="57" t="s">
        <v>564</v>
      </c>
      <c r="S583" s="58" t="s">
        <v>566</v>
      </c>
      <c r="T583" s="51">
        <v>31335.15</v>
      </c>
    </row>
    <row r="584" spans="1:20" x14ac:dyDescent="0.25">
      <c r="A584" s="51" t="str">
        <f>(COUNTIF($K$2:K584,K584))&amp;K584</f>
        <v>3430900</v>
      </c>
      <c r="B584" s="52" t="s">
        <v>597</v>
      </c>
      <c r="C584" s="53" t="s">
        <v>566</v>
      </c>
      <c r="D584" s="54" t="s">
        <v>564</v>
      </c>
      <c r="E584" s="55">
        <v>6840</v>
      </c>
      <c r="F584" s="55">
        <v>6740</v>
      </c>
      <c r="G584" s="55">
        <v>500</v>
      </c>
      <c r="H584" s="55" t="s">
        <v>574</v>
      </c>
      <c r="I584" s="55">
        <v>-219.79999999999995</v>
      </c>
      <c r="J584" s="55">
        <v>413.75</v>
      </c>
      <c r="K584" s="56">
        <v>30900</v>
      </c>
      <c r="L584" s="55">
        <v>2.4500000000000002</v>
      </c>
      <c r="M584" s="55">
        <v>-3.05</v>
      </c>
      <c r="N584" s="55" t="s">
        <v>576</v>
      </c>
      <c r="O584" s="55">
        <v>171720</v>
      </c>
      <c r="P584" s="55">
        <v>537600</v>
      </c>
      <c r="Q584" s="55">
        <v>1900320</v>
      </c>
      <c r="R584" s="57" t="s">
        <v>564</v>
      </c>
      <c r="S584" s="58" t="s">
        <v>566</v>
      </c>
      <c r="T584" s="51">
        <v>31335.15</v>
      </c>
    </row>
    <row r="585" spans="1:20" x14ac:dyDescent="0.25">
      <c r="A585" s="51" t="str">
        <f>(COUNTIF($K$2:K585,K585))&amp;K585</f>
        <v>3431000</v>
      </c>
      <c r="B585" s="52" t="s">
        <v>597</v>
      </c>
      <c r="C585" s="53" t="s">
        <v>566</v>
      </c>
      <c r="D585" s="54" t="s">
        <v>564</v>
      </c>
      <c r="E585" s="55">
        <v>161800</v>
      </c>
      <c r="F585" s="55">
        <v>101400</v>
      </c>
      <c r="G585" s="55">
        <v>13180</v>
      </c>
      <c r="H585" s="55" t="s">
        <v>574</v>
      </c>
      <c r="I585" s="55">
        <v>-225.35000000000002</v>
      </c>
      <c r="J585" s="55">
        <v>319.5</v>
      </c>
      <c r="K585" s="56">
        <v>31000</v>
      </c>
      <c r="L585" s="55">
        <v>5.15</v>
      </c>
      <c r="M585" s="55">
        <v>-2.25</v>
      </c>
      <c r="N585" s="55" t="s">
        <v>576</v>
      </c>
      <c r="O585" s="55">
        <v>903920</v>
      </c>
      <c r="P585" s="55">
        <v>1714520</v>
      </c>
      <c r="Q585" s="55">
        <v>5401300</v>
      </c>
      <c r="R585" s="57" t="s">
        <v>564</v>
      </c>
      <c r="S585" s="58" t="s">
        <v>566</v>
      </c>
      <c r="T585" s="51">
        <v>31335.15</v>
      </c>
    </row>
    <row r="586" spans="1:20" x14ac:dyDescent="0.25">
      <c r="A586" s="51" t="str">
        <f>(COUNTIF($K$2:K586,K586))&amp;K586</f>
        <v>3431100</v>
      </c>
      <c r="B586" s="52" t="s">
        <v>597</v>
      </c>
      <c r="C586" s="53" t="s">
        <v>566</v>
      </c>
      <c r="D586" s="54" t="s">
        <v>564</v>
      </c>
      <c r="E586" s="55">
        <v>175640</v>
      </c>
      <c r="F586" s="55">
        <v>57780</v>
      </c>
      <c r="G586" s="55">
        <v>27120</v>
      </c>
      <c r="H586" s="55" t="s">
        <v>574</v>
      </c>
      <c r="I586" s="55">
        <v>-219.29999999999998</v>
      </c>
      <c r="J586" s="55">
        <v>225.85</v>
      </c>
      <c r="K586" s="56">
        <v>31100</v>
      </c>
      <c r="L586" s="55">
        <v>11.85</v>
      </c>
      <c r="M586" s="55">
        <v>1.6999999999999993</v>
      </c>
      <c r="N586" s="55" t="s">
        <v>576</v>
      </c>
      <c r="O586" s="55">
        <v>747380</v>
      </c>
      <c r="P586" s="55">
        <v>1266080</v>
      </c>
      <c r="Q586" s="55">
        <v>6562060</v>
      </c>
      <c r="R586" s="57" t="s">
        <v>564</v>
      </c>
      <c r="S586" s="58" t="s">
        <v>565</v>
      </c>
      <c r="T586" s="51">
        <v>31335.15</v>
      </c>
    </row>
    <row r="587" spans="1:20" x14ac:dyDescent="0.25">
      <c r="A587" s="51" t="str">
        <f>(COUNTIF($K$2:K587,K587))&amp;K587</f>
        <v>3431200</v>
      </c>
      <c r="B587" s="52" t="s">
        <v>597</v>
      </c>
      <c r="C587" s="53" t="s">
        <v>566</v>
      </c>
      <c r="D587" s="54" t="s">
        <v>564</v>
      </c>
      <c r="E587" s="55">
        <v>1351380</v>
      </c>
      <c r="F587" s="55">
        <v>270860</v>
      </c>
      <c r="G587" s="55">
        <v>139140</v>
      </c>
      <c r="H587" s="55" t="s">
        <v>576</v>
      </c>
      <c r="I587" s="55">
        <v>-205.5</v>
      </c>
      <c r="J587" s="55">
        <v>144.94999999999999</v>
      </c>
      <c r="K587" s="56">
        <v>31200</v>
      </c>
      <c r="L587" s="55">
        <v>31.1</v>
      </c>
      <c r="M587" s="55">
        <v>13.700000000000003</v>
      </c>
      <c r="N587" s="55" t="s">
        <v>576</v>
      </c>
      <c r="O587" s="55">
        <v>675620</v>
      </c>
      <c r="P587" s="55">
        <v>1201560</v>
      </c>
      <c r="Q587" s="55">
        <v>9040400</v>
      </c>
      <c r="R587" s="57" t="s">
        <v>564</v>
      </c>
      <c r="S587" s="58" t="s">
        <v>565</v>
      </c>
      <c r="T587" s="51">
        <v>31335.15</v>
      </c>
    </row>
    <row r="588" spans="1:20" ht="15.75" x14ac:dyDescent="0.25">
      <c r="A588" s="51" t="str">
        <f>(COUNTIF($K$2:K588,K588))&amp;K588</f>
        <v>3431300</v>
      </c>
      <c r="B588" s="52" t="s">
        <v>597</v>
      </c>
      <c r="C588" s="53" t="s">
        <v>566</v>
      </c>
      <c r="D588" s="54" t="s">
        <v>564</v>
      </c>
      <c r="E588" s="55">
        <v>2796200</v>
      </c>
      <c r="F588" s="55">
        <v>528500</v>
      </c>
      <c r="G588" s="55">
        <v>412560</v>
      </c>
      <c r="H588" s="55" t="s">
        <v>576</v>
      </c>
      <c r="I588" s="55">
        <v>-184.4</v>
      </c>
      <c r="J588" s="55">
        <v>81.150000000000006</v>
      </c>
      <c r="K588" s="59">
        <v>31300</v>
      </c>
      <c r="L588" s="55">
        <v>68.25</v>
      </c>
      <c r="M588" s="55">
        <v>37.299999999999997</v>
      </c>
      <c r="N588" s="55" t="s">
        <v>576</v>
      </c>
      <c r="O588" s="55">
        <v>352740</v>
      </c>
      <c r="P588" s="55">
        <v>1003240</v>
      </c>
      <c r="Q588" s="55">
        <v>10028940</v>
      </c>
      <c r="R588" s="57" t="s">
        <v>564</v>
      </c>
      <c r="S588" s="58" t="s">
        <v>565</v>
      </c>
      <c r="T588" s="51">
        <v>31335.15</v>
      </c>
    </row>
    <row r="589" spans="1:20" x14ac:dyDescent="0.25">
      <c r="A589" s="51" t="str">
        <f>(COUNTIF($K$2:K589,K589))&amp;K589</f>
        <v>3431400</v>
      </c>
      <c r="B589" s="52" t="s">
        <v>597</v>
      </c>
      <c r="C589" s="53" t="s">
        <v>566</v>
      </c>
      <c r="D589" s="54" t="s">
        <v>564</v>
      </c>
      <c r="E589" s="55">
        <v>7377360</v>
      </c>
      <c r="F589" s="55">
        <v>1197360</v>
      </c>
      <c r="G589" s="55">
        <v>1013060</v>
      </c>
      <c r="H589" s="55" t="s">
        <v>576</v>
      </c>
      <c r="I589" s="55">
        <v>-148.85</v>
      </c>
      <c r="J589" s="55">
        <v>40.15</v>
      </c>
      <c r="K589" s="56">
        <v>31400</v>
      </c>
      <c r="L589" s="55">
        <v>127.1</v>
      </c>
      <c r="M589" s="55">
        <v>73.149999999999991</v>
      </c>
      <c r="N589" s="55" t="s">
        <v>576</v>
      </c>
      <c r="O589" s="55">
        <v>113380</v>
      </c>
      <c r="P589" s="55">
        <v>669600</v>
      </c>
      <c r="Q589" s="55">
        <v>8113300</v>
      </c>
      <c r="R589" s="57" t="s">
        <v>564</v>
      </c>
      <c r="S589" s="58" t="s">
        <v>565</v>
      </c>
      <c r="T589" s="51">
        <v>31335.15</v>
      </c>
    </row>
    <row r="590" spans="1:20" x14ac:dyDescent="0.25">
      <c r="A590" s="51" t="str">
        <f>(COUNTIF($K$2:K590,K590))&amp;K590</f>
        <v>3431500</v>
      </c>
      <c r="B590" s="52" t="s">
        <v>597</v>
      </c>
      <c r="C590" s="53" t="s">
        <v>566</v>
      </c>
      <c r="D590" s="54" t="s">
        <v>564</v>
      </c>
      <c r="E590" s="55">
        <v>12025600</v>
      </c>
      <c r="F590" s="55">
        <v>2660120</v>
      </c>
      <c r="G590" s="55">
        <v>1881580</v>
      </c>
      <c r="H590" s="55" t="s">
        <v>576</v>
      </c>
      <c r="I590" s="55">
        <v>-108.55000000000001</v>
      </c>
      <c r="J590" s="55">
        <v>17.899999999999999</v>
      </c>
      <c r="K590" s="56">
        <v>31500</v>
      </c>
      <c r="L590" s="55">
        <v>205.4</v>
      </c>
      <c r="M590" s="55">
        <v>115.25</v>
      </c>
      <c r="N590" s="55" t="s">
        <v>576</v>
      </c>
      <c r="O590" s="55">
        <v>-111320</v>
      </c>
      <c r="P590" s="55">
        <v>519160</v>
      </c>
      <c r="Q590" s="55">
        <v>4621340</v>
      </c>
      <c r="R590" s="57" t="s">
        <v>563</v>
      </c>
      <c r="S590" s="58" t="s">
        <v>567</v>
      </c>
      <c r="T590" s="51">
        <v>31335.15</v>
      </c>
    </row>
    <row r="591" spans="1:20" x14ac:dyDescent="0.25">
      <c r="A591" s="51" t="str">
        <f>(COUNTIF($K$2:K591,K591))&amp;K591</f>
        <v>3431600</v>
      </c>
      <c r="B591" s="52" t="s">
        <v>597</v>
      </c>
      <c r="C591" s="53" t="s">
        <v>566</v>
      </c>
      <c r="D591" s="54" t="s">
        <v>564</v>
      </c>
      <c r="E591" s="55">
        <v>9393660</v>
      </c>
      <c r="F591" s="55">
        <v>1799480</v>
      </c>
      <c r="G591" s="55">
        <v>1179820</v>
      </c>
      <c r="H591" s="55" t="s">
        <v>576</v>
      </c>
      <c r="I591" s="55">
        <v>-71.45</v>
      </c>
      <c r="J591" s="55">
        <v>7</v>
      </c>
      <c r="K591" s="56">
        <v>31600</v>
      </c>
      <c r="L591" s="55">
        <v>293.3</v>
      </c>
      <c r="M591" s="55">
        <v>151.20000000000002</v>
      </c>
      <c r="N591" s="55" t="s">
        <v>576</v>
      </c>
      <c r="O591" s="55">
        <v>8760</v>
      </c>
      <c r="P591" s="55">
        <v>103000</v>
      </c>
      <c r="Q591" s="55">
        <v>1341680</v>
      </c>
      <c r="R591" s="57" t="s">
        <v>564</v>
      </c>
      <c r="S591" s="58" t="s">
        <v>565</v>
      </c>
      <c r="T591" s="51">
        <v>31335.15</v>
      </c>
    </row>
    <row r="592" spans="1:20" x14ac:dyDescent="0.25">
      <c r="A592" s="51" t="str">
        <f>(COUNTIF($K$2:K592,K592))&amp;K592</f>
        <v>3431700</v>
      </c>
      <c r="B592" s="52" t="s">
        <v>597</v>
      </c>
      <c r="C592" s="53" t="s">
        <v>566</v>
      </c>
      <c r="D592" s="54" t="s">
        <v>564</v>
      </c>
      <c r="E592" s="55">
        <v>7748680</v>
      </c>
      <c r="F592" s="55">
        <v>1295980</v>
      </c>
      <c r="G592" s="55">
        <v>660720</v>
      </c>
      <c r="H592" s="55" t="s">
        <v>576</v>
      </c>
      <c r="I592" s="55">
        <v>-41.45</v>
      </c>
      <c r="J592" s="55">
        <v>3</v>
      </c>
      <c r="K592" s="56">
        <v>31700</v>
      </c>
      <c r="L592" s="55">
        <v>389.45</v>
      </c>
      <c r="M592" s="55">
        <v>180.04999999999998</v>
      </c>
      <c r="N592" s="55" t="s">
        <v>576</v>
      </c>
      <c r="O592" s="55">
        <v>-7260</v>
      </c>
      <c r="P592" s="55">
        <v>42500</v>
      </c>
      <c r="Q592" s="55">
        <v>568900</v>
      </c>
      <c r="R592" s="57" t="s">
        <v>563</v>
      </c>
      <c r="S592" s="58" t="s">
        <v>567</v>
      </c>
      <c r="T592" s="51">
        <v>31335.15</v>
      </c>
    </row>
    <row r="593" spans="1:20" x14ac:dyDescent="0.25">
      <c r="A593" s="51" t="str">
        <f>(COUNTIF($K$2:K593,K593))&amp;K593</f>
        <v>3431800</v>
      </c>
      <c r="B593" s="52" t="s">
        <v>597</v>
      </c>
      <c r="C593" s="53" t="s">
        <v>566</v>
      </c>
      <c r="D593" s="54" t="s">
        <v>564</v>
      </c>
      <c r="E593" s="55">
        <v>5289200</v>
      </c>
      <c r="F593" s="55">
        <v>1015300</v>
      </c>
      <c r="G593" s="55">
        <v>429920</v>
      </c>
      <c r="H593" s="55" t="s">
        <v>576</v>
      </c>
      <c r="I593" s="55">
        <v>-22.1</v>
      </c>
      <c r="J593" s="55">
        <v>1.4</v>
      </c>
      <c r="K593" s="56">
        <v>31800</v>
      </c>
      <c r="L593" s="55">
        <v>488.65</v>
      </c>
      <c r="M593" s="55">
        <v>203.29999999999995</v>
      </c>
      <c r="N593" s="55" t="s">
        <v>576</v>
      </c>
      <c r="O593" s="55">
        <v>3340</v>
      </c>
      <c r="P593" s="55">
        <v>18320</v>
      </c>
      <c r="Q593" s="55">
        <v>213920</v>
      </c>
      <c r="R593" s="57" t="s">
        <v>564</v>
      </c>
      <c r="S593" s="58" t="s">
        <v>565</v>
      </c>
      <c r="T593" s="51">
        <v>31335.15</v>
      </c>
    </row>
    <row r="594" spans="1:20" x14ac:dyDescent="0.25">
      <c r="A594" s="51" t="str">
        <f>(COUNTIF($K$2:K594,K594))&amp;K594</f>
        <v>3431900</v>
      </c>
      <c r="B594" s="52" t="s">
        <v>597</v>
      </c>
      <c r="C594" s="53" t="s">
        <v>566</v>
      </c>
      <c r="D594" s="54" t="s">
        <v>564</v>
      </c>
      <c r="E594" s="55">
        <v>4828460</v>
      </c>
      <c r="F594" s="55">
        <v>518860</v>
      </c>
      <c r="G594" s="55">
        <v>7060</v>
      </c>
      <c r="H594" s="55" t="s">
        <v>576</v>
      </c>
      <c r="I594" s="55">
        <v>-10.15</v>
      </c>
      <c r="J594" s="55">
        <v>0.95</v>
      </c>
      <c r="K594" s="56">
        <v>31900</v>
      </c>
      <c r="L594" s="55">
        <v>583.6</v>
      </c>
      <c r="M594" s="55">
        <v>206.90000000000003</v>
      </c>
      <c r="N594" s="55" t="s">
        <v>576</v>
      </c>
      <c r="O594" s="55">
        <v>1960</v>
      </c>
      <c r="P594" s="55">
        <v>7500</v>
      </c>
      <c r="Q594" s="55">
        <v>41400</v>
      </c>
      <c r="R594" s="57" t="s">
        <v>564</v>
      </c>
      <c r="S594" s="58" t="s">
        <v>565</v>
      </c>
      <c r="T594" s="51">
        <v>31335.15</v>
      </c>
    </row>
    <row r="595" spans="1:20" x14ac:dyDescent="0.25">
      <c r="A595" s="51" t="str">
        <f>(COUNTIF($K$2:K595,K595))&amp;K595</f>
        <v>3432000</v>
      </c>
      <c r="B595" s="52" t="s">
        <v>597</v>
      </c>
      <c r="C595" s="53" t="s">
        <v>566</v>
      </c>
      <c r="D595" s="54" t="s">
        <v>564</v>
      </c>
      <c r="E595" s="55">
        <v>4705660</v>
      </c>
      <c r="F595" s="55">
        <v>809720</v>
      </c>
      <c r="G595" s="55">
        <v>198060</v>
      </c>
      <c r="H595" s="55" t="s">
        <v>576</v>
      </c>
      <c r="I595" s="55">
        <v>-5.25</v>
      </c>
      <c r="J595" s="55">
        <v>0.75</v>
      </c>
      <c r="K595" s="56">
        <v>32000</v>
      </c>
      <c r="L595" s="55">
        <v>685.5</v>
      </c>
      <c r="M595" s="55">
        <v>215</v>
      </c>
      <c r="N595" s="55" t="s">
        <v>576</v>
      </c>
      <c r="O595" s="55">
        <v>-1360</v>
      </c>
      <c r="P595" s="55">
        <v>10760</v>
      </c>
      <c r="Q595" s="55">
        <v>27240</v>
      </c>
      <c r="R595" s="57" t="s">
        <v>563</v>
      </c>
      <c r="S595" s="58" t="s">
        <v>567</v>
      </c>
      <c r="T595" s="51">
        <v>31335.15</v>
      </c>
    </row>
    <row r="596" spans="1:20" x14ac:dyDescent="0.25">
      <c r="A596" s="51" t="str">
        <f>(COUNTIF($K$2:K596,K596))&amp;K596</f>
        <v>35PCR</v>
      </c>
      <c r="B596" s="52" t="s">
        <v>597</v>
      </c>
      <c r="C596" s="60">
        <v>0.81138721697317195</v>
      </c>
      <c r="E596" s="61"/>
      <c r="F596" s="62">
        <v>10310860</v>
      </c>
      <c r="G596" s="63"/>
      <c r="H596" s="64"/>
      <c r="I596" s="64"/>
      <c r="J596" s="64"/>
      <c r="K596" s="65" t="s">
        <v>555</v>
      </c>
      <c r="L596" s="64"/>
      <c r="M596" s="64"/>
      <c r="N596" s="64"/>
      <c r="P596" s="63">
        <v>8366100</v>
      </c>
      <c r="Q596" s="61"/>
      <c r="R596" s="64"/>
      <c r="S596" s="64"/>
    </row>
    <row r="597" spans="1:20" x14ac:dyDescent="0.25">
      <c r="A597" s="51" t="str">
        <f>(COUNTIF($K$2:K597,K597))&amp;K597</f>
        <v>630500</v>
      </c>
      <c r="B597" s="52" t="s">
        <v>597</v>
      </c>
      <c r="C597" s="53" t="s">
        <v>562</v>
      </c>
      <c r="D597" s="54" t="s">
        <v>563</v>
      </c>
      <c r="E597" s="55">
        <v>12460</v>
      </c>
      <c r="F597" s="55">
        <v>26800</v>
      </c>
      <c r="G597" s="55">
        <v>-5420</v>
      </c>
      <c r="H597" s="55" t="s">
        <v>574</v>
      </c>
      <c r="I597" s="55">
        <v>-221</v>
      </c>
      <c r="J597" s="55">
        <v>810.8</v>
      </c>
      <c r="K597" s="56">
        <v>30500</v>
      </c>
      <c r="L597" s="55">
        <v>0.55000000000000004</v>
      </c>
      <c r="M597" s="55">
        <v>-2.1500000000000004</v>
      </c>
      <c r="N597" s="55" t="s">
        <v>576</v>
      </c>
      <c r="O597" s="55">
        <v>-15700</v>
      </c>
      <c r="P597" s="55">
        <v>398640</v>
      </c>
      <c r="Q597" s="55">
        <v>222540</v>
      </c>
      <c r="R597" s="57" t="s">
        <v>563</v>
      </c>
      <c r="S597" s="58" t="s">
        <v>562</v>
      </c>
      <c r="T597" s="51">
        <v>31335.15</v>
      </c>
    </row>
    <row r="598" spans="1:20" x14ac:dyDescent="0.25">
      <c r="A598" s="51" t="str">
        <f>(COUNTIF($K$2:K598,K598))&amp;K598</f>
        <v>2630600</v>
      </c>
      <c r="B598" s="52" t="s">
        <v>597</v>
      </c>
      <c r="C598" s="53" t="s">
        <v>562</v>
      </c>
      <c r="D598" s="54" t="s">
        <v>563</v>
      </c>
      <c r="E598" s="55">
        <v>980</v>
      </c>
      <c r="F598" s="55">
        <v>4020</v>
      </c>
      <c r="G598" s="55">
        <v>-520</v>
      </c>
      <c r="H598" s="55" t="s">
        <v>574</v>
      </c>
      <c r="I598" s="55">
        <v>-219.40000000000009</v>
      </c>
      <c r="J598" s="55">
        <v>713.3</v>
      </c>
      <c r="K598" s="56">
        <v>30600</v>
      </c>
      <c r="L598" s="55">
        <v>0.75</v>
      </c>
      <c r="M598" s="55">
        <v>-2.25</v>
      </c>
      <c r="N598" s="55" t="s">
        <v>576</v>
      </c>
      <c r="O598" s="55">
        <v>7500</v>
      </c>
      <c r="P598" s="55">
        <v>206740</v>
      </c>
      <c r="Q598" s="55">
        <v>178080</v>
      </c>
      <c r="R598" s="57" t="s">
        <v>564</v>
      </c>
      <c r="S598" s="58" t="s">
        <v>566</v>
      </c>
      <c r="T598" s="51">
        <v>31335.15</v>
      </c>
    </row>
    <row r="599" spans="1:20" x14ac:dyDescent="0.25">
      <c r="A599" s="51" t="str">
        <f>(COUNTIF($K$2:K599,K599))&amp;K599</f>
        <v>3530700</v>
      </c>
      <c r="B599" s="52" t="s">
        <v>597</v>
      </c>
      <c r="C599" s="53" t="s">
        <v>562</v>
      </c>
      <c r="D599" s="54" t="s">
        <v>563</v>
      </c>
      <c r="E599" s="55">
        <v>7660</v>
      </c>
      <c r="F599" s="55">
        <v>10920</v>
      </c>
      <c r="G599" s="55">
        <v>-900</v>
      </c>
      <c r="H599" s="55" t="s">
        <v>574</v>
      </c>
      <c r="I599" s="55">
        <v>-220.45000000000005</v>
      </c>
      <c r="J599" s="55">
        <v>615.54999999999995</v>
      </c>
      <c r="K599" s="56">
        <v>30700</v>
      </c>
      <c r="L599" s="55">
        <v>0.95</v>
      </c>
      <c r="M599" s="55">
        <v>-2.6500000000000004</v>
      </c>
      <c r="N599" s="55" t="s">
        <v>576</v>
      </c>
      <c r="O599" s="55">
        <v>82760</v>
      </c>
      <c r="P599" s="55">
        <v>272960</v>
      </c>
      <c r="Q599" s="55">
        <v>431600</v>
      </c>
      <c r="R599" s="57" t="s">
        <v>564</v>
      </c>
      <c r="S599" s="58" t="s">
        <v>566</v>
      </c>
      <c r="T599" s="51">
        <v>31335.15</v>
      </c>
    </row>
    <row r="600" spans="1:20" x14ac:dyDescent="0.25">
      <c r="A600" s="51" t="str">
        <f>(COUNTIF($K$2:K600,K600))&amp;K600</f>
        <v>3530800</v>
      </c>
      <c r="B600" s="52" t="s">
        <v>597</v>
      </c>
      <c r="C600" s="53" t="s">
        <v>562</v>
      </c>
      <c r="D600" s="54" t="s">
        <v>563</v>
      </c>
      <c r="E600" s="55">
        <v>3240</v>
      </c>
      <c r="F600" s="55">
        <v>7020</v>
      </c>
      <c r="G600" s="55">
        <v>-480</v>
      </c>
      <c r="H600" s="55" t="s">
        <v>574</v>
      </c>
      <c r="I600" s="55">
        <v>-215.60000000000002</v>
      </c>
      <c r="J600" s="55">
        <v>520</v>
      </c>
      <c r="K600" s="56">
        <v>30800</v>
      </c>
      <c r="L600" s="55">
        <v>1.3</v>
      </c>
      <c r="M600" s="55">
        <v>-2.8</v>
      </c>
      <c r="N600" s="55" t="s">
        <v>576</v>
      </c>
      <c r="O600" s="55">
        <v>26520</v>
      </c>
      <c r="P600" s="55">
        <v>393920</v>
      </c>
      <c r="Q600" s="55">
        <v>911960</v>
      </c>
      <c r="R600" s="57" t="s">
        <v>564</v>
      </c>
      <c r="S600" s="58" t="s">
        <v>566</v>
      </c>
      <c r="T600" s="51">
        <v>31335.15</v>
      </c>
    </row>
    <row r="601" spans="1:20" x14ac:dyDescent="0.25">
      <c r="A601" s="51" t="str">
        <f>(COUNTIF($K$2:K601,K601))&amp;K601</f>
        <v>3530900</v>
      </c>
      <c r="B601" s="52" t="s">
        <v>597</v>
      </c>
      <c r="C601" s="53" t="s">
        <v>566</v>
      </c>
      <c r="D601" s="54" t="s">
        <v>564</v>
      </c>
      <c r="E601" s="55">
        <v>6840</v>
      </c>
      <c r="F601" s="55">
        <v>6740</v>
      </c>
      <c r="G601" s="55">
        <v>500</v>
      </c>
      <c r="H601" s="55" t="s">
        <v>574</v>
      </c>
      <c r="I601" s="55">
        <v>-219.79999999999995</v>
      </c>
      <c r="J601" s="55">
        <v>413.75</v>
      </c>
      <c r="K601" s="56">
        <v>30900</v>
      </c>
      <c r="L601" s="55">
        <v>2.4500000000000002</v>
      </c>
      <c r="M601" s="55">
        <v>-3.05</v>
      </c>
      <c r="N601" s="55" t="s">
        <v>576</v>
      </c>
      <c r="O601" s="55">
        <v>171720</v>
      </c>
      <c r="P601" s="55">
        <v>537600</v>
      </c>
      <c r="Q601" s="55">
        <v>1900320</v>
      </c>
      <c r="R601" s="57" t="s">
        <v>564</v>
      </c>
      <c r="S601" s="58" t="s">
        <v>566</v>
      </c>
      <c r="T601" s="51">
        <v>31335.15</v>
      </c>
    </row>
    <row r="602" spans="1:20" x14ac:dyDescent="0.25">
      <c r="A602" s="51" t="str">
        <f>(COUNTIF($K$2:K602,K602))&amp;K602</f>
        <v>3531000</v>
      </c>
      <c r="B602" s="52" t="s">
        <v>597</v>
      </c>
      <c r="C602" s="53" t="s">
        <v>566</v>
      </c>
      <c r="D602" s="54" t="s">
        <v>564</v>
      </c>
      <c r="E602" s="55">
        <v>161800</v>
      </c>
      <c r="F602" s="55">
        <v>101400</v>
      </c>
      <c r="G602" s="55">
        <v>13180</v>
      </c>
      <c r="H602" s="55" t="s">
        <v>574</v>
      </c>
      <c r="I602" s="55">
        <v>-225.35000000000002</v>
      </c>
      <c r="J602" s="55">
        <v>319.5</v>
      </c>
      <c r="K602" s="56">
        <v>31000</v>
      </c>
      <c r="L602" s="55">
        <v>5.15</v>
      </c>
      <c r="M602" s="55">
        <v>-2.25</v>
      </c>
      <c r="N602" s="55" t="s">
        <v>576</v>
      </c>
      <c r="O602" s="55">
        <v>903920</v>
      </c>
      <c r="P602" s="55">
        <v>1714520</v>
      </c>
      <c r="Q602" s="55">
        <v>5401300</v>
      </c>
      <c r="R602" s="57" t="s">
        <v>564</v>
      </c>
      <c r="S602" s="58" t="s">
        <v>566</v>
      </c>
      <c r="T602" s="51">
        <v>31335.15</v>
      </c>
    </row>
    <row r="603" spans="1:20" x14ac:dyDescent="0.25">
      <c r="A603" s="51" t="str">
        <f>(COUNTIF($K$2:K603,K603))&amp;K603</f>
        <v>3531100</v>
      </c>
      <c r="B603" s="52" t="s">
        <v>597</v>
      </c>
      <c r="C603" s="53" t="s">
        <v>566</v>
      </c>
      <c r="D603" s="54" t="s">
        <v>564</v>
      </c>
      <c r="E603" s="55">
        <v>175640</v>
      </c>
      <c r="F603" s="55">
        <v>57780</v>
      </c>
      <c r="G603" s="55">
        <v>27120</v>
      </c>
      <c r="H603" s="55" t="s">
        <v>574</v>
      </c>
      <c r="I603" s="55">
        <v>-219.29999999999998</v>
      </c>
      <c r="J603" s="55">
        <v>225.85</v>
      </c>
      <c r="K603" s="56">
        <v>31100</v>
      </c>
      <c r="L603" s="55">
        <v>11.85</v>
      </c>
      <c r="M603" s="55">
        <v>1.6999999999999993</v>
      </c>
      <c r="N603" s="55" t="s">
        <v>576</v>
      </c>
      <c r="O603" s="55">
        <v>747380</v>
      </c>
      <c r="P603" s="55">
        <v>1266080</v>
      </c>
      <c r="Q603" s="55">
        <v>6562060</v>
      </c>
      <c r="R603" s="57" t="s">
        <v>564</v>
      </c>
      <c r="S603" s="58" t="s">
        <v>565</v>
      </c>
      <c r="T603" s="51">
        <v>31335.15</v>
      </c>
    </row>
    <row r="604" spans="1:20" x14ac:dyDescent="0.25">
      <c r="A604" s="51" t="str">
        <f>(COUNTIF($K$2:K604,K604))&amp;K604</f>
        <v>3531200</v>
      </c>
      <c r="B604" s="52" t="s">
        <v>597</v>
      </c>
      <c r="C604" s="53" t="s">
        <v>566</v>
      </c>
      <c r="D604" s="54" t="s">
        <v>564</v>
      </c>
      <c r="E604" s="55">
        <v>1351380</v>
      </c>
      <c r="F604" s="55">
        <v>270860</v>
      </c>
      <c r="G604" s="55">
        <v>139140</v>
      </c>
      <c r="H604" s="55" t="s">
        <v>576</v>
      </c>
      <c r="I604" s="55">
        <v>-205.5</v>
      </c>
      <c r="J604" s="55">
        <v>144.94999999999999</v>
      </c>
      <c r="K604" s="56">
        <v>31200</v>
      </c>
      <c r="L604" s="55">
        <v>31.1</v>
      </c>
      <c r="M604" s="55">
        <v>13.700000000000003</v>
      </c>
      <c r="N604" s="55" t="s">
        <v>576</v>
      </c>
      <c r="O604" s="55">
        <v>675620</v>
      </c>
      <c r="P604" s="55">
        <v>1201560</v>
      </c>
      <c r="Q604" s="55">
        <v>9040400</v>
      </c>
      <c r="R604" s="57" t="s">
        <v>564</v>
      </c>
      <c r="S604" s="58" t="s">
        <v>565</v>
      </c>
      <c r="T604" s="51">
        <v>31335.15</v>
      </c>
    </row>
    <row r="605" spans="1:20" ht="15.75" x14ac:dyDescent="0.25">
      <c r="A605" s="51" t="str">
        <f>(COUNTIF($K$2:K605,K605))&amp;K605</f>
        <v>3531300</v>
      </c>
      <c r="B605" s="52" t="s">
        <v>597</v>
      </c>
      <c r="C605" s="53" t="s">
        <v>566</v>
      </c>
      <c r="D605" s="54" t="s">
        <v>564</v>
      </c>
      <c r="E605" s="55">
        <v>2796200</v>
      </c>
      <c r="F605" s="55">
        <v>528500</v>
      </c>
      <c r="G605" s="55">
        <v>412560</v>
      </c>
      <c r="H605" s="55" t="s">
        <v>576</v>
      </c>
      <c r="I605" s="55">
        <v>-184.4</v>
      </c>
      <c r="J605" s="55">
        <v>81.150000000000006</v>
      </c>
      <c r="K605" s="59">
        <v>31300</v>
      </c>
      <c r="L605" s="55">
        <v>68.25</v>
      </c>
      <c r="M605" s="55">
        <v>37.299999999999997</v>
      </c>
      <c r="N605" s="55" t="s">
        <v>576</v>
      </c>
      <c r="O605" s="55">
        <v>352740</v>
      </c>
      <c r="P605" s="55">
        <v>1003240</v>
      </c>
      <c r="Q605" s="55">
        <v>10028940</v>
      </c>
      <c r="R605" s="57" t="s">
        <v>564</v>
      </c>
      <c r="S605" s="58" t="s">
        <v>565</v>
      </c>
      <c r="T605" s="51">
        <v>31335.15</v>
      </c>
    </row>
    <row r="606" spans="1:20" x14ac:dyDescent="0.25">
      <c r="A606" s="51" t="str">
        <f>(COUNTIF($K$2:K606,K606))&amp;K606</f>
        <v>3531400</v>
      </c>
      <c r="B606" s="52" t="s">
        <v>597</v>
      </c>
      <c r="C606" s="53" t="s">
        <v>566</v>
      </c>
      <c r="D606" s="54" t="s">
        <v>564</v>
      </c>
      <c r="E606" s="55">
        <v>7377360</v>
      </c>
      <c r="F606" s="55">
        <v>1197360</v>
      </c>
      <c r="G606" s="55">
        <v>1013060</v>
      </c>
      <c r="H606" s="55" t="s">
        <v>576</v>
      </c>
      <c r="I606" s="55">
        <v>-148.85</v>
      </c>
      <c r="J606" s="55">
        <v>40.15</v>
      </c>
      <c r="K606" s="56">
        <v>31400</v>
      </c>
      <c r="L606" s="55">
        <v>127.1</v>
      </c>
      <c r="M606" s="55">
        <v>73.149999999999991</v>
      </c>
      <c r="N606" s="55" t="s">
        <v>576</v>
      </c>
      <c r="O606" s="55">
        <v>113380</v>
      </c>
      <c r="P606" s="55">
        <v>669600</v>
      </c>
      <c r="Q606" s="55">
        <v>8113300</v>
      </c>
      <c r="R606" s="57" t="s">
        <v>564</v>
      </c>
      <c r="S606" s="58" t="s">
        <v>565</v>
      </c>
      <c r="T606" s="51">
        <v>31335.15</v>
      </c>
    </row>
    <row r="607" spans="1:20" x14ac:dyDescent="0.25">
      <c r="A607" s="51" t="str">
        <f>(COUNTIF($K$2:K607,K607))&amp;K607</f>
        <v>3531500</v>
      </c>
      <c r="B607" s="52" t="s">
        <v>597</v>
      </c>
      <c r="C607" s="53" t="s">
        <v>566</v>
      </c>
      <c r="D607" s="54" t="s">
        <v>564</v>
      </c>
      <c r="E607" s="55">
        <v>12025600</v>
      </c>
      <c r="F607" s="55">
        <v>2660120</v>
      </c>
      <c r="G607" s="55">
        <v>1881580</v>
      </c>
      <c r="H607" s="55" t="s">
        <v>576</v>
      </c>
      <c r="I607" s="55">
        <v>-108.55000000000001</v>
      </c>
      <c r="J607" s="55">
        <v>17.899999999999999</v>
      </c>
      <c r="K607" s="56">
        <v>31500</v>
      </c>
      <c r="L607" s="55">
        <v>205.4</v>
      </c>
      <c r="M607" s="55">
        <v>115.25</v>
      </c>
      <c r="N607" s="55" t="s">
        <v>576</v>
      </c>
      <c r="O607" s="55">
        <v>-111320</v>
      </c>
      <c r="P607" s="55">
        <v>519160</v>
      </c>
      <c r="Q607" s="55">
        <v>4621340</v>
      </c>
      <c r="R607" s="57" t="s">
        <v>563</v>
      </c>
      <c r="S607" s="58" t="s">
        <v>567</v>
      </c>
      <c r="T607" s="51">
        <v>31335.15</v>
      </c>
    </row>
    <row r="608" spans="1:20" x14ac:dyDescent="0.25">
      <c r="A608" s="51" t="str">
        <f>(COUNTIF($K$2:K608,K608))&amp;K608</f>
        <v>3531600</v>
      </c>
      <c r="B608" s="52" t="s">
        <v>597</v>
      </c>
      <c r="C608" s="53" t="s">
        <v>566</v>
      </c>
      <c r="D608" s="54" t="s">
        <v>564</v>
      </c>
      <c r="E608" s="55">
        <v>9393660</v>
      </c>
      <c r="F608" s="55">
        <v>1799480</v>
      </c>
      <c r="G608" s="55">
        <v>1179820</v>
      </c>
      <c r="H608" s="55" t="s">
        <v>576</v>
      </c>
      <c r="I608" s="55">
        <v>-71.45</v>
      </c>
      <c r="J608" s="55">
        <v>7</v>
      </c>
      <c r="K608" s="56">
        <v>31600</v>
      </c>
      <c r="L608" s="55">
        <v>293.3</v>
      </c>
      <c r="M608" s="55">
        <v>151.20000000000002</v>
      </c>
      <c r="N608" s="55" t="s">
        <v>576</v>
      </c>
      <c r="O608" s="55">
        <v>8760</v>
      </c>
      <c r="P608" s="55">
        <v>103000</v>
      </c>
      <c r="Q608" s="55">
        <v>1341680</v>
      </c>
      <c r="R608" s="57" t="s">
        <v>564</v>
      </c>
      <c r="S608" s="58" t="s">
        <v>565</v>
      </c>
      <c r="T608" s="51">
        <v>31335.15</v>
      </c>
    </row>
    <row r="609" spans="1:20" x14ac:dyDescent="0.25">
      <c r="A609" s="51" t="str">
        <f>(COUNTIF($K$2:K609,K609))&amp;K609</f>
        <v>3531700</v>
      </c>
      <c r="B609" s="52" t="s">
        <v>597</v>
      </c>
      <c r="C609" s="53" t="s">
        <v>566</v>
      </c>
      <c r="D609" s="54" t="s">
        <v>564</v>
      </c>
      <c r="E609" s="55">
        <v>7748680</v>
      </c>
      <c r="F609" s="55">
        <v>1295980</v>
      </c>
      <c r="G609" s="55">
        <v>660720</v>
      </c>
      <c r="H609" s="55" t="s">
        <v>576</v>
      </c>
      <c r="I609" s="55">
        <v>-41.45</v>
      </c>
      <c r="J609" s="55">
        <v>3</v>
      </c>
      <c r="K609" s="56">
        <v>31700</v>
      </c>
      <c r="L609" s="55">
        <v>389.45</v>
      </c>
      <c r="M609" s="55">
        <v>180.04999999999998</v>
      </c>
      <c r="N609" s="55" t="s">
        <v>576</v>
      </c>
      <c r="O609" s="55">
        <v>-7260</v>
      </c>
      <c r="P609" s="55">
        <v>42500</v>
      </c>
      <c r="Q609" s="55">
        <v>568900</v>
      </c>
      <c r="R609" s="57" t="s">
        <v>563</v>
      </c>
      <c r="S609" s="58" t="s">
        <v>567</v>
      </c>
      <c r="T609" s="51">
        <v>31335.15</v>
      </c>
    </row>
    <row r="610" spans="1:20" x14ac:dyDescent="0.25">
      <c r="A610" s="51" t="str">
        <f>(COUNTIF($K$2:K610,K610))&amp;K610</f>
        <v>3531800</v>
      </c>
      <c r="B610" s="52" t="s">
        <v>597</v>
      </c>
      <c r="C610" s="53" t="s">
        <v>566</v>
      </c>
      <c r="D610" s="54" t="s">
        <v>564</v>
      </c>
      <c r="E610" s="55">
        <v>5289200</v>
      </c>
      <c r="F610" s="55">
        <v>1015300</v>
      </c>
      <c r="G610" s="55">
        <v>429920</v>
      </c>
      <c r="H610" s="55" t="s">
        <v>576</v>
      </c>
      <c r="I610" s="55">
        <v>-22.1</v>
      </c>
      <c r="J610" s="55">
        <v>1.4</v>
      </c>
      <c r="K610" s="56">
        <v>31800</v>
      </c>
      <c r="L610" s="55">
        <v>488.65</v>
      </c>
      <c r="M610" s="55">
        <v>203.29999999999995</v>
      </c>
      <c r="N610" s="55" t="s">
        <v>576</v>
      </c>
      <c r="O610" s="55">
        <v>3340</v>
      </c>
      <c r="P610" s="55">
        <v>18320</v>
      </c>
      <c r="Q610" s="55">
        <v>213920</v>
      </c>
      <c r="R610" s="57" t="s">
        <v>564</v>
      </c>
      <c r="S610" s="58" t="s">
        <v>565</v>
      </c>
      <c r="T610" s="51">
        <v>31335.15</v>
      </c>
    </row>
    <row r="611" spans="1:20" x14ac:dyDescent="0.25">
      <c r="A611" s="51" t="str">
        <f>(COUNTIF($K$2:K611,K611))&amp;K611</f>
        <v>3531900</v>
      </c>
      <c r="B611" s="52" t="s">
        <v>597</v>
      </c>
      <c r="C611" s="53" t="s">
        <v>566</v>
      </c>
      <c r="D611" s="54" t="s">
        <v>564</v>
      </c>
      <c r="E611" s="55">
        <v>4828460</v>
      </c>
      <c r="F611" s="55">
        <v>518860</v>
      </c>
      <c r="G611" s="55">
        <v>7060</v>
      </c>
      <c r="H611" s="55" t="s">
        <v>576</v>
      </c>
      <c r="I611" s="55">
        <v>-10.15</v>
      </c>
      <c r="J611" s="55">
        <v>0.95</v>
      </c>
      <c r="K611" s="56">
        <v>31900</v>
      </c>
      <c r="L611" s="55">
        <v>583.6</v>
      </c>
      <c r="M611" s="55">
        <v>206.90000000000003</v>
      </c>
      <c r="N611" s="55" t="s">
        <v>576</v>
      </c>
      <c r="O611" s="55">
        <v>1960</v>
      </c>
      <c r="P611" s="55">
        <v>7500</v>
      </c>
      <c r="Q611" s="55">
        <v>41400</v>
      </c>
      <c r="R611" s="57" t="s">
        <v>564</v>
      </c>
      <c r="S611" s="58" t="s">
        <v>565</v>
      </c>
      <c r="T611" s="51">
        <v>31335.15</v>
      </c>
    </row>
    <row r="612" spans="1:20" x14ac:dyDescent="0.25">
      <c r="A612" s="51" t="str">
        <f>(COUNTIF($K$2:K612,K612))&amp;K612</f>
        <v>3532000</v>
      </c>
      <c r="B612" s="52" t="s">
        <v>597</v>
      </c>
      <c r="C612" s="53" t="s">
        <v>566</v>
      </c>
      <c r="D612" s="54" t="s">
        <v>564</v>
      </c>
      <c r="E612" s="55">
        <v>4705660</v>
      </c>
      <c r="F612" s="55">
        <v>809720</v>
      </c>
      <c r="G612" s="55">
        <v>198060</v>
      </c>
      <c r="H612" s="55" t="s">
        <v>576</v>
      </c>
      <c r="I612" s="55">
        <v>-5.25</v>
      </c>
      <c r="J612" s="55">
        <v>0.75</v>
      </c>
      <c r="K612" s="56">
        <v>32000</v>
      </c>
      <c r="L612" s="55">
        <v>685.5</v>
      </c>
      <c r="M612" s="55">
        <v>215</v>
      </c>
      <c r="N612" s="55" t="s">
        <v>576</v>
      </c>
      <c r="O612" s="55">
        <v>-1360</v>
      </c>
      <c r="P612" s="55">
        <v>10760</v>
      </c>
      <c r="Q612" s="55">
        <v>27240</v>
      </c>
      <c r="R612" s="57" t="s">
        <v>563</v>
      </c>
      <c r="S612" s="58" t="s">
        <v>567</v>
      </c>
      <c r="T612" s="51">
        <v>31335.15</v>
      </c>
    </row>
    <row r="613" spans="1:20" x14ac:dyDescent="0.25">
      <c r="A613" s="51" t="str">
        <f>(COUNTIF($K$2:K613,K613))&amp;K613</f>
        <v>36PCR</v>
      </c>
      <c r="B613" s="52" t="s">
        <v>597</v>
      </c>
      <c r="C613" s="60">
        <v>0.81138721697317195</v>
      </c>
      <c r="E613" s="61"/>
      <c r="F613" s="62">
        <v>10310860</v>
      </c>
      <c r="G613" s="63"/>
      <c r="H613" s="64"/>
      <c r="I613" s="64"/>
      <c r="J613" s="64"/>
      <c r="K613" s="65" t="s">
        <v>555</v>
      </c>
      <c r="L613" s="64"/>
      <c r="M613" s="64"/>
      <c r="N613" s="64"/>
      <c r="P613" s="63">
        <v>8366100</v>
      </c>
      <c r="Q613" s="61"/>
      <c r="R613" s="64"/>
      <c r="S613" s="64"/>
    </row>
    <row r="614" spans="1:20" x14ac:dyDescent="0.25">
      <c r="A614" s="51" t="str">
        <f>(COUNTIF($K$2:K614,K614))&amp;K614</f>
        <v>730500</v>
      </c>
      <c r="B614" s="52" t="s">
        <v>598</v>
      </c>
      <c r="C614" s="53" t="s">
        <v>562</v>
      </c>
      <c r="D614" s="54" t="s">
        <v>563</v>
      </c>
      <c r="E614" s="55">
        <v>12700</v>
      </c>
      <c r="F614" s="55">
        <v>26820</v>
      </c>
      <c r="G614" s="55">
        <v>-5400</v>
      </c>
      <c r="H614" s="55" t="s">
        <v>574</v>
      </c>
      <c r="I614" s="55">
        <v>-210.59999999999991</v>
      </c>
      <c r="J614" s="55">
        <v>821.2</v>
      </c>
      <c r="K614" s="56">
        <v>30500</v>
      </c>
      <c r="L614" s="55">
        <v>0.55000000000000004</v>
      </c>
      <c r="M614" s="55">
        <v>-2.1500000000000004</v>
      </c>
      <c r="N614" s="55" t="s">
        <v>576</v>
      </c>
      <c r="O614" s="55">
        <v>-15920</v>
      </c>
      <c r="P614" s="55">
        <v>398420</v>
      </c>
      <c r="Q614" s="55">
        <v>226240</v>
      </c>
      <c r="R614" s="57" t="s">
        <v>563</v>
      </c>
      <c r="S614" s="58" t="s">
        <v>562</v>
      </c>
      <c r="T614" s="51">
        <v>31345.35</v>
      </c>
    </row>
    <row r="615" spans="1:20" x14ac:dyDescent="0.25">
      <c r="A615" s="51" t="str">
        <f>(COUNTIF($K$2:K615,K615))&amp;K615</f>
        <v>2730600</v>
      </c>
      <c r="B615" s="52" t="s">
        <v>598</v>
      </c>
      <c r="C615" s="53" t="s">
        <v>562</v>
      </c>
      <c r="D615" s="54" t="s">
        <v>563</v>
      </c>
      <c r="E615" s="55">
        <v>1000</v>
      </c>
      <c r="F615" s="55">
        <v>3960</v>
      </c>
      <c r="G615" s="55">
        <v>-580</v>
      </c>
      <c r="H615" s="55" t="s">
        <v>574</v>
      </c>
      <c r="I615" s="55">
        <v>-209.40000000000009</v>
      </c>
      <c r="J615" s="55">
        <v>723.3</v>
      </c>
      <c r="K615" s="56">
        <v>30600</v>
      </c>
      <c r="L615" s="55">
        <v>0.7</v>
      </c>
      <c r="M615" s="55">
        <v>-2.2999999999999998</v>
      </c>
      <c r="N615" s="55" t="s">
        <v>576</v>
      </c>
      <c r="O615" s="55">
        <v>7580</v>
      </c>
      <c r="P615" s="55">
        <v>206820</v>
      </c>
      <c r="Q615" s="55">
        <v>182780</v>
      </c>
      <c r="R615" s="57" t="s">
        <v>564</v>
      </c>
      <c r="S615" s="58" t="s">
        <v>566</v>
      </c>
      <c r="T615" s="51">
        <v>31345.35</v>
      </c>
    </row>
    <row r="616" spans="1:20" x14ac:dyDescent="0.25">
      <c r="A616" s="51" t="str">
        <f>(COUNTIF($K$2:K616,K616))&amp;K616</f>
        <v>3630700</v>
      </c>
      <c r="B616" s="52" t="s">
        <v>598</v>
      </c>
      <c r="C616" s="53" t="s">
        <v>562</v>
      </c>
      <c r="D616" s="54" t="s">
        <v>563</v>
      </c>
      <c r="E616" s="55">
        <v>7900</v>
      </c>
      <c r="F616" s="55">
        <v>10740</v>
      </c>
      <c r="G616" s="55">
        <v>-1080</v>
      </c>
      <c r="H616" s="55" t="s">
        <v>574</v>
      </c>
      <c r="I616" s="55">
        <v>-208.64999999999998</v>
      </c>
      <c r="J616" s="55">
        <v>627.35</v>
      </c>
      <c r="K616" s="56">
        <v>30700</v>
      </c>
      <c r="L616" s="55">
        <v>0.9</v>
      </c>
      <c r="M616" s="55">
        <v>-2.7</v>
      </c>
      <c r="N616" s="55" t="s">
        <v>576</v>
      </c>
      <c r="O616" s="55">
        <v>86880</v>
      </c>
      <c r="P616" s="55">
        <v>277080</v>
      </c>
      <c r="Q616" s="55">
        <v>441140</v>
      </c>
      <c r="R616" s="57" t="s">
        <v>564</v>
      </c>
      <c r="S616" s="58" t="s">
        <v>566</v>
      </c>
      <c r="T616" s="51">
        <v>31345.35</v>
      </c>
    </row>
    <row r="617" spans="1:20" x14ac:dyDescent="0.25">
      <c r="A617" s="51" t="str">
        <f>(COUNTIF($K$2:K617,K617))&amp;K617</f>
        <v>3630800</v>
      </c>
      <c r="B617" s="52" t="s">
        <v>598</v>
      </c>
      <c r="C617" s="53" t="s">
        <v>562</v>
      </c>
      <c r="D617" s="54" t="s">
        <v>563</v>
      </c>
      <c r="E617" s="55">
        <v>3240</v>
      </c>
      <c r="F617" s="55">
        <v>7020</v>
      </c>
      <c r="G617" s="55">
        <v>-480</v>
      </c>
      <c r="H617" s="55" t="s">
        <v>574</v>
      </c>
      <c r="I617" s="55">
        <v>-215.60000000000002</v>
      </c>
      <c r="J617" s="55">
        <v>520</v>
      </c>
      <c r="K617" s="56">
        <v>30800</v>
      </c>
      <c r="L617" s="55">
        <v>1.25</v>
      </c>
      <c r="M617" s="55">
        <v>-2.8499999999999996</v>
      </c>
      <c r="N617" s="55" t="s">
        <v>576</v>
      </c>
      <c r="O617" s="55">
        <v>33080</v>
      </c>
      <c r="P617" s="55">
        <v>400480</v>
      </c>
      <c r="Q617" s="55">
        <v>945960</v>
      </c>
      <c r="R617" s="57" t="s">
        <v>564</v>
      </c>
      <c r="S617" s="58" t="s">
        <v>566</v>
      </c>
      <c r="T617" s="51">
        <v>31345.35</v>
      </c>
    </row>
    <row r="618" spans="1:20" x14ac:dyDescent="0.25">
      <c r="A618" s="51" t="str">
        <f>(COUNTIF($K$2:K618,K618))&amp;K618</f>
        <v>3630900</v>
      </c>
      <c r="B618" s="52" t="s">
        <v>598</v>
      </c>
      <c r="C618" s="53" t="s">
        <v>566</v>
      </c>
      <c r="D618" s="54" t="s">
        <v>564</v>
      </c>
      <c r="E618" s="55">
        <v>6900</v>
      </c>
      <c r="F618" s="55">
        <v>6760</v>
      </c>
      <c r="G618" s="55">
        <v>520</v>
      </c>
      <c r="H618" s="55" t="s">
        <v>574</v>
      </c>
      <c r="I618" s="55">
        <v>-209.69999999999993</v>
      </c>
      <c r="J618" s="55">
        <v>423.85</v>
      </c>
      <c r="K618" s="56">
        <v>30900</v>
      </c>
      <c r="L618" s="55">
        <v>2.35</v>
      </c>
      <c r="M618" s="55">
        <v>-3.15</v>
      </c>
      <c r="N618" s="55" t="s">
        <v>576</v>
      </c>
      <c r="O618" s="55">
        <v>179360</v>
      </c>
      <c r="P618" s="55">
        <v>545240</v>
      </c>
      <c r="Q618" s="55">
        <v>2011760</v>
      </c>
      <c r="R618" s="57" t="s">
        <v>564</v>
      </c>
      <c r="S618" s="58" t="s">
        <v>566</v>
      </c>
      <c r="T618" s="51">
        <v>31345.35</v>
      </c>
    </row>
    <row r="619" spans="1:20" x14ac:dyDescent="0.25">
      <c r="A619" s="51" t="str">
        <f>(COUNTIF($K$2:K619,K619))&amp;K619</f>
        <v>3631000</v>
      </c>
      <c r="B619" s="52" t="s">
        <v>598</v>
      </c>
      <c r="C619" s="53" t="s">
        <v>566</v>
      </c>
      <c r="D619" s="54" t="s">
        <v>564</v>
      </c>
      <c r="E619" s="55">
        <v>169580</v>
      </c>
      <c r="F619" s="55">
        <v>102220</v>
      </c>
      <c r="G619" s="55">
        <v>14000</v>
      </c>
      <c r="H619" s="55" t="s">
        <v>574</v>
      </c>
      <c r="I619" s="55">
        <v>-216.85000000000002</v>
      </c>
      <c r="J619" s="55">
        <v>328</v>
      </c>
      <c r="K619" s="56">
        <v>31000</v>
      </c>
      <c r="L619" s="55">
        <v>4.6500000000000004</v>
      </c>
      <c r="M619" s="55">
        <v>-2.75</v>
      </c>
      <c r="N619" s="55" t="s">
        <v>576</v>
      </c>
      <c r="O619" s="55">
        <v>934900</v>
      </c>
      <c r="P619" s="55">
        <v>1745500</v>
      </c>
      <c r="Q619" s="55">
        <v>5640920</v>
      </c>
      <c r="R619" s="57" t="s">
        <v>564</v>
      </c>
      <c r="S619" s="58" t="s">
        <v>566</v>
      </c>
      <c r="T619" s="51">
        <v>31345.35</v>
      </c>
    </row>
    <row r="620" spans="1:20" x14ac:dyDescent="0.25">
      <c r="A620" s="51" t="str">
        <f>(COUNTIF($K$2:K620,K620))&amp;K620</f>
        <v>3631100</v>
      </c>
      <c r="B620" s="52" t="s">
        <v>598</v>
      </c>
      <c r="C620" s="53" t="s">
        <v>566</v>
      </c>
      <c r="D620" s="54" t="s">
        <v>564</v>
      </c>
      <c r="E620" s="55">
        <v>185780</v>
      </c>
      <c r="F620" s="55">
        <v>61520</v>
      </c>
      <c r="G620" s="55">
        <v>30860</v>
      </c>
      <c r="H620" s="55" t="s">
        <v>574</v>
      </c>
      <c r="I620" s="55">
        <v>-209.24999999999997</v>
      </c>
      <c r="J620" s="55">
        <v>235.9</v>
      </c>
      <c r="K620" s="56">
        <v>31100</v>
      </c>
      <c r="L620" s="55">
        <v>10.5</v>
      </c>
      <c r="M620" s="55">
        <v>0.34999999999999964</v>
      </c>
      <c r="N620" s="55" t="s">
        <v>576</v>
      </c>
      <c r="O620" s="55">
        <v>807060</v>
      </c>
      <c r="P620" s="55">
        <v>1325760</v>
      </c>
      <c r="Q620" s="55">
        <v>6838080</v>
      </c>
      <c r="R620" s="57" t="s">
        <v>564</v>
      </c>
      <c r="S620" s="58" t="s">
        <v>565</v>
      </c>
      <c r="T620" s="51">
        <v>31345.35</v>
      </c>
    </row>
    <row r="621" spans="1:20" x14ac:dyDescent="0.25">
      <c r="A621" s="51" t="str">
        <f>(COUNTIF($K$2:K621,K621))&amp;K621</f>
        <v>3631200</v>
      </c>
      <c r="B621" s="52" t="s">
        <v>598</v>
      </c>
      <c r="C621" s="53" t="s">
        <v>566</v>
      </c>
      <c r="D621" s="54" t="s">
        <v>564</v>
      </c>
      <c r="E621" s="55">
        <v>1420940</v>
      </c>
      <c r="F621" s="55">
        <v>278300</v>
      </c>
      <c r="G621" s="55">
        <v>146580</v>
      </c>
      <c r="H621" s="55" t="s">
        <v>576</v>
      </c>
      <c r="I621" s="55">
        <v>-197.75</v>
      </c>
      <c r="J621" s="55">
        <v>152.69999999999999</v>
      </c>
      <c r="K621" s="56">
        <v>31200</v>
      </c>
      <c r="L621" s="55">
        <v>28.35</v>
      </c>
      <c r="M621" s="55">
        <v>10.950000000000003</v>
      </c>
      <c r="N621" s="55" t="s">
        <v>576</v>
      </c>
      <c r="O621" s="55">
        <v>717220</v>
      </c>
      <c r="P621" s="55">
        <v>1243160</v>
      </c>
      <c r="Q621" s="55">
        <v>9363640</v>
      </c>
      <c r="R621" s="57" t="s">
        <v>564</v>
      </c>
      <c r="S621" s="58" t="s">
        <v>565</v>
      </c>
      <c r="T621" s="51">
        <v>31345.35</v>
      </c>
    </row>
    <row r="622" spans="1:20" ht="15.75" x14ac:dyDescent="0.25">
      <c r="A622" s="51" t="str">
        <f>(COUNTIF($K$2:K622,K622))&amp;K622</f>
        <v>3631300</v>
      </c>
      <c r="B622" s="52" t="s">
        <v>598</v>
      </c>
      <c r="C622" s="53" t="s">
        <v>566</v>
      </c>
      <c r="D622" s="54" t="s">
        <v>564</v>
      </c>
      <c r="E622" s="55">
        <v>2995900</v>
      </c>
      <c r="F622" s="55">
        <v>550660</v>
      </c>
      <c r="G622" s="55">
        <v>434720</v>
      </c>
      <c r="H622" s="55" t="s">
        <v>576</v>
      </c>
      <c r="I622" s="55">
        <v>-179.5</v>
      </c>
      <c r="J622" s="55">
        <v>86.05</v>
      </c>
      <c r="K622" s="59">
        <v>31300</v>
      </c>
      <c r="L622" s="55">
        <v>62.8</v>
      </c>
      <c r="M622" s="55">
        <v>31.849999999999998</v>
      </c>
      <c r="N622" s="55" t="s">
        <v>576</v>
      </c>
      <c r="O622" s="55">
        <v>383800</v>
      </c>
      <c r="P622" s="55">
        <v>1034300</v>
      </c>
      <c r="Q622" s="55">
        <v>10332640</v>
      </c>
      <c r="R622" s="57" t="s">
        <v>564</v>
      </c>
      <c r="S622" s="58" t="s">
        <v>565</v>
      </c>
      <c r="T622" s="51">
        <v>31345.35</v>
      </c>
    </row>
    <row r="623" spans="1:20" x14ac:dyDescent="0.25">
      <c r="A623" s="51" t="str">
        <f>(COUNTIF($K$2:K623,K623))&amp;K623</f>
        <v>3631400</v>
      </c>
      <c r="B623" s="52" t="s">
        <v>598</v>
      </c>
      <c r="C623" s="53" t="s">
        <v>566</v>
      </c>
      <c r="D623" s="54" t="s">
        <v>564</v>
      </c>
      <c r="E623" s="55">
        <v>7693720</v>
      </c>
      <c r="F623" s="55">
        <v>1214800</v>
      </c>
      <c r="G623" s="55">
        <v>1030500</v>
      </c>
      <c r="H623" s="55" t="s">
        <v>576</v>
      </c>
      <c r="I623" s="55">
        <v>-146.25</v>
      </c>
      <c r="J623" s="55">
        <v>42.75</v>
      </c>
      <c r="K623" s="56">
        <v>31400</v>
      </c>
      <c r="L623" s="55">
        <v>118.95</v>
      </c>
      <c r="M623" s="55">
        <v>65</v>
      </c>
      <c r="N623" s="55" t="s">
        <v>576</v>
      </c>
      <c r="O623" s="55">
        <v>101260</v>
      </c>
      <c r="P623" s="55">
        <v>657480</v>
      </c>
      <c r="Q623" s="55">
        <v>8266600</v>
      </c>
      <c r="R623" s="57" t="s">
        <v>564</v>
      </c>
      <c r="S623" s="58" t="s">
        <v>565</v>
      </c>
      <c r="T623" s="51">
        <v>31345.35</v>
      </c>
    </row>
    <row r="624" spans="1:20" x14ac:dyDescent="0.25">
      <c r="A624" s="51" t="str">
        <f>(COUNTIF($K$2:K624,K624))&amp;K624</f>
        <v>3631500</v>
      </c>
      <c r="B624" s="52" t="s">
        <v>598</v>
      </c>
      <c r="C624" s="53" t="s">
        <v>566</v>
      </c>
      <c r="D624" s="54" t="s">
        <v>564</v>
      </c>
      <c r="E624" s="55">
        <v>12364240</v>
      </c>
      <c r="F624" s="55">
        <v>2690860</v>
      </c>
      <c r="G624" s="55">
        <v>1912320</v>
      </c>
      <c r="H624" s="55" t="s">
        <v>576</v>
      </c>
      <c r="I624" s="55">
        <v>-107.7</v>
      </c>
      <c r="J624" s="55">
        <v>18.75</v>
      </c>
      <c r="K624" s="56">
        <v>31500</v>
      </c>
      <c r="L624" s="55">
        <v>195</v>
      </c>
      <c r="M624" s="55">
        <v>104.85</v>
      </c>
      <c r="N624" s="55" t="s">
        <v>576</v>
      </c>
      <c r="O624" s="55">
        <v>-110340</v>
      </c>
      <c r="P624" s="55">
        <v>520140</v>
      </c>
      <c r="Q624" s="55">
        <v>4678740</v>
      </c>
      <c r="R624" s="57" t="s">
        <v>563</v>
      </c>
      <c r="S624" s="58" t="s">
        <v>567</v>
      </c>
      <c r="T624" s="51">
        <v>31345.35</v>
      </c>
    </row>
    <row r="625" spans="1:20" x14ac:dyDescent="0.25">
      <c r="A625" s="51" t="str">
        <f>(COUNTIF($K$2:K625,K625))&amp;K625</f>
        <v>3631600</v>
      </c>
      <c r="B625" s="52" t="s">
        <v>598</v>
      </c>
      <c r="C625" s="53" t="s">
        <v>566</v>
      </c>
      <c r="D625" s="54" t="s">
        <v>564</v>
      </c>
      <c r="E625" s="55">
        <v>9609780</v>
      </c>
      <c r="F625" s="55">
        <v>1816420</v>
      </c>
      <c r="G625" s="55">
        <v>1196760</v>
      </c>
      <c r="H625" s="55" t="s">
        <v>576</v>
      </c>
      <c r="I625" s="55">
        <v>-71.2</v>
      </c>
      <c r="J625" s="55">
        <v>7.25</v>
      </c>
      <c r="K625" s="56">
        <v>31600</v>
      </c>
      <c r="L625" s="55">
        <v>284</v>
      </c>
      <c r="M625" s="55">
        <v>141.9</v>
      </c>
      <c r="N625" s="55" t="s">
        <v>576</v>
      </c>
      <c r="O625" s="55">
        <v>20140</v>
      </c>
      <c r="P625" s="55">
        <v>114380</v>
      </c>
      <c r="Q625" s="55">
        <v>1355480</v>
      </c>
      <c r="R625" s="57" t="s">
        <v>564</v>
      </c>
      <c r="S625" s="58" t="s">
        <v>565</v>
      </c>
      <c r="T625" s="51">
        <v>31345.35</v>
      </c>
    </row>
    <row r="626" spans="1:20" x14ac:dyDescent="0.25">
      <c r="A626" s="51" t="str">
        <f>(COUNTIF($K$2:K626,K626))&amp;K626</f>
        <v>3631700</v>
      </c>
      <c r="B626" s="52" t="s">
        <v>598</v>
      </c>
      <c r="C626" s="53" t="s">
        <v>566</v>
      </c>
      <c r="D626" s="54" t="s">
        <v>564</v>
      </c>
      <c r="E626" s="55">
        <v>7926360</v>
      </c>
      <c r="F626" s="55">
        <v>1311240</v>
      </c>
      <c r="G626" s="55">
        <v>675980</v>
      </c>
      <c r="H626" s="55" t="s">
        <v>576</v>
      </c>
      <c r="I626" s="55">
        <v>-41.300000000000004</v>
      </c>
      <c r="J626" s="55">
        <v>3.15</v>
      </c>
      <c r="K626" s="56">
        <v>31700</v>
      </c>
      <c r="L626" s="55">
        <v>380</v>
      </c>
      <c r="M626" s="55">
        <v>170.6</v>
      </c>
      <c r="N626" s="55" t="s">
        <v>576</v>
      </c>
      <c r="O626" s="55">
        <v>-9360</v>
      </c>
      <c r="P626" s="55">
        <v>40400</v>
      </c>
      <c r="Q626" s="55">
        <v>574740</v>
      </c>
      <c r="R626" s="57" t="s">
        <v>563</v>
      </c>
      <c r="S626" s="58" t="s">
        <v>567</v>
      </c>
      <c r="T626" s="51">
        <v>31345.35</v>
      </c>
    </row>
    <row r="627" spans="1:20" x14ac:dyDescent="0.25">
      <c r="A627" s="51" t="str">
        <f>(COUNTIF($K$2:K627,K627))&amp;K627</f>
        <v>3631800</v>
      </c>
      <c r="B627" s="52" t="s">
        <v>598</v>
      </c>
      <c r="C627" s="53" t="s">
        <v>566</v>
      </c>
      <c r="D627" s="54" t="s">
        <v>564</v>
      </c>
      <c r="E627" s="55">
        <v>5427280</v>
      </c>
      <c r="F627" s="55">
        <v>1008640</v>
      </c>
      <c r="G627" s="55">
        <v>423260</v>
      </c>
      <c r="H627" s="55" t="s">
        <v>576</v>
      </c>
      <c r="I627" s="55">
        <v>-22.05</v>
      </c>
      <c r="J627" s="55">
        <v>1.45</v>
      </c>
      <c r="K627" s="56">
        <v>31800</v>
      </c>
      <c r="L627" s="55">
        <v>477.4</v>
      </c>
      <c r="M627" s="55">
        <v>192.04999999999995</v>
      </c>
      <c r="N627" s="55" t="s">
        <v>576</v>
      </c>
      <c r="O627" s="55">
        <v>2940</v>
      </c>
      <c r="P627" s="55">
        <v>17920</v>
      </c>
      <c r="Q627" s="55">
        <v>214500</v>
      </c>
      <c r="R627" s="57" t="s">
        <v>564</v>
      </c>
      <c r="S627" s="58" t="s">
        <v>565</v>
      </c>
      <c r="T627" s="51">
        <v>31345.35</v>
      </c>
    </row>
    <row r="628" spans="1:20" x14ac:dyDescent="0.25">
      <c r="A628" s="51" t="str">
        <f>(COUNTIF($K$2:K628,K628))&amp;K628</f>
        <v>3631900</v>
      </c>
      <c r="B628" s="52" t="s">
        <v>598</v>
      </c>
      <c r="C628" s="53" t="s">
        <v>566</v>
      </c>
      <c r="D628" s="54" t="s">
        <v>564</v>
      </c>
      <c r="E628" s="55">
        <v>5602920</v>
      </c>
      <c r="F628" s="55">
        <v>520800</v>
      </c>
      <c r="G628" s="55">
        <v>9000</v>
      </c>
      <c r="H628" s="55" t="s">
        <v>576</v>
      </c>
      <c r="I628" s="55">
        <v>-10.1</v>
      </c>
      <c r="J628" s="55">
        <v>1</v>
      </c>
      <c r="K628" s="56">
        <v>31900</v>
      </c>
      <c r="L628" s="55">
        <v>586.79999999999995</v>
      </c>
      <c r="M628" s="55">
        <v>210.09999999999997</v>
      </c>
      <c r="N628" s="55" t="s">
        <v>576</v>
      </c>
      <c r="O628" s="55">
        <v>1580</v>
      </c>
      <c r="P628" s="55">
        <v>7120</v>
      </c>
      <c r="Q628" s="55">
        <v>41980</v>
      </c>
      <c r="R628" s="57" t="s">
        <v>564</v>
      </c>
      <c r="S628" s="58" t="s">
        <v>565</v>
      </c>
      <c r="T628" s="51">
        <v>31345.35</v>
      </c>
    </row>
    <row r="629" spans="1:20" x14ac:dyDescent="0.25">
      <c r="A629" s="51" t="str">
        <f>(COUNTIF($K$2:K629,K629))&amp;K629</f>
        <v>3632000</v>
      </c>
      <c r="B629" s="52" t="s">
        <v>598</v>
      </c>
      <c r="C629" s="53" t="s">
        <v>566</v>
      </c>
      <c r="D629" s="54" t="s">
        <v>564</v>
      </c>
      <c r="E629" s="55">
        <v>4740580</v>
      </c>
      <c r="F629" s="55">
        <v>800440</v>
      </c>
      <c r="G629" s="55">
        <v>188780</v>
      </c>
      <c r="H629" s="55" t="s">
        <v>576</v>
      </c>
      <c r="I629" s="55">
        <v>-5.3</v>
      </c>
      <c r="J629" s="55">
        <v>0.7</v>
      </c>
      <c r="K629" s="56">
        <v>32000</v>
      </c>
      <c r="L629" s="55">
        <v>685</v>
      </c>
      <c r="M629" s="55">
        <v>214.5</v>
      </c>
      <c r="N629" s="55" t="s">
        <v>576</v>
      </c>
      <c r="O629" s="55">
        <v>-1400</v>
      </c>
      <c r="P629" s="55">
        <v>10720</v>
      </c>
      <c r="Q629" s="55">
        <v>27640</v>
      </c>
      <c r="R629" s="57" t="s">
        <v>563</v>
      </c>
      <c r="S629" s="58" t="s">
        <v>567</v>
      </c>
      <c r="T629" s="51">
        <v>31345.35</v>
      </c>
    </row>
    <row r="630" spans="1:20" x14ac:dyDescent="0.25">
      <c r="A630" s="51" t="str">
        <f>(COUNTIF($K$2:K630,K630))&amp;K630</f>
        <v>37PCR</v>
      </c>
      <c r="B630" s="52" t="s">
        <v>598</v>
      </c>
      <c r="C630" s="60">
        <v>0.82074304595051484</v>
      </c>
      <c r="E630" s="61"/>
      <c r="F630" s="62">
        <v>10411200</v>
      </c>
      <c r="G630" s="63"/>
      <c r="H630" s="64"/>
      <c r="I630" s="64"/>
      <c r="J630" s="64"/>
      <c r="K630" s="65" t="s">
        <v>555</v>
      </c>
      <c r="L630" s="64"/>
      <c r="M630" s="64"/>
      <c r="N630" s="64"/>
      <c r="P630" s="63">
        <v>8544920</v>
      </c>
      <c r="Q630" s="61"/>
      <c r="R630" s="64"/>
      <c r="S630" s="64"/>
    </row>
    <row r="631" spans="1:20" x14ac:dyDescent="0.25">
      <c r="A631" s="51" t="str">
        <f>(COUNTIF($K$2:K631,K631))&amp;K631</f>
        <v>830500</v>
      </c>
      <c r="B631" s="52" t="s">
        <v>598</v>
      </c>
      <c r="C631" s="53" t="s">
        <v>562</v>
      </c>
      <c r="D631" s="54" t="s">
        <v>563</v>
      </c>
      <c r="E631" s="55">
        <v>12700</v>
      </c>
      <c r="F631" s="55">
        <v>26820</v>
      </c>
      <c r="G631" s="55">
        <v>-5400</v>
      </c>
      <c r="H631" s="55" t="s">
        <v>574</v>
      </c>
      <c r="I631" s="55">
        <v>-210.59999999999991</v>
      </c>
      <c r="J631" s="55">
        <v>821.2</v>
      </c>
      <c r="K631" s="56">
        <v>30500</v>
      </c>
      <c r="L631" s="55">
        <v>0.55000000000000004</v>
      </c>
      <c r="M631" s="55">
        <v>-2.1500000000000004</v>
      </c>
      <c r="N631" s="55" t="s">
        <v>576</v>
      </c>
      <c r="O631" s="55">
        <v>-15920</v>
      </c>
      <c r="P631" s="55">
        <v>398420</v>
      </c>
      <c r="Q631" s="55">
        <v>226240</v>
      </c>
      <c r="R631" s="57" t="s">
        <v>563</v>
      </c>
      <c r="S631" s="58" t="s">
        <v>562</v>
      </c>
      <c r="T631" s="51">
        <v>31345.35</v>
      </c>
    </row>
    <row r="632" spans="1:20" x14ac:dyDescent="0.25">
      <c r="A632" s="51" t="str">
        <f>(COUNTIF($K$2:K632,K632))&amp;K632</f>
        <v>2830600</v>
      </c>
      <c r="B632" s="52" t="s">
        <v>598</v>
      </c>
      <c r="C632" s="53" t="s">
        <v>562</v>
      </c>
      <c r="D632" s="54" t="s">
        <v>563</v>
      </c>
      <c r="E632" s="55">
        <v>1000</v>
      </c>
      <c r="F632" s="55">
        <v>3960</v>
      </c>
      <c r="G632" s="55">
        <v>-580</v>
      </c>
      <c r="H632" s="55" t="s">
        <v>574</v>
      </c>
      <c r="I632" s="55">
        <v>-209.40000000000009</v>
      </c>
      <c r="J632" s="55">
        <v>723.3</v>
      </c>
      <c r="K632" s="56">
        <v>30600</v>
      </c>
      <c r="L632" s="55">
        <v>0.7</v>
      </c>
      <c r="M632" s="55">
        <v>-2.2999999999999998</v>
      </c>
      <c r="N632" s="55" t="s">
        <v>576</v>
      </c>
      <c r="O632" s="55">
        <v>7580</v>
      </c>
      <c r="P632" s="55">
        <v>206820</v>
      </c>
      <c r="Q632" s="55">
        <v>182780</v>
      </c>
      <c r="R632" s="57" t="s">
        <v>564</v>
      </c>
      <c r="S632" s="58" t="s">
        <v>566</v>
      </c>
      <c r="T632" s="51">
        <v>31345.35</v>
      </c>
    </row>
    <row r="633" spans="1:20" x14ac:dyDescent="0.25">
      <c r="A633" s="51" t="str">
        <f>(COUNTIF($K$2:K633,K633))&amp;K633</f>
        <v>3730700</v>
      </c>
      <c r="B633" s="52" t="s">
        <v>598</v>
      </c>
      <c r="C633" s="53" t="s">
        <v>562</v>
      </c>
      <c r="D633" s="54" t="s">
        <v>563</v>
      </c>
      <c r="E633" s="55">
        <v>7900</v>
      </c>
      <c r="F633" s="55">
        <v>10740</v>
      </c>
      <c r="G633" s="55">
        <v>-1080</v>
      </c>
      <c r="H633" s="55" t="s">
        <v>574</v>
      </c>
      <c r="I633" s="55">
        <v>-208.64999999999998</v>
      </c>
      <c r="J633" s="55">
        <v>627.35</v>
      </c>
      <c r="K633" s="56">
        <v>30700</v>
      </c>
      <c r="L633" s="55">
        <v>0.9</v>
      </c>
      <c r="M633" s="55">
        <v>-2.7</v>
      </c>
      <c r="N633" s="55" t="s">
        <v>576</v>
      </c>
      <c r="O633" s="55">
        <v>86880</v>
      </c>
      <c r="P633" s="55">
        <v>277080</v>
      </c>
      <c r="Q633" s="55">
        <v>441140</v>
      </c>
      <c r="R633" s="57" t="s">
        <v>564</v>
      </c>
      <c r="S633" s="58" t="s">
        <v>566</v>
      </c>
      <c r="T633" s="51">
        <v>31345.35</v>
      </c>
    </row>
    <row r="634" spans="1:20" x14ac:dyDescent="0.25">
      <c r="A634" s="51" t="str">
        <f>(COUNTIF($K$2:K634,K634))&amp;K634</f>
        <v>3730800</v>
      </c>
      <c r="B634" s="52" t="s">
        <v>598</v>
      </c>
      <c r="C634" s="53" t="s">
        <v>562</v>
      </c>
      <c r="D634" s="54" t="s">
        <v>563</v>
      </c>
      <c r="E634" s="55">
        <v>3240</v>
      </c>
      <c r="F634" s="55">
        <v>7020</v>
      </c>
      <c r="G634" s="55">
        <v>-480</v>
      </c>
      <c r="H634" s="55" t="s">
        <v>574</v>
      </c>
      <c r="I634" s="55">
        <v>-215.60000000000002</v>
      </c>
      <c r="J634" s="55">
        <v>520</v>
      </c>
      <c r="K634" s="56">
        <v>30800</v>
      </c>
      <c r="L634" s="55">
        <v>1.25</v>
      </c>
      <c r="M634" s="55">
        <v>-2.8499999999999996</v>
      </c>
      <c r="N634" s="55" t="s">
        <v>576</v>
      </c>
      <c r="O634" s="55">
        <v>33080</v>
      </c>
      <c r="P634" s="55">
        <v>400480</v>
      </c>
      <c r="Q634" s="55">
        <v>945960</v>
      </c>
      <c r="R634" s="57" t="s">
        <v>564</v>
      </c>
      <c r="S634" s="58" t="s">
        <v>566</v>
      </c>
      <c r="T634" s="51">
        <v>31345.35</v>
      </c>
    </row>
    <row r="635" spans="1:20" x14ac:dyDescent="0.25">
      <c r="A635" s="51" t="str">
        <f>(COUNTIF($K$2:K635,K635))&amp;K635</f>
        <v>3730900</v>
      </c>
      <c r="B635" s="52" t="s">
        <v>598</v>
      </c>
      <c r="C635" s="53" t="s">
        <v>566</v>
      </c>
      <c r="D635" s="54" t="s">
        <v>564</v>
      </c>
      <c r="E635" s="55">
        <v>6900</v>
      </c>
      <c r="F635" s="55">
        <v>6760</v>
      </c>
      <c r="G635" s="55">
        <v>520</v>
      </c>
      <c r="H635" s="55" t="s">
        <v>574</v>
      </c>
      <c r="I635" s="55">
        <v>-209.69999999999993</v>
      </c>
      <c r="J635" s="55">
        <v>423.85</v>
      </c>
      <c r="K635" s="56">
        <v>30900</v>
      </c>
      <c r="L635" s="55">
        <v>2.35</v>
      </c>
      <c r="M635" s="55">
        <v>-3.15</v>
      </c>
      <c r="N635" s="55" t="s">
        <v>576</v>
      </c>
      <c r="O635" s="55">
        <v>179360</v>
      </c>
      <c r="P635" s="55">
        <v>545240</v>
      </c>
      <c r="Q635" s="55">
        <v>2011760</v>
      </c>
      <c r="R635" s="57" t="s">
        <v>564</v>
      </c>
      <c r="S635" s="58" t="s">
        <v>566</v>
      </c>
      <c r="T635" s="51">
        <v>31345.35</v>
      </c>
    </row>
    <row r="636" spans="1:20" x14ac:dyDescent="0.25">
      <c r="A636" s="51" t="str">
        <f>(COUNTIF($K$2:K636,K636))&amp;K636</f>
        <v>3731000</v>
      </c>
      <c r="B636" s="52" t="s">
        <v>598</v>
      </c>
      <c r="C636" s="53" t="s">
        <v>566</v>
      </c>
      <c r="D636" s="54" t="s">
        <v>564</v>
      </c>
      <c r="E636" s="55">
        <v>169580</v>
      </c>
      <c r="F636" s="55">
        <v>102220</v>
      </c>
      <c r="G636" s="55">
        <v>14000</v>
      </c>
      <c r="H636" s="55" t="s">
        <v>574</v>
      </c>
      <c r="I636" s="55">
        <v>-216.85000000000002</v>
      </c>
      <c r="J636" s="55">
        <v>328</v>
      </c>
      <c r="K636" s="56">
        <v>31000</v>
      </c>
      <c r="L636" s="55">
        <v>4.6500000000000004</v>
      </c>
      <c r="M636" s="55">
        <v>-2.75</v>
      </c>
      <c r="N636" s="55" t="s">
        <v>576</v>
      </c>
      <c r="O636" s="55">
        <v>934900</v>
      </c>
      <c r="P636" s="55">
        <v>1745500</v>
      </c>
      <c r="Q636" s="55">
        <v>5640920</v>
      </c>
      <c r="R636" s="57" t="s">
        <v>564</v>
      </c>
      <c r="S636" s="58" t="s">
        <v>566</v>
      </c>
      <c r="T636" s="51">
        <v>31345.35</v>
      </c>
    </row>
    <row r="637" spans="1:20" x14ac:dyDescent="0.25">
      <c r="A637" s="51" t="str">
        <f>(COUNTIF($K$2:K637,K637))&amp;K637</f>
        <v>3731100</v>
      </c>
      <c r="B637" s="52" t="s">
        <v>598</v>
      </c>
      <c r="C637" s="53" t="s">
        <v>566</v>
      </c>
      <c r="D637" s="54" t="s">
        <v>564</v>
      </c>
      <c r="E637" s="55">
        <v>185780</v>
      </c>
      <c r="F637" s="55">
        <v>61520</v>
      </c>
      <c r="G637" s="55">
        <v>30860</v>
      </c>
      <c r="H637" s="55" t="s">
        <v>574</v>
      </c>
      <c r="I637" s="55">
        <v>-209.24999999999997</v>
      </c>
      <c r="J637" s="55">
        <v>235.9</v>
      </c>
      <c r="K637" s="56">
        <v>31100</v>
      </c>
      <c r="L637" s="55">
        <v>10.5</v>
      </c>
      <c r="M637" s="55">
        <v>0.34999999999999964</v>
      </c>
      <c r="N637" s="55" t="s">
        <v>576</v>
      </c>
      <c r="O637" s="55">
        <v>807060</v>
      </c>
      <c r="P637" s="55">
        <v>1325760</v>
      </c>
      <c r="Q637" s="55">
        <v>6838080</v>
      </c>
      <c r="R637" s="57" t="s">
        <v>564</v>
      </c>
      <c r="S637" s="58" t="s">
        <v>565</v>
      </c>
      <c r="T637" s="51">
        <v>31345.35</v>
      </c>
    </row>
    <row r="638" spans="1:20" x14ac:dyDescent="0.25">
      <c r="A638" s="51" t="str">
        <f>(COUNTIF($K$2:K638,K638))&amp;K638</f>
        <v>3731200</v>
      </c>
      <c r="B638" s="52" t="s">
        <v>598</v>
      </c>
      <c r="C638" s="53" t="s">
        <v>566</v>
      </c>
      <c r="D638" s="54" t="s">
        <v>564</v>
      </c>
      <c r="E638" s="55">
        <v>1420940</v>
      </c>
      <c r="F638" s="55">
        <v>278300</v>
      </c>
      <c r="G638" s="55">
        <v>146580</v>
      </c>
      <c r="H638" s="55" t="s">
        <v>576</v>
      </c>
      <c r="I638" s="55">
        <v>-197.75</v>
      </c>
      <c r="J638" s="55">
        <v>152.69999999999999</v>
      </c>
      <c r="K638" s="56">
        <v>31200</v>
      </c>
      <c r="L638" s="55">
        <v>28.35</v>
      </c>
      <c r="M638" s="55">
        <v>10.950000000000003</v>
      </c>
      <c r="N638" s="55" t="s">
        <v>576</v>
      </c>
      <c r="O638" s="55">
        <v>717220</v>
      </c>
      <c r="P638" s="55">
        <v>1243160</v>
      </c>
      <c r="Q638" s="55">
        <v>9363640</v>
      </c>
      <c r="R638" s="57" t="s">
        <v>564</v>
      </c>
      <c r="S638" s="58" t="s">
        <v>565</v>
      </c>
      <c r="T638" s="51">
        <v>31345.35</v>
      </c>
    </row>
    <row r="639" spans="1:20" ht="15.75" x14ac:dyDescent="0.25">
      <c r="A639" s="51" t="str">
        <f>(COUNTIF($K$2:K639,K639))&amp;K639</f>
        <v>3731300</v>
      </c>
      <c r="B639" s="52" t="s">
        <v>598</v>
      </c>
      <c r="C639" s="53" t="s">
        <v>566</v>
      </c>
      <c r="D639" s="54" t="s">
        <v>564</v>
      </c>
      <c r="E639" s="55">
        <v>2995900</v>
      </c>
      <c r="F639" s="55">
        <v>550660</v>
      </c>
      <c r="G639" s="55">
        <v>434720</v>
      </c>
      <c r="H639" s="55" t="s">
        <v>576</v>
      </c>
      <c r="I639" s="55">
        <v>-179.5</v>
      </c>
      <c r="J639" s="55">
        <v>86.05</v>
      </c>
      <c r="K639" s="59">
        <v>31300</v>
      </c>
      <c r="L639" s="55">
        <v>62.8</v>
      </c>
      <c r="M639" s="55">
        <v>31.849999999999998</v>
      </c>
      <c r="N639" s="55" t="s">
        <v>576</v>
      </c>
      <c r="O639" s="55">
        <v>383800</v>
      </c>
      <c r="P639" s="55">
        <v>1034300</v>
      </c>
      <c r="Q639" s="55">
        <v>10332640</v>
      </c>
      <c r="R639" s="57" t="s">
        <v>564</v>
      </c>
      <c r="S639" s="58" t="s">
        <v>565</v>
      </c>
      <c r="T639" s="51">
        <v>31345.35</v>
      </c>
    </row>
    <row r="640" spans="1:20" x14ac:dyDescent="0.25">
      <c r="A640" s="51" t="str">
        <f>(COUNTIF($K$2:K640,K640))&amp;K640</f>
        <v>3731400</v>
      </c>
      <c r="B640" s="52" t="s">
        <v>598</v>
      </c>
      <c r="C640" s="53" t="s">
        <v>566</v>
      </c>
      <c r="D640" s="54" t="s">
        <v>564</v>
      </c>
      <c r="E640" s="55">
        <v>7693720</v>
      </c>
      <c r="F640" s="55">
        <v>1214800</v>
      </c>
      <c r="G640" s="55">
        <v>1030500</v>
      </c>
      <c r="H640" s="55" t="s">
        <v>576</v>
      </c>
      <c r="I640" s="55">
        <v>-146.25</v>
      </c>
      <c r="J640" s="55">
        <v>42.75</v>
      </c>
      <c r="K640" s="56">
        <v>31400</v>
      </c>
      <c r="L640" s="55">
        <v>118.95</v>
      </c>
      <c r="M640" s="55">
        <v>65</v>
      </c>
      <c r="N640" s="55" t="s">
        <v>576</v>
      </c>
      <c r="O640" s="55">
        <v>101260</v>
      </c>
      <c r="P640" s="55">
        <v>657480</v>
      </c>
      <c r="Q640" s="55">
        <v>8266600</v>
      </c>
      <c r="R640" s="57" t="s">
        <v>564</v>
      </c>
      <c r="S640" s="58" t="s">
        <v>565</v>
      </c>
      <c r="T640" s="51">
        <v>31345.35</v>
      </c>
    </row>
    <row r="641" spans="1:20" x14ac:dyDescent="0.25">
      <c r="A641" s="51" t="str">
        <f>(COUNTIF($K$2:K641,K641))&amp;K641</f>
        <v>3731500</v>
      </c>
      <c r="B641" s="52" t="s">
        <v>598</v>
      </c>
      <c r="C641" s="53" t="s">
        <v>566</v>
      </c>
      <c r="D641" s="54" t="s">
        <v>564</v>
      </c>
      <c r="E641" s="55">
        <v>12364240</v>
      </c>
      <c r="F641" s="55">
        <v>2690860</v>
      </c>
      <c r="G641" s="55">
        <v>1912320</v>
      </c>
      <c r="H641" s="55" t="s">
        <v>576</v>
      </c>
      <c r="I641" s="55">
        <v>-107.7</v>
      </c>
      <c r="J641" s="55">
        <v>18.75</v>
      </c>
      <c r="K641" s="56">
        <v>31500</v>
      </c>
      <c r="L641" s="55">
        <v>195</v>
      </c>
      <c r="M641" s="55">
        <v>104.85</v>
      </c>
      <c r="N641" s="55" t="s">
        <v>576</v>
      </c>
      <c r="O641" s="55">
        <v>-110340</v>
      </c>
      <c r="P641" s="55">
        <v>520140</v>
      </c>
      <c r="Q641" s="55">
        <v>4678740</v>
      </c>
      <c r="R641" s="57" t="s">
        <v>563</v>
      </c>
      <c r="S641" s="58" t="s">
        <v>567</v>
      </c>
      <c r="T641" s="51">
        <v>31345.35</v>
      </c>
    </row>
    <row r="642" spans="1:20" x14ac:dyDescent="0.25">
      <c r="A642" s="51" t="str">
        <f>(COUNTIF($K$2:K642,K642))&amp;K642</f>
        <v>3731600</v>
      </c>
      <c r="B642" s="52" t="s">
        <v>598</v>
      </c>
      <c r="C642" s="53" t="s">
        <v>566</v>
      </c>
      <c r="D642" s="54" t="s">
        <v>564</v>
      </c>
      <c r="E642" s="55">
        <v>9609780</v>
      </c>
      <c r="F642" s="55">
        <v>1816420</v>
      </c>
      <c r="G642" s="55">
        <v>1196760</v>
      </c>
      <c r="H642" s="55" t="s">
        <v>576</v>
      </c>
      <c r="I642" s="55">
        <v>-71.2</v>
      </c>
      <c r="J642" s="55">
        <v>7.25</v>
      </c>
      <c r="K642" s="56">
        <v>31600</v>
      </c>
      <c r="L642" s="55">
        <v>284</v>
      </c>
      <c r="M642" s="55">
        <v>141.9</v>
      </c>
      <c r="N642" s="55" t="s">
        <v>576</v>
      </c>
      <c r="O642" s="55">
        <v>20140</v>
      </c>
      <c r="P642" s="55">
        <v>114380</v>
      </c>
      <c r="Q642" s="55">
        <v>1355480</v>
      </c>
      <c r="R642" s="57" t="s">
        <v>564</v>
      </c>
      <c r="S642" s="58" t="s">
        <v>565</v>
      </c>
      <c r="T642" s="51">
        <v>31345.35</v>
      </c>
    </row>
    <row r="643" spans="1:20" x14ac:dyDescent="0.25">
      <c r="A643" s="51" t="str">
        <f>(COUNTIF($K$2:K643,K643))&amp;K643</f>
        <v>3731700</v>
      </c>
      <c r="B643" s="52" t="s">
        <v>598</v>
      </c>
      <c r="C643" s="53" t="s">
        <v>566</v>
      </c>
      <c r="D643" s="54" t="s">
        <v>564</v>
      </c>
      <c r="E643" s="55">
        <v>7926360</v>
      </c>
      <c r="F643" s="55">
        <v>1311240</v>
      </c>
      <c r="G643" s="55">
        <v>675980</v>
      </c>
      <c r="H643" s="55" t="s">
        <v>576</v>
      </c>
      <c r="I643" s="55">
        <v>-41.300000000000004</v>
      </c>
      <c r="J643" s="55">
        <v>3.15</v>
      </c>
      <c r="K643" s="56">
        <v>31700</v>
      </c>
      <c r="L643" s="55">
        <v>380</v>
      </c>
      <c r="M643" s="55">
        <v>170.6</v>
      </c>
      <c r="N643" s="55" t="s">
        <v>576</v>
      </c>
      <c r="O643" s="55">
        <v>-9360</v>
      </c>
      <c r="P643" s="55">
        <v>40400</v>
      </c>
      <c r="Q643" s="55">
        <v>574740</v>
      </c>
      <c r="R643" s="57" t="s">
        <v>563</v>
      </c>
      <c r="S643" s="58" t="s">
        <v>567</v>
      </c>
      <c r="T643" s="51">
        <v>31345.35</v>
      </c>
    </row>
    <row r="644" spans="1:20" x14ac:dyDescent="0.25">
      <c r="A644" s="51" t="str">
        <f>(COUNTIF($K$2:K644,K644))&amp;K644</f>
        <v>3731800</v>
      </c>
      <c r="B644" s="52" t="s">
        <v>598</v>
      </c>
      <c r="C644" s="53" t="s">
        <v>566</v>
      </c>
      <c r="D644" s="54" t="s">
        <v>564</v>
      </c>
      <c r="E644" s="55">
        <v>5427280</v>
      </c>
      <c r="F644" s="55">
        <v>1008640</v>
      </c>
      <c r="G644" s="55">
        <v>423260</v>
      </c>
      <c r="H644" s="55" t="s">
        <v>576</v>
      </c>
      <c r="I644" s="55">
        <v>-22.05</v>
      </c>
      <c r="J644" s="55">
        <v>1.45</v>
      </c>
      <c r="K644" s="56">
        <v>31800</v>
      </c>
      <c r="L644" s="55">
        <v>477.4</v>
      </c>
      <c r="M644" s="55">
        <v>192.04999999999995</v>
      </c>
      <c r="N644" s="55" t="s">
        <v>576</v>
      </c>
      <c r="O644" s="55">
        <v>2940</v>
      </c>
      <c r="P644" s="55">
        <v>17920</v>
      </c>
      <c r="Q644" s="55">
        <v>214500</v>
      </c>
      <c r="R644" s="57" t="s">
        <v>564</v>
      </c>
      <c r="S644" s="58" t="s">
        <v>565</v>
      </c>
      <c r="T644" s="51">
        <v>31345.35</v>
      </c>
    </row>
    <row r="645" spans="1:20" x14ac:dyDescent="0.25">
      <c r="A645" s="51" t="str">
        <f>(COUNTIF($K$2:K645,K645))&amp;K645</f>
        <v>3731900</v>
      </c>
      <c r="B645" s="52" t="s">
        <v>598</v>
      </c>
      <c r="C645" s="53" t="s">
        <v>566</v>
      </c>
      <c r="D645" s="54" t="s">
        <v>564</v>
      </c>
      <c r="E645" s="55">
        <v>5602920</v>
      </c>
      <c r="F645" s="55">
        <v>520800</v>
      </c>
      <c r="G645" s="55">
        <v>9000</v>
      </c>
      <c r="H645" s="55" t="s">
        <v>576</v>
      </c>
      <c r="I645" s="55">
        <v>-10.1</v>
      </c>
      <c r="J645" s="55">
        <v>1</v>
      </c>
      <c r="K645" s="56">
        <v>31900</v>
      </c>
      <c r="L645" s="55">
        <v>586.79999999999995</v>
      </c>
      <c r="M645" s="55">
        <v>210.09999999999997</v>
      </c>
      <c r="N645" s="55" t="s">
        <v>576</v>
      </c>
      <c r="O645" s="55">
        <v>1580</v>
      </c>
      <c r="P645" s="55">
        <v>7120</v>
      </c>
      <c r="Q645" s="55">
        <v>41980</v>
      </c>
      <c r="R645" s="57" t="s">
        <v>564</v>
      </c>
      <c r="S645" s="58" t="s">
        <v>565</v>
      </c>
      <c r="T645" s="51">
        <v>31345.35</v>
      </c>
    </row>
    <row r="646" spans="1:20" x14ac:dyDescent="0.25">
      <c r="A646" s="51" t="str">
        <f>(COUNTIF($K$2:K646,K646))&amp;K646</f>
        <v>3732000</v>
      </c>
      <c r="B646" s="52" t="s">
        <v>598</v>
      </c>
      <c r="C646" s="53" t="s">
        <v>566</v>
      </c>
      <c r="D646" s="54" t="s">
        <v>564</v>
      </c>
      <c r="E646" s="55">
        <v>4740580</v>
      </c>
      <c r="F646" s="55">
        <v>800440</v>
      </c>
      <c r="G646" s="55">
        <v>188780</v>
      </c>
      <c r="H646" s="55" t="s">
        <v>576</v>
      </c>
      <c r="I646" s="55">
        <v>-5.3</v>
      </c>
      <c r="J646" s="55">
        <v>0.7</v>
      </c>
      <c r="K646" s="56">
        <v>32000</v>
      </c>
      <c r="L646" s="55">
        <v>685</v>
      </c>
      <c r="M646" s="55">
        <v>214.5</v>
      </c>
      <c r="N646" s="55" t="s">
        <v>576</v>
      </c>
      <c r="O646" s="55">
        <v>-1400</v>
      </c>
      <c r="P646" s="55">
        <v>10720</v>
      </c>
      <c r="Q646" s="55">
        <v>27640</v>
      </c>
      <c r="R646" s="57" t="s">
        <v>563</v>
      </c>
      <c r="S646" s="58" t="s">
        <v>567</v>
      </c>
      <c r="T646" s="51">
        <v>31345.35</v>
      </c>
    </row>
    <row r="647" spans="1:20" x14ac:dyDescent="0.25">
      <c r="A647" s="51" t="str">
        <f>(COUNTIF($K$2:K647,K647))&amp;K647</f>
        <v>38PCR</v>
      </c>
      <c r="B647" s="52" t="s">
        <v>598</v>
      </c>
      <c r="C647" s="60">
        <v>0.82074304595051484</v>
      </c>
      <c r="E647" s="61"/>
      <c r="F647" s="62">
        <v>10411200</v>
      </c>
      <c r="G647" s="63"/>
      <c r="H647" s="64"/>
      <c r="I647" s="64"/>
      <c r="J647" s="64"/>
      <c r="K647" s="65" t="s">
        <v>555</v>
      </c>
      <c r="L647" s="64"/>
      <c r="M647" s="64"/>
      <c r="N647" s="64"/>
      <c r="P647" s="63">
        <v>8544920</v>
      </c>
      <c r="Q647" s="61"/>
      <c r="R647" s="64"/>
      <c r="S647" s="64"/>
    </row>
    <row r="648" spans="1:20" x14ac:dyDescent="0.25">
      <c r="A648" s="51" t="str">
        <f>(COUNTIF($K$2:K648,K648))&amp;K648</f>
        <v>930500</v>
      </c>
      <c r="B648" s="52" t="s">
        <v>599</v>
      </c>
      <c r="C648" s="53" t="s">
        <v>562</v>
      </c>
      <c r="D648" s="54" t="s">
        <v>563</v>
      </c>
      <c r="E648" s="55">
        <v>12900</v>
      </c>
      <c r="F648" s="55">
        <v>26760</v>
      </c>
      <c r="G648" s="55">
        <v>-5460</v>
      </c>
      <c r="H648" s="55" t="s">
        <v>574</v>
      </c>
      <c r="I648" s="55">
        <v>-210.75</v>
      </c>
      <c r="J648" s="55">
        <v>821.05</v>
      </c>
      <c r="K648" s="56">
        <v>30500</v>
      </c>
      <c r="L648" s="55">
        <v>0.55000000000000004</v>
      </c>
      <c r="M648" s="55">
        <v>-2.1500000000000004</v>
      </c>
      <c r="N648" s="55" t="s">
        <v>576</v>
      </c>
      <c r="O648" s="55">
        <v>-16780</v>
      </c>
      <c r="P648" s="55">
        <v>397560</v>
      </c>
      <c r="Q648" s="55">
        <v>229960</v>
      </c>
      <c r="R648" s="57" t="s">
        <v>563</v>
      </c>
      <c r="S648" s="58" t="s">
        <v>562</v>
      </c>
      <c r="T648" s="51">
        <v>31338</v>
      </c>
    </row>
    <row r="649" spans="1:20" x14ac:dyDescent="0.25">
      <c r="A649" s="51" t="str">
        <f>(COUNTIF($K$2:K649,K649))&amp;K649</f>
        <v>2930600</v>
      </c>
      <c r="B649" s="52" t="s">
        <v>599</v>
      </c>
      <c r="C649" s="53" t="s">
        <v>562</v>
      </c>
      <c r="D649" s="54" t="s">
        <v>563</v>
      </c>
      <c r="E649" s="55">
        <v>1060</v>
      </c>
      <c r="F649" s="55">
        <v>3940</v>
      </c>
      <c r="G649" s="55">
        <v>-600</v>
      </c>
      <c r="H649" s="55" t="s">
        <v>574</v>
      </c>
      <c r="I649" s="55">
        <v>-212.75</v>
      </c>
      <c r="J649" s="55">
        <v>719.95</v>
      </c>
      <c r="K649" s="56">
        <v>30600</v>
      </c>
      <c r="L649" s="55">
        <v>0.65</v>
      </c>
      <c r="M649" s="55">
        <v>-2.35</v>
      </c>
      <c r="N649" s="55" t="s">
        <v>576</v>
      </c>
      <c r="O649" s="55">
        <v>6240</v>
      </c>
      <c r="P649" s="55">
        <v>205480</v>
      </c>
      <c r="Q649" s="55">
        <v>184700</v>
      </c>
      <c r="R649" s="57" t="s">
        <v>564</v>
      </c>
      <c r="S649" s="58" t="s">
        <v>566</v>
      </c>
      <c r="T649" s="51">
        <v>31338</v>
      </c>
    </row>
    <row r="650" spans="1:20" x14ac:dyDescent="0.25">
      <c r="A650" s="51" t="str">
        <f>(COUNTIF($K$2:K650,K650))&amp;K650</f>
        <v>3830700</v>
      </c>
      <c r="B650" s="52" t="s">
        <v>599</v>
      </c>
      <c r="C650" s="53" t="s">
        <v>562</v>
      </c>
      <c r="D650" s="54" t="s">
        <v>563</v>
      </c>
      <c r="E650" s="55">
        <v>8200</v>
      </c>
      <c r="F650" s="55">
        <v>10660</v>
      </c>
      <c r="G650" s="55">
        <v>-1160</v>
      </c>
      <c r="H650" s="55" t="s">
        <v>574</v>
      </c>
      <c r="I650" s="55">
        <v>-219.29999999999995</v>
      </c>
      <c r="J650" s="55">
        <v>616.70000000000005</v>
      </c>
      <c r="K650" s="56">
        <v>30700</v>
      </c>
      <c r="L650" s="55">
        <v>0.9</v>
      </c>
      <c r="M650" s="55">
        <v>-2.7</v>
      </c>
      <c r="N650" s="55" t="s">
        <v>576</v>
      </c>
      <c r="O650" s="55">
        <v>89320</v>
      </c>
      <c r="P650" s="55">
        <v>279520</v>
      </c>
      <c r="Q650" s="55">
        <v>451060</v>
      </c>
      <c r="R650" s="57" t="s">
        <v>564</v>
      </c>
      <c r="S650" s="58" t="s">
        <v>566</v>
      </c>
      <c r="T650" s="51">
        <v>31338</v>
      </c>
    </row>
    <row r="651" spans="1:20" x14ac:dyDescent="0.25">
      <c r="A651" s="51" t="str">
        <f>(COUNTIF($K$2:K651,K651))&amp;K651</f>
        <v>3830800</v>
      </c>
      <c r="B651" s="52" t="s">
        <v>599</v>
      </c>
      <c r="C651" s="53" t="s">
        <v>562</v>
      </c>
      <c r="D651" s="54" t="s">
        <v>563</v>
      </c>
      <c r="E651" s="55">
        <v>4400</v>
      </c>
      <c r="F651" s="55">
        <v>6920</v>
      </c>
      <c r="G651" s="55">
        <v>-580</v>
      </c>
      <c r="H651" s="55" t="s">
        <v>574</v>
      </c>
      <c r="I651" s="55">
        <v>-217.70000000000005</v>
      </c>
      <c r="J651" s="55">
        <v>517.9</v>
      </c>
      <c r="K651" s="56">
        <v>30800</v>
      </c>
      <c r="L651" s="55">
        <v>1.25</v>
      </c>
      <c r="M651" s="55">
        <v>-2.8499999999999996</v>
      </c>
      <c r="N651" s="55" t="s">
        <v>576</v>
      </c>
      <c r="O651" s="55">
        <v>44080</v>
      </c>
      <c r="P651" s="55">
        <v>411480</v>
      </c>
      <c r="Q651" s="55">
        <v>969840</v>
      </c>
      <c r="R651" s="57" t="s">
        <v>564</v>
      </c>
      <c r="S651" s="58" t="s">
        <v>566</v>
      </c>
      <c r="T651" s="51">
        <v>31338</v>
      </c>
    </row>
    <row r="652" spans="1:20" x14ac:dyDescent="0.25">
      <c r="A652" s="51" t="str">
        <f>(COUNTIF($K$2:K652,K652))&amp;K652</f>
        <v>3830900</v>
      </c>
      <c r="B652" s="52" t="s">
        <v>599</v>
      </c>
      <c r="C652" s="53" t="s">
        <v>566</v>
      </c>
      <c r="D652" s="54" t="s">
        <v>564</v>
      </c>
      <c r="E652" s="55">
        <v>7140</v>
      </c>
      <c r="F652" s="55">
        <v>6800</v>
      </c>
      <c r="G652" s="55">
        <v>560</v>
      </c>
      <c r="H652" s="55" t="s">
        <v>574</v>
      </c>
      <c r="I652" s="55">
        <v>-210.39999999999998</v>
      </c>
      <c r="J652" s="55">
        <v>423.15</v>
      </c>
      <c r="K652" s="56">
        <v>30900</v>
      </c>
      <c r="L652" s="55">
        <v>2.25</v>
      </c>
      <c r="M652" s="55">
        <v>-3.25</v>
      </c>
      <c r="N652" s="55" t="s">
        <v>576</v>
      </c>
      <c r="O652" s="55">
        <v>196420</v>
      </c>
      <c r="P652" s="55">
        <v>562300</v>
      </c>
      <c r="Q652" s="55">
        <v>2085920</v>
      </c>
      <c r="R652" s="57" t="s">
        <v>564</v>
      </c>
      <c r="S652" s="58" t="s">
        <v>566</v>
      </c>
      <c r="T652" s="51">
        <v>31338</v>
      </c>
    </row>
    <row r="653" spans="1:20" x14ac:dyDescent="0.25">
      <c r="A653" s="51" t="str">
        <f>(COUNTIF($K$2:K653,K653))&amp;K653</f>
        <v>3831000</v>
      </c>
      <c r="B653" s="52" t="s">
        <v>599</v>
      </c>
      <c r="C653" s="53" t="s">
        <v>566</v>
      </c>
      <c r="D653" s="54" t="s">
        <v>564</v>
      </c>
      <c r="E653" s="55">
        <v>177520</v>
      </c>
      <c r="F653" s="55">
        <v>101500</v>
      </c>
      <c r="G653" s="55">
        <v>13280</v>
      </c>
      <c r="H653" s="55" t="s">
        <v>574</v>
      </c>
      <c r="I653" s="55">
        <v>-221.85000000000002</v>
      </c>
      <c r="J653" s="55">
        <v>323</v>
      </c>
      <c r="K653" s="56">
        <v>31000</v>
      </c>
      <c r="L653" s="55">
        <v>4.75</v>
      </c>
      <c r="M653" s="55">
        <v>-2.6500000000000004</v>
      </c>
      <c r="N653" s="55" t="s">
        <v>576</v>
      </c>
      <c r="O653" s="55">
        <v>977340</v>
      </c>
      <c r="P653" s="55">
        <v>1787940</v>
      </c>
      <c r="Q653" s="55">
        <v>5844720</v>
      </c>
      <c r="R653" s="57" t="s">
        <v>564</v>
      </c>
      <c r="S653" s="58" t="s">
        <v>566</v>
      </c>
      <c r="T653" s="51">
        <v>31338</v>
      </c>
    </row>
    <row r="654" spans="1:20" x14ac:dyDescent="0.25">
      <c r="A654" s="51" t="str">
        <f>(COUNTIF($K$2:K654,K654))&amp;K654</f>
        <v>3831100</v>
      </c>
      <c r="B654" s="52" t="s">
        <v>599</v>
      </c>
      <c r="C654" s="53" t="s">
        <v>566</v>
      </c>
      <c r="D654" s="54" t="s">
        <v>564</v>
      </c>
      <c r="E654" s="55">
        <v>195120</v>
      </c>
      <c r="F654" s="55">
        <v>59820</v>
      </c>
      <c r="G654" s="55">
        <v>29160</v>
      </c>
      <c r="H654" s="55" t="s">
        <v>574</v>
      </c>
      <c r="I654" s="55">
        <v>-217.14999999999998</v>
      </c>
      <c r="J654" s="55">
        <v>228</v>
      </c>
      <c r="K654" s="56">
        <v>31100</v>
      </c>
      <c r="L654" s="55">
        <v>10.8</v>
      </c>
      <c r="M654" s="55">
        <v>0.65000000000000036</v>
      </c>
      <c r="N654" s="55" t="s">
        <v>576</v>
      </c>
      <c r="O654" s="55">
        <v>847240</v>
      </c>
      <c r="P654" s="55">
        <v>1365940</v>
      </c>
      <c r="Q654" s="55">
        <v>7158340</v>
      </c>
      <c r="R654" s="57" t="s">
        <v>564</v>
      </c>
      <c r="S654" s="58" t="s">
        <v>565</v>
      </c>
      <c r="T654" s="51">
        <v>31338</v>
      </c>
    </row>
    <row r="655" spans="1:20" x14ac:dyDescent="0.25">
      <c r="A655" s="51" t="str">
        <f>(COUNTIF($K$2:K655,K655))&amp;K655</f>
        <v>3831200</v>
      </c>
      <c r="B655" s="52" t="s">
        <v>599</v>
      </c>
      <c r="C655" s="53" t="s">
        <v>566</v>
      </c>
      <c r="D655" s="54" t="s">
        <v>564</v>
      </c>
      <c r="E655" s="55">
        <v>1499540</v>
      </c>
      <c r="F655" s="55">
        <v>282600</v>
      </c>
      <c r="G655" s="55">
        <v>150880</v>
      </c>
      <c r="H655" s="55" t="s">
        <v>576</v>
      </c>
      <c r="I655" s="55">
        <v>-201.25</v>
      </c>
      <c r="J655" s="55">
        <v>149.19999999999999</v>
      </c>
      <c r="K655" s="56">
        <v>31200</v>
      </c>
      <c r="L655" s="55">
        <v>29.25</v>
      </c>
      <c r="M655" s="55">
        <v>11.850000000000001</v>
      </c>
      <c r="N655" s="55" t="s">
        <v>576</v>
      </c>
      <c r="O655" s="55">
        <v>754140</v>
      </c>
      <c r="P655" s="55">
        <v>1280080</v>
      </c>
      <c r="Q655" s="55">
        <v>9726720</v>
      </c>
      <c r="R655" s="57" t="s">
        <v>564</v>
      </c>
      <c r="S655" s="58" t="s">
        <v>565</v>
      </c>
      <c r="T655" s="51">
        <v>31338</v>
      </c>
    </row>
    <row r="656" spans="1:20" ht="15.75" x14ac:dyDescent="0.25">
      <c r="A656" s="51" t="str">
        <f>(COUNTIF($K$2:K656,K656))&amp;K656</f>
        <v>3831300</v>
      </c>
      <c r="B656" s="52" t="s">
        <v>599</v>
      </c>
      <c r="C656" s="53" t="s">
        <v>566</v>
      </c>
      <c r="D656" s="54" t="s">
        <v>564</v>
      </c>
      <c r="E656" s="55">
        <v>3217500</v>
      </c>
      <c r="F656" s="55">
        <v>570540</v>
      </c>
      <c r="G656" s="55">
        <v>454600</v>
      </c>
      <c r="H656" s="55" t="s">
        <v>576</v>
      </c>
      <c r="I656" s="55">
        <v>-181.25</v>
      </c>
      <c r="J656" s="55">
        <v>84.3</v>
      </c>
      <c r="K656" s="59">
        <v>31300</v>
      </c>
      <c r="L656" s="55">
        <v>65.400000000000006</v>
      </c>
      <c r="M656" s="55">
        <v>34.450000000000003</v>
      </c>
      <c r="N656" s="55" t="s">
        <v>576</v>
      </c>
      <c r="O656" s="55">
        <v>422060</v>
      </c>
      <c r="P656" s="55">
        <v>1072560</v>
      </c>
      <c r="Q656" s="55">
        <v>10734360</v>
      </c>
      <c r="R656" s="57" t="s">
        <v>564</v>
      </c>
      <c r="S656" s="58" t="s">
        <v>565</v>
      </c>
      <c r="T656" s="51">
        <v>31338</v>
      </c>
    </row>
    <row r="657" spans="1:20" x14ac:dyDescent="0.25">
      <c r="A657" s="51" t="str">
        <f>(COUNTIF($K$2:K657,K657))&amp;K657</f>
        <v>3831400</v>
      </c>
      <c r="B657" s="52" t="s">
        <v>599</v>
      </c>
      <c r="C657" s="53" t="s">
        <v>566</v>
      </c>
      <c r="D657" s="54" t="s">
        <v>564</v>
      </c>
      <c r="E657" s="55">
        <v>8073760</v>
      </c>
      <c r="F657" s="55">
        <v>1215500</v>
      </c>
      <c r="G657" s="55">
        <v>1031200</v>
      </c>
      <c r="H657" s="55" t="s">
        <v>576</v>
      </c>
      <c r="I657" s="55">
        <v>-147</v>
      </c>
      <c r="J657" s="55">
        <v>42</v>
      </c>
      <c r="K657" s="56">
        <v>31400</v>
      </c>
      <c r="L657" s="55">
        <v>122.45</v>
      </c>
      <c r="M657" s="55">
        <v>68.5</v>
      </c>
      <c r="N657" s="55" t="s">
        <v>576</v>
      </c>
      <c r="O657" s="55">
        <v>97780</v>
      </c>
      <c r="P657" s="55">
        <v>654000</v>
      </c>
      <c r="Q657" s="55">
        <v>8462520</v>
      </c>
      <c r="R657" s="57" t="s">
        <v>564</v>
      </c>
      <c r="S657" s="58" t="s">
        <v>565</v>
      </c>
      <c r="T657" s="51">
        <v>31338</v>
      </c>
    </row>
    <row r="658" spans="1:20" x14ac:dyDescent="0.25">
      <c r="A658" s="51" t="str">
        <f>(COUNTIF($K$2:K658,K658))&amp;K658</f>
        <v>3831500</v>
      </c>
      <c r="B658" s="52" t="s">
        <v>599</v>
      </c>
      <c r="C658" s="53" t="s">
        <v>566</v>
      </c>
      <c r="D658" s="54" t="s">
        <v>564</v>
      </c>
      <c r="E658" s="55">
        <v>12776020</v>
      </c>
      <c r="F658" s="55">
        <v>2694520</v>
      </c>
      <c r="G658" s="55">
        <v>1915980</v>
      </c>
      <c r="H658" s="55" t="s">
        <v>576</v>
      </c>
      <c r="I658" s="55">
        <v>-107.75</v>
      </c>
      <c r="J658" s="55">
        <v>18.7</v>
      </c>
      <c r="K658" s="56">
        <v>31500</v>
      </c>
      <c r="L658" s="55">
        <v>199.55</v>
      </c>
      <c r="M658" s="55">
        <v>109.4</v>
      </c>
      <c r="N658" s="55" t="s">
        <v>576</v>
      </c>
      <c r="O658" s="55">
        <v>-106480</v>
      </c>
      <c r="P658" s="55">
        <v>524000</v>
      </c>
      <c r="Q658" s="55">
        <v>4770720</v>
      </c>
      <c r="R658" s="57" t="s">
        <v>563</v>
      </c>
      <c r="S658" s="58" t="s">
        <v>567</v>
      </c>
      <c r="T658" s="51">
        <v>31338</v>
      </c>
    </row>
    <row r="659" spans="1:20" x14ac:dyDescent="0.25">
      <c r="A659" s="51" t="str">
        <f>(COUNTIF($K$2:K659,K659))&amp;K659</f>
        <v>3831600</v>
      </c>
      <c r="B659" s="52" t="s">
        <v>599</v>
      </c>
      <c r="C659" s="53" t="s">
        <v>566</v>
      </c>
      <c r="D659" s="54" t="s">
        <v>564</v>
      </c>
      <c r="E659" s="55">
        <v>9864460</v>
      </c>
      <c r="F659" s="55">
        <v>1816560</v>
      </c>
      <c r="G659" s="55">
        <v>1196900</v>
      </c>
      <c r="H659" s="55" t="s">
        <v>576</v>
      </c>
      <c r="I659" s="55">
        <v>-71.150000000000006</v>
      </c>
      <c r="J659" s="55">
        <v>7.3</v>
      </c>
      <c r="K659" s="56">
        <v>31600</v>
      </c>
      <c r="L659" s="55">
        <v>288.14999999999998</v>
      </c>
      <c r="M659" s="55">
        <v>146.04999999999998</v>
      </c>
      <c r="N659" s="55" t="s">
        <v>576</v>
      </c>
      <c r="O659" s="55">
        <v>20340</v>
      </c>
      <c r="P659" s="55">
        <v>114580</v>
      </c>
      <c r="Q659" s="55">
        <v>1381000</v>
      </c>
      <c r="R659" s="57" t="s">
        <v>564</v>
      </c>
      <c r="S659" s="58" t="s">
        <v>565</v>
      </c>
      <c r="T659" s="51">
        <v>31338</v>
      </c>
    </row>
    <row r="660" spans="1:20" x14ac:dyDescent="0.25">
      <c r="A660" s="51" t="str">
        <f>(COUNTIF($K$2:K660,K660))&amp;K660</f>
        <v>3831700</v>
      </c>
      <c r="B660" s="52" t="s">
        <v>599</v>
      </c>
      <c r="C660" s="53" t="s">
        <v>566</v>
      </c>
      <c r="D660" s="54" t="s">
        <v>564</v>
      </c>
      <c r="E660" s="55">
        <v>8141640</v>
      </c>
      <c r="F660" s="55">
        <v>1325700</v>
      </c>
      <c r="G660" s="55">
        <v>690440</v>
      </c>
      <c r="H660" s="55" t="s">
        <v>576</v>
      </c>
      <c r="I660" s="55">
        <v>-41.150000000000006</v>
      </c>
      <c r="J660" s="55">
        <v>3.3</v>
      </c>
      <c r="K660" s="56">
        <v>31700</v>
      </c>
      <c r="L660" s="55">
        <v>384.75</v>
      </c>
      <c r="M660" s="55">
        <v>175.35</v>
      </c>
      <c r="N660" s="55" t="s">
        <v>576</v>
      </c>
      <c r="O660" s="55">
        <v>-9820</v>
      </c>
      <c r="P660" s="55">
        <v>39940</v>
      </c>
      <c r="Q660" s="55">
        <v>584060</v>
      </c>
      <c r="R660" s="57" t="s">
        <v>563</v>
      </c>
      <c r="S660" s="58" t="s">
        <v>567</v>
      </c>
      <c r="T660" s="51">
        <v>31338</v>
      </c>
    </row>
    <row r="661" spans="1:20" x14ac:dyDescent="0.25">
      <c r="A661" s="51" t="str">
        <f>(COUNTIF($K$2:K661,K661))&amp;K661</f>
        <v>3831800</v>
      </c>
      <c r="B661" s="52" t="s">
        <v>599</v>
      </c>
      <c r="C661" s="53" t="s">
        <v>566</v>
      </c>
      <c r="D661" s="54" t="s">
        <v>564</v>
      </c>
      <c r="E661" s="55">
        <v>5563960</v>
      </c>
      <c r="F661" s="55">
        <v>1019160</v>
      </c>
      <c r="G661" s="55">
        <v>433780</v>
      </c>
      <c r="H661" s="55" t="s">
        <v>576</v>
      </c>
      <c r="I661" s="55">
        <v>-21.85</v>
      </c>
      <c r="J661" s="55">
        <v>1.65</v>
      </c>
      <c r="K661" s="56">
        <v>31800</v>
      </c>
      <c r="L661" s="55">
        <v>486</v>
      </c>
      <c r="M661" s="55">
        <v>200.64999999999998</v>
      </c>
      <c r="N661" s="55" t="s">
        <v>576</v>
      </c>
      <c r="O661" s="55">
        <v>2620</v>
      </c>
      <c r="P661" s="55">
        <v>17600</v>
      </c>
      <c r="Q661" s="55">
        <v>219200</v>
      </c>
      <c r="R661" s="57" t="s">
        <v>564</v>
      </c>
      <c r="S661" s="58" t="s">
        <v>565</v>
      </c>
      <c r="T661" s="51">
        <v>31338</v>
      </c>
    </row>
    <row r="662" spans="1:20" x14ac:dyDescent="0.25">
      <c r="A662" s="51" t="str">
        <f>(COUNTIF($K$2:K662,K662))&amp;K662</f>
        <v>3831900</v>
      </c>
      <c r="B662" s="52" t="s">
        <v>599</v>
      </c>
      <c r="C662" s="53" t="s">
        <v>566</v>
      </c>
      <c r="D662" s="54" t="s">
        <v>564</v>
      </c>
      <c r="E662" s="55">
        <v>6470060</v>
      </c>
      <c r="F662" s="55">
        <v>590800</v>
      </c>
      <c r="G662" s="55">
        <v>79000</v>
      </c>
      <c r="H662" s="55" t="s">
        <v>576</v>
      </c>
      <c r="I662" s="55">
        <v>-9.9499999999999993</v>
      </c>
      <c r="J662" s="55">
        <v>1.1499999999999999</v>
      </c>
      <c r="K662" s="56">
        <v>31900</v>
      </c>
      <c r="L662" s="55">
        <v>584</v>
      </c>
      <c r="M662" s="55">
        <v>207.3</v>
      </c>
      <c r="N662" s="55" t="s">
        <v>576</v>
      </c>
      <c r="O662" s="55">
        <v>1820</v>
      </c>
      <c r="P662" s="55">
        <v>7360</v>
      </c>
      <c r="Q662" s="55">
        <v>43620</v>
      </c>
      <c r="R662" s="57" t="s">
        <v>564</v>
      </c>
      <c r="S662" s="58" t="s">
        <v>565</v>
      </c>
      <c r="T662" s="51">
        <v>31338</v>
      </c>
    </row>
    <row r="663" spans="1:20" x14ac:dyDescent="0.25">
      <c r="A663" s="51" t="str">
        <f>(COUNTIF($K$2:K663,K663))&amp;K663</f>
        <v>3832000</v>
      </c>
      <c r="B663" s="52" t="s">
        <v>599</v>
      </c>
      <c r="C663" s="53" t="s">
        <v>566</v>
      </c>
      <c r="D663" s="54" t="s">
        <v>564</v>
      </c>
      <c r="E663" s="55">
        <v>5202640</v>
      </c>
      <c r="F663" s="55">
        <v>785820</v>
      </c>
      <c r="G663" s="55">
        <v>174160</v>
      </c>
      <c r="H663" s="55" t="s">
        <v>576</v>
      </c>
      <c r="I663" s="55">
        <v>-5.25</v>
      </c>
      <c r="J663" s="55">
        <v>0.75</v>
      </c>
      <c r="K663" s="56">
        <v>32000</v>
      </c>
      <c r="L663" s="55">
        <v>672.8</v>
      </c>
      <c r="M663" s="55">
        <v>202.29999999999995</v>
      </c>
      <c r="N663" s="55" t="s">
        <v>576</v>
      </c>
      <c r="O663" s="55">
        <v>-1480</v>
      </c>
      <c r="P663" s="55">
        <v>10640</v>
      </c>
      <c r="Q663" s="55">
        <v>28160</v>
      </c>
      <c r="R663" s="57" t="s">
        <v>563</v>
      </c>
      <c r="S663" s="58" t="s">
        <v>567</v>
      </c>
      <c r="T663" s="51">
        <v>31338</v>
      </c>
    </row>
    <row r="664" spans="1:20" x14ac:dyDescent="0.25">
      <c r="A664" s="51" t="str">
        <f>(COUNTIF($K$2:K664,K664))&amp;K664</f>
        <v>39PCR</v>
      </c>
      <c r="B664" s="52" t="s">
        <v>599</v>
      </c>
      <c r="C664" s="60">
        <v>0.83013044801095304</v>
      </c>
      <c r="E664" s="61"/>
      <c r="F664" s="62">
        <v>10517600</v>
      </c>
      <c r="G664" s="63"/>
      <c r="H664" s="64"/>
      <c r="I664" s="64"/>
      <c r="J664" s="64"/>
      <c r="K664" s="65" t="s">
        <v>555</v>
      </c>
      <c r="L664" s="64"/>
      <c r="M664" s="64"/>
      <c r="N664" s="64"/>
      <c r="P664" s="63">
        <v>8730980</v>
      </c>
      <c r="Q664" s="61"/>
      <c r="R664" s="64"/>
      <c r="S664" s="64"/>
    </row>
    <row r="665" spans="1:20" x14ac:dyDescent="0.25">
      <c r="A665" s="51" t="str">
        <f>(COUNTIF($K$2:K665,K665))&amp;K665</f>
        <v>1030500</v>
      </c>
      <c r="B665" s="52" t="s">
        <v>599</v>
      </c>
      <c r="C665" s="53" t="s">
        <v>562</v>
      </c>
      <c r="D665" s="54" t="s">
        <v>563</v>
      </c>
      <c r="E665" s="55">
        <v>12900</v>
      </c>
      <c r="F665" s="55">
        <v>26760</v>
      </c>
      <c r="G665" s="55">
        <v>-5460</v>
      </c>
      <c r="H665" s="55" t="s">
        <v>574</v>
      </c>
      <c r="I665" s="55">
        <v>-210.75</v>
      </c>
      <c r="J665" s="55">
        <v>821.05</v>
      </c>
      <c r="K665" s="56">
        <v>30500</v>
      </c>
      <c r="L665" s="55">
        <v>0.55000000000000004</v>
      </c>
      <c r="M665" s="55">
        <v>-2.1500000000000004</v>
      </c>
      <c r="N665" s="55" t="s">
        <v>576</v>
      </c>
      <c r="O665" s="55">
        <v>-16780</v>
      </c>
      <c r="P665" s="55">
        <v>397560</v>
      </c>
      <c r="Q665" s="55">
        <v>229960</v>
      </c>
      <c r="R665" s="57" t="s">
        <v>563</v>
      </c>
      <c r="S665" s="58" t="s">
        <v>562</v>
      </c>
      <c r="T665" s="51">
        <v>31338</v>
      </c>
    </row>
    <row r="666" spans="1:20" x14ac:dyDescent="0.25">
      <c r="A666" s="51" t="str">
        <f>(COUNTIF($K$2:K666,K666))&amp;K666</f>
        <v>3030600</v>
      </c>
      <c r="B666" s="52" t="s">
        <v>599</v>
      </c>
      <c r="C666" s="53" t="s">
        <v>562</v>
      </c>
      <c r="D666" s="54" t="s">
        <v>563</v>
      </c>
      <c r="E666" s="55">
        <v>1060</v>
      </c>
      <c r="F666" s="55">
        <v>3940</v>
      </c>
      <c r="G666" s="55">
        <v>-600</v>
      </c>
      <c r="H666" s="55" t="s">
        <v>574</v>
      </c>
      <c r="I666" s="55">
        <v>-212.75</v>
      </c>
      <c r="J666" s="55">
        <v>719.95</v>
      </c>
      <c r="K666" s="56">
        <v>30600</v>
      </c>
      <c r="L666" s="55">
        <v>0.65</v>
      </c>
      <c r="M666" s="55">
        <v>-2.35</v>
      </c>
      <c r="N666" s="55" t="s">
        <v>576</v>
      </c>
      <c r="O666" s="55">
        <v>6240</v>
      </c>
      <c r="P666" s="55">
        <v>205480</v>
      </c>
      <c r="Q666" s="55">
        <v>184700</v>
      </c>
      <c r="R666" s="57" t="s">
        <v>564</v>
      </c>
      <c r="S666" s="58" t="s">
        <v>566</v>
      </c>
      <c r="T666" s="51">
        <v>31338</v>
      </c>
    </row>
    <row r="667" spans="1:20" x14ac:dyDescent="0.25">
      <c r="A667" s="51" t="str">
        <f>(COUNTIF($K$2:K667,K667))&amp;K667</f>
        <v>3930700</v>
      </c>
      <c r="B667" s="52" t="s">
        <v>599</v>
      </c>
      <c r="C667" s="53" t="s">
        <v>562</v>
      </c>
      <c r="D667" s="54" t="s">
        <v>563</v>
      </c>
      <c r="E667" s="55">
        <v>8200</v>
      </c>
      <c r="F667" s="55">
        <v>10660</v>
      </c>
      <c r="G667" s="55">
        <v>-1160</v>
      </c>
      <c r="H667" s="55" t="s">
        <v>574</v>
      </c>
      <c r="I667" s="55">
        <v>-219.29999999999995</v>
      </c>
      <c r="J667" s="55">
        <v>616.70000000000005</v>
      </c>
      <c r="K667" s="56">
        <v>30700</v>
      </c>
      <c r="L667" s="55">
        <v>0.9</v>
      </c>
      <c r="M667" s="55">
        <v>-2.7</v>
      </c>
      <c r="N667" s="55" t="s">
        <v>576</v>
      </c>
      <c r="O667" s="55">
        <v>89320</v>
      </c>
      <c r="P667" s="55">
        <v>279520</v>
      </c>
      <c r="Q667" s="55">
        <v>451060</v>
      </c>
      <c r="R667" s="57" t="s">
        <v>564</v>
      </c>
      <c r="S667" s="58" t="s">
        <v>566</v>
      </c>
      <c r="T667" s="51">
        <v>31338</v>
      </c>
    </row>
    <row r="668" spans="1:20" x14ac:dyDescent="0.25">
      <c r="A668" s="51" t="str">
        <f>(COUNTIF($K$2:K668,K668))&amp;K668</f>
        <v>3930800</v>
      </c>
      <c r="B668" s="52" t="s">
        <v>599</v>
      </c>
      <c r="C668" s="53" t="s">
        <v>562</v>
      </c>
      <c r="D668" s="54" t="s">
        <v>563</v>
      </c>
      <c r="E668" s="55">
        <v>4400</v>
      </c>
      <c r="F668" s="55">
        <v>6920</v>
      </c>
      <c r="G668" s="55">
        <v>-580</v>
      </c>
      <c r="H668" s="55" t="s">
        <v>574</v>
      </c>
      <c r="I668" s="55">
        <v>-217.70000000000005</v>
      </c>
      <c r="J668" s="55">
        <v>517.9</v>
      </c>
      <c r="K668" s="56">
        <v>30800</v>
      </c>
      <c r="L668" s="55">
        <v>1.25</v>
      </c>
      <c r="M668" s="55">
        <v>-2.8499999999999996</v>
      </c>
      <c r="N668" s="55" t="s">
        <v>576</v>
      </c>
      <c r="O668" s="55">
        <v>44080</v>
      </c>
      <c r="P668" s="55">
        <v>411480</v>
      </c>
      <c r="Q668" s="55">
        <v>969840</v>
      </c>
      <c r="R668" s="57" t="s">
        <v>564</v>
      </c>
      <c r="S668" s="58" t="s">
        <v>566</v>
      </c>
      <c r="T668" s="51">
        <v>31338</v>
      </c>
    </row>
    <row r="669" spans="1:20" x14ac:dyDescent="0.25">
      <c r="A669" s="51" t="str">
        <f>(COUNTIF($K$2:K669,K669))&amp;K669</f>
        <v>3930900</v>
      </c>
      <c r="B669" s="52" t="s">
        <v>599</v>
      </c>
      <c r="C669" s="53" t="s">
        <v>566</v>
      </c>
      <c r="D669" s="54" t="s">
        <v>564</v>
      </c>
      <c r="E669" s="55">
        <v>7140</v>
      </c>
      <c r="F669" s="55">
        <v>6800</v>
      </c>
      <c r="G669" s="55">
        <v>560</v>
      </c>
      <c r="H669" s="55" t="s">
        <v>574</v>
      </c>
      <c r="I669" s="55">
        <v>-210.39999999999998</v>
      </c>
      <c r="J669" s="55">
        <v>423.15</v>
      </c>
      <c r="K669" s="56">
        <v>30900</v>
      </c>
      <c r="L669" s="55">
        <v>2.25</v>
      </c>
      <c r="M669" s="55">
        <v>-3.25</v>
      </c>
      <c r="N669" s="55" t="s">
        <v>576</v>
      </c>
      <c r="O669" s="55">
        <v>196420</v>
      </c>
      <c r="P669" s="55">
        <v>562300</v>
      </c>
      <c r="Q669" s="55">
        <v>2085920</v>
      </c>
      <c r="R669" s="57" t="s">
        <v>564</v>
      </c>
      <c r="S669" s="58" t="s">
        <v>566</v>
      </c>
      <c r="T669" s="51">
        <v>31338</v>
      </c>
    </row>
    <row r="670" spans="1:20" x14ac:dyDescent="0.25">
      <c r="A670" s="51" t="str">
        <f>(COUNTIF($K$2:K670,K670))&amp;K670</f>
        <v>3931000</v>
      </c>
      <c r="B670" s="52" t="s">
        <v>599</v>
      </c>
      <c r="C670" s="53" t="s">
        <v>566</v>
      </c>
      <c r="D670" s="54" t="s">
        <v>564</v>
      </c>
      <c r="E670" s="55">
        <v>177520</v>
      </c>
      <c r="F670" s="55">
        <v>101500</v>
      </c>
      <c r="G670" s="55">
        <v>13280</v>
      </c>
      <c r="H670" s="55" t="s">
        <v>574</v>
      </c>
      <c r="I670" s="55">
        <v>-221.85000000000002</v>
      </c>
      <c r="J670" s="55">
        <v>323</v>
      </c>
      <c r="K670" s="56">
        <v>31000</v>
      </c>
      <c r="L670" s="55">
        <v>4.75</v>
      </c>
      <c r="M670" s="55">
        <v>-2.6500000000000004</v>
      </c>
      <c r="N670" s="55" t="s">
        <v>576</v>
      </c>
      <c r="O670" s="55">
        <v>977340</v>
      </c>
      <c r="P670" s="55">
        <v>1787940</v>
      </c>
      <c r="Q670" s="55">
        <v>5844720</v>
      </c>
      <c r="R670" s="57" t="s">
        <v>564</v>
      </c>
      <c r="S670" s="58" t="s">
        <v>566</v>
      </c>
      <c r="T670" s="51">
        <v>31338</v>
      </c>
    </row>
    <row r="671" spans="1:20" x14ac:dyDescent="0.25">
      <c r="A671" s="51" t="str">
        <f>(COUNTIF($K$2:K671,K671))&amp;K671</f>
        <v>3931100</v>
      </c>
      <c r="B671" s="52" t="s">
        <v>599</v>
      </c>
      <c r="C671" s="53" t="s">
        <v>566</v>
      </c>
      <c r="D671" s="54" t="s">
        <v>564</v>
      </c>
      <c r="E671" s="55">
        <v>195120</v>
      </c>
      <c r="F671" s="55">
        <v>59820</v>
      </c>
      <c r="G671" s="55">
        <v>29160</v>
      </c>
      <c r="H671" s="55" t="s">
        <v>574</v>
      </c>
      <c r="I671" s="55">
        <v>-217.14999999999998</v>
      </c>
      <c r="J671" s="55">
        <v>228</v>
      </c>
      <c r="K671" s="56">
        <v>31100</v>
      </c>
      <c r="L671" s="55">
        <v>10.8</v>
      </c>
      <c r="M671" s="55">
        <v>0.65000000000000036</v>
      </c>
      <c r="N671" s="55" t="s">
        <v>576</v>
      </c>
      <c r="O671" s="55">
        <v>847240</v>
      </c>
      <c r="P671" s="55">
        <v>1365940</v>
      </c>
      <c r="Q671" s="55">
        <v>7158340</v>
      </c>
      <c r="R671" s="57" t="s">
        <v>564</v>
      </c>
      <c r="S671" s="58" t="s">
        <v>565</v>
      </c>
      <c r="T671" s="51">
        <v>31338</v>
      </c>
    </row>
    <row r="672" spans="1:20" x14ac:dyDescent="0.25">
      <c r="A672" s="51" t="str">
        <f>(COUNTIF($K$2:K672,K672))&amp;K672</f>
        <v>3931200</v>
      </c>
      <c r="B672" s="52" t="s">
        <v>599</v>
      </c>
      <c r="C672" s="53" t="s">
        <v>566</v>
      </c>
      <c r="D672" s="54" t="s">
        <v>564</v>
      </c>
      <c r="E672" s="55">
        <v>1499540</v>
      </c>
      <c r="F672" s="55">
        <v>282600</v>
      </c>
      <c r="G672" s="55">
        <v>150880</v>
      </c>
      <c r="H672" s="55" t="s">
        <v>576</v>
      </c>
      <c r="I672" s="55">
        <v>-201.25</v>
      </c>
      <c r="J672" s="55">
        <v>149.19999999999999</v>
      </c>
      <c r="K672" s="56">
        <v>31200</v>
      </c>
      <c r="L672" s="55">
        <v>29.25</v>
      </c>
      <c r="M672" s="55">
        <v>11.850000000000001</v>
      </c>
      <c r="N672" s="55" t="s">
        <v>576</v>
      </c>
      <c r="O672" s="55">
        <v>754140</v>
      </c>
      <c r="P672" s="55">
        <v>1280080</v>
      </c>
      <c r="Q672" s="55">
        <v>9726720</v>
      </c>
      <c r="R672" s="57" t="s">
        <v>564</v>
      </c>
      <c r="S672" s="58" t="s">
        <v>565</v>
      </c>
      <c r="T672" s="51">
        <v>31338</v>
      </c>
    </row>
    <row r="673" spans="1:20" ht="15.75" x14ac:dyDescent="0.25">
      <c r="A673" s="51" t="str">
        <f>(COUNTIF($K$2:K673,K673))&amp;K673</f>
        <v>3931300</v>
      </c>
      <c r="B673" s="52" t="s">
        <v>599</v>
      </c>
      <c r="C673" s="53" t="s">
        <v>566</v>
      </c>
      <c r="D673" s="54" t="s">
        <v>564</v>
      </c>
      <c r="E673" s="55">
        <v>3217500</v>
      </c>
      <c r="F673" s="55">
        <v>570540</v>
      </c>
      <c r="G673" s="55">
        <v>454600</v>
      </c>
      <c r="H673" s="55" t="s">
        <v>576</v>
      </c>
      <c r="I673" s="55">
        <v>-181.25</v>
      </c>
      <c r="J673" s="55">
        <v>84.3</v>
      </c>
      <c r="K673" s="59">
        <v>31300</v>
      </c>
      <c r="L673" s="55">
        <v>65.400000000000006</v>
      </c>
      <c r="M673" s="55">
        <v>34.450000000000003</v>
      </c>
      <c r="N673" s="55" t="s">
        <v>576</v>
      </c>
      <c r="O673" s="55">
        <v>422060</v>
      </c>
      <c r="P673" s="55">
        <v>1072560</v>
      </c>
      <c r="Q673" s="55">
        <v>10734360</v>
      </c>
      <c r="R673" s="57" t="s">
        <v>564</v>
      </c>
      <c r="S673" s="58" t="s">
        <v>565</v>
      </c>
      <c r="T673" s="51">
        <v>31338</v>
      </c>
    </row>
    <row r="674" spans="1:20" x14ac:dyDescent="0.25">
      <c r="A674" s="51" t="str">
        <f>(COUNTIF($K$2:K674,K674))&amp;K674</f>
        <v>3931400</v>
      </c>
      <c r="B674" s="52" t="s">
        <v>599</v>
      </c>
      <c r="C674" s="53" t="s">
        <v>566</v>
      </c>
      <c r="D674" s="54" t="s">
        <v>564</v>
      </c>
      <c r="E674" s="55">
        <v>8073760</v>
      </c>
      <c r="F674" s="55">
        <v>1215500</v>
      </c>
      <c r="G674" s="55">
        <v>1031200</v>
      </c>
      <c r="H674" s="55" t="s">
        <v>576</v>
      </c>
      <c r="I674" s="55">
        <v>-147</v>
      </c>
      <c r="J674" s="55">
        <v>42</v>
      </c>
      <c r="K674" s="56">
        <v>31400</v>
      </c>
      <c r="L674" s="55">
        <v>122.45</v>
      </c>
      <c r="M674" s="55">
        <v>68.5</v>
      </c>
      <c r="N674" s="55" t="s">
        <v>576</v>
      </c>
      <c r="O674" s="55">
        <v>97780</v>
      </c>
      <c r="P674" s="55">
        <v>654000</v>
      </c>
      <c r="Q674" s="55">
        <v>8462520</v>
      </c>
      <c r="R674" s="57" t="s">
        <v>564</v>
      </c>
      <c r="S674" s="58" t="s">
        <v>565</v>
      </c>
      <c r="T674" s="51">
        <v>31338</v>
      </c>
    </row>
    <row r="675" spans="1:20" x14ac:dyDescent="0.25">
      <c r="A675" s="51" t="str">
        <f>(COUNTIF($K$2:K675,K675))&amp;K675</f>
        <v>3931500</v>
      </c>
      <c r="B675" s="52" t="s">
        <v>599</v>
      </c>
      <c r="C675" s="53" t="s">
        <v>566</v>
      </c>
      <c r="D675" s="54" t="s">
        <v>564</v>
      </c>
      <c r="E675" s="55">
        <v>12776020</v>
      </c>
      <c r="F675" s="55">
        <v>2694520</v>
      </c>
      <c r="G675" s="55">
        <v>1915980</v>
      </c>
      <c r="H675" s="55" t="s">
        <v>576</v>
      </c>
      <c r="I675" s="55">
        <v>-107.75</v>
      </c>
      <c r="J675" s="55">
        <v>18.7</v>
      </c>
      <c r="K675" s="56">
        <v>31500</v>
      </c>
      <c r="L675" s="55">
        <v>199.55</v>
      </c>
      <c r="M675" s="55">
        <v>109.4</v>
      </c>
      <c r="N675" s="55" t="s">
        <v>576</v>
      </c>
      <c r="O675" s="55">
        <v>-106480</v>
      </c>
      <c r="P675" s="55">
        <v>524000</v>
      </c>
      <c r="Q675" s="55">
        <v>4770720</v>
      </c>
      <c r="R675" s="57" t="s">
        <v>563</v>
      </c>
      <c r="S675" s="58" t="s">
        <v>567</v>
      </c>
      <c r="T675" s="51">
        <v>31338</v>
      </c>
    </row>
    <row r="676" spans="1:20" x14ac:dyDescent="0.25">
      <c r="A676" s="51" t="str">
        <f>(COUNTIF($K$2:K676,K676))&amp;K676</f>
        <v>3931600</v>
      </c>
      <c r="B676" s="52" t="s">
        <v>599</v>
      </c>
      <c r="C676" s="53" t="s">
        <v>566</v>
      </c>
      <c r="D676" s="54" t="s">
        <v>564</v>
      </c>
      <c r="E676" s="55">
        <v>9864460</v>
      </c>
      <c r="F676" s="55">
        <v>1816560</v>
      </c>
      <c r="G676" s="55">
        <v>1196900</v>
      </c>
      <c r="H676" s="55" t="s">
        <v>576</v>
      </c>
      <c r="I676" s="55">
        <v>-71.150000000000006</v>
      </c>
      <c r="J676" s="55">
        <v>7.3</v>
      </c>
      <c r="K676" s="56">
        <v>31600</v>
      </c>
      <c r="L676" s="55">
        <v>288.14999999999998</v>
      </c>
      <c r="M676" s="55">
        <v>146.04999999999998</v>
      </c>
      <c r="N676" s="55" t="s">
        <v>576</v>
      </c>
      <c r="O676" s="55">
        <v>20340</v>
      </c>
      <c r="P676" s="55">
        <v>114580</v>
      </c>
      <c r="Q676" s="55">
        <v>1381000</v>
      </c>
      <c r="R676" s="57" t="s">
        <v>564</v>
      </c>
      <c r="S676" s="58" t="s">
        <v>565</v>
      </c>
      <c r="T676" s="51">
        <v>31338</v>
      </c>
    </row>
    <row r="677" spans="1:20" x14ac:dyDescent="0.25">
      <c r="A677" s="51" t="str">
        <f>(COUNTIF($K$2:K677,K677))&amp;K677</f>
        <v>3931700</v>
      </c>
      <c r="B677" s="52" t="s">
        <v>599</v>
      </c>
      <c r="C677" s="53" t="s">
        <v>566</v>
      </c>
      <c r="D677" s="54" t="s">
        <v>564</v>
      </c>
      <c r="E677" s="55">
        <v>8141640</v>
      </c>
      <c r="F677" s="55">
        <v>1325700</v>
      </c>
      <c r="G677" s="55">
        <v>690440</v>
      </c>
      <c r="H677" s="55" t="s">
        <v>576</v>
      </c>
      <c r="I677" s="55">
        <v>-41.150000000000006</v>
      </c>
      <c r="J677" s="55">
        <v>3.3</v>
      </c>
      <c r="K677" s="56">
        <v>31700</v>
      </c>
      <c r="L677" s="55">
        <v>384.75</v>
      </c>
      <c r="M677" s="55">
        <v>175.35</v>
      </c>
      <c r="N677" s="55" t="s">
        <v>576</v>
      </c>
      <c r="O677" s="55">
        <v>-9820</v>
      </c>
      <c r="P677" s="55">
        <v>39940</v>
      </c>
      <c r="Q677" s="55">
        <v>584060</v>
      </c>
      <c r="R677" s="57" t="s">
        <v>563</v>
      </c>
      <c r="S677" s="58" t="s">
        <v>567</v>
      </c>
      <c r="T677" s="51">
        <v>31338</v>
      </c>
    </row>
    <row r="678" spans="1:20" x14ac:dyDescent="0.25">
      <c r="A678" s="51" t="str">
        <f>(COUNTIF($K$2:K678,K678))&amp;K678</f>
        <v>3931800</v>
      </c>
      <c r="B678" s="52" t="s">
        <v>599</v>
      </c>
      <c r="C678" s="53" t="s">
        <v>566</v>
      </c>
      <c r="D678" s="54" t="s">
        <v>564</v>
      </c>
      <c r="E678" s="55">
        <v>5563960</v>
      </c>
      <c r="F678" s="55">
        <v>1019160</v>
      </c>
      <c r="G678" s="55">
        <v>433780</v>
      </c>
      <c r="H678" s="55" t="s">
        <v>576</v>
      </c>
      <c r="I678" s="55">
        <v>-21.85</v>
      </c>
      <c r="J678" s="55">
        <v>1.65</v>
      </c>
      <c r="K678" s="56">
        <v>31800</v>
      </c>
      <c r="L678" s="55">
        <v>486</v>
      </c>
      <c r="M678" s="55">
        <v>200.64999999999998</v>
      </c>
      <c r="N678" s="55" t="s">
        <v>576</v>
      </c>
      <c r="O678" s="55">
        <v>2620</v>
      </c>
      <c r="P678" s="55">
        <v>17600</v>
      </c>
      <c r="Q678" s="55">
        <v>219200</v>
      </c>
      <c r="R678" s="57" t="s">
        <v>564</v>
      </c>
      <c r="S678" s="58" t="s">
        <v>565</v>
      </c>
      <c r="T678" s="51">
        <v>31338</v>
      </c>
    </row>
    <row r="679" spans="1:20" x14ac:dyDescent="0.25">
      <c r="A679" s="51" t="str">
        <f>(COUNTIF($K$2:K679,K679))&amp;K679</f>
        <v>3931900</v>
      </c>
      <c r="B679" s="52" t="s">
        <v>599</v>
      </c>
      <c r="C679" s="53" t="s">
        <v>566</v>
      </c>
      <c r="D679" s="54" t="s">
        <v>564</v>
      </c>
      <c r="E679" s="55">
        <v>6470060</v>
      </c>
      <c r="F679" s="55">
        <v>590800</v>
      </c>
      <c r="G679" s="55">
        <v>79000</v>
      </c>
      <c r="H679" s="55" t="s">
        <v>576</v>
      </c>
      <c r="I679" s="55">
        <v>-9.9499999999999993</v>
      </c>
      <c r="J679" s="55">
        <v>1.1499999999999999</v>
      </c>
      <c r="K679" s="56">
        <v>31900</v>
      </c>
      <c r="L679" s="55">
        <v>584</v>
      </c>
      <c r="M679" s="55">
        <v>207.3</v>
      </c>
      <c r="N679" s="55" t="s">
        <v>576</v>
      </c>
      <c r="O679" s="55">
        <v>1820</v>
      </c>
      <c r="P679" s="55">
        <v>7360</v>
      </c>
      <c r="Q679" s="55">
        <v>43620</v>
      </c>
      <c r="R679" s="57" t="s">
        <v>564</v>
      </c>
      <c r="S679" s="58" t="s">
        <v>565</v>
      </c>
      <c r="T679" s="51">
        <v>31338</v>
      </c>
    </row>
    <row r="680" spans="1:20" x14ac:dyDescent="0.25">
      <c r="A680" s="51" t="str">
        <f>(COUNTIF($K$2:K680,K680))&amp;K680</f>
        <v>3932000</v>
      </c>
      <c r="B680" s="52" t="s">
        <v>599</v>
      </c>
      <c r="C680" s="53" t="s">
        <v>566</v>
      </c>
      <c r="D680" s="54" t="s">
        <v>564</v>
      </c>
      <c r="E680" s="55">
        <v>5202640</v>
      </c>
      <c r="F680" s="55">
        <v>785820</v>
      </c>
      <c r="G680" s="55">
        <v>174160</v>
      </c>
      <c r="H680" s="55" t="s">
        <v>576</v>
      </c>
      <c r="I680" s="55">
        <v>-5.25</v>
      </c>
      <c r="J680" s="55">
        <v>0.75</v>
      </c>
      <c r="K680" s="56">
        <v>32000</v>
      </c>
      <c r="L680" s="55">
        <v>672.8</v>
      </c>
      <c r="M680" s="55">
        <v>202.29999999999995</v>
      </c>
      <c r="N680" s="55" t="s">
        <v>576</v>
      </c>
      <c r="O680" s="55">
        <v>-1480</v>
      </c>
      <c r="P680" s="55">
        <v>10640</v>
      </c>
      <c r="Q680" s="55">
        <v>28160</v>
      </c>
      <c r="R680" s="57" t="s">
        <v>563</v>
      </c>
      <c r="S680" s="58" t="s">
        <v>567</v>
      </c>
      <c r="T680" s="51">
        <v>31338</v>
      </c>
    </row>
    <row r="681" spans="1:20" x14ac:dyDescent="0.25">
      <c r="A681" s="51" t="str">
        <f>(COUNTIF($K$2:K681,K681))&amp;K681</f>
        <v>40PCR</v>
      </c>
      <c r="B681" s="52" t="s">
        <v>599</v>
      </c>
      <c r="C681" s="60">
        <v>0.83013044801095304</v>
      </c>
      <c r="E681" s="61"/>
      <c r="F681" s="62">
        <v>10517600</v>
      </c>
      <c r="G681" s="63"/>
      <c r="H681" s="64"/>
      <c r="I681" s="64"/>
      <c r="J681" s="64"/>
      <c r="K681" s="65" t="s">
        <v>555</v>
      </c>
      <c r="L681" s="64"/>
      <c r="M681" s="64"/>
      <c r="N681" s="64"/>
      <c r="P681" s="63">
        <v>8730980</v>
      </c>
      <c r="Q681" s="61"/>
      <c r="R681" s="64"/>
      <c r="S681" s="64"/>
    </row>
    <row r="682" spans="1:20" x14ac:dyDescent="0.25">
      <c r="A682" s="51" t="str">
        <f>(COUNTIF($K$2:K682,K682))&amp;K682</f>
        <v>1130500</v>
      </c>
      <c r="B682" s="52" t="s">
        <v>600</v>
      </c>
      <c r="C682" s="53" t="s">
        <v>562</v>
      </c>
      <c r="D682" s="54" t="s">
        <v>563</v>
      </c>
      <c r="E682" s="55">
        <v>13060</v>
      </c>
      <c r="F682" s="55">
        <v>26680</v>
      </c>
      <c r="G682" s="55">
        <v>-5540</v>
      </c>
      <c r="H682" s="55" t="s">
        <v>574</v>
      </c>
      <c r="I682" s="55">
        <v>-224.34999999999991</v>
      </c>
      <c r="J682" s="55">
        <v>807.45</v>
      </c>
      <c r="K682" s="56">
        <v>30500</v>
      </c>
      <c r="L682" s="55">
        <v>0.6</v>
      </c>
      <c r="M682" s="55">
        <v>-2.1</v>
      </c>
      <c r="N682" s="55" t="s">
        <v>576</v>
      </c>
      <c r="O682" s="55">
        <v>-17140</v>
      </c>
      <c r="P682" s="55">
        <v>397200</v>
      </c>
      <c r="Q682" s="55">
        <v>230780</v>
      </c>
      <c r="R682" s="57" t="s">
        <v>563</v>
      </c>
      <c r="S682" s="58" t="s">
        <v>562</v>
      </c>
      <c r="T682" s="51">
        <v>31326.75</v>
      </c>
    </row>
    <row r="683" spans="1:20" x14ac:dyDescent="0.25">
      <c r="A683" s="51" t="str">
        <f>(COUNTIF($K$2:K683,K683))&amp;K683</f>
        <v>3130600</v>
      </c>
      <c r="B683" s="52" t="s">
        <v>600</v>
      </c>
      <c r="C683" s="53" t="s">
        <v>562</v>
      </c>
      <c r="D683" s="54" t="s">
        <v>563</v>
      </c>
      <c r="E683" s="55">
        <v>1100</v>
      </c>
      <c r="F683" s="55">
        <v>3880</v>
      </c>
      <c r="G683" s="55">
        <v>-660</v>
      </c>
      <c r="H683" s="55" t="s">
        <v>574</v>
      </c>
      <c r="I683" s="55">
        <v>-217.70000000000005</v>
      </c>
      <c r="J683" s="55">
        <v>715</v>
      </c>
      <c r="K683" s="56">
        <v>30600</v>
      </c>
      <c r="L683" s="55">
        <v>0.7</v>
      </c>
      <c r="M683" s="55">
        <v>-2.2999999999999998</v>
      </c>
      <c r="N683" s="55" t="s">
        <v>576</v>
      </c>
      <c r="O683" s="55">
        <v>7120</v>
      </c>
      <c r="P683" s="55">
        <v>206360</v>
      </c>
      <c r="Q683" s="55">
        <v>191560</v>
      </c>
      <c r="R683" s="57" t="s">
        <v>564</v>
      </c>
      <c r="S683" s="58" t="s">
        <v>566</v>
      </c>
      <c r="T683" s="51">
        <v>31326.75</v>
      </c>
    </row>
    <row r="684" spans="1:20" x14ac:dyDescent="0.25">
      <c r="A684" s="51" t="str">
        <f>(COUNTIF($K$2:K684,K684))&amp;K684</f>
        <v>4030700</v>
      </c>
      <c r="B684" s="52" t="s">
        <v>600</v>
      </c>
      <c r="C684" s="53" t="s">
        <v>562</v>
      </c>
      <c r="D684" s="54" t="s">
        <v>563</v>
      </c>
      <c r="E684" s="55">
        <v>8380</v>
      </c>
      <c r="F684" s="55">
        <v>10580</v>
      </c>
      <c r="G684" s="55">
        <v>-1240</v>
      </c>
      <c r="H684" s="55" t="s">
        <v>574</v>
      </c>
      <c r="I684" s="55">
        <v>-228.10000000000002</v>
      </c>
      <c r="J684" s="55">
        <v>607.9</v>
      </c>
      <c r="K684" s="56">
        <v>30700</v>
      </c>
      <c r="L684" s="55">
        <v>0.9</v>
      </c>
      <c r="M684" s="55">
        <v>-2.7</v>
      </c>
      <c r="N684" s="55" t="s">
        <v>576</v>
      </c>
      <c r="O684" s="55">
        <v>86360</v>
      </c>
      <c r="P684" s="55">
        <v>276560</v>
      </c>
      <c r="Q684" s="55">
        <v>456120</v>
      </c>
      <c r="R684" s="57" t="s">
        <v>564</v>
      </c>
      <c r="S684" s="58" t="s">
        <v>566</v>
      </c>
      <c r="T684" s="51">
        <v>31326.75</v>
      </c>
    </row>
    <row r="685" spans="1:20" x14ac:dyDescent="0.25">
      <c r="A685" s="51" t="str">
        <f>(COUNTIF($K$2:K685,K685))&amp;K685</f>
        <v>4030800</v>
      </c>
      <c r="B685" s="52" t="s">
        <v>600</v>
      </c>
      <c r="C685" s="53" t="s">
        <v>566</v>
      </c>
      <c r="D685" s="54" t="s">
        <v>564</v>
      </c>
      <c r="E685" s="55">
        <v>4940</v>
      </c>
      <c r="F685" s="55">
        <v>7660</v>
      </c>
      <c r="G685" s="55">
        <v>160</v>
      </c>
      <c r="H685" s="55" t="s">
        <v>574</v>
      </c>
      <c r="I685" s="55">
        <v>-225.75</v>
      </c>
      <c r="J685" s="55">
        <v>509.85</v>
      </c>
      <c r="K685" s="56">
        <v>30800</v>
      </c>
      <c r="L685" s="55">
        <v>1.35</v>
      </c>
      <c r="M685" s="55">
        <v>-2.7499999999999996</v>
      </c>
      <c r="N685" s="55" t="s">
        <v>576</v>
      </c>
      <c r="O685" s="55">
        <v>45400</v>
      </c>
      <c r="P685" s="55">
        <v>412800</v>
      </c>
      <c r="Q685" s="55">
        <v>1003480</v>
      </c>
      <c r="R685" s="57" t="s">
        <v>564</v>
      </c>
      <c r="S685" s="58" t="s">
        <v>566</v>
      </c>
      <c r="T685" s="51">
        <v>31326.75</v>
      </c>
    </row>
    <row r="686" spans="1:20" x14ac:dyDescent="0.25">
      <c r="A686" s="51" t="str">
        <f>(COUNTIF($K$2:K686,K686))&amp;K686</f>
        <v>4030900</v>
      </c>
      <c r="B686" s="52" t="s">
        <v>600</v>
      </c>
      <c r="C686" s="53" t="s">
        <v>566</v>
      </c>
      <c r="D686" s="54" t="s">
        <v>564</v>
      </c>
      <c r="E686" s="55">
        <v>7540</v>
      </c>
      <c r="F686" s="55">
        <v>6740</v>
      </c>
      <c r="G686" s="55">
        <v>500</v>
      </c>
      <c r="H686" s="55" t="s">
        <v>574</v>
      </c>
      <c r="I686" s="55">
        <v>-228.39999999999998</v>
      </c>
      <c r="J686" s="55">
        <v>405.15</v>
      </c>
      <c r="K686" s="56">
        <v>30900</v>
      </c>
      <c r="L686" s="55">
        <v>2.5499999999999998</v>
      </c>
      <c r="M686" s="55">
        <v>-2.95</v>
      </c>
      <c r="N686" s="55" t="s">
        <v>576</v>
      </c>
      <c r="O686" s="55">
        <v>208000</v>
      </c>
      <c r="P686" s="55">
        <v>573880</v>
      </c>
      <c r="Q686" s="55">
        <v>2141840</v>
      </c>
      <c r="R686" s="57" t="s">
        <v>564</v>
      </c>
      <c r="S686" s="58" t="s">
        <v>566</v>
      </c>
      <c r="T686" s="51">
        <v>31326.75</v>
      </c>
    </row>
    <row r="687" spans="1:20" x14ac:dyDescent="0.25">
      <c r="A687" s="51" t="str">
        <f>(COUNTIF($K$2:K687,K687))&amp;K687</f>
        <v>4031000</v>
      </c>
      <c r="B687" s="52" t="s">
        <v>600</v>
      </c>
      <c r="C687" s="53" t="s">
        <v>566</v>
      </c>
      <c r="D687" s="54" t="s">
        <v>564</v>
      </c>
      <c r="E687" s="55">
        <v>181640</v>
      </c>
      <c r="F687" s="55">
        <v>100180</v>
      </c>
      <c r="G687" s="55">
        <v>11960</v>
      </c>
      <c r="H687" s="55" t="s">
        <v>574</v>
      </c>
      <c r="I687" s="55">
        <v>-235.10000000000002</v>
      </c>
      <c r="J687" s="55">
        <v>309.75</v>
      </c>
      <c r="K687" s="56">
        <v>31000</v>
      </c>
      <c r="L687" s="55">
        <v>5.3</v>
      </c>
      <c r="M687" s="55">
        <v>-2.1000000000000005</v>
      </c>
      <c r="N687" s="55" t="s">
        <v>576</v>
      </c>
      <c r="O687" s="55">
        <v>995460</v>
      </c>
      <c r="P687" s="55">
        <v>1806060</v>
      </c>
      <c r="Q687" s="55">
        <v>6038300</v>
      </c>
      <c r="R687" s="57" t="s">
        <v>564</v>
      </c>
      <c r="S687" s="58" t="s">
        <v>566</v>
      </c>
      <c r="T687" s="51">
        <v>31326.75</v>
      </c>
    </row>
    <row r="688" spans="1:20" x14ac:dyDescent="0.25">
      <c r="A688" s="51" t="str">
        <f>(COUNTIF($K$2:K688,K688))&amp;K688</f>
        <v>4031100</v>
      </c>
      <c r="B688" s="52" t="s">
        <v>600</v>
      </c>
      <c r="C688" s="53" t="s">
        <v>566</v>
      </c>
      <c r="D688" s="54" t="s">
        <v>564</v>
      </c>
      <c r="E688" s="55">
        <v>206120</v>
      </c>
      <c r="F688" s="55">
        <v>61760</v>
      </c>
      <c r="G688" s="55">
        <v>31100</v>
      </c>
      <c r="H688" s="55" t="s">
        <v>574</v>
      </c>
      <c r="I688" s="55">
        <v>-227.2</v>
      </c>
      <c r="J688" s="55">
        <v>217.95</v>
      </c>
      <c r="K688" s="56">
        <v>31100</v>
      </c>
      <c r="L688" s="55">
        <v>12.1</v>
      </c>
      <c r="M688" s="55">
        <v>1.9499999999999993</v>
      </c>
      <c r="N688" s="55" t="s">
        <v>576</v>
      </c>
      <c r="O688" s="55">
        <v>871560</v>
      </c>
      <c r="P688" s="55">
        <v>1390260</v>
      </c>
      <c r="Q688" s="55">
        <v>7422320</v>
      </c>
      <c r="R688" s="57" t="s">
        <v>564</v>
      </c>
      <c r="S688" s="58" t="s">
        <v>565</v>
      </c>
      <c r="T688" s="51">
        <v>31326.75</v>
      </c>
    </row>
    <row r="689" spans="1:20" x14ac:dyDescent="0.25">
      <c r="A689" s="51" t="str">
        <f>(COUNTIF($K$2:K689,K689))&amp;K689</f>
        <v>4031200</v>
      </c>
      <c r="B689" s="52" t="s">
        <v>600</v>
      </c>
      <c r="C689" s="53" t="s">
        <v>566</v>
      </c>
      <c r="D689" s="54" t="s">
        <v>564</v>
      </c>
      <c r="E689" s="55">
        <v>1576120</v>
      </c>
      <c r="F689" s="55">
        <v>285480</v>
      </c>
      <c r="G689" s="55">
        <v>153760</v>
      </c>
      <c r="H689" s="55" t="s">
        <v>576</v>
      </c>
      <c r="I689" s="55">
        <v>-213.35</v>
      </c>
      <c r="J689" s="55">
        <v>137.1</v>
      </c>
      <c r="K689" s="56">
        <v>31200</v>
      </c>
      <c r="L689" s="55">
        <v>31</v>
      </c>
      <c r="M689" s="55">
        <v>13.600000000000001</v>
      </c>
      <c r="N689" s="55" t="s">
        <v>576</v>
      </c>
      <c r="O689" s="55">
        <v>771200</v>
      </c>
      <c r="P689" s="55">
        <v>1297140</v>
      </c>
      <c r="Q689" s="55">
        <v>10064800</v>
      </c>
      <c r="R689" s="57" t="s">
        <v>564</v>
      </c>
      <c r="S689" s="58" t="s">
        <v>565</v>
      </c>
      <c r="T689" s="51">
        <v>31326.75</v>
      </c>
    </row>
    <row r="690" spans="1:20" ht="15.75" x14ac:dyDescent="0.25">
      <c r="A690" s="51" t="str">
        <f>(COUNTIF($K$2:K690,K690))&amp;K690</f>
        <v>4031300</v>
      </c>
      <c r="B690" s="52" t="s">
        <v>600</v>
      </c>
      <c r="C690" s="53" t="s">
        <v>566</v>
      </c>
      <c r="D690" s="54" t="s">
        <v>564</v>
      </c>
      <c r="E690" s="55">
        <v>3399060</v>
      </c>
      <c r="F690" s="55">
        <v>593800</v>
      </c>
      <c r="G690" s="55">
        <v>477860</v>
      </c>
      <c r="H690" s="55" t="s">
        <v>576</v>
      </c>
      <c r="I690" s="55">
        <v>-190.55</v>
      </c>
      <c r="J690" s="55">
        <v>75</v>
      </c>
      <c r="K690" s="59">
        <v>31300</v>
      </c>
      <c r="L690" s="55">
        <v>69.05</v>
      </c>
      <c r="M690" s="55">
        <v>38.099999999999994</v>
      </c>
      <c r="N690" s="55" t="s">
        <v>576</v>
      </c>
      <c r="O690" s="55">
        <v>391660</v>
      </c>
      <c r="P690" s="55">
        <v>1042160</v>
      </c>
      <c r="Q690" s="55">
        <v>11045000</v>
      </c>
      <c r="R690" s="57" t="s">
        <v>564</v>
      </c>
      <c r="S690" s="58" t="s">
        <v>565</v>
      </c>
      <c r="T690" s="51">
        <v>31326.75</v>
      </c>
    </row>
    <row r="691" spans="1:20" x14ac:dyDescent="0.25">
      <c r="A691" s="51" t="str">
        <f>(COUNTIF($K$2:K691,K691))&amp;K691</f>
        <v>4031400</v>
      </c>
      <c r="B691" s="52" t="s">
        <v>600</v>
      </c>
      <c r="C691" s="53" t="s">
        <v>566</v>
      </c>
      <c r="D691" s="54" t="s">
        <v>564</v>
      </c>
      <c r="E691" s="55">
        <v>8462720</v>
      </c>
      <c r="F691" s="55">
        <v>1270560</v>
      </c>
      <c r="G691" s="55">
        <v>1086260</v>
      </c>
      <c r="H691" s="55" t="s">
        <v>576</v>
      </c>
      <c r="I691" s="55">
        <v>-152.55000000000001</v>
      </c>
      <c r="J691" s="55">
        <v>36.450000000000003</v>
      </c>
      <c r="K691" s="56">
        <v>31400</v>
      </c>
      <c r="L691" s="55">
        <v>129.69999999999999</v>
      </c>
      <c r="M691" s="55">
        <v>75.749999999999986</v>
      </c>
      <c r="N691" s="55" t="s">
        <v>576</v>
      </c>
      <c r="O691" s="55">
        <v>74200</v>
      </c>
      <c r="P691" s="55">
        <v>630420</v>
      </c>
      <c r="Q691" s="55">
        <v>8638720</v>
      </c>
      <c r="R691" s="57" t="s">
        <v>564</v>
      </c>
      <c r="S691" s="58" t="s">
        <v>565</v>
      </c>
      <c r="T691" s="51">
        <v>31326.75</v>
      </c>
    </row>
    <row r="692" spans="1:20" x14ac:dyDescent="0.25">
      <c r="A692" s="51" t="str">
        <f>(COUNTIF($K$2:K692,K692))&amp;K692</f>
        <v>4031500</v>
      </c>
      <c r="B692" s="52" t="s">
        <v>600</v>
      </c>
      <c r="C692" s="53" t="s">
        <v>566</v>
      </c>
      <c r="D692" s="54" t="s">
        <v>564</v>
      </c>
      <c r="E692" s="55">
        <v>13153020</v>
      </c>
      <c r="F692" s="55">
        <v>2714460</v>
      </c>
      <c r="G692" s="55">
        <v>1935920</v>
      </c>
      <c r="H692" s="55" t="s">
        <v>576</v>
      </c>
      <c r="I692" s="55">
        <v>-110.4</v>
      </c>
      <c r="J692" s="55">
        <v>16.05</v>
      </c>
      <c r="K692" s="56">
        <v>31500</v>
      </c>
      <c r="L692" s="55">
        <v>209.75</v>
      </c>
      <c r="M692" s="55">
        <v>119.6</v>
      </c>
      <c r="N692" s="55" t="s">
        <v>576</v>
      </c>
      <c r="O692" s="55">
        <v>-116660</v>
      </c>
      <c r="P692" s="55">
        <v>513820</v>
      </c>
      <c r="Q692" s="55">
        <v>4854040</v>
      </c>
      <c r="R692" s="57" t="s">
        <v>563</v>
      </c>
      <c r="S692" s="58" t="s">
        <v>567</v>
      </c>
      <c r="T692" s="51">
        <v>31326.75</v>
      </c>
    </row>
    <row r="693" spans="1:20" x14ac:dyDescent="0.25">
      <c r="A693" s="51" t="str">
        <f>(COUNTIF($K$2:K693,K693))&amp;K693</f>
        <v>4031600</v>
      </c>
      <c r="B693" s="52" t="s">
        <v>600</v>
      </c>
      <c r="C693" s="53" t="s">
        <v>566</v>
      </c>
      <c r="D693" s="54" t="s">
        <v>564</v>
      </c>
      <c r="E693" s="55">
        <v>10104920</v>
      </c>
      <c r="F693" s="55">
        <v>1851320</v>
      </c>
      <c r="G693" s="55">
        <v>1231660</v>
      </c>
      <c r="H693" s="55" t="s">
        <v>576</v>
      </c>
      <c r="I693" s="55">
        <v>-72.05</v>
      </c>
      <c r="J693" s="55">
        <v>6.4</v>
      </c>
      <c r="K693" s="56">
        <v>31600</v>
      </c>
      <c r="L693" s="55">
        <v>300.05</v>
      </c>
      <c r="M693" s="55">
        <v>157.95000000000002</v>
      </c>
      <c r="N693" s="55" t="s">
        <v>576</v>
      </c>
      <c r="O693" s="55">
        <v>16960</v>
      </c>
      <c r="P693" s="55">
        <v>111200</v>
      </c>
      <c r="Q693" s="55">
        <v>1404080</v>
      </c>
      <c r="R693" s="57" t="s">
        <v>564</v>
      </c>
      <c r="S693" s="58" t="s">
        <v>565</v>
      </c>
      <c r="T693" s="51">
        <v>31326.75</v>
      </c>
    </row>
    <row r="694" spans="1:20" x14ac:dyDescent="0.25">
      <c r="A694" s="51" t="str">
        <f>(COUNTIF($K$2:K694,K694))&amp;K694</f>
        <v>4031700</v>
      </c>
      <c r="B694" s="52" t="s">
        <v>600</v>
      </c>
      <c r="C694" s="53" t="s">
        <v>566</v>
      </c>
      <c r="D694" s="54" t="s">
        <v>564</v>
      </c>
      <c r="E694" s="55">
        <v>8370000</v>
      </c>
      <c r="F694" s="55">
        <v>1341620</v>
      </c>
      <c r="G694" s="55">
        <v>706360</v>
      </c>
      <c r="H694" s="55" t="s">
        <v>576</v>
      </c>
      <c r="I694" s="55">
        <v>-41.45</v>
      </c>
      <c r="J694" s="55">
        <v>3</v>
      </c>
      <c r="K694" s="56">
        <v>31700</v>
      </c>
      <c r="L694" s="55">
        <v>397.5</v>
      </c>
      <c r="M694" s="55">
        <v>188.1</v>
      </c>
      <c r="N694" s="55" t="s">
        <v>576</v>
      </c>
      <c r="O694" s="55">
        <v>-9360</v>
      </c>
      <c r="P694" s="55">
        <v>40400</v>
      </c>
      <c r="Q694" s="55">
        <v>590340</v>
      </c>
      <c r="R694" s="57" t="s">
        <v>563</v>
      </c>
      <c r="S694" s="58" t="s">
        <v>567</v>
      </c>
      <c r="T694" s="51">
        <v>31326.75</v>
      </c>
    </row>
    <row r="695" spans="1:20" x14ac:dyDescent="0.25">
      <c r="A695" s="51" t="str">
        <f>(COUNTIF($K$2:K695,K695))&amp;K695</f>
        <v>4031800</v>
      </c>
      <c r="B695" s="52" t="s">
        <v>600</v>
      </c>
      <c r="C695" s="53" t="s">
        <v>566</v>
      </c>
      <c r="D695" s="54" t="s">
        <v>564</v>
      </c>
      <c r="E695" s="55">
        <v>5692400</v>
      </c>
      <c r="F695" s="55">
        <v>1011440</v>
      </c>
      <c r="G695" s="55">
        <v>426060</v>
      </c>
      <c r="H695" s="55" t="s">
        <v>576</v>
      </c>
      <c r="I695" s="55">
        <v>-21.95</v>
      </c>
      <c r="J695" s="55">
        <v>1.55</v>
      </c>
      <c r="K695" s="56">
        <v>31800</v>
      </c>
      <c r="L695" s="55">
        <v>494.65</v>
      </c>
      <c r="M695" s="55">
        <v>209.29999999999995</v>
      </c>
      <c r="N695" s="55" t="s">
        <v>576</v>
      </c>
      <c r="O695" s="55">
        <v>2180</v>
      </c>
      <c r="P695" s="55">
        <v>17160</v>
      </c>
      <c r="Q695" s="55">
        <v>222560</v>
      </c>
      <c r="R695" s="57" t="s">
        <v>564</v>
      </c>
      <c r="S695" s="58" t="s">
        <v>565</v>
      </c>
      <c r="T695" s="51">
        <v>31326.75</v>
      </c>
    </row>
    <row r="696" spans="1:20" x14ac:dyDescent="0.25">
      <c r="A696" s="51" t="str">
        <f>(COUNTIF($K$2:K696,K696))&amp;K696</f>
        <v>4031900</v>
      </c>
      <c r="B696" s="52" t="s">
        <v>600</v>
      </c>
      <c r="C696" s="53" t="s">
        <v>566</v>
      </c>
      <c r="D696" s="54" t="s">
        <v>564</v>
      </c>
      <c r="E696" s="55">
        <v>7516180</v>
      </c>
      <c r="F696" s="55">
        <v>664540</v>
      </c>
      <c r="G696" s="55">
        <v>152740</v>
      </c>
      <c r="H696" s="55" t="s">
        <v>576</v>
      </c>
      <c r="I696" s="55">
        <v>-10.1</v>
      </c>
      <c r="J696" s="55">
        <v>1</v>
      </c>
      <c r="K696" s="56">
        <v>31900</v>
      </c>
      <c r="L696" s="55">
        <v>593.15</v>
      </c>
      <c r="M696" s="55">
        <v>216.45</v>
      </c>
      <c r="N696" s="55" t="s">
        <v>576</v>
      </c>
      <c r="O696" s="55">
        <v>2400</v>
      </c>
      <c r="P696" s="55">
        <v>7940</v>
      </c>
      <c r="Q696" s="55">
        <v>44020</v>
      </c>
      <c r="R696" s="57" t="s">
        <v>564</v>
      </c>
      <c r="S696" s="58" t="s">
        <v>565</v>
      </c>
      <c r="T696" s="51">
        <v>31326.75</v>
      </c>
    </row>
    <row r="697" spans="1:20" x14ac:dyDescent="0.25">
      <c r="A697" s="51" t="str">
        <f>(COUNTIF($K$2:K697,K697))&amp;K697</f>
        <v>4032000</v>
      </c>
      <c r="B697" s="52" t="s">
        <v>600</v>
      </c>
      <c r="C697" s="53" t="s">
        <v>566</v>
      </c>
      <c r="D697" s="54" t="s">
        <v>564</v>
      </c>
      <c r="E697" s="55">
        <v>5229700</v>
      </c>
      <c r="F697" s="55">
        <v>748480</v>
      </c>
      <c r="G697" s="55">
        <v>136820</v>
      </c>
      <c r="H697" s="55" t="s">
        <v>576</v>
      </c>
      <c r="I697" s="55">
        <v>-5.3</v>
      </c>
      <c r="J697" s="55">
        <v>0.7</v>
      </c>
      <c r="K697" s="56">
        <v>32000</v>
      </c>
      <c r="L697" s="55">
        <v>695.7</v>
      </c>
      <c r="M697" s="55">
        <v>225.20000000000005</v>
      </c>
      <c r="N697" s="55" t="s">
        <v>576</v>
      </c>
      <c r="O697" s="55">
        <v>-1560</v>
      </c>
      <c r="P697" s="55">
        <v>10560</v>
      </c>
      <c r="Q697" s="55">
        <v>28200</v>
      </c>
      <c r="R697" s="57" t="s">
        <v>563</v>
      </c>
      <c r="S697" s="58" t="s">
        <v>567</v>
      </c>
      <c r="T697" s="51">
        <v>31326.75</v>
      </c>
    </row>
    <row r="698" spans="1:20" x14ac:dyDescent="0.25">
      <c r="A698" s="51" t="str">
        <f>(COUNTIF($K$2:K698,K698))&amp;K698</f>
        <v>41PCR</v>
      </c>
      <c r="B698" s="52" t="s">
        <v>600</v>
      </c>
      <c r="C698" s="60">
        <v>0.81631676446232326</v>
      </c>
      <c r="E698" s="61"/>
      <c r="F698" s="62">
        <v>10699180</v>
      </c>
      <c r="G698" s="63"/>
      <c r="H698" s="64"/>
      <c r="I698" s="64"/>
      <c r="J698" s="64"/>
      <c r="K698" s="65" t="s">
        <v>555</v>
      </c>
      <c r="L698" s="64"/>
      <c r="M698" s="64"/>
      <c r="N698" s="64"/>
      <c r="P698" s="63">
        <v>8733920</v>
      </c>
      <c r="Q698" s="61"/>
      <c r="R698" s="64"/>
      <c r="S698" s="64"/>
    </row>
    <row r="699" spans="1:20" x14ac:dyDescent="0.25">
      <c r="A699" s="51" t="str">
        <f>(COUNTIF($K$2:K699,K699))&amp;K699</f>
        <v>1230500</v>
      </c>
      <c r="B699" s="52" t="s">
        <v>600</v>
      </c>
      <c r="C699" s="53" t="s">
        <v>562</v>
      </c>
      <c r="D699" s="54" t="s">
        <v>563</v>
      </c>
      <c r="E699" s="55">
        <v>13060</v>
      </c>
      <c r="F699" s="55">
        <v>26680</v>
      </c>
      <c r="G699" s="55">
        <v>-5540</v>
      </c>
      <c r="H699" s="55" t="s">
        <v>574</v>
      </c>
      <c r="I699" s="55">
        <v>-224.34999999999991</v>
      </c>
      <c r="J699" s="55">
        <v>807.45</v>
      </c>
      <c r="K699" s="56">
        <v>30500</v>
      </c>
      <c r="L699" s="55">
        <v>0.6</v>
      </c>
      <c r="M699" s="55">
        <v>-2.1</v>
      </c>
      <c r="N699" s="55" t="s">
        <v>576</v>
      </c>
      <c r="O699" s="55">
        <v>-17140</v>
      </c>
      <c r="P699" s="55">
        <v>397200</v>
      </c>
      <c r="Q699" s="55">
        <v>230780</v>
      </c>
      <c r="R699" s="57" t="s">
        <v>563</v>
      </c>
      <c r="S699" s="58" t="s">
        <v>562</v>
      </c>
      <c r="T699" s="51">
        <v>31326.75</v>
      </c>
    </row>
    <row r="700" spans="1:20" x14ac:dyDescent="0.25">
      <c r="A700" s="51" t="str">
        <f>(COUNTIF($K$2:K700,K700))&amp;K700</f>
        <v>3230600</v>
      </c>
      <c r="B700" s="52" t="s">
        <v>600</v>
      </c>
      <c r="C700" s="53" t="s">
        <v>562</v>
      </c>
      <c r="D700" s="54" t="s">
        <v>563</v>
      </c>
      <c r="E700" s="55">
        <v>1100</v>
      </c>
      <c r="F700" s="55">
        <v>3880</v>
      </c>
      <c r="G700" s="55">
        <v>-660</v>
      </c>
      <c r="H700" s="55" t="s">
        <v>574</v>
      </c>
      <c r="I700" s="55">
        <v>-217.70000000000005</v>
      </c>
      <c r="J700" s="55">
        <v>715</v>
      </c>
      <c r="K700" s="56">
        <v>30600</v>
      </c>
      <c r="L700" s="55">
        <v>0.7</v>
      </c>
      <c r="M700" s="55">
        <v>-2.2999999999999998</v>
      </c>
      <c r="N700" s="55" t="s">
        <v>576</v>
      </c>
      <c r="O700" s="55">
        <v>7120</v>
      </c>
      <c r="P700" s="55">
        <v>206360</v>
      </c>
      <c r="Q700" s="55">
        <v>191560</v>
      </c>
      <c r="R700" s="57" t="s">
        <v>564</v>
      </c>
      <c r="S700" s="58" t="s">
        <v>566</v>
      </c>
      <c r="T700" s="51">
        <v>31326.75</v>
      </c>
    </row>
    <row r="701" spans="1:20" x14ac:dyDescent="0.25">
      <c r="A701" s="51" t="str">
        <f>(COUNTIF($K$2:K701,K701))&amp;K701</f>
        <v>4130700</v>
      </c>
      <c r="B701" s="52" t="s">
        <v>600</v>
      </c>
      <c r="C701" s="53" t="s">
        <v>562</v>
      </c>
      <c r="D701" s="54" t="s">
        <v>563</v>
      </c>
      <c r="E701" s="55">
        <v>8380</v>
      </c>
      <c r="F701" s="55">
        <v>10580</v>
      </c>
      <c r="G701" s="55">
        <v>-1240</v>
      </c>
      <c r="H701" s="55" t="s">
        <v>574</v>
      </c>
      <c r="I701" s="55">
        <v>-228.10000000000002</v>
      </c>
      <c r="J701" s="55">
        <v>607.9</v>
      </c>
      <c r="K701" s="56">
        <v>30700</v>
      </c>
      <c r="L701" s="55">
        <v>0.9</v>
      </c>
      <c r="M701" s="55">
        <v>-2.7</v>
      </c>
      <c r="N701" s="55" t="s">
        <v>576</v>
      </c>
      <c r="O701" s="55">
        <v>86360</v>
      </c>
      <c r="P701" s="55">
        <v>276560</v>
      </c>
      <c r="Q701" s="55">
        <v>456120</v>
      </c>
      <c r="R701" s="57" t="s">
        <v>564</v>
      </c>
      <c r="S701" s="58" t="s">
        <v>566</v>
      </c>
      <c r="T701" s="51">
        <v>31326.75</v>
      </c>
    </row>
    <row r="702" spans="1:20" x14ac:dyDescent="0.25">
      <c r="A702" s="51" t="str">
        <f>(COUNTIF($K$2:K702,K702))&amp;K702</f>
        <v>4130800</v>
      </c>
      <c r="B702" s="52" t="s">
        <v>600</v>
      </c>
      <c r="C702" s="53" t="s">
        <v>566</v>
      </c>
      <c r="D702" s="54" t="s">
        <v>564</v>
      </c>
      <c r="E702" s="55">
        <v>4940</v>
      </c>
      <c r="F702" s="55">
        <v>7660</v>
      </c>
      <c r="G702" s="55">
        <v>160</v>
      </c>
      <c r="H702" s="55" t="s">
        <v>574</v>
      </c>
      <c r="I702" s="55">
        <v>-225.75</v>
      </c>
      <c r="J702" s="55">
        <v>509.85</v>
      </c>
      <c r="K702" s="56">
        <v>30800</v>
      </c>
      <c r="L702" s="55">
        <v>1.35</v>
      </c>
      <c r="M702" s="55">
        <v>-2.7499999999999996</v>
      </c>
      <c r="N702" s="55" t="s">
        <v>576</v>
      </c>
      <c r="O702" s="55">
        <v>45400</v>
      </c>
      <c r="P702" s="55">
        <v>412800</v>
      </c>
      <c r="Q702" s="55">
        <v>1003480</v>
      </c>
      <c r="R702" s="57" t="s">
        <v>564</v>
      </c>
      <c r="S702" s="58" t="s">
        <v>566</v>
      </c>
      <c r="T702" s="51">
        <v>31326.75</v>
      </c>
    </row>
    <row r="703" spans="1:20" x14ac:dyDescent="0.25">
      <c r="A703" s="51" t="str">
        <f>(COUNTIF($K$2:K703,K703))&amp;K703</f>
        <v>4130900</v>
      </c>
      <c r="B703" s="52" t="s">
        <v>600</v>
      </c>
      <c r="C703" s="53" t="s">
        <v>566</v>
      </c>
      <c r="D703" s="54" t="s">
        <v>564</v>
      </c>
      <c r="E703" s="55">
        <v>7540</v>
      </c>
      <c r="F703" s="55">
        <v>6740</v>
      </c>
      <c r="G703" s="55">
        <v>500</v>
      </c>
      <c r="H703" s="55" t="s">
        <v>574</v>
      </c>
      <c r="I703" s="55">
        <v>-228.39999999999998</v>
      </c>
      <c r="J703" s="55">
        <v>405.15</v>
      </c>
      <c r="K703" s="56">
        <v>30900</v>
      </c>
      <c r="L703" s="55">
        <v>2.5499999999999998</v>
      </c>
      <c r="M703" s="55">
        <v>-2.95</v>
      </c>
      <c r="N703" s="55" t="s">
        <v>576</v>
      </c>
      <c r="O703" s="55">
        <v>208000</v>
      </c>
      <c r="P703" s="55">
        <v>573880</v>
      </c>
      <c r="Q703" s="55">
        <v>2141840</v>
      </c>
      <c r="R703" s="57" t="s">
        <v>564</v>
      </c>
      <c r="S703" s="58" t="s">
        <v>566</v>
      </c>
      <c r="T703" s="51">
        <v>31326.75</v>
      </c>
    </row>
    <row r="704" spans="1:20" x14ac:dyDescent="0.25">
      <c r="A704" s="51" t="str">
        <f>(COUNTIF($K$2:K704,K704))&amp;K704</f>
        <v>4131000</v>
      </c>
      <c r="B704" s="52" t="s">
        <v>600</v>
      </c>
      <c r="C704" s="53" t="s">
        <v>566</v>
      </c>
      <c r="D704" s="54" t="s">
        <v>564</v>
      </c>
      <c r="E704" s="55">
        <v>181640</v>
      </c>
      <c r="F704" s="55">
        <v>100180</v>
      </c>
      <c r="G704" s="55">
        <v>11960</v>
      </c>
      <c r="H704" s="55" t="s">
        <v>574</v>
      </c>
      <c r="I704" s="55">
        <v>-235.10000000000002</v>
      </c>
      <c r="J704" s="55">
        <v>309.75</v>
      </c>
      <c r="K704" s="56">
        <v>31000</v>
      </c>
      <c r="L704" s="55">
        <v>5.3</v>
      </c>
      <c r="M704" s="55">
        <v>-2.1000000000000005</v>
      </c>
      <c r="N704" s="55" t="s">
        <v>576</v>
      </c>
      <c r="O704" s="55">
        <v>995460</v>
      </c>
      <c r="P704" s="55">
        <v>1806060</v>
      </c>
      <c r="Q704" s="55">
        <v>6038300</v>
      </c>
      <c r="R704" s="57" t="s">
        <v>564</v>
      </c>
      <c r="S704" s="58" t="s">
        <v>566</v>
      </c>
      <c r="T704" s="51">
        <v>31326.75</v>
      </c>
    </row>
    <row r="705" spans="1:20" x14ac:dyDescent="0.25">
      <c r="A705" s="51" t="str">
        <f>(COUNTIF($K$2:K705,K705))&amp;K705</f>
        <v>4131100</v>
      </c>
      <c r="B705" s="52" t="s">
        <v>600</v>
      </c>
      <c r="C705" s="53" t="s">
        <v>566</v>
      </c>
      <c r="D705" s="54" t="s">
        <v>564</v>
      </c>
      <c r="E705" s="55">
        <v>206120</v>
      </c>
      <c r="F705" s="55">
        <v>61760</v>
      </c>
      <c r="G705" s="55">
        <v>31100</v>
      </c>
      <c r="H705" s="55" t="s">
        <v>574</v>
      </c>
      <c r="I705" s="55">
        <v>-227.2</v>
      </c>
      <c r="J705" s="55">
        <v>217.95</v>
      </c>
      <c r="K705" s="56">
        <v>31100</v>
      </c>
      <c r="L705" s="55">
        <v>12.1</v>
      </c>
      <c r="M705" s="55">
        <v>1.9499999999999993</v>
      </c>
      <c r="N705" s="55" t="s">
        <v>576</v>
      </c>
      <c r="O705" s="55">
        <v>871560</v>
      </c>
      <c r="P705" s="55">
        <v>1390260</v>
      </c>
      <c r="Q705" s="55">
        <v>7422320</v>
      </c>
      <c r="R705" s="57" t="s">
        <v>564</v>
      </c>
      <c r="S705" s="58" t="s">
        <v>565</v>
      </c>
      <c r="T705" s="51">
        <v>31326.75</v>
      </c>
    </row>
    <row r="706" spans="1:20" x14ac:dyDescent="0.25">
      <c r="A706" s="51" t="str">
        <f>(COUNTIF($K$2:K706,K706))&amp;K706</f>
        <v>4131200</v>
      </c>
      <c r="B706" s="52" t="s">
        <v>600</v>
      </c>
      <c r="C706" s="53" t="s">
        <v>566</v>
      </c>
      <c r="D706" s="54" t="s">
        <v>564</v>
      </c>
      <c r="E706" s="55">
        <v>1576120</v>
      </c>
      <c r="F706" s="55">
        <v>285480</v>
      </c>
      <c r="G706" s="55">
        <v>153760</v>
      </c>
      <c r="H706" s="55" t="s">
        <v>576</v>
      </c>
      <c r="I706" s="55">
        <v>-213.35</v>
      </c>
      <c r="J706" s="55">
        <v>137.1</v>
      </c>
      <c r="K706" s="56">
        <v>31200</v>
      </c>
      <c r="L706" s="55">
        <v>31</v>
      </c>
      <c r="M706" s="55">
        <v>13.600000000000001</v>
      </c>
      <c r="N706" s="55" t="s">
        <v>576</v>
      </c>
      <c r="O706" s="55">
        <v>771200</v>
      </c>
      <c r="P706" s="55">
        <v>1297140</v>
      </c>
      <c r="Q706" s="55">
        <v>10064800</v>
      </c>
      <c r="R706" s="57" t="s">
        <v>564</v>
      </c>
      <c r="S706" s="58" t="s">
        <v>565</v>
      </c>
      <c r="T706" s="51">
        <v>31326.75</v>
      </c>
    </row>
    <row r="707" spans="1:20" ht="15.75" x14ac:dyDescent="0.25">
      <c r="A707" s="51" t="str">
        <f>(COUNTIF($K$2:K707,K707))&amp;K707</f>
        <v>4131300</v>
      </c>
      <c r="B707" s="52" t="s">
        <v>600</v>
      </c>
      <c r="C707" s="53" t="s">
        <v>566</v>
      </c>
      <c r="D707" s="54" t="s">
        <v>564</v>
      </c>
      <c r="E707" s="55">
        <v>3399060</v>
      </c>
      <c r="F707" s="55">
        <v>593800</v>
      </c>
      <c r="G707" s="55">
        <v>477860</v>
      </c>
      <c r="H707" s="55" t="s">
        <v>576</v>
      </c>
      <c r="I707" s="55">
        <v>-190.55</v>
      </c>
      <c r="J707" s="55">
        <v>75</v>
      </c>
      <c r="K707" s="59">
        <v>31300</v>
      </c>
      <c r="L707" s="55">
        <v>69.05</v>
      </c>
      <c r="M707" s="55">
        <v>38.099999999999994</v>
      </c>
      <c r="N707" s="55" t="s">
        <v>576</v>
      </c>
      <c r="O707" s="55">
        <v>391660</v>
      </c>
      <c r="P707" s="55">
        <v>1042160</v>
      </c>
      <c r="Q707" s="55">
        <v>11045000</v>
      </c>
      <c r="R707" s="57" t="s">
        <v>564</v>
      </c>
      <c r="S707" s="58" t="s">
        <v>565</v>
      </c>
      <c r="T707" s="51">
        <v>31326.75</v>
      </c>
    </row>
    <row r="708" spans="1:20" x14ac:dyDescent="0.25">
      <c r="A708" s="51" t="str">
        <f>(COUNTIF($K$2:K708,K708))&amp;K708</f>
        <v>4131400</v>
      </c>
      <c r="B708" s="52" t="s">
        <v>600</v>
      </c>
      <c r="C708" s="53" t="s">
        <v>566</v>
      </c>
      <c r="D708" s="54" t="s">
        <v>564</v>
      </c>
      <c r="E708" s="55">
        <v>8462720</v>
      </c>
      <c r="F708" s="55">
        <v>1270560</v>
      </c>
      <c r="G708" s="55">
        <v>1086260</v>
      </c>
      <c r="H708" s="55" t="s">
        <v>576</v>
      </c>
      <c r="I708" s="55">
        <v>-152.55000000000001</v>
      </c>
      <c r="J708" s="55">
        <v>36.450000000000003</v>
      </c>
      <c r="K708" s="56">
        <v>31400</v>
      </c>
      <c r="L708" s="55">
        <v>129.69999999999999</v>
      </c>
      <c r="M708" s="55">
        <v>75.749999999999986</v>
      </c>
      <c r="N708" s="55" t="s">
        <v>576</v>
      </c>
      <c r="O708" s="55">
        <v>74200</v>
      </c>
      <c r="P708" s="55">
        <v>630420</v>
      </c>
      <c r="Q708" s="55">
        <v>8638720</v>
      </c>
      <c r="R708" s="57" t="s">
        <v>564</v>
      </c>
      <c r="S708" s="58" t="s">
        <v>565</v>
      </c>
      <c r="T708" s="51">
        <v>31326.75</v>
      </c>
    </row>
    <row r="709" spans="1:20" x14ac:dyDescent="0.25">
      <c r="A709" s="51" t="str">
        <f>(COUNTIF($K$2:K709,K709))&amp;K709</f>
        <v>4131500</v>
      </c>
      <c r="B709" s="52" t="s">
        <v>600</v>
      </c>
      <c r="C709" s="53" t="s">
        <v>566</v>
      </c>
      <c r="D709" s="54" t="s">
        <v>564</v>
      </c>
      <c r="E709" s="55">
        <v>13153020</v>
      </c>
      <c r="F709" s="55">
        <v>2714460</v>
      </c>
      <c r="G709" s="55">
        <v>1935920</v>
      </c>
      <c r="H709" s="55" t="s">
        <v>576</v>
      </c>
      <c r="I709" s="55">
        <v>-110.4</v>
      </c>
      <c r="J709" s="55">
        <v>16.05</v>
      </c>
      <c r="K709" s="56">
        <v>31500</v>
      </c>
      <c r="L709" s="55">
        <v>209.75</v>
      </c>
      <c r="M709" s="55">
        <v>119.6</v>
      </c>
      <c r="N709" s="55" t="s">
        <v>576</v>
      </c>
      <c r="O709" s="55">
        <v>-116660</v>
      </c>
      <c r="P709" s="55">
        <v>513820</v>
      </c>
      <c r="Q709" s="55">
        <v>4854040</v>
      </c>
      <c r="R709" s="57" t="s">
        <v>563</v>
      </c>
      <c r="S709" s="58" t="s">
        <v>567</v>
      </c>
      <c r="T709" s="51">
        <v>31326.75</v>
      </c>
    </row>
    <row r="710" spans="1:20" x14ac:dyDescent="0.25">
      <c r="A710" s="51" t="str">
        <f>(COUNTIF($K$2:K710,K710))&amp;K710</f>
        <v>4131600</v>
      </c>
      <c r="B710" s="52" t="s">
        <v>600</v>
      </c>
      <c r="C710" s="53" t="s">
        <v>566</v>
      </c>
      <c r="D710" s="54" t="s">
        <v>564</v>
      </c>
      <c r="E710" s="55">
        <v>10104920</v>
      </c>
      <c r="F710" s="55">
        <v>1851320</v>
      </c>
      <c r="G710" s="55">
        <v>1231660</v>
      </c>
      <c r="H710" s="55" t="s">
        <v>576</v>
      </c>
      <c r="I710" s="55">
        <v>-72.05</v>
      </c>
      <c r="J710" s="55">
        <v>6.4</v>
      </c>
      <c r="K710" s="56">
        <v>31600</v>
      </c>
      <c r="L710" s="55">
        <v>300.05</v>
      </c>
      <c r="M710" s="55">
        <v>157.95000000000002</v>
      </c>
      <c r="N710" s="55" t="s">
        <v>576</v>
      </c>
      <c r="O710" s="55">
        <v>16960</v>
      </c>
      <c r="P710" s="55">
        <v>111200</v>
      </c>
      <c r="Q710" s="55">
        <v>1404080</v>
      </c>
      <c r="R710" s="57" t="s">
        <v>564</v>
      </c>
      <c r="S710" s="58" t="s">
        <v>565</v>
      </c>
      <c r="T710" s="51">
        <v>31326.75</v>
      </c>
    </row>
    <row r="711" spans="1:20" x14ac:dyDescent="0.25">
      <c r="A711" s="51" t="str">
        <f>(COUNTIF($K$2:K711,K711))&amp;K711</f>
        <v>4131700</v>
      </c>
      <c r="B711" s="52" t="s">
        <v>600</v>
      </c>
      <c r="C711" s="53" t="s">
        <v>566</v>
      </c>
      <c r="D711" s="54" t="s">
        <v>564</v>
      </c>
      <c r="E711" s="55">
        <v>8370000</v>
      </c>
      <c r="F711" s="55">
        <v>1341620</v>
      </c>
      <c r="G711" s="55">
        <v>706360</v>
      </c>
      <c r="H711" s="55" t="s">
        <v>576</v>
      </c>
      <c r="I711" s="55">
        <v>-41.45</v>
      </c>
      <c r="J711" s="55">
        <v>3</v>
      </c>
      <c r="K711" s="56">
        <v>31700</v>
      </c>
      <c r="L711" s="55">
        <v>397.5</v>
      </c>
      <c r="M711" s="55">
        <v>188.1</v>
      </c>
      <c r="N711" s="55" t="s">
        <v>576</v>
      </c>
      <c r="O711" s="55">
        <v>-9360</v>
      </c>
      <c r="P711" s="55">
        <v>40400</v>
      </c>
      <c r="Q711" s="55">
        <v>590340</v>
      </c>
      <c r="R711" s="57" t="s">
        <v>563</v>
      </c>
      <c r="S711" s="58" t="s">
        <v>567</v>
      </c>
      <c r="T711" s="51">
        <v>31326.75</v>
      </c>
    </row>
    <row r="712" spans="1:20" x14ac:dyDescent="0.25">
      <c r="A712" s="51" t="str">
        <f>(COUNTIF($K$2:K712,K712))&amp;K712</f>
        <v>4131800</v>
      </c>
      <c r="B712" s="52" t="s">
        <v>600</v>
      </c>
      <c r="C712" s="53" t="s">
        <v>566</v>
      </c>
      <c r="D712" s="54" t="s">
        <v>564</v>
      </c>
      <c r="E712" s="55">
        <v>5692400</v>
      </c>
      <c r="F712" s="55">
        <v>1011440</v>
      </c>
      <c r="G712" s="55">
        <v>426060</v>
      </c>
      <c r="H712" s="55" t="s">
        <v>576</v>
      </c>
      <c r="I712" s="55">
        <v>-21.95</v>
      </c>
      <c r="J712" s="55">
        <v>1.55</v>
      </c>
      <c r="K712" s="56">
        <v>31800</v>
      </c>
      <c r="L712" s="55">
        <v>494.65</v>
      </c>
      <c r="M712" s="55">
        <v>209.29999999999995</v>
      </c>
      <c r="N712" s="55" t="s">
        <v>576</v>
      </c>
      <c r="O712" s="55">
        <v>2180</v>
      </c>
      <c r="P712" s="55">
        <v>17160</v>
      </c>
      <c r="Q712" s="55">
        <v>222560</v>
      </c>
      <c r="R712" s="57" t="s">
        <v>564</v>
      </c>
      <c r="S712" s="58" t="s">
        <v>565</v>
      </c>
      <c r="T712" s="51">
        <v>31326.75</v>
      </c>
    </row>
    <row r="713" spans="1:20" x14ac:dyDescent="0.25">
      <c r="A713" s="51" t="str">
        <f>(COUNTIF($K$2:K713,K713))&amp;K713</f>
        <v>4131900</v>
      </c>
      <c r="B713" s="52" t="s">
        <v>600</v>
      </c>
      <c r="C713" s="53" t="s">
        <v>566</v>
      </c>
      <c r="D713" s="54" t="s">
        <v>564</v>
      </c>
      <c r="E713" s="55">
        <v>7516180</v>
      </c>
      <c r="F713" s="55">
        <v>664540</v>
      </c>
      <c r="G713" s="55">
        <v>152740</v>
      </c>
      <c r="H713" s="55" t="s">
        <v>576</v>
      </c>
      <c r="I713" s="55">
        <v>-10.1</v>
      </c>
      <c r="J713" s="55">
        <v>1</v>
      </c>
      <c r="K713" s="56">
        <v>31900</v>
      </c>
      <c r="L713" s="55">
        <v>593.15</v>
      </c>
      <c r="M713" s="55">
        <v>216.45</v>
      </c>
      <c r="N713" s="55" t="s">
        <v>576</v>
      </c>
      <c r="O713" s="55">
        <v>2400</v>
      </c>
      <c r="P713" s="55">
        <v>7940</v>
      </c>
      <c r="Q713" s="55">
        <v>44020</v>
      </c>
      <c r="R713" s="57" t="s">
        <v>564</v>
      </c>
      <c r="S713" s="58" t="s">
        <v>565</v>
      </c>
      <c r="T713" s="51">
        <v>31326.75</v>
      </c>
    </row>
    <row r="714" spans="1:20" x14ac:dyDescent="0.25">
      <c r="A714" s="51" t="str">
        <f>(COUNTIF($K$2:K714,K714))&amp;K714</f>
        <v>4132000</v>
      </c>
      <c r="B714" s="52" t="s">
        <v>600</v>
      </c>
      <c r="C714" s="53" t="s">
        <v>566</v>
      </c>
      <c r="D714" s="54" t="s">
        <v>564</v>
      </c>
      <c r="E714" s="55">
        <v>5229700</v>
      </c>
      <c r="F714" s="55">
        <v>748480</v>
      </c>
      <c r="G714" s="55">
        <v>136820</v>
      </c>
      <c r="H714" s="55" t="s">
        <v>576</v>
      </c>
      <c r="I714" s="55">
        <v>-5.3</v>
      </c>
      <c r="J714" s="55">
        <v>0.7</v>
      </c>
      <c r="K714" s="56">
        <v>32000</v>
      </c>
      <c r="L714" s="55">
        <v>695.7</v>
      </c>
      <c r="M714" s="55">
        <v>225.20000000000005</v>
      </c>
      <c r="N714" s="55" t="s">
        <v>576</v>
      </c>
      <c r="O714" s="55">
        <v>-1560</v>
      </c>
      <c r="P714" s="55">
        <v>10560</v>
      </c>
      <c r="Q714" s="55">
        <v>28200</v>
      </c>
      <c r="R714" s="57" t="s">
        <v>563</v>
      </c>
      <c r="S714" s="58" t="s">
        <v>567</v>
      </c>
      <c r="T714" s="51">
        <v>31326.75</v>
      </c>
    </row>
    <row r="715" spans="1:20" x14ac:dyDescent="0.25">
      <c r="A715" s="51" t="str">
        <f>(COUNTIF($K$2:K715,K715))&amp;K715</f>
        <v>42PCR</v>
      </c>
      <c r="B715" s="52" t="s">
        <v>600</v>
      </c>
      <c r="C715" s="60">
        <v>0.81631676446232326</v>
      </c>
      <c r="E715" s="61"/>
      <c r="F715" s="62">
        <v>10699180</v>
      </c>
      <c r="G715" s="63"/>
      <c r="H715" s="64"/>
      <c r="I715" s="64"/>
      <c r="J715" s="64"/>
      <c r="K715" s="65" t="s">
        <v>555</v>
      </c>
      <c r="L715" s="64"/>
      <c r="M715" s="64"/>
      <c r="N715" s="64"/>
      <c r="P715" s="63">
        <v>8733920</v>
      </c>
      <c r="Q715" s="61"/>
      <c r="R715" s="64"/>
      <c r="S715" s="64"/>
    </row>
    <row r="716" spans="1:20" x14ac:dyDescent="0.25">
      <c r="A716" s="51" t="str">
        <f>(COUNTIF($K$2:K716,K716))&amp;K716</f>
        <v>1330500</v>
      </c>
      <c r="B716" s="52" t="s">
        <v>601</v>
      </c>
      <c r="C716" s="53" t="s">
        <v>562</v>
      </c>
      <c r="D716" s="54" t="s">
        <v>563</v>
      </c>
      <c r="E716" s="55">
        <v>13320</v>
      </c>
      <c r="F716" s="55">
        <v>26580</v>
      </c>
      <c r="G716" s="55">
        <v>-5640</v>
      </c>
      <c r="H716" s="55" t="s">
        <v>574</v>
      </c>
      <c r="I716" s="55">
        <v>-226.04999999999995</v>
      </c>
      <c r="J716" s="55">
        <v>805.75</v>
      </c>
      <c r="K716" s="56">
        <v>30500</v>
      </c>
      <c r="L716" s="55">
        <v>0.6</v>
      </c>
      <c r="M716" s="55">
        <v>-2.1</v>
      </c>
      <c r="N716" s="55" t="s">
        <v>576</v>
      </c>
      <c r="O716" s="55">
        <v>-17320</v>
      </c>
      <c r="P716" s="55">
        <v>397020</v>
      </c>
      <c r="Q716" s="55">
        <v>236840</v>
      </c>
      <c r="R716" s="57" t="s">
        <v>563</v>
      </c>
      <c r="S716" s="58" t="s">
        <v>562</v>
      </c>
      <c r="T716" s="51">
        <v>31320</v>
      </c>
    </row>
    <row r="717" spans="1:20" x14ac:dyDescent="0.25">
      <c r="A717" s="51" t="str">
        <f>(COUNTIF($K$2:K717,K717))&amp;K717</f>
        <v>3330600</v>
      </c>
      <c r="B717" s="52" t="s">
        <v>601</v>
      </c>
      <c r="C717" s="53" t="s">
        <v>562</v>
      </c>
      <c r="D717" s="54" t="s">
        <v>563</v>
      </c>
      <c r="E717" s="55">
        <v>1120</v>
      </c>
      <c r="F717" s="55">
        <v>3860</v>
      </c>
      <c r="G717" s="55">
        <v>-680</v>
      </c>
      <c r="H717" s="55" t="s">
        <v>574</v>
      </c>
      <c r="I717" s="55">
        <v>-227.60000000000002</v>
      </c>
      <c r="J717" s="55">
        <v>705.1</v>
      </c>
      <c r="K717" s="56">
        <v>30600</v>
      </c>
      <c r="L717" s="55">
        <v>0.7</v>
      </c>
      <c r="M717" s="55">
        <v>-2.2999999999999998</v>
      </c>
      <c r="N717" s="55" t="s">
        <v>576</v>
      </c>
      <c r="O717" s="55">
        <v>8120</v>
      </c>
      <c r="P717" s="55">
        <v>207360</v>
      </c>
      <c r="Q717" s="55">
        <v>193580</v>
      </c>
      <c r="R717" s="57" t="s">
        <v>564</v>
      </c>
      <c r="S717" s="58" t="s">
        <v>566</v>
      </c>
      <c r="T717" s="51">
        <v>31320</v>
      </c>
    </row>
    <row r="718" spans="1:20" x14ac:dyDescent="0.25">
      <c r="A718" s="51" t="str">
        <f>(COUNTIF($K$2:K718,K718))&amp;K718</f>
        <v>4230700</v>
      </c>
      <c r="B718" s="52" t="s">
        <v>601</v>
      </c>
      <c r="C718" s="53" t="s">
        <v>562</v>
      </c>
      <c r="D718" s="54" t="s">
        <v>563</v>
      </c>
      <c r="E718" s="55">
        <v>8400</v>
      </c>
      <c r="F718" s="55">
        <v>10580</v>
      </c>
      <c r="G718" s="55">
        <v>-1240</v>
      </c>
      <c r="H718" s="55" t="s">
        <v>574</v>
      </c>
      <c r="I718" s="55">
        <v>-231</v>
      </c>
      <c r="J718" s="55">
        <v>605</v>
      </c>
      <c r="K718" s="56">
        <v>30700</v>
      </c>
      <c r="L718" s="55">
        <v>0.9</v>
      </c>
      <c r="M718" s="55">
        <v>-2.7</v>
      </c>
      <c r="N718" s="55" t="s">
        <v>576</v>
      </c>
      <c r="O718" s="55">
        <v>84260</v>
      </c>
      <c r="P718" s="55">
        <v>274460</v>
      </c>
      <c r="Q718" s="55">
        <v>458820</v>
      </c>
      <c r="R718" s="57" t="s">
        <v>564</v>
      </c>
      <c r="S718" s="58" t="s">
        <v>566</v>
      </c>
      <c r="T718" s="51">
        <v>31320</v>
      </c>
    </row>
    <row r="719" spans="1:20" x14ac:dyDescent="0.25">
      <c r="A719" s="51" t="str">
        <f>(COUNTIF($K$2:K719,K719))&amp;K719</f>
        <v>4230800</v>
      </c>
      <c r="B719" s="52" t="s">
        <v>601</v>
      </c>
      <c r="C719" s="53" t="s">
        <v>566</v>
      </c>
      <c r="D719" s="54" t="s">
        <v>564</v>
      </c>
      <c r="E719" s="55">
        <v>5180</v>
      </c>
      <c r="F719" s="55">
        <v>7840</v>
      </c>
      <c r="G719" s="55">
        <v>340</v>
      </c>
      <c r="H719" s="55" t="s">
        <v>574</v>
      </c>
      <c r="I719" s="55">
        <v>-227.45000000000005</v>
      </c>
      <c r="J719" s="55">
        <v>508.15</v>
      </c>
      <c r="K719" s="56">
        <v>30800</v>
      </c>
      <c r="L719" s="55">
        <v>1.35</v>
      </c>
      <c r="M719" s="55">
        <v>-2.7499999999999996</v>
      </c>
      <c r="N719" s="55" t="s">
        <v>576</v>
      </c>
      <c r="O719" s="55">
        <v>51240</v>
      </c>
      <c r="P719" s="55">
        <v>418640</v>
      </c>
      <c r="Q719" s="55">
        <v>1032300</v>
      </c>
      <c r="R719" s="57" t="s">
        <v>564</v>
      </c>
      <c r="S719" s="58" t="s">
        <v>566</v>
      </c>
      <c r="T719" s="51">
        <v>31320</v>
      </c>
    </row>
    <row r="720" spans="1:20" x14ac:dyDescent="0.25">
      <c r="A720" s="51" t="str">
        <f>(COUNTIF($K$2:K720,K720))&amp;K720</f>
        <v>4230900</v>
      </c>
      <c r="B720" s="52" t="s">
        <v>601</v>
      </c>
      <c r="C720" s="53" t="s">
        <v>566</v>
      </c>
      <c r="D720" s="54" t="s">
        <v>564</v>
      </c>
      <c r="E720" s="55">
        <v>7640</v>
      </c>
      <c r="F720" s="55">
        <v>6840</v>
      </c>
      <c r="G720" s="55">
        <v>600</v>
      </c>
      <c r="H720" s="55" t="s">
        <v>574</v>
      </c>
      <c r="I720" s="55">
        <v>-224.34999999999997</v>
      </c>
      <c r="J720" s="55">
        <v>409.2</v>
      </c>
      <c r="K720" s="56">
        <v>30900</v>
      </c>
      <c r="L720" s="55">
        <v>2.4</v>
      </c>
      <c r="M720" s="55">
        <v>-3.1</v>
      </c>
      <c r="N720" s="55" t="s">
        <v>576</v>
      </c>
      <c r="O720" s="55">
        <v>217260</v>
      </c>
      <c r="P720" s="55">
        <v>583140</v>
      </c>
      <c r="Q720" s="55">
        <v>2200780</v>
      </c>
      <c r="R720" s="57" t="s">
        <v>564</v>
      </c>
      <c r="S720" s="58" t="s">
        <v>566</v>
      </c>
      <c r="T720" s="51">
        <v>31320</v>
      </c>
    </row>
    <row r="721" spans="1:20" x14ac:dyDescent="0.25">
      <c r="A721" s="51" t="str">
        <f>(COUNTIF($K$2:K721,K721))&amp;K721</f>
        <v>4231000</v>
      </c>
      <c r="B721" s="52" t="s">
        <v>601</v>
      </c>
      <c r="C721" s="53" t="s">
        <v>566</v>
      </c>
      <c r="D721" s="54" t="s">
        <v>564</v>
      </c>
      <c r="E721" s="55">
        <v>186260</v>
      </c>
      <c r="F721" s="55">
        <v>100760</v>
      </c>
      <c r="G721" s="55">
        <v>12540</v>
      </c>
      <c r="H721" s="55" t="s">
        <v>574</v>
      </c>
      <c r="I721" s="55">
        <v>-235.85000000000002</v>
      </c>
      <c r="J721" s="55">
        <v>309</v>
      </c>
      <c r="K721" s="56">
        <v>31000</v>
      </c>
      <c r="L721" s="55">
        <v>5.15</v>
      </c>
      <c r="M721" s="55">
        <v>-2.25</v>
      </c>
      <c r="N721" s="55" t="s">
        <v>576</v>
      </c>
      <c r="O721" s="55">
        <v>999420</v>
      </c>
      <c r="P721" s="55">
        <v>1810020</v>
      </c>
      <c r="Q721" s="55">
        <v>6240280</v>
      </c>
      <c r="R721" s="57" t="s">
        <v>564</v>
      </c>
      <c r="S721" s="58" t="s">
        <v>566</v>
      </c>
      <c r="T721" s="51">
        <v>31320</v>
      </c>
    </row>
    <row r="722" spans="1:20" x14ac:dyDescent="0.25">
      <c r="A722" s="51" t="str">
        <f>(COUNTIF($K$2:K722,K722))&amp;K722</f>
        <v>4231100</v>
      </c>
      <c r="B722" s="52" t="s">
        <v>601</v>
      </c>
      <c r="C722" s="53" t="s">
        <v>566</v>
      </c>
      <c r="D722" s="54" t="s">
        <v>564</v>
      </c>
      <c r="E722" s="55">
        <v>214360</v>
      </c>
      <c r="F722" s="55">
        <v>60860</v>
      </c>
      <c r="G722" s="55">
        <v>30200</v>
      </c>
      <c r="H722" s="55" t="s">
        <v>574</v>
      </c>
      <c r="I722" s="55">
        <v>-227.74999999999997</v>
      </c>
      <c r="J722" s="55">
        <v>217.4</v>
      </c>
      <c r="K722" s="56">
        <v>31100</v>
      </c>
      <c r="L722" s="55">
        <v>12</v>
      </c>
      <c r="M722" s="55">
        <v>1.8499999999999996</v>
      </c>
      <c r="N722" s="55" t="s">
        <v>576</v>
      </c>
      <c r="O722" s="55">
        <v>875700</v>
      </c>
      <c r="P722" s="55">
        <v>1394400</v>
      </c>
      <c r="Q722" s="55">
        <v>7682880</v>
      </c>
      <c r="R722" s="57" t="s">
        <v>564</v>
      </c>
      <c r="S722" s="58" t="s">
        <v>565</v>
      </c>
      <c r="T722" s="51">
        <v>31320</v>
      </c>
    </row>
    <row r="723" spans="1:20" x14ac:dyDescent="0.25">
      <c r="A723" s="51" t="str">
        <f>(COUNTIF($K$2:K723,K723))&amp;K723</f>
        <v>4231200</v>
      </c>
      <c r="B723" s="52" t="s">
        <v>601</v>
      </c>
      <c r="C723" s="53" t="s">
        <v>566</v>
      </c>
      <c r="D723" s="54" t="s">
        <v>564</v>
      </c>
      <c r="E723" s="55">
        <v>1633020</v>
      </c>
      <c r="F723" s="55">
        <v>298680</v>
      </c>
      <c r="G723" s="55">
        <v>166960</v>
      </c>
      <c r="H723" s="55" t="s">
        <v>576</v>
      </c>
      <c r="I723" s="55">
        <v>-215.45</v>
      </c>
      <c r="J723" s="55">
        <v>135</v>
      </c>
      <c r="K723" s="56">
        <v>31200</v>
      </c>
      <c r="L723" s="55">
        <v>31.5</v>
      </c>
      <c r="M723" s="55">
        <v>14.100000000000001</v>
      </c>
      <c r="N723" s="55" t="s">
        <v>576</v>
      </c>
      <c r="O723" s="55">
        <v>801540</v>
      </c>
      <c r="P723" s="55">
        <v>1327480</v>
      </c>
      <c r="Q723" s="55">
        <v>10356020</v>
      </c>
      <c r="R723" s="57" t="s">
        <v>564</v>
      </c>
      <c r="S723" s="58" t="s">
        <v>565</v>
      </c>
      <c r="T723" s="51">
        <v>31320</v>
      </c>
    </row>
    <row r="724" spans="1:20" ht="15.75" x14ac:dyDescent="0.25">
      <c r="A724" s="51" t="str">
        <f>(COUNTIF($K$2:K724,K724))&amp;K724</f>
        <v>4231300</v>
      </c>
      <c r="B724" s="52" t="s">
        <v>601</v>
      </c>
      <c r="C724" s="53" t="s">
        <v>566</v>
      </c>
      <c r="D724" s="54" t="s">
        <v>564</v>
      </c>
      <c r="E724" s="55">
        <v>3591120</v>
      </c>
      <c r="F724" s="55">
        <v>640020</v>
      </c>
      <c r="G724" s="55">
        <v>524080</v>
      </c>
      <c r="H724" s="55" t="s">
        <v>576</v>
      </c>
      <c r="I724" s="55">
        <v>-191.60000000000002</v>
      </c>
      <c r="J724" s="55">
        <v>73.95</v>
      </c>
      <c r="K724" s="59">
        <v>31300</v>
      </c>
      <c r="L724" s="55">
        <v>70.45</v>
      </c>
      <c r="M724" s="55">
        <v>39.5</v>
      </c>
      <c r="N724" s="55" t="s">
        <v>576</v>
      </c>
      <c r="O724" s="55">
        <v>381120</v>
      </c>
      <c r="P724" s="55">
        <v>1031620</v>
      </c>
      <c r="Q724" s="55">
        <v>11347940</v>
      </c>
      <c r="R724" s="57" t="s">
        <v>564</v>
      </c>
      <c r="S724" s="58" t="s">
        <v>565</v>
      </c>
      <c r="T724" s="51">
        <v>31320</v>
      </c>
    </row>
    <row r="725" spans="1:20" x14ac:dyDescent="0.25">
      <c r="A725" s="51" t="str">
        <f>(COUNTIF($K$2:K725,K725))&amp;K725</f>
        <v>4231400</v>
      </c>
      <c r="B725" s="52" t="s">
        <v>601</v>
      </c>
      <c r="C725" s="53" t="s">
        <v>566</v>
      </c>
      <c r="D725" s="54" t="s">
        <v>564</v>
      </c>
      <c r="E725" s="55">
        <v>8778280</v>
      </c>
      <c r="F725" s="55">
        <v>1342780</v>
      </c>
      <c r="G725" s="55">
        <v>1158480</v>
      </c>
      <c r="H725" s="55" t="s">
        <v>576</v>
      </c>
      <c r="I725" s="55">
        <v>-153.80000000000001</v>
      </c>
      <c r="J725" s="55">
        <v>35.200000000000003</v>
      </c>
      <c r="K725" s="56">
        <v>31400</v>
      </c>
      <c r="L725" s="55">
        <v>131.55000000000001</v>
      </c>
      <c r="M725" s="55">
        <v>77.600000000000009</v>
      </c>
      <c r="N725" s="55" t="s">
        <v>576</v>
      </c>
      <c r="O725" s="55">
        <v>74820</v>
      </c>
      <c r="P725" s="55">
        <v>631040</v>
      </c>
      <c r="Q725" s="55">
        <v>8746620</v>
      </c>
      <c r="R725" s="57" t="s">
        <v>564</v>
      </c>
      <c r="S725" s="58" t="s">
        <v>565</v>
      </c>
      <c r="T725" s="51">
        <v>31320</v>
      </c>
    </row>
    <row r="726" spans="1:20" x14ac:dyDescent="0.25">
      <c r="A726" s="51" t="str">
        <f>(COUNTIF($K$2:K726,K726))&amp;K726</f>
        <v>4231500</v>
      </c>
      <c r="B726" s="52" t="s">
        <v>601</v>
      </c>
      <c r="C726" s="53" t="s">
        <v>566</v>
      </c>
      <c r="D726" s="54" t="s">
        <v>564</v>
      </c>
      <c r="E726" s="55">
        <v>13559660</v>
      </c>
      <c r="F726" s="55">
        <v>2776660</v>
      </c>
      <c r="G726" s="55">
        <v>1998120</v>
      </c>
      <c r="H726" s="55" t="s">
        <v>576</v>
      </c>
      <c r="I726" s="55">
        <v>-111.10000000000001</v>
      </c>
      <c r="J726" s="55">
        <v>15.35</v>
      </c>
      <c r="K726" s="56">
        <v>31500</v>
      </c>
      <c r="L726" s="55">
        <v>212</v>
      </c>
      <c r="M726" s="55">
        <v>121.85</v>
      </c>
      <c r="N726" s="55" t="s">
        <v>576</v>
      </c>
      <c r="O726" s="55">
        <v>-121860</v>
      </c>
      <c r="P726" s="55">
        <v>508620</v>
      </c>
      <c r="Q726" s="55">
        <v>4909980</v>
      </c>
      <c r="R726" s="57" t="s">
        <v>563</v>
      </c>
      <c r="S726" s="58" t="s">
        <v>567</v>
      </c>
      <c r="T726" s="51">
        <v>31320</v>
      </c>
    </row>
    <row r="727" spans="1:20" x14ac:dyDescent="0.25">
      <c r="A727" s="51" t="str">
        <f>(COUNTIF($K$2:K727,K727))&amp;K727</f>
        <v>4231600</v>
      </c>
      <c r="B727" s="52" t="s">
        <v>601</v>
      </c>
      <c r="C727" s="53" t="s">
        <v>566</v>
      </c>
      <c r="D727" s="54" t="s">
        <v>564</v>
      </c>
      <c r="E727" s="55">
        <v>10365220</v>
      </c>
      <c r="F727" s="55">
        <v>1874240</v>
      </c>
      <c r="G727" s="55">
        <v>1254580</v>
      </c>
      <c r="H727" s="55" t="s">
        <v>576</v>
      </c>
      <c r="I727" s="55">
        <v>-72.400000000000006</v>
      </c>
      <c r="J727" s="55">
        <v>6.05</v>
      </c>
      <c r="K727" s="56">
        <v>31600</v>
      </c>
      <c r="L727" s="55">
        <v>303.39999999999998</v>
      </c>
      <c r="M727" s="55">
        <v>161.29999999999998</v>
      </c>
      <c r="N727" s="55" t="s">
        <v>576</v>
      </c>
      <c r="O727" s="55">
        <v>15320</v>
      </c>
      <c r="P727" s="55">
        <v>109560</v>
      </c>
      <c r="Q727" s="55">
        <v>1418720</v>
      </c>
      <c r="R727" s="57" t="s">
        <v>564</v>
      </c>
      <c r="S727" s="58" t="s">
        <v>565</v>
      </c>
      <c r="T727" s="51">
        <v>31320</v>
      </c>
    </row>
    <row r="728" spans="1:20" x14ac:dyDescent="0.25">
      <c r="A728" s="51" t="str">
        <f>(COUNTIF($K$2:K728,K728))&amp;K728</f>
        <v>4231700</v>
      </c>
      <c r="B728" s="52" t="s">
        <v>601</v>
      </c>
      <c r="C728" s="53" t="s">
        <v>566</v>
      </c>
      <c r="D728" s="54" t="s">
        <v>564</v>
      </c>
      <c r="E728" s="55">
        <v>8542300</v>
      </c>
      <c r="F728" s="55">
        <v>1389680</v>
      </c>
      <c r="G728" s="55">
        <v>754420</v>
      </c>
      <c r="H728" s="55" t="s">
        <v>576</v>
      </c>
      <c r="I728" s="55">
        <v>-41.650000000000006</v>
      </c>
      <c r="J728" s="55">
        <v>2.8</v>
      </c>
      <c r="K728" s="56">
        <v>31700</v>
      </c>
      <c r="L728" s="55">
        <v>398.05</v>
      </c>
      <c r="M728" s="55">
        <v>188.65</v>
      </c>
      <c r="N728" s="55" t="s">
        <v>576</v>
      </c>
      <c r="O728" s="55">
        <v>-10620</v>
      </c>
      <c r="P728" s="55">
        <v>39140</v>
      </c>
      <c r="Q728" s="55">
        <v>594760</v>
      </c>
      <c r="R728" s="57" t="s">
        <v>563</v>
      </c>
      <c r="S728" s="58" t="s">
        <v>567</v>
      </c>
      <c r="T728" s="51">
        <v>31320</v>
      </c>
    </row>
    <row r="729" spans="1:20" x14ac:dyDescent="0.25">
      <c r="A729" s="51" t="str">
        <f>(COUNTIF($K$2:K729,K729))&amp;K729</f>
        <v>4231800</v>
      </c>
      <c r="B729" s="52" t="s">
        <v>601</v>
      </c>
      <c r="C729" s="53" t="s">
        <v>566</v>
      </c>
      <c r="D729" s="54" t="s">
        <v>564</v>
      </c>
      <c r="E729" s="55">
        <v>5862460</v>
      </c>
      <c r="F729" s="55">
        <v>1021200</v>
      </c>
      <c r="G729" s="55">
        <v>435820</v>
      </c>
      <c r="H729" s="55" t="s">
        <v>576</v>
      </c>
      <c r="I729" s="55">
        <v>-22.1</v>
      </c>
      <c r="J729" s="55">
        <v>1.4</v>
      </c>
      <c r="K729" s="56">
        <v>31800</v>
      </c>
      <c r="L729" s="55">
        <v>495.05</v>
      </c>
      <c r="M729" s="55">
        <v>209.7</v>
      </c>
      <c r="N729" s="55" t="s">
        <v>576</v>
      </c>
      <c r="O729" s="55">
        <v>1180</v>
      </c>
      <c r="P729" s="55">
        <v>16160</v>
      </c>
      <c r="Q729" s="55">
        <v>224100</v>
      </c>
      <c r="R729" s="57" t="s">
        <v>564</v>
      </c>
      <c r="S729" s="58" t="s">
        <v>565</v>
      </c>
      <c r="T729" s="51">
        <v>31320</v>
      </c>
    </row>
    <row r="730" spans="1:20" x14ac:dyDescent="0.25">
      <c r="A730" s="51" t="str">
        <f>(COUNTIF($K$2:K730,K730))&amp;K730</f>
        <v>4231900</v>
      </c>
      <c r="B730" s="52" t="s">
        <v>601</v>
      </c>
      <c r="C730" s="53" t="s">
        <v>566</v>
      </c>
      <c r="D730" s="54" t="s">
        <v>564</v>
      </c>
      <c r="E730" s="55">
        <v>9535260</v>
      </c>
      <c r="F730" s="55">
        <v>692060</v>
      </c>
      <c r="G730" s="55">
        <v>180260</v>
      </c>
      <c r="H730" s="55" t="s">
        <v>576</v>
      </c>
      <c r="I730" s="55">
        <v>-10.15</v>
      </c>
      <c r="J730" s="55">
        <v>0.95</v>
      </c>
      <c r="K730" s="56">
        <v>31900</v>
      </c>
      <c r="L730" s="55">
        <v>600.45000000000005</v>
      </c>
      <c r="M730" s="55">
        <v>223.75000000000006</v>
      </c>
      <c r="N730" s="55" t="s">
        <v>576</v>
      </c>
      <c r="O730" s="55">
        <v>2020</v>
      </c>
      <c r="P730" s="55">
        <v>7560</v>
      </c>
      <c r="Q730" s="55">
        <v>44940</v>
      </c>
      <c r="R730" s="57" t="s">
        <v>564</v>
      </c>
      <c r="S730" s="58" t="s">
        <v>565</v>
      </c>
      <c r="T730" s="51">
        <v>31320</v>
      </c>
    </row>
    <row r="731" spans="1:20" x14ac:dyDescent="0.25">
      <c r="A731" s="51" t="str">
        <f>(COUNTIF($K$2:K731,K731))&amp;K731</f>
        <v>4232000</v>
      </c>
      <c r="B731" s="52" t="s">
        <v>601</v>
      </c>
      <c r="C731" s="53" t="s">
        <v>566</v>
      </c>
      <c r="D731" s="54" t="s">
        <v>564</v>
      </c>
      <c r="E731" s="55">
        <v>5276180</v>
      </c>
      <c r="F731" s="55">
        <v>747340</v>
      </c>
      <c r="G731" s="55">
        <v>135680</v>
      </c>
      <c r="H731" s="55" t="s">
        <v>576</v>
      </c>
      <c r="I731" s="55">
        <v>-5.35</v>
      </c>
      <c r="J731" s="55">
        <v>0.65</v>
      </c>
      <c r="K731" s="56">
        <v>32000</v>
      </c>
      <c r="L731" s="55">
        <v>695.15</v>
      </c>
      <c r="M731" s="55">
        <v>224.64999999999998</v>
      </c>
      <c r="N731" s="55" t="s">
        <v>576</v>
      </c>
      <c r="O731" s="55">
        <v>-1580</v>
      </c>
      <c r="P731" s="55">
        <v>10540</v>
      </c>
      <c r="Q731" s="55">
        <v>28820</v>
      </c>
      <c r="R731" s="57" t="s">
        <v>563</v>
      </c>
      <c r="S731" s="58" t="s">
        <v>567</v>
      </c>
      <c r="T731" s="51">
        <v>31320</v>
      </c>
    </row>
    <row r="732" spans="1:20" x14ac:dyDescent="0.25">
      <c r="A732" s="51" t="str">
        <f>(COUNTIF($K$2:K732,K732))&amp;K732</f>
        <v>43PCR</v>
      </c>
      <c r="B732" s="52" t="s">
        <v>601</v>
      </c>
      <c r="C732" s="60">
        <v>0.79697963087205614</v>
      </c>
      <c r="E732" s="61"/>
      <c r="F732" s="62">
        <v>10999980</v>
      </c>
      <c r="G732" s="63"/>
      <c r="H732" s="64"/>
      <c r="I732" s="64"/>
      <c r="J732" s="64"/>
      <c r="K732" s="65" t="s">
        <v>555</v>
      </c>
      <c r="L732" s="64"/>
      <c r="M732" s="64"/>
      <c r="N732" s="64"/>
      <c r="P732" s="63">
        <v>8766760</v>
      </c>
      <c r="Q732" s="61"/>
      <c r="R732" s="64"/>
      <c r="S732" s="64"/>
    </row>
    <row r="733" spans="1:20" x14ac:dyDescent="0.25">
      <c r="A733" s="51" t="str">
        <f>(COUNTIF($K$2:K733,K733))&amp;K733</f>
        <v>1430500</v>
      </c>
      <c r="B733" s="52" t="s">
        <v>601</v>
      </c>
      <c r="C733" s="53" t="s">
        <v>562</v>
      </c>
      <c r="D733" s="54" t="s">
        <v>563</v>
      </c>
      <c r="E733" s="55">
        <v>13320</v>
      </c>
      <c r="F733" s="55">
        <v>26580</v>
      </c>
      <c r="G733" s="55">
        <v>-5640</v>
      </c>
      <c r="H733" s="55" t="s">
        <v>574</v>
      </c>
      <c r="I733" s="55">
        <v>-226.04999999999995</v>
      </c>
      <c r="J733" s="55">
        <v>805.75</v>
      </c>
      <c r="K733" s="56">
        <v>30500</v>
      </c>
      <c r="L733" s="55">
        <v>0.6</v>
      </c>
      <c r="M733" s="55">
        <v>-2.1</v>
      </c>
      <c r="N733" s="55" t="s">
        <v>576</v>
      </c>
      <c r="O733" s="55">
        <v>-17320</v>
      </c>
      <c r="P733" s="55">
        <v>397020</v>
      </c>
      <c r="Q733" s="55">
        <v>236840</v>
      </c>
      <c r="R733" s="57" t="s">
        <v>563</v>
      </c>
      <c r="S733" s="58" t="s">
        <v>562</v>
      </c>
      <c r="T733" s="51">
        <v>31320</v>
      </c>
    </row>
    <row r="734" spans="1:20" x14ac:dyDescent="0.25">
      <c r="A734" s="51" t="str">
        <f>(COUNTIF($K$2:K734,K734))&amp;K734</f>
        <v>3430600</v>
      </c>
      <c r="B734" s="52" t="s">
        <v>601</v>
      </c>
      <c r="C734" s="53" t="s">
        <v>562</v>
      </c>
      <c r="D734" s="54" t="s">
        <v>563</v>
      </c>
      <c r="E734" s="55">
        <v>1120</v>
      </c>
      <c r="F734" s="55">
        <v>3860</v>
      </c>
      <c r="G734" s="55">
        <v>-680</v>
      </c>
      <c r="H734" s="55" t="s">
        <v>574</v>
      </c>
      <c r="I734" s="55">
        <v>-227.60000000000002</v>
      </c>
      <c r="J734" s="55">
        <v>705.1</v>
      </c>
      <c r="K734" s="56">
        <v>30600</v>
      </c>
      <c r="L734" s="55">
        <v>0.7</v>
      </c>
      <c r="M734" s="55">
        <v>-2.2999999999999998</v>
      </c>
      <c r="N734" s="55" t="s">
        <v>576</v>
      </c>
      <c r="O734" s="55">
        <v>8120</v>
      </c>
      <c r="P734" s="55">
        <v>207360</v>
      </c>
      <c r="Q734" s="55">
        <v>193580</v>
      </c>
      <c r="R734" s="57" t="s">
        <v>564</v>
      </c>
      <c r="S734" s="58" t="s">
        <v>566</v>
      </c>
      <c r="T734" s="51">
        <v>31320</v>
      </c>
    </row>
    <row r="735" spans="1:20" x14ac:dyDescent="0.25">
      <c r="A735" s="51" t="str">
        <f>(COUNTIF($K$2:K735,K735))&amp;K735</f>
        <v>4330700</v>
      </c>
      <c r="B735" s="52" t="s">
        <v>601</v>
      </c>
      <c r="C735" s="53" t="s">
        <v>562</v>
      </c>
      <c r="D735" s="54" t="s">
        <v>563</v>
      </c>
      <c r="E735" s="55">
        <v>8400</v>
      </c>
      <c r="F735" s="55">
        <v>10580</v>
      </c>
      <c r="G735" s="55">
        <v>-1240</v>
      </c>
      <c r="H735" s="55" t="s">
        <v>574</v>
      </c>
      <c r="I735" s="55">
        <v>-231</v>
      </c>
      <c r="J735" s="55">
        <v>605</v>
      </c>
      <c r="K735" s="56">
        <v>30700</v>
      </c>
      <c r="L735" s="55">
        <v>0.9</v>
      </c>
      <c r="M735" s="55">
        <v>-2.7</v>
      </c>
      <c r="N735" s="55" t="s">
        <v>576</v>
      </c>
      <c r="O735" s="55">
        <v>84260</v>
      </c>
      <c r="P735" s="55">
        <v>274460</v>
      </c>
      <c r="Q735" s="55">
        <v>458820</v>
      </c>
      <c r="R735" s="57" t="s">
        <v>564</v>
      </c>
      <c r="S735" s="58" t="s">
        <v>566</v>
      </c>
      <c r="T735" s="51">
        <v>31320</v>
      </c>
    </row>
    <row r="736" spans="1:20" x14ac:dyDescent="0.25">
      <c r="A736" s="51" t="str">
        <f>(COUNTIF($K$2:K736,K736))&amp;K736</f>
        <v>4330800</v>
      </c>
      <c r="B736" s="52" t="s">
        <v>601</v>
      </c>
      <c r="C736" s="53" t="s">
        <v>566</v>
      </c>
      <c r="D736" s="54" t="s">
        <v>564</v>
      </c>
      <c r="E736" s="55">
        <v>5180</v>
      </c>
      <c r="F736" s="55">
        <v>7840</v>
      </c>
      <c r="G736" s="55">
        <v>340</v>
      </c>
      <c r="H736" s="55" t="s">
        <v>574</v>
      </c>
      <c r="I736" s="55">
        <v>-227.45000000000005</v>
      </c>
      <c r="J736" s="55">
        <v>508.15</v>
      </c>
      <c r="K736" s="56">
        <v>30800</v>
      </c>
      <c r="L736" s="55">
        <v>1.35</v>
      </c>
      <c r="M736" s="55">
        <v>-2.7499999999999996</v>
      </c>
      <c r="N736" s="55" t="s">
        <v>576</v>
      </c>
      <c r="O736" s="55">
        <v>51240</v>
      </c>
      <c r="P736" s="55">
        <v>418640</v>
      </c>
      <c r="Q736" s="55">
        <v>1032300</v>
      </c>
      <c r="R736" s="57" t="s">
        <v>564</v>
      </c>
      <c r="S736" s="58" t="s">
        <v>566</v>
      </c>
      <c r="T736" s="51">
        <v>31320</v>
      </c>
    </row>
    <row r="737" spans="1:20" x14ac:dyDescent="0.25">
      <c r="A737" s="51" t="str">
        <f>(COUNTIF($K$2:K737,K737))&amp;K737</f>
        <v>4330900</v>
      </c>
      <c r="B737" s="52" t="s">
        <v>601</v>
      </c>
      <c r="C737" s="53" t="s">
        <v>566</v>
      </c>
      <c r="D737" s="54" t="s">
        <v>564</v>
      </c>
      <c r="E737" s="55">
        <v>7640</v>
      </c>
      <c r="F737" s="55">
        <v>6840</v>
      </c>
      <c r="G737" s="55">
        <v>600</v>
      </c>
      <c r="H737" s="55" t="s">
        <v>574</v>
      </c>
      <c r="I737" s="55">
        <v>-224.34999999999997</v>
      </c>
      <c r="J737" s="55">
        <v>409.2</v>
      </c>
      <c r="K737" s="56">
        <v>30900</v>
      </c>
      <c r="L737" s="55">
        <v>2.4</v>
      </c>
      <c r="M737" s="55">
        <v>-3.1</v>
      </c>
      <c r="N737" s="55" t="s">
        <v>576</v>
      </c>
      <c r="O737" s="55">
        <v>217260</v>
      </c>
      <c r="P737" s="55">
        <v>583140</v>
      </c>
      <c r="Q737" s="55">
        <v>2200780</v>
      </c>
      <c r="R737" s="57" t="s">
        <v>564</v>
      </c>
      <c r="S737" s="58" t="s">
        <v>566</v>
      </c>
      <c r="T737" s="51">
        <v>31320</v>
      </c>
    </row>
    <row r="738" spans="1:20" x14ac:dyDescent="0.25">
      <c r="A738" s="51" t="str">
        <f>(COUNTIF($K$2:K738,K738))&amp;K738</f>
        <v>4331000</v>
      </c>
      <c r="B738" s="52" t="s">
        <v>601</v>
      </c>
      <c r="C738" s="53" t="s">
        <v>566</v>
      </c>
      <c r="D738" s="54" t="s">
        <v>564</v>
      </c>
      <c r="E738" s="55">
        <v>186260</v>
      </c>
      <c r="F738" s="55">
        <v>100760</v>
      </c>
      <c r="G738" s="55">
        <v>12540</v>
      </c>
      <c r="H738" s="55" t="s">
        <v>574</v>
      </c>
      <c r="I738" s="55">
        <v>-235.85000000000002</v>
      </c>
      <c r="J738" s="55">
        <v>309</v>
      </c>
      <c r="K738" s="56">
        <v>31000</v>
      </c>
      <c r="L738" s="55">
        <v>5.15</v>
      </c>
      <c r="M738" s="55">
        <v>-2.25</v>
      </c>
      <c r="N738" s="55" t="s">
        <v>576</v>
      </c>
      <c r="O738" s="55">
        <v>999420</v>
      </c>
      <c r="P738" s="55">
        <v>1810020</v>
      </c>
      <c r="Q738" s="55">
        <v>6240280</v>
      </c>
      <c r="R738" s="57" t="s">
        <v>564</v>
      </c>
      <c r="S738" s="58" t="s">
        <v>566</v>
      </c>
      <c r="T738" s="51">
        <v>31320</v>
      </c>
    </row>
    <row r="739" spans="1:20" x14ac:dyDescent="0.25">
      <c r="A739" s="51" t="str">
        <f>(COUNTIF($K$2:K739,K739))&amp;K739</f>
        <v>4331100</v>
      </c>
      <c r="B739" s="52" t="s">
        <v>601</v>
      </c>
      <c r="C739" s="53" t="s">
        <v>566</v>
      </c>
      <c r="D739" s="54" t="s">
        <v>564</v>
      </c>
      <c r="E739" s="55">
        <v>214360</v>
      </c>
      <c r="F739" s="55">
        <v>60860</v>
      </c>
      <c r="G739" s="55">
        <v>30200</v>
      </c>
      <c r="H739" s="55" t="s">
        <v>574</v>
      </c>
      <c r="I739" s="55">
        <v>-227.74999999999997</v>
      </c>
      <c r="J739" s="55">
        <v>217.4</v>
      </c>
      <c r="K739" s="56">
        <v>31100</v>
      </c>
      <c r="L739" s="55">
        <v>12</v>
      </c>
      <c r="M739" s="55">
        <v>1.8499999999999996</v>
      </c>
      <c r="N739" s="55" t="s">
        <v>576</v>
      </c>
      <c r="O739" s="55">
        <v>875700</v>
      </c>
      <c r="P739" s="55">
        <v>1394400</v>
      </c>
      <c r="Q739" s="55">
        <v>7682880</v>
      </c>
      <c r="R739" s="57" t="s">
        <v>564</v>
      </c>
      <c r="S739" s="58" t="s">
        <v>565</v>
      </c>
      <c r="T739" s="51">
        <v>31320</v>
      </c>
    </row>
    <row r="740" spans="1:20" x14ac:dyDescent="0.25">
      <c r="A740" s="51" t="str">
        <f>(COUNTIF($K$2:K740,K740))&amp;K740</f>
        <v>4331200</v>
      </c>
      <c r="B740" s="52" t="s">
        <v>601</v>
      </c>
      <c r="C740" s="53" t="s">
        <v>566</v>
      </c>
      <c r="D740" s="54" t="s">
        <v>564</v>
      </c>
      <c r="E740" s="55">
        <v>1633020</v>
      </c>
      <c r="F740" s="55">
        <v>298680</v>
      </c>
      <c r="G740" s="55">
        <v>166960</v>
      </c>
      <c r="H740" s="55" t="s">
        <v>576</v>
      </c>
      <c r="I740" s="55">
        <v>-215.45</v>
      </c>
      <c r="J740" s="55">
        <v>135</v>
      </c>
      <c r="K740" s="56">
        <v>31200</v>
      </c>
      <c r="L740" s="55">
        <v>31.5</v>
      </c>
      <c r="M740" s="55">
        <v>14.100000000000001</v>
      </c>
      <c r="N740" s="55" t="s">
        <v>576</v>
      </c>
      <c r="O740" s="55">
        <v>801540</v>
      </c>
      <c r="P740" s="55">
        <v>1327480</v>
      </c>
      <c r="Q740" s="55">
        <v>10356020</v>
      </c>
      <c r="R740" s="57" t="s">
        <v>564</v>
      </c>
      <c r="S740" s="58" t="s">
        <v>565</v>
      </c>
      <c r="T740" s="51">
        <v>31320</v>
      </c>
    </row>
    <row r="741" spans="1:20" ht="15.75" x14ac:dyDescent="0.25">
      <c r="A741" s="51" t="str">
        <f>(COUNTIF($K$2:K741,K741))&amp;K741</f>
        <v>4331300</v>
      </c>
      <c r="B741" s="52" t="s">
        <v>601</v>
      </c>
      <c r="C741" s="53" t="s">
        <v>566</v>
      </c>
      <c r="D741" s="54" t="s">
        <v>564</v>
      </c>
      <c r="E741" s="55">
        <v>3591120</v>
      </c>
      <c r="F741" s="55">
        <v>640020</v>
      </c>
      <c r="G741" s="55">
        <v>524080</v>
      </c>
      <c r="H741" s="55" t="s">
        <v>576</v>
      </c>
      <c r="I741" s="55">
        <v>-191.60000000000002</v>
      </c>
      <c r="J741" s="55">
        <v>73.95</v>
      </c>
      <c r="K741" s="59">
        <v>31300</v>
      </c>
      <c r="L741" s="55">
        <v>70.45</v>
      </c>
      <c r="M741" s="55">
        <v>39.5</v>
      </c>
      <c r="N741" s="55" t="s">
        <v>576</v>
      </c>
      <c r="O741" s="55">
        <v>381120</v>
      </c>
      <c r="P741" s="55">
        <v>1031620</v>
      </c>
      <c r="Q741" s="55">
        <v>11347940</v>
      </c>
      <c r="R741" s="57" t="s">
        <v>564</v>
      </c>
      <c r="S741" s="58" t="s">
        <v>565</v>
      </c>
      <c r="T741" s="51">
        <v>31320</v>
      </c>
    </row>
    <row r="742" spans="1:20" x14ac:dyDescent="0.25">
      <c r="A742" s="51" t="str">
        <f>(COUNTIF($K$2:K742,K742))&amp;K742</f>
        <v>4331400</v>
      </c>
      <c r="B742" s="52" t="s">
        <v>601</v>
      </c>
      <c r="C742" s="53" t="s">
        <v>566</v>
      </c>
      <c r="D742" s="54" t="s">
        <v>564</v>
      </c>
      <c r="E742" s="55">
        <v>8778280</v>
      </c>
      <c r="F742" s="55">
        <v>1342780</v>
      </c>
      <c r="G742" s="55">
        <v>1158480</v>
      </c>
      <c r="H742" s="55" t="s">
        <v>576</v>
      </c>
      <c r="I742" s="55">
        <v>-153.80000000000001</v>
      </c>
      <c r="J742" s="55">
        <v>35.200000000000003</v>
      </c>
      <c r="K742" s="56">
        <v>31400</v>
      </c>
      <c r="L742" s="55">
        <v>131.55000000000001</v>
      </c>
      <c r="M742" s="55">
        <v>77.600000000000009</v>
      </c>
      <c r="N742" s="55" t="s">
        <v>576</v>
      </c>
      <c r="O742" s="55">
        <v>74820</v>
      </c>
      <c r="P742" s="55">
        <v>631040</v>
      </c>
      <c r="Q742" s="55">
        <v>8746620</v>
      </c>
      <c r="R742" s="57" t="s">
        <v>564</v>
      </c>
      <c r="S742" s="58" t="s">
        <v>565</v>
      </c>
      <c r="T742" s="51">
        <v>31320</v>
      </c>
    </row>
    <row r="743" spans="1:20" x14ac:dyDescent="0.25">
      <c r="A743" s="51" t="str">
        <f>(COUNTIF($K$2:K743,K743))&amp;K743</f>
        <v>4331500</v>
      </c>
      <c r="B743" s="52" t="s">
        <v>601</v>
      </c>
      <c r="C743" s="53" t="s">
        <v>566</v>
      </c>
      <c r="D743" s="54" t="s">
        <v>564</v>
      </c>
      <c r="E743" s="55">
        <v>13559660</v>
      </c>
      <c r="F743" s="55">
        <v>2776660</v>
      </c>
      <c r="G743" s="55">
        <v>1998120</v>
      </c>
      <c r="H743" s="55" t="s">
        <v>576</v>
      </c>
      <c r="I743" s="55">
        <v>-111.10000000000001</v>
      </c>
      <c r="J743" s="55">
        <v>15.35</v>
      </c>
      <c r="K743" s="56">
        <v>31500</v>
      </c>
      <c r="L743" s="55">
        <v>212</v>
      </c>
      <c r="M743" s="55">
        <v>121.85</v>
      </c>
      <c r="N743" s="55" t="s">
        <v>576</v>
      </c>
      <c r="O743" s="55">
        <v>-121860</v>
      </c>
      <c r="P743" s="55">
        <v>508620</v>
      </c>
      <c r="Q743" s="55">
        <v>4909980</v>
      </c>
      <c r="R743" s="57" t="s">
        <v>563</v>
      </c>
      <c r="S743" s="58" t="s">
        <v>567</v>
      </c>
      <c r="T743" s="51">
        <v>31320</v>
      </c>
    </row>
    <row r="744" spans="1:20" x14ac:dyDescent="0.25">
      <c r="A744" s="51" t="str">
        <f>(COUNTIF($K$2:K744,K744))&amp;K744</f>
        <v>4331600</v>
      </c>
      <c r="B744" s="52" t="s">
        <v>601</v>
      </c>
      <c r="C744" s="53" t="s">
        <v>566</v>
      </c>
      <c r="D744" s="54" t="s">
        <v>564</v>
      </c>
      <c r="E744" s="55">
        <v>10365220</v>
      </c>
      <c r="F744" s="55">
        <v>1874240</v>
      </c>
      <c r="G744" s="55">
        <v>1254580</v>
      </c>
      <c r="H744" s="55" t="s">
        <v>576</v>
      </c>
      <c r="I744" s="55">
        <v>-72.400000000000006</v>
      </c>
      <c r="J744" s="55">
        <v>6.05</v>
      </c>
      <c r="K744" s="56">
        <v>31600</v>
      </c>
      <c r="L744" s="55">
        <v>303.39999999999998</v>
      </c>
      <c r="M744" s="55">
        <v>161.29999999999998</v>
      </c>
      <c r="N744" s="55" t="s">
        <v>576</v>
      </c>
      <c r="O744" s="55">
        <v>15320</v>
      </c>
      <c r="P744" s="55">
        <v>109560</v>
      </c>
      <c r="Q744" s="55">
        <v>1418720</v>
      </c>
      <c r="R744" s="57" t="s">
        <v>564</v>
      </c>
      <c r="S744" s="58" t="s">
        <v>565</v>
      </c>
      <c r="T744" s="51">
        <v>31320</v>
      </c>
    </row>
    <row r="745" spans="1:20" x14ac:dyDescent="0.25">
      <c r="A745" s="51" t="str">
        <f>(COUNTIF($K$2:K745,K745))&amp;K745</f>
        <v>4331700</v>
      </c>
      <c r="B745" s="52" t="s">
        <v>601</v>
      </c>
      <c r="C745" s="53" t="s">
        <v>566</v>
      </c>
      <c r="D745" s="54" t="s">
        <v>564</v>
      </c>
      <c r="E745" s="55">
        <v>8542300</v>
      </c>
      <c r="F745" s="55">
        <v>1389680</v>
      </c>
      <c r="G745" s="55">
        <v>754420</v>
      </c>
      <c r="H745" s="55" t="s">
        <v>576</v>
      </c>
      <c r="I745" s="55">
        <v>-41.650000000000006</v>
      </c>
      <c r="J745" s="55">
        <v>2.8</v>
      </c>
      <c r="K745" s="56">
        <v>31700</v>
      </c>
      <c r="L745" s="55">
        <v>398.05</v>
      </c>
      <c r="M745" s="55">
        <v>188.65</v>
      </c>
      <c r="N745" s="55" t="s">
        <v>576</v>
      </c>
      <c r="O745" s="55">
        <v>-10620</v>
      </c>
      <c r="P745" s="55">
        <v>39140</v>
      </c>
      <c r="Q745" s="55">
        <v>594760</v>
      </c>
      <c r="R745" s="57" t="s">
        <v>563</v>
      </c>
      <c r="S745" s="58" t="s">
        <v>567</v>
      </c>
      <c r="T745" s="51">
        <v>31320</v>
      </c>
    </row>
    <row r="746" spans="1:20" x14ac:dyDescent="0.25">
      <c r="A746" s="51" t="str">
        <f>(COUNTIF($K$2:K746,K746))&amp;K746</f>
        <v>4331800</v>
      </c>
      <c r="B746" s="52" t="s">
        <v>601</v>
      </c>
      <c r="C746" s="53" t="s">
        <v>566</v>
      </c>
      <c r="D746" s="54" t="s">
        <v>564</v>
      </c>
      <c r="E746" s="55">
        <v>5862460</v>
      </c>
      <c r="F746" s="55">
        <v>1021200</v>
      </c>
      <c r="G746" s="55">
        <v>435820</v>
      </c>
      <c r="H746" s="55" t="s">
        <v>576</v>
      </c>
      <c r="I746" s="55">
        <v>-22.1</v>
      </c>
      <c r="J746" s="55">
        <v>1.4</v>
      </c>
      <c r="K746" s="56">
        <v>31800</v>
      </c>
      <c r="L746" s="55">
        <v>495.05</v>
      </c>
      <c r="M746" s="55">
        <v>209.7</v>
      </c>
      <c r="N746" s="55" t="s">
        <v>576</v>
      </c>
      <c r="O746" s="55">
        <v>1180</v>
      </c>
      <c r="P746" s="55">
        <v>16160</v>
      </c>
      <c r="Q746" s="55">
        <v>224100</v>
      </c>
      <c r="R746" s="57" t="s">
        <v>564</v>
      </c>
      <c r="S746" s="58" t="s">
        <v>565</v>
      </c>
      <c r="T746" s="51">
        <v>31320</v>
      </c>
    </row>
    <row r="747" spans="1:20" x14ac:dyDescent="0.25">
      <c r="A747" s="51" t="str">
        <f>(COUNTIF($K$2:K747,K747))&amp;K747</f>
        <v>4331900</v>
      </c>
      <c r="B747" s="52" t="s">
        <v>601</v>
      </c>
      <c r="C747" s="53" t="s">
        <v>566</v>
      </c>
      <c r="D747" s="54" t="s">
        <v>564</v>
      </c>
      <c r="E747" s="55">
        <v>9535260</v>
      </c>
      <c r="F747" s="55">
        <v>692060</v>
      </c>
      <c r="G747" s="55">
        <v>180260</v>
      </c>
      <c r="H747" s="55" t="s">
        <v>576</v>
      </c>
      <c r="I747" s="55">
        <v>-10.15</v>
      </c>
      <c r="J747" s="55">
        <v>0.95</v>
      </c>
      <c r="K747" s="56">
        <v>31900</v>
      </c>
      <c r="L747" s="55">
        <v>600.45000000000005</v>
      </c>
      <c r="M747" s="55">
        <v>223.75000000000006</v>
      </c>
      <c r="N747" s="55" t="s">
        <v>576</v>
      </c>
      <c r="O747" s="55">
        <v>2020</v>
      </c>
      <c r="P747" s="55">
        <v>7560</v>
      </c>
      <c r="Q747" s="55">
        <v>44940</v>
      </c>
      <c r="R747" s="57" t="s">
        <v>564</v>
      </c>
      <c r="S747" s="58" t="s">
        <v>565</v>
      </c>
      <c r="T747" s="51">
        <v>31320</v>
      </c>
    </row>
    <row r="748" spans="1:20" x14ac:dyDescent="0.25">
      <c r="A748" s="51" t="str">
        <f>(COUNTIF($K$2:K748,K748))&amp;K748</f>
        <v>4332000</v>
      </c>
      <c r="B748" s="52" t="s">
        <v>601</v>
      </c>
      <c r="C748" s="53" t="s">
        <v>566</v>
      </c>
      <c r="D748" s="54" t="s">
        <v>564</v>
      </c>
      <c r="E748" s="55">
        <v>5276180</v>
      </c>
      <c r="F748" s="55">
        <v>747340</v>
      </c>
      <c r="G748" s="55">
        <v>135680</v>
      </c>
      <c r="H748" s="55" t="s">
        <v>576</v>
      </c>
      <c r="I748" s="55">
        <v>-5.35</v>
      </c>
      <c r="J748" s="55">
        <v>0.65</v>
      </c>
      <c r="K748" s="56">
        <v>32000</v>
      </c>
      <c r="L748" s="55">
        <v>695.15</v>
      </c>
      <c r="M748" s="55">
        <v>224.64999999999998</v>
      </c>
      <c r="N748" s="55" t="s">
        <v>576</v>
      </c>
      <c r="O748" s="55">
        <v>-1580</v>
      </c>
      <c r="P748" s="55">
        <v>10540</v>
      </c>
      <c r="Q748" s="55">
        <v>28820</v>
      </c>
      <c r="R748" s="57" t="s">
        <v>563</v>
      </c>
      <c r="S748" s="58" t="s">
        <v>567</v>
      </c>
      <c r="T748" s="51">
        <v>31320</v>
      </c>
    </row>
    <row r="749" spans="1:20" x14ac:dyDescent="0.25">
      <c r="A749" s="51" t="str">
        <f>(COUNTIF($K$2:K749,K749))&amp;K749</f>
        <v>44PCR</v>
      </c>
      <c r="B749" s="52" t="s">
        <v>601</v>
      </c>
      <c r="C749" s="60">
        <v>0.79697963087205614</v>
      </c>
      <c r="E749" s="61"/>
      <c r="F749" s="62">
        <v>10999980</v>
      </c>
      <c r="G749" s="63"/>
      <c r="H749" s="64"/>
      <c r="I749" s="64"/>
      <c r="J749" s="64"/>
      <c r="K749" s="65" t="s">
        <v>555</v>
      </c>
      <c r="L749" s="64"/>
      <c r="M749" s="64"/>
      <c r="N749" s="64"/>
      <c r="P749" s="63">
        <v>8766760</v>
      </c>
      <c r="Q749" s="61"/>
      <c r="R749" s="64"/>
      <c r="S749" s="64"/>
    </row>
    <row r="750" spans="1:20" x14ac:dyDescent="0.25">
      <c r="A750" s="51" t="str">
        <f>(COUNTIF($K$2:K750,K750))&amp;K750</f>
        <v>1530500</v>
      </c>
      <c r="B750" s="52" t="s">
        <v>602</v>
      </c>
      <c r="C750" s="53" t="s">
        <v>562</v>
      </c>
      <c r="D750" s="54" t="s">
        <v>563</v>
      </c>
      <c r="E750" s="55">
        <v>13480</v>
      </c>
      <c r="F750" s="55">
        <v>26420</v>
      </c>
      <c r="G750" s="55">
        <v>-5800</v>
      </c>
      <c r="H750" s="55" t="s">
        <v>574</v>
      </c>
      <c r="I750" s="55">
        <v>-236.79999999999995</v>
      </c>
      <c r="J750" s="55">
        <v>795</v>
      </c>
      <c r="K750" s="56">
        <v>30500</v>
      </c>
      <c r="L750" s="55">
        <v>0.65</v>
      </c>
      <c r="M750" s="55">
        <v>-2.0500000000000003</v>
      </c>
      <c r="N750" s="55" t="s">
        <v>576</v>
      </c>
      <c r="O750" s="55">
        <v>-14100</v>
      </c>
      <c r="P750" s="55">
        <v>400240</v>
      </c>
      <c r="Q750" s="55">
        <v>242200</v>
      </c>
      <c r="R750" s="57" t="s">
        <v>563</v>
      </c>
      <c r="S750" s="58" t="s">
        <v>562</v>
      </c>
      <c r="T750" s="51">
        <v>31312.9</v>
      </c>
    </row>
    <row r="751" spans="1:20" x14ac:dyDescent="0.25">
      <c r="A751" s="51" t="str">
        <f>(COUNTIF($K$2:K751,K751))&amp;K751</f>
        <v>3530600</v>
      </c>
      <c r="B751" s="52" t="s">
        <v>602</v>
      </c>
      <c r="C751" s="53" t="s">
        <v>562</v>
      </c>
      <c r="D751" s="54" t="s">
        <v>563</v>
      </c>
      <c r="E751" s="55">
        <v>1140</v>
      </c>
      <c r="F751" s="55">
        <v>3860</v>
      </c>
      <c r="G751" s="55">
        <v>-680</v>
      </c>
      <c r="H751" s="55" t="s">
        <v>574</v>
      </c>
      <c r="I751" s="55">
        <v>-235.45000000000005</v>
      </c>
      <c r="J751" s="55">
        <v>697.25</v>
      </c>
      <c r="K751" s="56">
        <v>30600</v>
      </c>
      <c r="L751" s="55">
        <v>0.75</v>
      </c>
      <c r="M751" s="55">
        <v>-2.25</v>
      </c>
      <c r="N751" s="55" t="s">
        <v>576</v>
      </c>
      <c r="O751" s="55">
        <v>7220</v>
      </c>
      <c r="P751" s="55">
        <v>206460</v>
      </c>
      <c r="Q751" s="55">
        <v>198100</v>
      </c>
      <c r="R751" s="57" t="s">
        <v>564</v>
      </c>
      <c r="S751" s="58" t="s">
        <v>566</v>
      </c>
      <c r="T751" s="51">
        <v>31312.9</v>
      </c>
    </row>
    <row r="752" spans="1:20" x14ac:dyDescent="0.25">
      <c r="A752" s="51" t="str">
        <f>(COUNTIF($K$2:K752,K752))&amp;K752</f>
        <v>4430700</v>
      </c>
      <c r="B752" s="52" t="s">
        <v>602</v>
      </c>
      <c r="C752" s="53" t="s">
        <v>562</v>
      </c>
      <c r="D752" s="54" t="s">
        <v>563</v>
      </c>
      <c r="E752" s="55">
        <v>8440</v>
      </c>
      <c r="F752" s="55">
        <v>10540</v>
      </c>
      <c r="G752" s="55">
        <v>-1280</v>
      </c>
      <c r="H752" s="55" t="s">
        <v>574</v>
      </c>
      <c r="I752" s="55">
        <v>-238.79999999999995</v>
      </c>
      <c r="J752" s="55">
        <v>597.20000000000005</v>
      </c>
      <c r="K752" s="56">
        <v>30700</v>
      </c>
      <c r="L752" s="55">
        <v>0.95</v>
      </c>
      <c r="M752" s="55">
        <v>-2.6500000000000004</v>
      </c>
      <c r="N752" s="55" t="s">
        <v>576</v>
      </c>
      <c r="O752" s="55">
        <v>82760</v>
      </c>
      <c r="P752" s="55">
        <v>272960</v>
      </c>
      <c r="Q752" s="55">
        <v>468180</v>
      </c>
      <c r="R752" s="57" t="s">
        <v>564</v>
      </c>
      <c r="S752" s="58" t="s">
        <v>566</v>
      </c>
      <c r="T752" s="51">
        <v>31312.9</v>
      </c>
    </row>
    <row r="753" spans="1:20" x14ac:dyDescent="0.25">
      <c r="A753" s="51" t="str">
        <f>(COUNTIF($K$2:K753,K753))&amp;K753</f>
        <v>4430800</v>
      </c>
      <c r="B753" s="52" t="s">
        <v>602</v>
      </c>
      <c r="C753" s="53" t="s">
        <v>566</v>
      </c>
      <c r="D753" s="54" t="s">
        <v>564</v>
      </c>
      <c r="E753" s="55">
        <v>5880</v>
      </c>
      <c r="F753" s="55">
        <v>7660</v>
      </c>
      <c r="G753" s="55">
        <v>160</v>
      </c>
      <c r="H753" s="55" t="s">
        <v>574</v>
      </c>
      <c r="I753" s="55">
        <v>-251.70000000000005</v>
      </c>
      <c r="J753" s="55">
        <v>483.9</v>
      </c>
      <c r="K753" s="56">
        <v>30800</v>
      </c>
      <c r="L753" s="55">
        <v>1.25</v>
      </c>
      <c r="M753" s="55">
        <v>-2.8499999999999996</v>
      </c>
      <c r="N753" s="55" t="s">
        <v>576</v>
      </c>
      <c r="O753" s="55">
        <v>58760</v>
      </c>
      <c r="P753" s="55">
        <v>426160</v>
      </c>
      <c r="Q753" s="55">
        <v>1073620</v>
      </c>
      <c r="R753" s="57" t="s">
        <v>564</v>
      </c>
      <c r="S753" s="58" t="s">
        <v>566</v>
      </c>
      <c r="T753" s="51">
        <v>31312.9</v>
      </c>
    </row>
    <row r="754" spans="1:20" x14ac:dyDescent="0.25">
      <c r="A754" s="51" t="str">
        <f>(COUNTIF($K$2:K754,K754))&amp;K754</f>
        <v>4430900</v>
      </c>
      <c r="B754" s="52" t="s">
        <v>602</v>
      </c>
      <c r="C754" s="53" t="s">
        <v>566</v>
      </c>
      <c r="D754" s="54" t="s">
        <v>564</v>
      </c>
      <c r="E754" s="55">
        <v>8740</v>
      </c>
      <c r="F754" s="55">
        <v>6840</v>
      </c>
      <c r="G754" s="55">
        <v>600</v>
      </c>
      <c r="H754" s="55" t="s">
        <v>574</v>
      </c>
      <c r="I754" s="55">
        <v>-245.09999999999997</v>
      </c>
      <c r="J754" s="55">
        <v>388.45</v>
      </c>
      <c r="K754" s="56">
        <v>30900</v>
      </c>
      <c r="L754" s="55">
        <v>2.5</v>
      </c>
      <c r="M754" s="55">
        <v>-3</v>
      </c>
      <c r="N754" s="55" t="s">
        <v>576</v>
      </c>
      <c r="O754" s="55">
        <v>219620</v>
      </c>
      <c r="P754" s="55">
        <v>585500</v>
      </c>
      <c r="Q754" s="55">
        <v>2270340</v>
      </c>
      <c r="R754" s="57" t="s">
        <v>564</v>
      </c>
      <c r="S754" s="58" t="s">
        <v>566</v>
      </c>
      <c r="T754" s="51">
        <v>31312.9</v>
      </c>
    </row>
    <row r="755" spans="1:20" x14ac:dyDescent="0.25">
      <c r="A755" s="51" t="str">
        <f>(COUNTIF($K$2:K755,K755))&amp;K755</f>
        <v>4431000</v>
      </c>
      <c r="B755" s="52" t="s">
        <v>602</v>
      </c>
      <c r="C755" s="53" t="s">
        <v>566</v>
      </c>
      <c r="D755" s="54" t="s">
        <v>564</v>
      </c>
      <c r="E755" s="55">
        <v>206440</v>
      </c>
      <c r="F755" s="55">
        <v>102560</v>
      </c>
      <c r="G755" s="55">
        <v>14340</v>
      </c>
      <c r="H755" s="55" t="s">
        <v>574</v>
      </c>
      <c r="I755" s="55">
        <v>-242.85000000000002</v>
      </c>
      <c r="J755" s="55">
        <v>302</v>
      </c>
      <c r="K755" s="56">
        <v>31000</v>
      </c>
      <c r="L755" s="55">
        <v>5.55</v>
      </c>
      <c r="M755" s="55">
        <v>-1.8500000000000005</v>
      </c>
      <c r="N755" s="55" t="s">
        <v>576</v>
      </c>
      <c r="O755" s="55">
        <v>1031420</v>
      </c>
      <c r="P755" s="55">
        <v>1842020</v>
      </c>
      <c r="Q755" s="55">
        <v>6521980</v>
      </c>
      <c r="R755" s="57" t="s">
        <v>564</v>
      </c>
      <c r="S755" s="58" t="s">
        <v>566</v>
      </c>
      <c r="T755" s="51">
        <v>31312.9</v>
      </c>
    </row>
    <row r="756" spans="1:20" x14ac:dyDescent="0.25">
      <c r="A756" s="51" t="str">
        <f>(COUNTIF($K$2:K756,K756))&amp;K756</f>
        <v>4431100</v>
      </c>
      <c r="B756" s="52" t="s">
        <v>602</v>
      </c>
      <c r="C756" s="53" t="s">
        <v>566</v>
      </c>
      <c r="D756" s="54" t="s">
        <v>564</v>
      </c>
      <c r="E756" s="55">
        <v>244700</v>
      </c>
      <c r="F756" s="55">
        <v>64020</v>
      </c>
      <c r="G756" s="55">
        <v>33360</v>
      </c>
      <c r="H756" s="55" t="s">
        <v>574</v>
      </c>
      <c r="I756" s="55">
        <v>-237.34999999999997</v>
      </c>
      <c r="J756" s="55">
        <v>207.8</v>
      </c>
      <c r="K756" s="56">
        <v>31100</v>
      </c>
      <c r="L756" s="55">
        <v>13.2</v>
      </c>
      <c r="M756" s="55">
        <v>3.0499999999999989</v>
      </c>
      <c r="N756" s="55" t="s">
        <v>576</v>
      </c>
      <c r="O756" s="55">
        <v>891020</v>
      </c>
      <c r="P756" s="55">
        <v>1409720</v>
      </c>
      <c r="Q756" s="55">
        <v>8077080</v>
      </c>
      <c r="R756" s="57" t="s">
        <v>564</v>
      </c>
      <c r="S756" s="58" t="s">
        <v>565</v>
      </c>
      <c r="T756" s="51">
        <v>31312.9</v>
      </c>
    </row>
    <row r="757" spans="1:20" x14ac:dyDescent="0.25">
      <c r="A757" s="51" t="str">
        <f>(COUNTIF($K$2:K757,K757))&amp;K757</f>
        <v>4431200</v>
      </c>
      <c r="B757" s="52" t="s">
        <v>602</v>
      </c>
      <c r="C757" s="53" t="s">
        <v>566</v>
      </c>
      <c r="D757" s="54" t="s">
        <v>564</v>
      </c>
      <c r="E757" s="55">
        <v>1777440</v>
      </c>
      <c r="F757" s="55">
        <v>301740</v>
      </c>
      <c r="G757" s="55">
        <v>170020</v>
      </c>
      <c r="H757" s="55" t="s">
        <v>576</v>
      </c>
      <c r="I757" s="55">
        <v>-220.54999999999998</v>
      </c>
      <c r="J757" s="55">
        <v>129.9</v>
      </c>
      <c r="K757" s="56">
        <v>31200</v>
      </c>
      <c r="L757" s="55">
        <v>34</v>
      </c>
      <c r="M757" s="55">
        <v>16.600000000000001</v>
      </c>
      <c r="N757" s="55" t="s">
        <v>576</v>
      </c>
      <c r="O757" s="55">
        <v>820960</v>
      </c>
      <c r="P757" s="55">
        <v>1346900</v>
      </c>
      <c r="Q757" s="55">
        <v>10941500</v>
      </c>
      <c r="R757" s="57" t="s">
        <v>564</v>
      </c>
      <c r="S757" s="58" t="s">
        <v>565</v>
      </c>
      <c r="T757" s="51">
        <v>31312.9</v>
      </c>
    </row>
    <row r="758" spans="1:20" ht="15.75" x14ac:dyDescent="0.25">
      <c r="A758" s="51" t="str">
        <f>(COUNTIF($K$2:K758,K758))&amp;K758</f>
        <v>4431300</v>
      </c>
      <c r="B758" s="52" t="s">
        <v>602</v>
      </c>
      <c r="C758" s="53" t="s">
        <v>566</v>
      </c>
      <c r="D758" s="54" t="s">
        <v>564</v>
      </c>
      <c r="E758" s="55">
        <v>3982520</v>
      </c>
      <c r="F758" s="55">
        <v>675800</v>
      </c>
      <c r="G758" s="55">
        <v>559860</v>
      </c>
      <c r="H758" s="55" t="s">
        <v>576</v>
      </c>
      <c r="I758" s="55">
        <v>-196.20000000000002</v>
      </c>
      <c r="J758" s="55">
        <v>69.349999999999994</v>
      </c>
      <c r="K758" s="59">
        <v>31300</v>
      </c>
      <c r="L758" s="55">
        <v>74</v>
      </c>
      <c r="M758" s="55">
        <v>43.05</v>
      </c>
      <c r="N758" s="55" t="s">
        <v>576</v>
      </c>
      <c r="O758" s="55">
        <v>387120</v>
      </c>
      <c r="P758" s="55">
        <v>1037620</v>
      </c>
      <c r="Q758" s="55">
        <v>11892200</v>
      </c>
      <c r="R758" s="57" t="s">
        <v>564</v>
      </c>
      <c r="S758" s="58" t="s">
        <v>565</v>
      </c>
      <c r="T758" s="51">
        <v>31312.9</v>
      </c>
    </row>
    <row r="759" spans="1:20" x14ac:dyDescent="0.25">
      <c r="A759" s="51" t="str">
        <f>(COUNTIF($K$2:K759,K759))&amp;K759</f>
        <v>4431400</v>
      </c>
      <c r="B759" s="52" t="s">
        <v>602</v>
      </c>
      <c r="C759" s="53" t="s">
        <v>566</v>
      </c>
      <c r="D759" s="54" t="s">
        <v>564</v>
      </c>
      <c r="E759" s="55">
        <v>9361460</v>
      </c>
      <c r="F759" s="55">
        <v>1371680</v>
      </c>
      <c r="G759" s="55">
        <v>1187380</v>
      </c>
      <c r="H759" s="55" t="s">
        <v>576</v>
      </c>
      <c r="I759" s="55">
        <v>-155.5</v>
      </c>
      <c r="J759" s="55">
        <v>33.5</v>
      </c>
      <c r="K759" s="56">
        <v>31400</v>
      </c>
      <c r="L759" s="55">
        <v>137.30000000000001</v>
      </c>
      <c r="M759" s="55">
        <v>83.350000000000009</v>
      </c>
      <c r="N759" s="55" t="s">
        <v>576</v>
      </c>
      <c r="O759" s="55">
        <v>82060</v>
      </c>
      <c r="P759" s="55">
        <v>638280</v>
      </c>
      <c r="Q759" s="55">
        <v>9011080</v>
      </c>
      <c r="R759" s="57" t="s">
        <v>564</v>
      </c>
      <c r="S759" s="58" t="s">
        <v>565</v>
      </c>
      <c r="T759" s="51">
        <v>31312.9</v>
      </c>
    </row>
    <row r="760" spans="1:20" x14ac:dyDescent="0.25">
      <c r="A760" s="51" t="str">
        <f>(COUNTIF($K$2:K760,K760))&amp;K760</f>
        <v>4431500</v>
      </c>
      <c r="B760" s="52" t="s">
        <v>602</v>
      </c>
      <c r="C760" s="53" t="s">
        <v>566</v>
      </c>
      <c r="D760" s="54" t="s">
        <v>564</v>
      </c>
      <c r="E760" s="55">
        <v>14259040</v>
      </c>
      <c r="F760" s="55">
        <v>2808360</v>
      </c>
      <c r="G760" s="55">
        <v>2029820</v>
      </c>
      <c r="H760" s="55" t="s">
        <v>576</v>
      </c>
      <c r="I760" s="55">
        <v>-111.65</v>
      </c>
      <c r="J760" s="55">
        <v>14.8</v>
      </c>
      <c r="K760" s="56">
        <v>31500</v>
      </c>
      <c r="L760" s="55">
        <v>218.2</v>
      </c>
      <c r="M760" s="55">
        <v>128.04999999999998</v>
      </c>
      <c r="N760" s="55" t="s">
        <v>576</v>
      </c>
      <c r="O760" s="55">
        <v>-126100</v>
      </c>
      <c r="P760" s="55">
        <v>504380</v>
      </c>
      <c r="Q760" s="55">
        <v>5062980</v>
      </c>
      <c r="R760" s="57" t="s">
        <v>563</v>
      </c>
      <c r="S760" s="58" t="s">
        <v>567</v>
      </c>
      <c r="T760" s="51">
        <v>31312.9</v>
      </c>
    </row>
    <row r="761" spans="1:20" x14ac:dyDescent="0.25">
      <c r="A761" s="51" t="str">
        <f>(COUNTIF($K$2:K761,K761))&amp;K761</f>
        <v>4431600</v>
      </c>
      <c r="B761" s="52" t="s">
        <v>602</v>
      </c>
      <c r="C761" s="53" t="s">
        <v>566</v>
      </c>
      <c r="D761" s="54" t="s">
        <v>564</v>
      </c>
      <c r="E761" s="55">
        <v>10785720</v>
      </c>
      <c r="F761" s="55">
        <v>1897760</v>
      </c>
      <c r="G761" s="55">
        <v>1278100</v>
      </c>
      <c r="H761" s="55" t="s">
        <v>576</v>
      </c>
      <c r="I761" s="55">
        <v>-72.5</v>
      </c>
      <c r="J761" s="55">
        <v>5.95</v>
      </c>
      <c r="K761" s="56">
        <v>31600</v>
      </c>
      <c r="L761" s="55">
        <v>311.05</v>
      </c>
      <c r="M761" s="55">
        <v>168.95000000000002</v>
      </c>
      <c r="N761" s="55" t="s">
        <v>576</v>
      </c>
      <c r="O761" s="55">
        <v>11180</v>
      </c>
      <c r="P761" s="55">
        <v>105420</v>
      </c>
      <c r="Q761" s="55">
        <v>1460160</v>
      </c>
      <c r="R761" s="57" t="s">
        <v>564</v>
      </c>
      <c r="S761" s="58" t="s">
        <v>565</v>
      </c>
      <c r="T761" s="51">
        <v>31312.9</v>
      </c>
    </row>
    <row r="762" spans="1:20" x14ac:dyDescent="0.25">
      <c r="A762" s="51" t="str">
        <f>(COUNTIF($K$2:K762,K762))&amp;K762</f>
        <v>4431700</v>
      </c>
      <c r="B762" s="52" t="s">
        <v>602</v>
      </c>
      <c r="C762" s="53" t="s">
        <v>566</v>
      </c>
      <c r="D762" s="54" t="s">
        <v>564</v>
      </c>
      <c r="E762" s="55">
        <v>8834020</v>
      </c>
      <c r="F762" s="55">
        <v>1387940</v>
      </c>
      <c r="G762" s="55">
        <v>752680</v>
      </c>
      <c r="H762" s="55" t="s">
        <v>576</v>
      </c>
      <c r="I762" s="55">
        <v>-41.7</v>
      </c>
      <c r="J762" s="55">
        <v>2.75</v>
      </c>
      <c r="K762" s="56">
        <v>31700</v>
      </c>
      <c r="L762" s="55">
        <v>408.35</v>
      </c>
      <c r="M762" s="55">
        <v>198.95000000000002</v>
      </c>
      <c r="N762" s="55" t="s">
        <v>576</v>
      </c>
      <c r="O762" s="55">
        <v>-11220</v>
      </c>
      <c r="P762" s="55">
        <v>38540</v>
      </c>
      <c r="Q762" s="55">
        <v>603960</v>
      </c>
      <c r="R762" s="57" t="s">
        <v>563</v>
      </c>
      <c r="S762" s="58" t="s">
        <v>567</v>
      </c>
      <c r="T762" s="51">
        <v>31312.9</v>
      </c>
    </row>
    <row r="763" spans="1:20" x14ac:dyDescent="0.25">
      <c r="A763" s="51" t="str">
        <f>(COUNTIF($K$2:K763,K763))&amp;K763</f>
        <v>4431800</v>
      </c>
      <c r="B763" s="52" t="s">
        <v>602</v>
      </c>
      <c r="C763" s="53" t="s">
        <v>566</v>
      </c>
      <c r="D763" s="54" t="s">
        <v>564</v>
      </c>
      <c r="E763" s="55">
        <v>6023220</v>
      </c>
      <c r="F763" s="55">
        <v>1029240</v>
      </c>
      <c r="G763" s="55">
        <v>443860</v>
      </c>
      <c r="H763" s="55" t="s">
        <v>576</v>
      </c>
      <c r="I763" s="55">
        <v>-22.1</v>
      </c>
      <c r="J763" s="55">
        <v>1.4</v>
      </c>
      <c r="K763" s="56">
        <v>31800</v>
      </c>
      <c r="L763" s="55">
        <v>508</v>
      </c>
      <c r="M763" s="55">
        <v>222.64999999999998</v>
      </c>
      <c r="N763" s="55" t="s">
        <v>576</v>
      </c>
      <c r="O763" s="55">
        <v>1200</v>
      </c>
      <c r="P763" s="55">
        <v>16180</v>
      </c>
      <c r="Q763" s="55">
        <v>226720</v>
      </c>
      <c r="R763" s="57" t="s">
        <v>564</v>
      </c>
      <c r="S763" s="58" t="s">
        <v>565</v>
      </c>
      <c r="T763" s="51">
        <v>31312.9</v>
      </c>
    </row>
    <row r="764" spans="1:20" x14ac:dyDescent="0.25">
      <c r="A764" s="51" t="str">
        <f>(COUNTIF($K$2:K764,K764))&amp;K764</f>
        <v>4431900</v>
      </c>
      <c r="B764" s="52" t="s">
        <v>602</v>
      </c>
      <c r="C764" s="53" t="s">
        <v>566</v>
      </c>
      <c r="D764" s="54" t="s">
        <v>564</v>
      </c>
      <c r="E764" s="55">
        <v>11286160</v>
      </c>
      <c r="F764" s="55">
        <v>658440</v>
      </c>
      <c r="G764" s="55">
        <v>146640</v>
      </c>
      <c r="H764" s="55" t="s">
        <v>576</v>
      </c>
      <c r="I764" s="55">
        <v>-10.199999999999999</v>
      </c>
      <c r="J764" s="55">
        <v>0.9</v>
      </c>
      <c r="K764" s="56">
        <v>31900</v>
      </c>
      <c r="L764" s="55">
        <v>606.65</v>
      </c>
      <c r="M764" s="55">
        <v>229.95</v>
      </c>
      <c r="N764" s="55" t="s">
        <v>576</v>
      </c>
      <c r="O764" s="55">
        <v>1880</v>
      </c>
      <c r="P764" s="55">
        <v>7420</v>
      </c>
      <c r="Q764" s="55">
        <v>46920</v>
      </c>
      <c r="R764" s="57" t="s">
        <v>564</v>
      </c>
      <c r="S764" s="58" t="s">
        <v>565</v>
      </c>
      <c r="T764" s="51">
        <v>31312.9</v>
      </c>
    </row>
    <row r="765" spans="1:20" x14ac:dyDescent="0.25">
      <c r="A765" s="51" t="str">
        <f>(COUNTIF($K$2:K765,K765))&amp;K765</f>
        <v>4432000</v>
      </c>
      <c r="B765" s="52" t="s">
        <v>602</v>
      </c>
      <c r="C765" s="53" t="s">
        <v>566</v>
      </c>
      <c r="D765" s="54" t="s">
        <v>564</v>
      </c>
      <c r="E765" s="55">
        <v>5359420</v>
      </c>
      <c r="F765" s="55">
        <v>761780</v>
      </c>
      <c r="G765" s="55">
        <v>150120</v>
      </c>
      <c r="H765" s="55" t="s">
        <v>576</v>
      </c>
      <c r="I765" s="55">
        <v>-5.35</v>
      </c>
      <c r="J765" s="55">
        <v>0.65</v>
      </c>
      <c r="K765" s="56">
        <v>32000</v>
      </c>
      <c r="L765" s="55">
        <v>708.05</v>
      </c>
      <c r="M765" s="55">
        <v>237.54999999999995</v>
      </c>
      <c r="N765" s="55" t="s">
        <v>576</v>
      </c>
      <c r="O765" s="55">
        <v>-1460</v>
      </c>
      <c r="P765" s="55">
        <v>10660</v>
      </c>
      <c r="Q765" s="55">
        <v>29680</v>
      </c>
      <c r="R765" s="57" t="s">
        <v>563</v>
      </c>
      <c r="S765" s="58" t="s">
        <v>567</v>
      </c>
      <c r="T765" s="51">
        <v>31312.9</v>
      </c>
    </row>
    <row r="766" spans="1:20" x14ac:dyDescent="0.25">
      <c r="A766" s="51" t="str">
        <f>(COUNTIF($K$2:K766,K766))&amp;K766</f>
        <v>45PCR</v>
      </c>
      <c r="B766" s="52" t="s">
        <v>602</v>
      </c>
      <c r="C766" s="60">
        <v>0.79610855592263896</v>
      </c>
      <c r="E766" s="61"/>
      <c r="F766" s="62">
        <v>11114640</v>
      </c>
      <c r="G766" s="63"/>
      <c r="H766" s="64"/>
      <c r="I766" s="64"/>
      <c r="J766" s="64"/>
      <c r="K766" s="65" t="s">
        <v>555</v>
      </c>
      <c r="L766" s="64"/>
      <c r="M766" s="64"/>
      <c r="N766" s="64"/>
      <c r="P766" s="63">
        <v>8848460</v>
      </c>
      <c r="Q766" s="61"/>
      <c r="R766" s="64"/>
      <c r="S766" s="64"/>
    </row>
    <row r="767" spans="1:20" x14ac:dyDescent="0.25">
      <c r="A767" s="51" t="str">
        <f>(COUNTIF($K$2:K767,K767))&amp;K767</f>
        <v>1630500</v>
      </c>
      <c r="B767" s="52" t="s">
        <v>602</v>
      </c>
      <c r="C767" s="53" t="s">
        <v>562</v>
      </c>
      <c r="D767" s="54" t="s">
        <v>563</v>
      </c>
      <c r="E767" s="55">
        <v>13480</v>
      </c>
      <c r="F767" s="55">
        <v>26420</v>
      </c>
      <c r="G767" s="55">
        <v>-5800</v>
      </c>
      <c r="H767" s="55" t="s">
        <v>574</v>
      </c>
      <c r="I767" s="55">
        <v>-236.79999999999995</v>
      </c>
      <c r="J767" s="55">
        <v>795</v>
      </c>
      <c r="K767" s="56">
        <v>30500</v>
      </c>
      <c r="L767" s="55">
        <v>0.65</v>
      </c>
      <c r="M767" s="55">
        <v>-2.0500000000000003</v>
      </c>
      <c r="N767" s="55" t="s">
        <v>576</v>
      </c>
      <c r="O767" s="55">
        <v>-14100</v>
      </c>
      <c r="P767" s="55">
        <v>400240</v>
      </c>
      <c r="Q767" s="55">
        <v>242200</v>
      </c>
      <c r="R767" s="57" t="s">
        <v>563</v>
      </c>
      <c r="S767" s="58" t="s">
        <v>562</v>
      </c>
      <c r="T767" s="51">
        <v>31312.9</v>
      </c>
    </row>
    <row r="768" spans="1:20" x14ac:dyDescent="0.25">
      <c r="A768" s="51" t="str">
        <f>(COUNTIF($K$2:K768,K768))&amp;K768</f>
        <v>3630600</v>
      </c>
      <c r="B768" s="52" t="s">
        <v>602</v>
      </c>
      <c r="C768" s="53" t="s">
        <v>562</v>
      </c>
      <c r="D768" s="54" t="s">
        <v>563</v>
      </c>
      <c r="E768" s="55">
        <v>1140</v>
      </c>
      <c r="F768" s="55">
        <v>3860</v>
      </c>
      <c r="G768" s="55">
        <v>-680</v>
      </c>
      <c r="H768" s="55" t="s">
        <v>574</v>
      </c>
      <c r="I768" s="55">
        <v>-235.45000000000005</v>
      </c>
      <c r="J768" s="55">
        <v>697.25</v>
      </c>
      <c r="K768" s="56">
        <v>30600</v>
      </c>
      <c r="L768" s="55">
        <v>0.75</v>
      </c>
      <c r="M768" s="55">
        <v>-2.25</v>
      </c>
      <c r="N768" s="55" t="s">
        <v>576</v>
      </c>
      <c r="O768" s="55">
        <v>7220</v>
      </c>
      <c r="P768" s="55">
        <v>206460</v>
      </c>
      <c r="Q768" s="55">
        <v>198100</v>
      </c>
      <c r="R768" s="57" t="s">
        <v>564</v>
      </c>
      <c r="S768" s="58" t="s">
        <v>566</v>
      </c>
      <c r="T768" s="51">
        <v>31312.9</v>
      </c>
    </row>
    <row r="769" spans="1:20" x14ac:dyDescent="0.25">
      <c r="A769" s="51" t="str">
        <f>(COUNTIF($K$2:K769,K769))&amp;K769</f>
        <v>4530700</v>
      </c>
      <c r="B769" s="52" t="s">
        <v>602</v>
      </c>
      <c r="C769" s="53" t="s">
        <v>562</v>
      </c>
      <c r="D769" s="54" t="s">
        <v>563</v>
      </c>
      <c r="E769" s="55">
        <v>8440</v>
      </c>
      <c r="F769" s="55">
        <v>10540</v>
      </c>
      <c r="G769" s="55">
        <v>-1280</v>
      </c>
      <c r="H769" s="55" t="s">
        <v>574</v>
      </c>
      <c r="I769" s="55">
        <v>-238.79999999999995</v>
      </c>
      <c r="J769" s="55">
        <v>597.20000000000005</v>
      </c>
      <c r="K769" s="56">
        <v>30700</v>
      </c>
      <c r="L769" s="55">
        <v>0.95</v>
      </c>
      <c r="M769" s="55">
        <v>-2.6500000000000004</v>
      </c>
      <c r="N769" s="55" t="s">
        <v>576</v>
      </c>
      <c r="O769" s="55">
        <v>82760</v>
      </c>
      <c r="P769" s="55">
        <v>272960</v>
      </c>
      <c r="Q769" s="55">
        <v>468180</v>
      </c>
      <c r="R769" s="57" t="s">
        <v>564</v>
      </c>
      <c r="S769" s="58" t="s">
        <v>566</v>
      </c>
      <c r="T769" s="51">
        <v>31312.9</v>
      </c>
    </row>
    <row r="770" spans="1:20" x14ac:dyDescent="0.25">
      <c r="A770" s="51" t="str">
        <f>(COUNTIF($K$2:K770,K770))&amp;K770</f>
        <v>4530800</v>
      </c>
      <c r="B770" s="52" t="s">
        <v>602</v>
      </c>
      <c r="C770" s="53" t="s">
        <v>566</v>
      </c>
      <c r="D770" s="54" t="s">
        <v>564</v>
      </c>
      <c r="E770" s="55">
        <v>5880</v>
      </c>
      <c r="F770" s="55">
        <v>7660</v>
      </c>
      <c r="G770" s="55">
        <v>160</v>
      </c>
      <c r="H770" s="55" t="s">
        <v>574</v>
      </c>
      <c r="I770" s="55">
        <v>-251.70000000000005</v>
      </c>
      <c r="J770" s="55">
        <v>483.9</v>
      </c>
      <c r="K770" s="56">
        <v>30800</v>
      </c>
      <c r="L770" s="55">
        <v>1.25</v>
      </c>
      <c r="M770" s="55">
        <v>-2.8499999999999996</v>
      </c>
      <c r="N770" s="55" t="s">
        <v>576</v>
      </c>
      <c r="O770" s="55">
        <v>58760</v>
      </c>
      <c r="P770" s="55">
        <v>426160</v>
      </c>
      <c r="Q770" s="55">
        <v>1073620</v>
      </c>
      <c r="R770" s="57" t="s">
        <v>564</v>
      </c>
      <c r="S770" s="58" t="s">
        <v>566</v>
      </c>
      <c r="T770" s="51">
        <v>31312.9</v>
      </c>
    </row>
    <row r="771" spans="1:20" x14ac:dyDescent="0.25">
      <c r="A771" s="51" t="str">
        <f>(COUNTIF($K$2:K771,K771))&amp;K771</f>
        <v>4530900</v>
      </c>
      <c r="B771" s="52" t="s">
        <v>602</v>
      </c>
      <c r="C771" s="53" t="s">
        <v>566</v>
      </c>
      <c r="D771" s="54" t="s">
        <v>564</v>
      </c>
      <c r="E771" s="55">
        <v>8740</v>
      </c>
      <c r="F771" s="55">
        <v>6840</v>
      </c>
      <c r="G771" s="55">
        <v>600</v>
      </c>
      <c r="H771" s="55" t="s">
        <v>574</v>
      </c>
      <c r="I771" s="55">
        <v>-245.09999999999997</v>
      </c>
      <c r="J771" s="55">
        <v>388.45</v>
      </c>
      <c r="K771" s="56">
        <v>30900</v>
      </c>
      <c r="L771" s="55">
        <v>2.5</v>
      </c>
      <c r="M771" s="55">
        <v>-3</v>
      </c>
      <c r="N771" s="55" t="s">
        <v>576</v>
      </c>
      <c r="O771" s="55">
        <v>219620</v>
      </c>
      <c r="P771" s="55">
        <v>585500</v>
      </c>
      <c r="Q771" s="55">
        <v>2270340</v>
      </c>
      <c r="R771" s="57" t="s">
        <v>564</v>
      </c>
      <c r="S771" s="58" t="s">
        <v>566</v>
      </c>
      <c r="T771" s="51">
        <v>31312.9</v>
      </c>
    </row>
    <row r="772" spans="1:20" x14ac:dyDescent="0.25">
      <c r="A772" s="51" t="str">
        <f>(COUNTIF($K$2:K772,K772))&amp;K772</f>
        <v>4531000</v>
      </c>
      <c r="B772" s="52" t="s">
        <v>602</v>
      </c>
      <c r="C772" s="53" t="s">
        <v>566</v>
      </c>
      <c r="D772" s="54" t="s">
        <v>564</v>
      </c>
      <c r="E772" s="55">
        <v>206440</v>
      </c>
      <c r="F772" s="55">
        <v>102560</v>
      </c>
      <c r="G772" s="55">
        <v>14340</v>
      </c>
      <c r="H772" s="55" t="s">
        <v>574</v>
      </c>
      <c r="I772" s="55">
        <v>-242.85000000000002</v>
      </c>
      <c r="J772" s="55">
        <v>302</v>
      </c>
      <c r="K772" s="56">
        <v>31000</v>
      </c>
      <c r="L772" s="55">
        <v>5.55</v>
      </c>
      <c r="M772" s="55">
        <v>-1.8500000000000005</v>
      </c>
      <c r="N772" s="55" t="s">
        <v>576</v>
      </c>
      <c r="O772" s="55">
        <v>1031420</v>
      </c>
      <c r="P772" s="55">
        <v>1842020</v>
      </c>
      <c r="Q772" s="55">
        <v>6521980</v>
      </c>
      <c r="R772" s="57" t="s">
        <v>564</v>
      </c>
      <c r="S772" s="58" t="s">
        <v>566</v>
      </c>
      <c r="T772" s="51">
        <v>31312.9</v>
      </c>
    </row>
    <row r="773" spans="1:20" x14ac:dyDescent="0.25">
      <c r="A773" s="51" t="str">
        <f>(COUNTIF($K$2:K773,K773))&amp;K773</f>
        <v>4531100</v>
      </c>
      <c r="B773" s="52" t="s">
        <v>602</v>
      </c>
      <c r="C773" s="53" t="s">
        <v>566</v>
      </c>
      <c r="D773" s="54" t="s">
        <v>564</v>
      </c>
      <c r="E773" s="55">
        <v>244700</v>
      </c>
      <c r="F773" s="55">
        <v>64020</v>
      </c>
      <c r="G773" s="55">
        <v>33360</v>
      </c>
      <c r="H773" s="55" t="s">
        <v>574</v>
      </c>
      <c r="I773" s="55">
        <v>-237.34999999999997</v>
      </c>
      <c r="J773" s="55">
        <v>207.8</v>
      </c>
      <c r="K773" s="56">
        <v>31100</v>
      </c>
      <c r="L773" s="55">
        <v>13.2</v>
      </c>
      <c r="M773" s="55">
        <v>3.0499999999999989</v>
      </c>
      <c r="N773" s="55" t="s">
        <v>576</v>
      </c>
      <c r="O773" s="55">
        <v>891020</v>
      </c>
      <c r="P773" s="55">
        <v>1409720</v>
      </c>
      <c r="Q773" s="55">
        <v>8077080</v>
      </c>
      <c r="R773" s="57" t="s">
        <v>564</v>
      </c>
      <c r="S773" s="58" t="s">
        <v>565</v>
      </c>
      <c r="T773" s="51">
        <v>31312.9</v>
      </c>
    </row>
    <row r="774" spans="1:20" x14ac:dyDescent="0.25">
      <c r="A774" s="51" t="str">
        <f>(COUNTIF($K$2:K774,K774))&amp;K774</f>
        <v>4531200</v>
      </c>
      <c r="B774" s="52" t="s">
        <v>602</v>
      </c>
      <c r="C774" s="53" t="s">
        <v>566</v>
      </c>
      <c r="D774" s="54" t="s">
        <v>564</v>
      </c>
      <c r="E774" s="55">
        <v>1777440</v>
      </c>
      <c r="F774" s="55">
        <v>301740</v>
      </c>
      <c r="G774" s="55">
        <v>170020</v>
      </c>
      <c r="H774" s="55" t="s">
        <v>576</v>
      </c>
      <c r="I774" s="55">
        <v>-220.54999999999998</v>
      </c>
      <c r="J774" s="55">
        <v>129.9</v>
      </c>
      <c r="K774" s="56">
        <v>31200</v>
      </c>
      <c r="L774" s="55">
        <v>34</v>
      </c>
      <c r="M774" s="55">
        <v>16.600000000000001</v>
      </c>
      <c r="N774" s="55" t="s">
        <v>576</v>
      </c>
      <c r="O774" s="55">
        <v>820960</v>
      </c>
      <c r="P774" s="55">
        <v>1346900</v>
      </c>
      <c r="Q774" s="55">
        <v>10941500</v>
      </c>
      <c r="R774" s="57" t="s">
        <v>564</v>
      </c>
      <c r="S774" s="58" t="s">
        <v>565</v>
      </c>
      <c r="T774" s="51">
        <v>31312.9</v>
      </c>
    </row>
    <row r="775" spans="1:20" ht="15.75" x14ac:dyDescent="0.25">
      <c r="A775" s="51" t="str">
        <f>(COUNTIF($K$2:K775,K775))&amp;K775</f>
        <v>4531300</v>
      </c>
      <c r="B775" s="52" t="s">
        <v>602</v>
      </c>
      <c r="C775" s="53" t="s">
        <v>566</v>
      </c>
      <c r="D775" s="54" t="s">
        <v>564</v>
      </c>
      <c r="E775" s="55">
        <v>3982520</v>
      </c>
      <c r="F775" s="55">
        <v>675800</v>
      </c>
      <c r="G775" s="55">
        <v>559860</v>
      </c>
      <c r="H775" s="55" t="s">
        <v>576</v>
      </c>
      <c r="I775" s="55">
        <v>-196.20000000000002</v>
      </c>
      <c r="J775" s="55">
        <v>69.349999999999994</v>
      </c>
      <c r="K775" s="59">
        <v>31300</v>
      </c>
      <c r="L775" s="55">
        <v>74</v>
      </c>
      <c r="M775" s="55">
        <v>43.05</v>
      </c>
      <c r="N775" s="55" t="s">
        <v>576</v>
      </c>
      <c r="O775" s="55">
        <v>387120</v>
      </c>
      <c r="P775" s="55">
        <v>1037620</v>
      </c>
      <c r="Q775" s="55">
        <v>11892200</v>
      </c>
      <c r="R775" s="57" t="s">
        <v>564</v>
      </c>
      <c r="S775" s="58" t="s">
        <v>565</v>
      </c>
      <c r="T775" s="51">
        <v>31312.9</v>
      </c>
    </row>
    <row r="776" spans="1:20" x14ac:dyDescent="0.25">
      <c r="A776" s="51" t="str">
        <f>(COUNTIF($K$2:K776,K776))&amp;K776</f>
        <v>4531400</v>
      </c>
      <c r="B776" s="52" t="s">
        <v>602</v>
      </c>
      <c r="C776" s="53" t="s">
        <v>566</v>
      </c>
      <c r="D776" s="54" t="s">
        <v>564</v>
      </c>
      <c r="E776" s="55">
        <v>9361460</v>
      </c>
      <c r="F776" s="55">
        <v>1371680</v>
      </c>
      <c r="G776" s="55">
        <v>1187380</v>
      </c>
      <c r="H776" s="55" t="s">
        <v>576</v>
      </c>
      <c r="I776" s="55">
        <v>-155.5</v>
      </c>
      <c r="J776" s="55">
        <v>33.5</v>
      </c>
      <c r="K776" s="56">
        <v>31400</v>
      </c>
      <c r="L776" s="55">
        <v>137.30000000000001</v>
      </c>
      <c r="M776" s="55">
        <v>83.350000000000009</v>
      </c>
      <c r="N776" s="55" t="s">
        <v>576</v>
      </c>
      <c r="O776" s="55">
        <v>82060</v>
      </c>
      <c r="P776" s="55">
        <v>638280</v>
      </c>
      <c r="Q776" s="55">
        <v>9011080</v>
      </c>
      <c r="R776" s="57" t="s">
        <v>564</v>
      </c>
      <c r="S776" s="58" t="s">
        <v>565</v>
      </c>
      <c r="T776" s="51">
        <v>31312.9</v>
      </c>
    </row>
    <row r="777" spans="1:20" x14ac:dyDescent="0.25">
      <c r="A777" s="51" t="str">
        <f>(COUNTIF($K$2:K777,K777))&amp;K777</f>
        <v>4531500</v>
      </c>
      <c r="B777" s="52" t="s">
        <v>602</v>
      </c>
      <c r="C777" s="53" t="s">
        <v>566</v>
      </c>
      <c r="D777" s="54" t="s">
        <v>564</v>
      </c>
      <c r="E777" s="55">
        <v>14259040</v>
      </c>
      <c r="F777" s="55">
        <v>2808360</v>
      </c>
      <c r="G777" s="55">
        <v>2029820</v>
      </c>
      <c r="H777" s="55" t="s">
        <v>576</v>
      </c>
      <c r="I777" s="55">
        <v>-111.65</v>
      </c>
      <c r="J777" s="55">
        <v>14.8</v>
      </c>
      <c r="K777" s="56">
        <v>31500</v>
      </c>
      <c r="L777" s="55">
        <v>218.2</v>
      </c>
      <c r="M777" s="55">
        <v>128.04999999999998</v>
      </c>
      <c r="N777" s="55" t="s">
        <v>576</v>
      </c>
      <c r="O777" s="55">
        <v>-126100</v>
      </c>
      <c r="P777" s="55">
        <v>504380</v>
      </c>
      <c r="Q777" s="55">
        <v>5062980</v>
      </c>
      <c r="R777" s="57" t="s">
        <v>563</v>
      </c>
      <c r="S777" s="58" t="s">
        <v>567</v>
      </c>
      <c r="T777" s="51">
        <v>31312.9</v>
      </c>
    </row>
    <row r="778" spans="1:20" x14ac:dyDescent="0.25">
      <c r="A778" s="51" t="str">
        <f>(COUNTIF($K$2:K778,K778))&amp;K778</f>
        <v>4531600</v>
      </c>
      <c r="B778" s="52" t="s">
        <v>602</v>
      </c>
      <c r="C778" s="53" t="s">
        <v>566</v>
      </c>
      <c r="D778" s="54" t="s">
        <v>564</v>
      </c>
      <c r="E778" s="55">
        <v>10785720</v>
      </c>
      <c r="F778" s="55">
        <v>1897760</v>
      </c>
      <c r="G778" s="55">
        <v>1278100</v>
      </c>
      <c r="H778" s="55" t="s">
        <v>576</v>
      </c>
      <c r="I778" s="55">
        <v>-72.5</v>
      </c>
      <c r="J778" s="55">
        <v>5.95</v>
      </c>
      <c r="K778" s="56">
        <v>31600</v>
      </c>
      <c r="L778" s="55">
        <v>311.05</v>
      </c>
      <c r="M778" s="55">
        <v>168.95000000000002</v>
      </c>
      <c r="N778" s="55" t="s">
        <v>576</v>
      </c>
      <c r="O778" s="55">
        <v>11180</v>
      </c>
      <c r="P778" s="55">
        <v>105420</v>
      </c>
      <c r="Q778" s="55">
        <v>1460160</v>
      </c>
      <c r="R778" s="57" t="s">
        <v>564</v>
      </c>
      <c r="S778" s="58" t="s">
        <v>565</v>
      </c>
      <c r="T778" s="51">
        <v>31312.9</v>
      </c>
    </row>
    <row r="779" spans="1:20" x14ac:dyDescent="0.25">
      <c r="A779" s="51" t="str">
        <f>(COUNTIF($K$2:K779,K779))&amp;K779</f>
        <v>4531700</v>
      </c>
      <c r="B779" s="52" t="s">
        <v>602</v>
      </c>
      <c r="C779" s="53" t="s">
        <v>566</v>
      </c>
      <c r="D779" s="54" t="s">
        <v>564</v>
      </c>
      <c r="E779" s="55">
        <v>8834020</v>
      </c>
      <c r="F779" s="55">
        <v>1387940</v>
      </c>
      <c r="G779" s="55">
        <v>752680</v>
      </c>
      <c r="H779" s="55" t="s">
        <v>576</v>
      </c>
      <c r="I779" s="55">
        <v>-41.7</v>
      </c>
      <c r="J779" s="55">
        <v>2.75</v>
      </c>
      <c r="K779" s="56">
        <v>31700</v>
      </c>
      <c r="L779" s="55">
        <v>408.35</v>
      </c>
      <c r="M779" s="55">
        <v>198.95000000000002</v>
      </c>
      <c r="N779" s="55" t="s">
        <v>576</v>
      </c>
      <c r="O779" s="55">
        <v>-11220</v>
      </c>
      <c r="P779" s="55">
        <v>38540</v>
      </c>
      <c r="Q779" s="55">
        <v>603960</v>
      </c>
      <c r="R779" s="57" t="s">
        <v>563</v>
      </c>
      <c r="S779" s="58" t="s">
        <v>567</v>
      </c>
      <c r="T779" s="51">
        <v>31312.9</v>
      </c>
    </row>
    <row r="780" spans="1:20" x14ac:dyDescent="0.25">
      <c r="A780" s="51" t="str">
        <f>(COUNTIF($K$2:K780,K780))&amp;K780</f>
        <v>4531800</v>
      </c>
      <c r="B780" s="52" t="s">
        <v>602</v>
      </c>
      <c r="C780" s="53" t="s">
        <v>566</v>
      </c>
      <c r="D780" s="54" t="s">
        <v>564</v>
      </c>
      <c r="E780" s="55">
        <v>6023220</v>
      </c>
      <c r="F780" s="55">
        <v>1029240</v>
      </c>
      <c r="G780" s="55">
        <v>443860</v>
      </c>
      <c r="H780" s="55" t="s">
        <v>576</v>
      </c>
      <c r="I780" s="55">
        <v>-22.1</v>
      </c>
      <c r="J780" s="55">
        <v>1.4</v>
      </c>
      <c r="K780" s="56">
        <v>31800</v>
      </c>
      <c r="L780" s="55">
        <v>508</v>
      </c>
      <c r="M780" s="55">
        <v>222.64999999999998</v>
      </c>
      <c r="N780" s="55" t="s">
        <v>576</v>
      </c>
      <c r="O780" s="55">
        <v>1200</v>
      </c>
      <c r="P780" s="55">
        <v>16180</v>
      </c>
      <c r="Q780" s="55">
        <v>226720</v>
      </c>
      <c r="R780" s="57" t="s">
        <v>564</v>
      </c>
      <c r="S780" s="58" t="s">
        <v>565</v>
      </c>
      <c r="T780" s="51">
        <v>31312.9</v>
      </c>
    </row>
    <row r="781" spans="1:20" x14ac:dyDescent="0.25">
      <c r="A781" s="51" t="str">
        <f>(COUNTIF($K$2:K781,K781))&amp;K781</f>
        <v>4531900</v>
      </c>
      <c r="B781" s="52" t="s">
        <v>602</v>
      </c>
      <c r="C781" s="53" t="s">
        <v>566</v>
      </c>
      <c r="D781" s="54" t="s">
        <v>564</v>
      </c>
      <c r="E781" s="55">
        <v>11286160</v>
      </c>
      <c r="F781" s="55">
        <v>658440</v>
      </c>
      <c r="G781" s="55">
        <v>146640</v>
      </c>
      <c r="H781" s="55" t="s">
        <v>576</v>
      </c>
      <c r="I781" s="55">
        <v>-10.199999999999999</v>
      </c>
      <c r="J781" s="55">
        <v>0.9</v>
      </c>
      <c r="K781" s="56">
        <v>31900</v>
      </c>
      <c r="L781" s="55">
        <v>606.65</v>
      </c>
      <c r="M781" s="55">
        <v>229.95</v>
      </c>
      <c r="N781" s="55" t="s">
        <v>576</v>
      </c>
      <c r="O781" s="55">
        <v>1880</v>
      </c>
      <c r="P781" s="55">
        <v>7420</v>
      </c>
      <c r="Q781" s="55">
        <v>46920</v>
      </c>
      <c r="R781" s="57" t="s">
        <v>564</v>
      </c>
      <c r="S781" s="58" t="s">
        <v>565</v>
      </c>
      <c r="T781" s="51">
        <v>31312.9</v>
      </c>
    </row>
    <row r="782" spans="1:20" x14ac:dyDescent="0.25">
      <c r="A782" s="51" t="str">
        <f>(COUNTIF($K$2:K782,K782))&amp;K782</f>
        <v>4532000</v>
      </c>
      <c r="B782" s="52" t="s">
        <v>602</v>
      </c>
      <c r="C782" s="53" t="s">
        <v>566</v>
      </c>
      <c r="D782" s="54" t="s">
        <v>564</v>
      </c>
      <c r="E782" s="55">
        <v>5359420</v>
      </c>
      <c r="F782" s="55">
        <v>761780</v>
      </c>
      <c r="G782" s="55">
        <v>150120</v>
      </c>
      <c r="H782" s="55" t="s">
        <v>576</v>
      </c>
      <c r="I782" s="55">
        <v>-5.35</v>
      </c>
      <c r="J782" s="55">
        <v>0.65</v>
      </c>
      <c r="K782" s="56">
        <v>32000</v>
      </c>
      <c r="L782" s="55">
        <v>708.05</v>
      </c>
      <c r="M782" s="55">
        <v>237.54999999999995</v>
      </c>
      <c r="N782" s="55" t="s">
        <v>576</v>
      </c>
      <c r="O782" s="55">
        <v>-1460</v>
      </c>
      <c r="P782" s="55">
        <v>10660</v>
      </c>
      <c r="Q782" s="55">
        <v>29680</v>
      </c>
      <c r="R782" s="57" t="s">
        <v>563</v>
      </c>
      <c r="S782" s="58" t="s">
        <v>567</v>
      </c>
      <c r="T782" s="51">
        <v>31312.9</v>
      </c>
    </row>
    <row r="783" spans="1:20" x14ac:dyDescent="0.25">
      <c r="A783" s="51" t="str">
        <f>(COUNTIF($K$2:K783,K783))&amp;K783</f>
        <v>46PCR</v>
      </c>
      <c r="B783" s="52" t="s">
        <v>602</v>
      </c>
      <c r="C783" s="60">
        <v>0.79610855592263896</v>
      </c>
      <c r="E783" s="61"/>
      <c r="F783" s="62">
        <v>11114640</v>
      </c>
      <c r="G783" s="63"/>
      <c r="H783" s="64"/>
      <c r="I783" s="64"/>
      <c r="J783" s="64"/>
      <c r="K783" s="65" t="s">
        <v>555</v>
      </c>
      <c r="L783" s="64"/>
      <c r="M783" s="64"/>
      <c r="N783" s="64"/>
      <c r="P783" s="63">
        <v>8848460</v>
      </c>
      <c r="Q783" s="61"/>
      <c r="R783" s="64"/>
      <c r="S783" s="64"/>
    </row>
    <row r="784" spans="1:20" x14ac:dyDescent="0.25">
      <c r="A784" s="51" t="str">
        <f>(COUNTIF($K$2:K784,K784))&amp;K784</f>
        <v>1730500</v>
      </c>
      <c r="B784" s="52" t="s">
        <v>603</v>
      </c>
      <c r="C784" s="53" t="s">
        <v>562</v>
      </c>
      <c r="D784" s="54" t="s">
        <v>563</v>
      </c>
      <c r="E784" s="55">
        <v>14140</v>
      </c>
      <c r="F784" s="55">
        <v>26600</v>
      </c>
      <c r="G784" s="55">
        <v>-5620</v>
      </c>
      <c r="H784" s="55" t="s">
        <v>574</v>
      </c>
      <c r="I784" s="55">
        <v>-216.79999999999995</v>
      </c>
      <c r="J784" s="55">
        <v>815</v>
      </c>
      <c r="K784" s="56">
        <v>30500</v>
      </c>
      <c r="L784" s="55">
        <v>0.55000000000000004</v>
      </c>
      <c r="M784" s="55">
        <v>-2.1500000000000004</v>
      </c>
      <c r="N784" s="55" t="s">
        <v>576</v>
      </c>
      <c r="O784" s="55">
        <v>-8180</v>
      </c>
      <c r="P784" s="55">
        <v>406160</v>
      </c>
      <c r="Q784" s="55">
        <v>250440</v>
      </c>
      <c r="R784" s="57" t="s">
        <v>563</v>
      </c>
      <c r="S784" s="58" t="s">
        <v>562</v>
      </c>
      <c r="T784" s="51">
        <v>31330</v>
      </c>
    </row>
    <row r="785" spans="1:20" x14ac:dyDescent="0.25">
      <c r="A785" s="51" t="str">
        <f>(COUNTIF($K$2:K785,K785))&amp;K785</f>
        <v>3730600</v>
      </c>
      <c r="B785" s="52" t="s">
        <v>603</v>
      </c>
      <c r="C785" s="53" t="s">
        <v>562</v>
      </c>
      <c r="D785" s="54" t="s">
        <v>563</v>
      </c>
      <c r="E785" s="55">
        <v>1240</v>
      </c>
      <c r="F785" s="55">
        <v>3840</v>
      </c>
      <c r="G785" s="55">
        <v>-700</v>
      </c>
      <c r="H785" s="55" t="s">
        <v>574</v>
      </c>
      <c r="I785" s="55">
        <v>-234</v>
      </c>
      <c r="J785" s="55">
        <v>698.7</v>
      </c>
      <c r="K785" s="56">
        <v>30600</v>
      </c>
      <c r="L785" s="55">
        <v>0.6</v>
      </c>
      <c r="M785" s="55">
        <v>-2.4</v>
      </c>
      <c r="N785" s="55" t="s">
        <v>576</v>
      </c>
      <c r="O785" s="55">
        <v>14700</v>
      </c>
      <c r="P785" s="55">
        <v>213940</v>
      </c>
      <c r="Q785" s="55">
        <v>213240</v>
      </c>
      <c r="R785" s="57" t="s">
        <v>564</v>
      </c>
      <c r="S785" s="58" t="s">
        <v>566</v>
      </c>
      <c r="T785" s="51">
        <v>31330</v>
      </c>
    </row>
    <row r="786" spans="1:20" x14ac:dyDescent="0.25">
      <c r="A786" s="51" t="str">
        <f>(COUNTIF($K$2:K786,K786))&amp;K786</f>
        <v>4630700</v>
      </c>
      <c r="B786" s="52" t="s">
        <v>603</v>
      </c>
      <c r="C786" s="53" t="s">
        <v>562</v>
      </c>
      <c r="D786" s="54" t="s">
        <v>563</v>
      </c>
      <c r="E786" s="55">
        <v>8440</v>
      </c>
      <c r="F786" s="55">
        <v>10540</v>
      </c>
      <c r="G786" s="55">
        <v>-1280</v>
      </c>
      <c r="H786" s="55" t="s">
        <v>574</v>
      </c>
      <c r="I786" s="55">
        <v>-238.79999999999995</v>
      </c>
      <c r="J786" s="55">
        <v>597.20000000000005</v>
      </c>
      <c r="K786" s="56">
        <v>30700</v>
      </c>
      <c r="L786" s="55">
        <v>0.8</v>
      </c>
      <c r="M786" s="55">
        <v>-2.8</v>
      </c>
      <c r="N786" s="55" t="s">
        <v>576</v>
      </c>
      <c r="O786" s="55">
        <v>82940</v>
      </c>
      <c r="P786" s="55">
        <v>273140</v>
      </c>
      <c r="Q786" s="55">
        <v>477500</v>
      </c>
      <c r="R786" s="57" t="s">
        <v>564</v>
      </c>
      <c r="S786" s="58" t="s">
        <v>566</v>
      </c>
      <c r="T786" s="51">
        <v>31330</v>
      </c>
    </row>
    <row r="787" spans="1:20" x14ac:dyDescent="0.25">
      <c r="A787" s="51" t="str">
        <f>(COUNTIF($K$2:K787,K787))&amp;K787</f>
        <v>4630800</v>
      </c>
      <c r="B787" s="52" t="s">
        <v>603</v>
      </c>
      <c r="C787" s="53" t="s">
        <v>566</v>
      </c>
      <c r="D787" s="54" t="s">
        <v>564</v>
      </c>
      <c r="E787" s="55">
        <v>6240</v>
      </c>
      <c r="F787" s="55">
        <v>8080</v>
      </c>
      <c r="G787" s="55">
        <v>580</v>
      </c>
      <c r="H787" s="55" t="s">
        <v>574</v>
      </c>
      <c r="I787" s="55">
        <v>-221.60000000000002</v>
      </c>
      <c r="J787" s="55">
        <v>514</v>
      </c>
      <c r="K787" s="56">
        <v>30800</v>
      </c>
      <c r="L787" s="55">
        <v>1.2</v>
      </c>
      <c r="M787" s="55">
        <v>-2.8999999999999995</v>
      </c>
      <c r="N787" s="55" t="s">
        <v>576</v>
      </c>
      <c r="O787" s="55">
        <v>64260</v>
      </c>
      <c r="P787" s="55">
        <v>431660</v>
      </c>
      <c r="Q787" s="55">
        <v>1092200</v>
      </c>
      <c r="R787" s="57" t="s">
        <v>564</v>
      </c>
      <c r="S787" s="58" t="s">
        <v>566</v>
      </c>
      <c r="T787" s="51">
        <v>31330</v>
      </c>
    </row>
    <row r="788" spans="1:20" x14ac:dyDescent="0.25">
      <c r="A788" s="51" t="str">
        <f>(COUNTIF($K$2:K788,K788))&amp;K788</f>
        <v>4630900</v>
      </c>
      <c r="B788" s="52" t="s">
        <v>603</v>
      </c>
      <c r="C788" s="53" t="s">
        <v>566</v>
      </c>
      <c r="D788" s="54" t="s">
        <v>564</v>
      </c>
      <c r="E788" s="55">
        <v>9340</v>
      </c>
      <c r="F788" s="55">
        <v>7720</v>
      </c>
      <c r="G788" s="55">
        <v>1480</v>
      </c>
      <c r="H788" s="55" t="s">
        <v>574</v>
      </c>
      <c r="I788" s="55">
        <v>-219.29999999999995</v>
      </c>
      <c r="J788" s="55">
        <v>414.25</v>
      </c>
      <c r="K788" s="56">
        <v>30900</v>
      </c>
      <c r="L788" s="55">
        <v>2.25</v>
      </c>
      <c r="M788" s="55">
        <v>-3.25</v>
      </c>
      <c r="N788" s="55" t="s">
        <v>576</v>
      </c>
      <c r="O788" s="55">
        <v>213600</v>
      </c>
      <c r="P788" s="55">
        <v>579480</v>
      </c>
      <c r="Q788" s="55">
        <v>2325300</v>
      </c>
      <c r="R788" s="57" t="s">
        <v>564</v>
      </c>
      <c r="S788" s="58" t="s">
        <v>566</v>
      </c>
      <c r="T788" s="51">
        <v>31330</v>
      </c>
    </row>
    <row r="789" spans="1:20" x14ac:dyDescent="0.25">
      <c r="A789" s="51" t="str">
        <f>(COUNTIF($K$2:K789,K789))&amp;K789</f>
        <v>4631000</v>
      </c>
      <c r="B789" s="52" t="s">
        <v>603</v>
      </c>
      <c r="C789" s="53" t="s">
        <v>566</v>
      </c>
      <c r="D789" s="54" t="s">
        <v>564</v>
      </c>
      <c r="E789" s="55">
        <v>217220</v>
      </c>
      <c r="F789" s="55">
        <v>107840</v>
      </c>
      <c r="G789" s="55">
        <v>19620</v>
      </c>
      <c r="H789" s="55" t="s">
        <v>574</v>
      </c>
      <c r="I789" s="55">
        <v>-227.55</v>
      </c>
      <c r="J789" s="55">
        <v>317.3</v>
      </c>
      <c r="K789" s="56">
        <v>31000</v>
      </c>
      <c r="L789" s="55">
        <v>4.6500000000000004</v>
      </c>
      <c r="M789" s="55">
        <v>-2.75</v>
      </c>
      <c r="N789" s="55" t="s">
        <v>576</v>
      </c>
      <c r="O789" s="55">
        <v>1051100</v>
      </c>
      <c r="P789" s="55">
        <v>1861700</v>
      </c>
      <c r="Q789" s="55">
        <v>6749760</v>
      </c>
      <c r="R789" s="57" t="s">
        <v>564</v>
      </c>
      <c r="S789" s="58" t="s">
        <v>566</v>
      </c>
      <c r="T789" s="51">
        <v>31330</v>
      </c>
    </row>
    <row r="790" spans="1:20" x14ac:dyDescent="0.25">
      <c r="A790" s="51" t="str">
        <f>(COUNTIF($K$2:K790,K790))&amp;K790</f>
        <v>4631100</v>
      </c>
      <c r="B790" s="52" t="s">
        <v>603</v>
      </c>
      <c r="C790" s="53" t="s">
        <v>566</v>
      </c>
      <c r="D790" s="54" t="s">
        <v>564</v>
      </c>
      <c r="E790" s="55">
        <v>264200</v>
      </c>
      <c r="F790" s="55">
        <v>71480</v>
      </c>
      <c r="G790" s="55">
        <v>40820</v>
      </c>
      <c r="H790" s="55" t="s">
        <v>574</v>
      </c>
      <c r="I790" s="55">
        <v>-220.99999999999997</v>
      </c>
      <c r="J790" s="55">
        <v>224.15</v>
      </c>
      <c r="K790" s="56">
        <v>31100</v>
      </c>
      <c r="L790" s="55">
        <v>10.9</v>
      </c>
      <c r="M790" s="55">
        <v>0.75</v>
      </c>
      <c r="N790" s="55" t="s">
        <v>576</v>
      </c>
      <c r="O790" s="55">
        <v>916920</v>
      </c>
      <c r="P790" s="55">
        <v>1435620</v>
      </c>
      <c r="Q790" s="55">
        <v>8394940</v>
      </c>
      <c r="R790" s="57" t="s">
        <v>564</v>
      </c>
      <c r="S790" s="58" t="s">
        <v>565</v>
      </c>
      <c r="T790" s="51">
        <v>31330</v>
      </c>
    </row>
    <row r="791" spans="1:20" x14ac:dyDescent="0.25">
      <c r="A791" s="51" t="str">
        <f>(COUNTIF($K$2:K791,K791))&amp;K791</f>
        <v>4631200</v>
      </c>
      <c r="B791" s="52" t="s">
        <v>603</v>
      </c>
      <c r="C791" s="53" t="s">
        <v>566</v>
      </c>
      <c r="D791" s="54" t="s">
        <v>564</v>
      </c>
      <c r="E791" s="55">
        <v>1852900</v>
      </c>
      <c r="F791" s="55">
        <v>319680</v>
      </c>
      <c r="G791" s="55">
        <v>187960</v>
      </c>
      <c r="H791" s="55" t="s">
        <v>576</v>
      </c>
      <c r="I791" s="55">
        <v>-208.6</v>
      </c>
      <c r="J791" s="55">
        <v>141.85</v>
      </c>
      <c r="K791" s="56">
        <v>31200</v>
      </c>
      <c r="L791" s="55">
        <v>28.6</v>
      </c>
      <c r="M791" s="55">
        <v>11.200000000000003</v>
      </c>
      <c r="N791" s="55" t="s">
        <v>576</v>
      </c>
      <c r="O791" s="55">
        <v>876180</v>
      </c>
      <c r="P791" s="55">
        <v>1402120</v>
      </c>
      <c r="Q791" s="55">
        <v>11363140</v>
      </c>
      <c r="R791" s="57" t="s">
        <v>564</v>
      </c>
      <c r="S791" s="58" t="s">
        <v>565</v>
      </c>
      <c r="T791" s="51">
        <v>31330</v>
      </c>
    </row>
    <row r="792" spans="1:20" ht="15.75" x14ac:dyDescent="0.25">
      <c r="A792" s="51" t="str">
        <f>(COUNTIF($K$2:K792,K792))&amp;K792</f>
        <v>4631300</v>
      </c>
      <c r="B792" s="52" t="s">
        <v>603</v>
      </c>
      <c r="C792" s="53" t="s">
        <v>566</v>
      </c>
      <c r="D792" s="54" t="s">
        <v>564</v>
      </c>
      <c r="E792" s="55">
        <v>4211940</v>
      </c>
      <c r="F792" s="55">
        <v>742500</v>
      </c>
      <c r="G792" s="55">
        <v>626560</v>
      </c>
      <c r="H792" s="55" t="s">
        <v>576</v>
      </c>
      <c r="I792" s="55">
        <v>-188.9</v>
      </c>
      <c r="J792" s="55">
        <v>76.650000000000006</v>
      </c>
      <c r="K792" s="59">
        <v>31300</v>
      </c>
      <c r="L792" s="55">
        <v>64.650000000000006</v>
      </c>
      <c r="M792" s="55">
        <v>33.700000000000003</v>
      </c>
      <c r="N792" s="55" t="s">
        <v>576</v>
      </c>
      <c r="O792" s="55">
        <v>396760</v>
      </c>
      <c r="P792" s="55">
        <v>1047260</v>
      </c>
      <c r="Q792" s="55">
        <v>12273020</v>
      </c>
      <c r="R792" s="57" t="s">
        <v>564</v>
      </c>
      <c r="S792" s="58" t="s">
        <v>565</v>
      </c>
      <c r="T792" s="51">
        <v>31330</v>
      </c>
    </row>
    <row r="793" spans="1:20" x14ac:dyDescent="0.25">
      <c r="A793" s="51" t="str">
        <f>(COUNTIF($K$2:K793,K793))&amp;K793</f>
        <v>4631400</v>
      </c>
      <c r="B793" s="52" t="s">
        <v>603</v>
      </c>
      <c r="C793" s="53" t="s">
        <v>566</v>
      </c>
      <c r="D793" s="54" t="s">
        <v>564</v>
      </c>
      <c r="E793" s="55">
        <v>9712500</v>
      </c>
      <c r="F793" s="55">
        <v>1432760</v>
      </c>
      <c r="G793" s="55">
        <v>1248460</v>
      </c>
      <c r="H793" s="55" t="s">
        <v>576</v>
      </c>
      <c r="I793" s="55">
        <v>-152.75</v>
      </c>
      <c r="J793" s="55">
        <v>36.25</v>
      </c>
      <c r="K793" s="56">
        <v>31400</v>
      </c>
      <c r="L793" s="55">
        <v>123.55</v>
      </c>
      <c r="M793" s="55">
        <v>69.599999999999994</v>
      </c>
      <c r="N793" s="55" t="s">
        <v>576</v>
      </c>
      <c r="O793" s="55">
        <v>60660</v>
      </c>
      <c r="P793" s="55">
        <v>616880</v>
      </c>
      <c r="Q793" s="55">
        <v>9169200</v>
      </c>
      <c r="R793" s="57" t="s">
        <v>564</v>
      </c>
      <c r="S793" s="58" t="s">
        <v>565</v>
      </c>
      <c r="T793" s="51">
        <v>31330</v>
      </c>
    </row>
    <row r="794" spans="1:20" x14ac:dyDescent="0.25">
      <c r="A794" s="51" t="str">
        <f>(COUNTIF($K$2:K794,K794))&amp;K794</f>
        <v>4631500</v>
      </c>
      <c r="B794" s="52" t="s">
        <v>603</v>
      </c>
      <c r="C794" s="53" t="s">
        <v>566</v>
      </c>
      <c r="D794" s="54" t="s">
        <v>564</v>
      </c>
      <c r="E794" s="55">
        <v>14663600</v>
      </c>
      <c r="F794" s="55">
        <v>2856400</v>
      </c>
      <c r="G794" s="55">
        <v>2077860</v>
      </c>
      <c r="H794" s="55" t="s">
        <v>576</v>
      </c>
      <c r="I794" s="55">
        <v>-110.85000000000001</v>
      </c>
      <c r="J794" s="55">
        <v>15.6</v>
      </c>
      <c r="K794" s="56">
        <v>31500</v>
      </c>
      <c r="L794" s="55">
        <v>202.95</v>
      </c>
      <c r="M794" s="55">
        <v>112.79999999999998</v>
      </c>
      <c r="N794" s="55" t="s">
        <v>576</v>
      </c>
      <c r="O794" s="55">
        <v>-154540</v>
      </c>
      <c r="P794" s="55">
        <v>475940</v>
      </c>
      <c r="Q794" s="55">
        <v>5144280</v>
      </c>
      <c r="R794" s="57" t="s">
        <v>563</v>
      </c>
      <c r="S794" s="58" t="s">
        <v>567</v>
      </c>
      <c r="T794" s="51">
        <v>31330</v>
      </c>
    </row>
    <row r="795" spans="1:20" x14ac:dyDescent="0.25">
      <c r="A795" s="51" t="str">
        <f>(COUNTIF($K$2:K795,K795))&amp;K795</f>
        <v>4631600</v>
      </c>
      <c r="B795" s="52" t="s">
        <v>603</v>
      </c>
      <c r="C795" s="53" t="s">
        <v>566</v>
      </c>
      <c r="D795" s="54" t="s">
        <v>564</v>
      </c>
      <c r="E795" s="55">
        <v>11006780</v>
      </c>
      <c r="F795" s="55">
        <v>1918460</v>
      </c>
      <c r="G795" s="55">
        <v>1298800</v>
      </c>
      <c r="H795" s="55" t="s">
        <v>576</v>
      </c>
      <c r="I795" s="55">
        <v>-72.150000000000006</v>
      </c>
      <c r="J795" s="55">
        <v>6.3</v>
      </c>
      <c r="K795" s="56">
        <v>31600</v>
      </c>
      <c r="L795" s="55">
        <v>294</v>
      </c>
      <c r="M795" s="55">
        <v>151.9</v>
      </c>
      <c r="N795" s="55" t="s">
        <v>576</v>
      </c>
      <c r="O795" s="55">
        <v>9600</v>
      </c>
      <c r="P795" s="55">
        <v>103840</v>
      </c>
      <c r="Q795" s="55">
        <v>1480300</v>
      </c>
      <c r="R795" s="57" t="s">
        <v>564</v>
      </c>
      <c r="S795" s="58" t="s">
        <v>565</v>
      </c>
      <c r="T795" s="51">
        <v>31330</v>
      </c>
    </row>
    <row r="796" spans="1:20" x14ac:dyDescent="0.25">
      <c r="A796" s="51" t="str">
        <f>(COUNTIF($K$2:K796,K796))&amp;K796</f>
        <v>4631700</v>
      </c>
      <c r="B796" s="52" t="s">
        <v>603</v>
      </c>
      <c r="C796" s="53" t="s">
        <v>566</v>
      </c>
      <c r="D796" s="54" t="s">
        <v>564</v>
      </c>
      <c r="E796" s="55">
        <v>8974140</v>
      </c>
      <c r="F796" s="55">
        <v>1383940</v>
      </c>
      <c r="G796" s="55">
        <v>748680</v>
      </c>
      <c r="H796" s="55" t="s">
        <v>576</v>
      </c>
      <c r="I796" s="55">
        <v>-41.6</v>
      </c>
      <c r="J796" s="55">
        <v>2.85</v>
      </c>
      <c r="K796" s="56">
        <v>31700</v>
      </c>
      <c r="L796" s="55">
        <v>388</v>
      </c>
      <c r="M796" s="55">
        <v>178.6</v>
      </c>
      <c r="N796" s="55" t="s">
        <v>576</v>
      </c>
      <c r="O796" s="55">
        <v>-12000</v>
      </c>
      <c r="P796" s="55">
        <v>37760</v>
      </c>
      <c r="Q796" s="55">
        <v>609720</v>
      </c>
      <c r="R796" s="57" t="s">
        <v>563</v>
      </c>
      <c r="S796" s="58" t="s">
        <v>567</v>
      </c>
      <c r="T796" s="51">
        <v>31330</v>
      </c>
    </row>
    <row r="797" spans="1:20" x14ac:dyDescent="0.25">
      <c r="A797" s="51" t="str">
        <f>(COUNTIF($K$2:K797,K797))&amp;K797</f>
        <v>4631800</v>
      </c>
      <c r="B797" s="52" t="s">
        <v>603</v>
      </c>
      <c r="C797" s="53" t="s">
        <v>566</v>
      </c>
      <c r="D797" s="54" t="s">
        <v>564</v>
      </c>
      <c r="E797" s="55">
        <v>6166180</v>
      </c>
      <c r="F797" s="55">
        <v>1007300</v>
      </c>
      <c r="G797" s="55">
        <v>421920</v>
      </c>
      <c r="H797" s="55" t="s">
        <v>576</v>
      </c>
      <c r="I797" s="55">
        <v>-22</v>
      </c>
      <c r="J797" s="55">
        <v>1.5</v>
      </c>
      <c r="K797" s="56">
        <v>31800</v>
      </c>
      <c r="L797" s="55">
        <v>486.45</v>
      </c>
      <c r="M797" s="55">
        <v>201.09999999999997</v>
      </c>
      <c r="N797" s="55" t="s">
        <v>576</v>
      </c>
      <c r="O797" s="55">
        <v>1300</v>
      </c>
      <c r="P797" s="55">
        <v>16280</v>
      </c>
      <c r="Q797" s="55">
        <v>228560</v>
      </c>
      <c r="R797" s="57" t="s">
        <v>564</v>
      </c>
      <c r="S797" s="58" t="s">
        <v>565</v>
      </c>
      <c r="T797" s="51">
        <v>31330</v>
      </c>
    </row>
    <row r="798" spans="1:20" x14ac:dyDescent="0.25">
      <c r="A798" s="51" t="str">
        <f>(COUNTIF($K$2:K798,K798))&amp;K798</f>
        <v>4631900</v>
      </c>
      <c r="B798" s="52" t="s">
        <v>603</v>
      </c>
      <c r="C798" s="53" t="s">
        <v>566</v>
      </c>
      <c r="D798" s="54" t="s">
        <v>564</v>
      </c>
      <c r="E798" s="55">
        <v>13401680</v>
      </c>
      <c r="F798" s="55">
        <v>641380</v>
      </c>
      <c r="G798" s="55">
        <v>129580</v>
      </c>
      <c r="H798" s="55" t="s">
        <v>576</v>
      </c>
      <c r="I798" s="55">
        <v>-10.15</v>
      </c>
      <c r="J798" s="55">
        <v>0.95</v>
      </c>
      <c r="K798" s="56">
        <v>31900</v>
      </c>
      <c r="L798" s="55">
        <v>587.15</v>
      </c>
      <c r="M798" s="55">
        <v>210.45</v>
      </c>
      <c r="N798" s="55" t="s">
        <v>576</v>
      </c>
      <c r="O798" s="55">
        <v>1660</v>
      </c>
      <c r="P798" s="55">
        <v>7200</v>
      </c>
      <c r="Q798" s="55">
        <v>47400</v>
      </c>
      <c r="R798" s="57" t="s">
        <v>564</v>
      </c>
      <c r="S798" s="58" t="s">
        <v>565</v>
      </c>
      <c r="T798" s="51">
        <v>31330</v>
      </c>
    </row>
    <row r="799" spans="1:20" x14ac:dyDescent="0.25">
      <c r="A799" s="51" t="str">
        <f>(COUNTIF($K$2:K799,K799))&amp;K799</f>
        <v>4632000</v>
      </c>
      <c r="B799" s="52" t="s">
        <v>603</v>
      </c>
      <c r="C799" s="53" t="s">
        <v>566</v>
      </c>
      <c r="D799" s="54" t="s">
        <v>564</v>
      </c>
      <c r="E799" s="55">
        <v>5389360</v>
      </c>
      <c r="F799" s="55">
        <v>768960</v>
      </c>
      <c r="G799" s="55">
        <v>157300</v>
      </c>
      <c r="H799" s="55" t="s">
        <v>576</v>
      </c>
      <c r="I799" s="55">
        <v>-5.3</v>
      </c>
      <c r="J799" s="55">
        <v>0.7</v>
      </c>
      <c r="K799" s="56">
        <v>32000</v>
      </c>
      <c r="L799" s="55">
        <v>687.1</v>
      </c>
      <c r="M799" s="55">
        <v>216.60000000000002</v>
      </c>
      <c r="N799" s="55" t="s">
        <v>576</v>
      </c>
      <c r="O799" s="55">
        <v>-1220</v>
      </c>
      <c r="P799" s="55">
        <v>10900</v>
      </c>
      <c r="Q799" s="55">
        <v>29840</v>
      </c>
      <c r="R799" s="57" t="s">
        <v>563</v>
      </c>
      <c r="S799" s="58" t="s">
        <v>567</v>
      </c>
      <c r="T799" s="51">
        <v>31330</v>
      </c>
    </row>
    <row r="800" spans="1:20" x14ac:dyDescent="0.25">
      <c r="A800" s="51" t="str">
        <f>(COUNTIF($K$2:K800,K800))&amp;K800</f>
        <v>47PCR</v>
      </c>
      <c r="B800" s="52" t="s">
        <v>603</v>
      </c>
      <c r="C800" s="60">
        <v>0.78884773618878834</v>
      </c>
      <c r="E800" s="61"/>
      <c r="F800" s="62">
        <v>11307480</v>
      </c>
      <c r="G800" s="63"/>
      <c r="H800" s="64"/>
      <c r="I800" s="64"/>
      <c r="J800" s="64"/>
      <c r="K800" s="65" t="s">
        <v>555</v>
      </c>
      <c r="L800" s="64"/>
      <c r="M800" s="64"/>
      <c r="N800" s="64"/>
      <c r="P800" s="63">
        <v>8919880</v>
      </c>
      <c r="Q800" s="61"/>
      <c r="R800" s="64"/>
      <c r="S800" s="64"/>
    </row>
    <row r="801" spans="1:20" x14ac:dyDescent="0.25">
      <c r="A801" s="51" t="str">
        <f>(COUNTIF($K$2:K801,K801))&amp;K801</f>
        <v>1830500</v>
      </c>
      <c r="B801" s="52" t="s">
        <v>603</v>
      </c>
      <c r="C801" s="53" t="s">
        <v>562</v>
      </c>
      <c r="D801" s="54" t="s">
        <v>563</v>
      </c>
      <c r="E801" s="55">
        <v>14140</v>
      </c>
      <c r="F801" s="55">
        <v>26600</v>
      </c>
      <c r="G801" s="55">
        <v>-5620</v>
      </c>
      <c r="H801" s="55" t="s">
        <v>574</v>
      </c>
      <c r="I801" s="55">
        <v>-216.79999999999995</v>
      </c>
      <c r="J801" s="55">
        <v>815</v>
      </c>
      <c r="K801" s="56">
        <v>30500</v>
      </c>
      <c r="L801" s="55">
        <v>0.55000000000000004</v>
      </c>
      <c r="M801" s="55">
        <v>-2.1500000000000004</v>
      </c>
      <c r="N801" s="55" t="s">
        <v>576</v>
      </c>
      <c r="O801" s="55">
        <v>-8180</v>
      </c>
      <c r="P801" s="55">
        <v>406160</v>
      </c>
      <c r="Q801" s="55">
        <v>250440</v>
      </c>
      <c r="R801" s="57" t="s">
        <v>563</v>
      </c>
      <c r="S801" s="58" t="s">
        <v>562</v>
      </c>
      <c r="T801" s="51">
        <v>31330</v>
      </c>
    </row>
    <row r="802" spans="1:20" x14ac:dyDescent="0.25">
      <c r="A802" s="51" t="str">
        <f>(COUNTIF($K$2:K802,K802))&amp;K802</f>
        <v>3830600</v>
      </c>
      <c r="B802" s="52" t="s">
        <v>603</v>
      </c>
      <c r="C802" s="53" t="s">
        <v>562</v>
      </c>
      <c r="D802" s="54" t="s">
        <v>563</v>
      </c>
      <c r="E802" s="55">
        <v>1240</v>
      </c>
      <c r="F802" s="55">
        <v>3840</v>
      </c>
      <c r="G802" s="55">
        <v>-700</v>
      </c>
      <c r="H802" s="55" t="s">
        <v>574</v>
      </c>
      <c r="I802" s="55">
        <v>-234</v>
      </c>
      <c r="J802" s="55">
        <v>698.7</v>
      </c>
      <c r="K802" s="56">
        <v>30600</v>
      </c>
      <c r="L802" s="55">
        <v>0.6</v>
      </c>
      <c r="M802" s="55">
        <v>-2.4</v>
      </c>
      <c r="N802" s="55" t="s">
        <v>576</v>
      </c>
      <c r="O802" s="55">
        <v>14700</v>
      </c>
      <c r="P802" s="55">
        <v>213940</v>
      </c>
      <c r="Q802" s="55">
        <v>213240</v>
      </c>
      <c r="R802" s="57" t="s">
        <v>564</v>
      </c>
      <c r="S802" s="58" t="s">
        <v>566</v>
      </c>
      <c r="T802" s="51">
        <v>31330</v>
      </c>
    </row>
    <row r="803" spans="1:20" x14ac:dyDescent="0.25">
      <c r="A803" s="51" t="str">
        <f>(COUNTIF($K$2:K803,K803))&amp;K803</f>
        <v>4730700</v>
      </c>
      <c r="B803" s="52" t="s">
        <v>603</v>
      </c>
      <c r="C803" s="53" t="s">
        <v>562</v>
      </c>
      <c r="D803" s="54" t="s">
        <v>563</v>
      </c>
      <c r="E803" s="55">
        <v>8440</v>
      </c>
      <c r="F803" s="55">
        <v>10540</v>
      </c>
      <c r="G803" s="55">
        <v>-1280</v>
      </c>
      <c r="H803" s="55" t="s">
        <v>574</v>
      </c>
      <c r="I803" s="55">
        <v>-238.79999999999995</v>
      </c>
      <c r="J803" s="55">
        <v>597.20000000000005</v>
      </c>
      <c r="K803" s="56">
        <v>30700</v>
      </c>
      <c r="L803" s="55">
        <v>0.8</v>
      </c>
      <c r="M803" s="55">
        <v>-2.8</v>
      </c>
      <c r="N803" s="55" t="s">
        <v>576</v>
      </c>
      <c r="O803" s="55">
        <v>82940</v>
      </c>
      <c r="P803" s="55">
        <v>273140</v>
      </c>
      <c r="Q803" s="55">
        <v>477500</v>
      </c>
      <c r="R803" s="57" t="s">
        <v>564</v>
      </c>
      <c r="S803" s="58" t="s">
        <v>566</v>
      </c>
      <c r="T803" s="51">
        <v>31330</v>
      </c>
    </row>
    <row r="804" spans="1:20" x14ac:dyDescent="0.25">
      <c r="A804" s="51" t="str">
        <f>(COUNTIF($K$2:K804,K804))&amp;K804</f>
        <v>4730800</v>
      </c>
      <c r="B804" s="52" t="s">
        <v>603</v>
      </c>
      <c r="C804" s="53" t="s">
        <v>566</v>
      </c>
      <c r="D804" s="54" t="s">
        <v>564</v>
      </c>
      <c r="E804" s="55">
        <v>6240</v>
      </c>
      <c r="F804" s="55">
        <v>8080</v>
      </c>
      <c r="G804" s="55">
        <v>580</v>
      </c>
      <c r="H804" s="55" t="s">
        <v>574</v>
      </c>
      <c r="I804" s="55">
        <v>-221.60000000000002</v>
      </c>
      <c r="J804" s="55">
        <v>514</v>
      </c>
      <c r="K804" s="56">
        <v>30800</v>
      </c>
      <c r="L804" s="55">
        <v>1.2</v>
      </c>
      <c r="M804" s="55">
        <v>-2.8999999999999995</v>
      </c>
      <c r="N804" s="55" t="s">
        <v>576</v>
      </c>
      <c r="O804" s="55">
        <v>64260</v>
      </c>
      <c r="P804" s="55">
        <v>431660</v>
      </c>
      <c r="Q804" s="55">
        <v>1092200</v>
      </c>
      <c r="R804" s="57" t="s">
        <v>564</v>
      </c>
      <c r="S804" s="58" t="s">
        <v>566</v>
      </c>
      <c r="T804" s="51">
        <v>31330</v>
      </c>
    </row>
    <row r="805" spans="1:20" x14ac:dyDescent="0.25">
      <c r="A805" s="51" t="str">
        <f>(COUNTIF($K$2:K805,K805))&amp;K805</f>
        <v>4730900</v>
      </c>
      <c r="B805" s="52" t="s">
        <v>603</v>
      </c>
      <c r="C805" s="53" t="s">
        <v>566</v>
      </c>
      <c r="D805" s="54" t="s">
        <v>564</v>
      </c>
      <c r="E805" s="55">
        <v>9340</v>
      </c>
      <c r="F805" s="55">
        <v>7720</v>
      </c>
      <c r="G805" s="55">
        <v>1480</v>
      </c>
      <c r="H805" s="55" t="s">
        <v>574</v>
      </c>
      <c r="I805" s="55">
        <v>-219.29999999999995</v>
      </c>
      <c r="J805" s="55">
        <v>414.25</v>
      </c>
      <c r="K805" s="56">
        <v>30900</v>
      </c>
      <c r="L805" s="55">
        <v>2.25</v>
      </c>
      <c r="M805" s="55">
        <v>-3.25</v>
      </c>
      <c r="N805" s="55" t="s">
        <v>576</v>
      </c>
      <c r="O805" s="55">
        <v>213600</v>
      </c>
      <c r="P805" s="55">
        <v>579480</v>
      </c>
      <c r="Q805" s="55">
        <v>2325300</v>
      </c>
      <c r="R805" s="57" t="s">
        <v>564</v>
      </c>
      <c r="S805" s="58" t="s">
        <v>566</v>
      </c>
      <c r="T805" s="51">
        <v>31330</v>
      </c>
    </row>
    <row r="806" spans="1:20" x14ac:dyDescent="0.25">
      <c r="A806" s="51" t="str">
        <f>(COUNTIF($K$2:K806,K806))&amp;K806</f>
        <v>4731000</v>
      </c>
      <c r="B806" s="52" t="s">
        <v>603</v>
      </c>
      <c r="C806" s="53" t="s">
        <v>566</v>
      </c>
      <c r="D806" s="54" t="s">
        <v>564</v>
      </c>
      <c r="E806" s="55">
        <v>217220</v>
      </c>
      <c r="F806" s="55">
        <v>107840</v>
      </c>
      <c r="G806" s="55">
        <v>19620</v>
      </c>
      <c r="H806" s="55" t="s">
        <v>574</v>
      </c>
      <c r="I806" s="55">
        <v>-227.55</v>
      </c>
      <c r="J806" s="55">
        <v>317.3</v>
      </c>
      <c r="K806" s="56">
        <v>31000</v>
      </c>
      <c r="L806" s="55">
        <v>4.6500000000000004</v>
      </c>
      <c r="M806" s="55">
        <v>-2.75</v>
      </c>
      <c r="N806" s="55" t="s">
        <v>576</v>
      </c>
      <c r="O806" s="55">
        <v>1051100</v>
      </c>
      <c r="P806" s="55">
        <v>1861700</v>
      </c>
      <c r="Q806" s="55">
        <v>6749760</v>
      </c>
      <c r="R806" s="57" t="s">
        <v>564</v>
      </c>
      <c r="S806" s="58" t="s">
        <v>566</v>
      </c>
      <c r="T806" s="51">
        <v>31330</v>
      </c>
    </row>
    <row r="807" spans="1:20" x14ac:dyDescent="0.25">
      <c r="A807" s="51" t="str">
        <f>(COUNTIF($K$2:K807,K807))&amp;K807</f>
        <v>4731100</v>
      </c>
      <c r="B807" s="52" t="s">
        <v>603</v>
      </c>
      <c r="C807" s="53" t="s">
        <v>566</v>
      </c>
      <c r="D807" s="54" t="s">
        <v>564</v>
      </c>
      <c r="E807" s="55">
        <v>264200</v>
      </c>
      <c r="F807" s="55">
        <v>71480</v>
      </c>
      <c r="G807" s="55">
        <v>40820</v>
      </c>
      <c r="H807" s="55" t="s">
        <v>574</v>
      </c>
      <c r="I807" s="55">
        <v>-220.99999999999997</v>
      </c>
      <c r="J807" s="55">
        <v>224.15</v>
      </c>
      <c r="K807" s="56">
        <v>31100</v>
      </c>
      <c r="L807" s="55">
        <v>10.9</v>
      </c>
      <c r="M807" s="55">
        <v>0.75</v>
      </c>
      <c r="N807" s="55" t="s">
        <v>576</v>
      </c>
      <c r="O807" s="55">
        <v>916920</v>
      </c>
      <c r="P807" s="55">
        <v>1435620</v>
      </c>
      <c r="Q807" s="55">
        <v>8394940</v>
      </c>
      <c r="R807" s="57" t="s">
        <v>564</v>
      </c>
      <c r="S807" s="58" t="s">
        <v>565</v>
      </c>
      <c r="T807" s="51">
        <v>31330</v>
      </c>
    </row>
    <row r="808" spans="1:20" x14ac:dyDescent="0.25">
      <c r="A808" s="51" t="str">
        <f>(COUNTIF($K$2:K808,K808))&amp;K808</f>
        <v>4731200</v>
      </c>
      <c r="B808" s="52" t="s">
        <v>603</v>
      </c>
      <c r="C808" s="53" t="s">
        <v>566</v>
      </c>
      <c r="D808" s="54" t="s">
        <v>564</v>
      </c>
      <c r="E808" s="55">
        <v>1852900</v>
      </c>
      <c r="F808" s="55">
        <v>319680</v>
      </c>
      <c r="G808" s="55">
        <v>187960</v>
      </c>
      <c r="H808" s="55" t="s">
        <v>576</v>
      </c>
      <c r="I808" s="55">
        <v>-208.6</v>
      </c>
      <c r="J808" s="55">
        <v>141.85</v>
      </c>
      <c r="K808" s="56">
        <v>31200</v>
      </c>
      <c r="L808" s="55">
        <v>28.6</v>
      </c>
      <c r="M808" s="55">
        <v>11.200000000000003</v>
      </c>
      <c r="N808" s="55" t="s">
        <v>576</v>
      </c>
      <c r="O808" s="55">
        <v>876180</v>
      </c>
      <c r="P808" s="55">
        <v>1402120</v>
      </c>
      <c r="Q808" s="55">
        <v>11363140</v>
      </c>
      <c r="R808" s="57" t="s">
        <v>564</v>
      </c>
      <c r="S808" s="58" t="s">
        <v>565</v>
      </c>
      <c r="T808" s="51">
        <v>31330</v>
      </c>
    </row>
    <row r="809" spans="1:20" ht="15.75" x14ac:dyDescent="0.25">
      <c r="A809" s="51" t="str">
        <f>(COUNTIF($K$2:K809,K809))&amp;K809</f>
        <v>4731300</v>
      </c>
      <c r="B809" s="52" t="s">
        <v>603</v>
      </c>
      <c r="C809" s="53" t="s">
        <v>566</v>
      </c>
      <c r="D809" s="54" t="s">
        <v>564</v>
      </c>
      <c r="E809" s="55">
        <v>4211940</v>
      </c>
      <c r="F809" s="55">
        <v>742500</v>
      </c>
      <c r="G809" s="55">
        <v>626560</v>
      </c>
      <c r="H809" s="55" t="s">
        <v>576</v>
      </c>
      <c r="I809" s="55">
        <v>-188.9</v>
      </c>
      <c r="J809" s="55">
        <v>76.650000000000006</v>
      </c>
      <c r="K809" s="59">
        <v>31300</v>
      </c>
      <c r="L809" s="55">
        <v>64.650000000000006</v>
      </c>
      <c r="M809" s="55">
        <v>33.700000000000003</v>
      </c>
      <c r="N809" s="55" t="s">
        <v>576</v>
      </c>
      <c r="O809" s="55">
        <v>396760</v>
      </c>
      <c r="P809" s="55">
        <v>1047260</v>
      </c>
      <c r="Q809" s="55">
        <v>12273020</v>
      </c>
      <c r="R809" s="57" t="s">
        <v>564</v>
      </c>
      <c r="S809" s="58" t="s">
        <v>565</v>
      </c>
      <c r="T809" s="51">
        <v>31330</v>
      </c>
    </row>
    <row r="810" spans="1:20" x14ac:dyDescent="0.25">
      <c r="A810" s="51" t="str">
        <f>(COUNTIF($K$2:K810,K810))&amp;K810</f>
        <v>4731400</v>
      </c>
      <c r="B810" s="52" t="s">
        <v>603</v>
      </c>
      <c r="C810" s="53" t="s">
        <v>566</v>
      </c>
      <c r="D810" s="54" t="s">
        <v>564</v>
      </c>
      <c r="E810" s="55">
        <v>9712500</v>
      </c>
      <c r="F810" s="55">
        <v>1432760</v>
      </c>
      <c r="G810" s="55">
        <v>1248460</v>
      </c>
      <c r="H810" s="55" t="s">
        <v>576</v>
      </c>
      <c r="I810" s="55">
        <v>-152.75</v>
      </c>
      <c r="J810" s="55">
        <v>36.25</v>
      </c>
      <c r="K810" s="56">
        <v>31400</v>
      </c>
      <c r="L810" s="55">
        <v>123.55</v>
      </c>
      <c r="M810" s="55">
        <v>69.599999999999994</v>
      </c>
      <c r="N810" s="55" t="s">
        <v>576</v>
      </c>
      <c r="O810" s="55">
        <v>60660</v>
      </c>
      <c r="P810" s="55">
        <v>616880</v>
      </c>
      <c r="Q810" s="55">
        <v>9169200</v>
      </c>
      <c r="R810" s="57" t="s">
        <v>564</v>
      </c>
      <c r="S810" s="58" t="s">
        <v>565</v>
      </c>
      <c r="T810" s="51">
        <v>31330</v>
      </c>
    </row>
    <row r="811" spans="1:20" x14ac:dyDescent="0.25">
      <c r="A811" s="51" t="str">
        <f>(COUNTIF($K$2:K811,K811))&amp;K811</f>
        <v>4731500</v>
      </c>
      <c r="B811" s="52" t="s">
        <v>603</v>
      </c>
      <c r="C811" s="53" t="s">
        <v>566</v>
      </c>
      <c r="D811" s="54" t="s">
        <v>564</v>
      </c>
      <c r="E811" s="55">
        <v>14663600</v>
      </c>
      <c r="F811" s="55">
        <v>2856400</v>
      </c>
      <c r="G811" s="55">
        <v>2077860</v>
      </c>
      <c r="H811" s="55" t="s">
        <v>576</v>
      </c>
      <c r="I811" s="55">
        <v>-110.85000000000001</v>
      </c>
      <c r="J811" s="55">
        <v>15.6</v>
      </c>
      <c r="K811" s="56">
        <v>31500</v>
      </c>
      <c r="L811" s="55">
        <v>202.95</v>
      </c>
      <c r="M811" s="55">
        <v>112.79999999999998</v>
      </c>
      <c r="N811" s="55" t="s">
        <v>576</v>
      </c>
      <c r="O811" s="55">
        <v>-154540</v>
      </c>
      <c r="P811" s="55">
        <v>475940</v>
      </c>
      <c r="Q811" s="55">
        <v>5144280</v>
      </c>
      <c r="R811" s="57" t="s">
        <v>563</v>
      </c>
      <c r="S811" s="58" t="s">
        <v>567</v>
      </c>
      <c r="T811" s="51">
        <v>31330</v>
      </c>
    </row>
    <row r="812" spans="1:20" x14ac:dyDescent="0.25">
      <c r="A812" s="51" t="str">
        <f>(COUNTIF($K$2:K812,K812))&amp;K812</f>
        <v>4731600</v>
      </c>
      <c r="B812" s="52" t="s">
        <v>603</v>
      </c>
      <c r="C812" s="53" t="s">
        <v>566</v>
      </c>
      <c r="D812" s="54" t="s">
        <v>564</v>
      </c>
      <c r="E812" s="55">
        <v>11006780</v>
      </c>
      <c r="F812" s="55">
        <v>1918460</v>
      </c>
      <c r="G812" s="55">
        <v>1298800</v>
      </c>
      <c r="H812" s="55" t="s">
        <v>576</v>
      </c>
      <c r="I812" s="55">
        <v>-72.150000000000006</v>
      </c>
      <c r="J812" s="55">
        <v>6.3</v>
      </c>
      <c r="K812" s="56">
        <v>31600</v>
      </c>
      <c r="L812" s="55">
        <v>294</v>
      </c>
      <c r="M812" s="55">
        <v>151.9</v>
      </c>
      <c r="N812" s="55" t="s">
        <v>576</v>
      </c>
      <c r="O812" s="55">
        <v>9600</v>
      </c>
      <c r="P812" s="55">
        <v>103840</v>
      </c>
      <c r="Q812" s="55">
        <v>1480300</v>
      </c>
      <c r="R812" s="57" t="s">
        <v>564</v>
      </c>
      <c r="S812" s="58" t="s">
        <v>565</v>
      </c>
      <c r="T812" s="51">
        <v>31330</v>
      </c>
    </row>
    <row r="813" spans="1:20" x14ac:dyDescent="0.25">
      <c r="A813" s="51" t="str">
        <f>(COUNTIF($K$2:K813,K813))&amp;K813</f>
        <v>4731700</v>
      </c>
      <c r="B813" s="52" t="s">
        <v>603</v>
      </c>
      <c r="C813" s="53" t="s">
        <v>566</v>
      </c>
      <c r="D813" s="54" t="s">
        <v>564</v>
      </c>
      <c r="E813" s="55">
        <v>8974140</v>
      </c>
      <c r="F813" s="55">
        <v>1383940</v>
      </c>
      <c r="G813" s="55">
        <v>748680</v>
      </c>
      <c r="H813" s="55" t="s">
        <v>576</v>
      </c>
      <c r="I813" s="55">
        <v>-41.6</v>
      </c>
      <c r="J813" s="55">
        <v>2.85</v>
      </c>
      <c r="K813" s="56">
        <v>31700</v>
      </c>
      <c r="L813" s="55">
        <v>388</v>
      </c>
      <c r="M813" s="55">
        <v>178.6</v>
      </c>
      <c r="N813" s="55" t="s">
        <v>576</v>
      </c>
      <c r="O813" s="55">
        <v>-12000</v>
      </c>
      <c r="P813" s="55">
        <v>37760</v>
      </c>
      <c r="Q813" s="55">
        <v>609720</v>
      </c>
      <c r="R813" s="57" t="s">
        <v>563</v>
      </c>
      <c r="S813" s="58" t="s">
        <v>567</v>
      </c>
      <c r="T813" s="51">
        <v>31330</v>
      </c>
    </row>
    <row r="814" spans="1:20" x14ac:dyDescent="0.25">
      <c r="A814" s="51" t="str">
        <f>(COUNTIF($K$2:K814,K814))&amp;K814</f>
        <v>4731800</v>
      </c>
      <c r="B814" s="52" t="s">
        <v>603</v>
      </c>
      <c r="C814" s="53" t="s">
        <v>566</v>
      </c>
      <c r="D814" s="54" t="s">
        <v>564</v>
      </c>
      <c r="E814" s="55">
        <v>6166180</v>
      </c>
      <c r="F814" s="55">
        <v>1007300</v>
      </c>
      <c r="G814" s="55">
        <v>421920</v>
      </c>
      <c r="H814" s="55" t="s">
        <v>576</v>
      </c>
      <c r="I814" s="55">
        <v>-22</v>
      </c>
      <c r="J814" s="55">
        <v>1.5</v>
      </c>
      <c r="K814" s="56">
        <v>31800</v>
      </c>
      <c r="L814" s="55">
        <v>486.45</v>
      </c>
      <c r="M814" s="55">
        <v>201.09999999999997</v>
      </c>
      <c r="N814" s="55" t="s">
        <v>576</v>
      </c>
      <c r="O814" s="55">
        <v>1300</v>
      </c>
      <c r="P814" s="55">
        <v>16280</v>
      </c>
      <c r="Q814" s="55">
        <v>228560</v>
      </c>
      <c r="R814" s="57" t="s">
        <v>564</v>
      </c>
      <c r="S814" s="58" t="s">
        <v>565</v>
      </c>
      <c r="T814" s="51">
        <v>31330</v>
      </c>
    </row>
    <row r="815" spans="1:20" x14ac:dyDescent="0.25">
      <c r="A815" s="51" t="str">
        <f>(COUNTIF($K$2:K815,K815))&amp;K815</f>
        <v>4731900</v>
      </c>
      <c r="B815" s="52" t="s">
        <v>603</v>
      </c>
      <c r="C815" s="53" t="s">
        <v>566</v>
      </c>
      <c r="D815" s="54" t="s">
        <v>564</v>
      </c>
      <c r="E815" s="55">
        <v>13401680</v>
      </c>
      <c r="F815" s="55">
        <v>641380</v>
      </c>
      <c r="G815" s="55">
        <v>129580</v>
      </c>
      <c r="H815" s="55" t="s">
        <v>576</v>
      </c>
      <c r="I815" s="55">
        <v>-10.15</v>
      </c>
      <c r="J815" s="55">
        <v>0.95</v>
      </c>
      <c r="K815" s="56">
        <v>31900</v>
      </c>
      <c r="L815" s="55">
        <v>587.15</v>
      </c>
      <c r="M815" s="55">
        <v>210.45</v>
      </c>
      <c r="N815" s="55" t="s">
        <v>576</v>
      </c>
      <c r="O815" s="55">
        <v>1660</v>
      </c>
      <c r="P815" s="55">
        <v>7200</v>
      </c>
      <c r="Q815" s="55">
        <v>47400</v>
      </c>
      <c r="R815" s="57" t="s">
        <v>564</v>
      </c>
      <c r="S815" s="58" t="s">
        <v>565</v>
      </c>
      <c r="T815" s="51">
        <v>31330</v>
      </c>
    </row>
    <row r="816" spans="1:20" x14ac:dyDescent="0.25">
      <c r="A816" s="51" t="str">
        <f>(COUNTIF($K$2:K816,K816))&amp;K816</f>
        <v>4732000</v>
      </c>
      <c r="B816" s="52" t="s">
        <v>603</v>
      </c>
      <c r="C816" s="53" t="s">
        <v>566</v>
      </c>
      <c r="D816" s="54" t="s">
        <v>564</v>
      </c>
      <c r="E816" s="55">
        <v>5389360</v>
      </c>
      <c r="F816" s="55">
        <v>768960</v>
      </c>
      <c r="G816" s="55">
        <v>157300</v>
      </c>
      <c r="H816" s="55" t="s">
        <v>576</v>
      </c>
      <c r="I816" s="55">
        <v>-5.3</v>
      </c>
      <c r="J816" s="55">
        <v>0.7</v>
      </c>
      <c r="K816" s="56">
        <v>32000</v>
      </c>
      <c r="L816" s="55">
        <v>687.1</v>
      </c>
      <c r="M816" s="55">
        <v>216.60000000000002</v>
      </c>
      <c r="N816" s="55" t="s">
        <v>576</v>
      </c>
      <c r="O816" s="55">
        <v>-1220</v>
      </c>
      <c r="P816" s="55">
        <v>10900</v>
      </c>
      <c r="Q816" s="55">
        <v>29840</v>
      </c>
      <c r="R816" s="57" t="s">
        <v>563</v>
      </c>
      <c r="S816" s="58" t="s">
        <v>567</v>
      </c>
      <c r="T816" s="51">
        <v>31330</v>
      </c>
    </row>
    <row r="817" spans="1:20" x14ac:dyDescent="0.25">
      <c r="A817" s="51" t="str">
        <f>(COUNTIF($K$2:K817,K817))&amp;K817</f>
        <v>48PCR</v>
      </c>
      <c r="B817" s="52" t="s">
        <v>603</v>
      </c>
      <c r="C817" s="60">
        <v>0.78884773618878834</v>
      </c>
      <c r="E817" s="61"/>
      <c r="F817" s="62">
        <v>11307480</v>
      </c>
      <c r="G817" s="63"/>
      <c r="H817" s="64"/>
      <c r="I817" s="64"/>
      <c r="J817" s="64"/>
      <c r="K817" s="65" t="s">
        <v>555</v>
      </c>
      <c r="L817" s="64"/>
      <c r="M817" s="64"/>
      <c r="N817" s="64"/>
      <c r="P817" s="63">
        <v>8919880</v>
      </c>
      <c r="Q817" s="61"/>
      <c r="R817" s="64"/>
      <c r="S817" s="64"/>
    </row>
    <row r="818" spans="1:20" x14ac:dyDescent="0.25">
      <c r="A818" s="51" t="str">
        <f>(COUNTIF($K$2:K818,K818))&amp;K818</f>
        <v>1930500</v>
      </c>
      <c r="B818" s="52" t="s">
        <v>604</v>
      </c>
      <c r="C818" s="53" t="s">
        <v>562</v>
      </c>
      <c r="D818" s="54" t="s">
        <v>563</v>
      </c>
      <c r="E818" s="55">
        <v>14300</v>
      </c>
      <c r="F818" s="55">
        <v>26720</v>
      </c>
      <c r="G818" s="55">
        <v>-5500</v>
      </c>
      <c r="H818" s="55" t="s">
        <v>574</v>
      </c>
      <c r="I818" s="55">
        <v>-227.79999999999995</v>
      </c>
      <c r="J818" s="55">
        <v>804</v>
      </c>
      <c r="K818" s="56">
        <v>30500</v>
      </c>
      <c r="L818" s="55">
        <v>0.6</v>
      </c>
      <c r="M818" s="55">
        <v>-2.1</v>
      </c>
      <c r="N818" s="55" t="s">
        <v>576</v>
      </c>
      <c r="O818" s="55">
        <v>-8380</v>
      </c>
      <c r="P818" s="55">
        <v>405960</v>
      </c>
      <c r="Q818" s="55">
        <v>254800</v>
      </c>
      <c r="R818" s="57" t="s">
        <v>563</v>
      </c>
      <c r="S818" s="58" t="s">
        <v>562</v>
      </c>
      <c r="T818" s="51">
        <v>31314.2</v>
      </c>
    </row>
    <row r="819" spans="1:20" x14ac:dyDescent="0.25">
      <c r="A819" s="51" t="str">
        <f>(COUNTIF($K$2:K819,K819))&amp;K819</f>
        <v>3930600</v>
      </c>
      <c r="B819" s="52" t="s">
        <v>604</v>
      </c>
      <c r="C819" s="53" t="s">
        <v>562</v>
      </c>
      <c r="D819" s="54" t="s">
        <v>563</v>
      </c>
      <c r="E819" s="55">
        <v>1540</v>
      </c>
      <c r="F819" s="55">
        <v>3760</v>
      </c>
      <c r="G819" s="55">
        <v>-780</v>
      </c>
      <c r="H819" s="55" t="s">
        <v>574</v>
      </c>
      <c r="I819" s="55">
        <v>-234</v>
      </c>
      <c r="J819" s="55">
        <v>698.7</v>
      </c>
      <c r="K819" s="56">
        <v>30600</v>
      </c>
      <c r="L819" s="55">
        <v>0.65</v>
      </c>
      <c r="M819" s="55">
        <v>-2.35</v>
      </c>
      <c r="N819" s="55" t="s">
        <v>576</v>
      </c>
      <c r="O819" s="55">
        <v>14200</v>
      </c>
      <c r="P819" s="55">
        <v>213440</v>
      </c>
      <c r="Q819" s="55">
        <v>217440</v>
      </c>
      <c r="R819" s="57" t="s">
        <v>564</v>
      </c>
      <c r="S819" s="58" t="s">
        <v>566</v>
      </c>
      <c r="T819" s="51">
        <v>31314.2</v>
      </c>
    </row>
    <row r="820" spans="1:20" x14ac:dyDescent="0.25">
      <c r="A820" s="51" t="str">
        <f>(COUNTIF($K$2:K820,K820))&amp;K820</f>
        <v>4830700</v>
      </c>
      <c r="B820" s="52" t="s">
        <v>604</v>
      </c>
      <c r="C820" s="53" t="s">
        <v>562</v>
      </c>
      <c r="D820" s="54" t="s">
        <v>563</v>
      </c>
      <c r="E820" s="55">
        <v>8540</v>
      </c>
      <c r="F820" s="55">
        <v>10540</v>
      </c>
      <c r="G820" s="55">
        <v>-1280</v>
      </c>
      <c r="H820" s="55" t="s">
        <v>574</v>
      </c>
      <c r="I820" s="55">
        <v>-224</v>
      </c>
      <c r="J820" s="55">
        <v>612</v>
      </c>
      <c r="K820" s="56">
        <v>30700</v>
      </c>
      <c r="L820" s="55">
        <v>0.85</v>
      </c>
      <c r="M820" s="55">
        <v>-2.75</v>
      </c>
      <c r="N820" s="55" t="s">
        <v>576</v>
      </c>
      <c r="O820" s="55">
        <v>83080</v>
      </c>
      <c r="P820" s="55">
        <v>273280</v>
      </c>
      <c r="Q820" s="55">
        <v>487520</v>
      </c>
      <c r="R820" s="57" t="s">
        <v>564</v>
      </c>
      <c r="S820" s="58" t="s">
        <v>566</v>
      </c>
      <c r="T820" s="51">
        <v>31314.2</v>
      </c>
    </row>
    <row r="821" spans="1:20" x14ac:dyDescent="0.25">
      <c r="A821" s="51" t="str">
        <f>(COUNTIF($K$2:K821,K821))&amp;K821</f>
        <v>4830800</v>
      </c>
      <c r="B821" s="52" t="s">
        <v>604</v>
      </c>
      <c r="C821" s="53" t="s">
        <v>566</v>
      </c>
      <c r="D821" s="54" t="s">
        <v>564</v>
      </c>
      <c r="E821" s="55">
        <v>6280</v>
      </c>
      <c r="F821" s="55">
        <v>7840</v>
      </c>
      <c r="G821" s="55">
        <v>340</v>
      </c>
      <c r="H821" s="55" t="s">
        <v>574</v>
      </c>
      <c r="I821" s="55">
        <v>-234.65000000000003</v>
      </c>
      <c r="J821" s="55">
        <v>500.95</v>
      </c>
      <c r="K821" s="56">
        <v>30800</v>
      </c>
      <c r="L821" s="55">
        <v>1.3</v>
      </c>
      <c r="M821" s="55">
        <v>-2.8</v>
      </c>
      <c r="N821" s="55" t="s">
        <v>576</v>
      </c>
      <c r="O821" s="55">
        <v>70180</v>
      </c>
      <c r="P821" s="55">
        <v>437580</v>
      </c>
      <c r="Q821" s="55">
        <v>1118120</v>
      </c>
      <c r="R821" s="57" t="s">
        <v>564</v>
      </c>
      <c r="S821" s="58" t="s">
        <v>566</v>
      </c>
      <c r="T821" s="51">
        <v>31314.2</v>
      </c>
    </row>
    <row r="822" spans="1:20" x14ac:dyDescent="0.25">
      <c r="A822" s="51" t="str">
        <f>(COUNTIF($K$2:K822,K822))&amp;K822</f>
        <v>4830900</v>
      </c>
      <c r="B822" s="52" t="s">
        <v>604</v>
      </c>
      <c r="C822" s="53" t="s">
        <v>566</v>
      </c>
      <c r="D822" s="54" t="s">
        <v>564</v>
      </c>
      <c r="E822" s="55">
        <v>9520</v>
      </c>
      <c r="F822" s="55">
        <v>7540</v>
      </c>
      <c r="G822" s="55">
        <v>1300</v>
      </c>
      <c r="H822" s="55" t="s">
        <v>574</v>
      </c>
      <c r="I822" s="55">
        <v>-232.54999999999995</v>
      </c>
      <c r="J822" s="55">
        <v>401</v>
      </c>
      <c r="K822" s="56">
        <v>30900</v>
      </c>
      <c r="L822" s="55">
        <v>2.4500000000000002</v>
      </c>
      <c r="M822" s="55">
        <v>-3.05</v>
      </c>
      <c r="N822" s="55" t="s">
        <v>576</v>
      </c>
      <c r="O822" s="55">
        <v>219060</v>
      </c>
      <c r="P822" s="55">
        <v>584940</v>
      </c>
      <c r="Q822" s="55">
        <v>2370460</v>
      </c>
      <c r="R822" s="57" t="s">
        <v>564</v>
      </c>
      <c r="S822" s="58" t="s">
        <v>566</v>
      </c>
      <c r="T822" s="51">
        <v>31314.2</v>
      </c>
    </row>
    <row r="823" spans="1:20" x14ac:dyDescent="0.25">
      <c r="A823" s="51" t="str">
        <f>(COUNTIF($K$2:K823,K823))&amp;K823</f>
        <v>4831000</v>
      </c>
      <c r="B823" s="52" t="s">
        <v>604</v>
      </c>
      <c r="C823" s="53" t="s">
        <v>566</v>
      </c>
      <c r="D823" s="54" t="s">
        <v>564</v>
      </c>
      <c r="E823" s="55">
        <v>223240</v>
      </c>
      <c r="F823" s="55">
        <v>107840</v>
      </c>
      <c r="G823" s="55">
        <v>19620</v>
      </c>
      <c r="H823" s="55" t="s">
        <v>574</v>
      </c>
      <c r="I823" s="55">
        <v>-238.15000000000003</v>
      </c>
      <c r="J823" s="55">
        <v>306.7</v>
      </c>
      <c r="K823" s="56">
        <v>31000</v>
      </c>
      <c r="L823" s="55">
        <v>5.4</v>
      </c>
      <c r="M823" s="55">
        <v>-2</v>
      </c>
      <c r="N823" s="55" t="s">
        <v>576</v>
      </c>
      <c r="O823" s="55">
        <v>1045300</v>
      </c>
      <c r="P823" s="55">
        <v>1855900</v>
      </c>
      <c r="Q823" s="55">
        <v>6926200</v>
      </c>
      <c r="R823" s="57" t="s">
        <v>564</v>
      </c>
      <c r="S823" s="58" t="s">
        <v>566</v>
      </c>
      <c r="T823" s="51">
        <v>31314.2</v>
      </c>
    </row>
    <row r="824" spans="1:20" x14ac:dyDescent="0.25">
      <c r="A824" s="51" t="str">
        <f>(COUNTIF($K$2:K824,K824))&amp;K824</f>
        <v>4831100</v>
      </c>
      <c r="B824" s="52" t="s">
        <v>604</v>
      </c>
      <c r="C824" s="53" t="s">
        <v>566</v>
      </c>
      <c r="D824" s="54" t="s">
        <v>564</v>
      </c>
      <c r="E824" s="55">
        <v>275860</v>
      </c>
      <c r="F824" s="55">
        <v>77620</v>
      </c>
      <c r="G824" s="55">
        <v>46960</v>
      </c>
      <c r="H824" s="55" t="s">
        <v>574</v>
      </c>
      <c r="I824" s="55">
        <v>-236.14999999999998</v>
      </c>
      <c r="J824" s="55">
        <v>209</v>
      </c>
      <c r="K824" s="56">
        <v>31100</v>
      </c>
      <c r="L824" s="55">
        <v>13.05</v>
      </c>
      <c r="M824" s="55">
        <v>2.9000000000000004</v>
      </c>
      <c r="N824" s="55" t="s">
        <v>576</v>
      </c>
      <c r="O824" s="55">
        <v>918600</v>
      </c>
      <c r="P824" s="55">
        <v>1437300</v>
      </c>
      <c r="Q824" s="55">
        <v>8652360</v>
      </c>
      <c r="R824" s="57" t="s">
        <v>564</v>
      </c>
      <c r="S824" s="58" t="s">
        <v>565</v>
      </c>
      <c r="T824" s="51">
        <v>31314.2</v>
      </c>
    </row>
    <row r="825" spans="1:20" x14ac:dyDescent="0.25">
      <c r="A825" s="51" t="str">
        <f>(COUNTIF($K$2:K825,K825))&amp;K825</f>
        <v>4831200</v>
      </c>
      <c r="B825" s="52" t="s">
        <v>604</v>
      </c>
      <c r="C825" s="53" t="s">
        <v>566</v>
      </c>
      <c r="D825" s="54" t="s">
        <v>564</v>
      </c>
      <c r="E825" s="55">
        <v>1911680</v>
      </c>
      <c r="F825" s="55">
        <v>323620</v>
      </c>
      <c r="G825" s="55">
        <v>191900</v>
      </c>
      <c r="H825" s="55" t="s">
        <v>576</v>
      </c>
      <c r="I825" s="55">
        <v>-220.64999999999998</v>
      </c>
      <c r="J825" s="55">
        <v>129.80000000000001</v>
      </c>
      <c r="K825" s="56">
        <v>31200</v>
      </c>
      <c r="L825" s="55">
        <v>33.4</v>
      </c>
      <c r="M825" s="55">
        <v>16</v>
      </c>
      <c r="N825" s="55" t="s">
        <v>576</v>
      </c>
      <c r="O825" s="55">
        <v>915260</v>
      </c>
      <c r="P825" s="55">
        <v>1441200</v>
      </c>
      <c r="Q825" s="55">
        <v>11686140</v>
      </c>
      <c r="R825" s="57" t="s">
        <v>564</v>
      </c>
      <c r="S825" s="58" t="s">
        <v>565</v>
      </c>
      <c r="T825" s="51">
        <v>31314.2</v>
      </c>
    </row>
    <row r="826" spans="1:20" ht="15.75" x14ac:dyDescent="0.25">
      <c r="A826" s="51" t="str">
        <f>(COUNTIF($K$2:K826,K826))&amp;K826</f>
        <v>4831300</v>
      </c>
      <c r="B826" s="52" t="s">
        <v>604</v>
      </c>
      <c r="C826" s="53" t="s">
        <v>566</v>
      </c>
      <c r="D826" s="54" t="s">
        <v>564</v>
      </c>
      <c r="E826" s="55">
        <v>4376940</v>
      </c>
      <c r="F826" s="55">
        <v>758940</v>
      </c>
      <c r="G826" s="55">
        <v>643000</v>
      </c>
      <c r="H826" s="55" t="s">
        <v>576</v>
      </c>
      <c r="I826" s="55">
        <v>-196.15</v>
      </c>
      <c r="J826" s="55">
        <v>69.400000000000006</v>
      </c>
      <c r="K826" s="59">
        <v>31300</v>
      </c>
      <c r="L826" s="55">
        <v>73.05</v>
      </c>
      <c r="M826" s="55">
        <v>42.099999999999994</v>
      </c>
      <c r="N826" s="55" t="s">
        <v>576</v>
      </c>
      <c r="O826" s="55">
        <v>412020</v>
      </c>
      <c r="P826" s="55">
        <v>1062520</v>
      </c>
      <c r="Q826" s="55">
        <v>12543980</v>
      </c>
      <c r="R826" s="57" t="s">
        <v>564</v>
      </c>
      <c r="S826" s="58" t="s">
        <v>565</v>
      </c>
      <c r="T826" s="51">
        <v>31314.2</v>
      </c>
    </row>
    <row r="827" spans="1:20" x14ac:dyDescent="0.25">
      <c r="A827" s="51" t="str">
        <f>(COUNTIF($K$2:K827,K827))&amp;K827</f>
        <v>4831400</v>
      </c>
      <c r="B827" s="52" t="s">
        <v>604</v>
      </c>
      <c r="C827" s="53" t="s">
        <v>566</v>
      </c>
      <c r="D827" s="54" t="s">
        <v>564</v>
      </c>
      <c r="E827" s="55">
        <v>10002060</v>
      </c>
      <c r="F827" s="55">
        <v>1476460</v>
      </c>
      <c r="G827" s="55">
        <v>1292160</v>
      </c>
      <c r="H827" s="55" t="s">
        <v>576</v>
      </c>
      <c r="I827" s="55">
        <v>-156.44999999999999</v>
      </c>
      <c r="J827" s="55">
        <v>32.549999999999997</v>
      </c>
      <c r="K827" s="56">
        <v>31400</v>
      </c>
      <c r="L827" s="55">
        <v>135.25</v>
      </c>
      <c r="M827" s="55">
        <v>81.3</v>
      </c>
      <c r="N827" s="55" t="s">
        <v>576</v>
      </c>
      <c r="O827" s="55">
        <v>60860</v>
      </c>
      <c r="P827" s="55">
        <v>617080</v>
      </c>
      <c r="Q827" s="55">
        <v>9309540</v>
      </c>
      <c r="R827" s="57" t="s">
        <v>564</v>
      </c>
      <c r="S827" s="58" t="s">
        <v>565</v>
      </c>
      <c r="T827" s="51">
        <v>31314.2</v>
      </c>
    </row>
    <row r="828" spans="1:20" x14ac:dyDescent="0.25">
      <c r="A828" s="51" t="str">
        <f>(COUNTIF($K$2:K828,K828))&amp;K828</f>
        <v>4831500</v>
      </c>
      <c r="B828" s="52" t="s">
        <v>604</v>
      </c>
      <c r="C828" s="53" t="s">
        <v>566</v>
      </c>
      <c r="D828" s="54" t="s">
        <v>564</v>
      </c>
      <c r="E828" s="55">
        <v>14965680</v>
      </c>
      <c r="F828" s="55">
        <v>2869440</v>
      </c>
      <c r="G828" s="55">
        <v>2090900</v>
      </c>
      <c r="H828" s="55" t="s">
        <v>576</v>
      </c>
      <c r="I828" s="55">
        <v>-112.45</v>
      </c>
      <c r="J828" s="55">
        <v>14</v>
      </c>
      <c r="K828" s="56">
        <v>31500</v>
      </c>
      <c r="L828" s="55">
        <v>217.35</v>
      </c>
      <c r="M828" s="55">
        <v>127.19999999999999</v>
      </c>
      <c r="N828" s="55" t="s">
        <v>576</v>
      </c>
      <c r="O828" s="55">
        <v>-160060</v>
      </c>
      <c r="P828" s="55">
        <v>470420</v>
      </c>
      <c r="Q828" s="55">
        <v>5214720</v>
      </c>
      <c r="R828" s="57" t="s">
        <v>563</v>
      </c>
      <c r="S828" s="58" t="s">
        <v>567</v>
      </c>
      <c r="T828" s="51">
        <v>31314.2</v>
      </c>
    </row>
    <row r="829" spans="1:20" x14ac:dyDescent="0.25">
      <c r="A829" s="51" t="str">
        <f>(COUNTIF($K$2:K829,K829))&amp;K829</f>
        <v>4831600</v>
      </c>
      <c r="B829" s="52" t="s">
        <v>604</v>
      </c>
      <c r="C829" s="53" t="s">
        <v>566</v>
      </c>
      <c r="D829" s="54" t="s">
        <v>564</v>
      </c>
      <c r="E829" s="55">
        <v>11188680</v>
      </c>
      <c r="F829" s="55">
        <v>1922400</v>
      </c>
      <c r="G829" s="55">
        <v>1302740</v>
      </c>
      <c r="H829" s="55" t="s">
        <v>576</v>
      </c>
      <c r="I829" s="55">
        <v>-73</v>
      </c>
      <c r="J829" s="55">
        <v>5.45</v>
      </c>
      <c r="K829" s="56">
        <v>31600</v>
      </c>
      <c r="L829" s="55">
        <v>308.5</v>
      </c>
      <c r="M829" s="55">
        <v>166.4</v>
      </c>
      <c r="N829" s="55" t="s">
        <v>576</v>
      </c>
      <c r="O829" s="55">
        <v>11320</v>
      </c>
      <c r="P829" s="55">
        <v>105560</v>
      </c>
      <c r="Q829" s="55">
        <v>1495020</v>
      </c>
      <c r="R829" s="57" t="s">
        <v>564</v>
      </c>
      <c r="S829" s="58" t="s">
        <v>565</v>
      </c>
      <c r="T829" s="51">
        <v>31314.2</v>
      </c>
    </row>
    <row r="830" spans="1:20" x14ac:dyDescent="0.25">
      <c r="A830" s="51" t="str">
        <f>(COUNTIF($K$2:K830,K830))&amp;K830</f>
        <v>4831700</v>
      </c>
      <c r="B830" s="52" t="s">
        <v>604</v>
      </c>
      <c r="C830" s="53" t="s">
        <v>566</v>
      </c>
      <c r="D830" s="54" t="s">
        <v>564</v>
      </c>
      <c r="E830" s="55">
        <v>9114100</v>
      </c>
      <c r="F830" s="55">
        <v>1373960</v>
      </c>
      <c r="G830" s="55">
        <v>738700</v>
      </c>
      <c r="H830" s="55" t="s">
        <v>576</v>
      </c>
      <c r="I830" s="55">
        <v>-41.95</v>
      </c>
      <c r="J830" s="55">
        <v>2.5</v>
      </c>
      <c r="K830" s="56">
        <v>31700</v>
      </c>
      <c r="L830" s="55">
        <v>405.8</v>
      </c>
      <c r="M830" s="55">
        <v>196.4</v>
      </c>
      <c r="N830" s="55" t="s">
        <v>576</v>
      </c>
      <c r="O830" s="55">
        <v>-10480</v>
      </c>
      <c r="P830" s="55">
        <v>39280</v>
      </c>
      <c r="Q830" s="55">
        <v>612900</v>
      </c>
      <c r="R830" s="57" t="s">
        <v>563</v>
      </c>
      <c r="S830" s="58" t="s">
        <v>567</v>
      </c>
      <c r="T830" s="51">
        <v>31314.2</v>
      </c>
    </row>
    <row r="831" spans="1:20" x14ac:dyDescent="0.25">
      <c r="A831" s="51" t="str">
        <f>(COUNTIF($K$2:K831,K831))&amp;K831</f>
        <v>4831800</v>
      </c>
      <c r="B831" s="52" t="s">
        <v>604</v>
      </c>
      <c r="C831" s="53" t="s">
        <v>566</v>
      </c>
      <c r="D831" s="54" t="s">
        <v>564</v>
      </c>
      <c r="E831" s="55">
        <v>6348900</v>
      </c>
      <c r="F831" s="55">
        <v>1038420</v>
      </c>
      <c r="G831" s="55">
        <v>453040</v>
      </c>
      <c r="H831" s="55" t="s">
        <v>576</v>
      </c>
      <c r="I831" s="55">
        <v>-22.15</v>
      </c>
      <c r="J831" s="55">
        <v>1.35</v>
      </c>
      <c r="K831" s="56">
        <v>31800</v>
      </c>
      <c r="L831" s="55">
        <v>506</v>
      </c>
      <c r="M831" s="55">
        <v>220.64999999999998</v>
      </c>
      <c r="N831" s="55" t="s">
        <v>576</v>
      </c>
      <c r="O831" s="55">
        <v>1620</v>
      </c>
      <c r="P831" s="55">
        <v>16600</v>
      </c>
      <c r="Q831" s="55">
        <v>230280</v>
      </c>
      <c r="R831" s="57" t="s">
        <v>564</v>
      </c>
      <c r="S831" s="58" t="s">
        <v>565</v>
      </c>
      <c r="T831" s="51">
        <v>31314.2</v>
      </c>
    </row>
    <row r="832" spans="1:20" x14ac:dyDescent="0.25">
      <c r="A832" s="51" t="str">
        <f>(COUNTIF($K$2:K832,K832))&amp;K832</f>
        <v>4831900</v>
      </c>
      <c r="B832" s="52" t="s">
        <v>604</v>
      </c>
      <c r="C832" s="53" t="s">
        <v>566</v>
      </c>
      <c r="D832" s="54" t="s">
        <v>564</v>
      </c>
      <c r="E832" s="55">
        <v>14813120</v>
      </c>
      <c r="F832" s="55">
        <v>675620</v>
      </c>
      <c r="G832" s="55">
        <v>163820</v>
      </c>
      <c r="H832" s="55" t="s">
        <v>576</v>
      </c>
      <c r="I832" s="55">
        <v>-10.15</v>
      </c>
      <c r="J832" s="55">
        <v>0.95</v>
      </c>
      <c r="K832" s="56">
        <v>31900</v>
      </c>
      <c r="L832" s="55">
        <v>606.29999999999995</v>
      </c>
      <c r="M832" s="55">
        <v>229.59999999999997</v>
      </c>
      <c r="N832" s="55" t="s">
        <v>576</v>
      </c>
      <c r="O832" s="55">
        <v>1100</v>
      </c>
      <c r="P832" s="55">
        <v>6640</v>
      </c>
      <c r="Q832" s="55">
        <v>48020</v>
      </c>
      <c r="R832" s="57" t="s">
        <v>564</v>
      </c>
      <c r="S832" s="58" t="s">
        <v>565</v>
      </c>
      <c r="T832" s="51">
        <v>31314.2</v>
      </c>
    </row>
    <row r="833" spans="1:20" x14ac:dyDescent="0.25">
      <c r="A833" s="51" t="str">
        <f>(COUNTIF($K$2:K833,K833))&amp;K833</f>
        <v>4832000</v>
      </c>
      <c r="B833" s="52" t="s">
        <v>604</v>
      </c>
      <c r="C833" s="53" t="s">
        <v>566</v>
      </c>
      <c r="D833" s="54" t="s">
        <v>564</v>
      </c>
      <c r="E833" s="55">
        <v>5437280</v>
      </c>
      <c r="F833" s="55">
        <v>755820</v>
      </c>
      <c r="G833" s="55">
        <v>144160</v>
      </c>
      <c r="H833" s="55" t="s">
        <v>576</v>
      </c>
      <c r="I833" s="55">
        <v>-5.4</v>
      </c>
      <c r="J833" s="55">
        <v>0.6</v>
      </c>
      <c r="K833" s="56">
        <v>32000</v>
      </c>
      <c r="L833" s="55">
        <v>700</v>
      </c>
      <c r="M833" s="55">
        <v>229.5</v>
      </c>
      <c r="N833" s="55" t="s">
        <v>576</v>
      </c>
      <c r="O833" s="55">
        <v>-1300</v>
      </c>
      <c r="P833" s="55">
        <v>10820</v>
      </c>
      <c r="Q833" s="55">
        <v>30040</v>
      </c>
      <c r="R833" s="57" t="s">
        <v>563</v>
      </c>
      <c r="S833" s="58" t="s">
        <v>567</v>
      </c>
      <c r="T833" s="51">
        <v>31314.2</v>
      </c>
    </row>
    <row r="834" spans="1:20" x14ac:dyDescent="0.25">
      <c r="A834" s="51" t="str">
        <f>(COUNTIF($K$2:K834,K834))&amp;K834</f>
        <v>49PCR</v>
      </c>
      <c r="B834" s="52" t="s">
        <v>604</v>
      </c>
      <c r="C834" s="60">
        <v>0.78507310777560346</v>
      </c>
      <c r="E834" s="61"/>
      <c r="F834" s="62">
        <v>11436540</v>
      </c>
      <c r="G834" s="63"/>
      <c r="H834" s="64"/>
      <c r="I834" s="64"/>
      <c r="J834" s="64"/>
      <c r="K834" s="65" t="s">
        <v>555</v>
      </c>
      <c r="L834" s="64"/>
      <c r="M834" s="64"/>
      <c r="N834" s="64"/>
      <c r="P834" s="63">
        <v>8978520</v>
      </c>
      <c r="Q834" s="61"/>
      <c r="R834" s="64"/>
      <c r="S834" s="64"/>
    </row>
    <row r="835" spans="1:20" x14ac:dyDescent="0.25">
      <c r="A835" s="51" t="str">
        <f>(COUNTIF($K$2:K835,K835))&amp;K835</f>
        <v>2030500</v>
      </c>
      <c r="B835" s="52" t="s">
        <v>604</v>
      </c>
      <c r="C835" s="53" t="s">
        <v>562</v>
      </c>
      <c r="D835" s="54" t="s">
        <v>563</v>
      </c>
      <c r="E835" s="55">
        <v>14300</v>
      </c>
      <c r="F835" s="55">
        <v>26720</v>
      </c>
      <c r="G835" s="55">
        <v>-5500</v>
      </c>
      <c r="H835" s="55" t="s">
        <v>574</v>
      </c>
      <c r="I835" s="55">
        <v>-227.79999999999995</v>
      </c>
      <c r="J835" s="55">
        <v>804</v>
      </c>
      <c r="K835" s="56">
        <v>30500</v>
      </c>
      <c r="L835" s="55">
        <v>0.6</v>
      </c>
      <c r="M835" s="55">
        <v>-2.1</v>
      </c>
      <c r="N835" s="55" t="s">
        <v>576</v>
      </c>
      <c r="O835" s="55">
        <v>-8380</v>
      </c>
      <c r="P835" s="55">
        <v>405960</v>
      </c>
      <c r="Q835" s="55">
        <v>254800</v>
      </c>
      <c r="R835" s="57" t="s">
        <v>563</v>
      </c>
      <c r="S835" s="58" t="s">
        <v>562</v>
      </c>
      <c r="T835" s="51">
        <v>31314.2</v>
      </c>
    </row>
    <row r="836" spans="1:20" x14ac:dyDescent="0.25">
      <c r="A836" s="51" t="str">
        <f>(COUNTIF($K$2:K836,K836))&amp;K836</f>
        <v>4030600</v>
      </c>
      <c r="B836" s="52" t="s">
        <v>604</v>
      </c>
      <c r="C836" s="53" t="s">
        <v>562</v>
      </c>
      <c r="D836" s="54" t="s">
        <v>563</v>
      </c>
      <c r="E836" s="55">
        <v>1540</v>
      </c>
      <c r="F836" s="55">
        <v>3760</v>
      </c>
      <c r="G836" s="55">
        <v>-780</v>
      </c>
      <c r="H836" s="55" t="s">
        <v>574</v>
      </c>
      <c r="I836" s="55">
        <v>-234</v>
      </c>
      <c r="J836" s="55">
        <v>698.7</v>
      </c>
      <c r="K836" s="56">
        <v>30600</v>
      </c>
      <c r="L836" s="55">
        <v>0.65</v>
      </c>
      <c r="M836" s="55">
        <v>-2.35</v>
      </c>
      <c r="N836" s="55" t="s">
        <v>576</v>
      </c>
      <c r="O836" s="55">
        <v>14200</v>
      </c>
      <c r="P836" s="55">
        <v>213440</v>
      </c>
      <c r="Q836" s="55">
        <v>217440</v>
      </c>
      <c r="R836" s="57" t="s">
        <v>564</v>
      </c>
      <c r="S836" s="58" t="s">
        <v>566</v>
      </c>
      <c r="T836" s="51">
        <v>31314.2</v>
      </c>
    </row>
    <row r="837" spans="1:20" x14ac:dyDescent="0.25">
      <c r="A837" s="51" t="str">
        <f>(COUNTIF($K$2:K837,K837))&amp;K837</f>
        <v>4930700</v>
      </c>
      <c r="B837" s="52" t="s">
        <v>604</v>
      </c>
      <c r="C837" s="53" t="s">
        <v>562</v>
      </c>
      <c r="D837" s="54" t="s">
        <v>563</v>
      </c>
      <c r="E837" s="55">
        <v>8540</v>
      </c>
      <c r="F837" s="55">
        <v>10540</v>
      </c>
      <c r="G837" s="55">
        <v>-1280</v>
      </c>
      <c r="H837" s="55" t="s">
        <v>574</v>
      </c>
      <c r="I837" s="55">
        <v>-224</v>
      </c>
      <c r="J837" s="55">
        <v>612</v>
      </c>
      <c r="K837" s="56">
        <v>30700</v>
      </c>
      <c r="L837" s="55">
        <v>0.85</v>
      </c>
      <c r="M837" s="55">
        <v>-2.75</v>
      </c>
      <c r="N837" s="55" t="s">
        <v>576</v>
      </c>
      <c r="O837" s="55">
        <v>83080</v>
      </c>
      <c r="P837" s="55">
        <v>273280</v>
      </c>
      <c r="Q837" s="55">
        <v>487520</v>
      </c>
      <c r="R837" s="57" t="s">
        <v>564</v>
      </c>
      <c r="S837" s="58" t="s">
        <v>566</v>
      </c>
      <c r="T837" s="51">
        <v>31314.2</v>
      </c>
    </row>
    <row r="838" spans="1:20" x14ac:dyDescent="0.25">
      <c r="A838" s="51" t="str">
        <f>(COUNTIF($K$2:K838,K838))&amp;K838</f>
        <v>4930800</v>
      </c>
      <c r="B838" s="52" t="s">
        <v>604</v>
      </c>
      <c r="C838" s="53" t="s">
        <v>566</v>
      </c>
      <c r="D838" s="54" t="s">
        <v>564</v>
      </c>
      <c r="E838" s="55">
        <v>6280</v>
      </c>
      <c r="F838" s="55">
        <v>7840</v>
      </c>
      <c r="G838" s="55">
        <v>340</v>
      </c>
      <c r="H838" s="55" t="s">
        <v>574</v>
      </c>
      <c r="I838" s="55">
        <v>-234.65000000000003</v>
      </c>
      <c r="J838" s="55">
        <v>500.95</v>
      </c>
      <c r="K838" s="56">
        <v>30800</v>
      </c>
      <c r="L838" s="55">
        <v>1.3</v>
      </c>
      <c r="M838" s="55">
        <v>-2.8</v>
      </c>
      <c r="N838" s="55" t="s">
        <v>576</v>
      </c>
      <c r="O838" s="55">
        <v>70180</v>
      </c>
      <c r="P838" s="55">
        <v>437580</v>
      </c>
      <c r="Q838" s="55">
        <v>1118120</v>
      </c>
      <c r="R838" s="57" t="s">
        <v>564</v>
      </c>
      <c r="S838" s="58" t="s">
        <v>566</v>
      </c>
      <c r="T838" s="51">
        <v>31314.2</v>
      </c>
    </row>
    <row r="839" spans="1:20" x14ac:dyDescent="0.25">
      <c r="A839" s="51" t="str">
        <f>(COUNTIF($K$2:K839,K839))&amp;K839</f>
        <v>4930900</v>
      </c>
      <c r="B839" s="52" t="s">
        <v>604</v>
      </c>
      <c r="C839" s="53" t="s">
        <v>566</v>
      </c>
      <c r="D839" s="54" t="s">
        <v>564</v>
      </c>
      <c r="E839" s="55">
        <v>9520</v>
      </c>
      <c r="F839" s="55">
        <v>7540</v>
      </c>
      <c r="G839" s="55">
        <v>1300</v>
      </c>
      <c r="H839" s="55" t="s">
        <v>574</v>
      </c>
      <c r="I839" s="55">
        <v>-232.54999999999995</v>
      </c>
      <c r="J839" s="55">
        <v>401</v>
      </c>
      <c r="K839" s="56">
        <v>30900</v>
      </c>
      <c r="L839" s="55">
        <v>2.4500000000000002</v>
      </c>
      <c r="M839" s="55">
        <v>-3.05</v>
      </c>
      <c r="N839" s="55" t="s">
        <v>576</v>
      </c>
      <c r="O839" s="55">
        <v>219060</v>
      </c>
      <c r="P839" s="55">
        <v>584940</v>
      </c>
      <c r="Q839" s="55">
        <v>2370460</v>
      </c>
      <c r="R839" s="57" t="s">
        <v>564</v>
      </c>
      <c r="S839" s="58" t="s">
        <v>566</v>
      </c>
      <c r="T839" s="51">
        <v>31314.2</v>
      </c>
    </row>
    <row r="840" spans="1:20" x14ac:dyDescent="0.25">
      <c r="A840" s="51" t="str">
        <f>(COUNTIF($K$2:K840,K840))&amp;K840</f>
        <v>4931000</v>
      </c>
      <c r="B840" s="52" t="s">
        <v>604</v>
      </c>
      <c r="C840" s="53" t="s">
        <v>566</v>
      </c>
      <c r="D840" s="54" t="s">
        <v>564</v>
      </c>
      <c r="E840" s="55">
        <v>223240</v>
      </c>
      <c r="F840" s="55">
        <v>107840</v>
      </c>
      <c r="G840" s="55">
        <v>19620</v>
      </c>
      <c r="H840" s="55" t="s">
        <v>574</v>
      </c>
      <c r="I840" s="55">
        <v>-238.15000000000003</v>
      </c>
      <c r="J840" s="55">
        <v>306.7</v>
      </c>
      <c r="K840" s="56">
        <v>31000</v>
      </c>
      <c r="L840" s="55">
        <v>5.4</v>
      </c>
      <c r="M840" s="55">
        <v>-2</v>
      </c>
      <c r="N840" s="55" t="s">
        <v>576</v>
      </c>
      <c r="O840" s="55">
        <v>1045300</v>
      </c>
      <c r="P840" s="55">
        <v>1855900</v>
      </c>
      <c r="Q840" s="55">
        <v>6926200</v>
      </c>
      <c r="R840" s="57" t="s">
        <v>564</v>
      </c>
      <c r="S840" s="58" t="s">
        <v>566</v>
      </c>
      <c r="T840" s="51">
        <v>31314.2</v>
      </c>
    </row>
    <row r="841" spans="1:20" x14ac:dyDescent="0.25">
      <c r="A841" s="51" t="str">
        <f>(COUNTIF($K$2:K841,K841))&amp;K841</f>
        <v>4931100</v>
      </c>
      <c r="B841" s="52" t="s">
        <v>604</v>
      </c>
      <c r="C841" s="53" t="s">
        <v>566</v>
      </c>
      <c r="D841" s="54" t="s">
        <v>564</v>
      </c>
      <c r="E841" s="55">
        <v>275860</v>
      </c>
      <c r="F841" s="55">
        <v>77620</v>
      </c>
      <c r="G841" s="55">
        <v>46960</v>
      </c>
      <c r="H841" s="55" t="s">
        <v>574</v>
      </c>
      <c r="I841" s="55">
        <v>-236.14999999999998</v>
      </c>
      <c r="J841" s="55">
        <v>209</v>
      </c>
      <c r="K841" s="56">
        <v>31100</v>
      </c>
      <c r="L841" s="55">
        <v>13.05</v>
      </c>
      <c r="M841" s="55">
        <v>2.9000000000000004</v>
      </c>
      <c r="N841" s="55" t="s">
        <v>576</v>
      </c>
      <c r="O841" s="55">
        <v>918600</v>
      </c>
      <c r="P841" s="55">
        <v>1437300</v>
      </c>
      <c r="Q841" s="55">
        <v>8652360</v>
      </c>
      <c r="R841" s="57" t="s">
        <v>564</v>
      </c>
      <c r="S841" s="58" t="s">
        <v>565</v>
      </c>
      <c r="T841" s="51">
        <v>31314.2</v>
      </c>
    </row>
    <row r="842" spans="1:20" x14ac:dyDescent="0.25">
      <c r="A842" s="51" t="str">
        <f>(COUNTIF($K$2:K842,K842))&amp;K842</f>
        <v>4931200</v>
      </c>
      <c r="B842" s="52" t="s">
        <v>604</v>
      </c>
      <c r="C842" s="53" t="s">
        <v>566</v>
      </c>
      <c r="D842" s="54" t="s">
        <v>564</v>
      </c>
      <c r="E842" s="55">
        <v>1911680</v>
      </c>
      <c r="F842" s="55">
        <v>323620</v>
      </c>
      <c r="G842" s="55">
        <v>191900</v>
      </c>
      <c r="H842" s="55" t="s">
        <v>576</v>
      </c>
      <c r="I842" s="55">
        <v>-220.64999999999998</v>
      </c>
      <c r="J842" s="55">
        <v>129.80000000000001</v>
      </c>
      <c r="K842" s="56">
        <v>31200</v>
      </c>
      <c r="L842" s="55">
        <v>33.4</v>
      </c>
      <c r="M842" s="55">
        <v>16</v>
      </c>
      <c r="N842" s="55" t="s">
        <v>576</v>
      </c>
      <c r="O842" s="55">
        <v>915260</v>
      </c>
      <c r="P842" s="55">
        <v>1441200</v>
      </c>
      <c r="Q842" s="55">
        <v>11686140</v>
      </c>
      <c r="R842" s="57" t="s">
        <v>564</v>
      </c>
      <c r="S842" s="58" t="s">
        <v>565</v>
      </c>
      <c r="T842" s="51">
        <v>31314.2</v>
      </c>
    </row>
    <row r="843" spans="1:20" ht="15.75" x14ac:dyDescent="0.25">
      <c r="A843" s="51" t="str">
        <f>(COUNTIF($K$2:K843,K843))&amp;K843</f>
        <v>4931300</v>
      </c>
      <c r="B843" s="52" t="s">
        <v>604</v>
      </c>
      <c r="C843" s="53" t="s">
        <v>566</v>
      </c>
      <c r="D843" s="54" t="s">
        <v>564</v>
      </c>
      <c r="E843" s="55">
        <v>4376940</v>
      </c>
      <c r="F843" s="55">
        <v>758940</v>
      </c>
      <c r="G843" s="55">
        <v>643000</v>
      </c>
      <c r="H843" s="55" t="s">
        <v>576</v>
      </c>
      <c r="I843" s="55">
        <v>-196.15</v>
      </c>
      <c r="J843" s="55">
        <v>69.400000000000006</v>
      </c>
      <c r="K843" s="59">
        <v>31300</v>
      </c>
      <c r="L843" s="55">
        <v>73.05</v>
      </c>
      <c r="M843" s="55">
        <v>42.099999999999994</v>
      </c>
      <c r="N843" s="55" t="s">
        <v>576</v>
      </c>
      <c r="O843" s="55">
        <v>412020</v>
      </c>
      <c r="P843" s="55">
        <v>1062520</v>
      </c>
      <c r="Q843" s="55">
        <v>12543980</v>
      </c>
      <c r="R843" s="57" t="s">
        <v>564</v>
      </c>
      <c r="S843" s="58" t="s">
        <v>565</v>
      </c>
      <c r="T843" s="51">
        <v>31314.2</v>
      </c>
    </row>
    <row r="844" spans="1:20" x14ac:dyDescent="0.25">
      <c r="A844" s="51" t="str">
        <f>(COUNTIF($K$2:K844,K844))&amp;K844</f>
        <v>4931400</v>
      </c>
      <c r="B844" s="52" t="s">
        <v>604</v>
      </c>
      <c r="C844" s="53" t="s">
        <v>566</v>
      </c>
      <c r="D844" s="54" t="s">
        <v>564</v>
      </c>
      <c r="E844" s="55">
        <v>10002060</v>
      </c>
      <c r="F844" s="55">
        <v>1476460</v>
      </c>
      <c r="G844" s="55">
        <v>1292160</v>
      </c>
      <c r="H844" s="55" t="s">
        <v>576</v>
      </c>
      <c r="I844" s="55">
        <v>-156.44999999999999</v>
      </c>
      <c r="J844" s="55">
        <v>32.549999999999997</v>
      </c>
      <c r="K844" s="56">
        <v>31400</v>
      </c>
      <c r="L844" s="55">
        <v>135.25</v>
      </c>
      <c r="M844" s="55">
        <v>81.3</v>
      </c>
      <c r="N844" s="55" t="s">
        <v>576</v>
      </c>
      <c r="O844" s="55">
        <v>60860</v>
      </c>
      <c r="P844" s="55">
        <v>617080</v>
      </c>
      <c r="Q844" s="55">
        <v>9309540</v>
      </c>
      <c r="R844" s="57" t="s">
        <v>564</v>
      </c>
      <c r="S844" s="58" t="s">
        <v>565</v>
      </c>
      <c r="T844" s="51">
        <v>31314.2</v>
      </c>
    </row>
    <row r="845" spans="1:20" x14ac:dyDescent="0.25">
      <c r="A845" s="51" t="str">
        <f>(COUNTIF($K$2:K845,K845))&amp;K845</f>
        <v>4931500</v>
      </c>
      <c r="B845" s="52" t="s">
        <v>604</v>
      </c>
      <c r="C845" s="53" t="s">
        <v>566</v>
      </c>
      <c r="D845" s="54" t="s">
        <v>564</v>
      </c>
      <c r="E845" s="55">
        <v>14965680</v>
      </c>
      <c r="F845" s="55">
        <v>2869440</v>
      </c>
      <c r="G845" s="55">
        <v>2090900</v>
      </c>
      <c r="H845" s="55" t="s">
        <v>576</v>
      </c>
      <c r="I845" s="55">
        <v>-112.45</v>
      </c>
      <c r="J845" s="55">
        <v>14</v>
      </c>
      <c r="K845" s="56">
        <v>31500</v>
      </c>
      <c r="L845" s="55">
        <v>217.35</v>
      </c>
      <c r="M845" s="55">
        <v>127.19999999999999</v>
      </c>
      <c r="N845" s="55" t="s">
        <v>576</v>
      </c>
      <c r="O845" s="55">
        <v>-160060</v>
      </c>
      <c r="P845" s="55">
        <v>470420</v>
      </c>
      <c r="Q845" s="55">
        <v>5214720</v>
      </c>
      <c r="R845" s="57" t="s">
        <v>563</v>
      </c>
      <c r="S845" s="58" t="s">
        <v>567</v>
      </c>
      <c r="T845" s="51">
        <v>31314.2</v>
      </c>
    </row>
    <row r="846" spans="1:20" x14ac:dyDescent="0.25">
      <c r="A846" s="51" t="str">
        <f>(COUNTIF($K$2:K846,K846))&amp;K846</f>
        <v>4931600</v>
      </c>
      <c r="B846" s="52" t="s">
        <v>604</v>
      </c>
      <c r="C846" s="53" t="s">
        <v>566</v>
      </c>
      <c r="D846" s="54" t="s">
        <v>564</v>
      </c>
      <c r="E846" s="55">
        <v>11188680</v>
      </c>
      <c r="F846" s="55">
        <v>1922400</v>
      </c>
      <c r="G846" s="55">
        <v>1302740</v>
      </c>
      <c r="H846" s="55" t="s">
        <v>576</v>
      </c>
      <c r="I846" s="55">
        <v>-73</v>
      </c>
      <c r="J846" s="55">
        <v>5.45</v>
      </c>
      <c r="K846" s="56">
        <v>31600</v>
      </c>
      <c r="L846" s="55">
        <v>308.5</v>
      </c>
      <c r="M846" s="55">
        <v>166.4</v>
      </c>
      <c r="N846" s="55" t="s">
        <v>576</v>
      </c>
      <c r="O846" s="55">
        <v>11320</v>
      </c>
      <c r="P846" s="55">
        <v>105560</v>
      </c>
      <c r="Q846" s="55">
        <v>1495020</v>
      </c>
      <c r="R846" s="57" t="s">
        <v>564</v>
      </c>
      <c r="S846" s="58" t="s">
        <v>565</v>
      </c>
      <c r="T846" s="51">
        <v>31314.2</v>
      </c>
    </row>
    <row r="847" spans="1:20" x14ac:dyDescent="0.25">
      <c r="A847" s="51" t="str">
        <f>(COUNTIF($K$2:K847,K847))&amp;K847</f>
        <v>4931700</v>
      </c>
      <c r="B847" s="52" t="s">
        <v>604</v>
      </c>
      <c r="C847" s="53" t="s">
        <v>566</v>
      </c>
      <c r="D847" s="54" t="s">
        <v>564</v>
      </c>
      <c r="E847" s="55">
        <v>9114100</v>
      </c>
      <c r="F847" s="55">
        <v>1373960</v>
      </c>
      <c r="G847" s="55">
        <v>738700</v>
      </c>
      <c r="H847" s="55" t="s">
        <v>576</v>
      </c>
      <c r="I847" s="55">
        <v>-41.95</v>
      </c>
      <c r="J847" s="55">
        <v>2.5</v>
      </c>
      <c r="K847" s="56">
        <v>31700</v>
      </c>
      <c r="L847" s="55">
        <v>405.8</v>
      </c>
      <c r="M847" s="55">
        <v>196.4</v>
      </c>
      <c r="N847" s="55" t="s">
        <v>576</v>
      </c>
      <c r="O847" s="55">
        <v>-10480</v>
      </c>
      <c r="P847" s="55">
        <v>39280</v>
      </c>
      <c r="Q847" s="55">
        <v>612900</v>
      </c>
      <c r="R847" s="57" t="s">
        <v>563</v>
      </c>
      <c r="S847" s="58" t="s">
        <v>567</v>
      </c>
      <c r="T847" s="51">
        <v>31314.2</v>
      </c>
    </row>
    <row r="848" spans="1:20" x14ac:dyDescent="0.25">
      <c r="A848" s="51" t="str">
        <f>(COUNTIF($K$2:K848,K848))&amp;K848</f>
        <v>4931800</v>
      </c>
      <c r="B848" s="52" t="s">
        <v>604</v>
      </c>
      <c r="C848" s="53" t="s">
        <v>566</v>
      </c>
      <c r="D848" s="54" t="s">
        <v>564</v>
      </c>
      <c r="E848" s="55">
        <v>6348900</v>
      </c>
      <c r="F848" s="55">
        <v>1038420</v>
      </c>
      <c r="G848" s="55">
        <v>453040</v>
      </c>
      <c r="H848" s="55" t="s">
        <v>576</v>
      </c>
      <c r="I848" s="55">
        <v>-22.15</v>
      </c>
      <c r="J848" s="55">
        <v>1.35</v>
      </c>
      <c r="K848" s="56">
        <v>31800</v>
      </c>
      <c r="L848" s="55">
        <v>506</v>
      </c>
      <c r="M848" s="55">
        <v>220.64999999999998</v>
      </c>
      <c r="N848" s="55" t="s">
        <v>576</v>
      </c>
      <c r="O848" s="55">
        <v>1620</v>
      </c>
      <c r="P848" s="55">
        <v>16600</v>
      </c>
      <c r="Q848" s="55">
        <v>230280</v>
      </c>
      <c r="R848" s="57" t="s">
        <v>564</v>
      </c>
      <c r="S848" s="58" t="s">
        <v>565</v>
      </c>
      <c r="T848" s="51">
        <v>31314.2</v>
      </c>
    </row>
    <row r="849" spans="1:20" x14ac:dyDescent="0.25">
      <c r="A849" s="51" t="str">
        <f>(COUNTIF($K$2:K849,K849))&amp;K849</f>
        <v>4931900</v>
      </c>
      <c r="B849" s="52" t="s">
        <v>604</v>
      </c>
      <c r="C849" s="53" t="s">
        <v>566</v>
      </c>
      <c r="D849" s="54" t="s">
        <v>564</v>
      </c>
      <c r="E849" s="55">
        <v>14813120</v>
      </c>
      <c r="F849" s="55">
        <v>675620</v>
      </c>
      <c r="G849" s="55">
        <v>163820</v>
      </c>
      <c r="H849" s="55" t="s">
        <v>576</v>
      </c>
      <c r="I849" s="55">
        <v>-10.15</v>
      </c>
      <c r="J849" s="55">
        <v>0.95</v>
      </c>
      <c r="K849" s="56">
        <v>31900</v>
      </c>
      <c r="L849" s="55">
        <v>606.29999999999995</v>
      </c>
      <c r="M849" s="55">
        <v>229.59999999999997</v>
      </c>
      <c r="N849" s="55" t="s">
        <v>576</v>
      </c>
      <c r="O849" s="55">
        <v>1100</v>
      </c>
      <c r="P849" s="55">
        <v>6640</v>
      </c>
      <c r="Q849" s="55">
        <v>48020</v>
      </c>
      <c r="R849" s="57" t="s">
        <v>564</v>
      </c>
      <c r="S849" s="58" t="s">
        <v>565</v>
      </c>
      <c r="T849" s="51">
        <v>31314.2</v>
      </c>
    </row>
    <row r="850" spans="1:20" x14ac:dyDescent="0.25">
      <c r="A850" s="51" t="str">
        <f>(COUNTIF($K$2:K850,K850))&amp;K850</f>
        <v>4932000</v>
      </c>
      <c r="B850" s="52" t="s">
        <v>604</v>
      </c>
      <c r="C850" s="53" t="s">
        <v>566</v>
      </c>
      <c r="D850" s="54" t="s">
        <v>564</v>
      </c>
      <c r="E850" s="55">
        <v>5437280</v>
      </c>
      <c r="F850" s="55">
        <v>755820</v>
      </c>
      <c r="G850" s="55">
        <v>144160</v>
      </c>
      <c r="H850" s="55" t="s">
        <v>576</v>
      </c>
      <c r="I850" s="55">
        <v>-5.4</v>
      </c>
      <c r="J850" s="55">
        <v>0.6</v>
      </c>
      <c r="K850" s="56">
        <v>32000</v>
      </c>
      <c r="L850" s="55">
        <v>700</v>
      </c>
      <c r="M850" s="55">
        <v>229.5</v>
      </c>
      <c r="N850" s="55" t="s">
        <v>576</v>
      </c>
      <c r="O850" s="55">
        <v>-1300</v>
      </c>
      <c r="P850" s="55">
        <v>10820</v>
      </c>
      <c r="Q850" s="55">
        <v>30040</v>
      </c>
      <c r="R850" s="57" t="s">
        <v>563</v>
      </c>
      <c r="S850" s="58" t="s">
        <v>567</v>
      </c>
      <c r="T850" s="51">
        <v>31314.2</v>
      </c>
    </row>
    <row r="851" spans="1:20" x14ac:dyDescent="0.25">
      <c r="A851" s="51" t="str">
        <f>(COUNTIF($K$2:K851,K851))&amp;K851</f>
        <v>50PCR</v>
      </c>
      <c r="B851" s="52" t="s">
        <v>604</v>
      </c>
      <c r="C851" s="60">
        <v>0.78507310777560346</v>
      </c>
      <c r="E851" s="61"/>
      <c r="F851" s="62">
        <v>11436540</v>
      </c>
      <c r="G851" s="63"/>
      <c r="H851" s="64"/>
      <c r="I851" s="64"/>
      <c r="J851" s="64"/>
      <c r="K851" s="65" t="s">
        <v>555</v>
      </c>
      <c r="L851" s="64"/>
      <c r="M851" s="64"/>
      <c r="N851" s="64"/>
      <c r="P851" s="63">
        <v>8978520</v>
      </c>
      <c r="Q851" s="61"/>
      <c r="R851" s="64"/>
      <c r="S851" s="64"/>
    </row>
    <row r="852" spans="1:20" x14ac:dyDescent="0.25">
      <c r="A852" s="51" t="str">
        <f>(COUNTIF($K$2:K852,K852))&amp;K852</f>
        <v>2130500</v>
      </c>
      <c r="B852" s="52" t="s">
        <v>605</v>
      </c>
      <c r="C852" s="53" t="s">
        <v>562</v>
      </c>
      <c r="D852" s="54" t="s">
        <v>563</v>
      </c>
      <c r="E852" s="55">
        <v>14440</v>
      </c>
      <c r="F852" s="55">
        <v>26660</v>
      </c>
      <c r="G852" s="55">
        <v>-5560</v>
      </c>
      <c r="H852" s="55" t="s">
        <v>574</v>
      </c>
      <c r="I852" s="55">
        <v>-225.79999999999995</v>
      </c>
      <c r="J852" s="55">
        <v>806</v>
      </c>
      <c r="K852" s="56">
        <v>30500</v>
      </c>
      <c r="L852" s="55">
        <v>0.55000000000000004</v>
      </c>
      <c r="M852" s="55">
        <v>-2.1500000000000004</v>
      </c>
      <c r="N852" s="55" t="s">
        <v>576</v>
      </c>
      <c r="O852" s="55">
        <v>-8820</v>
      </c>
      <c r="P852" s="55">
        <v>405520</v>
      </c>
      <c r="Q852" s="55">
        <v>256240</v>
      </c>
      <c r="R852" s="57" t="s">
        <v>563</v>
      </c>
      <c r="S852" s="58" t="s">
        <v>562</v>
      </c>
      <c r="T852" s="51">
        <v>31322.15</v>
      </c>
    </row>
    <row r="853" spans="1:20" x14ac:dyDescent="0.25">
      <c r="A853" s="51" t="str">
        <f>(COUNTIF($K$2:K853,K853))&amp;K853</f>
        <v>4130600</v>
      </c>
      <c r="B853" s="52" t="s">
        <v>605</v>
      </c>
      <c r="C853" s="53" t="s">
        <v>562</v>
      </c>
      <c r="D853" s="54" t="s">
        <v>563</v>
      </c>
      <c r="E853" s="55">
        <v>1600</v>
      </c>
      <c r="F853" s="55">
        <v>3760</v>
      </c>
      <c r="G853" s="55">
        <v>-780</v>
      </c>
      <c r="H853" s="55" t="s">
        <v>574</v>
      </c>
      <c r="I853" s="55">
        <v>-222.20000000000005</v>
      </c>
      <c r="J853" s="55">
        <v>710.5</v>
      </c>
      <c r="K853" s="56">
        <v>30600</v>
      </c>
      <c r="L853" s="55">
        <v>0.65</v>
      </c>
      <c r="M853" s="55">
        <v>-2.35</v>
      </c>
      <c r="N853" s="55" t="s">
        <v>576</v>
      </c>
      <c r="O853" s="55">
        <v>14200</v>
      </c>
      <c r="P853" s="55">
        <v>213440</v>
      </c>
      <c r="Q853" s="55">
        <v>220560</v>
      </c>
      <c r="R853" s="57" t="s">
        <v>564</v>
      </c>
      <c r="S853" s="58" t="s">
        <v>566</v>
      </c>
      <c r="T853" s="51">
        <v>31322.15</v>
      </c>
    </row>
    <row r="854" spans="1:20" x14ac:dyDescent="0.25">
      <c r="A854" s="51" t="str">
        <f>(COUNTIF($K$2:K854,K854))&amp;K854</f>
        <v>5030700</v>
      </c>
      <c r="B854" s="52" t="s">
        <v>605</v>
      </c>
      <c r="C854" s="53" t="s">
        <v>562</v>
      </c>
      <c r="D854" s="54" t="s">
        <v>563</v>
      </c>
      <c r="E854" s="55">
        <v>8540</v>
      </c>
      <c r="F854" s="55">
        <v>10540</v>
      </c>
      <c r="G854" s="55">
        <v>-1280</v>
      </c>
      <c r="H854" s="55" t="s">
        <v>574</v>
      </c>
      <c r="I854" s="55">
        <v>-224</v>
      </c>
      <c r="J854" s="55">
        <v>612</v>
      </c>
      <c r="K854" s="56">
        <v>30700</v>
      </c>
      <c r="L854" s="55">
        <v>0.8</v>
      </c>
      <c r="M854" s="55">
        <v>-2.8</v>
      </c>
      <c r="N854" s="55" t="s">
        <v>576</v>
      </c>
      <c r="O854" s="55">
        <v>81060</v>
      </c>
      <c r="P854" s="55">
        <v>271260</v>
      </c>
      <c r="Q854" s="55">
        <v>489940</v>
      </c>
      <c r="R854" s="57" t="s">
        <v>564</v>
      </c>
      <c r="S854" s="58" t="s">
        <v>566</v>
      </c>
      <c r="T854" s="51">
        <v>31322.15</v>
      </c>
    </row>
    <row r="855" spans="1:20" x14ac:dyDescent="0.25">
      <c r="A855" s="51" t="str">
        <f>(COUNTIF($K$2:K855,K855))&amp;K855</f>
        <v>5030800</v>
      </c>
      <c r="B855" s="52" t="s">
        <v>605</v>
      </c>
      <c r="C855" s="53" t="s">
        <v>566</v>
      </c>
      <c r="D855" s="54" t="s">
        <v>564</v>
      </c>
      <c r="E855" s="55">
        <v>6420</v>
      </c>
      <c r="F855" s="55">
        <v>7840</v>
      </c>
      <c r="G855" s="55">
        <v>340</v>
      </c>
      <c r="H855" s="55" t="s">
        <v>574</v>
      </c>
      <c r="I855" s="55">
        <v>-231.60000000000002</v>
      </c>
      <c r="J855" s="55">
        <v>504</v>
      </c>
      <c r="K855" s="56">
        <v>30800</v>
      </c>
      <c r="L855" s="55">
        <v>1.25</v>
      </c>
      <c r="M855" s="55">
        <v>-2.8499999999999996</v>
      </c>
      <c r="N855" s="55" t="s">
        <v>576</v>
      </c>
      <c r="O855" s="55">
        <v>70260</v>
      </c>
      <c r="P855" s="55">
        <v>437660</v>
      </c>
      <c r="Q855" s="55">
        <v>1129680</v>
      </c>
      <c r="R855" s="57" t="s">
        <v>564</v>
      </c>
      <c r="S855" s="58" t="s">
        <v>566</v>
      </c>
      <c r="T855" s="51">
        <v>31322.15</v>
      </c>
    </row>
    <row r="856" spans="1:20" x14ac:dyDescent="0.25">
      <c r="A856" s="51" t="str">
        <f>(COUNTIF($K$2:K856,K856))&amp;K856</f>
        <v>5030900</v>
      </c>
      <c r="B856" s="52" t="s">
        <v>605</v>
      </c>
      <c r="C856" s="53" t="s">
        <v>566</v>
      </c>
      <c r="D856" s="54" t="s">
        <v>564</v>
      </c>
      <c r="E856" s="55">
        <v>9560</v>
      </c>
      <c r="F856" s="55">
        <v>7740</v>
      </c>
      <c r="G856" s="55">
        <v>1500</v>
      </c>
      <c r="H856" s="55" t="s">
        <v>574</v>
      </c>
      <c r="I856" s="55">
        <v>-230.74999999999994</v>
      </c>
      <c r="J856" s="55">
        <v>402.8</v>
      </c>
      <c r="K856" s="56">
        <v>30900</v>
      </c>
      <c r="L856" s="55">
        <v>2.35</v>
      </c>
      <c r="M856" s="55">
        <v>-3.15</v>
      </c>
      <c r="N856" s="55" t="s">
        <v>576</v>
      </c>
      <c r="O856" s="55">
        <v>217600</v>
      </c>
      <c r="P856" s="55">
        <v>583480</v>
      </c>
      <c r="Q856" s="55">
        <v>2409480</v>
      </c>
      <c r="R856" s="57" t="s">
        <v>564</v>
      </c>
      <c r="S856" s="58" t="s">
        <v>566</v>
      </c>
      <c r="T856" s="51">
        <v>31322.15</v>
      </c>
    </row>
    <row r="857" spans="1:20" x14ac:dyDescent="0.25">
      <c r="A857" s="51" t="str">
        <f>(COUNTIF($K$2:K857,K857))&amp;K857</f>
        <v>5031000</v>
      </c>
      <c r="B857" s="52" t="s">
        <v>605</v>
      </c>
      <c r="C857" s="53" t="s">
        <v>566</v>
      </c>
      <c r="D857" s="54" t="s">
        <v>564</v>
      </c>
      <c r="E857" s="55">
        <v>226940</v>
      </c>
      <c r="F857" s="55">
        <v>107620</v>
      </c>
      <c r="G857" s="55">
        <v>19400</v>
      </c>
      <c r="H857" s="55" t="s">
        <v>574</v>
      </c>
      <c r="I857" s="55">
        <v>-239.85000000000002</v>
      </c>
      <c r="J857" s="55">
        <v>305</v>
      </c>
      <c r="K857" s="56">
        <v>31000</v>
      </c>
      <c r="L857" s="55">
        <v>4.9000000000000004</v>
      </c>
      <c r="M857" s="55">
        <v>-2.5</v>
      </c>
      <c r="N857" s="55" t="s">
        <v>576</v>
      </c>
      <c r="O857" s="55">
        <v>1035820</v>
      </c>
      <c r="P857" s="55">
        <v>1846420</v>
      </c>
      <c r="Q857" s="55">
        <v>7087620</v>
      </c>
      <c r="R857" s="57" t="s">
        <v>564</v>
      </c>
      <c r="S857" s="58" t="s">
        <v>566</v>
      </c>
      <c r="T857" s="51">
        <v>31322.15</v>
      </c>
    </row>
    <row r="858" spans="1:20" x14ac:dyDescent="0.25">
      <c r="A858" s="51" t="str">
        <f>(COUNTIF($K$2:K858,K858))&amp;K858</f>
        <v>5031100</v>
      </c>
      <c r="B858" s="52" t="s">
        <v>605</v>
      </c>
      <c r="C858" s="53" t="s">
        <v>566</v>
      </c>
      <c r="D858" s="54" t="s">
        <v>564</v>
      </c>
      <c r="E858" s="55">
        <v>281080</v>
      </c>
      <c r="F858" s="55">
        <v>74820</v>
      </c>
      <c r="G858" s="55">
        <v>44160</v>
      </c>
      <c r="H858" s="55" t="s">
        <v>574</v>
      </c>
      <c r="I858" s="55">
        <v>-233.64999999999998</v>
      </c>
      <c r="J858" s="55">
        <v>211.5</v>
      </c>
      <c r="K858" s="56">
        <v>31100</v>
      </c>
      <c r="L858" s="55">
        <v>11.65</v>
      </c>
      <c r="M858" s="55">
        <v>1.5</v>
      </c>
      <c r="N858" s="55" t="s">
        <v>576</v>
      </c>
      <c r="O858" s="55">
        <v>939300</v>
      </c>
      <c r="P858" s="55">
        <v>1458000</v>
      </c>
      <c r="Q858" s="55">
        <v>8836200</v>
      </c>
      <c r="R858" s="57" t="s">
        <v>564</v>
      </c>
      <c r="S858" s="58" t="s">
        <v>565</v>
      </c>
      <c r="T858" s="51">
        <v>31322.15</v>
      </c>
    </row>
    <row r="859" spans="1:20" x14ac:dyDescent="0.25">
      <c r="A859" s="51" t="str">
        <f>(COUNTIF($K$2:K859,K859))&amp;K859</f>
        <v>5031200</v>
      </c>
      <c r="B859" s="52" t="s">
        <v>605</v>
      </c>
      <c r="C859" s="53" t="s">
        <v>566</v>
      </c>
      <c r="D859" s="54" t="s">
        <v>564</v>
      </c>
      <c r="E859" s="55">
        <v>1964780</v>
      </c>
      <c r="F859" s="55">
        <v>324260</v>
      </c>
      <c r="G859" s="55">
        <v>192540</v>
      </c>
      <c r="H859" s="55" t="s">
        <v>576</v>
      </c>
      <c r="I859" s="55">
        <v>-219.25</v>
      </c>
      <c r="J859" s="55">
        <v>131.19999999999999</v>
      </c>
      <c r="K859" s="56">
        <v>31200</v>
      </c>
      <c r="L859" s="55">
        <v>31.1</v>
      </c>
      <c r="M859" s="55">
        <v>13.700000000000003</v>
      </c>
      <c r="N859" s="55" t="s">
        <v>576</v>
      </c>
      <c r="O859" s="55">
        <v>900720</v>
      </c>
      <c r="P859" s="55">
        <v>1426660</v>
      </c>
      <c r="Q859" s="55">
        <v>11994360</v>
      </c>
      <c r="R859" s="57" t="s">
        <v>564</v>
      </c>
      <c r="S859" s="58" t="s">
        <v>565</v>
      </c>
      <c r="T859" s="51">
        <v>31322.15</v>
      </c>
    </row>
    <row r="860" spans="1:20" ht="15.75" x14ac:dyDescent="0.25">
      <c r="A860" s="51" t="str">
        <f>(COUNTIF($K$2:K860,K860))&amp;K860</f>
        <v>5031300</v>
      </c>
      <c r="B860" s="52" t="s">
        <v>605</v>
      </c>
      <c r="C860" s="53" t="s">
        <v>566</v>
      </c>
      <c r="D860" s="54" t="s">
        <v>564</v>
      </c>
      <c r="E860" s="55">
        <v>4535740</v>
      </c>
      <c r="F860" s="55">
        <v>781600</v>
      </c>
      <c r="G860" s="55">
        <v>665660</v>
      </c>
      <c r="H860" s="55" t="s">
        <v>576</v>
      </c>
      <c r="I860" s="55">
        <v>-195.3</v>
      </c>
      <c r="J860" s="55">
        <v>70.25</v>
      </c>
      <c r="K860" s="59">
        <v>31300</v>
      </c>
      <c r="L860" s="55">
        <v>69.7</v>
      </c>
      <c r="M860" s="55">
        <v>38.75</v>
      </c>
      <c r="N860" s="55" t="s">
        <v>576</v>
      </c>
      <c r="O860" s="55">
        <v>420560</v>
      </c>
      <c r="P860" s="55">
        <v>1071060</v>
      </c>
      <c r="Q860" s="55">
        <v>12753320</v>
      </c>
      <c r="R860" s="57" t="s">
        <v>564</v>
      </c>
      <c r="S860" s="58" t="s">
        <v>565</v>
      </c>
      <c r="T860" s="51">
        <v>31322.15</v>
      </c>
    </row>
    <row r="861" spans="1:20" x14ac:dyDescent="0.25">
      <c r="A861" s="51" t="str">
        <f>(COUNTIF($K$2:K861,K861))&amp;K861</f>
        <v>5031400</v>
      </c>
      <c r="B861" s="52" t="s">
        <v>605</v>
      </c>
      <c r="C861" s="53" t="s">
        <v>566</v>
      </c>
      <c r="D861" s="54" t="s">
        <v>564</v>
      </c>
      <c r="E861" s="55">
        <v>10253480</v>
      </c>
      <c r="F861" s="55">
        <v>1481140</v>
      </c>
      <c r="G861" s="55">
        <v>1296840</v>
      </c>
      <c r="H861" s="55" t="s">
        <v>576</v>
      </c>
      <c r="I861" s="55">
        <v>-156.1</v>
      </c>
      <c r="J861" s="55">
        <v>32.9</v>
      </c>
      <c r="K861" s="56">
        <v>31400</v>
      </c>
      <c r="L861" s="55">
        <v>131.9</v>
      </c>
      <c r="M861" s="55">
        <v>77.95</v>
      </c>
      <c r="N861" s="55" t="s">
        <v>576</v>
      </c>
      <c r="O861" s="55">
        <v>62340</v>
      </c>
      <c r="P861" s="55">
        <v>618560</v>
      </c>
      <c r="Q861" s="55">
        <v>9409900</v>
      </c>
      <c r="R861" s="57" t="s">
        <v>564</v>
      </c>
      <c r="S861" s="58" t="s">
        <v>565</v>
      </c>
      <c r="T861" s="51">
        <v>31322.15</v>
      </c>
    </row>
    <row r="862" spans="1:20" x14ac:dyDescent="0.25">
      <c r="A862" s="51" t="str">
        <f>(COUNTIF($K$2:K862,K862))&amp;K862</f>
        <v>5031500</v>
      </c>
      <c r="B862" s="52" t="s">
        <v>605</v>
      </c>
      <c r="C862" s="53" t="s">
        <v>566</v>
      </c>
      <c r="D862" s="54" t="s">
        <v>564</v>
      </c>
      <c r="E862" s="55">
        <v>15221500</v>
      </c>
      <c r="F862" s="55">
        <v>2867000</v>
      </c>
      <c r="G862" s="55">
        <v>2088460</v>
      </c>
      <c r="H862" s="55" t="s">
        <v>576</v>
      </c>
      <c r="I862" s="55">
        <v>-112.4</v>
      </c>
      <c r="J862" s="55">
        <v>14.05</v>
      </c>
      <c r="K862" s="56">
        <v>31500</v>
      </c>
      <c r="L862" s="55">
        <v>214.5</v>
      </c>
      <c r="M862" s="55">
        <v>124.35</v>
      </c>
      <c r="N862" s="55" t="s">
        <v>576</v>
      </c>
      <c r="O862" s="55">
        <v>-165280</v>
      </c>
      <c r="P862" s="55">
        <v>465200</v>
      </c>
      <c r="Q862" s="55">
        <v>5257760</v>
      </c>
      <c r="R862" s="57" t="s">
        <v>563</v>
      </c>
      <c r="S862" s="58" t="s">
        <v>567</v>
      </c>
      <c r="T862" s="51">
        <v>31322.15</v>
      </c>
    </row>
    <row r="863" spans="1:20" x14ac:dyDescent="0.25">
      <c r="A863" s="51" t="str">
        <f>(COUNTIF($K$2:K863,K863))&amp;K863</f>
        <v>5031600</v>
      </c>
      <c r="B863" s="52" t="s">
        <v>605</v>
      </c>
      <c r="C863" s="53" t="s">
        <v>566</v>
      </c>
      <c r="D863" s="54" t="s">
        <v>564</v>
      </c>
      <c r="E863" s="55">
        <v>11339140</v>
      </c>
      <c r="F863" s="55">
        <v>1903300</v>
      </c>
      <c r="G863" s="55">
        <v>1283640</v>
      </c>
      <c r="H863" s="55" t="s">
        <v>576</v>
      </c>
      <c r="I863" s="55">
        <v>-72.850000000000009</v>
      </c>
      <c r="J863" s="55">
        <v>5.6</v>
      </c>
      <c r="K863" s="56">
        <v>31600</v>
      </c>
      <c r="L863" s="55">
        <v>305.2</v>
      </c>
      <c r="M863" s="55">
        <v>163.1</v>
      </c>
      <c r="N863" s="55" t="s">
        <v>576</v>
      </c>
      <c r="O863" s="55">
        <v>9380</v>
      </c>
      <c r="P863" s="55">
        <v>103620</v>
      </c>
      <c r="Q863" s="55">
        <v>1506180</v>
      </c>
      <c r="R863" s="57" t="s">
        <v>564</v>
      </c>
      <c r="S863" s="58" t="s">
        <v>565</v>
      </c>
      <c r="T863" s="51">
        <v>31322.15</v>
      </c>
    </row>
    <row r="864" spans="1:20" x14ac:dyDescent="0.25">
      <c r="A864" s="51" t="str">
        <f>(COUNTIF($K$2:K864,K864))&amp;K864</f>
        <v>5031700</v>
      </c>
      <c r="B864" s="52" t="s">
        <v>605</v>
      </c>
      <c r="C864" s="53" t="s">
        <v>566</v>
      </c>
      <c r="D864" s="54" t="s">
        <v>564</v>
      </c>
      <c r="E864" s="55">
        <v>9251660</v>
      </c>
      <c r="F864" s="55">
        <v>1365440</v>
      </c>
      <c r="G864" s="55">
        <v>730180</v>
      </c>
      <c r="H864" s="55" t="s">
        <v>576</v>
      </c>
      <c r="I864" s="55">
        <v>-41.900000000000006</v>
      </c>
      <c r="J864" s="55">
        <v>2.5499999999999998</v>
      </c>
      <c r="K864" s="56">
        <v>31700</v>
      </c>
      <c r="L864" s="55">
        <v>400.65</v>
      </c>
      <c r="M864" s="55">
        <v>191.24999999999997</v>
      </c>
      <c r="N864" s="55" t="s">
        <v>576</v>
      </c>
      <c r="O864" s="55">
        <v>-10720</v>
      </c>
      <c r="P864" s="55">
        <v>39040</v>
      </c>
      <c r="Q864" s="55">
        <v>615720</v>
      </c>
      <c r="R864" s="57" t="s">
        <v>563</v>
      </c>
      <c r="S864" s="58" t="s">
        <v>567</v>
      </c>
      <c r="T864" s="51">
        <v>31322.15</v>
      </c>
    </row>
    <row r="865" spans="1:20" x14ac:dyDescent="0.25">
      <c r="A865" s="51" t="str">
        <f>(COUNTIF($K$2:K865,K865))&amp;K865</f>
        <v>5031800</v>
      </c>
      <c r="B865" s="52" t="s">
        <v>605</v>
      </c>
      <c r="C865" s="53" t="s">
        <v>566</v>
      </c>
      <c r="D865" s="54" t="s">
        <v>564</v>
      </c>
      <c r="E865" s="55">
        <v>6448340</v>
      </c>
      <c r="F865" s="55">
        <v>1037920</v>
      </c>
      <c r="G865" s="55">
        <v>452540</v>
      </c>
      <c r="H865" s="55" t="s">
        <v>576</v>
      </c>
      <c r="I865" s="55">
        <v>-22.1</v>
      </c>
      <c r="J865" s="55">
        <v>1.4</v>
      </c>
      <c r="K865" s="56">
        <v>31800</v>
      </c>
      <c r="L865" s="55">
        <v>499</v>
      </c>
      <c r="M865" s="55">
        <v>213.64999999999998</v>
      </c>
      <c r="N865" s="55" t="s">
        <v>576</v>
      </c>
      <c r="O865" s="55">
        <v>1620</v>
      </c>
      <c r="P865" s="55">
        <v>16600</v>
      </c>
      <c r="Q865" s="55">
        <v>232200</v>
      </c>
      <c r="R865" s="57" t="s">
        <v>564</v>
      </c>
      <c r="S865" s="58" t="s">
        <v>565</v>
      </c>
      <c r="T865" s="51">
        <v>31322.15</v>
      </c>
    </row>
    <row r="866" spans="1:20" x14ac:dyDescent="0.25">
      <c r="A866" s="51" t="str">
        <f>(COUNTIF($K$2:K866,K866))&amp;K866</f>
        <v>5031900</v>
      </c>
      <c r="B866" s="52" t="s">
        <v>605</v>
      </c>
      <c r="C866" s="53" t="s">
        <v>566</v>
      </c>
      <c r="D866" s="54" t="s">
        <v>564</v>
      </c>
      <c r="E866" s="55">
        <v>15875280</v>
      </c>
      <c r="F866" s="55">
        <v>661580</v>
      </c>
      <c r="G866" s="55">
        <v>149780</v>
      </c>
      <c r="H866" s="55" t="s">
        <v>576</v>
      </c>
      <c r="I866" s="55">
        <v>-10.15</v>
      </c>
      <c r="J866" s="55">
        <v>0.95</v>
      </c>
      <c r="K866" s="56">
        <v>31900</v>
      </c>
      <c r="L866" s="55">
        <v>598.54999999999995</v>
      </c>
      <c r="M866" s="55">
        <v>221.84999999999997</v>
      </c>
      <c r="N866" s="55" t="s">
        <v>576</v>
      </c>
      <c r="O866" s="55">
        <v>1100</v>
      </c>
      <c r="P866" s="55">
        <v>6640</v>
      </c>
      <c r="Q866" s="55">
        <v>48700</v>
      </c>
      <c r="R866" s="57" t="s">
        <v>564</v>
      </c>
      <c r="S866" s="58" t="s">
        <v>565</v>
      </c>
      <c r="T866" s="51">
        <v>31322.15</v>
      </c>
    </row>
    <row r="867" spans="1:20" x14ac:dyDescent="0.25">
      <c r="A867" s="51" t="str">
        <f>(COUNTIF($K$2:K867,K867))&amp;K867</f>
        <v>5032000</v>
      </c>
      <c r="B867" s="52" t="s">
        <v>605</v>
      </c>
      <c r="C867" s="53" t="s">
        <v>566</v>
      </c>
      <c r="D867" s="54" t="s">
        <v>564</v>
      </c>
      <c r="E867" s="55">
        <v>5452680</v>
      </c>
      <c r="F867" s="55">
        <v>754600</v>
      </c>
      <c r="G867" s="55">
        <v>142940</v>
      </c>
      <c r="H867" s="55" t="s">
        <v>576</v>
      </c>
      <c r="I867" s="55">
        <v>-5.35</v>
      </c>
      <c r="J867" s="55">
        <v>0.65</v>
      </c>
      <c r="K867" s="56">
        <v>32000</v>
      </c>
      <c r="L867" s="55">
        <v>695.4</v>
      </c>
      <c r="M867" s="55">
        <v>224.89999999999998</v>
      </c>
      <c r="N867" s="55" t="s">
        <v>576</v>
      </c>
      <c r="O867" s="55">
        <v>-1360</v>
      </c>
      <c r="P867" s="55">
        <v>10760</v>
      </c>
      <c r="Q867" s="55">
        <v>30080</v>
      </c>
      <c r="R867" s="57" t="s">
        <v>563</v>
      </c>
      <c r="S867" s="58" t="s">
        <v>567</v>
      </c>
      <c r="T867" s="51">
        <v>31322.15</v>
      </c>
    </row>
    <row r="868" spans="1:20" x14ac:dyDescent="0.25">
      <c r="A868" s="51" t="str">
        <f>(COUNTIF($K$2:K868,K868))&amp;K868</f>
        <v>51PCR</v>
      </c>
      <c r="B868" s="52" t="s">
        <v>605</v>
      </c>
      <c r="C868" s="60">
        <v>0.78609508559174901</v>
      </c>
      <c r="E868" s="61"/>
      <c r="F868" s="62">
        <v>11415820</v>
      </c>
      <c r="G868" s="63"/>
      <c r="H868" s="64"/>
      <c r="I868" s="64"/>
      <c r="J868" s="64"/>
      <c r="K868" s="65" t="s">
        <v>555</v>
      </c>
      <c r="L868" s="64"/>
      <c r="M868" s="64"/>
      <c r="N868" s="64"/>
      <c r="P868" s="63">
        <v>8973920</v>
      </c>
      <c r="Q868" s="61"/>
      <c r="R868" s="64"/>
      <c r="S868" s="64"/>
    </row>
    <row r="869" spans="1:20" x14ac:dyDescent="0.25">
      <c r="A869" s="51" t="str">
        <f>(COUNTIF($K$2:K869,K869))&amp;K869</f>
        <v>2230500</v>
      </c>
      <c r="B869" s="52" t="s">
        <v>605</v>
      </c>
      <c r="C869" s="53" t="s">
        <v>562</v>
      </c>
      <c r="D869" s="54" t="s">
        <v>563</v>
      </c>
      <c r="E869" s="55">
        <v>14440</v>
      </c>
      <c r="F869" s="55">
        <v>26660</v>
      </c>
      <c r="G869" s="55">
        <v>-5560</v>
      </c>
      <c r="H869" s="55" t="s">
        <v>574</v>
      </c>
      <c r="I869" s="55">
        <v>-225.79999999999995</v>
      </c>
      <c r="J869" s="55">
        <v>806</v>
      </c>
      <c r="K869" s="56">
        <v>30500</v>
      </c>
      <c r="L869" s="55">
        <v>0.55000000000000004</v>
      </c>
      <c r="M869" s="55">
        <v>-2.1500000000000004</v>
      </c>
      <c r="N869" s="55" t="s">
        <v>576</v>
      </c>
      <c r="O869" s="55">
        <v>-8820</v>
      </c>
      <c r="P869" s="55">
        <v>405520</v>
      </c>
      <c r="Q869" s="55">
        <v>256240</v>
      </c>
      <c r="R869" s="57" t="s">
        <v>563</v>
      </c>
      <c r="S869" s="58" t="s">
        <v>562</v>
      </c>
      <c r="T869" s="51">
        <v>31322.15</v>
      </c>
    </row>
    <row r="870" spans="1:20" x14ac:dyDescent="0.25">
      <c r="A870" s="51" t="str">
        <f>(COUNTIF($K$2:K870,K870))&amp;K870</f>
        <v>4230600</v>
      </c>
      <c r="B870" s="52" t="s">
        <v>605</v>
      </c>
      <c r="C870" s="53" t="s">
        <v>562</v>
      </c>
      <c r="D870" s="54" t="s">
        <v>563</v>
      </c>
      <c r="E870" s="55">
        <v>1600</v>
      </c>
      <c r="F870" s="55">
        <v>3760</v>
      </c>
      <c r="G870" s="55">
        <v>-780</v>
      </c>
      <c r="H870" s="55" t="s">
        <v>574</v>
      </c>
      <c r="I870" s="55">
        <v>-222.20000000000005</v>
      </c>
      <c r="J870" s="55">
        <v>710.5</v>
      </c>
      <c r="K870" s="56">
        <v>30600</v>
      </c>
      <c r="L870" s="55">
        <v>0.65</v>
      </c>
      <c r="M870" s="55">
        <v>-2.35</v>
      </c>
      <c r="N870" s="55" t="s">
        <v>576</v>
      </c>
      <c r="O870" s="55">
        <v>14200</v>
      </c>
      <c r="P870" s="55">
        <v>213440</v>
      </c>
      <c r="Q870" s="55">
        <v>220560</v>
      </c>
      <c r="R870" s="57" t="s">
        <v>564</v>
      </c>
      <c r="S870" s="58" t="s">
        <v>566</v>
      </c>
      <c r="T870" s="51">
        <v>31322.15</v>
      </c>
    </row>
    <row r="871" spans="1:20" x14ac:dyDescent="0.25">
      <c r="A871" s="51" t="str">
        <f>(COUNTIF($K$2:K871,K871))&amp;K871</f>
        <v>5130700</v>
      </c>
      <c r="B871" s="52" t="s">
        <v>605</v>
      </c>
      <c r="C871" s="53" t="s">
        <v>562</v>
      </c>
      <c r="D871" s="54" t="s">
        <v>563</v>
      </c>
      <c r="E871" s="55">
        <v>8540</v>
      </c>
      <c r="F871" s="55">
        <v>10540</v>
      </c>
      <c r="G871" s="55">
        <v>-1280</v>
      </c>
      <c r="H871" s="55" t="s">
        <v>574</v>
      </c>
      <c r="I871" s="55">
        <v>-224</v>
      </c>
      <c r="J871" s="55">
        <v>612</v>
      </c>
      <c r="K871" s="56">
        <v>30700</v>
      </c>
      <c r="L871" s="55">
        <v>0.8</v>
      </c>
      <c r="M871" s="55">
        <v>-2.8</v>
      </c>
      <c r="N871" s="55" t="s">
        <v>576</v>
      </c>
      <c r="O871" s="55">
        <v>81060</v>
      </c>
      <c r="P871" s="55">
        <v>271260</v>
      </c>
      <c r="Q871" s="55">
        <v>489940</v>
      </c>
      <c r="R871" s="57" t="s">
        <v>564</v>
      </c>
      <c r="S871" s="58" t="s">
        <v>566</v>
      </c>
      <c r="T871" s="51">
        <v>31322.15</v>
      </c>
    </row>
    <row r="872" spans="1:20" x14ac:dyDescent="0.25">
      <c r="A872" s="51" t="str">
        <f>(COUNTIF($K$2:K872,K872))&amp;K872</f>
        <v>5130800</v>
      </c>
      <c r="B872" s="52" t="s">
        <v>605</v>
      </c>
      <c r="C872" s="53" t="s">
        <v>566</v>
      </c>
      <c r="D872" s="54" t="s">
        <v>564</v>
      </c>
      <c r="E872" s="55">
        <v>6420</v>
      </c>
      <c r="F872" s="55">
        <v>7840</v>
      </c>
      <c r="G872" s="55">
        <v>340</v>
      </c>
      <c r="H872" s="55" t="s">
        <v>574</v>
      </c>
      <c r="I872" s="55">
        <v>-231.60000000000002</v>
      </c>
      <c r="J872" s="55">
        <v>504</v>
      </c>
      <c r="K872" s="56">
        <v>30800</v>
      </c>
      <c r="L872" s="55">
        <v>1.25</v>
      </c>
      <c r="M872" s="55">
        <v>-2.8499999999999996</v>
      </c>
      <c r="N872" s="55" t="s">
        <v>576</v>
      </c>
      <c r="O872" s="55">
        <v>70260</v>
      </c>
      <c r="P872" s="55">
        <v>437660</v>
      </c>
      <c r="Q872" s="55">
        <v>1129680</v>
      </c>
      <c r="R872" s="57" t="s">
        <v>564</v>
      </c>
      <c r="S872" s="58" t="s">
        <v>566</v>
      </c>
      <c r="T872" s="51">
        <v>31322.15</v>
      </c>
    </row>
    <row r="873" spans="1:20" x14ac:dyDescent="0.25">
      <c r="A873" s="51" t="str">
        <f>(COUNTIF($K$2:K873,K873))&amp;K873</f>
        <v>5130900</v>
      </c>
      <c r="B873" s="52" t="s">
        <v>605</v>
      </c>
      <c r="C873" s="53" t="s">
        <v>566</v>
      </c>
      <c r="D873" s="54" t="s">
        <v>564</v>
      </c>
      <c r="E873" s="55">
        <v>9560</v>
      </c>
      <c r="F873" s="55">
        <v>7740</v>
      </c>
      <c r="G873" s="55">
        <v>1500</v>
      </c>
      <c r="H873" s="55" t="s">
        <v>574</v>
      </c>
      <c r="I873" s="55">
        <v>-230.74999999999994</v>
      </c>
      <c r="J873" s="55">
        <v>402.8</v>
      </c>
      <c r="K873" s="56">
        <v>30900</v>
      </c>
      <c r="L873" s="55">
        <v>2.35</v>
      </c>
      <c r="M873" s="55">
        <v>-3.15</v>
      </c>
      <c r="N873" s="55" t="s">
        <v>576</v>
      </c>
      <c r="O873" s="55">
        <v>217600</v>
      </c>
      <c r="P873" s="55">
        <v>583480</v>
      </c>
      <c r="Q873" s="55">
        <v>2409480</v>
      </c>
      <c r="R873" s="57" t="s">
        <v>564</v>
      </c>
      <c r="S873" s="58" t="s">
        <v>566</v>
      </c>
      <c r="T873" s="51">
        <v>31322.15</v>
      </c>
    </row>
    <row r="874" spans="1:20" x14ac:dyDescent="0.25">
      <c r="A874" s="51" t="str">
        <f>(COUNTIF($K$2:K874,K874))&amp;K874</f>
        <v>5131000</v>
      </c>
      <c r="B874" s="52" t="s">
        <v>605</v>
      </c>
      <c r="C874" s="53" t="s">
        <v>566</v>
      </c>
      <c r="D874" s="54" t="s">
        <v>564</v>
      </c>
      <c r="E874" s="55">
        <v>226940</v>
      </c>
      <c r="F874" s="55">
        <v>107620</v>
      </c>
      <c r="G874" s="55">
        <v>19400</v>
      </c>
      <c r="H874" s="55" t="s">
        <v>574</v>
      </c>
      <c r="I874" s="55">
        <v>-239.85000000000002</v>
      </c>
      <c r="J874" s="55">
        <v>305</v>
      </c>
      <c r="K874" s="56">
        <v>31000</v>
      </c>
      <c r="L874" s="55">
        <v>4.9000000000000004</v>
      </c>
      <c r="M874" s="55">
        <v>-2.5</v>
      </c>
      <c r="N874" s="55" t="s">
        <v>576</v>
      </c>
      <c r="O874" s="55">
        <v>1035820</v>
      </c>
      <c r="P874" s="55">
        <v>1846420</v>
      </c>
      <c r="Q874" s="55">
        <v>7087620</v>
      </c>
      <c r="R874" s="57" t="s">
        <v>564</v>
      </c>
      <c r="S874" s="58" t="s">
        <v>566</v>
      </c>
      <c r="T874" s="51">
        <v>31322.15</v>
      </c>
    </row>
    <row r="875" spans="1:20" x14ac:dyDescent="0.25">
      <c r="A875" s="51" t="str">
        <f>(COUNTIF($K$2:K875,K875))&amp;K875</f>
        <v>5131100</v>
      </c>
      <c r="B875" s="52" t="s">
        <v>605</v>
      </c>
      <c r="C875" s="53" t="s">
        <v>566</v>
      </c>
      <c r="D875" s="54" t="s">
        <v>564</v>
      </c>
      <c r="E875" s="55">
        <v>281080</v>
      </c>
      <c r="F875" s="55">
        <v>74820</v>
      </c>
      <c r="G875" s="55">
        <v>44160</v>
      </c>
      <c r="H875" s="55" t="s">
        <v>574</v>
      </c>
      <c r="I875" s="55">
        <v>-233.64999999999998</v>
      </c>
      <c r="J875" s="55">
        <v>211.5</v>
      </c>
      <c r="K875" s="56">
        <v>31100</v>
      </c>
      <c r="L875" s="55">
        <v>11.65</v>
      </c>
      <c r="M875" s="55">
        <v>1.5</v>
      </c>
      <c r="N875" s="55" t="s">
        <v>576</v>
      </c>
      <c r="O875" s="55">
        <v>939300</v>
      </c>
      <c r="P875" s="55">
        <v>1458000</v>
      </c>
      <c r="Q875" s="55">
        <v>8836200</v>
      </c>
      <c r="R875" s="57" t="s">
        <v>564</v>
      </c>
      <c r="S875" s="58" t="s">
        <v>565</v>
      </c>
      <c r="T875" s="51">
        <v>31322.15</v>
      </c>
    </row>
    <row r="876" spans="1:20" x14ac:dyDescent="0.25">
      <c r="A876" s="51" t="str">
        <f>(COUNTIF($K$2:K876,K876))&amp;K876</f>
        <v>5131200</v>
      </c>
      <c r="B876" s="52" t="s">
        <v>605</v>
      </c>
      <c r="C876" s="53" t="s">
        <v>566</v>
      </c>
      <c r="D876" s="54" t="s">
        <v>564</v>
      </c>
      <c r="E876" s="55">
        <v>1964780</v>
      </c>
      <c r="F876" s="55">
        <v>324260</v>
      </c>
      <c r="G876" s="55">
        <v>192540</v>
      </c>
      <c r="H876" s="55" t="s">
        <v>576</v>
      </c>
      <c r="I876" s="55">
        <v>-219.25</v>
      </c>
      <c r="J876" s="55">
        <v>131.19999999999999</v>
      </c>
      <c r="K876" s="56">
        <v>31200</v>
      </c>
      <c r="L876" s="55">
        <v>31.1</v>
      </c>
      <c r="M876" s="55">
        <v>13.700000000000003</v>
      </c>
      <c r="N876" s="55" t="s">
        <v>576</v>
      </c>
      <c r="O876" s="55">
        <v>900720</v>
      </c>
      <c r="P876" s="55">
        <v>1426660</v>
      </c>
      <c r="Q876" s="55">
        <v>11994360</v>
      </c>
      <c r="R876" s="57" t="s">
        <v>564</v>
      </c>
      <c r="S876" s="58" t="s">
        <v>565</v>
      </c>
      <c r="T876" s="51">
        <v>31322.15</v>
      </c>
    </row>
    <row r="877" spans="1:20" ht="15.75" x14ac:dyDescent="0.25">
      <c r="A877" s="51" t="str">
        <f>(COUNTIF($K$2:K877,K877))&amp;K877</f>
        <v>5131300</v>
      </c>
      <c r="B877" s="52" t="s">
        <v>605</v>
      </c>
      <c r="C877" s="53" t="s">
        <v>566</v>
      </c>
      <c r="D877" s="54" t="s">
        <v>564</v>
      </c>
      <c r="E877" s="55">
        <v>4535740</v>
      </c>
      <c r="F877" s="55">
        <v>781600</v>
      </c>
      <c r="G877" s="55">
        <v>665660</v>
      </c>
      <c r="H877" s="55" t="s">
        <v>576</v>
      </c>
      <c r="I877" s="55">
        <v>-195.3</v>
      </c>
      <c r="J877" s="55">
        <v>70.25</v>
      </c>
      <c r="K877" s="59">
        <v>31300</v>
      </c>
      <c r="L877" s="55">
        <v>69.7</v>
      </c>
      <c r="M877" s="55">
        <v>38.75</v>
      </c>
      <c r="N877" s="55" t="s">
        <v>576</v>
      </c>
      <c r="O877" s="55">
        <v>420560</v>
      </c>
      <c r="P877" s="55">
        <v>1071060</v>
      </c>
      <c r="Q877" s="55">
        <v>12753320</v>
      </c>
      <c r="R877" s="57" t="s">
        <v>564</v>
      </c>
      <c r="S877" s="58" t="s">
        <v>565</v>
      </c>
      <c r="T877" s="51">
        <v>31322.15</v>
      </c>
    </row>
    <row r="878" spans="1:20" x14ac:dyDescent="0.25">
      <c r="A878" s="51" t="str">
        <f>(COUNTIF($K$2:K878,K878))&amp;K878</f>
        <v>5131400</v>
      </c>
      <c r="B878" s="52" t="s">
        <v>605</v>
      </c>
      <c r="C878" s="53" t="s">
        <v>566</v>
      </c>
      <c r="D878" s="54" t="s">
        <v>564</v>
      </c>
      <c r="E878" s="55">
        <v>10253480</v>
      </c>
      <c r="F878" s="55">
        <v>1481140</v>
      </c>
      <c r="G878" s="55">
        <v>1296840</v>
      </c>
      <c r="H878" s="55" t="s">
        <v>576</v>
      </c>
      <c r="I878" s="55">
        <v>-156.1</v>
      </c>
      <c r="J878" s="55">
        <v>32.9</v>
      </c>
      <c r="K878" s="56">
        <v>31400</v>
      </c>
      <c r="L878" s="55">
        <v>131.9</v>
      </c>
      <c r="M878" s="55">
        <v>77.95</v>
      </c>
      <c r="N878" s="55" t="s">
        <v>576</v>
      </c>
      <c r="O878" s="55">
        <v>62340</v>
      </c>
      <c r="P878" s="55">
        <v>618560</v>
      </c>
      <c r="Q878" s="55">
        <v>9409900</v>
      </c>
      <c r="R878" s="57" t="s">
        <v>564</v>
      </c>
      <c r="S878" s="58" t="s">
        <v>565</v>
      </c>
      <c r="T878" s="51">
        <v>31322.15</v>
      </c>
    </row>
    <row r="879" spans="1:20" x14ac:dyDescent="0.25">
      <c r="A879" s="51" t="str">
        <f>(COUNTIF($K$2:K879,K879))&amp;K879</f>
        <v>5131500</v>
      </c>
      <c r="B879" s="52" t="s">
        <v>605</v>
      </c>
      <c r="C879" s="53" t="s">
        <v>566</v>
      </c>
      <c r="D879" s="54" t="s">
        <v>564</v>
      </c>
      <c r="E879" s="55">
        <v>15221500</v>
      </c>
      <c r="F879" s="55">
        <v>2867000</v>
      </c>
      <c r="G879" s="55">
        <v>2088460</v>
      </c>
      <c r="H879" s="55" t="s">
        <v>576</v>
      </c>
      <c r="I879" s="55">
        <v>-112.4</v>
      </c>
      <c r="J879" s="55">
        <v>14.05</v>
      </c>
      <c r="K879" s="56">
        <v>31500</v>
      </c>
      <c r="L879" s="55">
        <v>214.5</v>
      </c>
      <c r="M879" s="55">
        <v>124.35</v>
      </c>
      <c r="N879" s="55" t="s">
        <v>576</v>
      </c>
      <c r="O879" s="55">
        <v>-165280</v>
      </c>
      <c r="P879" s="55">
        <v>465200</v>
      </c>
      <c r="Q879" s="55">
        <v>5257760</v>
      </c>
      <c r="R879" s="57" t="s">
        <v>563</v>
      </c>
      <c r="S879" s="58" t="s">
        <v>567</v>
      </c>
      <c r="T879" s="51">
        <v>31322.15</v>
      </c>
    </row>
    <row r="880" spans="1:20" x14ac:dyDescent="0.25">
      <c r="A880" s="51" t="str">
        <f>(COUNTIF($K$2:K880,K880))&amp;K880</f>
        <v>5131600</v>
      </c>
      <c r="B880" s="52" t="s">
        <v>605</v>
      </c>
      <c r="C880" s="53" t="s">
        <v>566</v>
      </c>
      <c r="D880" s="54" t="s">
        <v>564</v>
      </c>
      <c r="E880" s="55">
        <v>11339140</v>
      </c>
      <c r="F880" s="55">
        <v>1903300</v>
      </c>
      <c r="G880" s="55">
        <v>1283640</v>
      </c>
      <c r="H880" s="55" t="s">
        <v>576</v>
      </c>
      <c r="I880" s="55">
        <v>-72.850000000000009</v>
      </c>
      <c r="J880" s="55">
        <v>5.6</v>
      </c>
      <c r="K880" s="56">
        <v>31600</v>
      </c>
      <c r="L880" s="55">
        <v>305.2</v>
      </c>
      <c r="M880" s="55">
        <v>163.1</v>
      </c>
      <c r="N880" s="55" t="s">
        <v>576</v>
      </c>
      <c r="O880" s="55">
        <v>9380</v>
      </c>
      <c r="P880" s="55">
        <v>103620</v>
      </c>
      <c r="Q880" s="55">
        <v>1506180</v>
      </c>
      <c r="R880" s="57" t="s">
        <v>564</v>
      </c>
      <c r="S880" s="58" t="s">
        <v>565</v>
      </c>
      <c r="T880" s="51">
        <v>31322.15</v>
      </c>
    </row>
    <row r="881" spans="1:20" x14ac:dyDescent="0.25">
      <c r="A881" s="51" t="str">
        <f>(COUNTIF($K$2:K881,K881))&amp;K881</f>
        <v>5131700</v>
      </c>
      <c r="B881" s="52" t="s">
        <v>605</v>
      </c>
      <c r="C881" s="53" t="s">
        <v>566</v>
      </c>
      <c r="D881" s="54" t="s">
        <v>564</v>
      </c>
      <c r="E881" s="55">
        <v>9251660</v>
      </c>
      <c r="F881" s="55">
        <v>1365440</v>
      </c>
      <c r="G881" s="55">
        <v>730180</v>
      </c>
      <c r="H881" s="55" t="s">
        <v>576</v>
      </c>
      <c r="I881" s="55">
        <v>-41.900000000000006</v>
      </c>
      <c r="J881" s="55">
        <v>2.5499999999999998</v>
      </c>
      <c r="K881" s="56">
        <v>31700</v>
      </c>
      <c r="L881" s="55">
        <v>400.65</v>
      </c>
      <c r="M881" s="55">
        <v>191.24999999999997</v>
      </c>
      <c r="N881" s="55" t="s">
        <v>576</v>
      </c>
      <c r="O881" s="55">
        <v>-10720</v>
      </c>
      <c r="P881" s="55">
        <v>39040</v>
      </c>
      <c r="Q881" s="55">
        <v>615720</v>
      </c>
      <c r="R881" s="57" t="s">
        <v>563</v>
      </c>
      <c r="S881" s="58" t="s">
        <v>567</v>
      </c>
      <c r="T881" s="51">
        <v>31322.15</v>
      </c>
    </row>
    <row r="882" spans="1:20" x14ac:dyDescent="0.25">
      <c r="A882" s="51" t="str">
        <f>(COUNTIF($K$2:K882,K882))&amp;K882</f>
        <v>5131800</v>
      </c>
      <c r="B882" s="52" t="s">
        <v>605</v>
      </c>
      <c r="C882" s="53" t="s">
        <v>566</v>
      </c>
      <c r="D882" s="54" t="s">
        <v>564</v>
      </c>
      <c r="E882" s="55">
        <v>6448340</v>
      </c>
      <c r="F882" s="55">
        <v>1037920</v>
      </c>
      <c r="G882" s="55">
        <v>452540</v>
      </c>
      <c r="H882" s="55" t="s">
        <v>576</v>
      </c>
      <c r="I882" s="55">
        <v>-22.1</v>
      </c>
      <c r="J882" s="55">
        <v>1.4</v>
      </c>
      <c r="K882" s="56">
        <v>31800</v>
      </c>
      <c r="L882" s="55">
        <v>499</v>
      </c>
      <c r="M882" s="55">
        <v>213.64999999999998</v>
      </c>
      <c r="N882" s="55" t="s">
        <v>576</v>
      </c>
      <c r="O882" s="55">
        <v>1620</v>
      </c>
      <c r="P882" s="55">
        <v>16600</v>
      </c>
      <c r="Q882" s="55">
        <v>232200</v>
      </c>
      <c r="R882" s="57" t="s">
        <v>564</v>
      </c>
      <c r="S882" s="58" t="s">
        <v>565</v>
      </c>
      <c r="T882" s="51">
        <v>31322.15</v>
      </c>
    </row>
    <row r="883" spans="1:20" x14ac:dyDescent="0.25">
      <c r="A883" s="51" t="str">
        <f>(COUNTIF($K$2:K883,K883))&amp;K883</f>
        <v>5131900</v>
      </c>
      <c r="B883" s="52" t="s">
        <v>605</v>
      </c>
      <c r="C883" s="53" t="s">
        <v>566</v>
      </c>
      <c r="D883" s="54" t="s">
        <v>564</v>
      </c>
      <c r="E883" s="55">
        <v>15875280</v>
      </c>
      <c r="F883" s="55">
        <v>661580</v>
      </c>
      <c r="G883" s="55">
        <v>149780</v>
      </c>
      <c r="H883" s="55" t="s">
        <v>576</v>
      </c>
      <c r="I883" s="55">
        <v>-10.15</v>
      </c>
      <c r="J883" s="55">
        <v>0.95</v>
      </c>
      <c r="K883" s="56">
        <v>31900</v>
      </c>
      <c r="L883" s="55">
        <v>598.54999999999995</v>
      </c>
      <c r="M883" s="55">
        <v>221.84999999999997</v>
      </c>
      <c r="N883" s="55" t="s">
        <v>576</v>
      </c>
      <c r="O883" s="55">
        <v>1100</v>
      </c>
      <c r="P883" s="55">
        <v>6640</v>
      </c>
      <c r="Q883" s="55">
        <v>48700</v>
      </c>
      <c r="R883" s="57" t="s">
        <v>564</v>
      </c>
      <c r="S883" s="58" t="s">
        <v>565</v>
      </c>
      <c r="T883" s="51">
        <v>31322.15</v>
      </c>
    </row>
    <row r="884" spans="1:20" x14ac:dyDescent="0.25">
      <c r="A884" s="51" t="str">
        <f>(COUNTIF($K$2:K884,K884))&amp;K884</f>
        <v>5132000</v>
      </c>
      <c r="B884" s="52" t="s">
        <v>605</v>
      </c>
      <c r="C884" s="53" t="s">
        <v>566</v>
      </c>
      <c r="D884" s="54" t="s">
        <v>564</v>
      </c>
      <c r="E884" s="55">
        <v>5452680</v>
      </c>
      <c r="F884" s="55">
        <v>754600</v>
      </c>
      <c r="G884" s="55">
        <v>142940</v>
      </c>
      <c r="H884" s="55" t="s">
        <v>576</v>
      </c>
      <c r="I884" s="55">
        <v>-5.35</v>
      </c>
      <c r="J884" s="55">
        <v>0.65</v>
      </c>
      <c r="K884" s="56">
        <v>32000</v>
      </c>
      <c r="L884" s="55">
        <v>695.4</v>
      </c>
      <c r="M884" s="55">
        <v>224.89999999999998</v>
      </c>
      <c r="N884" s="55" t="s">
        <v>576</v>
      </c>
      <c r="O884" s="55">
        <v>-1360</v>
      </c>
      <c r="P884" s="55">
        <v>10760</v>
      </c>
      <c r="Q884" s="55">
        <v>30080</v>
      </c>
      <c r="R884" s="57" t="s">
        <v>563</v>
      </c>
      <c r="S884" s="58" t="s">
        <v>567</v>
      </c>
      <c r="T884" s="51">
        <v>31322.15</v>
      </c>
    </row>
    <row r="885" spans="1:20" x14ac:dyDescent="0.25">
      <c r="A885" s="51" t="str">
        <f>(COUNTIF($K$2:K885,K885))&amp;K885</f>
        <v>52PCR</v>
      </c>
      <c r="B885" s="52" t="s">
        <v>605</v>
      </c>
      <c r="C885" s="60">
        <v>0.78609508559174901</v>
      </c>
      <c r="E885" s="61"/>
      <c r="F885" s="62">
        <v>11415820</v>
      </c>
      <c r="G885" s="63"/>
      <c r="H885" s="64"/>
      <c r="I885" s="64"/>
      <c r="J885" s="64"/>
      <c r="K885" s="65" t="s">
        <v>555</v>
      </c>
      <c r="L885" s="64"/>
      <c r="M885" s="64"/>
      <c r="N885" s="64"/>
      <c r="P885" s="63">
        <v>8973920</v>
      </c>
      <c r="Q885" s="61"/>
      <c r="R885" s="64"/>
      <c r="S885" s="64"/>
    </row>
    <row r="886" spans="1:20" x14ac:dyDescent="0.25">
      <c r="A886" s="51" t="str">
        <f>(COUNTIF($K$2:K886,K886))&amp;K886</f>
        <v>2330500</v>
      </c>
      <c r="B886" s="52" t="s">
        <v>606</v>
      </c>
      <c r="C886" s="53" t="s">
        <v>562</v>
      </c>
      <c r="D886" s="54" t="s">
        <v>563</v>
      </c>
      <c r="E886" s="55">
        <v>15800</v>
      </c>
      <c r="F886" s="55">
        <v>26100</v>
      </c>
      <c r="G886" s="55">
        <v>-6120</v>
      </c>
      <c r="H886" s="55" t="s">
        <v>574</v>
      </c>
      <c r="I886" s="55">
        <v>-224.79999999999995</v>
      </c>
      <c r="J886" s="55">
        <v>807</v>
      </c>
      <c r="K886" s="56">
        <v>30500</v>
      </c>
      <c r="L886" s="55">
        <v>0.55000000000000004</v>
      </c>
      <c r="M886" s="55">
        <v>-2.1500000000000004</v>
      </c>
      <c r="N886" s="55" t="s">
        <v>576</v>
      </c>
      <c r="O886" s="55">
        <v>-10560</v>
      </c>
      <c r="P886" s="55">
        <v>403780</v>
      </c>
      <c r="Q886" s="55">
        <v>260440</v>
      </c>
      <c r="R886" s="57" t="s">
        <v>563</v>
      </c>
      <c r="S886" s="58" t="s">
        <v>562</v>
      </c>
      <c r="T886" s="51">
        <v>31324.85</v>
      </c>
    </row>
    <row r="887" spans="1:20" x14ac:dyDescent="0.25">
      <c r="A887" s="51" t="str">
        <f>(COUNTIF($K$2:K887,K887))&amp;K887</f>
        <v>4330600</v>
      </c>
      <c r="B887" s="52" t="s">
        <v>606</v>
      </c>
      <c r="C887" s="53" t="s">
        <v>562</v>
      </c>
      <c r="D887" s="54" t="s">
        <v>563</v>
      </c>
      <c r="E887" s="55">
        <v>1600</v>
      </c>
      <c r="F887" s="55">
        <v>3760</v>
      </c>
      <c r="G887" s="55">
        <v>-780</v>
      </c>
      <c r="H887" s="55" t="s">
        <v>574</v>
      </c>
      <c r="I887" s="55">
        <v>-222.20000000000005</v>
      </c>
      <c r="J887" s="55">
        <v>710.5</v>
      </c>
      <c r="K887" s="56">
        <v>30600</v>
      </c>
      <c r="L887" s="55">
        <v>0.65</v>
      </c>
      <c r="M887" s="55">
        <v>-2.35</v>
      </c>
      <c r="N887" s="55" t="s">
        <v>576</v>
      </c>
      <c r="O887" s="55">
        <v>12220</v>
      </c>
      <c r="P887" s="55">
        <v>211460</v>
      </c>
      <c r="Q887" s="55">
        <v>223220</v>
      </c>
      <c r="R887" s="57" t="s">
        <v>564</v>
      </c>
      <c r="S887" s="58" t="s">
        <v>566</v>
      </c>
      <c r="T887" s="51">
        <v>31324.85</v>
      </c>
    </row>
    <row r="888" spans="1:20" x14ac:dyDescent="0.25">
      <c r="A888" s="51" t="str">
        <f>(COUNTIF($K$2:K888,K888))&amp;K888</f>
        <v>5230700</v>
      </c>
      <c r="B888" s="52" t="s">
        <v>606</v>
      </c>
      <c r="C888" s="53" t="s">
        <v>562</v>
      </c>
      <c r="D888" s="54" t="s">
        <v>563</v>
      </c>
      <c r="E888" s="55">
        <v>8540</v>
      </c>
      <c r="F888" s="55">
        <v>10540</v>
      </c>
      <c r="G888" s="55">
        <v>-1280</v>
      </c>
      <c r="H888" s="55" t="s">
        <v>574</v>
      </c>
      <c r="I888" s="55">
        <v>-224</v>
      </c>
      <c r="J888" s="55">
        <v>612</v>
      </c>
      <c r="K888" s="56">
        <v>30700</v>
      </c>
      <c r="L888" s="55">
        <v>0.85</v>
      </c>
      <c r="M888" s="55">
        <v>-2.75</v>
      </c>
      <c r="N888" s="55" t="s">
        <v>576</v>
      </c>
      <c r="O888" s="55">
        <v>80660</v>
      </c>
      <c r="P888" s="55">
        <v>270860</v>
      </c>
      <c r="Q888" s="55">
        <v>493220</v>
      </c>
      <c r="R888" s="57" t="s">
        <v>564</v>
      </c>
      <c r="S888" s="58" t="s">
        <v>566</v>
      </c>
      <c r="T888" s="51">
        <v>31324.85</v>
      </c>
    </row>
    <row r="889" spans="1:20" x14ac:dyDescent="0.25">
      <c r="A889" s="51" t="str">
        <f>(COUNTIF($K$2:K889,K889))&amp;K889</f>
        <v>5230800</v>
      </c>
      <c r="B889" s="52" t="s">
        <v>606</v>
      </c>
      <c r="C889" s="53" t="s">
        <v>566</v>
      </c>
      <c r="D889" s="54" t="s">
        <v>564</v>
      </c>
      <c r="E889" s="55">
        <v>6420</v>
      </c>
      <c r="F889" s="55">
        <v>7840</v>
      </c>
      <c r="G889" s="55">
        <v>340</v>
      </c>
      <c r="H889" s="55" t="s">
        <v>574</v>
      </c>
      <c r="I889" s="55">
        <v>-231.60000000000002</v>
      </c>
      <c r="J889" s="55">
        <v>504</v>
      </c>
      <c r="K889" s="56">
        <v>30800</v>
      </c>
      <c r="L889" s="55">
        <v>1.25</v>
      </c>
      <c r="M889" s="55">
        <v>-2.8499999999999996</v>
      </c>
      <c r="N889" s="55" t="s">
        <v>576</v>
      </c>
      <c r="O889" s="55">
        <v>72760</v>
      </c>
      <c r="P889" s="55">
        <v>440160</v>
      </c>
      <c r="Q889" s="55">
        <v>1138520</v>
      </c>
      <c r="R889" s="57" t="s">
        <v>564</v>
      </c>
      <c r="S889" s="58" t="s">
        <v>566</v>
      </c>
      <c r="T889" s="51">
        <v>31324.85</v>
      </c>
    </row>
    <row r="890" spans="1:20" x14ac:dyDescent="0.25">
      <c r="A890" s="51" t="str">
        <f>(COUNTIF($K$2:K890,K890))&amp;K890</f>
        <v>5230900</v>
      </c>
      <c r="B890" s="52" t="s">
        <v>606</v>
      </c>
      <c r="C890" s="53" t="s">
        <v>566</v>
      </c>
      <c r="D890" s="54" t="s">
        <v>564</v>
      </c>
      <c r="E890" s="55">
        <v>9840</v>
      </c>
      <c r="F890" s="55">
        <v>7820</v>
      </c>
      <c r="G890" s="55">
        <v>1580</v>
      </c>
      <c r="H890" s="55" t="s">
        <v>574</v>
      </c>
      <c r="I890" s="55">
        <v>-223.79999999999995</v>
      </c>
      <c r="J890" s="55">
        <v>409.75</v>
      </c>
      <c r="K890" s="56">
        <v>30900</v>
      </c>
      <c r="L890" s="55">
        <v>2.2999999999999998</v>
      </c>
      <c r="M890" s="55">
        <v>-3.2</v>
      </c>
      <c r="N890" s="55" t="s">
        <v>576</v>
      </c>
      <c r="O890" s="55">
        <v>217680</v>
      </c>
      <c r="P890" s="55">
        <v>583560</v>
      </c>
      <c r="Q890" s="55">
        <v>2443320</v>
      </c>
      <c r="R890" s="57" t="s">
        <v>564</v>
      </c>
      <c r="S890" s="58" t="s">
        <v>566</v>
      </c>
      <c r="T890" s="51">
        <v>31324.85</v>
      </c>
    </row>
    <row r="891" spans="1:20" x14ac:dyDescent="0.25">
      <c r="A891" s="51" t="str">
        <f>(COUNTIF($K$2:K891,K891))&amp;K891</f>
        <v>5231000</v>
      </c>
      <c r="B891" s="52" t="s">
        <v>606</v>
      </c>
      <c r="C891" s="53" t="s">
        <v>566</v>
      </c>
      <c r="D891" s="54" t="s">
        <v>564</v>
      </c>
      <c r="E891" s="55">
        <v>229680</v>
      </c>
      <c r="F891" s="55">
        <v>108560</v>
      </c>
      <c r="G891" s="55">
        <v>20340</v>
      </c>
      <c r="H891" s="55" t="s">
        <v>574</v>
      </c>
      <c r="I891" s="55">
        <v>-233.25</v>
      </c>
      <c r="J891" s="55">
        <v>311.60000000000002</v>
      </c>
      <c r="K891" s="56">
        <v>31000</v>
      </c>
      <c r="L891" s="55">
        <v>4.75</v>
      </c>
      <c r="M891" s="55">
        <v>-2.6500000000000004</v>
      </c>
      <c r="N891" s="55" t="s">
        <v>576</v>
      </c>
      <c r="O891" s="55">
        <v>1045180</v>
      </c>
      <c r="P891" s="55">
        <v>1855780</v>
      </c>
      <c r="Q891" s="55">
        <v>7245060</v>
      </c>
      <c r="R891" s="57" t="s">
        <v>564</v>
      </c>
      <c r="S891" s="58" t="s">
        <v>566</v>
      </c>
      <c r="T891" s="51">
        <v>31324.85</v>
      </c>
    </row>
    <row r="892" spans="1:20" x14ac:dyDescent="0.25">
      <c r="A892" s="51" t="str">
        <f>(COUNTIF($K$2:K892,K892))&amp;K892</f>
        <v>5231100</v>
      </c>
      <c r="B892" s="52" t="s">
        <v>606</v>
      </c>
      <c r="C892" s="53" t="s">
        <v>566</v>
      </c>
      <c r="D892" s="54" t="s">
        <v>564</v>
      </c>
      <c r="E892" s="55">
        <v>293340</v>
      </c>
      <c r="F892" s="55">
        <v>75900</v>
      </c>
      <c r="G892" s="55">
        <v>45240</v>
      </c>
      <c r="H892" s="55" t="s">
        <v>574</v>
      </c>
      <c r="I892" s="55">
        <v>-228.14999999999998</v>
      </c>
      <c r="J892" s="55">
        <v>217</v>
      </c>
      <c r="K892" s="56">
        <v>31100</v>
      </c>
      <c r="L892" s="55">
        <v>11.15</v>
      </c>
      <c r="M892" s="55">
        <v>1</v>
      </c>
      <c r="N892" s="55" t="s">
        <v>576</v>
      </c>
      <c r="O892" s="55">
        <v>987580</v>
      </c>
      <c r="P892" s="55">
        <v>1506280</v>
      </c>
      <c r="Q892" s="55">
        <v>9061700</v>
      </c>
      <c r="R892" s="57" t="s">
        <v>564</v>
      </c>
      <c r="S892" s="58" t="s">
        <v>565</v>
      </c>
      <c r="T892" s="51">
        <v>31324.85</v>
      </c>
    </row>
    <row r="893" spans="1:20" x14ac:dyDescent="0.25">
      <c r="A893" s="51" t="str">
        <f>(COUNTIF($K$2:K893,K893))&amp;K893</f>
        <v>5231200</v>
      </c>
      <c r="B893" s="52" t="s">
        <v>606</v>
      </c>
      <c r="C893" s="53" t="s">
        <v>566</v>
      </c>
      <c r="D893" s="54" t="s">
        <v>564</v>
      </c>
      <c r="E893" s="55">
        <v>2014380</v>
      </c>
      <c r="F893" s="55">
        <v>330920</v>
      </c>
      <c r="G893" s="55">
        <v>199200</v>
      </c>
      <c r="H893" s="55" t="s">
        <v>576</v>
      </c>
      <c r="I893" s="55">
        <v>-214.29999999999998</v>
      </c>
      <c r="J893" s="55">
        <v>136.15</v>
      </c>
      <c r="K893" s="56">
        <v>31200</v>
      </c>
      <c r="L893" s="55">
        <v>29.2</v>
      </c>
      <c r="M893" s="55">
        <v>11.8</v>
      </c>
      <c r="N893" s="55" t="s">
        <v>576</v>
      </c>
      <c r="O893" s="55">
        <v>908740</v>
      </c>
      <c r="P893" s="55">
        <v>1434680</v>
      </c>
      <c r="Q893" s="55">
        <v>12264660</v>
      </c>
      <c r="R893" s="57" t="s">
        <v>564</v>
      </c>
      <c r="S893" s="58" t="s">
        <v>565</v>
      </c>
      <c r="T893" s="51">
        <v>31324.85</v>
      </c>
    </row>
    <row r="894" spans="1:20" ht="15.75" x14ac:dyDescent="0.25">
      <c r="A894" s="51" t="str">
        <f>(COUNTIF($K$2:K894,K894))&amp;K894</f>
        <v>5231300</v>
      </c>
      <c r="B894" s="52" t="s">
        <v>606</v>
      </c>
      <c r="C894" s="53" t="s">
        <v>566</v>
      </c>
      <c r="D894" s="54" t="s">
        <v>564</v>
      </c>
      <c r="E894" s="55">
        <v>4683460</v>
      </c>
      <c r="F894" s="55">
        <v>808040</v>
      </c>
      <c r="G894" s="55">
        <v>692100</v>
      </c>
      <c r="H894" s="55" t="s">
        <v>576</v>
      </c>
      <c r="I894" s="55">
        <v>-192.15</v>
      </c>
      <c r="J894" s="55">
        <v>73.400000000000006</v>
      </c>
      <c r="K894" s="59">
        <v>31300</v>
      </c>
      <c r="L894" s="55">
        <v>66</v>
      </c>
      <c r="M894" s="55">
        <v>35.049999999999997</v>
      </c>
      <c r="N894" s="55" t="s">
        <v>576</v>
      </c>
      <c r="O894" s="55">
        <v>444020</v>
      </c>
      <c r="P894" s="55">
        <v>1094520</v>
      </c>
      <c r="Q894" s="55">
        <v>12964240</v>
      </c>
      <c r="R894" s="57" t="s">
        <v>564</v>
      </c>
      <c r="S894" s="58" t="s">
        <v>565</v>
      </c>
      <c r="T894" s="51">
        <v>31324.85</v>
      </c>
    </row>
    <row r="895" spans="1:20" x14ac:dyDescent="0.25">
      <c r="A895" s="51" t="str">
        <f>(COUNTIF($K$2:K895,K895))&amp;K895</f>
        <v>5231400</v>
      </c>
      <c r="B895" s="52" t="s">
        <v>606</v>
      </c>
      <c r="C895" s="53" t="s">
        <v>566</v>
      </c>
      <c r="D895" s="54" t="s">
        <v>564</v>
      </c>
      <c r="E895" s="55">
        <v>10573520</v>
      </c>
      <c r="F895" s="55">
        <v>1530440</v>
      </c>
      <c r="G895" s="55">
        <v>1346140</v>
      </c>
      <c r="H895" s="55" t="s">
        <v>576</v>
      </c>
      <c r="I895" s="55">
        <v>-155.30000000000001</v>
      </c>
      <c r="J895" s="55">
        <v>33.700000000000003</v>
      </c>
      <c r="K895" s="56">
        <v>31400</v>
      </c>
      <c r="L895" s="55">
        <v>126.5</v>
      </c>
      <c r="M895" s="55">
        <v>72.55</v>
      </c>
      <c r="N895" s="55" t="s">
        <v>576</v>
      </c>
      <c r="O895" s="55">
        <v>64800</v>
      </c>
      <c r="P895" s="55">
        <v>621020</v>
      </c>
      <c r="Q895" s="55">
        <v>9506620</v>
      </c>
      <c r="R895" s="57" t="s">
        <v>564</v>
      </c>
      <c r="S895" s="58" t="s">
        <v>565</v>
      </c>
      <c r="T895" s="51">
        <v>31324.85</v>
      </c>
    </row>
    <row r="896" spans="1:20" x14ac:dyDescent="0.25">
      <c r="A896" s="51" t="str">
        <f>(COUNTIF($K$2:K896,K896))&amp;K896</f>
        <v>5231500</v>
      </c>
      <c r="B896" s="52" t="s">
        <v>606</v>
      </c>
      <c r="C896" s="53" t="s">
        <v>566</v>
      </c>
      <c r="D896" s="54" t="s">
        <v>564</v>
      </c>
      <c r="E896" s="55">
        <v>15510660</v>
      </c>
      <c r="F896" s="55">
        <v>2898520</v>
      </c>
      <c r="G896" s="55">
        <v>2119980</v>
      </c>
      <c r="H896" s="55" t="s">
        <v>576</v>
      </c>
      <c r="I896" s="55">
        <v>-112.15</v>
      </c>
      <c r="J896" s="55">
        <v>14.3</v>
      </c>
      <c r="K896" s="56">
        <v>31500</v>
      </c>
      <c r="L896" s="55">
        <v>207.7</v>
      </c>
      <c r="M896" s="55">
        <v>117.54999999999998</v>
      </c>
      <c r="N896" s="55" t="s">
        <v>576</v>
      </c>
      <c r="O896" s="55">
        <v>-176600</v>
      </c>
      <c r="P896" s="55">
        <v>453880</v>
      </c>
      <c r="Q896" s="55">
        <v>5300320</v>
      </c>
      <c r="R896" s="57" t="s">
        <v>563</v>
      </c>
      <c r="S896" s="58" t="s">
        <v>567</v>
      </c>
      <c r="T896" s="51">
        <v>31324.85</v>
      </c>
    </row>
    <row r="897" spans="1:20" x14ac:dyDescent="0.25">
      <c r="A897" s="51" t="str">
        <f>(COUNTIF($K$2:K897,K897))&amp;K897</f>
        <v>5231600</v>
      </c>
      <c r="B897" s="52" t="s">
        <v>606</v>
      </c>
      <c r="C897" s="53" t="s">
        <v>566</v>
      </c>
      <c r="D897" s="54" t="s">
        <v>564</v>
      </c>
      <c r="E897" s="55">
        <v>11553780</v>
      </c>
      <c r="F897" s="55">
        <v>1900200</v>
      </c>
      <c r="G897" s="55">
        <v>1280540</v>
      </c>
      <c r="H897" s="55" t="s">
        <v>576</v>
      </c>
      <c r="I897" s="55">
        <v>-72.900000000000006</v>
      </c>
      <c r="J897" s="55">
        <v>5.55</v>
      </c>
      <c r="K897" s="56">
        <v>31600</v>
      </c>
      <c r="L897" s="55">
        <v>299.2</v>
      </c>
      <c r="M897" s="55">
        <v>157.1</v>
      </c>
      <c r="N897" s="55" t="s">
        <v>576</v>
      </c>
      <c r="O897" s="55">
        <v>7680</v>
      </c>
      <c r="P897" s="55">
        <v>101920</v>
      </c>
      <c r="Q897" s="55">
        <v>1517260</v>
      </c>
      <c r="R897" s="57" t="s">
        <v>564</v>
      </c>
      <c r="S897" s="58" t="s">
        <v>565</v>
      </c>
      <c r="T897" s="51">
        <v>31324.85</v>
      </c>
    </row>
    <row r="898" spans="1:20" x14ac:dyDescent="0.25">
      <c r="A898" s="51" t="str">
        <f>(COUNTIF($K$2:K898,K898))&amp;K898</f>
        <v>5231700</v>
      </c>
      <c r="B898" s="52" t="s">
        <v>606</v>
      </c>
      <c r="C898" s="53" t="s">
        <v>566</v>
      </c>
      <c r="D898" s="54" t="s">
        <v>564</v>
      </c>
      <c r="E898" s="55">
        <v>9351920</v>
      </c>
      <c r="F898" s="55">
        <v>1367380</v>
      </c>
      <c r="G898" s="55">
        <v>732120</v>
      </c>
      <c r="H898" s="55" t="s">
        <v>576</v>
      </c>
      <c r="I898" s="55">
        <v>-41.800000000000004</v>
      </c>
      <c r="J898" s="55">
        <v>2.65</v>
      </c>
      <c r="K898" s="56">
        <v>31700</v>
      </c>
      <c r="L898" s="55">
        <v>394.1</v>
      </c>
      <c r="M898" s="55">
        <v>184.70000000000002</v>
      </c>
      <c r="N898" s="55" t="s">
        <v>576</v>
      </c>
      <c r="O898" s="55">
        <v>-10920</v>
      </c>
      <c r="P898" s="55">
        <v>38840</v>
      </c>
      <c r="Q898" s="55">
        <v>619080</v>
      </c>
      <c r="R898" s="57" t="s">
        <v>563</v>
      </c>
      <c r="S898" s="58" t="s">
        <v>567</v>
      </c>
      <c r="T898" s="51">
        <v>31324.85</v>
      </c>
    </row>
    <row r="899" spans="1:20" x14ac:dyDescent="0.25">
      <c r="A899" s="51" t="str">
        <f>(COUNTIF($K$2:K899,K899))&amp;K899</f>
        <v>5231800</v>
      </c>
      <c r="B899" s="52" t="s">
        <v>606</v>
      </c>
      <c r="C899" s="53" t="s">
        <v>566</v>
      </c>
      <c r="D899" s="54" t="s">
        <v>564</v>
      </c>
      <c r="E899" s="55">
        <v>6566260</v>
      </c>
      <c r="F899" s="55">
        <v>1022600</v>
      </c>
      <c r="G899" s="55">
        <v>437220</v>
      </c>
      <c r="H899" s="55" t="s">
        <v>576</v>
      </c>
      <c r="I899" s="55">
        <v>-22.2</v>
      </c>
      <c r="J899" s="55">
        <v>1.3</v>
      </c>
      <c r="K899" s="56">
        <v>31800</v>
      </c>
      <c r="L899" s="55">
        <v>499.1</v>
      </c>
      <c r="M899" s="55">
        <v>213.75</v>
      </c>
      <c r="N899" s="55" t="s">
        <v>576</v>
      </c>
      <c r="O899" s="55">
        <v>1900</v>
      </c>
      <c r="P899" s="55">
        <v>16880</v>
      </c>
      <c r="Q899" s="55">
        <v>232980</v>
      </c>
      <c r="R899" s="57" t="s">
        <v>564</v>
      </c>
      <c r="S899" s="58" t="s">
        <v>565</v>
      </c>
      <c r="T899" s="51">
        <v>31324.85</v>
      </c>
    </row>
    <row r="900" spans="1:20" x14ac:dyDescent="0.25">
      <c r="A900" s="51" t="str">
        <f>(COUNTIF($K$2:K900,K900))&amp;K900</f>
        <v>5231900</v>
      </c>
      <c r="B900" s="52" t="s">
        <v>606</v>
      </c>
      <c r="C900" s="53" t="s">
        <v>566</v>
      </c>
      <c r="D900" s="54" t="s">
        <v>564</v>
      </c>
      <c r="E900" s="55">
        <v>17089180</v>
      </c>
      <c r="F900" s="55">
        <v>666740</v>
      </c>
      <c r="G900" s="55">
        <v>154940</v>
      </c>
      <c r="H900" s="55" t="s">
        <v>576</v>
      </c>
      <c r="I900" s="55">
        <v>-10.199999999999999</v>
      </c>
      <c r="J900" s="55">
        <v>0.9</v>
      </c>
      <c r="K900" s="56">
        <v>31900</v>
      </c>
      <c r="L900" s="55">
        <v>603</v>
      </c>
      <c r="M900" s="55">
        <v>226.3</v>
      </c>
      <c r="N900" s="55" t="s">
        <v>576</v>
      </c>
      <c r="O900" s="55">
        <v>1300</v>
      </c>
      <c r="P900" s="55">
        <v>6840</v>
      </c>
      <c r="Q900" s="55">
        <v>48840</v>
      </c>
      <c r="R900" s="57" t="s">
        <v>564</v>
      </c>
      <c r="S900" s="58" t="s">
        <v>565</v>
      </c>
      <c r="T900" s="51">
        <v>31324.85</v>
      </c>
    </row>
    <row r="901" spans="1:20" x14ac:dyDescent="0.25">
      <c r="A901" s="51" t="str">
        <f>(COUNTIF($K$2:K901,K901))&amp;K901</f>
        <v>5232000</v>
      </c>
      <c r="B901" s="52" t="s">
        <v>606</v>
      </c>
      <c r="C901" s="53" t="s">
        <v>566</v>
      </c>
      <c r="D901" s="54" t="s">
        <v>564</v>
      </c>
      <c r="E901" s="55">
        <v>5527480</v>
      </c>
      <c r="F901" s="55">
        <v>739020</v>
      </c>
      <c r="G901" s="55">
        <v>127360</v>
      </c>
      <c r="H901" s="55" t="s">
        <v>576</v>
      </c>
      <c r="I901" s="55">
        <v>-5.4</v>
      </c>
      <c r="J901" s="55">
        <v>0.6</v>
      </c>
      <c r="K901" s="56">
        <v>32000</v>
      </c>
      <c r="L901" s="55">
        <v>692.85</v>
      </c>
      <c r="M901" s="55">
        <v>222.35000000000002</v>
      </c>
      <c r="N901" s="55" t="s">
        <v>576</v>
      </c>
      <c r="O901" s="55">
        <v>-1020</v>
      </c>
      <c r="P901" s="55">
        <v>11100</v>
      </c>
      <c r="Q901" s="55">
        <v>31260</v>
      </c>
      <c r="R901" s="57" t="s">
        <v>563</v>
      </c>
      <c r="S901" s="58" t="s">
        <v>567</v>
      </c>
      <c r="T901" s="51">
        <v>31324.85</v>
      </c>
    </row>
    <row r="902" spans="1:20" x14ac:dyDescent="0.25">
      <c r="A902" s="51" t="str">
        <f>(COUNTIF($K$2:K902,K902))&amp;K902</f>
        <v>53PCR</v>
      </c>
      <c r="B902" s="52" t="s">
        <v>606</v>
      </c>
      <c r="C902" s="60">
        <v>0.78679250859237959</v>
      </c>
      <c r="E902" s="61"/>
      <c r="F902" s="62">
        <v>11504380</v>
      </c>
      <c r="G902" s="63"/>
      <c r="H902" s="64"/>
      <c r="I902" s="64"/>
      <c r="J902" s="64"/>
      <c r="K902" s="65" t="s">
        <v>555</v>
      </c>
      <c r="L902" s="64"/>
      <c r="M902" s="64"/>
      <c r="N902" s="64"/>
      <c r="P902" s="63">
        <v>9051560</v>
      </c>
      <c r="Q902" s="61"/>
      <c r="R902" s="64"/>
      <c r="S902" s="64"/>
    </row>
    <row r="903" spans="1:20" x14ac:dyDescent="0.25">
      <c r="A903" s="51" t="str">
        <f>(COUNTIF($K$2:K903,K903))&amp;K903</f>
        <v>2430500</v>
      </c>
      <c r="B903" s="52" t="s">
        <v>606</v>
      </c>
      <c r="C903" s="53" t="s">
        <v>562</v>
      </c>
      <c r="D903" s="54" t="s">
        <v>563</v>
      </c>
      <c r="E903" s="55">
        <v>15800</v>
      </c>
      <c r="F903" s="55">
        <v>26100</v>
      </c>
      <c r="G903" s="55">
        <v>-6120</v>
      </c>
      <c r="H903" s="55" t="s">
        <v>574</v>
      </c>
      <c r="I903" s="55">
        <v>-224.79999999999995</v>
      </c>
      <c r="J903" s="55">
        <v>807</v>
      </c>
      <c r="K903" s="56">
        <v>30500</v>
      </c>
      <c r="L903" s="55">
        <v>0.55000000000000004</v>
      </c>
      <c r="M903" s="55">
        <v>-2.1500000000000004</v>
      </c>
      <c r="N903" s="55" t="s">
        <v>576</v>
      </c>
      <c r="O903" s="55">
        <v>-10560</v>
      </c>
      <c r="P903" s="55">
        <v>403780</v>
      </c>
      <c r="Q903" s="55">
        <v>260440</v>
      </c>
      <c r="R903" s="57" t="s">
        <v>563</v>
      </c>
      <c r="S903" s="58" t="s">
        <v>562</v>
      </c>
      <c r="T903" s="51">
        <v>31324.85</v>
      </c>
    </row>
    <row r="904" spans="1:20" x14ac:dyDescent="0.25">
      <c r="A904" s="51" t="str">
        <f>(COUNTIF($K$2:K904,K904))&amp;K904</f>
        <v>4430600</v>
      </c>
      <c r="B904" s="52" t="s">
        <v>606</v>
      </c>
      <c r="C904" s="53" t="s">
        <v>562</v>
      </c>
      <c r="D904" s="54" t="s">
        <v>563</v>
      </c>
      <c r="E904" s="55">
        <v>1600</v>
      </c>
      <c r="F904" s="55">
        <v>3760</v>
      </c>
      <c r="G904" s="55">
        <v>-780</v>
      </c>
      <c r="H904" s="55" t="s">
        <v>574</v>
      </c>
      <c r="I904" s="55">
        <v>-222.20000000000005</v>
      </c>
      <c r="J904" s="55">
        <v>710.5</v>
      </c>
      <c r="K904" s="56">
        <v>30600</v>
      </c>
      <c r="L904" s="55">
        <v>0.65</v>
      </c>
      <c r="M904" s="55">
        <v>-2.35</v>
      </c>
      <c r="N904" s="55" t="s">
        <v>576</v>
      </c>
      <c r="O904" s="55">
        <v>12220</v>
      </c>
      <c r="P904" s="55">
        <v>211460</v>
      </c>
      <c r="Q904" s="55">
        <v>223220</v>
      </c>
      <c r="R904" s="57" t="s">
        <v>564</v>
      </c>
      <c r="S904" s="58" t="s">
        <v>566</v>
      </c>
      <c r="T904" s="51">
        <v>31324.85</v>
      </c>
    </row>
    <row r="905" spans="1:20" x14ac:dyDescent="0.25">
      <c r="A905" s="51" t="str">
        <f>(COUNTIF($K$2:K905,K905))&amp;K905</f>
        <v>5330700</v>
      </c>
      <c r="B905" s="52" t="s">
        <v>606</v>
      </c>
      <c r="C905" s="53" t="s">
        <v>562</v>
      </c>
      <c r="D905" s="54" t="s">
        <v>563</v>
      </c>
      <c r="E905" s="55">
        <v>8540</v>
      </c>
      <c r="F905" s="55">
        <v>10540</v>
      </c>
      <c r="G905" s="55">
        <v>-1280</v>
      </c>
      <c r="H905" s="55" t="s">
        <v>574</v>
      </c>
      <c r="I905" s="55">
        <v>-224</v>
      </c>
      <c r="J905" s="55">
        <v>612</v>
      </c>
      <c r="K905" s="56">
        <v>30700</v>
      </c>
      <c r="L905" s="55">
        <v>0.85</v>
      </c>
      <c r="M905" s="55">
        <v>-2.75</v>
      </c>
      <c r="N905" s="55" t="s">
        <v>576</v>
      </c>
      <c r="O905" s="55">
        <v>80660</v>
      </c>
      <c r="P905" s="55">
        <v>270860</v>
      </c>
      <c r="Q905" s="55">
        <v>493220</v>
      </c>
      <c r="R905" s="57" t="s">
        <v>564</v>
      </c>
      <c r="S905" s="58" t="s">
        <v>566</v>
      </c>
      <c r="T905" s="51">
        <v>31324.85</v>
      </c>
    </row>
    <row r="906" spans="1:20" x14ac:dyDescent="0.25">
      <c r="A906" s="51" t="str">
        <f>(COUNTIF($K$2:K906,K906))&amp;K906</f>
        <v>5330800</v>
      </c>
      <c r="B906" s="52" t="s">
        <v>606</v>
      </c>
      <c r="C906" s="53" t="s">
        <v>566</v>
      </c>
      <c r="D906" s="54" t="s">
        <v>564</v>
      </c>
      <c r="E906" s="55">
        <v>6420</v>
      </c>
      <c r="F906" s="55">
        <v>7840</v>
      </c>
      <c r="G906" s="55">
        <v>340</v>
      </c>
      <c r="H906" s="55" t="s">
        <v>574</v>
      </c>
      <c r="I906" s="55">
        <v>-231.60000000000002</v>
      </c>
      <c r="J906" s="55">
        <v>504</v>
      </c>
      <c r="K906" s="56">
        <v>30800</v>
      </c>
      <c r="L906" s="55">
        <v>1.25</v>
      </c>
      <c r="M906" s="55">
        <v>-2.8499999999999996</v>
      </c>
      <c r="N906" s="55" t="s">
        <v>576</v>
      </c>
      <c r="O906" s="55">
        <v>72760</v>
      </c>
      <c r="P906" s="55">
        <v>440160</v>
      </c>
      <c r="Q906" s="55">
        <v>1138520</v>
      </c>
      <c r="R906" s="57" t="s">
        <v>564</v>
      </c>
      <c r="S906" s="58" t="s">
        <v>566</v>
      </c>
      <c r="T906" s="51">
        <v>31324.85</v>
      </c>
    </row>
    <row r="907" spans="1:20" x14ac:dyDescent="0.25">
      <c r="A907" s="51" t="str">
        <f>(COUNTIF($K$2:K907,K907))&amp;K907</f>
        <v>5330900</v>
      </c>
      <c r="B907" s="52" t="s">
        <v>606</v>
      </c>
      <c r="C907" s="53" t="s">
        <v>566</v>
      </c>
      <c r="D907" s="54" t="s">
        <v>564</v>
      </c>
      <c r="E907" s="55">
        <v>9840</v>
      </c>
      <c r="F907" s="55">
        <v>7820</v>
      </c>
      <c r="G907" s="55">
        <v>1580</v>
      </c>
      <c r="H907" s="55" t="s">
        <v>574</v>
      </c>
      <c r="I907" s="55">
        <v>-223.79999999999995</v>
      </c>
      <c r="J907" s="55">
        <v>409.75</v>
      </c>
      <c r="K907" s="56">
        <v>30900</v>
      </c>
      <c r="L907" s="55">
        <v>2.2999999999999998</v>
      </c>
      <c r="M907" s="55">
        <v>-3.2</v>
      </c>
      <c r="N907" s="55" t="s">
        <v>576</v>
      </c>
      <c r="O907" s="55">
        <v>217680</v>
      </c>
      <c r="P907" s="55">
        <v>583560</v>
      </c>
      <c r="Q907" s="55">
        <v>2443320</v>
      </c>
      <c r="R907" s="57" t="s">
        <v>564</v>
      </c>
      <c r="S907" s="58" t="s">
        <v>566</v>
      </c>
      <c r="T907" s="51">
        <v>31324.85</v>
      </c>
    </row>
    <row r="908" spans="1:20" x14ac:dyDescent="0.25">
      <c r="A908" s="51" t="str">
        <f>(COUNTIF($K$2:K908,K908))&amp;K908</f>
        <v>5331000</v>
      </c>
      <c r="B908" s="52" t="s">
        <v>606</v>
      </c>
      <c r="C908" s="53" t="s">
        <v>566</v>
      </c>
      <c r="D908" s="54" t="s">
        <v>564</v>
      </c>
      <c r="E908" s="55">
        <v>229680</v>
      </c>
      <c r="F908" s="55">
        <v>108560</v>
      </c>
      <c r="G908" s="55">
        <v>20340</v>
      </c>
      <c r="H908" s="55" t="s">
        <v>574</v>
      </c>
      <c r="I908" s="55">
        <v>-233.25</v>
      </c>
      <c r="J908" s="55">
        <v>311.60000000000002</v>
      </c>
      <c r="K908" s="56">
        <v>31000</v>
      </c>
      <c r="L908" s="55">
        <v>4.75</v>
      </c>
      <c r="M908" s="55">
        <v>-2.6500000000000004</v>
      </c>
      <c r="N908" s="55" t="s">
        <v>576</v>
      </c>
      <c r="O908" s="55">
        <v>1045180</v>
      </c>
      <c r="P908" s="55">
        <v>1855780</v>
      </c>
      <c r="Q908" s="55">
        <v>7245060</v>
      </c>
      <c r="R908" s="57" t="s">
        <v>564</v>
      </c>
      <c r="S908" s="58" t="s">
        <v>566</v>
      </c>
      <c r="T908" s="51">
        <v>31324.85</v>
      </c>
    </row>
    <row r="909" spans="1:20" x14ac:dyDescent="0.25">
      <c r="A909" s="51" t="str">
        <f>(COUNTIF($K$2:K909,K909))&amp;K909</f>
        <v>5331100</v>
      </c>
      <c r="B909" s="52" t="s">
        <v>606</v>
      </c>
      <c r="C909" s="53" t="s">
        <v>566</v>
      </c>
      <c r="D909" s="54" t="s">
        <v>564</v>
      </c>
      <c r="E909" s="55">
        <v>293340</v>
      </c>
      <c r="F909" s="55">
        <v>75900</v>
      </c>
      <c r="G909" s="55">
        <v>45240</v>
      </c>
      <c r="H909" s="55" t="s">
        <v>574</v>
      </c>
      <c r="I909" s="55">
        <v>-228.14999999999998</v>
      </c>
      <c r="J909" s="55">
        <v>217</v>
      </c>
      <c r="K909" s="56">
        <v>31100</v>
      </c>
      <c r="L909" s="55">
        <v>11.15</v>
      </c>
      <c r="M909" s="55">
        <v>1</v>
      </c>
      <c r="N909" s="55" t="s">
        <v>576</v>
      </c>
      <c r="O909" s="55">
        <v>987580</v>
      </c>
      <c r="P909" s="55">
        <v>1506280</v>
      </c>
      <c r="Q909" s="55">
        <v>9061700</v>
      </c>
      <c r="R909" s="57" t="s">
        <v>564</v>
      </c>
      <c r="S909" s="58" t="s">
        <v>565</v>
      </c>
      <c r="T909" s="51">
        <v>31324.85</v>
      </c>
    </row>
    <row r="910" spans="1:20" x14ac:dyDescent="0.25">
      <c r="A910" s="51" t="str">
        <f>(COUNTIF($K$2:K910,K910))&amp;K910</f>
        <v>5331200</v>
      </c>
      <c r="B910" s="52" t="s">
        <v>606</v>
      </c>
      <c r="C910" s="53" t="s">
        <v>566</v>
      </c>
      <c r="D910" s="54" t="s">
        <v>564</v>
      </c>
      <c r="E910" s="55">
        <v>2014380</v>
      </c>
      <c r="F910" s="55">
        <v>330920</v>
      </c>
      <c r="G910" s="55">
        <v>199200</v>
      </c>
      <c r="H910" s="55" t="s">
        <v>576</v>
      </c>
      <c r="I910" s="55">
        <v>-214.29999999999998</v>
      </c>
      <c r="J910" s="55">
        <v>136.15</v>
      </c>
      <c r="K910" s="56">
        <v>31200</v>
      </c>
      <c r="L910" s="55">
        <v>29.2</v>
      </c>
      <c r="M910" s="55">
        <v>11.8</v>
      </c>
      <c r="N910" s="55" t="s">
        <v>576</v>
      </c>
      <c r="O910" s="55">
        <v>908740</v>
      </c>
      <c r="P910" s="55">
        <v>1434680</v>
      </c>
      <c r="Q910" s="55">
        <v>12264660</v>
      </c>
      <c r="R910" s="57" t="s">
        <v>564</v>
      </c>
      <c r="S910" s="58" t="s">
        <v>565</v>
      </c>
      <c r="T910" s="51">
        <v>31324.85</v>
      </c>
    </row>
    <row r="911" spans="1:20" ht="15.75" x14ac:dyDescent="0.25">
      <c r="A911" s="51" t="str">
        <f>(COUNTIF($K$2:K911,K911))&amp;K911</f>
        <v>5331300</v>
      </c>
      <c r="B911" s="52" t="s">
        <v>606</v>
      </c>
      <c r="C911" s="53" t="s">
        <v>566</v>
      </c>
      <c r="D911" s="54" t="s">
        <v>564</v>
      </c>
      <c r="E911" s="55">
        <v>4683460</v>
      </c>
      <c r="F911" s="55">
        <v>808040</v>
      </c>
      <c r="G911" s="55">
        <v>692100</v>
      </c>
      <c r="H911" s="55" t="s">
        <v>576</v>
      </c>
      <c r="I911" s="55">
        <v>-192.15</v>
      </c>
      <c r="J911" s="55">
        <v>73.400000000000006</v>
      </c>
      <c r="K911" s="59">
        <v>31300</v>
      </c>
      <c r="L911" s="55">
        <v>66</v>
      </c>
      <c r="M911" s="55">
        <v>35.049999999999997</v>
      </c>
      <c r="N911" s="55" t="s">
        <v>576</v>
      </c>
      <c r="O911" s="55">
        <v>444020</v>
      </c>
      <c r="P911" s="55">
        <v>1094520</v>
      </c>
      <c r="Q911" s="55">
        <v>12964240</v>
      </c>
      <c r="R911" s="57" t="s">
        <v>564</v>
      </c>
      <c r="S911" s="58" t="s">
        <v>565</v>
      </c>
      <c r="T911" s="51">
        <v>31324.85</v>
      </c>
    </row>
    <row r="912" spans="1:20" x14ac:dyDescent="0.25">
      <c r="A912" s="51" t="str">
        <f>(COUNTIF($K$2:K912,K912))&amp;K912</f>
        <v>5331400</v>
      </c>
      <c r="B912" s="52" t="s">
        <v>606</v>
      </c>
      <c r="C912" s="53" t="s">
        <v>566</v>
      </c>
      <c r="D912" s="54" t="s">
        <v>564</v>
      </c>
      <c r="E912" s="55">
        <v>10573520</v>
      </c>
      <c r="F912" s="55">
        <v>1530440</v>
      </c>
      <c r="G912" s="55">
        <v>1346140</v>
      </c>
      <c r="H912" s="55" t="s">
        <v>576</v>
      </c>
      <c r="I912" s="55">
        <v>-155.30000000000001</v>
      </c>
      <c r="J912" s="55">
        <v>33.700000000000003</v>
      </c>
      <c r="K912" s="56">
        <v>31400</v>
      </c>
      <c r="L912" s="55">
        <v>126.5</v>
      </c>
      <c r="M912" s="55">
        <v>72.55</v>
      </c>
      <c r="N912" s="55" t="s">
        <v>576</v>
      </c>
      <c r="O912" s="55">
        <v>64800</v>
      </c>
      <c r="P912" s="55">
        <v>621020</v>
      </c>
      <c r="Q912" s="55">
        <v>9506620</v>
      </c>
      <c r="R912" s="57" t="s">
        <v>564</v>
      </c>
      <c r="S912" s="58" t="s">
        <v>565</v>
      </c>
      <c r="T912" s="51">
        <v>31324.85</v>
      </c>
    </row>
    <row r="913" spans="1:20" x14ac:dyDescent="0.25">
      <c r="A913" s="51" t="str">
        <f>(COUNTIF($K$2:K913,K913))&amp;K913</f>
        <v>5331500</v>
      </c>
      <c r="B913" s="52" t="s">
        <v>606</v>
      </c>
      <c r="C913" s="53" t="s">
        <v>566</v>
      </c>
      <c r="D913" s="54" t="s">
        <v>564</v>
      </c>
      <c r="E913" s="55">
        <v>15510660</v>
      </c>
      <c r="F913" s="55">
        <v>2898520</v>
      </c>
      <c r="G913" s="55">
        <v>2119980</v>
      </c>
      <c r="H913" s="55" t="s">
        <v>576</v>
      </c>
      <c r="I913" s="55">
        <v>-112.15</v>
      </c>
      <c r="J913" s="55">
        <v>14.3</v>
      </c>
      <c r="K913" s="56">
        <v>31500</v>
      </c>
      <c r="L913" s="55">
        <v>207.7</v>
      </c>
      <c r="M913" s="55">
        <v>117.54999999999998</v>
      </c>
      <c r="N913" s="55" t="s">
        <v>576</v>
      </c>
      <c r="O913" s="55">
        <v>-176600</v>
      </c>
      <c r="P913" s="55">
        <v>453880</v>
      </c>
      <c r="Q913" s="55">
        <v>5300320</v>
      </c>
      <c r="R913" s="57" t="s">
        <v>563</v>
      </c>
      <c r="S913" s="58" t="s">
        <v>567</v>
      </c>
      <c r="T913" s="51">
        <v>31324.85</v>
      </c>
    </row>
    <row r="914" spans="1:20" x14ac:dyDescent="0.25">
      <c r="A914" s="51" t="str">
        <f>(COUNTIF($K$2:K914,K914))&amp;K914</f>
        <v>5331600</v>
      </c>
      <c r="B914" s="52" t="s">
        <v>606</v>
      </c>
      <c r="C914" s="53" t="s">
        <v>566</v>
      </c>
      <c r="D914" s="54" t="s">
        <v>564</v>
      </c>
      <c r="E914" s="55">
        <v>11553780</v>
      </c>
      <c r="F914" s="55">
        <v>1900200</v>
      </c>
      <c r="G914" s="55">
        <v>1280540</v>
      </c>
      <c r="H914" s="55" t="s">
        <v>576</v>
      </c>
      <c r="I914" s="55">
        <v>-72.900000000000006</v>
      </c>
      <c r="J914" s="55">
        <v>5.55</v>
      </c>
      <c r="K914" s="56">
        <v>31600</v>
      </c>
      <c r="L914" s="55">
        <v>299.2</v>
      </c>
      <c r="M914" s="55">
        <v>157.1</v>
      </c>
      <c r="N914" s="55" t="s">
        <v>576</v>
      </c>
      <c r="O914" s="55">
        <v>7680</v>
      </c>
      <c r="P914" s="55">
        <v>101920</v>
      </c>
      <c r="Q914" s="55">
        <v>1517260</v>
      </c>
      <c r="R914" s="57" t="s">
        <v>564</v>
      </c>
      <c r="S914" s="58" t="s">
        <v>565</v>
      </c>
      <c r="T914" s="51">
        <v>31324.85</v>
      </c>
    </row>
    <row r="915" spans="1:20" x14ac:dyDescent="0.25">
      <c r="A915" s="51" t="str">
        <f>(COUNTIF($K$2:K915,K915))&amp;K915</f>
        <v>5331700</v>
      </c>
      <c r="B915" s="52" t="s">
        <v>606</v>
      </c>
      <c r="C915" s="53" t="s">
        <v>566</v>
      </c>
      <c r="D915" s="54" t="s">
        <v>564</v>
      </c>
      <c r="E915" s="55">
        <v>9351920</v>
      </c>
      <c r="F915" s="55">
        <v>1367380</v>
      </c>
      <c r="G915" s="55">
        <v>732120</v>
      </c>
      <c r="H915" s="55" t="s">
        <v>576</v>
      </c>
      <c r="I915" s="55">
        <v>-41.800000000000004</v>
      </c>
      <c r="J915" s="55">
        <v>2.65</v>
      </c>
      <c r="K915" s="56">
        <v>31700</v>
      </c>
      <c r="L915" s="55">
        <v>394.1</v>
      </c>
      <c r="M915" s="55">
        <v>184.70000000000002</v>
      </c>
      <c r="N915" s="55" t="s">
        <v>576</v>
      </c>
      <c r="O915" s="55">
        <v>-10920</v>
      </c>
      <c r="P915" s="55">
        <v>38840</v>
      </c>
      <c r="Q915" s="55">
        <v>619080</v>
      </c>
      <c r="R915" s="57" t="s">
        <v>563</v>
      </c>
      <c r="S915" s="58" t="s">
        <v>567</v>
      </c>
      <c r="T915" s="51">
        <v>31324.85</v>
      </c>
    </row>
    <row r="916" spans="1:20" x14ac:dyDescent="0.25">
      <c r="A916" s="51" t="str">
        <f>(COUNTIF($K$2:K916,K916))&amp;K916</f>
        <v>5331800</v>
      </c>
      <c r="B916" s="52" t="s">
        <v>606</v>
      </c>
      <c r="C916" s="53" t="s">
        <v>566</v>
      </c>
      <c r="D916" s="54" t="s">
        <v>564</v>
      </c>
      <c r="E916" s="55">
        <v>6566260</v>
      </c>
      <c r="F916" s="55">
        <v>1022600</v>
      </c>
      <c r="G916" s="55">
        <v>437220</v>
      </c>
      <c r="H916" s="55" t="s">
        <v>576</v>
      </c>
      <c r="I916" s="55">
        <v>-22.2</v>
      </c>
      <c r="J916" s="55">
        <v>1.3</v>
      </c>
      <c r="K916" s="56">
        <v>31800</v>
      </c>
      <c r="L916" s="55">
        <v>499.1</v>
      </c>
      <c r="M916" s="55">
        <v>213.75</v>
      </c>
      <c r="N916" s="55" t="s">
        <v>576</v>
      </c>
      <c r="O916" s="55">
        <v>1900</v>
      </c>
      <c r="P916" s="55">
        <v>16880</v>
      </c>
      <c r="Q916" s="55">
        <v>232980</v>
      </c>
      <c r="R916" s="57" t="s">
        <v>564</v>
      </c>
      <c r="S916" s="58" t="s">
        <v>565</v>
      </c>
      <c r="T916" s="51">
        <v>31324.85</v>
      </c>
    </row>
    <row r="917" spans="1:20" x14ac:dyDescent="0.25">
      <c r="A917" s="51" t="str">
        <f>(COUNTIF($K$2:K917,K917))&amp;K917</f>
        <v>5331900</v>
      </c>
      <c r="B917" s="52" t="s">
        <v>606</v>
      </c>
      <c r="C917" s="53" t="s">
        <v>566</v>
      </c>
      <c r="D917" s="54" t="s">
        <v>564</v>
      </c>
      <c r="E917" s="55">
        <v>17089180</v>
      </c>
      <c r="F917" s="55">
        <v>666740</v>
      </c>
      <c r="G917" s="55">
        <v>154940</v>
      </c>
      <c r="H917" s="55" t="s">
        <v>576</v>
      </c>
      <c r="I917" s="55">
        <v>-10.199999999999999</v>
      </c>
      <c r="J917" s="55">
        <v>0.9</v>
      </c>
      <c r="K917" s="56">
        <v>31900</v>
      </c>
      <c r="L917" s="55">
        <v>603</v>
      </c>
      <c r="M917" s="55">
        <v>226.3</v>
      </c>
      <c r="N917" s="55" t="s">
        <v>576</v>
      </c>
      <c r="O917" s="55">
        <v>1300</v>
      </c>
      <c r="P917" s="55">
        <v>6840</v>
      </c>
      <c r="Q917" s="55">
        <v>48840</v>
      </c>
      <c r="R917" s="57" t="s">
        <v>564</v>
      </c>
      <c r="S917" s="58" t="s">
        <v>565</v>
      </c>
      <c r="T917" s="51">
        <v>31324.85</v>
      </c>
    </row>
    <row r="918" spans="1:20" x14ac:dyDescent="0.25">
      <c r="A918" s="51" t="str">
        <f>(COUNTIF($K$2:K918,K918))&amp;K918</f>
        <v>5332000</v>
      </c>
      <c r="B918" s="52" t="s">
        <v>606</v>
      </c>
      <c r="C918" s="53" t="s">
        <v>566</v>
      </c>
      <c r="D918" s="54" t="s">
        <v>564</v>
      </c>
      <c r="E918" s="55">
        <v>5527480</v>
      </c>
      <c r="F918" s="55">
        <v>739020</v>
      </c>
      <c r="G918" s="55">
        <v>127360</v>
      </c>
      <c r="H918" s="55" t="s">
        <v>576</v>
      </c>
      <c r="I918" s="55">
        <v>-5.4</v>
      </c>
      <c r="J918" s="55">
        <v>0.6</v>
      </c>
      <c r="K918" s="56">
        <v>32000</v>
      </c>
      <c r="L918" s="55">
        <v>692.85</v>
      </c>
      <c r="M918" s="55">
        <v>222.35000000000002</v>
      </c>
      <c r="N918" s="55" t="s">
        <v>576</v>
      </c>
      <c r="O918" s="55">
        <v>-1020</v>
      </c>
      <c r="P918" s="55">
        <v>11100</v>
      </c>
      <c r="Q918" s="55">
        <v>31260</v>
      </c>
      <c r="R918" s="57" t="s">
        <v>563</v>
      </c>
      <c r="S918" s="58" t="s">
        <v>567</v>
      </c>
      <c r="T918" s="51">
        <v>31324.85</v>
      </c>
    </row>
    <row r="919" spans="1:20" x14ac:dyDescent="0.25">
      <c r="A919" s="51" t="str">
        <f>(COUNTIF($K$2:K919,K919))&amp;K919</f>
        <v>54PCR</v>
      </c>
      <c r="B919" s="52" t="s">
        <v>606</v>
      </c>
      <c r="C919" s="60">
        <v>0.78679250859237959</v>
      </c>
      <c r="E919" s="61"/>
      <c r="F919" s="62">
        <v>11504380</v>
      </c>
      <c r="G919" s="63"/>
      <c r="H919" s="64"/>
      <c r="I919" s="64"/>
      <c r="J919" s="64"/>
      <c r="K919" s="65" t="s">
        <v>555</v>
      </c>
      <c r="L919" s="64"/>
      <c r="M919" s="64"/>
      <c r="N919" s="64"/>
      <c r="P919" s="63">
        <v>9051560</v>
      </c>
      <c r="Q919" s="61"/>
      <c r="R919" s="64"/>
      <c r="S919" s="64"/>
    </row>
    <row r="920" spans="1:20" x14ac:dyDescent="0.25">
      <c r="A920" s="51" t="str">
        <f>(COUNTIF($K$2:K920,K920))&amp;K920</f>
        <v>2530500</v>
      </c>
      <c r="B920" s="52" t="s">
        <v>607</v>
      </c>
      <c r="C920" s="53" t="s">
        <v>562</v>
      </c>
      <c r="D920" s="54" t="s">
        <v>563</v>
      </c>
      <c r="E920" s="55">
        <v>16280</v>
      </c>
      <c r="F920" s="55">
        <v>26100</v>
      </c>
      <c r="G920" s="55">
        <v>-6120</v>
      </c>
      <c r="H920" s="55" t="s">
        <v>574</v>
      </c>
      <c r="I920" s="55">
        <v>-221.69999999999993</v>
      </c>
      <c r="J920" s="55">
        <v>810.1</v>
      </c>
      <c r="K920" s="56">
        <v>30500</v>
      </c>
      <c r="L920" s="55">
        <v>0.55000000000000004</v>
      </c>
      <c r="M920" s="55">
        <v>-2.1500000000000004</v>
      </c>
      <c r="N920" s="55" t="s">
        <v>576</v>
      </c>
      <c r="O920" s="55">
        <v>-11400</v>
      </c>
      <c r="P920" s="55">
        <v>402940</v>
      </c>
      <c r="Q920" s="55">
        <v>261340</v>
      </c>
      <c r="R920" s="57" t="s">
        <v>563</v>
      </c>
      <c r="S920" s="58" t="s">
        <v>562</v>
      </c>
      <c r="T920" s="51">
        <v>31328.05</v>
      </c>
    </row>
    <row r="921" spans="1:20" x14ac:dyDescent="0.25">
      <c r="A921" s="51" t="str">
        <f>(COUNTIF($K$2:K921,K921))&amp;K921</f>
        <v>4530600</v>
      </c>
      <c r="B921" s="52" t="s">
        <v>607</v>
      </c>
      <c r="C921" s="53" t="s">
        <v>562</v>
      </c>
      <c r="D921" s="54" t="s">
        <v>563</v>
      </c>
      <c r="E921" s="55">
        <v>1600</v>
      </c>
      <c r="F921" s="55">
        <v>3760</v>
      </c>
      <c r="G921" s="55">
        <v>-780</v>
      </c>
      <c r="H921" s="55" t="s">
        <v>574</v>
      </c>
      <c r="I921" s="55">
        <v>-222.20000000000005</v>
      </c>
      <c r="J921" s="55">
        <v>710.5</v>
      </c>
      <c r="K921" s="56">
        <v>30600</v>
      </c>
      <c r="L921" s="55">
        <v>0.6</v>
      </c>
      <c r="M921" s="55">
        <v>-2.4</v>
      </c>
      <c r="N921" s="55" t="s">
        <v>576</v>
      </c>
      <c r="O921" s="55">
        <v>12220</v>
      </c>
      <c r="P921" s="55">
        <v>211460</v>
      </c>
      <c r="Q921" s="55">
        <v>224920</v>
      </c>
      <c r="R921" s="57" t="s">
        <v>564</v>
      </c>
      <c r="S921" s="58" t="s">
        <v>566</v>
      </c>
      <c r="T921" s="51">
        <v>31328.05</v>
      </c>
    </row>
    <row r="922" spans="1:20" x14ac:dyDescent="0.25">
      <c r="A922" s="51" t="str">
        <f>(COUNTIF($K$2:K922,K922))&amp;K922</f>
        <v>5430700</v>
      </c>
      <c r="B922" s="52" t="s">
        <v>607</v>
      </c>
      <c r="C922" s="53" t="s">
        <v>562</v>
      </c>
      <c r="D922" s="54" t="s">
        <v>563</v>
      </c>
      <c r="E922" s="55">
        <v>8540</v>
      </c>
      <c r="F922" s="55">
        <v>10540</v>
      </c>
      <c r="G922" s="55">
        <v>-1280</v>
      </c>
      <c r="H922" s="55" t="s">
        <v>574</v>
      </c>
      <c r="I922" s="55">
        <v>-224</v>
      </c>
      <c r="J922" s="55">
        <v>612</v>
      </c>
      <c r="K922" s="56">
        <v>30700</v>
      </c>
      <c r="L922" s="55">
        <v>0.85</v>
      </c>
      <c r="M922" s="55">
        <v>-2.75</v>
      </c>
      <c r="N922" s="55" t="s">
        <v>576</v>
      </c>
      <c r="O922" s="55">
        <v>80660</v>
      </c>
      <c r="P922" s="55">
        <v>270860</v>
      </c>
      <c r="Q922" s="55">
        <v>496860</v>
      </c>
      <c r="R922" s="57" t="s">
        <v>564</v>
      </c>
      <c r="S922" s="58" t="s">
        <v>566</v>
      </c>
      <c r="T922" s="51">
        <v>31328.05</v>
      </c>
    </row>
    <row r="923" spans="1:20" x14ac:dyDescent="0.25">
      <c r="A923" s="51" t="str">
        <f>(COUNTIF($K$2:K923,K923))&amp;K923</f>
        <v>5430800</v>
      </c>
      <c r="B923" s="52" t="s">
        <v>607</v>
      </c>
      <c r="C923" s="53" t="s">
        <v>566</v>
      </c>
      <c r="D923" s="54" t="s">
        <v>564</v>
      </c>
      <c r="E923" s="55">
        <v>7040</v>
      </c>
      <c r="F923" s="55">
        <v>7760</v>
      </c>
      <c r="G923" s="55">
        <v>260</v>
      </c>
      <c r="H923" s="55" t="s">
        <v>574</v>
      </c>
      <c r="I923" s="55">
        <v>-223</v>
      </c>
      <c r="J923" s="55">
        <v>512.6</v>
      </c>
      <c r="K923" s="56">
        <v>30800</v>
      </c>
      <c r="L923" s="55">
        <v>1.25</v>
      </c>
      <c r="M923" s="55">
        <v>-2.8499999999999996</v>
      </c>
      <c r="N923" s="55" t="s">
        <v>576</v>
      </c>
      <c r="O923" s="55">
        <v>70600</v>
      </c>
      <c r="P923" s="55">
        <v>438000</v>
      </c>
      <c r="Q923" s="55">
        <v>1155880</v>
      </c>
      <c r="R923" s="57" t="s">
        <v>564</v>
      </c>
      <c r="S923" s="58" t="s">
        <v>566</v>
      </c>
      <c r="T923" s="51">
        <v>31328.05</v>
      </c>
    </row>
    <row r="924" spans="1:20" x14ac:dyDescent="0.25">
      <c r="A924" s="51" t="str">
        <f>(COUNTIF($K$2:K924,K924))&amp;K924</f>
        <v>5430900</v>
      </c>
      <c r="B924" s="52" t="s">
        <v>607</v>
      </c>
      <c r="C924" s="53" t="s">
        <v>566</v>
      </c>
      <c r="D924" s="54" t="s">
        <v>564</v>
      </c>
      <c r="E924" s="55">
        <v>9940</v>
      </c>
      <c r="F924" s="55">
        <v>7820</v>
      </c>
      <c r="G924" s="55">
        <v>1580</v>
      </c>
      <c r="H924" s="55" t="s">
        <v>574</v>
      </c>
      <c r="I924" s="55">
        <v>-224.34999999999997</v>
      </c>
      <c r="J924" s="55">
        <v>409.2</v>
      </c>
      <c r="K924" s="56">
        <v>30900</v>
      </c>
      <c r="L924" s="55">
        <v>2.25</v>
      </c>
      <c r="M924" s="55">
        <v>-3.25</v>
      </c>
      <c r="N924" s="55" t="s">
        <v>576</v>
      </c>
      <c r="O924" s="55">
        <v>223080</v>
      </c>
      <c r="P924" s="55">
        <v>588960</v>
      </c>
      <c r="Q924" s="55">
        <v>2481240</v>
      </c>
      <c r="R924" s="57" t="s">
        <v>564</v>
      </c>
      <c r="S924" s="58" t="s">
        <v>566</v>
      </c>
      <c r="T924" s="51">
        <v>31328.05</v>
      </c>
    </row>
    <row r="925" spans="1:20" x14ac:dyDescent="0.25">
      <c r="A925" s="51" t="str">
        <f>(COUNTIF($K$2:K925,K925))&amp;K925</f>
        <v>5431000</v>
      </c>
      <c r="B925" s="52" t="s">
        <v>607</v>
      </c>
      <c r="C925" s="53" t="s">
        <v>566</v>
      </c>
      <c r="D925" s="54" t="s">
        <v>564</v>
      </c>
      <c r="E925" s="55">
        <v>231820</v>
      </c>
      <c r="F925" s="55">
        <v>107480</v>
      </c>
      <c r="G925" s="55">
        <v>19260</v>
      </c>
      <c r="H925" s="55" t="s">
        <v>574</v>
      </c>
      <c r="I925" s="55">
        <v>-232.75</v>
      </c>
      <c r="J925" s="55">
        <v>312.10000000000002</v>
      </c>
      <c r="K925" s="56">
        <v>31000</v>
      </c>
      <c r="L925" s="55">
        <v>4.8</v>
      </c>
      <c r="M925" s="55">
        <v>-2.6000000000000005</v>
      </c>
      <c r="N925" s="55" t="s">
        <v>576</v>
      </c>
      <c r="O925" s="55">
        <v>1042560</v>
      </c>
      <c r="P925" s="55">
        <v>1853160</v>
      </c>
      <c r="Q925" s="55">
        <v>7437620</v>
      </c>
      <c r="R925" s="57" t="s">
        <v>564</v>
      </c>
      <c r="S925" s="58" t="s">
        <v>566</v>
      </c>
      <c r="T925" s="51">
        <v>31328.05</v>
      </c>
    </row>
    <row r="926" spans="1:20" x14ac:dyDescent="0.25">
      <c r="A926" s="51" t="str">
        <f>(COUNTIF($K$2:K926,K926))&amp;K926</f>
        <v>5431100</v>
      </c>
      <c r="B926" s="52" t="s">
        <v>607</v>
      </c>
      <c r="C926" s="53" t="s">
        <v>566</v>
      </c>
      <c r="D926" s="54" t="s">
        <v>564</v>
      </c>
      <c r="E926" s="55">
        <v>308760</v>
      </c>
      <c r="F926" s="55">
        <v>80700</v>
      </c>
      <c r="G926" s="55">
        <v>50040</v>
      </c>
      <c r="H926" s="55" t="s">
        <v>574</v>
      </c>
      <c r="I926" s="55">
        <v>-225.7</v>
      </c>
      <c r="J926" s="55">
        <v>219.45</v>
      </c>
      <c r="K926" s="56">
        <v>31100</v>
      </c>
      <c r="L926" s="55">
        <v>11.3</v>
      </c>
      <c r="M926" s="55">
        <v>1.1500000000000004</v>
      </c>
      <c r="N926" s="55" t="s">
        <v>576</v>
      </c>
      <c r="O926" s="55">
        <v>1023260</v>
      </c>
      <c r="P926" s="55">
        <v>1541960</v>
      </c>
      <c r="Q926" s="55">
        <v>9287140</v>
      </c>
      <c r="R926" s="57" t="s">
        <v>564</v>
      </c>
      <c r="S926" s="58" t="s">
        <v>565</v>
      </c>
      <c r="T926" s="51">
        <v>31328.05</v>
      </c>
    </row>
    <row r="927" spans="1:20" x14ac:dyDescent="0.25">
      <c r="A927" s="51" t="str">
        <f>(COUNTIF($K$2:K927,K927))&amp;K927</f>
        <v>5431200</v>
      </c>
      <c r="B927" s="52" t="s">
        <v>607</v>
      </c>
      <c r="C927" s="53" t="s">
        <v>566</v>
      </c>
      <c r="D927" s="54" t="s">
        <v>564</v>
      </c>
      <c r="E927" s="55">
        <v>2063620</v>
      </c>
      <c r="F927" s="55">
        <v>340780</v>
      </c>
      <c r="G927" s="55">
        <v>209060</v>
      </c>
      <c r="H927" s="55" t="s">
        <v>576</v>
      </c>
      <c r="I927" s="55">
        <v>-214.1</v>
      </c>
      <c r="J927" s="55">
        <v>136.35</v>
      </c>
      <c r="K927" s="56">
        <v>31200</v>
      </c>
      <c r="L927" s="55">
        <v>29.45</v>
      </c>
      <c r="M927" s="55">
        <v>12.05</v>
      </c>
      <c r="N927" s="55" t="s">
        <v>576</v>
      </c>
      <c r="O927" s="55">
        <v>941580</v>
      </c>
      <c r="P927" s="55">
        <v>1467520</v>
      </c>
      <c r="Q927" s="55">
        <v>12487240</v>
      </c>
      <c r="R927" s="57" t="s">
        <v>564</v>
      </c>
      <c r="S927" s="58" t="s">
        <v>565</v>
      </c>
      <c r="T927" s="51">
        <v>31328.05</v>
      </c>
    </row>
    <row r="928" spans="1:20" ht="15.75" x14ac:dyDescent="0.25">
      <c r="A928" s="51" t="str">
        <f>(COUNTIF($K$2:K928,K928))&amp;K928</f>
        <v>5431300</v>
      </c>
      <c r="B928" s="52" t="s">
        <v>607</v>
      </c>
      <c r="C928" s="53" t="s">
        <v>566</v>
      </c>
      <c r="D928" s="54" t="s">
        <v>564</v>
      </c>
      <c r="E928" s="55">
        <v>4822720</v>
      </c>
      <c r="F928" s="55">
        <v>819720</v>
      </c>
      <c r="G928" s="55">
        <v>703780</v>
      </c>
      <c r="H928" s="55" t="s">
        <v>576</v>
      </c>
      <c r="I928" s="55">
        <v>-192.20000000000002</v>
      </c>
      <c r="J928" s="55">
        <v>73.349999999999994</v>
      </c>
      <c r="K928" s="59">
        <v>31300</v>
      </c>
      <c r="L928" s="55">
        <v>66.3</v>
      </c>
      <c r="M928" s="55">
        <v>35.349999999999994</v>
      </c>
      <c r="N928" s="55" t="s">
        <v>576</v>
      </c>
      <c r="O928" s="55">
        <v>462560</v>
      </c>
      <c r="P928" s="55">
        <v>1113060</v>
      </c>
      <c r="Q928" s="55">
        <v>13181640</v>
      </c>
      <c r="R928" s="57" t="s">
        <v>564</v>
      </c>
      <c r="S928" s="58" t="s">
        <v>565</v>
      </c>
      <c r="T928" s="51">
        <v>31328.05</v>
      </c>
    </row>
    <row r="929" spans="1:20" x14ac:dyDescent="0.25">
      <c r="A929" s="51" t="str">
        <f>(COUNTIF($K$2:K929,K929))&amp;K929</f>
        <v>5431400</v>
      </c>
      <c r="B929" s="52" t="s">
        <v>607</v>
      </c>
      <c r="C929" s="53" t="s">
        <v>566</v>
      </c>
      <c r="D929" s="54" t="s">
        <v>564</v>
      </c>
      <c r="E929" s="55">
        <v>10870780</v>
      </c>
      <c r="F929" s="55">
        <v>1557360</v>
      </c>
      <c r="G929" s="55">
        <v>1373060</v>
      </c>
      <c r="H929" s="55" t="s">
        <v>576</v>
      </c>
      <c r="I929" s="55">
        <v>-154.6</v>
      </c>
      <c r="J929" s="55">
        <v>34.4</v>
      </c>
      <c r="K929" s="56">
        <v>31400</v>
      </c>
      <c r="L929" s="55">
        <v>127.85</v>
      </c>
      <c r="M929" s="55">
        <v>73.899999999999991</v>
      </c>
      <c r="N929" s="55" t="s">
        <v>576</v>
      </c>
      <c r="O929" s="55">
        <v>66360</v>
      </c>
      <c r="P929" s="55">
        <v>622580</v>
      </c>
      <c r="Q929" s="55">
        <v>9600620</v>
      </c>
      <c r="R929" s="57" t="s">
        <v>564</v>
      </c>
      <c r="S929" s="58" t="s">
        <v>565</v>
      </c>
      <c r="T929" s="51">
        <v>31328.05</v>
      </c>
    </row>
    <row r="930" spans="1:20" x14ac:dyDescent="0.25">
      <c r="A930" s="51" t="str">
        <f>(COUNTIF($K$2:K930,K930))&amp;K930</f>
        <v>5431500</v>
      </c>
      <c r="B930" s="52" t="s">
        <v>607</v>
      </c>
      <c r="C930" s="53" t="s">
        <v>566</v>
      </c>
      <c r="D930" s="54" t="s">
        <v>564</v>
      </c>
      <c r="E930" s="55">
        <v>15773400</v>
      </c>
      <c r="F930" s="55">
        <v>2887600</v>
      </c>
      <c r="G930" s="55">
        <v>2109060</v>
      </c>
      <c r="H930" s="55" t="s">
        <v>576</v>
      </c>
      <c r="I930" s="55">
        <v>-111.45</v>
      </c>
      <c r="J930" s="55">
        <v>15</v>
      </c>
      <c r="K930" s="56">
        <v>31500</v>
      </c>
      <c r="L930" s="55">
        <v>207.95</v>
      </c>
      <c r="M930" s="55">
        <v>117.79999999999998</v>
      </c>
      <c r="N930" s="55" t="s">
        <v>576</v>
      </c>
      <c r="O930" s="55">
        <v>-188700</v>
      </c>
      <c r="P930" s="55">
        <v>441780</v>
      </c>
      <c r="Q930" s="55">
        <v>5345560</v>
      </c>
      <c r="R930" s="57" t="s">
        <v>563</v>
      </c>
      <c r="S930" s="58" t="s">
        <v>567</v>
      </c>
      <c r="T930" s="51">
        <v>31328.05</v>
      </c>
    </row>
    <row r="931" spans="1:20" x14ac:dyDescent="0.25">
      <c r="A931" s="51" t="str">
        <f>(COUNTIF($K$2:K931,K931))&amp;K931</f>
        <v>5431600</v>
      </c>
      <c r="B931" s="52" t="s">
        <v>607</v>
      </c>
      <c r="C931" s="53" t="s">
        <v>566</v>
      </c>
      <c r="D931" s="54" t="s">
        <v>564</v>
      </c>
      <c r="E931" s="55">
        <v>11739480</v>
      </c>
      <c r="F931" s="55">
        <v>1855880</v>
      </c>
      <c r="G931" s="55">
        <v>1236220</v>
      </c>
      <c r="H931" s="55" t="s">
        <v>576</v>
      </c>
      <c r="I931" s="55">
        <v>-72.400000000000006</v>
      </c>
      <c r="J931" s="55">
        <v>6.05</v>
      </c>
      <c r="K931" s="56">
        <v>31600</v>
      </c>
      <c r="L931" s="55">
        <v>299.7</v>
      </c>
      <c r="M931" s="55">
        <v>157.6</v>
      </c>
      <c r="N931" s="55" t="s">
        <v>576</v>
      </c>
      <c r="O931" s="55">
        <v>10820</v>
      </c>
      <c r="P931" s="55">
        <v>105060</v>
      </c>
      <c r="Q931" s="55">
        <v>1531360</v>
      </c>
      <c r="R931" s="57" t="s">
        <v>564</v>
      </c>
      <c r="S931" s="58" t="s">
        <v>565</v>
      </c>
      <c r="T931" s="51">
        <v>31328.05</v>
      </c>
    </row>
    <row r="932" spans="1:20" x14ac:dyDescent="0.25">
      <c r="A932" s="51" t="str">
        <f>(COUNTIF($K$2:K932,K932))&amp;K932</f>
        <v>5431700</v>
      </c>
      <c r="B932" s="52" t="s">
        <v>607</v>
      </c>
      <c r="C932" s="53" t="s">
        <v>566</v>
      </c>
      <c r="D932" s="54" t="s">
        <v>564</v>
      </c>
      <c r="E932" s="55">
        <v>9460020</v>
      </c>
      <c r="F932" s="55">
        <v>1372520</v>
      </c>
      <c r="G932" s="55">
        <v>737260</v>
      </c>
      <c r="H932" s="55" t="s">
        <v>576</v>
      </c>
      <c r="I932" s="55">
        <v>-41.7</v>
      </c>
      <c r="J932" s="55">
        <v>2.75</v>
      </c>
      <c r="K932" s="56">
        <v>31700</v>
      </c>
      <c r="L932" s="55">
        <v>396</v>
      </c>
      <c r="M932" s="55">
        <v>186.6</v>
      </c>
      <c r="N932" s="55" t="s">
        <v>576</v>
      </c>
      <c r="O932" s="55">
        <v>-10840</v>
      </c>
      <c r="P932" s="55">
        <v>38920</v>
      </c>
      <c r="Q932" s="55">
        <v>623720</v>
      </c>
      <c r="R932" s="57" t="s">
        <v>563</v>
      </c>
      <c r="S932" s="58" t="s">
        <v>567</v>
      </c>
      <c r="T932" s="51">
        <v>31328.05</v>
      </c>
    </row>
    <row r="933" spans="1:20" x14ac:dyDescent="0.25">
      <c r="A933" s="51" t="str">
        <f>(COUNTIF($K$2:K933,K933))&amp;K933</f>
        <v>5431800</v>
      </c>
      <c r="B933" s="52" t="s">
        <v>607</v>
      </c>
      <c r="C933" s="53" t="s">
        <v>566</v>
      </c>
      <c r="D933" s="54" t="s">
        <v>564</v>
      </c>
      <c r="E933" s="55">
        <v>6657400</v>
      </c>
      <c r="F933" s="55">
        <v>1023980</v>
      </c>
      <c r="G933" s="55">
        <v>438600</v>
      </c>
      <c r="H933" s="55" t="s">
        <v>576</v>
      </c>
      <c r="I933" s="55">
        <v>-22.15</v>
      </c>
      <c r="J933" s="55">
        <v>1.35</v>
      </c>
      <c r="K933" s="56">
        <v>31800</v>
      </c>
      <c r="L933" s="55">
        <v>493.35</v>
      </c>
      <c r="M933" s="55">
        <v>208</v>
      </c>
      <c r="N933" s="55" t="s">
        <v>576</v>
      </c>
      <c r="O933" s="55">
        <v>1880</v>
      </c>
      <c r="P933" s="55">
        <v>16860</v>
      </c>
      <c r="Q933" s="55">
        <v>233580</v>
      </c>
      <c r="R933" s="57" t="s">
        <v>564</v>
      </c>
      <c r="S933" s="58" t="s">
        <v>565</v>
      </c>
      <c r="T933" s="51">
        <v>31328.05</v>
      </c>
    </row>
    <row r="934" spans="1:20" x14ac:dyDescent="0.25">
      <c r="A934" s="51" t="str">
        <f>(COUNTIF($K$2:K934,K934))&amp;K934</f>
        <v>5431900</v>
      </c>
      <c r="B934" s="52" t="s">
        <v>607</v>
      </c>
      <c r="C934" s="53" t="s">
        <v>566</v>
      </c>
      <c r="D934" s="54" t="s">
        <v>564</v>
      </c>
      <c r="E934" s="55">
        <v>19763480</v>
      </c>
      <c r="F934" s="55">
        <v>628500</v>
      </c>
      <c r="G934" s="55">
        <v>116700</v>
      </c>
      <c r="H934" s="55" t="s">
        <v>576</v>
      </c>
      <c r="I934" s="55">
        <v>-10.25</v>
      </c>
      <c r="J934" s="55">
        <v>0.85</v>
      </c>
      <c r="K934" s="56">
        <v>31900</v>
      </c>
      <c r="L934" s="55">
        <v>595.20000000000005</v>
      </c>
      <c r="M934" s="55">
        <v>218.50000000000006</v>
      </c>
      <c r="N934" s="55" t="s">
        <v>576</v>
      </c>
      <c r="O934" s="55">
        <v>1360</v>
      </c>
      <c r="P934" s="55">
        <v>6900</v>
      </c>
      <c r="Q934" s="55">
        <v>49020</v>
      </c>
      <c r="R934" s="57" t="s">
        <v>564</v>
      </c>
      <c r="S934" s="58" t="s">
        <v>565</v>
      </c>
      <c r="T934" s="51">
        <v>31328.05</v>
      </c>
    </row>
    <row r="935" spans="1:20" x14ac:dyDescent="0.25">
      <c r="A935" s="51" t="str">
        <f>(COUNTIF($K$2:K935,K935))&amp;K935</f>
        <v>5432000</v>
      </c>
      <c r="B935" s="52" t="s">
        <v>607</v>
      </c>
      <c r="C935" s="53" t="s">
        <v>566</v>
      </c>
      <c r="D935" s="54" t="s">
        <v>564</v>
      </c>
      <c r="E935" s="55">
        <v>5542020</v>
      </c>
      <c r="F935" s="55">
        <v>730800</v>
      </c>
      <c r="G935" s="55">
        <v>119140</v>
      </c>
      <c r="H935" s="55" t="s">
        <v>576</v>
      </c>
      <c r="I935" s="55">
        <v>-5.45</v>
      </c>
      <c r="J935" s="55">
        <v>0.55000000000000004</v>
      </c>
      <c r="K935" s="56">
        <v>32000</v>
      </c>
      <c r="L935" s="55">
        <v>692.85</v>
      </c>
      <c r="M935" s="55">
        <v>222.35000000000002</v>
      </c>
      <c r="N935" s="55" t="s">
        <v>576</v>
      </c>
      <c r="O935" s="55">
        <v>-1020</v>
      </c>
      <c r="P935" s="55">
        <v>11100</v>
      </c>
      <c r="Q935" s="55">
        <v>31260</v>
      </c>
      <c r="R935" s="57" t="s">
        <v>563</v>
      </c>
      <c r="S935" s="58" t="s">
        <v>567</v>
      </c>
      <c r="T935" s="51">
        <v>31328.05</v>
      </c>
    </row>
    <row r="936" spans="1:20" x14ac:dyDescent="0.25">
      <c r="A936" s="51" t="str">
        <f>(COUNTIF($K$2:K936,K936))&amp;K936</f>
        <v>55PCR</v>
      </c>
      <c r="B936" s="52" t="s">
        <v>607</v>
      </c>
      <c r="C936" s="60">
        <v>0.79669147478907276</v>
      </c>
      <c r="E936" s="61"/>
      <c r="F936" s="62">
        <v>11461300</v>
      </c>
      <c r="G936" s="63"/>
      <c r="H936" s="64"/>
      <c r="I936" s="64"/>
      <c r="J936" s="64"/>
      <c r="K936" s="65" t="s">
        <v>555</v>
      </c>
      <c r="L936" s="64"/>
      <c r="M936" s="64"/>
      <c r="N936" s="64"/>
      <c r="P936" s="63">
        <v>9131120</v>
      </c>
      <c r="Q936" s="61"/>
      <c r="R936" s="64"/>
      <c r="S936" s="64"/>
    </row>
    <row r="937" spans="1:20" x14ac:dyDescent="0.25">
      <c r="A937" s="51" t="str">
        <f>(COUNTIF($K$2:K937,K937))&amp;K937</f>
        <v>2630500</v>
      </c>
      <c r="B937" s="52" t="s">
        <v>607</v>
      </c>
      <c r="C937" s="53" t="s">
        <v>562</v>
      </c>
      <c r="D937" s="54" t="s">
        <v>563</v>
      </c>
      <c r="E937" s="55">
        <v>16280</v>
      </c>
      <c r="F937" s="55">
        <v>26100</v>
      </c>
      <c r="G937" s="55">
        <v>-6120</v>
      </c>
      <c r="H937" s="55" t="s">
        <v>574</v>
      </c>
      <c r="I937" s="55">
        <v>-221.69999999999993</v>
      </c>
      <c r="J937" s="55">
        <v>810.1</v>
      </c>
      <c r="K937" s="56">
        <v>30500</v>
      </c>
      <c r="L937" s="55">
        <v>0.55000000000000004</v>
      </c>
      <c r="M937" s="55">
        <v>-2.1500000000000004</v>
      </c>
      <c r="N937" s="55" t="s">
        <v>576</v>
      </c>
      <c r="O937" s="55">
        <v>-11400</v>
      </c>
      <c r="P937" s="55">
        <v>402940</v>
      </c>
      <c r="Q937" s="55">
        <v>261340</v>
      </c>
      <c r="R937" s="57" t="s">
        <v>563</v>
      </c>
      <c r="S937" s="58" t="s">
        <v>562</v>
      </c>
      <c r="T937" s="51">
        <v>31328.05</v>
      </c>
    </row>
    <row r="938" spans="1:20" x14ac:dyDescent="0.25">
      <c r="A938" s="51" t="str">
        <f>(COUNTIF($K$2:K938,K938))&amp;K938</f>
        <v>4630600</v>
      </c>
      <c r="B938" s="52" t="s">
        <v>607</v>
      </c>
      <c r="C938" s="53" t="s">
        <v>562</v>
      </c>
      <c r="D938" s="54" t="s">
        <v>563</v>
      </c>
      <c r="E938" s="55">
        <v>1600</v>
      </c>
      <c r="F938" s="55">
        <v>3760</v>
      </c>
      <c r="G938" s="55">
        <v>-780</v>
      </c>
      <c r="H938" s="55" t="s">
        <v>574</v>
      </c>
      <c r="I938" s="55">
        <v>-222.20000000000005</v>
      </c>
      <c r="J938" s="55">
        <v>710.5</v>
      </c>
      <c r="K938" s="56">
        <v>30600</v>
      </c>
      <c r="L938" s="55">
        <v>0.6</v>
      </c>
      <c r="M938" s="55">
        <v>-2.4</v>
      </c>
      <c r="N938" s="55" t="s">
        <v>576</v>
      </c>
      <c r="O938" s="55">
        <v>12220</v>
      </c>
      <c r="P938" s="55">
        <v>211460</v>
      </c>
      <c r="Q938" s="55">
        <v>224920</v>
      </c>
      <c r="R938" s="57" t="s">
        <v>564</v>
      </c>
      <c r="S938" s="58" t="s">
        <v>566</v>
      </c>
      <c r="T938" s="51">
        <v>31328.05</v>
      </c>
    </row>
    <row r="939" spans="1:20" x14ac:dyDescent="0.25">
      <c r="A939" s="51" t="str">
        <f>(COUNTIF($K$2:K939,K939))&amp;K939</f>
        <v>5530700</v>
      </c>
      <c r="B939" s="52" t="s">
        <v>607</v>
      </c>
      <c r="C939" s="53" t="s">
        <v>562</v>
      </c>
      <c r="D939" s="54" t="s">
        <v>563</v>
      </c>
      <c r="E939" s="55">
        <v>8540</v>
      </c>
      <c r="F939" s="55">
        <v>10540</v>
      </c>
      <c r="G939" s="55">
        <v>-1280</v>
      </c>
      <c r="H939" s="55" t="s">
        <v>574</v>
      </c>
      <c r="I939" s="55">
        <v>-224</v>
      </c>
      <c r="J939" s="55">
        <v>612</v>
      </c>
      <c r="K939" s="56">
        <v>30700</v>
      </c>
      <c r="L939" s="55">
        <v>0.85</v>
      </c>
      <c r="M939" s="55">
        <v>-2.75</v>
      </c>
      <c r="N939" s="55" t="s">
        <v>576</v>
      </c>
      <c r="O939" s="55">
        <v>80660</v>
      </c>
      <c r="P939" s="55">
        <v>270860</v>
      </c>
      <c r="Q939" s="55">
        <v>496860</v>
      </c>
      <c r="R939" s="57" t="s">
        <v>564</v>
      </c>
      <c r="S939" s="58" t="s">
        <v>566</v>
      </c>
      <c r="T939" s="51">
        <v>31328.05</v>
      </c>
    </row>
    <row r="940" spans="1:20" x14ac:dyDescent="0.25">
      <c r="A940" s="51" t="str">
        <f>(COUNTIF($K$2:K940,K940))&amp;K940</f>
        <v>5530800</v>
      </c>
      <c r="B940" s="52" t="s">
        <v>607</v>
      </c>
      <c r="C940" s="53" t="s">
        <v>566</v>
      </c>
      <c r="D940" s="54" t="s">
        <v>564</v>
      </c>
      <c r="E940" s="55">
        <v>7040</v>
      </c>
      <c r="F940" s="55">
        <v>7760</v>
      </c>
      <c r="G940" s="55">
        <v>260</v>
      </c>
      <c r="H940" s="55" t="s">
        <v>574</v>
      </c>
      <c r="I940" s="55">
        <v>-223</v>
      </c>
      <c r="J940" s="55">
        <v>512.6</v>
      </c>
      <c r="K940" s="56">
        <v>30800</v>
      </c>
      <c r="L940" s="55">
        <v>1.25</v>
      </c>
      <c r="M940" s="55">
        <v>-2.8499999999999996</v>
      </c>
      <c r="N940" s="55" t="s">
        <v>576</v>
      </c>
      <c r="O940" s="55">
        <v>70600</v>
      </c>
      <c r="P940" s="55">
        <v>438000</v>
      </c>
      <c r="Q940" s="55">
        <v>1155880</v>
      </c>
      <c r="R940" s="57" t="s">
        <v>564</v>
      </c>
      <c r="S940" s="58" t="s">
        <v>566</v>
      </c>
      <c r="T940" s="51">
        <v>31328.05</v>
      </c>
    </row>
    <row r="941" spans="1:20" x14ac:dyDescent="0.25">
      <c r="A941" s="51" t="str">
        <f>(COUNTIF($K$2:K941,K941))&amp;K941</f>
        <v>5530900</v>
      </c>
      <c r="B941" s="52" t="s">
        <v>607</v>
      </c>
      <c r="C941" s="53" t="s">
        <v>566</v>
      </c>
      <c r="D941" s="54" t="s">
        <v>564</v>
      </c>
      <c r="E941" s="55">
        <v>9940</v>
      </c>
      <c r="F941" s="55">
        <v>7820</v>
      </c>
      <c r="G941" s="55">
        <v>1580</v>
      </c>
      <c r="H941" s="55" t="s">
        <v>574</v>
      </c>
      <c r="I941" s="55">
        <v>-224.34999999999997</v>
      </c>
      <c r="J941" s="55">
        <v>409.2</v>
      </c>
      <c r="K941" s="56">
        <v>30900</v>
      </c>
      <c r="L941" s="55">
        <v>2.25</v>
      </c>
      <c r="M941" s="55">
        <v>-3.25</v>
      </c>
      <c r="N941" s="55" t="s">
        <v>576</v>
      </c>
      <c r="O941" s="55">
        <v>223080</v>
      </c>
      <c r="P941" s="55">
        <v>588960</v>
      </c>
      <c r="Q941" s="55">
        <v>2481240</v>
      </c>
      <c r="R941" s="57" t="s">
        <v>564</v>
      </c>
      <c r="S941" s="58" t="s">
        <v>566</v>
      </c>
      <c r="T941" s="51">
        <v>31328.05</v>
      </c>
    </row>
    <row r="942" spans="1:20" x14ac:dyDescent="0.25">
      <c r="A942" s="51" t="str">
        <f>(COUNTIF($K$2:K942,K942))&amp;K942</f>
        <v>5531000</v>
      </c>
      <c r="B942" s="52" t="s">
        <v>607</v>
      </c>
      <c r="C942" s="53" t="s">
        <v>566</v>
      </c>
      <c r="D942" s="54" t="s">
        <v>564</v>
      </c>
      <c r="E942" s="55">
        <v>231820</v>
      </c>
      <c r="F942" s="55">
        <v>107480</v>
      </c>
      <c r="G942" s="55">
        <v>19260</v>
      </c>
      <c r="H942" s="55" t="s">
        <v>574</v>
      </c>
      <c r="I942" s="55">
        <v>-232.75</v>
      </c>
      <c r="J942" s="55">
        <v>312.10000000000002</v>
      </c>
      <c r="K942" s="56">
        <v>31000</v>
      </c>
      <c r="L942" s="55">
        <v>4.8</v>
      </c>
      <c r="M942" s="55">
        <v>-2.6000000000000005</v>
      </c>
      <c r="N942" s="55" t="s">
        <v>576</v>
      </c>
      <c r="O942" s="55">
        <v>1042560</v>
      </c>
      <c r="P942" s="55">
        <v>1853160</v>
      </c>
      <c r="Q942" s="55">
        <v>7437620</v>
      </c>
      <c r="R942" s="57" t="s">
        <v>564</v>
      </c>
      <c r="S942" s="58" t="s">
        <v>566</v>
      </c>
      <c r="T942" s="51">
        <v>31328.05</v>
      </c>
    </row>
    <row r="943" spans="1:20" x14ac:dyDescent="0.25">
      <c r="A943" s="51" t="str">
        <f>(COUNTIF($K$2:K943,K943))&amp;K943</f>
        <v>5531100</v>
      </c>
      <c r="B943" s="52" t="s">
        <v>607</v>
      </c>
      <c r="C943" s="53" t="s">
        <v>566</v>
      </c>
      <c r="D943" s="54" t="s">
        <v>564</v>
      </c>
      <c r="E943" s="55">
        <v>308760</v>
      </c>
      <c r="F943" s="55">
        <v>80700</v>
      </c>
      <c r="G943" s="55">
        <v>50040</v>
      </c>
      <c r="H943" s="55" t="s">
        <v>574</v>
      </c>
      <c r="I943" s="55">
        <v>-225.7</v>
      </c>
      <c r="J943" s="55">
        <v>219.45</v>
      </c>
      <c r="K943" s="56">
        <v>31100</v>
      </c>
      <c r="L943" s="55">
        <v>11.3</v>
      </c>
      <c r="M943" s="55">
        <v>1.1500000000000004</v>
      </c>
      <c r="N943" s="55" t="s">
        <v>576</v>
      </c>
      <c r="O943" s="55">
        <v>1023260</v>
      </c>
      <c r="P943" s="55">
        <v>1541960</v>
      </c>
      <c r="Q943" s="55">
        <v>9287140</v>
      </c>
      <c r="R943" s="57" t="s">
        <v>564</v>
      </c>
      <c r="S943" s="58" t="s">
        <v>565</v>
      </c>
      <c r="T943" s="51">
        <v>31328.05</v>
      </c>
    </row>
    <row r="944" spans="1:20" x14ac:dyDescent="0.25">
      <c r="A944" s="51" t="str">
        <f>(COUNTIF($K$2:K944,K944))&amp;K944</f>
        <v>5531200</v>
      </c>
      <c r="B944" s="52" t="s">
        <v>607</v>
      </c>
      <c r="C944" s="53" t="s">
        <v>566</v>
      </c>
      <c r="D944" s="54" t="s">
        <v>564</v>
      </c>
      <c r="E944" s="55">
        <v>2063620</v>
      </c>
      <c r="F944" s="55">
        <v>340780</v>
      </c>
      <c r="G944" s="55">
        <v>209060</v>
      </c>
      <c r="H944" s="55" t="s">
        <v>576</v>
      </c>
      <c r="I944" s="55">
        <v>-214.1</v>
      </c>
      <c r="J944" s="55">
        <v>136.35</v>
      </c>
      <c r="K944" s="56">
        <v>31200</v>
      </c>
      <c r="L944" s="55">
        <v>29.45</v>
      </c>
      <c r="M944" s="55">
        <v>12.05</v>
      </c>
      <c r="N944" s="55" t="s">
        <v>576</v>
      </c>
      <c r="O944" s="55">
        <v>941580</v>
      </c>
      <c r="P944" s="55">
        <v>1467520</v>
      </c>
      <c r="Q944" s="55">
        <v>12487240</v>
      </c>
      <c r="R944" s="57" t="s">
        <v>564</v>
      </c>
      <c r="S944" s="58" t="s">
        <v>565</v>
      </c>
      <c r="T944" s="51">
        <v>31328.05</v>
      </c>
    </row>
    <row r="945" spans="1:20" ht="15.75" x14ac:dyDescent="0.25">
      <c r="A945" s="51" t="str">
        <f>(COUNTIF($K$2:K945,K945))&amp;K945</f>
        <v>5531300</v>
      </c>
      <c r="B945" s="52" t="s">
        <v>607</v>
      </c>
      <c r="C945" s="53" t="s">
        <v>566</v>
      </c>
      <c r="D945" s="54" t="s">
        <v>564</v>
      </c>
      <c r="E945" s="55">
        <v>4822720</v>
      </c>
      <c r="F945" s="55">
        <v>819720</v>
      </c>
      <c r="G945" s="55">
        <v>703780</v>
      </c>
      <c r="H945" s="55" t="s">
        <v>576</v>
      </c>
      <c r="I945" s="55">
        <v>-192.20000000000002</v>
      </c>
      <c r="J945" s="55">
        <v>73.349999999999994</v>
      </c>
      <c r="K945" s="59">
        <v>31300</v>
      </c>
      <c r="L945" s="55">
        <v>66.3</v>
      </c>
      <c r="M945" s="55">
        <v>35.349999999999994</v>
      </c>
      <c r="N945" s="55" t="s">
        <v>576</v>
      </c>
      <c r="O945" s="55">
        <v>462560</v>
      </c>
      <c r="P945" s="55">
        <v>1113060</v>
      </c>
      <c r="Q945" s="55">
        <v>13181640</v>
      </c>
      <c r="R945" s="57" t="s">
        <v>564</v>
      </c>
      <c r="S945" s="58" t="s">
        <v>565</v>
      </c>
      <c r="T945" s="51">
        <v>31328.05</v>
      </c>
    </row>
    <row r="946" spans="1:20" x14ac:dyDescent="0.25">
      <c r="A946" s="51" t="str">
        <f>(COUNTIF($K$2:K946,K946))&amp;K946</f>
        <v>5531400</v>
      </c>
      <c r="B946" s="52" t="s">
        <v>607</v>
      </c>
      <c r="C946" s="53" t="s">
        <v>566</v>
      </c>
      <c r="D946" s="54" t="s">
        <v>564</v>
      </c>
      <c r="E946" s="55">
        <v>10870780</v>
      </c>
      <c r="F946" s="55">
        <v>1557360</v>
      </c>
      <c r="G946" s="55">
        <v>1373060</v>
      </c>
      <c r="H946" s="55" t="s">
        <v>576</v>
      </c>
      <c r="I946" s="55">
        <v>-154.6</v>
      </c>
      <c r="J946" s="55">
        <v>34.4</v>
      </c>
      <c r="K946" s="56">
        <v>31400</v>
      </c>
      <c r="L946" s="55">
        <v>127.85</v>
      </c>
      <c r="M946" s="55">
        <v>73.899999999999991</v>
      </c>
      <c r="N946" s="55" t="s">
        <v>576</v>
      </c>
      <c r="O946" s="55">
        <v>66360</v>
      </c>
      <c r="P946" s="55">
        <v>622580</v>
      </c>
      <c r="Q946" s="55">
        <v>9600620</v>
      </c>
      <c r="R946" s="57" t="s">
        <v>564</v>
      </c>
      <c r="S946" s="58" t="s">
        <v>565</v>
      </c>
      <c r="T946" s="51">
        <v>31328.05</v>
      </c>
    </row>
    <row r="947" spans="1:20" x14ac:dyDescent="0.25">
      <c r="A947" s="51" t="str">
        <f>(COUNTIF($K$2:K947,K947))&amp;K947</f>
        <v>5531500</v>
      </c>
      <c r="B947" s="52" t="s">
        <v>607</v>
      </c>
      <c r="C947" s="53" t="s">
        <v>566</v>
      </c>
      <c r="D947" s="54" t="s">
        <v>564</v>
      </c>
      <c r="E947" s="55">
        <v>15773400</v>
      </c>
      <c r="F947" s="55">
        <v>2887600</v>
      </c>
      <c r="G947" s="55">
        <v>2109060</v>
      </c>
      <c r="H947" s="55" t="s">
        <v>576</v>
      </c>
      <c r="I947" s="55">
        <v>-111.45</v>
      </c>
      <c r="J947" s="55">
        <v>15</v>
      </c>
      <c r="K947" s="56">
        <v>31500</v>
      </c>
      <c r="L947" s="55">
        <v>207.95</v>
      </c>
      <c r="M947" s="55">
        <v>117.79999999999998</v>
      </c>
      <c r="N947" s="55" t="s">
        <v>576</v>
      </c>
      <c r="O947" s="55">
        <v>-188700</v>
      </c>
      <c r="P947" s="55">
        <v>441780</v>
      </c>
      <c r="Q947" s="55">
        <v>5345560</v>
      </c>
      <c r="R947" s="57" t="s">
        <v>563</v>
      </c>
      <c r="S947" s="58" t="s">
        <v>567</v>
      </c>
      <c r="T947" s="51">
        <v>31328.05</v>
      </c>
    </row>
    <row r="948" spans="1:20" x14ac:dyDescent="0.25">
      <c r="A948" s="51" t="str">
        <f>(COUNTIF($K$2:K948,K948))&amp;K948</f>
        <v>5531600</v>
      </c>
      <c r="B948" s="52" t="s">
        <v>607</v>
      </c>
      <c r="C948" s="53" t="s">
        <v>566</v>
      </c>
      <c r="D948" s="54" t="s">
        <v>564</v>
      </c>
      <c r="E948" s="55">
        <v>11739480</v>
      </c>
      <c r="F948" s="55">
        <v>1855880</v>
      </c>
      <c r="G948" s="55">
        <v>1236220</v>
      </c>
      <c r="H948" s="55" t="s">
        <v>576</v>
      </c>
      <c r="I948" s="55">
        <v>-72.400000000000006</v>
      </c>
      <c r="J948" s="55">
        <v>6.05</v>
      </c>
      <c r="K948" s="56">
        <v>31600</v>
      </c>
      <c r="L948" s="55">
        <v>299.7</v>
      </c>
      <c r="M948" s="55">
        <v>157.6</v>
      </c>
      <c r="N948" s="55" t="s">
        <v>576</v>
      </c>
      <c r="O948" s="55">
        <v>10820</v>
      </c>
      <c r="P948" s="55">
        <v>105060</v>
      </c>
      <c r="Q948" s="55">
        <v>1531360</v>
      </c>
      <c r="R948" s="57" t="s">
        <v>564</v>
      </c>
      <c r="S948" s="58" t="s">
        <v>565</v>
      </c>
      <c r="T948" s="51">
        <v>31328.05</v>
      </c>
    </row>
    <row r="949" spans="1:20" x14ac:dyDescent="0.25">
      <c r="A949" s="51" t="str">
        <f>(COUNTIF($K$2:K949,K949))&amp;K949</f>
        <v>5531700</v>
      </c>
      <c r="B949" s="52" t="s">
        <v>607</v>
      </c>
      <c r="C949" s="53" t="s">
        <v>566</v>
      </c>
      <c r="D949" s="54" t="s">
        <v>564</v>
      </c>
      <c r="E949" s="55">
        <v>9460020</v>
      </c>
      <c r="F949" s="55">
        <v>1372520</v>
      </c>
      <c r="G949" s="55">
        <v>737260</v>
      </c>
      <c r="H949" s="55" t="s">
        <v>576</v>
      </c>
      <c r="I949" s="55">
        <v>-41.7</v>
      </c>
      <c r="J949" s="55">
        <v>2.75</v>
      </c>
      <c r="K949" s="56">
        <v>31700</v>
      </c>
      <c r="L949" s="55">
        <v>396</v>
      </c>
      <c r="M949" s="55">
        <v>186.6</v>
      </c>
      <c r="N949" s="55" t="s">
        <v>576</v>
      </c>
      <c r="O949" s="55">
        <v>-10840</v>
      </c>
      <c r="P949" s="55">
        <v>38920</v>
      </c>
      <c r="Q949" s="55">
        <v>623720</v>
      </c>
      <c r="R949" s="57" t="s">
        <v>563</v>
      </c>
      <c r="S949" s="58" t="s">
        <v>567</v>
      </c>
      <c r="T949" s="51">
        <v>31328.05</v>
      </c>
    </row>
    <row r="950" spans="1:20" x14ac:dyDescent="0.25">
      <c r="A950" s="51" t="str">
        <f>(COUNTIF($K$2:K950,K950))&amp;K950</f>
        <v>5531800</v>
      </c>
      <c r="B950" s="52" t="s">
        <v>607</v>
      </c>
      <c r="C950" s="53" t="s">
        <v>566</v>
      </c>
      <c r="D950" s="54" t="s">
        <v>564</v>
      </c>
      <c r="E950" s="55">
        <v>6657400</v>
      </c>
      <c r="F950" s="55">
        <v>1023980</v>
      </c>
      <c r="G950" s="55">
        <v>438600</v>
      </c>
      <c r="H950" s="55" t="s">
        <v>576</v>
      </c>
      <c r="I950" s="55">
        <v>-22.15</v>
      </c>
      <c r="J950" s="55">
        <v>1.35</v>
      </c>
      <c r="K950" s="56">
        <v>31800</v>
      </c>
      <c r="L950" s="55">
        <v>493.35</v>
      </c>
      <c r="M950" s="55">
        <v>208</v>
      </c>
      <c r="N950" s="55" t="s">
        <v>576</v>
      </c>
      <c r="O950" s="55">
        <v>1880</v>
      </c>
      <c r="P950" s="55">
        <v>16860</v>
      </c>
      <c r="Q950" s="55">
        <v>233580</v>
      </c>
      <c r="R950" s="57" t="s">
        <v>564</v>
      </c>
      <c r="S950" s="58" t="s">
        <v>565</v>
      </c>
      <c r="T950" s="51">
        <v>31328.05</v>
      </c>
    </row>
    <row r="951" spans="1:20" x14ac:dyDescent="0.25">
      <c r="A951" s="51" t="str">
        <f>(COUNTIF($K$2:K951,K951))&amp;K951</f>
        <v>5531900</v>
      </c>
      <c r="B951" s="52" t="s">
        <v>607</v>
      </c>
      <c r="C951" s="53" t="s">
        <v>566</v>
      </c>
      <c r="D951" s="54" t="s">
        <v>564</v>
      </c>
      <c r="E951" s="55">
        <v>19763480</v>
      </c>
      <c r="F951" s="55">
        <v>628500</v>
      </c>
      <c r="G951" s="55">
        <v>116700</v>
      </c>
      <c r="H951" s="55" t="s">
        <v>576</v>
      </c>
      <c r="I951" s="55">
        <v>-10.25</v>
      </c>
      <c r="J951" s="55">
        <v>0.85</v>
      </c>
      <c r="K951" s="56">
        <v>31900</v>
      </c>
      <c r="L951" s="55">
        <v>595.20000000000005</v>
      </c>
      <c r="M951" s="55">
        <v>218.50000000000006</v>
      </c>
      <c r="N951" s="55" t="s">
        <v>576</v>
      </c>
      <c r="O951" s="55">
        <v>1360</v>
      </c>
      <c r="P951" s="55">
        <v>6900</v>
      </c>
      <c r="Q951" s="55">
        <v>49020</v>
      </c>
      <c r="R951" s="57" t="s">
        <v>564</v>
      </c>
      <c r="S951" s="58" t="s">
        <v>565</v>
      </c>
      <c r="T951" s="51">
        <v>31328.05</v>
      </c>
    </row>
    <row r="952" spans="1:20" x14ac:dyDescent="0.25">
      <c r="A952" s="51" t="str">
        <f>(COUNTIF($K$2:K952,K952))&amp;K952</f>
        <v>5532000</v>
      </c>
      <c r="B952" s="52" t="s">
        <v>607</v>
      </c>
      <c r="C952" s="53" t="s">
        <v>566</v>
      </c>
      <c r="D952" s="54" t="s">
        <v>564</v>
      </c>
      <c r="E952" s="55">
        <v>5542020</v>
      </c>
      <c r="F952" s="55">
        <v>730800</v>
      </c>
      <c r="G952" s="55">
        <v>119140</v>
      </c>
      <c r="H952" s="55" t="s">
        <v>576</v>
      </c>
      <c r="I952" s="55">
        <v>-5.45</v>
      </c>
      <c r="J952" s="55">
        <v>0.55000000000000004</v>
      </c>
      <c r="K952" s="56">
        <v>32000</v>
      </c>
      <c r="L952" s="55">
        <v>692.85</v>
      </c>
      <c r="M952" s="55">
        <v>222.35000000000002</v>
      </c>
      <c r="N952" s="55" t="s">
        <v>576</v>
      </c>
      <c r="O952" s="55">
        <v>-1020</v>
      </c>
      <c r="P952" s="55">
        <v>11100</v>
      </c>
      <c r="Q952" s="55">
        <v>31260</v>
      </c>
      <c r="R952" s="57" t="s">
        <v>563</v>
      </c>
      <c r="S952" s="58" t="s">
        <v>567</v>
      </c>
      <c r="T952" s="51">
        <v>31328.05</v>
      </c>
    </row>
    <row r="953" spans="1:20" x14ac:dyDescent="0.25">
      <c r="A953" s="51" t="str">
        <f>(COUNTIF($K$2:K953,K953))&amp;K953</f>
        <v>56PCR</v>
      </c>
      <c r="B953" s="52" t="s">
        <v>607</v>
      </c>
      <c r="C953" s="60">
        <v>0.79669147478907276</v>
      </c>
      <c r="E953" s="61"/>
      <c r="F953" s="62">
        <v>11461300</v>
      </c>
      <c r="G953" s="63"/>
      <c r="H953" s="64"/>
      <c r="I953" s="64"/>
      <c r="J953" s="64"/>
      <c r="K953" s="65" t="s">
        <v>555</v>
      </c>
      <c r="L953" s="64"/>
      <c r="M953" s="64"/>
      <c r="N953" s="64"/>
      <c r="P953" s="63">
        <v>9131120</v>
      </c>
      <c r="Q953" s="61"/>
      <c r="R953" s="64"/>
      <c r="S953" s="64"/>
    </row>
    <row r="954" spans="1:20" x14ac:dyDescent="0.25">
      <c r="A954" s="51" t="str">
        <f>(COUNTIF($K$2:K954,K954))&amp;K954</f>
        <v>2730500</v>
      </c>
      <c r="B954" s="52" t="s">
        <v>608</v>
      </c>
      <c r="C954" s="53" t="s">
        <v>562</v>
      </c>
      <c r="D954" s="54" t="s">
        <v>563</v>
      </c>
      <c r="E954" s="55">
        <v>16360</v>
      </c>
      <c r="F954" s="55">
        <v>26100</v>
      </c>
      <c r="G954" s="55">
        <v>-6120</v>
      </c>
      <c r="H954" s="55" t="s">
        <v>574</v>
      </c>
      <c r="I954" s="55">
        <v>-221.79999999999995</v>
      </c>
      <c r="J954" s="55">
        <v>810</v>
      </c>
      <c r="K954" s="56">
        <v>30500</v>
      </c>
      <c r="L954" s="55">
        <v>0.55000000000000004</v>
      </c>
      <c r="M954" s="55">
        <v>-2.1500000000000004</v>
      </c>
      <c r="N954" s="55" t="s">
        <v>576</v>
      </c>
      <c r="O954" s="55">
        <v>-13080</v>
      </c>
      <c r="P954" s="55">
        <v>401260</v>
      </c>
      <c r="Q954" s="55">
        <v>264640</v>
      </c>
      <c r="R954" s="57" t="s">
        <v>563</v>
      </c>
      <c r="S954" s="58" t="s">
        <v>562</v>
      </c>
      <c r="T954" s="51">
        <v>31330.9</v>
      </c>
    </row>
    <row r="955" spans="1:20" x14ac:dyDescent="0.25">
      <c r="A955" s="51" t="str">
        <f>(COUNTIF($K$2:K955,K955))&amp;K955</f>
        <v>4730600</v>
      </c>
      <c r="B955" s="52" t="s">
        <v>608</v>
      </c>
      <c r="C955" s="53" t="s">
        <v>562</v>
      </c>
      <c r="D955" s="54" t="s">
        <v>563</v>
      </c>
      <c r="E955" s="55">
        <v>1600</v>
      </c>
      <c r="F955" s="55">
        <v>3760</v>
      </c>
      <c r="G955" s="55">
        <v>-780</v>
      </c>
      <c r="H955" s="55" t="s">
        <v>574</v>
      </c>
      <c r="I955" s="55">
        <v>-222.20000000000005</v>
      </c>
      <c r="J955" s="55">
        <v>710.5</v>
      </c>
      <c r="K955" s="56">
        <v>30600</v>
      </c>
      <c r="L955" s="55">
        <v>0.65</v>
      </c>
      <c r="M955" s="55">
        <v>-2.35</v>
      </c>
      <c r="N955" s="55" t="s">
        <v>576</v>
      </c>
      <c r="O955" s="55">
        <v>11780</v>
      </c>
      <c r="P955" s="55">
        <v>211020</v>
      </c>
      <c r="Q955" s="55">
        <v>228980</v>
      </c>
      <c r="R955" s="57" t="s">
        <v>564</v>
      </c>
      <c r="S955" s="58" t="s">
        <v>566</v>
      </c>
      <c r="T955" s="51">
        <v>31330.9</v>
      </c>
    </row>
    <row r="956" spans="1:20" x14ac:dyDescent="0.25">
      <c r="A956" s="51" t="str">
        <f>(COUNTIF($K$2:K956,K956))&amp;K956</f>
        <v>5630700</v>
      </c>
      <c r="B956" s="52" t="s">
        <v>608</v>
      </c>
      <c r="C956" s="53" t="s">
        <v>562</v>
      </c>
      <c r="D956" s="54" t="s">
        <v>563</v>
      </c>
      <c r="E956" s="55">
        <v>8540</v>
      </c>
      <c r="F956" s="55">
        <v>10540</v>
      </c>
      <c r="G956" s="55">
        <v>-1280</v>
      </c>
      <c r="H956" s="55" t="s">
        <v>574</v>
      </c>
      <c r="I956" s="55">
        <v>-224</v>
      </c>
      <c r="J956" s="55">
        <v>612</v>
      </c>
      <c r="K956" s="56">
        <v>30700</v>
      </c>
      <c r="L956" s="55">
        <v>0.75</v>
      </c>
      <c r="M956" s="55">
        <v>-2.85</v>
      </c>
      <c r="N956" s="55" t="s">
        <v>576</v>
      </c>
      <c r="O956" s="55">
        <v>79700</v>
      </c>
      <c r="P956" s="55">
        <v>269900</v>
      </c>
      <c r="Q956" s="55">
        <v>503300</v>
      </c>
      <c r="R956" s="57" t="s">
        <v>564</v>
      </c>
      <c r="S956" s="58" t="s">
        <v>566</v>
      </c>
      <c r="T956" s="51">
        <v>31330.9</v>
      </c>
    </row>
    <row r="957" spans="1:20" x14ac:dyDescent="0.25">
      <c r="A957" s="51" t="str">
        <f>(COUNTIF($K$2:K957,K957))&amp;K957</f>
        <v>5630800</v>
      </c>
      <c r="B957" s="52" t="s">
        <v>608</v>
      </c>
      <c r="C957" s="53" t="s">
        <v>562</v>
      </c>
      <c r="D957" s="54" t="s">
        <v>563</v>
      </c>
      <c r="E957" s="55">
        <v>7120</v>
      </c>
      <c r="F957" s="55">
        <v>7400</v>
      </c>
      <c r="G957" s="55">
        <v>-100</v>
      </c>
      <c r="H957" s="55" t="s">
        <v>574</v>
      </c>
      <c r="I957" s="55">
        <v>-224.75</v>
      </c>
      <c r="J957" s="55">
        <v>510.85</v>
      </c>
      <c r="K957" s="56">
        <v>30800</v>
      </c>
      <c r="L957" s="55">
        <v>1.1499999999999999</v>
      </c>
      <c r="M957" s="55">
        <v>-2.9499999999999997</v>
      </c>
      <c r="N957" s="55" t="s">
        <v>576</v>
      </c>
      <c r="O957" s="55">
        <v>73040</v>
      </c>
      <c r="P957" s="55">
        <v>440440</v>
      </c>
      <c r="Q957" s="55">
        <v>1162940</v>
      </c>
      <c r="R957" s="57" t="s">
        <v>564</v>
      </c>
      <c r="S957" s="58" t="s">
        <v>566</v>
      </c>
      <c r="T957" s="51">
        <v>31330.9</v>
      </c>
    </row>
    <row r="958" spans="1:20" x14ac:dyDescent="0.25">
      <c r="A958" s="51" t="str">
        <f>(COUNTIF($K$2:K958,K958))&amp;K958</f>
        <v>5630900</v>
      </c>
      <c r="B958" s="52" t="s">
        <v>608</v>
      </c>
      <c r="C958" s="53" t="s">
        <v>566</v>
      </c>
      <c r="D958" s="54" t="s">
        <v>564</v>
      </c>
      <c r="E958" s="55">
        <v>10000</v>
      </c>
      <c r="F958" s="55">
        <v>7720</v>
      </c>
      <c r="G958" s="55">
        <v>1480</v>
      </c>
      <c r="H958" s="55" t="s">
        <v>574</v>
      </c>
      <c r="I958" s="55">
        <v>-224.89999999999998</v>
      </c>
      <c r="J958" s="55">
        <v>408.65</v>
      </c>
      <c r="K958" s="56">
        <v>30900</v>
      </c>
      <c r="L958" s="55">
        <v>2.2000000000000002</v>
      </c>
      <c r="M958" s="55">
        <v>-3.3</v>
      </c>
      <c r="N958" s="55" t="s">
        <v>576</v>
      </c>
      <c r="O958" s="55">
        <v>227000</v>
      </c>
      <c r="P958" s="55">
        <v>592880</v>
      </c>
      <c r="Q958" s="55">
        <v>2518420</v>
      </c>
      <c r="R958" s="57" t="s">
        <v>564</v>
      </c>
      <c r="S958" s="58" t="s">
        <v>566</v>
      </c>
      <c r="T958" s="51">
        <v>31330.9</v>
      </c>
    </row>
    <row r="959" spans="1:20" x14ac:dyDescent="0.25">
      <c r="A959" s="51" t="str">
        <f>(COUNTIF($K$2:K959,K959))&amp;K959</f>
        <v>5631000</v>
      </c>
      <c r="B959" s="52" t="s">
        <v>608</v>
      </c>
      <c r="C959" s="53" t="s">
        <v>566</v>
      </c>
      <c r="D959" s="54" t="s">
        <v>564</v>
      </c>
      <c r="E959" s="55">
        <v>236880</v>
      </c>
      <c r="F959" s="55">
        <v>105520</v>
      </c>
      <c r="G959" s="55">
        <v>17300</v>
      </c>
      <c r="H959" s="55" t="s">
        <v>574</v>
      </c>
      <c r="I959" s="55">
        <v>-231.95000000000005</v>
      </c>
      <c r="J959" s="55">
        <v>312.89999999999998</v>
      </c>
      <c r="K959" s="56">
        <v>31000</v>
      </c>
      <c r="L959" s="55">
        <v>4.7</v>
      </c>
      <c r="M959" s="55">
        <v>-2.7</v>
      </c>
      <c r="N959" s="55" t="s">
        <v>576</v>
      </c>
      <c r="O959" s="55">
        <v>1045160</v>
      </c>
      <c r="P959" s="55">
        <v>1855760</v>
      </c>
      <c r="Q959" s="55">
        <v>7524080</v>
      </c>
      <c r="R959" s="57" t="s">
        <v>564</v>
      </c>
      <c r="S959" s="58" t="s">
        <v>566</v>
      </c>
      <c r="T959" s="51">
        <v>31330.9</v>
      </c>
    </row>
    <row r="960" spans="1:20" x14ac:dyDescent="0.25">
      <c r="A960" s="51" t="str">
        <f>(COUNTIF($K$2:K960,K960))&amp;K960</f>
        <v>5631100</v>
      </c>
      <c r="B960" s="52" t="s">
        <v>608</v>
      </c>
      <c r="C960" s="53" t="s">
        <v>566</v>
      </c>
      <c r="D960" s="54" t="s">
        <v>564</v>
      </c>
      <c r="E960" s="55">
        <v>313260</v>
      </c>
      <c r="F960" s="55">
        <v>80440</v>
      </c>
      <c r="G960" s="55">
        <v>49780</v>
      </c>
      <c r="H960" s="55" t="s">
        <v>574</v>
      </c>
      <c r="I960" s="55">
        <v>-224.7</v>
      </c>
      <c r="J960" s="55">
        <v>220.45</v>
      </c>
      <c r="K960" s="56">
        <v>31100</v>
      </c>
      <c r="L960" s="55">
        <v>10.9</v>
      </c>
      <c r="M960" s="55">
        <v>0.75</v>
      </c>
      <c r="N960" s="55" t="s">
        <v>576</v>
      </c>
      <c r="O960" s="55">
        <v>1039940</v>
      </c>
      <c r="P960" s="55">
        <v>1558640</v>
      </c>
      <c r="Q960" s="55">
        <v>9421840</v>
      </c>
      <c r="R960" s="57" t="s">
        <v>564</v>
      </c>
      <c r="S960" s="58" t="s">
        <v>565</v>
      </c>
      <c r="T960" s="51">
        <v>31330.9</v>
      </c>
    </row>
    <row r="961" spans="1:20" x14ac:dyDescent="0.25">
      <c r="A961" s="51" t="str">
        <f>(COUNTIF($K$2:K961,K961))&amp;K961</f>
        <v>5631200</v>
      </c>
      <c r="B961" s="52" t="s">
        <v>608</v>
      </c>
      <c r="C961" s="53" t="s">
        <v>566</v>
      </c>
      <c r="D961" s="54" t="s">
        <v>564</v>
      </c>
      <c r="E961" s="55">
        <v>2097140</v>
      </c>
      <c r="F961" s="55">
        <v>344060</v>
      </c>
      <c r="G961" s="55">
        <v>212340</v>
      </c>
      <c r="H961" s="55" t="s">
        <v>576</v>
      </c>
      <c r="I961" s="55">
        <v>-211.54999999999998</v>
      </c>
      <c r="J961" s="55">
        <v>138.9</v>
      </c>
      <c r="K961" s="56">
        <v>31200</v>
      </c>
      <c r="L961" s="55">
        <v>28.45</v>
      </c>
      <c r="M961" s="55">
        <v>11.05</v>
      </c>
      <c r="N961" s="55" t="s">
        <v>576</v>
      </c>
      <c r="O961" s="55">
        <v>953660</v>
      </c>
      <c r="P961" s="55">
        <v>1479600</v>
      </c>
      <c r="Q961" s="55">
        <v>12665100</v>
      </c>
      <c r="R961" s="57" t="s">
        <v>564</v>
      </c>
      <c r="S961" s="58" t="s">
        <v>565</v>
      </c>
      <c r="T961" s="51">
        <v>31330.9</v>
      </c>
    </row>
    <row r="962" spans="1:20" ht="15.75" x14ac:dyDescent="0.25">
      <c r="A962" s="51" t="str">
        <f>(COUNTIF($K$2:K962,K962))&amp;K962</f>
        <v>5631300</v>
      </c>
      <c r="B962" s="52" t="s">
        <v>608</v>
      </c>
      <c r="C962" s="53" t="s">
        <v>566</v>
      </c>
      <c r="D962" s="54" t="s">
        <v>564</v>
      </c>
      <c r="E962" s="55">
        <v>4933180</v>
      </c>
      <c r="F962" s="55">
        <v>831660</v>
      </c>
      <c r="G962" s="55">
        <v>715720</v>
      </c>
      <c r="H962" s="55" t="s">
        <v>576</v>
      </c>
      <c r="I962" s="55">
        <v>-190.4</v>
      </c>
      <c r="J962" s="55">
        <v>75.150000000000006</v>
      </c>
      <c r="K962" s="59">
        <v>31300</v>
      </c>
      <c r="L962" s="55">
        <v>64.099999999999994</v>
      </c>
      <c r="M962" s="55">
        <v>33.149999999999991</v>
      </c>
      <c r="N962" s="55" t="s">
        <v>576</v>
      </c>
      <c r="O962" s="55">
        <v>481500</v>
      </c>
      <c r="P962" s="55">
        <v>1132000</v>
      </c>
      <c r="Q962" s="55">
        <v>13358920</v>
      </c>
      <c r="R962" s="57" t="s">
        <v>564</v>
      </c>
      <c r="S962" s="58" t="s">
        <v>565</v>
      </c>
      <c r="T962" s="51">
        <v>31330.9</v>
      </c>
    </row>
    <row r="963" spans="1:20" x14ac:dyDescent="0.25">
      <c r="A963" s="51" t="str">
        <f>(COUNTIF($K$2:K963,K963))&amp;K963</f>
        <v>5631400</v>
      </c>
      <c r="B963" s="52" t="s">
        <v>608</v>
      </c>
      <c r="C963" s="53" t="s">
        <v>566</v>
      </c>
      <c r="D963" s="54" t="s">
        <v>564</v>
      </c>
      <c r="E963" s="55">
        <v>11104600</v>
      </c>
      <c r="F963" s="55">
        <v>1592340</v>
      </c>
      <c r="G963" s="55">
        <v>1408040</v>
      </c>
      <c r="H963" s="55" t="s">
        <v>576</v>
      </c>
      <c r="I963" s="55">
        <v>-154.35</v>
      </c>
      <c r="J963" s="55">
        <v>34.65</v>
      </c>
      <c r="K963" s="56">
        <v>31400</v>
      </c>
      <c r="L963" s="55">
        <v>123.75</v>
      </c>
      <c r="M963" s="55">
        <v>69.8</v>
      </c>
      <c r="N963" s="55" t="s">
        <v>576</v>
      </c>
      <c r="O963" s="55">
        <v>78200</v>
      </c>
      <c r="P963" s="55">
        <v>634420</v>
      </c>
      <c r="Q963" s="55">
        <v>9678720</v>
      </c>
      <c r="R963" s="57" t="s">
        <v>564</v>
      </c>
      <c r="S963" s="58" t="s">
        <v>565</v>
      </c>
      <c r="T963" s="51">
        <v>31330.9</v>
      </c>
    </row>
    <row r="964" spans="1:20" x14ac:dyDescent="0.25">
      <c r="A964" s="51" t="str">
        <f>(COUNTIF($K$2:K964,K964))&amp;K964</f>
        <v>5631500</v>
      </c>
      <c r="B964" s="52" t="s">
        <v>608</v>
      </c>
      <c r="C964" s="53" t="s">
        <v>566</v>
      </c>
      <c r="D964" s="54" t="s">
        <v>564</v>
      </c>
      <c r="E964" s="55">
        <v>15989740</v>
      </c>
      <c r="F964" s="55">
        <v>2907820</v>
      </c>
      <c r="G964" s="55">
        <v>2129280</v>
      </c>
      <c r="H964" s="55" t="s">
        <v>576</v>
      </c>
      <c r="I964" s="55">
        <v>-111.7</v>
      </c>
      <c r="J964" s="55">
        <v>14.75</v>
      </c>
      <c r="K964" s="56">
        <v>31500</v>
      </c>
      <c r="L964" s="55">
        <v>204.95</v>
      </c>
      <c r="M964" s="55">
        <v>114.79999999999998</v>
      </c>
      <c r="N964" s="55" t="s">
        <v>576</v>
      </c>
      <c r="O964" s="55">
        <v>-194340</v>
      </c>
      <c r="P964" s="55">
        <v>436140</v>
      </c>
      <c r="Q964" s="55">
        <v>5381880</v>
      </c>
      <c r="R964" s="57" t="s">
        <v>563</v>
      </c>
      <c r="S964" s="58" t="s">
        <v>567</v>
      </c>
      <c r="T964" s="51">
        <v>31330.9</v>
      </c>
    </row>
    <row r="965" spans="1:20" x14ac:dyDescent="0.25">
      <c r="A965" s="51" t="str">
        <f>(COUNTIF($K$2:K965,K965))&amp;K965</f>
        <v>5631600</v>
      </c>
      <c r="B965" s="52" t="s">
        <v>608</v>
      </c>
      <c r="C965" s="53" t="s">
        <v>566</v>
      </c>
      <c r="D965" s="54" t="s">
        <v>564</v>
      </c>
      <c r="E965" s="55">
        <v>11897140</v>
      </c>
      <c r="F965" s="55">
        <v>1881420</v>
      </c>
      <c r="G965" s="55">
        <v>1261760</v>
      </c>
      <c r="H965" s="55" t="s">
        <v>576</v>
      </c>
      <c r="I965" s="55">
        <v>-72.600000000000009</v>
      </c>
      <c r="J965" s="55">
        <v>5.85</v>
      </c>
      <c r="K965" s="56">
        <v>31600</v>
      </c>
      <c r="L965" s="55">
        <v>296.2</v>
      </c>
      <c r="M965" s="55">
        <v>154.1</v>
      </c>
      <c r="N965" s="55" t="s">
        <v>576</v>
      </c>
      <c r="O965" s="55">
        <v>11160</v>
      </c>
      <c r="P965" s="55">
        <v>105400</v>
      </c>
      <c r="Q965" s="55">
        <v>1539400</v>
      </c>
      <c r="R965" s="57" t="s">
        <v>564</v>
      </c>
      <c r="S965" s="58" t="s">
        <v>565</v>
      </c>
      <c r="T965" s="51">
        <v>31330.9</v>
      </c>
    </row>
    <row r="966" spans="1:20" x14ac:dyDescent="0.25">
      <c r="A966" s="51" t="str">
        <f>(COUNTIF($K$2:K966,K966))&amp;K966</f>
        <v>5631700</v>
      </c>
      <c r="B966" s="52" t="s">
        <v>608</v>
      </c>
      <c r="C966" s="53" t="s">
        <v>566</v>
      </c>
      <c r="D966" s="54" t="s">
        <v>564</v>
      </c>
      <c r="E966" s="55">
        <v>9520300</v>
      </c>
      <c r="F966" s="55">
        <v>1375020</v>
      </c>
      <c r="G966" s="55">
        <v>739760</v>
      </c>
      <c r="H966" s="55" t="s">
        <v>576</v>
      </c>
      <c r="I966" s="55">
        <v>-41.75</v>
      </c>
      <c r="J966" s="55">
        <v>2.7</v>
      </c>
      <c r="K966" s="56">
        <v>31700</v>
      </c>
      <c r="L966" s="55">
        <v>392.15</v>
      </c>
      <c r="M966" s="55">
        <v>182.74999999999997</v>
      </c>
      <c r="N966" s="55" t="s">
        <v>576</v>
      </c>
      <c r="O966" s="55">
        <v>-10400</v>
      </c>
      <c r="P966" s="55">
        <v>39360</v>
      </c>
      <c r="Q966" s="55">
        <v>625340</v>
      </c>
      <c r="R966" s="57" t="s">
        <v>563</v>
      </c>
      <c r="S966" s="58" t="s">
        <v>567</v>
      </c>
      <c r="T966" s="51">
        <v>31330.9</v>
      </c>
    </row>
    <row r="967" spans="1:20" x14ac:dyDescent="0.25">
      <c r="A967" s="51" t="str">
        <f>(COUNTIF($K$2:K967,K967))&amp;K967</f>
        <v>5631800</v>
      </c>
      <c r="B967" s="52" t="s">
        <v>608</v>
      </c>
      <c r="C967" s="53" t="s">
        <v>566</v>
      </c>
      <c r="D967" s="54" t="s">
        <v>564</v>
      </c>
      <c r="E967" s="55">
        <v>6793460</v>
      </c>
      <c r="F967" s="55">
        <v>1034220</v>
      </c>
      <c r="G967" s="55">
        <v>448840</v>
      </c>
      <c r="H967" s="55" t="s">
        <v>576</v>
      </c>
      <c r="I967" s="55">
        <v>-22.15</v>
      </c>
      <c r="J967" s="55">
        <v>1.35</v>
      </c>
      <c r="K967" s="56">
        <v>31800</v>
      </c>
      <c r="L967" s="55">
        <v>493.75</v>
      </c>
      <c r="M967" s="55">
        <v>208.39999999999998</v>
      </c>
      <c r="N967" s="55" t="s">
        <v>576</v>
      </c>
      <c r="O967" s="55">
        <v>1780</v>
      </c>
      <c r="P967" s="55">
        <v>16760</v>
      </c>
      <c r="Q967" s="55">
        <v>233720</v>
      </c>
      <c r="R967" s="57" t="s">
        <v>564</v>
      </c>
      <c r="S967" s="58" t="s">
        <v>565</v>
      </c>
      <c r="T967" s="51">
        <v>31330.9</v>
      </c>
    </row>
    <row r="968" spans="1:20" x14ac:dyDescent="0.25">
      <c r="A968" s="51" t="str">
        <f>(COUNTIF($K$2:K968,K968))&amp;K968</f>
        <v>5631900</v>
      </c>
      <c r="B968" s="52" t="s">
        <v>608</v>
      </c>
      <c r="C968" s="53" t="s">
        <v>566</v>
      </c>
      <c r="D968" s="54" t="s">
        <v>564</v>
      </c>
      <c r="E968" s="55">
        <v>20513120</v>
      </c>
      <c r="F968" s="55">
        <v>642000</v>
      </c>
      <c r="G968" s="55">
        <v>130200</v>
      </c>
      <c r="H968" s="55" t="s">
        <v>576</v>
      </c>
      <c r="I968" s="55">
        <v>-10.199999999999999</v>
      </c>
      <c r="J968" s="55">
        <v>0.9</v>
      </c>
      <c r="K968" s="56">
        <v>31900</v>
      </c>
      <c r="L968" s="55">
        <v>593.6</v>
      </c>
      <c r="M968" s="55">
        <v>216.90000000000003</v>
      </c>
      <c r="N968" s="55" t="s">
        <v>576</v>
      </c>
      <c r="O968" s="55">
        <v>1280</v>
      </c>
      <c r="P968" s="55">
        <v>6820</v>
      </c>
      <c r="Q968" s="55">
        <v>49160</v>
      </c>
      <c r="R968" s="57" t="s">
        <v>564</v>
      </c>
      <c r="S968" s="58" t="s">
        <v>565</v>
      </c>
      <c r="T968" s="51">
        <v>31330.9</v>
      </c>
    </row>
    <row r="969" spans="1:20" x14ac:dyDescent="0.25">
      <c r="A969" s="51" t="str">
        <f>(COUNTIF($K$2:K969,K969))&amp;K969</f>
        <v>5632000</v>
      </c>
      <c r="B969" s="52" t="s">
        <v>608</v>
      </c>
      <c r="C969" s="53" t="s">
        <v>566</v>
      </c>
      <c r="D969" s="54" t="s">
        <v>564</v>
      </c>
      <c r="E969" s="55">
        <v>5556440</v>
      </c>
      <c r="F969" s="55">
        <v>723700</v>
      </c>
      <c r="G969" s="55">
        <v>112040</v>
      </c>
      <c r="H969" s="55" t="s">
        <v>576</v>
      </c>
      <c r="I969" s="55">
        <v>-5.4</v>
      </c>
      <c r="J969" s="55">
        <v>0.6</v>
      </c>
      <c r="K969" s="56">
        <v>32000</v>
      </c>
      <c r="L969" s="55">
        <v>695</v>
      </c>
      <c r="M969" s="55">
        <v>224.5</v>
      </c>
      <c r="N969" s="55" t="s">
        <v>576</v>
      </c>
      <c r="O969" s="55">
        <v>-1360</v>
      </c>
      <c r="P969" s="55">
        <v>10760</v>
      </c>
      <c r="Q969" s="55">
        <v>31820</v>
      </c>
      <c r="R969" s="57" t="s">
        <v>563</v>
      </c>
      <c r="S969" s="58" t="s">
        <v>567</v>
      </c>
      <c r="T969" s="51">
        <v>31330.9</v>
      </c>
    </row>
    <row r="970" spans="1:20" x14ac:dyDescent="0.25">
      <c r="A970" s="51" t="str">
        <f>(COUNTIF($K$2:K970,K970))&amp;K970</f>
        <v>57PCR</v>
      </c>
      <c r="B970" s="52" t="s">
        <v>608</v>
      </c>
      <c r="C970" s="60">
        <v>0.79414051834673727</v>
      </c>
      <c r="E970" s="61"/>
      <c r="F970" s="62">
        <v>11573720</v>
      </c>
      <c r="G970" s="63"/>
      <c r="H970" s="64"/>
      <c r="I970" s="64"/>
      <c r="J970" s="64"/>
      <c r="K970" s="65" t="s">
        <v>555</v>
      </c>
      <c r="L970" s="64"/>
      <c r="M970" s="64"/>
      <c r="N970" s="64"/>
      <c r="P970" s="63">
        <v>9191160</v>
      </c>
      <c r="Q970" s="61"/>
      <c r="R970" s="64"/>
      <c r="S970" s="64"/>
    </row>
    <row r="971" spans="1:20" x14ac:dyDescent="0.25">
      <c r="A971" s="51" t="str">
        <f>(COUNTIF($K$2:K971,K971))&amp;K971</f>
        <v>2830500</v>
      </c>
      <c r="B971" s="52" t="s">
        <v>608</v>
      </c>
      <c r="C971" s="53" t="s">
        <v>562</v>
      </c>
      <c r="D971" s="54" t="s">
        <v>563</v>
      </c>
      <c r="E971" s="55">
        <v>16360</v>
      </c>
      <c r="F971" s="55">
        <v>26100</v>
      </c>
      <c r="G971" s="55">
        <v>-6120</v>
      </c>
      <c r="H971" s="55" t="s">
        <v>574</v>
      </c>
      <c r="I971" s="55">
        <v>-221.79999999999995</v>
      </c>
      <c r="J971" s="55">
        <v>810</v>
      </c>
      <c r="K971" s="56">
        <v>30500</v>
      </c>
      <c r="L971" s="55">
        <v>0.55000000000000004</v>
      </c>
      <c r="M971" s="55">
        <v>-2.1500000000000004</v>
      </c>
      <c r="N971" s="55" t="s">
        <v>576</v>
      </c>
      <c r="O971" s="55">
        <v>-13080</v>
      </c>
      <c r="P971" s="55">
        <v>401260</v>
      </c>
      <c r="Q971" s="55">
        <v>264640</v>
      </c>
      <c r="R971" s="57" t="s">
        <v>563</v>
      </c>
      <c r="S971" s="58" t="s">
        <v>562</v>
      </c>
      <c r="T971" s="51">
        <v>31330.9</v>
      </c>
    </row>
    <row r="972" spans="1:20" x14ac:dyDescent="0.25">
      <c r="A972" s="51" t="str">
        <f>(COUNTIF($K$2:K972,K972))&amp;K972</f>
        <v>4830600</v>
      </c>
      <c r="B972" s="52" t="s">
        <v>608</v>
      </c>
      <c r="C972" s="53" t="s">
        <v>562</v>
      </c>
      <c r="D972" s="54" t="s">
        <v>563</v>
      </c>
      <c r="E972" s="55">
        <v>1600</v>
      </c>
      <c r="F972" s="55">
        <v>3760</v>
      </c>
      <c r="G972" s="55">
        <v>-780</v>
      </c>
      <c r="H972" s="55" t="s">
        <v>574</v>
      </c>
      <c r="I972" s="55">
        <v>-222.20000000000005</v>
      </c>
      <c r="J972" s="55">
        <v>710.5</v>
      </c>
      <c r="K972" s="56">
        <v>30600</v>
      </c>
      <c r="L972" s="55">
        <v>0.65</v>
      </c>
      <c r="M972" s="55">
        <v>-2.35</v>
      </c>
      <c r="N972" s="55" t="s">
        <v>576</v>
      </c>
      <c r="O972" s="55">
        <v>11780</v>
      </c>
      <c r="P972" s="55">
        <v>211020</v>
      </c>
      <c r="Q972" s="55">
        <v>228980</v>
      </c>
      <c r="R972" s="57" t="s">
        <v>564</v>
      </c>
      <c r="S972" s="58" t="s">
        <v>566</v>
      </c>
      <c r="T972" s="51">
        <v>31330.9</v>
      </c>
    </row>
    <row r="973" spans="1:20" x14ac:dyDescent="0.25">
      <c r="A973" s="51" t="str">
        <f>(COUNTIF($K$2:K973,K973))&amp;K973</f>
        <v>5730700</v>
      </c>
      <c r="B973" s="52" t="s">
        <v>608</v>
      </c>
      <c r="C973" s="53" t="s">
        <v>562</v>
      </c>
      <c r="D973" s="54" t="s">
        <v>563</v>
      </c>
      <c r="E973" s="55">
        <v>8540</v>
      </c>
      <c r="F973" s="55">
        <v>10540</v>
      </c>
      <c r="G973" s="55">
        <v>-1280</v>
      </c>
      <c r="H973" s="55" t="s">
        <v>574</v>
      </c>
      <c r="I973" s="55">
        <v>-224</v>
      </c>
      <c r="J973" s="55">
        <v>612</v>
      </c>
      <c r="K973" s="56">
        <v>30700</v>
      </c>
      <c r="L973" s="55">
        <v>0.75</v>
      </c>
      <c r="M973" s="55">
        <v>-2.85</v>
      </c>
      <c r="N973" s="55" t="s">
        <v>576</v>
      </c>
      <c r="O973" s="55">
        <v>79700</v>
      </c>
      <c r="P973" s="55">
        <v>269900</v>
      </c>
      <c r="Q973" s="55">
        <v>503300</v>
      </c>
      <c r="R973" s="57" t="s">
        <v>564</v>
      </c>
      <c r="S973" s="58" t="s">
        <v>566</v>
      </c>
      <c r="T973" s="51">
        <v>31330.9</v>
      </c>
    </row>
    <row r="974" spans="1:20" x14ac:dyDescent="0.25">
      <c r="A974" s="51" t="str">
        <f>(COUNTIF($K$2:K974,K974))&amp;K974</f>
        <v>5730800</v>
      </c>
      <c r="B974" s="52" t="s">
        <v>608</v>
      </c>
      <c r="C974" s="53" t="s">
        <v>562</v>
      </c>
      <c r="D974" s="54" t="s">
        <v>563</v>
      </c>
      <c r="E974" s="55">
        <v>7120</v>
      </c>
      <c r="F974" s="55">
        <v>7400</v>
      </c>
      <c r="G974" s="55">
        <v>-100</v>
      </c>
      <c r="H974" s="55" t="s">
        <v>574</v>
      </c>
      <c r="I974" s="55">
        <v>-224.75</v>
      </c>
      <c r="J974" s="55">
        <v>510.85</v>
      </c>
      <c r="K974" s="56">
        <v>30800</v>
      </c>
      <c r="L974" s="55">
        <v>1.1499999999999999</v>
      </c>
      <c r="M974" s="55">
        <v>-2.9499999999999997</v>
      </c>
      <c r="N974" s="55" t="s">
        <v>576</v>
      </c>
      <c r="O974" s="55">
        <v>73040</v>
      </c>
      <c r="P974" s="55">
        <v>440440</v>
      </c>
      <c r="Q974" s="55">
        <v>1162940</v>
      </c>
      <c r="R974" s="57" t="s">
        <v>564</v>
      </c>
      <c r="S974" s="58" t="s">
        <v>566</v>
      </c>
      <c r="T974" s="51">
        <v>31330.9</v>
      </c>
    </row>
    <row r="975" spans="1:20" x14ac:dyDescent="0.25">
      <c r="A975" s="51" t="str">
        <f>(COUNTIF($K$2:K975,K975))&amp;K975</f>
        <v>5730900</v>
      </c>
      <c r="B975" s="52" t="s">
        <v>608</v>
      </c>
      <c r="C975" s="53" t="s">
        <v>566</v>
      </c>
      <c r="D975" s="54" t="s">
        <v>564</v>
      </c>
      <c r="E975" s="55">
        <v>10000</v>
      </c>
      <c r="F975" s="55">
        <v>7720</v>
      </c>
      <c r="G975" s="55">
        <v>1480</v>
      </c>
      <c r="H975" s="55" t="s">
        <v>574</v>
      </c>
      <c r="I975" s="55">
        <v>-224.89999999999998</v>
      </c>
      <c r="J975" s="55">
        <v>408.65</v>
      </c>
      <c r="K975" s="56">
        <v>30900</v>
      </c>
      <c r="L975" s="55">
        <v>2.2000000000000002</v>
      </c>
      <c r="M975" s="55">
        <v>-3.3</v>
      </c>
      <c r="N975" s="55" t="s">
        <v>576</v>
      </c>
      <c r="O975" s="55">
        <v>227000</v>
      </c>
      <c r="P975" s="55">
        <v>592880</v>
      </c>
      <c r="Q975" s="55">
        <v>2518420</v>
      </c>
      <c r="R975" s="57" t="s">
        <v>564</v>
      </c>
      <c r="S975" s="58" t="s">
        <v>566</v>
      </c>
      <c r="T975" s="51">
        <v>31330.9</v>
      </c>
    </row>
    <row r="976" spans="1:20" x14ac:dyDescent="0.25">
      <c r="A976" s="51" t="str">
        <f>(COUNTIF($K$2:K976,K976))&amp;K976</f>
        <v>5731000</v>
      </c>
      <c r="B976" s="52" t="s">
        <v>608</v>
      </c>
      <c r="C976" s="53" t="s">
        <v>566</v>
      </c>
      <c r="D976" s="54" t="s">
        <v>564</v>
      </c>
      <c r="E976" s="55">
        <v>236880</v>
      </c>
      <c r="F976" s="55">
        <v>105520</v>
      </c>
      <c r="G976" s="55">
        <v>17300</v>
      </c>
      <c r="H976" s="55" t="s">
        <v>574</v>
      </c>
      <c r="I976" s="55">
        <v>-231.95000000000005</v>
      </c>
      <c r="J976" s="55">
        <v>312.89999999999998</v>
      </c>
      <c r="K976" s="56">
        <v>31000</v>
      </c>
      <c r="L976" s="55">
        <v>4.7</v>
      </c>
      <c r="M976" s="55">
        <v>-2.7</v>
      </c>
      <c r="N976" s="55" t="s">
        <v>576</v>
      </c>
      <c r="O976" s="55">
        <v>1045160</v>
      </c>
      <c r="P976" s="55">
        <v>1855760</v>
      </c>
      <c r="Q976" s="55">
        <v>7524080</v>
      </c>
      <c r="R976" s="57" t="s">
        <v>564</v>
      </c>
      <c r="S976" s="58" t="s">
        <v>566</v>
      </c>
      <c r="T976" s="51">
        <v>31330.9</v>
      </c>
    </row>
    <row r="977" spans="1:20" x14ac:dyDescent="0.25">
      <c r="A977" s="51" t="str">
        <f>(COUNTIF($K$2:K977,K977))&amp;K977</f>
        <v>5731100</v>
      </c>
      <c r="B977" s="52" t="s">
        <v>608</v>
      </c>
      <c r="C977" s="53" t="s">
        <v>566</v>
      </c>
      <c r="D977" s="54" t="s">
        <v>564</v>
      </c>
      <c r="E977" s="55">
        <v>313260</v>
      </c>
      <c r="F977" s="55">
        <v>80440</v>
      </c>
      <c r="G977" s="55">
        <v>49780</v>
      </c>
      <c r="H977" s="55" t="s">
        <v>574</v>
      </c>
      <c r="I977" s="55">
        <v>-224.7</v>
      </c>
      <c r="J977" s="55">
        <v>220.45</v>
      </c>
      <c r="K977" s="56">
        <v>31100</v>
      </c>
      <c r="L977" s="55">
        <v>10.9</v>
      </c>
      <c r="M977" s="55">
        <v>0.75</v>
      </c>
      <c r="N977" s="55" t="s">
        <v>576</v>
      </c>
      <c r="O977" s="55">
        <v>1039940</v>
      </c>
      <c r="P977" s="55">
        <v>1558640</v>
      </c>
      <c r="Q977" s="55">
        <v>9421840</v>
      </c>
      <c r="R977" s="57" t="s">
        <v>564</v>
      </c>
      <c r="S977" s="58" t="s">
        <v>565</v>
      </c>
      <c r="T977" s="51">
        <v>31330.9</v>
      </c>
    </row>
    <row r="978" spans="1:20" x14ac:dyDescent="0.25">
      <c r="A978" s="51" t="str">
        <f>(COUNTIF($K$2:K978,K978))&amp;K978</f>
        <v>5731200</v>
      </c>
      <c r="B978" s="52" t="s">
        <v>608</v>
      </c>
      <c r="C978" s="53" t="s">
        <v>566</v>
      </c>
      <c r="D978" s="54" t="s">
        <v>564</v>
      </c>
      <c r="E978" s="55">
        <v>2097140</v>
      </c>
      <c r="F978" s="55">
        <v>344060</v>
      </c>
      <c r="G978" s="55">
        <v>212340</v>
      </c>
      <c r="H978" s="55" t="s">
        <v>576</v>
      </c>
      <c r="I978" s="55">
        <v>-211.54999999999998</v>
      </c>
      <c r="J978" s="55">
        <v>138.9</v>
      </c>
      <c r="K978" s="56">
        <v>31200</v>
      </c>
      <c r="L978" s="55">
        <v>28.45</v>
      </c>
      <c r="M978" s="55">
        <v>11.05</v>
      </c>
      <c r="N978" s="55" t="s">
        <v>576</v>
      </c>
      <c r="O978" s="55">
        <v>953660</v>
      </c>
      <c r="P978" s="55">
        <v>1479600</v>
      </c>
      <c r="Q978" s="55">
        <v>12665100</v>
      </c>
      <c r="R978" s="57" t="s">
        <v>564</v>
      </c>
      <c r="S978" s="58" t="s">
        <v>565</v>
      </c>
      <c r="T978" s="51">
        <v>31330.9</v>
      </c>
    </row>
    <row r="979" spans="1:20" ht="15.75" x14ac:dyDescent="0.25">
      <c r="A979" s="51" t="str">
        <f>(COUNTIF($K$2:K979,K979))&amp;K979</f>
        <v>5731300</v>
      </c>
      <c r="B979" s="52" t="s">
        <v>608</v>
      </c>
      <c r="C979" s="53" t="s">
        <v>566</v>
      </c>
      <c r="D979" s="54" t="s">
        <v>564</v>
      </c>
      <c r="E979" s="55">
        <v>4933180</v>
      </c>
      <c r="F979" s="55">
        <v>831660</v>
      </c>
      <c r="G979" s="55">
        <v>715720</v>
      </c>
      <c r="H979" s="55" t="s">
        <v>576</v>
      </c>
      <c r="I979" s="55">
        <v>-190.4</v>
      </c>
      <c r="J979" s="55">
        <v>75.150000000000006</v>
      </c>
      <c r="K979" s="59">
        <v>31300</v>
      </c>
      <c r="L979" s="55">
        <v>64.099999999999994</v>
      </c>
      <c r="M979" s="55">
        <v>33.149999999999991</v>
      </c>
      <c r="N979" s="55" t="s">
        <v>576</v>
      </c>
      <c r="O979" s="55">
        <v>481500</v>
      </c>
      <c r="P979" s="55">
        <v>1132000</v>
      </c>
      <c r="Q979" s="55">
        <v>13358920</v>
      </c>
      <c r="R979" s="57" t="s">
        <v>564</v>
      </c>
      <c r="S979" s="58" t="s">
        <v>565</v>
      </c>
      <c r="T979" s="51">
        <v>31330.9</v>
      </c>
    </row>
    <row r="980" spans="1:20" x14ac:dyDescent="0.25">
      <c r="A980" s="51" t="str">
        <f>(COUNTIF($K$2:K980,K980))&amp;K980</f>
        <v>5731400</v>
      </c>
      <c r="B980" s="52" t="s">
        <v>608</v>
      </c>
      <c r="C980" s="53" t="s">
        <v>566</v>
      </c>
      <c r="D980" s="54" t="s">
        <v>564</v>
      </c>
      <c r="E980" s="55">
        <v>11104600</v>
      </c>
      <c r="F980" s="55">
        <v>1592340</v>
      </c>
      <c r="G980" s="55">
        <v>1408040</v>
      </c>
      <c r="H980" s="55" t="s">
        <v>576</v>
      </c>
      <c r="I980" s="55">
        <v>-154.35</v>
      </c>
      <c r="J980" s="55">
        <v>34.65</v>
      </c>
      <c r="K980" s="56">
        <v>31400</v>
      </c>
      <c r="L980" s="55">
        <v>123.75</v>
      </c>
      <c r="M980" s="55">
        <v>69.8</v>
      </c>
      <c r="N980" s="55" t="s">
        <v>576</v>
      </c>
      <c r="O980" s="55">
        <v>78200</v>
      </c>
      <c r="P980" s="55">
        <v>634420</v>
      </c>
      <c r="Q980" s="55">
        <v>9678720</v>
      </c>
      <c r="R980" s="57" t="s">
        <v>564</v>
      </c>
      <c r="S980" s="58" t="s">
        <v>565</v>
      </c>
      <c r="T980" s="51">
        <v>31330.9</v>
      </c>
    </row>
    <row r="981" spans="1:20" x14ac:dyDescent="0.25">
      <c r="A981" s="51" t="str">
        <f>(COUNTIF($K$2:K981,K981))&amp;K981</f>
        <v>5731500</v>
      </c>
      <c r="B981" s="52" t="s">
        <v>608</v>
      </c>
      <c r="C981" s="53" t="s">
        <v>566</v>
      </c>
      <c r="D981" s="54" t="s">
        <v>564</v>
      </c>
      <c r="E981" s="55">
        <v>15989740</v>
      </c>
      <c r="F981" s="55">
        <v>2907820</v>
      </c>
      <c r="G981" s="55">
        <v>2129280</v>
      </c>
      <c r="H981" s="55" t="s">
        <v>576</v>
      </c>
      <c r="I981" s="55">
        <v>-111.7</v>
      </c>
      <c r="J981" s="55">
        <v>14.75</v>
      </c>
      <c r="K981" s="56">
        <v>31500</v>
      </c>
      <c r="L981" s="55">
        <v>204.95</v>
      </c>
      <c r="M981" s="55">
        <v>114.79999999999998</v>
      </c>
      <c r="N981" s="55" t="s">
        <v>576</v>
      </c>
      <c r="O981" s="55">
        <v>-194340</v>
      </c>
      <c r="P981" s="55">
        <v>436140</v>
      </c>
      <c r="Q981" s="55">
        <v>5381880</v>
      </c>
      <c r="R981" s="57" t="s">
        <v>563</v>
      </c>
      <c r="S981" s="58" t="s">
        <v>567</v>
      </c>
      <c r="T981" s="51">
        <v>31330.9</v>
      </c>
    </row>
    <row r="982" spans="1:20" x14ac:dyDescent="0.25">
      <c r="A982" s="51" t="str">
        <f>(COUNTIF($K$2:K982,K982))&amp;K982</f>
        <v>5731600</v>
      </c>
      <c r="B982" s="52" t="s">
        <v>608</v>
      </c>
      <c r="C982" s="53" t="s">
        <v>566</v>
      </c>
      <c r="D982" s="54" t="s">
        <v>564</v>
      </c>
      <c r="E982" s="55">
        <v>11897140</v>
      </c>
      <c r="F982" s="55">
        <v>1881420</v>
      </c>
      <c r="G982" s="55">
        <v>1261760</v>
      </c>
      <c r="H982" s="55" t="s">
        <v>576</v>
      </c>
      <c r="I982" s="55">
        <v>-72.600000000000009</v>
      </c>
      <c r="J982" s="55">
        <v>5.85</v>
      </c>
      <c r="K982" s="56">
        <v>31600</v>
      </c>
      <c r="L982" s="55">
        <v>296.2</v>
      </c>
      <c r="M982" s="55">
        <v>154.1</v>
      </c>
      <c r="N982" s="55" t="s">
        <v>576</v>
      </c>
      <c r="O982" s="55">
        <v>11160</v>
      </c>
      <c r="P982" s="55">
        <v>105400</v>
      </c>
      <c r="Q982" s="55">
        <v>1539400</v>
      </c>
      <c r="R982" s="57" t="s">
        <v>564</v>
      </c>
      <c r="S982" s="58" t="s">
        <v>565</v>
      </c>
      <c r="T982" s="51">
        <v>31330.9</v>
      </c>
    </row>
    <row r="983" spans="1:20" x14ac:dyDescent="0.25">
      <c r="A983" s="51" t="str">
        <f>(COUNTIF($K$2:K983,K983))&amp;K983</f>
        <v>5731700</v>
      </c>
      <c r="B983" s="52" t="s">
        <v>608</v>
      </c>
      <c r="C983" s="53" t="s">
        <v>566</v>
      </c>
      <c r="D983" s="54" t="s">
        <v>564</v>
      </c>
      <c r="E983" s="55">
        <v>9520300</v>
      </c>
      <c r="F983" s="55">
        <v>1375020</v>
      </c>
      <c r="G983" s="55">
        <v>739760</v>
      </c>
      <c r="H983" s="55" t="s">
        <v>576</v>
      </c>
      <c r="I983" s="55">
        <v>-41.75</v>
      </c>
      <c r="J983" s="55">
        <v>2.7</v>
      </c>
      <c r="K983" s="56">
        <v>31700</v>
      </c>
      <c r="L983" s="55">
        <v>392.15</v>
      </c>
      <c r="M983" s="55">
        <v>182.74999999999997</v>
      </c>
      <c r="N983" s="55" t="s">
        <v>576</v>
      </c>
      <c r="O983" s="55">
        <v>-10400</v>
      </c>
      <c r="P983" s="55">
        <v>39360</v>
      </c>
      <c r="Q983" s="55">
        <v>625340</v>
      </c>
      <c r="R983" s="57" t="s">
        <v>563</v>
      </c>
      <c r="S983" s="58" t="s">
        <v>567</v>
      </c>
      <c r="T983" s="51">
        <v>31330.9</v>
      </c>
    </row>
    <row r="984" spans="1:20" x14ac:dyDescent="0.25">
      <c r="A984" s="51" t="str">
        <f>(COUNTIF($K$2:K984,K984))&amp;K984</f>
        <v>5731800</v>
      </c>
      <c r="B984" s="52" t="s">
        <v>608</v>
      </c>
      <c r="C984" s="53" t="s">
        <v>566</v>
      </c>
      <c r="D984" s="54" t="s">
        <v>564</v>
      </c>
      <c r="E984" s="55">
        <v>6793460</v>
      </c>
      <c r="F984" s="55">
        <v>1034220</v>
      </c>
      <c r="G984" s="55">
        <v>448840</v>
      </c>
      <c r="H984" s="55" t="s">
        <v>576</v>
      </c>
      <c r="I984" s="55">
        <v>-22.15</v>
      </c>
      <c r="J984" s="55">
        <v>1.35</v>
      </c>
      <c r="K984" s="56">
        <v>31800</v>
      </c>
      <c r="L984" s="55">
        <v>493.75</v>
      </c>
      <c r="M984" s="55">
        <v>208.39999999999998</v>
      </c>
      <c r="N984" s="55" t="s">
        <v>576</v>
      </c>
      <c r="O984" s="55">
        <v>1780</v>
      </c>
      <c r="P984" s="55">
        <v>16760</v>
      </c>
      <c r="Q984" s="55">
        <v>233720</v>
      </c>
      <c r="R984" s="57" t="s">
        <v>564</v>
      </c>
      <c r="S984" s="58" t="s">
        <v>565</v>
      </c>
      <c r="T984" s="51">
        <v>31330.9</v>
      </c>
    </row>
    <row r="985" spans="1:20" x14ac:dyDescent="0.25">
      <c r="A985" s="51" t="str">
        <f>(COUNTIF($K$2:K985,K985))&amp;K985</f>
        <v>5731900</v>
      </c>
      <c r="B985" s="52" t="s">
        <v>608</v>
      </c>
      <c r="C985" s="53" t="s">
        <v>566</v>
      </c>
      <c r="D985" s="54" t="s">
        <v>564</v>
      </c>
      <c r="E985" s="55">
        <v>20513120</v>
      </c>
      <c r="F985" s="55">
        <v>642000</v>
      </c>
      <c r="G985" s="55">
        <v>130200</v>
      </c>
      <c r="H985" s="55" t="s">
        <v>576</v>
      </c>
      <c r="I985" s="55">
        <v>-10.199999999999999</v>
      </c>
      <c r="J985" s="55">
        <v>0.9</v>
      </c>
      <c r="K985" s="56">
        <v>31900</v>
      </c>
      <c r="L985" s="55">
        <v>593.6</v>
      </c>
      <c r="M985" s="55">
        <v>216.90000000000003</v>
      </c>
      <c r="N985" s="55" t="s">
        <v>576</v>
      </c>
      <c r="O985" s="55">
        <v>1280</v>
      </c>
      <c r="P985" s="55">
        <v>6820</v>
      </c>
      <c r="Q985" s="55">
        <v>49160</v>
      </c>
      <c r="R985" s="57" t="s">
        <v>564</v>
      </c>
      <c r="S985" s="58" t="s">
        <v>565</v>
      </c>
      <c r="T985" s="51">
        <v>31330.9</v>
      </c>
    </row>
    <row r="986" spans="1:20" x14ac:dyDescent="0.25">
      <c r="A986" s="51" t="str">
        <f>(COUNTIF($K$2:K986,K986))&amp;K986</f>
        <v>5732000</v>
      </c>
      <c r="B986" s="52" t="s">
        <v>608</v>
      </c>
      <c r="C986" s="53" t="s">
        <v>566</v>
      </c>
      <c r="D986" s="54" t="s">
        <v>564</v>
      </c>
      <c r="E986" s="55">
        <v>5556440</v>
      </c>
      <c r="F986" s="55">
        <v>723700</v>
      </c>
      <c r="G986" s="55">
        <v>112040</v>
      </c>
      <c r="H986" s="55" t="s">
        <v>576</v>
      </c>
      <c r="I986" s="55">
        <v>-5.4</v>
      </c>
      <c r="J986" s="55">
        <v>0.6</v>
      </c>
      <c r="K986" s="56">
        <v>32000</v>
      </c>
      <c r="L986" s="55">
        <v>695</v>
      </c>
      <c r="M986" s="55">
        <v>224.5</v>
      </c>
      <c r="N986" s="55" t="s">
        <v>576</v>
      </c>
      <c r="O986" s="55">
        <v>-1360</v>
      </c>
      <c r="P986" s="55">
        <v>10760</v>
      </c>
      <c r="Q986" s="55">
        <v>31820</v>
      </c>
      <c r="R986" s="57" t="s">
        <v>563</v>
      </c>
      <c r="S986" s="58" t="s">
        <v>567</v>
      </c>
      <c r="T986" s="51">
        <v>31330.9</v>
      </c>
    </row>
    <row r="987" spans="1:20" x14ac:dyDescent="0.25">
      <c r="A987" s="51" t="str">
        <f>(COUNTIF($K$2:K987,K987))&amp;K987</f>
        <v>58PCR</v>
      </c>
      <c r="B987" s="52" t="s">
        <v>608</v>
      </c>
      <c r="C987" s="60">
        <v>0.79414051834673727</v>
      </c>
      <c r="E987" s="61"/>
      <c r="F987" s="62">
        <v>11573720</v>
      </c>
      <c r="G987" s="63"/>
      <c r="H987" s="64"/>
      <c r="I987" s="64"/>
      <c r="J987" s="64"/>
      <c r="K987" s="65" t="s">
        <v>555</v>
      </c>
      <c r="L987" s="64"/>
      <c r="M987" s="64"/>
      <c r="N987" s="64"/>
      <c r="P987" s="63">
        <v>9191160</v>
      </c>
      <c r="Q987" s="61"/>
      <c r="R987" s="64"/>
      <c r="S987" s="64"/>
    </row>
    <row r="988" spans="1:20" x14ac:dyDescent="0.25">
      <c r="A988" s="51" t="str">
        <f>(COUNTIF($K$2:K988,K988))&amp;K988</f>
        <v>2930500</v>
      </c>
      <c r="B988" s="52" t="s">
        <v>609</v>
      </c>
      <c r="C988" s="53" t="s">
        <v>562</v>
      </c>
      <c r="D988" s="54" t="s">
        <v>563</v>
      </c>
      <c r="E988" s="55">
        <v>16780</v>
      </c>
      <c r="F988" s="55">
        <v>26000</v>
      </c>
      <c r="G988" s="55">
        <v>-6220</v>
      </c>
      <c r="H988" s="55" t="s">
        <v>574</v>
      </c>
      <c r="I988" s="55">
        <v>-221.94999999999993</v>
      </c>
      <c r="J988" s="55">
        <v>809.85</v>
      </c>
      <c r="K988" s="56">
        <v>30500</v>
      </c>
      <c r="L988" s="55">
        <v>0.55000000000000004</v>
      </c>
      <c r="M988" s="55">
        <v>-2.1500000000000004</v>
      </c>
      <c r="N988" s="55" t="s">
        <v>576</v>
      </c>
      <c r="O988" s="55">
        <v>-12740</v>
      </c>
      <c r="P988" s="55">
        <v>401600</v>
      </c>
      <c r="Q988" s="55">
        <v>265660</v>
      </c>
      <c r="R988" s="57" t="s">
        <v>563</v>
      </c>
      <c r="S988" s="58" t="s">
        <v>562</v>
      </c>
      <c r="T988" s="51">
        <v>31328.15</v>
      </c>
    </row>
    <row r="989" spans="1:20" x14ac:dyDescent="0.25">
      <c r="A989" s="51" t="str">
        <f>(COUNTIF($K$2:K989,K989))&amp;K989</f>
        <v>4930600</v>
      </c>
      <c r="B989" s="52" t="s">
        <v>609</v>
      </c>
      <c r="C989" s="53" t="s">
        <v>562</v>
      </c>
      <c r="D989" s="54" t="s">
        <v>563</v>
      </c>
      <c r="E989" s="55">
        <v>1920</v>
      </c>
      <c r="F989" s="55">
        <v>3620</v>
      </c>
      <c r="G989" s="55">
        <v>-920</v>
      </c>
      <c r="H989" s="55" t="s">
        <v>574</v>
      </c>
      <c r="I989" s="55">
        <v>-221.70000000000005</v>
      </c>
      <c r="J989" s="55">
        <v>711</v>
      </c>
      <c r="K989" s="56">
        <v>30600</v>
      </c>
      <c r="L989" s="55">
        <v>0.7</v>
      </c>
      <c r="M989" s="55">
        <v>-2.2999999999999998</v>
      </c>
      <c r="N989" s="55" t="s">
        <v>576</v>
      </c>
      <c r="O989" s="55">
        <v>11780</v>
      </c>
      <c r="P989" s="55">
        <v>211020</v>
      </c>
      <c r="Q989" s="55">
        <v>232900</v>
      </c>
      <c r="R989" s="57" t="s">
        <v>564</v>
      </c>
      <c r="S989" s="58" t="s">
        <v>566</v>
      </c>
      <c r="T989" s="51">
        <v>31328.15</v>
      </c>
    </row>
    <row r="990" spans="1:20" x14ac:dyDescent="0.25">
      <c r="A990" s="51" t="str">
        <f>(COUNTIF($K$2:K990,K990))&amp;K990</f>
        <v>5830700</v>
      </c>
      <c r="B990" s="52" t="s">
        <v>609</v>
      </c>
      <c r="C990" s="53" t="s">
        <v>562</v>
      </c>
      <c r="D990" s="54" t="s">
        <v>563</v>
      </c>
      <c r="E990" s="55">
        <v>8560</v>
      </c>
      <c r="F990" s="55">
        <v>10440</v>
      </c>
      <c r="G990" s="55">
        <v>-1380</v>
      </c>
      <c r="H990" s="55" t="s">
        <v>574</v>
      </c>
      <c r="I990" s="55">
        <v>-228</v>
      </c>
      <c r="J990" s="55">
        <v>608</v>
      </c>
      <c r="K990" s="56">
        <v>30700</v>
      </c>
      <c r="L990" s="55">
        <v>0.8</v>
      </c>
      <c r="M990" s="55">
        <v>-2.8</v>
      </c>
      <c r="N990" s="55" t="s">
        <v>576</v>
      </c>
      <c r="O990" s="55">
        <v>75640</v>
      </c>
      <c r="P990" s="55">
        <v>265840</v>
      </c>
      <c r="Q990" s="55">
        <v>509940</v>
      </c>
      <c r="R990" s="57" t="s">
        <v>564</v>
      </c>
      <c r="S990" s="58" t="s">
        <v>566</v>
      </c>
      <c r="T990" s="51">
        <v>31328.15</v>
      </c>
    </row>
    <row r="991" spans="1:20" x14ac:dyDescent="0.25">
      <c r="A991" s="51" t="str">
        <f>(COUNTIF($K$2:K991,K991))&amp;K991</f>
        <v>5830800</v>
      </c>
      <c r="B991" s="52" t="s">
        <v>609</v>
      </c>
      <c r="C991" s="53" t="s">
        <v>562</v>
      </c>
      <c r="D991" s="54" t="s">
        <v>563</v>
      </c>
      <c r="E991" s="55">
        <v>7120</v>
      </c>
      <c r="F991" s="55">
        <v>7400</v>
      </c>
      <c r="G991" s="55">
        <v>-100</v>
      </c>
      <c r="H991" s="55" t="s">
        <v>574</v>
      </c>
      <c r="I991" s="55">
        <v>-224.75</v>
      </c>
      <c r="J991" s="55">
        <v>510.85</v>
      </c>
      <c r="K991" s="56">
        <v>30800</v>
      </c>
      <c r="L991" s="55">
        <v>1.2</v>
      </c>
      <c r="M991" s="55">
        <v>-2.8999999999999995</v>
      </c>
      <c r="N991" s="55" t="s">
        <v>576</v>
      </c>
      <c r="O991" s="55">
        <v>70060</v>
      </c>
      <c r="P991" s="55">
        <v>437460</v>
      </c>
      <c r="Q991" s="55">
        <v>1182260</v>
      </c>
      <c r="R991" s="57" t="s">
        <v>564</v>
      </c>
      <c r="S991" s="58" t="s">
        <v>566</v>
      </c>
      <c r="T991" s="51">
        <v>31328.15</v>
      </c>
    </row>
    <row r="992" spans="1:20" x14ac:dyDescent="0.25">
      <c r="A992" s="51" t="str">
        <f>(COUNTIF($K$2:K992,K992))&amp;K992</f>
        <v>5830900</v>
      </c>
      <c r="B992" s="52" t="s">
        <v>609</v>
      </c>
      <c r="C992" s="53" t="s">
        <v>566</v>
      </c>
      <c r="D992" s="54" t="s">
        <v>564</v>
      </c>
      <c r="E992" s="55">
        <v>10180</v>
      </c>
      <c r="F992" s="55">
        <v>7720</v>
      </c>
      <c r="G992" s="55">
        <v>1480</v>
      </c>
      <c r="H992" s="55" t="s">
        <v>574</v>
      </c>
      <c r="I992" s="55">
        <v>-220.64999999999998</v>
      </c>
      <c r="J992" s="55">
        <v>412.9</v>
      </c>
      <c r="K992" s="56">
        <v>30900</v>
      </c>
      <c r="L992" s="55">
        <v>2.15</v>
      </c>
      <c r="M992" s="55">
        <v>-3.35</v>
      </c>
      <c r="N992" s="55" t="s">
        <v>576</v>
      </c>
      <c r="O992" s="55">
        <v>229080</v>
      </c>
      <c r="P992" s="55">
        <v>594960</v>
      </c>
      <c r="Q992" s="55">
        <v>2579040</v>
      </c>
      <c r="R992" s="57" t="s">
        <v>564</v>
      </c>
      <c r="S992" s="58" t="s">
        <v>566</v>
      </c>
      <c r="T992" s="51">
        <v>31328.15</v>
      </c>
    </row>
    <row r="993" spans="1:20" x14ac:dyDescent="0.25">
      <c r="A993" s="51" t="str">
        <f>(COUNTIF($K$2:K993,K993))&amp;K993</f>
        <v>5831000</v>
      </c>
      <c r="B993" s="52" t="s">
        <v>609</v>
      </c>
      <c r="C993" s="53" t="s">
        <v>566</v>
      </c>
      <c r="D993" s="54" t="s">
        <v>564</v>
      </c>
      <c r="E993" s="55">
        <v>237900</v>
      </c>
      <c r="F993" s="55">
        <v>105220</v>
      </c>
      <c r="G993" s="55">
        <v>17000</v>
      </c>
      <c r="H993" s="55" t="s">
        <v>574</v>
      </c>
      <c r="I993" s="55">
        <v>-232.95000000000005</v>
      </c>
      <c r="J993" s="55">
        <v>311.89999999999998</v>
      </c>
      <c r="K993" s="56">
        <v>31000</v>
      </c>
      <c r="L993" s="55">
        <v>4.5999999999999996</v>
      </c>
      <c r="M993" s="55">
        <v>-2.8000000000000007</v>
      </c>
      <c r="N993" s="55" t="s">
        <v>576</v>
      </c>
      <c r="O993" s="55">
        <v>1035700</v>
      </c>
      <c r="P993" s="55">
        <v>1846300</v>
      </c>
      <c r="Q993" s="55">
        <v>7653900</v>
      </c>
      <c r="R993" s="57" t="s">
        <v>564</v>
      </c>
      <c r="S993" s="58" t="s">
        <v>566</v>
      </c>
      <c r="T993" s="51">
        <v>31328.15</v>
      </c>
    </row>
    <row r="994" spans="1:20" x14ac:dyDescent="0.25">
      <c r="A994" s="51" t="str">
        <f>(COUNTIF($K$2:K994,K994))&amp;K994</f>
        <v>5831100</v>
      </c>
      <c r="B994" s="52" t="s">
        <v>609</v>
      </c>
      <c r="C994" s="53" t="s">
        <v>566</v>
      </c>
      <c r="D994" s="54" t="s">
        <v>564</v>
      </c>
      <c r="E994" s="55">
        <v>318040</v>
      </c>
      <c r="F994" s="55">
        <v>81000</v>
      </c>
      <c r="G994" s="55">
        <v>50340</v>
      </c>
      <c r="H994" s="55" t="s">
        <v>574</v>
      </c>
      <c r="I994" s="55">
        <v>-225.45</v>
      </c>
      <c r="J994" s="55">
        <v>219.7</v>
      </c>
      <c r="K994" s="56">
        <v>31100</v>
      </c>
      <c r="L994" s="55">
        <v>10.85</v>
      </c>
      <c r="M994" s="55">
        <v>0.69999999999999929</v>
      </c>
      <c r="N994" s="55" t="s">
        <v>576</v>
      </c>
      <c r="O994" s="55">
        <v>1044580</v>
      </c>
      <c r="P994" s="55">
        <v>1563280</v>
      </c>
      <c r="Q994" s="55">
        <v>9562280</v>
      </c>
      <c r="R994" s="57" t="s">
        <v>564</v>
      </c>
      <c r="S994" s="58" t="s">
        <v>565</v>
      </c>
      <c r="T994" s="51">
        <v>31328.15</v>
      </c>
    </row>
    <row r="995" spans="1:20" x14ac:dyDescent="0.25">
      <c r="A995" s="51" t="str">
        <f>(COUNTIF($K$2:K995,K995))&amp;K995</f>
        <v>5831200</v>
      </c>
      <c r="B995" s="52" t="s">
        <v>609</v>
      </c>
      <c r="C995" s="53" t="s">
        <v>566</v>
      </c>
      <c r="D995" s="54" t="s">
        <v>564</v>
      </c>
      <c r="E995" s="55">
        <v>2131760</v>
      </c>
      <c r="F995" s="55">
        <v>338820</v>
      </c>
      <c r="G995" s="55">
        <v>207100</v>
      </c>
      <c r="H995" s="55" t="s">
        <v>576</v>
      </c>
      <c r="I995" s="55">
        <v>-213.29999999999998</v>
      </c>
      <c r="J995" s="55">
        <v>137.15</v>
      </c>
      <c r="K995" s="56">
        <v>31200</v>
      </c>
      <c r="L995" s="55">
        <v>28.5</v>
      </c>
      <c r="M995" s="55">
        <v>11.100000000000001</v>
      </c>
      <c r="N995" s="55" t="s">
        <v>576</v>
      </c>
      <c r="O995" s="55">
        <v>974280</v>
      </c>
      <c r="P995" s="55">
        <v>1500220</v>
      </c>
      <c r="Q995" s="55">
        <v>12856340</v>
      </c>
      <c r="R995" s="57" t="s">
        <v>564</v>
      </c>
      <c r="S995" s="58" t="s">
        <v>565</v>
      </c>
      <c r="T995" s="51">
        <v>31328.15</v>
      </c>
    </row>
    <row r="996" spans="1:20" ht="15.75" x14ac:dyDescent="0.25">
      <c r="A996" s="51" t="str">
        <f>(COUNTIF($K$2:K996,K996))&amp;K996</f>
        <v>5831300</v>
      </c>
      <c r="B996" s="52" t="s">
        <v>609</v>
      </c>
      <c r="C996" s="53" t="s">
        <v>566</v>
      </c>
      <c r="D996" s="54" t="s">
        <v>564</v>
      </c>
      <c r="E996" s="55">
        <v>5040800</v>
      </c>
      <c r="F996" s="55">
        <v>835400</v>
      </c>
      <c r="G996" s="55">
        <v>719460</v>
      </c>
      <c r="H996" s="55" t="s">
        <v>576</v>
      </c>
      <c r="I996" s="55">
        <v>-191.65</v>
      </c>
      <c r="J996" s="55">
        <v>73.900000000000006</v>
      </c>
      <c r="K996" s="59">
        <v>31300</v>
      </c>
      <c r="L996" s="55">
        <v>65.05</v>
      </c>
      <c r="M996" s="55">
        <v>34.099999999999994</v>
      </c>
      <c r="N996" s="55" t="s">
        <v>576</v>
      </c>
      <c r="O996" s="55">
        <v>494360</v>
      </c>
      <c r="P996" s="55">
        <v>1144860</v>
      </c>
      <c r="Q996" s="55">
        <v>13536760</v>
      </c>
      <c r="R996" s="57" t="s">
        <v>564</v>
      </c>
      <c r="S996" s="58" t="s">
        <v>565</v>
      </c>
      <c r="T996" s="51">
        <v>31328.15</v>
      </c>
    </row>
    <row r="997" spans="1:20" x14ac:dyDescent="0.25">
      <c r="A997" s="51" t="str">
        <f>(COUNTIF($K$2:K997,K997))&amp;K997</f>
        <v>5831400</v>
      </c>
      <c r="B997" s="52" t="s">
        <v>609</v>
      </c>
      <c r="C997" s="53" t="s">
        <v>566</v>
      </c>
      <c r="D997" s="54" t="s">
        <v>564</v>
      </c>
      <c r="E997" s="55">
        <v>11306280</v>
      </c>
      <c r="F997" s="55">
        <v>1603160</v>
      </c>
      <c r="G997" s="55">
        <v>1418860</v>
      </c>
      <c r="H997" s="55" t="s">
        <v>576</v>
      </c>
      <c r="I997" s="55">
        <v>-154.75</v>
      </c>
      <c r="J997" s="55">
        <v>34.25</v>
      </c>
      <c r="K997" s="56">
        <v>31400</v>
      </c>
      <c r="L997" s="55">
        <v>126</v>
      </c>
      <c r="M997" s="55">
        <v>72.05</v>
      </c>
      <c r="N997" s="55" t="s">
        <v>576</v>
      </c>
      <c r="O997" s="55">
        <v>78500</v>
      </c>
      <c r="P997" s="55">
        <v>634720</v>
      </c>
      <c r="Q997" s="55">
        <v>9740500</v>
      </c>
      <c r="R997" s="57" t="s">
        <v>564</v>
      </c>
      <c r="S997" s="58" t="s">
        <v>565</v>
      </c>
      <c r="T997" s="51">
        <v>31328.15</v>
      </c>
    </row>
    <row r="998" spans="1:20" x14ac:dyDescent="0.25">
      <c r="A998" s="51" t="str">
        <f>(COUNTIF($K$2:K998,K998))&amp;K998</f>
        <v>5831500</v>
      </c>
      <c r="B998" s="52" t="s">
        <v>609</v>
      </c>
      <c r="C998" s="53" t="s">
        <v>566</v>
      </c>
      <c r="D998" s="54" t="s">
        <v>564</v>
      </c>
      <c r="E998" s="55">
        <v>16151200</v>
      </c>
      <c r="F998" s="55">
        <v>2921600</v>
      </c>
      <c r="G998" s="55">
        <v>2143060</v>
      </c>
      <c r="H998" s="55" t="s">
        <v>576</v>
      </c>
      <c r="I998" s="55">
        <v>-111.8</v>
      </c>
      <c r="J998" s="55">
        <v>14.65</v>
      </c>
      <c r="K998" s="56">
        <v>31500</v>
      </c>
      <c r="L998" s="55">
        <v>207.25</v>
      </c>
      <c r="M998" s="55">
        <v>117.1</v>
      </c>
      <c r="N998" s="55" t="s">
        <v>576</v>
      </c>
      <c r="O998" s="55">
        <v>-194760</v>
      </c>
      <c r="P998" s="55">
        <v>435720</v>
      </c>
      <c r="Q998" s="55">
        <v>5417960</v>
      </c>
      <c r="R998" s="57" t="s">
        <v>563</v>
      </c>
      <c r="S998" s="58" t="s">
        <v>567</v>
      </c>
      <c r="T998" s="51">
        <v>31328.15</v>
      </c>
    </row>
    <row r="999" spans="1:20" x14ac:dyDescent="0.25">
      <c r="A999" s="51" t="str">
        <f>(COUNTIF($K$2:K999,K999))&amp;K999</f>
        <v>5831600</v>
      </c>
      <c r="B999" s="52" t="s">
        <v>609</v>
      </c>
      <c r="C999" s="53" t="s">
        <v>566</v>
      </c>
      <c r="D999" s="54" t="s">
        <v>564</v>
      </c>
      <c r="E999" s="55">
        <v>11990860</v>
      </c>
      <c r="F999" s="55">
        <v>1864820</v>
      </c>
      <c r="G999" s="55">
        <v>1245160</v>
      </c>
      <c r="H999" s="55" t="s">
        <v>576</v>
      </c>
      <c r="I999" s="55">
        <v>-72.650000000000006</v>
      </c>
      <c r="J999" s="55">
        <v>5.8</v>
      </c>
      <c r="K999" s="56">
        <v>31600</v>
      </c>
      <c r="L999" s="55">
        <v>297.85000000000002</v>
      </c>
      <c r="M999" s="55">
        <v>155.75000000000003</v>
      </c>
      <c r="N999" s="55" t="s">
        <v>576</v>
      </c>
      <c r="O999" s="55">
        <v>9680</v>
      </c>
      <c r="P999" s="55">
        <v>103920</v>
      </c>
      <c r="Q999" s="55">
        <v>1543220</v>
      </c>
      <c r="R999" s="57" t="s">
        <v>564</v>
      </c>
      <c r="S999" s="58" t="s">
        <v>565</v>
      </c>
      <c r="T999" s="51">
        <v>31328.15</v>
      </c>
    </row>
    <row r="1000" spans="1:20" x14ac:dyDescent="0.25">
      <c r="A1000" s="51" t="str">
        <f>(COUNTIF($K$2:K1000,K1000))&amp;K1000</f>
        <v>5831700</v>
      </c>
      <c r="B1000" s="52" t="s">
        <v>609</v>
      </c>
      <c r="C1000" s="53" t="s">
        <v>566</v>
      </c>
      <c r="D1000" s="54" t="s">
        <v>564</v>
      </c>
      <c r="E1000" s="55">
        <v>9581380</v>
      </c>
      <c r="F1000" s="55">
        <v>1366860</v>
      </c>
      <c r="G1000" s="55">
        <v>731600</v>
      </c>
      <c r="H1000" s="55" t="s">
        <v>576</v>
      </c>
      <c r="I1000" s="55">
        <v>-41.800000000000004</v>
      </c>
      <c r="J1000" s="55">
        <v>2.65</v>
      </c>
      <c r="K1000" s="56">
        <v>31700</v>
      </c>
      <c r="L1000" s="55">
        <v>394.55</v>
      </c>
      <c r="M1000" s="55">
        <v>185.15</v>
      </c>
      <c r="N1000" s="55" t="s">
        <v>576</v>
      </c>
      <c r="O1000" s="55">
        <v>-6840</v>
      </c>
      <c r="P1000" s="55">
        <v>42920</v>
      </c>
      <c r="Q1000" s="55">
        <v>628280</v>
      </c>
      <c r="R1000" s="57" t="s">
        <v>563</v>
      </c>
      <c r="S1000" s="58" t="s">
        <v>567</v>
      </c>
      <c r="T1000" s="51">
        <v>31328.15</v>
      </c>
    </row>
    <row r="1001" spans="1:20" x14ac:dyDescent="0.25">
      <c r="A1001" s="51" t="str">
        <f>(COUNTIF($K$2:K1001,K1001))&amp;K1001</f>
        <v>5831800</v>
      </c>
      <c r="B1001" s="52" t="s">
        <v>609</v>
      </c>
      <c r="C1001" s="53" t="s">
        <v>566</v>
      </c>
      <c r="D1001" s="54" t="s">
        <v>564</v>
      </c>
      <c r="E1001" s="55">
        <v>6911340</v>
      </c>
      <c r="F1001" s="55">
        <v>1040280</v>
      </c>
      <c r="G1001" s="55">
        <v>454900</v>
      </c>
      <c r="H1001" s="55" t="s">
        <v>576</v>
      </c>
      <c r="I1001" s="55">
        <v>-22.15</v>
      </c>
      <c r="J1001" s="55">
        <v>1.35</v>
      </c>
      <c r="K1001" s="56">
        <v>31800</v>
      </c>
      <c r="L1001" s="55">
        <v>495.4</v>
      </c>
      <c r="M1001" s="55">
        <v>210.04999999999995</v>
      </c>
      <c r="N1001" s="55" t="s">
        <v>576</v>
      </c>
      <c r="O1001" s="55">
        <v>1780</v>
      </c>
      <c r="P1001" s="55">
        <v>16760</v>
      </c>
      <c r="Q1001" s="55">
        <v>234520</v>
      </c>
      <c r="R1001" s="57" t="s">
        <v>564</v>
      </c>
      <c r="S1001" s="58" t="s">
        <v>565</v>
      </c>
      <c r="T1001" s="51">
        <v>31328.15</v>
      </c>
    </row>
    <row r="1002" spans="1:20" x14ac:dyDescent="0.25">
      <c r="A1002" s="51" t="str">
        <f>(COUNTIF($K$2:K1002,K1002))&amp;K1002</f>
        <v>5831900</v>
      </c>
      <c r="B1002" s="52" t="s">
        <v>609</v>
      </c>
      <c r="C1002" s="53" t="s">
        <v>566</v>
      </c>
      <c r="D1002" s="54" t="s">
        <v>564</v>
      </c>
      <c r="E1002" s="55">
        <v>21305040</v>
      </c>
      <c r="F1002" s="55">
        <v>658660</v>
      </c>
      <c r="G1002" s="55">
        <v>146860</v>
      </c>
      <c r="H1002" s="55" t="s">
        <v>576</v>
      </c>
      <c r="I1002" s="55">
        <v>-10.199999999999999</v>
      </c>
      <c r="J1002" s="55">
        <v>0.9</v>
      </c>
      <c r="K1002" s="56">
        <v>31900</v>
      </c>
      <c r="L1002" s="55">
        <v>595</v>
      </c>
      <c r="M1002" s="55">
        <v>218.3</v>
      </c>
      <c r="N1002" s="55" t="s">
        <v>576</v>
      </c>
      <c r="O1002" s="55">
        <v>1600</v>
      </c>
      <c r="P1002" s="55">
        <v>7140</v>
      </c>
      <c r="Q1002" s="55">
        <v>49480</v>
      </c>
      <c r="R1002" s="57" t="s">
        <v>564</v>
      </c>
      <c r="S1002" s="58" t="s">
        <v>565</v>
      </c>
      <c r="T1002" s="51">
        <v>31328.15</v>
      </c>
    </row>
    <row r="1003" spans="1:20" x14ac:dyDescent="0.25">
      <c r="A1003" s="51" t="str">
        <f>(COUNTIF($K$2:K1003,K1003))&amp;K1003</f>
        <v>5832000</v>
      </c>
      <c r="B1003" s="52" t="s">
        <v>609</v>
      </c>
      <c r="C1003" s="53" t="s">
        <v>566</v>
      </c>
      <c r="D1003" s="54" t="s">
        <v>564</v>
      </c>
      <c r="E1003" s="55">
        <v>5564460</v>
      </c>
      <c r="F1003" s="55">
        <v>720220</v>
      </c>
      <c r="G1003" s="55">
        <v>108560</v>
      </c>
      <c r="H1003" s="55" t="s">
        <v>576</v>
      </c>
      <c r="I1003" s="55">
        <v>-5.45</v>
      </c>
      <c r="J1003" s="55">
        <v>0.55000000000000004</v>
      </c>
      <c r="K1003" s="56">
        <v>32000</v>
      </c>
      <c r="L1003" s="55">
        <v>695.5</v>
      </c>
      <c r="M1003" s="55">
        <v>225</v>
      </c>
      <c r="N1003" s="55" t="s">
        <v>576</v>
      </c>
      <c r="O1003" s="55">
        <v>-2060</v>
      </c>
      <c r="P1003" s="55">
        <v>10060</v>
      </c>
      <c r="Q1003" s="55">
        <v>31940</v>
      </c>
      <c r="R1003" s="57" t="s">
        <v>563</v>
      </c>
      <c r="S1003" s="58" t="s">
        <v>567</v>
      </c>
      <c r="T1003" s="51">
        <v>31328.15</v>
      </c>
    </row>
    <row r="1004" spans="1:20" x14ac:dyDescent="0.25">
      <c r="A1004" s="51" t="str">
        <f>(COUNTIF($K$2:K1004,K1004))&amp;K1004</f>
        <v>59PCR</v>
      </c>
      <c r="B1004" s="52" t="s">
        <v>609</v>
      </c>
      <c r="C1004" s="60">
        <v>0.79515184769161484</v>
      </c>
      <c r="E1004" s="61"/>
      <c r="F1004" s="62">
        <v>11591220</v>
      </c>
      <c r="G1004" s="63"/>
      <c r="H1004" s="64"/>
      <c r="I1004" s="64"/>
      <c r="J1004" s="64"/>
      <c r="K1004" s="65" t="s">
        <v>555</v>
      </c>
      <c r="L1004" s="64"/>
      <c r="M1004" s="64"/>
      <c r="N1004" s="64"/>
      <c r="P1004" s="63">
        <v>9216780</v>
      </c>
      <c r="Q1004" s="61"/>
      <c r="R1004" s="64"/>
      <c r="S1004" s="64"/>
    </row>
    <row r="1005" spans="1:20" x14ac:dyDescent="0.25">
      <c r="A1005" s="51" t="str">
        <f>(COUNTIF($K$2:K1005,K1005))&amp;K1005</f>
        <v>3030500</v>
      </c>
      <c r="B1005" s="52" t="s">
        <v>609</v>
      </c>
      <c r="C1005" s="53" t="s">
        <v>562</v>
      </c>
      <c r="D1005" s="54" t="s">
        <v>563</v>
      </c>
      <c r="E1005" s="55">
        <v>16780</v>
      </c>
      <c r="F1005" s="55">
        <v>26000</v>
      </c>
      <c r="G1005" s="55">
        <v>-6220</v>
      </c>
      <c r="H1005" s="55" t="s">
        <v>574</v>
      </c>
      <c r="I1005" s="55">
        <v>-221.94999999999993</v>
      </c>
      <c r="J1005" s="55">
        <v>809.85</v>
      </c>
      <c r="K1005" s="56">
        <v>30500</v>
      </c>
      <c r="L1005" s="55">
        <v>0.55000000000000004</v>
      </c>
      <c r="M1005" s="55">
        <v>-2.1500000000000004</v>
      </c>
      <c r="N1005" s="55" t="s">
        <v>576</v>
      </c>
      <c r="O1005" s="55">
        <v>-12740</v>
      </c>
      <c r="P1005" s="55">
        <v>401600</v>
      </c>
      <c r="Q1005" s="55">
        <v>265660</v>
      </c>
      <c r="R1005" s="57" t="s">
        <v>563</v>
      </c>
      <c r="S1005" s="58" t="s">
        <v>562</v>
      </c>
      <c r="T1005" s="51">
        <v>31328.15</v>
      </c>
    </row>
    <row r="1006" spans="1:20" x14ac:dyDescent="0.25">
      <c r="A1006" s="51" t="str">
        <f>(COUNTIF($K$2:K1006,K1006))&amp;K1006</f>
        <v>5030600</v>
      </c>
      <c r="B1006" s="52" t="s">
        <v>609</v>
      </c>
      <c r="C1006" s="53" t="s">
        <v>562</v>
      </c>
      <c r="D1006" s="54" t="s">
        <v>563</v>
      </c>
      <c r="E1006" s="55">
        <v>1920</v>
      </c>
      <c r="F1006" s="55">
        <v>3620</v>
      </c>
      <c r="G1006" s="55">
        <v>-920</v>
      </c>
      <c r="H1006" s="55" t="s">
        <v>574</v>
      </c>
      <c r="I1006" s="55">
        <v>-221.70000000000005</v>
      </c>
      <c r="J1006" s="55">
        <v>711</v>
      </c>
      <c r="K1006" s="56">
        <v>30600</v>
      </c>
      <c r="L1006" s="55">
        <v>0.7</v>
      </c>
      <c r="M1006" s="55">
        <v>-2.2999999999999998</v>
      </c>
      <c r="N1006" s="55" t="s">
        <v>576</v>
      </c>
      <c r="O1006" s="55">
        <v>11780</v>
      </c>
      <c r="P1006" s="55">
        <v>211020</v>
      </c>
      <c r="Q1006" s="55">
        <v>232900</v>
      </c>
      <c r="R1006" s="57" t="s">
        <v>564</v>
      </c>
      <c r="S1006" s="58" t="s">
        <v>566</v>
      </c>
      <c r="T1006" s="51">
        <v>31328.15</v>
      </c>
    </row>
    <row r="1007" spans="1:20" x14ac:dyDescent="0.25">
      <c r="A1007" s="51" t="str">
        <f>(COUNTIF($K$2:K1007,K1007))&amp;K1007</f>
        <v>5930700</v>
      </c>
      <c r="B1007" s="52" t="s">
        <v>609</v>
      </c>
      <c r="C1007" s="53" t="s">
        <v>562</v>
      </c>
      <c r="D1007" s="54" t="s">
        <v>563</v>
      </c>
      <c r="E1007" s="55">
        <v>8560</v>
      </c>
      <c r="F1007" s="55">
        <v>10440</v>
      </c>
      <c r="G1007" s="55">
        <v>-1380</v>
      </c>
      <c r="H1007" s="55" t="s">
        <v>574</v>
      </c>
      <c r="I1007" s="55">
        <v>-228</v>
      </c>
      <c r="J1007" s="55">
        <v>608</v>
      </c>
      <c r="K1007" s="56">
        <v>30700</v>
      </c>
      <c r="L1007" s="55">
        <v>0.8</v>
      </c>
      <c r="M1007" s="55">
        <v>-2.8</v>
      </c>
      <c r="N1007" s="55" t="s">
        <v>576</v>
      </c>
      <c r="O1007" s="55">
        <v>75640</v>
      </c>
      <c r="P1007" s="55">
        <v>265840</v>
      </c>
      <c r="Q1007" s="55">
        <v>509940</v>
      </c>
      <c r="R1007" s="57" t="s">
        <v>564</v>
      </c>
      <c r="S1007" s="58" t="s">
        <v>566</v>
      </c>
      <c r="T1007" s="51">
        <v>31328.15</v>
      </c>
    </row>
    <row r="1008" spans="1:20" x14ac:dyDescent="0.25">
      <c r="A1008" s="51" t="str">
        <f>(COUNTIF($K$2:K1008,K1008))&amp;K1008</f>
        <v>5930800</v>
      </c>
      <c r="B1008" s="52" t="s">
        <v>609</v>
      </c>
      <c r="C1008" s="53" t="s">
        <v>562</v>
      </c>
      <c r="D1008" s="54" t="s">
        <v>563</v>
      </c>
      <c r="E1008" s="55">
        <v>7120</v>
      </c>
      <c r="F1008" s="55">
        <v>7400</v>
      </c>
      <c r="G1008" s="55">
        <v>-100</v>
      </c>
      <c r="H1008" s="55" t="s">
        <v>574</v>
      </c>
      <c r="I1008" s="55">
        <v>-224.75</v>
      </c>
      <c r="J1008" s="55">
        <v>510.85</v>
      </c>
      <c r="K1008" s="56">
        <v>30800</v>
      </c>
      <c r="L1008" s="55">
        <v>1.2</v>
      </c>
      <c r="M1008" s="55">
        <v>-2.8999999999999995</v>
      </c>
      <c r="N1008" s="55" t="s">
        <v>576</v>
      </c>
      <c r="O1008" s="55">
        <v>70060</v>
      </c>
      <c r="P1008" s="55">
        <v>437460</v>
      </c>
      <c r="Q1008" s="55">
        <v>1182260</v>
      </c>
      <c r="R1008" s="57" t="s">
        <v>564</v>
      </c>
      <c r="S1008" s="58" t="s">
        <v>566</v>
      </c>
      <c r="T1008" s="51">
        <v>31328.15</v>
      </c>
    </row>
    <row r="1009" spans="1:20" x14ac:dyDescent="0.25">
      <c r="A1009" s="51" t="str">
        <f>(COUNTIF($K$2:K1009,K1009))&amp;K1009</f>
        <v>5930900</v>
      </c>
      <c r="B1009" s="52" t="s">
        <v>609</v>
      </c>
      <c r="C1009" s="53" t="s">
        <v>566</v>
      </c>
      <c r="D1009" s="54" t="s">
        <v>564</v>
      </c>
      <c r="E1009" s="55">
        <v>10180</v>
      </c>
      <c r="F1009" s="55">
        <v>7720</v>
      </c>
      <c r="G1009" s="55">
        <v>1480</v>
      </c>
      <c r="H1009" s="55" t="s">
        <v>574</v>
      </c>
      <c r="I1009" s="55">
        <v>-220.64999999999998</v>
      </c>
      <c r="J1009" s="55">
        <v>412.9</v>
      </c>
      <c r="K1009" s="56">
        <v>30900</v>
      </c>
      <c r="L1009" s="55">
        <v>2.15</v>
      </c>
      <c r="M1009" s="55">
        <v>-3.35</v>
      </c>
      <c r="N1009" s="55" t="s">
        <v>576</v>
      </c>
      <c r="O1009" s="55">
        <v>229080</v>
      </c>
      <c r="P1009" s="55">
        <v>594960</v>
      </c>
      <c r="Q1009" s="55">
        <v>2579040</v>
      </c>
      <c r="R1009" s="57" t="s">
        <v>564</v>
      </c>
      <c r="S1009" s="58" t="s">
        <v>566</v>
      </c>
      <c r="T1009" s="51">
        <v>31328.15</v>
      </c>
    </row>
    <row r="1010" spans="1:20" x14ac:dyDescent="0.25">
      <c r="A1010" s="51" t="str">
        <f>(COUNTIF($K$2:K1010,K1010))&amp;K1010</f>
        <v>5931000</v>
      </c>
      <c r="B1010" s="52" t="s">
        <v>609</v>
      </c>
      <c r="C1010" s="53" t="s">
        <v>566</v>
      </c>
      <c r="D1010" s="54" t="s">
        <v>564</v>
      </c>
      <c r="E1010" s="55">
        <v>237900</v>
      </c>
      <c r="F1010" s="55">
        <v>105220</v>
      </c>
      <c r="G1010" s="55">
        <v>17000</v>
      </c>
      <c r="H1010" s="55" t="s">
        <v>574</v>
      </c>
      <c r="I1010" s="55">
        <v>-232.95000000000005</v>
      </c>
      <c r="J1010" s="55">
        <v>311.89999999999998</v>
      </c>
      <c r="K1010" s="56">
        <v>31000</v>
      </c>
      <c r="L1010" s="55">
        <v>4.5999999999999996</v>
      </c>
      <c r="M1010" s="55">
        <v>-2.8000000000000007</v>
      </c>
      <c r="N1010" s="55" t="s">
        <v>576</v>
      </c>
      <c r="O1010" s="55">
        <v>1035700</v>
      </c>
      <c r="P1010" s="55">
        <v>1846300</v>
      </c>
      <c r="Q1010" s="55">
        <v>7653900</v>
      </c>
      <c r="R1010" s="57" t="s">
        <v>564</v>
      </c>
      <c r="S1010" s="58" t="s">
        <v>566</v>
      </c>
      <c r="T1010" s="51">
        <v>31328.15</v>
      </c>
    </row>
    <row r="1011" spans="1:20" x14ac:dyDescent="0.25">
      <c r="A1011" s="51" t="str">
        <f>(COUNTIF($K$2:K1011,K1011))&amp;K1011</f>
        <v>5931100</v>
      </c>
      <c r="B1011" s="52" t="s">
        <v>609</v>
      </c>
      <c r="C1011" s="53" t="s">
        <v>566</v>
      </c>
      <c r="D1011" s="54" t="s">
        <v>564</v>
      </c>
      <c r="E1011" s="55">
        <v>318040</v>
      </c>
      <c r="F1011" s="55">
        <v>81000</v>
      </c>
      <c r="G1011" s="55">
        <v>50340</v>
      </c>
      <c r="H1011" s="55" t="s">
        <v>574</v>
      </c>
      <c r="I1011" s="55">
        <v>-225.45</v>
      </c>
      <c r="J1011" s="55">
        <v>219.7</v>
      </c>
      <c r="K1011" s="56">
        <v>31100</v>
      </c>
      <c r="L1011" s="55">
        <v>10.85</v>
      </c>
      <c r="M1011" s="55">
        <v>0.69999999999999929</v>
      </c>
      <c r="N1011" s="55" t="s">
        <v>576</v>
      </c>
      <c r="O1011" s="55">
        <v>1044580</v>
      </c>
      <c r="P1011" s="55">
        <v>1563280</v>
      </c>
      <c r="Q1011" s="55">
        <v>9562280</v>
      </c>
      <c r="R1011" s="57" t="s">
        <v>564</v>
      </c>
      <c r="S1011" s="58" t="s">
        <v>565</v>
      </c>
      <c r="T1011" s="51">
        <v>31328.15</v>
      </c>
    </row>
    <row r="1012" spans="1:20" x14ac:dyDescent="0.25">
      <c r="A1012" s="51" t="str">
        <f>(COUNTIF($K$2:K1012,K1012))&amp;K1012</f>
        <v>5931200</v>
      </c>
      <c r="B1012" s="52" t="s">
        <v>609</v>
      </c>
      <c r="C1012" s="53" t="s">
        <v>566</v>
      </c>
      <c r="D1012" s="54" t="s">
        <v>564</v>
      </c>
      <c r="E1012" s="55">
        <v>2131760</v>
      </c>
      <c r="F1012" s="55">
        <v>338820</v>
      </c>
      <c r="G1012" s="55">
        <v>207100</v>
      </c>
      <c r="H1012" s="55" t="s">
        <v>576</v>
      </c>
      <c r="I1012" s="55">
        <v>-213.29999999999998</v>
      </c>
      <c r="J1012" s="55">
        <v>137.15</v>
      </c>
      <c r="K1012" s="56">
        <v>31200</v>
      </c>
      <c r="L1012" s="55">
        <v>28.5</v>
      </c>
      <c r="M1012" s="55">
        <v>11.100000000000001</v>
      </c>
      <c r="N1012" s="55" t="s">
        <v>576</v>
      </c>
      <c r="O1012" s="55">
        <v>974280</v>
      </c>
      <c r="P1012" s="55">
        <v>1500220</v>
      </c>
      <c r="Q1012" s="55">
        <v>12856340</v>
      </c>
      <c r="R1012" s="57" t="s">
        <v>564</v>
      </c>
      <c r="S1012" s="58" t="s">
        <v>565</v>
      </c>
      <c r="T1012" s="51">
        <v>31328.15</v>
      </c>
    </row>
    <row r="1013" spans="1:20" ht="15.75" x14ac:dyDescent="0.25">
      <c r="A1013" s="51" t="str">
        <f>(COUNTIF($K$2:K1013,K1013))&amp;K1013</f>
        <v>5931300</v>
      </c>
      <c r="B1013" s="52" t="s">
        <v>609</v>
      </c>
      <c r="C1013" s="53" t="s">
        <v>566</v>
      </c>
      <c r="D1013" s="54" t="s">
        <v>564</v>
      </c>
      <c r="E1013" s="55">
        <v>5040800</v>
      </c>
      <c r="F1013" s="55">
        <v>835400</v>
      </c>
      <c r="G1013" s="55">
        <v>719460</v>
      </c>
      <c r="H1013" s="55" t="s">
        <v>576</v>
      </c>
      <c r="I1013" s="55">
        <v>-191.65</v>
      </c>
      <c r="J1013" s="55">
        <v>73.900000000000006</v>
      </c>
      <c r="K1013" s="59">
        <v>31300</v>
      </c>
      <c r="L1013" s="55">
        <v>65.05</v>
      </c>
      <c r="M1013" s="55">
        <v>34.099999999999994</v>
      </c>
      <c r="N1013" s="55" t="s">
        <v>576</v>
      </c>
      <c r="O1013" s="55">
        <v>494360</v>
      </c>
      <c r="P1013" s="55">
        <v>1144860</v>
      </c>
      <c r="Q1013" s="55">
        <v>13536760</v>
      </c>
      <c r="R1013" s="57" t="s">
        <v>564</v>
      </c>
      <c r="S1013" s="58" t="s">
        <v>565</v>
      </c>
      <c r="T1013" s="51">
        <v>31328.15</v>
      </c>
    </row>
    <row r="1014" spans="1:20" x14ac:dyDescent="0.25">
      <c r="A1014" s="51" t="str">
        <f>(COUNTIF($K$2:K1014,K1014))&amp;K1014</f>
        <v>5931400</v>
      </c>
      <c r="B1014" s="52" t="s">
        <v>609</v>
      </c>
      <c r="C1014" s="53" t="s">
        <v>566</v>
      </c>
      <c r="D1014" s="54" t="s">
        <v>564</v>
      </c>
      <c r="E1014" s="55">
        <v>11306280</v>
      </c>
      <c r="F1014" s="55">
        <v>1603160</v>
      </c>
      <c r="G1014" s="55">
        <v>1418860</v>
      </c>
      <c r="H1014" s="55" t="s">
        <v>576</v>
      </c>
      <c r="I1014" s="55">
        <v>-154.75</v>
      </c>
      <c r="J1014" s="55">
        <v>34.25</v>
      </c>
      <c r="K1014" s="56">
        <v>31400</v>
      </c>
      <c r="L1014" s="55">
        <v>126</v>
      </c>
      <c r="M1014" s="55">
        <v>72.05</v>
      </c>
      <c r="N1014" s="55" t="s">
        <v>576</v>
      </c>
      <c r="O1014" s="55">
        <v>78500</v>
      </c>
      <c r="P1014" s="55">
        <v>634720</v>
      </c>
      <c r="Q1014" s="55">
        <v>9740500</v>
      </c>
      <c r="R1014" s="57" t="s">
        <v>564</v>
      </c>
      <c r="S1014" s="58" t="s">
        <v>565</v>
      </c>
      <c r="T1014" s="51">
        <v>31328.15</v>
      </c>
    </row>
    <row r="1015" spans="1:20" x14ac:dyDescent="0.25">
      <c r="A1015" s="51" t="str">
        <f>(COUNTIF($K$2:K1015,K1015))&amp;K1015</f>
        <v>5931500</v>
      </c>
      <c r="B1015" s="52" t="s">
        <v>609</v>
      </c>
      <c r="C1015" s="53" t="s">
        <v>566</v>
      </c>
      <c r="D1015" s="54" t="s">
        <v>564</v>
      </c>
      <c r="E1015" s="55">
        <v>16151200</v>
      </c>
      <c r="F1015" s="55">
        <v>2921600</v>
      </c>
      <c r="G1015" s="55">
        <v>2143060</v>
      </c>
      <c r="H1015" s="55" t="s">
        <v>576</v>
      </c>
      <c r="I1015" s="55">
        <v>-111.8</v>
      </c>
      <c r="J1015" s="55">
        <v>14.65</v>
      </c>
      <c r="K1015" s="56">
        <v>31500</v>
      </c>
      <c r="L1015" s="55">
        <v>207.25</v>
      </c>
      <c r="M1015" s="55">
        <v>117.1</v>
      </c>
      <c r="N1015" s="55" t="s">
        <v>576</v>
      </c>
      <c r="O1015" s="55">
        <v>-194760</v>
      </c>
      <c r="P1015" s="55">
        <v>435720</v>
      </c>
      <c r="Q1015" s="55">
        <v>5417960</v>
      </c>
      <c r="R1015" s="57" t="s">
        <v>563</v>
      </c>
      <c r="S1015" s="58" t="s">
        <v>567</v>
      </c>
      <c r="T1015" s="51">
        <v>31328.15</v>
      </c>
    </row>
    <row r="1016" spans="1:20" x14ac:dyDescent="0.25">
      <c r="A1016" s="51" t="str">
        <f>(COUNTIF($K$2:K1016,K1016))&amp;K1016</f>
        <v>5931600</v>
      </c>
      <c r="B1016" s="52" t="s">
        <v>609</v>
      </c>
      <c r="C1016" s="53" t="s">
        <v>566</v>
      </c>
      <c r="D1016" s="54" t="s">
        <v>564</v>
      </c>
      <c r="E1016" s="55">
        <v>11990860</v>
      </c>
      <c r="F1016" s="55">
        <v>1864820</v>
      </c>
      <c r="G1016" s="55">
        <v>1245160</v>
      </c>
      <c r="H1016" s="55" t="s">
        <v>576</v>
      </c>
      <c r="I1016" s="55">
        <v>-72.650000000000006</v>
      </c>
      <c r="J1016" s="55">
        <v>5.8</v>
      </c>
      <c r="K1016" s="56">
        <v>31600</v>
      </c>
      <c r="L1016" s="55">
        <v>297.85000000000002</v>
      </c>
      <c r="M1016" s="55">
        <v>155.75000000000003</v>
      </c>
      <c r="N1016" s="55" t="s">
        <v>576</v>
      </c>
      <c r="O1016" s="55">
        <v>9680</v>
      </c>
      <c r="P1016" s="55">
        <v>103920</v>
      </c>
      <c r="Q1016" s="55">
        <v>1543220</v>
      </c>
      <c r="R1016" s="57" t="s">
        <v>564</v>
      </c>
      <c r="S1016" s="58" t="s">
        <v>565</v>
      </c>
      <c r="T1016" s="51">
        <v>31328.15</v>
      </c>
    </row>
    <row r="1017" spans="1:20" x14ac:dyDescent="0.25">
      <c r="A1017" s="51" t="str">
        <f>(COUNTIF($K$2:K1017,K1017))&amp;K1017</f>
        <v>5931700</v>
      </c>
      <c r="B1017" s="52" t="s">
        <v>609</v>
      </c>
      <c r="C1017" s="53" t="s">
        <v>566</v>
      </c>
      <c r="D1017" s="54" t="s">
        <v>564</v>
      </c>
      <c r="E1017" s="55">
        <v>9581380</v>
      </c>
      <c r="F1017" s="55">
        <v>1366860</v>
      </c>
      <c r="G1017" s="55">
        <v>731600</v>
      </c>
      <c r="H1017" s="55" t="s">
        <v>576</v>
      </c>
      <c r="I1017" s="55">
        <v>-41.800000000000004</v>
      </c>
      <c r="J1017" s="55">
        <v>2.65</v>
      </c>
      <c r="K1017" s="56">
        <v>31700</v>
      </c>
      <c r="L1017" s="55">
        <v>394.55</v>
      </c>
      <c r="M1017" s="55">
        <v>185.15</v>
      </c>
      <c r="N1017" s="55" t="s">
        <v>576</v>
      </c>
      <c r="O1017" s="55">
        <v>-6840</v>
      </c>
      <c r="P1017" s="55">
        <v>42920</v>
      </c>
      <c r="Q1017" s="55">
        <v>628280</v>
      </c>
      <c r="R1017" s="57" t="s">
        <v>563</v>
      </c>
      <c r="S1017" s="58" t="s">
        <v>567</v>
      </c>
      <c r="T1017" s="51">
        <v>31328.15</v>
      </c>
    </row>
    <row r="1018" spans="1:20" x14ac:dyDescent="0.25">
      <c r="A1018" s="51" t="str">
        <f>(COUNTIF($K$2:K1018,K1018))&amp;K1018</f>
        <v>5931800</v>
      </c>
      <c r="B1018" s="52" t="s">
        <v>609</v>
      </c>
      <c r="C1018" s="53" t="s">
        <v>566</v>
      </c>
      <c r="D1018" s="54" t="s">
        <v>564</v>
      </c>
      <c r="E1018" s="55">
        <v>6911340</v>
      </c>
      <c r="F1018" s="55">
        <v>1040280</v>
      </c>
      <c r="G1018" s="55">
        <v>454900</v>
      </c>
      <c r="H1018" s="55" t="s">
        <v>576</v>
      </c>
      <c r="I1018" s="55">
        <v>-22.15</v>
      </c>
      <c r="J1018" s="55">
        <v>1.35</v>
      </c>
      <c r="K1018" s="56">
        <v>31800</v>
      </c>
      <c r="L1018" s="55">
        <v>495.4</v>
      </c>
      <c r="M1018" s="55">
        <v>210.04999999999995</v>
      </c>
      <c r="N1018" s="55" t="s">
        <v>576</v>
      </c>
      <c r="O1018" s="55">
        <v>1780</v>
      </c>
      <c r="P1018" s="55">
        <v>16760</v>
      </c>
      <c r="Q1018" s="55">
        <v>234520</v>
      </c>
      <c r="R1018" s="57" t="s">
        <v>564</v>
      </c>
      <c r="S1018" s="58" t="s">
        <v>565</v>
      </c>
      <c r="T1018" s="51">
        <v>31328.15</v>
      </c>
    </row>
    <row r="1019" spans="1:20" x14ac:dyDescent="0.25">
      <c r="A1019" s="51" t="str">
        <f>(COUNTIF($K$2:K1019,K1019))&amp;K1019</f>
        <v>5931900</v>
      </c>
      <c r="B1019" s="52" t="s">
        <v>609</v>
      </c>
      <c r="C1019" s="53" t="s">
        <v>566</v>
      </c>
      <c r="D1019" s="54" t="s">
        <v>564</v>
      </c>
      <c r="E1019" s="55">
        <v>21305040</v>
      </c>
      <c r="F1019" s="55">
        <v>658660</v>
      </c>
      <c r="G1019" s="55">
        <v>146860</v>
      </c>
      <c r="H1019" s="55" t="s">
        <v>576</v>
      </c>
      <c r="I1019" s="55">
        <v>-10.199999999999999</v>
      </c>
      <c r="J1019" s="55">
        <v>0.9</v>
      </c>
      <c r="K1019" s="56">
        <v>31900</v>
      </c>
      <c r="L1019" s="55">
        <v>595</v>
      </c>
      <c r="M1019" s="55">
        <v>218.3</v>
      </c>
      <c r="N1019" s="55" t="s">
        <v>576</v>
      </c>
      <c r="O1019" s="55">
        <v>1600</v>
      </c>
      <c r="P1019" s="55">
        <v>7140</v>
      </c>
      <c r="Q1019" s="55">
        <v>49480</v>
      </c>
      <c r="R1019" s="57" t="s">
        <v>564</v>
      </c>
      <c r="S1019" s="58" t="s">
        <v>565</v>
      </c>
      <c r="T1019" s="51">
        <v>31328.15</v>
      </c>
    </row>
    <row r="1020" spans="1:20" x14ac:dyDescent="0.25">
      <c r="A1020" s="51" t="str">
        <f>(COUNTIF($K$2:K1020,K1020))&amp;K1020</f>
        <v>5932000</v>
      </c>
      <c r="B1020" s="52" t="s">
        <v>609</v>
      </c>
      <c r="C1020" s="53" t="s">
        <v>566</v>
      </c>
      <c r="D1020" s="54" t="s">
        <v>564</v>
      </c>
      <c r="E1020" s="55">
        <v>5564460</v>
      </c>
      <c r="F1020" s="55">
        <v>720220</v>
      </c>
      <c r="G1020" s="55">
        <v>108560</v>
      </c>
      <c r="H1020" s="55" t="s">
        <v>576</v>
      </c>
      <c r="I1020" s="55">
        <v>-5.45</v>
      </c>
      <c r="J1020" s="55">
        <v>0.55000000000000004</v>
      </c>
      <c r="K1020" s="56">
        <v>32000</v>
      </c>
      <c r="L1020" s="55">
        <v>695.5</v>
      </c>
      <c r="M1020" s="55">
        <v>225</v>
      </c>
      <c r="N1020" s="55" t="s">
        <v>576</v>
      </c>
      <c r="O1020" s="55">
        <v>-2060</v>
      </c>
      <c r="P1020" s="55">
        <v>10060</v>
      </c>
      <c r="Q1020" s="55">
        <v>31940</v>
      </c>
      <c r="R1020" s="57" t="s">
        <v>563</v>
      </c>
      <c r="S1020" s="58" t="s">
        <v>567</v>
      </c>
      <c r="T1020" s="51">
        <v>31328.15</v>
      </c>
    </row>
    <row r="1021" spans="1:20" x14ac:dyDescent="0.25">
      <c r="A1021" s="51" t="str">
        <f>(COUNTIF($K$2:K1021,K1021))&amp;K1021</f>
        <v>60PCR</v>
      </c>
      <c r="B1021" s="52" t="s">
        <v>609</v>
      </c>
      <c r="C1021" s="60">
        <v>0.79515184769161484</v>
      </c>
      <c r="E1021" s="61"/>
      <c r="F1021" s="62">
        <v>11591220</v>
      </c>
      <c r="G1021" s="63"/>
      <c r="H1021" s="64"/>
      <c r="I1021" s="64"/>
      <c r="J1021" s="64"/>
      <c r="K1021" s="65" t="s">
        <v>555</v>
      </c>
      <c r="L1021" s="64"/>
      <c r="M1021" s="64"/>
      <c r="N1021" s="64"/>
      <c r="P1021" s="63">
        <v>9216780</v>
      </c>
      <c r="Q1021" s="61"/>
      <c r="R1021" s="64"/>
      <c r="S1021" s="64"/>
    </row>
    <row r="1022" spans="1:20" x14ac:dyDescent="0.25">
      <c r="A1022" s="51" t="str">
        <f>(COUNTIF($K$2:K1022,K1022))&amp;K1022</f>
        <v>1</v>
      </c>
      <c r="B1022" s="52"/>
      <c r="C1022" s="53"/>
      <c r="D1022" s="54"/>
      <c r="E1022" s="55"/>
      <c r="F1022" s="55"/>
      <c r="G1022" s="55"/>
      <c r="H1022" s="55"/>
      <c r="I1022" s="55"/>
      <c r="J1022" s="55"/>
      <c r="K1022" s="56"/>
      <c r="L1022" s="55"/>
      <c r="M1022" s="55"/>
      <c r="N1022" s="55"/>
      <c r="O1022" s="55"/>
      <c r="P1022" s="55"/>
      <c r="Q1022" s="55"/>
      <c r="R1022" s="57"/>
      <c r="S1022" s="58"/>
    </row>
    <row r="1023" spans="1:20" x14ac:dyDescent="0.25">
      <c r="A1023" s="51" t="str">
        <f>(COUNTIF($K$2:K1023,K1023))&amp;K1023</f>
        <v>1</v>
      </c>
      <c r="B1023" s="52"/>
      <c r="C1023" s="53"/>
      <c r="D1023" s="54"/>
      <c r="E1023" s="55"/>
      <c r="F1023" s="55"/>
      <c r="G1023" s="55"/>
      <c r="H1023" s="55"/>
      <c r="I1023" s="55"/>
      <c r="J1023" s="55"/>
      <c r="K1023" s="56"/>
      <c r="L1023" s="55"/>
      <c r="M1023" s="55"/>
      <c r="N1023" s="55"/>
      <c r="O1023" s="55"/>
      <c r="P1023" s="55"/>
      <c r="Q1023" s="55"/>
      <c r="R1023" s="57"/>
      <c r="S1023" s="58"/>
    </row>
    <row r="1024" spans="1:20" x14ac:dyDescent="0.25">
      <c r="A1024" s="51" t="str">
        <f>(COUNTIF($K$2:K1024,K1024))&amp;K1024</f>
        <v>1</v>
      </c>
      <c r="B1024" s="52"/>
      <c r="C1024" s="53"/>
      <c r="D1024" s="54"/>
      <c r="E1024" s="55"/>
      <c r="F1024" s="55"/>
      <c r="G1024" s="55"/>
      <c r="H1024" s="55"/>
      <c r="I1024" s="55"/>
      <c r="J1024" s="55"/>
      <c r="K1024" s="56"/>
      <c r="L1024" s="55"/>
      <c r="M1024" s="55"/>
      <c r="N1024" s="55"/>
      <c r="O1024" s="55"/>
      <c r="P1024" s="55"/>
      <c r="Q1024" s="55"/>
      <c r="R1024" s="57"/>
      <c r="S1024" s="58"/>
    </row>
    <row r="1025" spans="1:19" x14ac:dyDescent="0.25">
      <c r="A1025" s="51" t="str">
        <f>(COUNTIF($K$2:K1025,K1025))&amp;K1025</f>
        <v>1</v>
      </c>
      <c r="B1025" s="52"/>
      <c r="C1025" s="53"/>
      <c r="D1025" s="54"/>
      <c r="E1025" s="55"/>
      <c r="F1025" s="55"/>
      <c r="G1025" s="55"/>
      <c r="H1025" s="55"/>
      <c r="I1025" s="55"/>
      <c r="J1025" s="55"/>
      <c r="K1025" s="56"/>
      <c r="L1025" s="55"/>
      <c r="M1025" s="55"/>
      <c r="N1025" s="55"/>
      <c r="O1025" s="55"/>
      <c r="P1025" s="55"/>
      <c r="Q1025" s="55"/>
      <c r="R1025" s="57"/>
      <c r="S1025" s="58"/>
    </row>
    <row r="1026" spans="1:19" x14ac:dyDescent="0.25">
      <c r="A1026" s="51" t="str">
        <f>(COUNTIF($K$2:K1026,K1026))&amp;K1026</f>
        <v>1</v>
      </c>
      <c r="B1026" s="52"/>
      <c r="C1026" s="53"/>
      <c r="D1026" s="54"/>
      <c r="E1026" s="55"/>
      <c r="F1026" s="55"/>
      <c r="G1026" s="55"/>
      <c r="H1026" s="55"/>
      <c r="I1026" s="55"/>
      <c r="J1026" s="55"/>
      <c r="K1026" s="56"/>
      <c r="L1026" s="55"/>
      <c r="M1026" s="55"/>
      <c r="N1026" s="55"/>
      <c r="O1026" s="55"/>
      <c r="P1026" s="55"/>
      <c r="Q1026" s="55"/>
      <c r="R1026" s="57"/>
      <c r="S1026" s="58"/>
    </row>
    <row r="1027" spans="1:19" x14ac:dyDescent="0.25">
      <c r="A1027" s="51" t="str">
        <f>(COUNTIF($K$2:K1027,K1027))&amp;K1027</f>
        <v>1</v>
      </c>
      <c r="B1027" s="52"/>
      <c r="C1027" s="53"/>
      <c r="D1027" s="54"/>
      <c r="E1027" s="55"/>
      <c r="F1027" s="55"/>
      <c r="G1027" s="55"/>
      <c r="H1027" s="55"/>
      <c r="I1027" s="55"/>
      <c r="J1027" s="55"/>
      <c r="K1027" s="56"/>
      <c r="L1027" s="55"/>
      <c r="M1027" s="55"/>
      <c r="N1027" s="55"/>
      <c r="O1027" s="55"/>
      <c r="P1027" s="55"/>
      <c r="Q1027" s="55"/>
      <c r="R1027" s="57"/>
      <c r="S1027" s="58"/>
    </row>
    <row r="1028" spans="1:19" x14ac:dyDescent="0.25">
      <c r="A1028" s="51" t="str">
        <f>(COUNTIF($K$2:K1028,K1028))&amp;K1028</f>
        <v>1</v>
      </c>
      <c r="B1028" s="52"/>
      <c r="C1028" s="53"/>
      <c r="D1028" s="54"/>
      <c r="E1028" s="55"/>
      <c r="F1028" s="55"/>
      <c r="G1028" s="55"/>
      <c r="H1028" s="55"/>
      <c r="I1028" s="55"/>
      <c r="J1028" s="55"/>
      <c r="K1028" s="56"/>
      <c r="L1028" s="55"/>
      <c r="M1028" s="55"/>
      <c r="N1028" s="55"/>
      <c r="O1028" s="55"/>
      <c r="P1028" s="55"/>
      <c r="Q1028" s="55"/>
      <c r="R1028" s="57"/>
      <c r="S1028" s="58"/>
    </row>
    <row r="1029" spans="1:19" x14ac:dyDescent="0.25">
      <c r="A1029" s="51" t="str">
        <f>(COUNTIF($K$2:K1029,K1029))&amp;K1029</f>
        <v>1</v>
      </c>
      <c r="B1029" s="52"/>
      <c r="C1029" s="53"/>
      <c r="D1029" s="54"/>
      <c r="E1029" s="55"/>
      <c r="F1029" s="55"/>
      <c r="G1029" s="55"/>
      <c r="H1029" s="55"/>
      <c r="I1029" s="55"/>
      <c r="J1029" s="55"/>
      <c r="K1029" s="56"/>
      <c r="L1029" s="55"/>
      <c r="M1029" s="55"/>
      <c r="N1029" s="55"/>
      <c r="O1029" s="55"/>
      <c r="P1029" s="55"/>
      <c r="Q1029" s="55"/>
      <c r="R1029" s="57"/>
      <c r="S1029" s="58"/>
    </row>
    <row r="1030" spans="1:19" ht="15.75" x14ac:dyDescent="0.25">
      <c r="A1030" s="51" t="str">
        <f>(COUNTIF($K$2:K1030,K1030))&amp;K1030</f>
        <v>1</v>
      </c>
      <c r="B1030" s="52"/>
      <c r="C1030" s="53"/>
      <c r="D1030" s="54"/>
      <c r="E1030" s="55"/>
      <c r="F1030" s="55"/>
      <c r="G1030" s="55"/>
      <c r="H1030" s="55"/>
      <c r="I1030" s="55"/>
      <c r="J1030" s="55"/>
      <c r="K1030" s="59"/>
      <c r="L1030" s="55"/>
      <c r="M1030" s="55"/>
      <c r="N1030" s="55"/>
      <c r="O1030" s="55"/>
      <c r="P1030" s="55"/>
      <c r="Q1030" s="55"/>
      <c r="R1030" s="57"/>
      <c r="S1030" s="58"/>
    </row>
    <row r="1031" spans="1:19" x14ac:dyDescent="0.25">
      <c r="A1031" s="51" t="str">
        <f>(COUNTIF($K$2:K1031,K1031))&amp;K1031</f>
        <v>1</v>
      </c>
      <c r="B1031" s="52"/>
      <c r="C1031" s="53"/>
      <c r="D1031" s="54"/>
      <c r="E1031" s="55"/>
      <c r="F1031" s="55"/>
      <c r="G1031" s="55"/>
      <c r="H1031" s="55"/>
      <c r="I1031" s="55"/>
      <c r="J1031" s="55"/>
      <c r="K1031" s="56"/>
      <c r="L1031" s="55"/>
      <c r="M1031" s="55"/>
      <c r="N1031" s="55"/>
      <c r="O1031" s="55"/>
      <c r="P1031" s="55"/>
      <c r="Q1031" s="55"/>
      <c r="R1031" s="57"/>
      <c r="S1031" s="58"/>
    </row>
    <row r="1032" spans="1:19" x14ac:dyDescent="0.25">
      <c r="A1032" s="51" t="str">
        <f>(COUNTIF($K$2:K1032,K1032))&amp;K1032</f>
        <v>1</v>
      </c>
      <c r="B1032" s="52"/>
      <c r="C1032" s="53"/>
      <c r="D1032" s="54"/>
      <c r="E1032" s="55"/>
      <c r="F1032" s="55"/>
      <c r="G1032" s="55"/>
      <c r="H1032" s="55"/>
      <c r="I1032" s="55"/>
      <c r="J1032" s="55"/>
      <c r="K1032" s="56"/>
      <c r="L1032" s="55"/>
      <c r="M1032" s="55"/>
      <c r="N1032" s="55"/>
      <c r="O1032" s="55"/>
      <c r="P1032" s="55"/>
      <c r="Q1032" s="55"/>
      <c r="R1032" s="57"/>
      <c r="S1032" s="58"/>
    </row>
    <row r="1033" spans="1:19" x14ac:dyDescent="0.25">
      <c r="A1033" s="51" t="str">
        <f>(COUNTIF($K$2:K1033,K1033))&amp;K1033</f>
        <v>1</v>
      </c>
      <c r="B1033" s="52"/>
      <c r="C1033" s="53"/>
      <c r="D1033" s="54"/>
      <c r="E1033" s="55"/>
      <c r="F1033" s="55"/>
      <c r="G1033" s="55"/>
      <c r="H1033" s="55"/>
      <c r="I1033" s="55"/>
      <c r="J1033" s="55"/>
      <c r="K1033" s="56"/>
      <c r="L1033" s="55"/>
      <c r="M1033" s="55"/>
      <c r="N1033" s="55"/>
      <c r="O1033" s="55"/>
      <c r="P1033" s="55"/>
      <c r="Q1033" s="55"/>
      <c r="R1033" s="57"/>
      <c r="S1033" s="58"/>
    </row>
    <row r="1034" spans="1:19" x14ac:dyDescent="0.25">
      <c r="A1034" s="51" t="str">
        <f>(COUNTIF($K$2:K1034,K1034))&amp;K1034</f>
        <v>1</v>
      </c>
      <c r="B1034" s="52"/>
      <c r="C1034" s="53"/>
      <c r="D1034" s="54"/>
      <c r="E1034" s="55"/>
      <c r="F1034" s="55"/>
      <c r="G1034" s="55"/>
      <c r="H1034" s="55"/>
      <c r="I1034" s="55"/>
      <c r="J1034" s="55"/>
      <c r="K1034" s="56"/>
      <c r="L1034" s="55"/>
      <c r="M1034" s="55"/>
      <c r="N1034" s="55"/>
      <c r="O1034" s="55"/>
      <c r="P1034" s="55"/>
      <c r="Q1034" s="55"/>
      <c r="R1034" s="57"/>
      <c r="S1034" s="58"/>
    </row>
    <row r="1035" spans="1:19" x14ac:dyDescent="0.25">
      <c r="A1035" s="51" t="str">
        <f>(COUNTIF($K$2:K1035,K1035))&amp;K1035</f>
        <v>1</v>
      </c>
      <c r="B1035" s="52"/>
      <c r="C1035" s="53"/>
      <c r="D1035" s="54"/>
      <c r="E1035" s="55"/>
      <c r="F1035" s="55"/>
      <c r="G1035" s="55"/>
      <c r="H1035" s="55"/>
      <c r="I1035" s="55"/>
      <c r="J1035" s="55"/>
      <c r="K1035" s="56"/>
      <c r="L1035" s="55"/>
      <c r="M1035" s="55"/>
      <c r="N1035" s="55"/>
      <c r="O1035" s="55"/>
      <c r="P1035" s="55"/>
      <c r="Q1035" s="55"/>
      <c r="R1035" s="57"/>
      <c r="S1035" s="58"/>
    </row>
    <row r="1036" spans="1:19" x14ac:dyDescent="0.25">
      <c r="A1036" s="51" t="str">
        <f>(COUNTIF($K$2:K1036,K1036))&amp;K1036</f>
        <v>1</v>
      </c>
      <c r="B1036" s="52"/>
      <c r="C1036" s="53"/>
      <c r="D1036" s="54"/>
      <c r="E1036" s="55"/>
      <c r="F1036" s="55"/>
      <c r="G1036" s="55"/>
      <c r="H1036" s="55"/>
      <c r="I1036" s="55"/>
      <c r="J1036" s="55"/>
      <c r="K1036" s="56"/>
      <c r="L1036" s="55"/>
      <c r="M1036" s="55"/>
      <c r="N1036" s="55"/>
      <c r="O1036" s="55"/>
      <c r="P1036" s="55"/>
      <c r="Q1036" s="55"/>
      <c r="R1036" s="57"/>
      <c r="S1036" s="58"/>
    </row>
    <row r="1037" spans="1:19" x14ac:dyDescent="0.25">
      <c r="A1037" s="51" t="str">
        <f>(COUNTIF($K$2:K1037,K1037))&amp;K1037</f>
        <v>1</v>
      </c>
      <c r="B1037" s="52"/>
      <c r="C1037" s="53"/>
      <c r="D1037" s="54"/>
      <c r="E1037" s="55"/>
      <c r="F1037" s="55"/>
      <c r="G1037" s="55"/>
      <c r="H1037" s="55"/>
      <c r="I1037" s="55"/>
      <c r="J1037" s="55"/>
      <c r="K1037" s="56"/>
      <c r="L1037" s="55"/>
      <c r="M1037" s="55"/>
      <c r="N1037" s="55"/>
      <c r="O1037" s="55"/>
      <c r="P1037" s="55"/>
      <c r="Q1037" s="55"/>
      <c r="R1037" s="57"/>
      <c r="S1037" s="58"/>
    </row>
    <row r="1038" spans="1:19" x14ac:dyDescent="0.25">
      <c r="A1038" s="51" t="str">
        <f>(COUNTIF($K$2:K1038,K1038))&amp;K1038</f>
        <v>1</v>
      </c>
      <c r="B1038" s="52"/>
      <c r="C1038" s="60"/>
      <c r="E1038" s="61"/>
      <c r="F1038" s="62"/>
      <c r="G1038" s="63"/>
      <c r="H1038" s="64"/>
      <c r="I1038" s="64"/>
      <c r="J1038" s="64"/>
      <c r="K1038" s="65"/>
      <c r="L1038" s="64"/>
      <c r="M1038" s="64"/>
      <c r="N1038" s="64"/>
      <c r="P1038" s="63"/>
      <c r="Q1038" s="61"/>
      <c r="R1038" s="64"/>
      <c r="S1038" s="64"/>
    </row>
    <row r="1039" spans="1:19" x14ac:dyDescent="0.25">
      <c r="A1039" s="51" t="str">
        <f>(COUNTIF($K$2:K1039,K1039))&amp;K1039</f>
        <v>1</v>
      </c>
      <c r="B1039" s="52"/>
      <c r="C1039" s="53"/>
      <c r="D1039" s="54"/>
      <c r="E1039" s="55"/>
      <c r="F1039" s="55"/>
      <c r="G1039" s="55"/>
      <c r="H1039" s="55"/>
      <c r="I1039" s="55"/>
      <c r="J1039" s="55"/>
      <c r="K1039" s="56"/>
      <c r="L1039" s="55"/>
      <c r="M1039" s="55"/>
      <c r="N1039" s="55"/>
      <c r="O1039" s="55"/>
      <c r="P1039" s="55"/>
      <c r="Q1039" s="55"/>
      <c r="R1039" s="57"/>
      <c r="S1039" s="58"/>
    </row>
    <row r="1040" spans="1:19" x14ac:dyDescent="0.25">
      <c r="A1040" s="51" t="str">
        <f>(COUNTIF($K$2:K1040,K1040))&amp;K1040</f>
        <v>1</v>
      </c>
      <c r="B1040" s="52"/>
      <c r="C1040" s="53"/>
      <c r="D1040" s="54"/>
      <c r="E1040" s="55"/>
      <c r="F1040" s="55"/>
      <c r="G1040" s="55"/>
      <c r="H1040" s="55"/>
      <c r="I1040" s="55"/>
      <c r="J1040" s="55"/>
      <c r="K1040" s="56"/>
      <c r="L1040" s="55"/>
      <c r="M1040" s="55"/>
      <c r="N1040" s="55"/>
      <c r="O1040" s="55"/>
      <c r="P1040" s="55"/>
      <c r="Q1040" s="55"/>
      <c r="R1040" s="57"/>
      <c r="S1040" s="58"/>
    </row>
    <row r="1041" spans="1:19" x14ac:dyDescent="0.25">
      <c r="A1041" s="51" t="str">
        <f>(COUNTIF($K$2:K1041,K1041))&amp;K1041</f>
        <v>1</v>
      </c>
      <c r="B1041" s="52"/>
      <c r="C1041" s="53"/>
      <c r="D1041" s="54"/>
      <c r="E1041" s="55"/>
      <c r="F1041" s="55"/>
      <c r="G1041" s="55"/>
      <c r="H1041" s="55"/>
      <c r="I1041" s="55"/>
      <c r="J1041" s="55"/>
      <c r="K1041" s="56"/>
      <c r="L1041" s="55"/>
      <c r="M1041" s="55"/>
      <c r="N1041" s="55"/>
      <c r="O1041" s="55"/>
      <c r="P1041" s="55"/>
      <c r="Q1041" s="55"/>
      <c r="R1041" s="57"/>
      <c r="S1041" s="58"/>
    </row>
    <row r="1042" spans="1:19" x14ac:dyDescent="0.25">
      <c r="A1042" s="51" t="str">
        <f>(COUNTIF($K$2:K1042,K1042))&amp;K1042</f>
        <v>1</v>
      </c>
      <c r="B1042" s="52"/>
      <c r="C1042" s="53"/>
      <c r="D1042" s="54"/>
      <c r="E1042" s="55"/>
      <c r="F1042" s="55"/>
      <c r="G1042" s="55"/>
      <c r="H1042" s="55"/>
      <c r="I1042" s="55"/>
      <c r="J1042" s="55"/>
      <c r="K1042" s="56"/>
      <c r="L1042" s="55"/>
      <c r="M1042" s="55"/>
      <c r="N1042" s="55"/>
      <c r="O1042" s="55"/>
      <c r="P1042" s="55"/>
      <c r="Q1042" s="55"/>
      <c r="R1042" s="57"/>
      <c r="S1042" s="58"/>
    </row>
    <row r="1043" spans="1:19" x14ac:dyDescent="0.25">
      <c r="A1043" s="51" t="str">
        <f>(COUNTIF($K$2:K1043,K1043))&amp;K1043</f>
        <v>1</v>
      </c>
      <c r="B1043" s="52"/>
      <c r="C1043" s="53"/>
      <c r="D1043" s="54"/>
      <c r="E1043" s="55"/>
      <c r="F1043" s="55"/>
      <c r="G1043" s="55"/>
      <c r="H1043" s="55"/>
      <c r="I1043" s="55"/>
      <c r="J1043" s="55"/>
      <c r="K1043" s="56"/>
      <c r="L1043" s="55"/>
      <c r="M1043" s="55"/>
      <c r="N1043" s="55"/>
      <c r="O1043" s="55"/>
      <c r="P1043" s="55"/>
      <c r="Q1043" s="55"/>
      <c r="R1043" s="57"/>
      <c r="S1043" s="58"/>
    </row>
    <row r="1044" spans="1:19" x14ac:dyDescent="0.25">
      <c r="A1044" s="51" t="str">
        <f>(COUNTIF($K$2:K1044,K1044))&amp;K1044</f>
        <v>1</v>
      </c>
      <c r="B1044" s="52"/>
      <c r="C1044" s="53"/>
      <c r="D1044" s="54"/>
      <c r="E1044" s="55"/>
      <c r="F1044" s="55"/>
      <c r="G1044" s="55"/>
      <c r="H1044" s="55"/>
      <c r="I1044" s="55"/>
      <c r="J1044" s="55"/>
      <c r="K1044" s="56"/>
      <c r="L1044" s="55"/>
      <c r="M1044" s="55"/>
      <c r="N1044" s="55"/>
      <c r="O1044" s="55"/>
      <c r="P1044" s="55"/>
      <c r="Q1044" s="55"/>
      <c r="R1044" s="57"/>
      <c r="S1044" s="58"/>
    </row>
    <row r="1045" spans="1:19" x14ac:dyDescent="0.25">
      <c r="A1045" s="51" t="str">
        <f>(COUNTIF($K$2:K1045,K1045))&amp;K1045</f>
        <v>1</v>
      </c>
      <c r="B1045" s="52"/>
      <c r="C1045" s="53"/>
      <c r="D1045" s="54"/>
      <c r="E1045" s="55"/>
      <c r="F1045" s="55"/>
      <c r="G1045" s="55"/>
      <c r="H1045" s="55"/>
      <c r="I1045" s="55"/>
      <c r="J1045" s="55"/>
      <c r="K1045" s="56"/>
      <c r="L1045" s="55"/>
      <c r="M1045" s="55"/>
      <c r="N1045" s="55"/>
      <c r="O1045" s="55"/>
      <c r="P1045" s="55"/>
      <c r="Q1045" s="55"/>
      <c r="R1045" s="57"/>
      <c r="S1045" s="58"/>
    </row>
    <row r="1046" spans="1:19" x14ac:dyDescent="0.25">
      <c r="A1046" s="51" t="str">
        <f>(COUNTIF($K$2:K1046,K1046))&amp;K1046</f>
        <v>1</v>
      </c>
      <c r="B1046" s="52"/>
      <c r="C1046" s="53"/>
      <c r="D1046" s="54"/>
      <c r="E1046" s="55"/>
      <c r="F1046" s="55"/>
      <c r="G1046" s="55"/>
      <c r="H1046" s="55"/>
      <c r="I1046" s="55"/>
      <c r="J1046" s="55"/>
      <c r="K1046" s="56"/>
      <c r="L1046" s="55"/>
      <c r="M1046" s="55"/>
      <c r="N1046" s="55"/>
      <c r="O1046" s="55"/>
      <c r="P1046" s="55"/>
      <c r="Q1046" s="55"/>
      <c r="R1046" s="57"/>
      <c r="S1046" s="58"/>
    </row>
    <row r="1047" spans="1:19" ht="15.75" x14ac:dyDescent="0.25">
      <c r="A1047" s="51" t="str">
        <f>(COUNTIF($K$2:K1047,K1047))&amp;K1047</f>
        <v>1</v>
      </c>
      <c r="B1047" s="52"/>
      <c r="C1047" s="53"/>
      <c r="D1047" s="54"/>
      <c r="E1047" s="55"/>
      <c r="F1047" s="55"/>
      <c r="G1047" s="55"/>
      <c r="H1047" s="55"/>
      <c r="I1047" s="55"/>
      <c r="J1047" s="55"/>
      <c r="K1047" s="59"/>
      <c r="L1047" s="55"/>
      <c r="M1047" s="55"/>
      <c r="N1047" s="55"/>
      <c r="O1047" s="55"/>
      <c r="P1047" s="55"/>
      <c r="Q1047" s="55"/>
      <c r="R1047" s="57"/>
      <c r="S1047" s="58"/>
    </row>
    <row r="1048" spans="1:19" x14ac:dyDescent="0.25">
      <c r="A1048" s="51" t="str">
        <f>(COUNTIF($K$2:K1048,K1048))&amp;K1048</f>
        <v>1</v>
      </c>
      <c r="B1048" s="52"/>
      <c r="C1048" s="53"/>
      <c r="D1048" s="54"/>
      <c r="E1048" s="55"/>
      <c r="F1048" s="55"/>
      <c r="G1048" s="55"/>
      <c r="H1048" s="55"/>
      <c r="I1048" s="55"/>
      <c r="J1048" s="55"/>
      <c r="K1048" s="56"/>
      <c r="L1048" s="55"/>
      <c r="M1048" s="55"/>
      <c r="N1048" s="55"/>
      <c r="O1048" s="55"/>
      <c r="P1048" s="55"/>
      <c r="Q1048" s="55"/>
      <c r="R1048" s="57"/>
      <c r="S1048" s="58"/>
    </row>
    <row r="1049" spans="1:19" x14ac:dyDescent="0.25">
      <c r="A1049" s="51" t="str">
        <f>(COUNTIF($K$2:K1049,K1049))&amp;K1049</f>
        <v>1</v>
      </c>
      <c r="B1049" s="52"/>
      <c r="C1049" s="53"/>
      <c r="D1049" s="54"/>
      <c r="E1049" s="55"/>
      <c r="F1049" s="55"/>
      <c r="G1049" s="55"/>
      <c r="H1049" s="55"/>
      <c r="I1049" s="55"/>
      <c r="J1049" s="55"/>
      <c r="K1049" s="56"/>
      <c r="L1049" s="55"/>
      <c r="M1049" s="55"/>
      <c r="N1049" s="55"/>
      <c r="O1049" s="55"/>
      <c r="P1049" s="55"/>
      <c r="Q1049" s="55"/>
      <c r="R1049" s="57"/>
      <c r="S1049" s="58"/>
    </row>
    <row r="1050" spans="1:19" x14ac:dyDescent="0.25">
      <c r="A1050" s="51" t="str">
        <f>(COUNTIF($K$2:K1050,K1050))&amp;K1050</f>
        <v>1</v>
      </c>
      <c r="B1050" s="52"/>
      <c r="C1050" s="53"/>
      <c r="D1050" s="54"/>
      <c r="E1050" s="55"/>
      <c r="F1050" s="55"/>
      <c r="G1050" s="55"/>
      <c r="H1050" s="55"/>
      <c r="I1050" s="55"/>
      <c r="J1050" s="55"/>
      <c r="K1050" s="56"/>
      <c r="L1050" s="55"/>
      <c r="M1050" s="55"/>
      <c r="N1050" s="55"/>
      <c r="O1050" s="55"/>
      <c r="P1050" s="55"/>
      <c r="Q1050" s="55"/>
      <c r="R1050" s="57"/>
      <c r="S1050" s="58"/>
    </row>
    <row r="1051" spans="1:19" x14ac:dyDescent="0.25">
      <c r="A1051" s="51" t="str">
        <f>(COUNTIF($K$2:K1051,K1051))&amp;K1051</f>
        <v>1</v>
      </c>
      <c r="B1051" s="52"/>
      <c r="C1051" s="53"/>
      <c r="D1051" s="54"/>
      <c r="E1051" s="55"/>
      <c r="F1051" s="55"/>
      <c r="G1051" s="55"/>
      <c r="H1051" s="55"/>
      <c r="I1051" s="55"/>
      <c r="J1051" s="55"/>
      <c r="K1051" s="56"/>
      <c r="L1051" s="55"/>
      <c r="M1051" s="55"/>
      <c r="N1051" s="55"/>
      <c r="O1051" s="55"/>
      <c r="P1051" s="55"/>
      <c r="Q1051" s="55"/>
      <c r="R1051" s="57"/>
      <c r="S1051" s="58"/>
    </row>
    <row r="1052" spans="1:19" x14ac:dyDescent="0.25">
      <c r="A1052" s="51" t="str">
        <f>(COUNTIF($K$2:K1052,K1052))&amp;K1052</f>
        <v>1</v>
      </c>
      <c r="B1052" s="52"/>
      <c r="C1052" s="53"/>
      <c r="D1052" s="54"/>
      <c r="E1052" s="55"/>
      <c r="F1052" s="55"/>
      <c r="G1052" s="55"/>
      <c r="H1052" s="55"/>
      <c r="I1052" s="55"/>
      <c r="J1052" s="55"/>
      <c r="K1052" s="56"/>
      <c r="L1052" s="55"/>
      <c r="M1052" s="55"/>
      <c r="N1052" s="55"/>
      <c r="O1052" s="55"/>
      <c r="P1052" s="55"/>
      <c r="Q1052" s="55"/>
      <c r="R1052" s="57"/>
      <c r="S1052" s="58"/>
    </row>
    <row r="1053" spans="1:19" x14ac:dyDescent="0.25">
      <c r="A1053" s="51" t="str">
        <f>(COUNTIF($K$2:K1053,K1053))&amp;K1053</f>
        <v>1</v>
      </c>
      <c r="B1053" s="52"/>
      <c r="C1053" s="53"/>
      <c r="D1053" s="54"/>
      <c r="E1053" s="55"/>
      <c r="F1053" s="55"/>
      <c r="G1053" s="55"/>
      <c r="H1053" s="55"/>
      <c r="I1053" s="55"/>
      <c r="J1053" s="55"/>
      <c r="K1053" s="56"/>
      <c r="L1053" s="55"/>
      <c r="M1053" s="55"/>
      <c r="N1053" s="55"/>
      <c r="O1053" s="55"/>
      <c r="P1053" s="55"/>
      <c r="Q1053" s="55"/>
      <c r="R1053" s="57"/>
      <c r="S1053" s="58"/>
    </row>
    <row r="1054" spans="1:19" x14ac:dyDescent="0.25">
      <c r="A1054" s="51" t="str">
        <f>(COUNTIF($K$2:K1054,K1054))&amp;K1054</f>
        <v>1</v>
      </c>
      <c r="B1054" s="52"/>
      <c r="C1054" s="53"/>
      <c r="D1054" s="54"/>
      <c r="E1054" s="55"/>
      <c r="F1054" s="55"/>
      <c r="G1054" s="55"/>
      <c r="H1054" s="55"/>
      <c r="I1054" s="55"/>
      <c r="J1054" s="55"/>
      <c r="K1054" s="56"/>
      <c r="L1054" s="55"/>
      <c r="M1054" s="55"/>
      <c r="N1054" s="55"/>
      <c r="O1054" s="55"/>
      <c r="P1054" s="55"/>
      <c r="Q1054" s="55"/>
      <c r="R1054" s="57"/>
      <c r="S1054" s="58"/>
    </row>
    <row r="1055" spans="1:19" x14ac:dyDescent="0.25">
      <c r="A1055" s="51" t="str">
        <f>(COUNTIF($K$2:K1055,K1055))&amp;K1055</f>
        <v>1</v>
      </c>
      <c r="B1055" s="52"/>
      <c r="C1055" s="60"/>
      <c r="E1055" s="61"/>
      <c r="F1055" s="62"/>
      <c r="G1055" s="63"/>
      <c r="H1055" s="64"/>
      <c r="I1055" s="64"/>
      <c r="J1055" s="64"/>
      <c r="K1055" s="65"/>
      <c r="L1055" s="64"/>
      <c r="M1055" s="64"/>
      <c r="N1055" s="64"/>
      <c r="P1055" s="63"/>
      <c r="Q1055" s="61"/>
      <c r="R1055" s="64"/>
      <c r="S1055" s="64"/>
    </row>
    <row r="1056" spans="1:19" x14ac:dyDescent="0.25">
      <c r="A1056" s="51" t="str">
        <f>(COUNTIF($K$2:K1056,K1056))&amp;K1056</f>
        <v>1</v>
      </c>
      <c r="B1056" s="52"/>
      <c r="C1056" s="53"/>
      <c r="D1056" s="54"/>
      <c r="E1056" s="55"/>
      <c r="F1056" s="55"/>
      <c r="G1056" s="55"/>
      <c r="H1056" s="55"/>
      <c r="I1056" s="55"/>
      <c r="J1056" s="55"/>
      <c r="K1056" s="56"/>
      <c r="L1056" s="55"/>
      <c r="M1056" s="55"/>
      <c r="N1056" s="55"/>
      <c r="O1056" s="55"/>
      <c r="P1056" s="55"/>
      <c r="Q1056" s="55"/>
      <c r="R1056" s="57"/>
      <c r="S1056" s="58"/>
    </row>
    <row r="1057" spans="1:19" x14ac:dyDescent="0.25">
      <c r="A1057" s="51" t="str">
        <f>(COUNTIF($K$2:K1057,K1057))&amp;K1057</f>
        <v>1</v>
      </c>
      <c r="B1057" s="52"/>
      <c r="C1057" s="53"/>
      <c r="D1057" s="54"/>
      <c r="E1057" s="55"/>
      <c r="F1057" s="55"/>
      <c r="G1057" s="55"/>
      <c r="H1057" s="55"/>
      <c r="I1057" s="55"/>
      <c r="J1057" s="55"/>
      <c r="K1057" s="56"/>
      <c r="L1057" s="55"/>
      <c r="M1057" s="55"/>
      <c r="N1057" s="55"/>
      <c r="O1057" s="55"/>
      <c r="P1057" s="55"/>
      <c r="Q1057" s="55"/>
      <c r="R1057" s="57"/>
      <c r="S1057" s="58"/>
    </row>
    <row r="1058" spans="1:19" x14ac:dyDescent="0.25">
      <c r="A1058" s="51" t="str">
        <f>(COUNTIF($K$2:K1058,K1058))&amp;K1058</f>
        <v>1</v>
      </c>
      <c r="B1058" s="52"/>
      <c r="C1058" s="53"/>
      <c r="D1058" s="54"/>
      <c r="E1058" s="55"/>
      <c r="F1058" s="55"/>
      <c r="G1058" s="55"/>
      <c r="H1058" s="55"/>
      <c r="I1058" s="55"/>
      <c r="J1058" s="55"/>
      <c r="K1058" s="56"/>
      <c r="L1058" s="55"/>
      <c r="M1058" s="55"/>
      <c r="N1058" s="55"/>
      <c r="O1058" s="55"/>
      <c r="P1058" s="55"/>
      <c r="Q1058" s="55"/>
      <c r="R1058" s="57"/>
      <c r="S1058" s="58"/>
    </row>
    <row r="1059" spans="1:19" x14ac:dyDescent="0.25">
      <c r="A1059" s="51" t="str">
        <f>(COUNTIF($K$2:K1059,K1059))&amp;K1059</f>
        <v>1</v>
      </c>
      <c r="B1059" s="52"/>
      <c r="C1059" s="53"/>
      <c r="D1059" s="54"/>
      <c r="E1059" s="55"/>
      <c r="F1059" s="55"/>
      <c r="G1059" s="55"/>
      <c r="H1059" s="55"/>
      <c r="I1059" s="55"/>
      <c r="J1059" s="55"/>
      <c r="K1059" s="56"/>
      <c r="L1059" s="55"/>
      <c r="M1059" s="55"/>
      <c r="N1059" s="55"/>
      <c r="O1059" s="55"/>
      <c r="P1059" s="55"/>
      <c r="Q1059" s="55"/>
      <c r="R1059" s="57"/>
      <c r="S1059" s="58"/>
    </row>
    <row r="1060" spans="1:19" x14ac:dyDescent="0.25">
      <c r="A1060" s="51" t="str">
        <f>(COUNTIF($K$2:K1060,K1060))&amp;K1060</f>
        <v>1</v>
      </c>
      <c r="B1060" s="52"/>
      <c r="C1060" s="53"/>
      <c r="D1060" s="54"/>
      <c r="E1060" s="55"/>
      <c r="F1060" s="55"/>
      <c r="G1060" s="55"/>
      <c r="H1060" s="55"/>
      <c r="I1060" s="55"/>
      <c r="J1060" s="55"/>
      <c r="K1060" s="56"/>
      <c r="L1060" s="55"/>
      <c r="M1060" s="55"/>
      <c r="N1060" s="55"/>
      <c r="O1060" s="55"/>
      <c r="P1060" s="55"/>
      <c r="Q1060" s="55"/>
      <c r="R1060" s="57"/>
      <c r="S1060" s="58"/>
    </row>
    <row r="1061" spans="1:19" x14ac:dyDescent="0.25">
      <c r="A1061" s="51" t="str">
        <f>(COUNTIF($K$2:K1061,K1061))&amp;K1061</f>
        <v>1</v>
      </c>
      <c r="B1061" s="52"/>
      <c r="C1061" s="53"/>
      <c r="D1061" s="54"/>
      <c r="E1061" s="55"/>
      <c r="F1061" s="55"/>
      <c r="G1061" s="55"/>
      <c r="H1061" s="55"/>
      <c r="I1061" s="55"/>
      <c r="J1061" s="55"/>
      <c r="K1061" s="56"/>
      <c r="L1061" s="55"/>
      <c r="M1061" s="55"/>
      <c r="N1061" s="55"/>
      <c r="O1061" s="55"/>
      <c r="P1061" s="55"/>
      <c r="Q1061" s="55"/>
      <c r="R1061" s="57"/>
      <c r="S1061" s="58"/>
    </row>
    <row r="1062" spans="1:19" x14ac:dyDescent="0.25">
      <c r="A1062" s="51" t="str">
        <f>(COUNTIF($K$2:K1062,K1062))&amp;K1062</f>
        <v>1</v>
      </c>
      <c r="B1062" s="52"/>
      <c r="C1062" s="53"/>
      <c r="D1062" s="54"/>
      <c r="E1062" s="55"/>
      <c r="F1062" s="55"/>
      <c r="G1062" s="55"/>
      <c r="H1062" s="55"/>
      <c r="I1062" s="55"/>
      <c r="J1062" s="55"/>
      <c r="K1062" s="56"/>
      <c r="L1062" s="55"/>
      <c r="M1062" s="55"/>
      <c r="N1062" s="55"/>
      <c r="O1062" s="55"/>
      <c r="P1062" s="55"/>
      <c r="Q1062" s="55"/>
      <c r="R1062" s="57"/>
      <c r="S1062" s="58"/>
    </row>
    <row r="1063" spans="1:19" x14ac:dyDescent="0.25">
      <c r="A1063" s="51" t="str">
        <f>(COUNTIF($K$2:K1063,K1063))&amp;K1063</f>
        <v>1</v>
      </c>
      <c r="B1063" s="52"/>
      <c r="C1063" s="53"/>
      <c r="D1063" s="54"/>
      <c r="E1063" s="55"/>
      <c r="F1063" s="55"/>
      <c r="G1063" s="55"/>
      <c r="H1063" s="55"/>
      <c r="I1063" s="55"/>
      <c r="J1063" s="55"/>
      <c r="K1063" s="56"/>
      <c r="L1063" s="55"/>
      <c r="M1063" s="55"/>
      <c r="N1063" s="55"/>
      <c r="O1063" s="55"/>
      <c r="P1063" s="55"/>
      <c r="Q1063" s="55"/>
      <c r="R1063" s="57"/>
      <c r="S1063" s="58"/>
    </row>
    <row r="1064" spans="1:19" ht="15.75" x14ac:dyDescent="0.25">
      <c r="A1064" s="51" t="str">
        <f>(COUNTIF($K$2:K1064,K1064))&amp;K1064</f>
        <v>1</v>
      </c>
      <c r="B1064" s="52"/>
      <c r="C1064" s="53"/>
      <c r="D1064" s="54"/>
      <c r="E1064" s="55"/>
      <c r="F1064" s="55"/>
      <c r="G1064" s="55"/>
      <c r="H1064" s="55"/>
      <c r="I1064" s="55"/>
      <c r="J1064" s="55"/>
      <c r="K1064" s="59"/>
      <c r="L1064" s="55"/>
      <c r="M1064" s="55"/>
      <c r="N1064" s="55"/>
      <c r="O1064" s="55"/>
      <c r="P1064" s="55"/>
      <c r="Q1064" s="55"/>
      <c r="R1064" s="57"/>
      <c r="S1064" s="58"/>
    </row>
    <row r="1065" spans="1:19" x14ac:dyDescent="0.25">
      <c r="A1065" s="51" t="str">
        <f>(COUNTIF($K$2:K1065,K1065))&amp;K1065</f>
        <v>1</v>
      </c>
      <c r="B1065" s="52"/>
      <c r="C1065" s="53"/>
      <c r="D1065" s="54"/>
      <c r="E1065" s="55"/>
      <c r="F1065" s="55"/>
      <c r="G1065" s="55"/>
      <c r="H1065" s="55"/>
      <c r="I1065" s="55"/>
      <c r="J1065" s="55"/>
      <c r="K1065" s="56"/>
      <c r="L1065" s="55"/>
      <c r="M1065" s="55"/>
      <c r="N1065" s="55"/>
      <c r="O1065" s="55"/>
      <c r="P1065" s="55"/>
      <c r="Q1065" s="55"/>
      <c r="R1065" s="57"/>
      <c r="S1065" s="58"/>
    </row>
    <row r="1066" spans="1:19" x14ac:dyDescent="0.25">
      <c r="A1066" s="51" t="str">
        <f>(COUNTIF($K$2:K1066,K1066))&amp;K1066</f>
        <v>1</v>
      </c>
      <c r="B1066" s="52"/>
      <c r="C1066" s="53"/>
      <c r="D1066" s="54"/>
      <c r="E1066" s="55"/>
      <c r="F1066" s="55"/>
      <c r="G1066" s="55"/>
      <c r="H1066" s="55"/>
      <c r="I1066" s="55"/>
      <c r="J1066" s="55"/>
      <c r="K1066" s="56"/>
      <c r="L1066" s="55"/>
      <c r="M1066" s="55"/>
      <c r="N1066" s="55"/>
      <c r="O1066" s="55"/>
      <c r="P1066" s="55"/>
      <c r="Q1066" s="55"/>
      <c r="R1066" s="57"/>
      <c r="S1066" s="58"/>
    </row>
    <row r="1067" spans="1:19" x14ac:dyDescent="0.25">
      <c r="A1067" s="51" t="str">
        <f>(COUNTIF($K$2:K1067,K1067))&amp;K1067</f>
        <v>1</v>
      </c>
      <c r="B1067" s="52"/>
      <c r="C1067" s="53"/>
      <c r="D1067" s="54"/>
      <c r="E1067" s="55"/>
      <c r="F1067" s="55"/>
      <c r="G1067" s="55"/>
      <c r="H1067" s="55"/>
      <c r="I1067" s="55"/>
      <c r="J1067" s="55"/>
      <c r="K1067" s="56"/>
      <c r="L1067" s="55"/>
      <c r="M1067" s="55"/>
      <c r="N1067" s="55"/>
      <c r="O1067" s="55"/>
      <c r="P1067" s="55"/>
      <c r="Q1067" s="55"/>
      <c r="R1067" s="57"/>
      <c r="S1067" s="58"/>
    </row>
    <row r="1068" spans="1:19" x14ac:dyDescent="0.25">
      <c r="A1068" s="51" t="str">
        <f>(COUNTIF($K$2:K1068,K1068))&amp;K1068</f>
        <v>1</v>
      </c>
      <c r="B1068" s="52"/>
      <c r="C1068" s="53"/>
      <c r="D1068" s="54"/>
      <c r="E1068" s="55"/>
      <c r="F1068" s="55"/>
      <c r="G1068" s="55"/>
      <c r="H1068" s="55"/>
      <c r="I1068" s="55"/>
      <c r="J1068" s="55"/>
      <c r="K1068" s="56"/>
      <c r="L1068" s="55"/>
      <c r="M1068" s="55"/>
      <c r="N1068" s="55"/>
      <c r="O1068" s="55"/>
      <c r="P1068" s="55"/>
      <c r="Q1068" s="55"/>
      <c r="R1068" s="57"/>
      <c r="S1068" s="58"/>
    </row>
    <row r="1069" spans="1:19" x14ac:dyDescent="0.25">
      <c r="A1069" s="51" t="str">
        <f>(COUNTIF($K$2:K1069,K1069))&amp;K1069</f>
        <v>1</v>
      </c>
      <c r="B1069" s="52"/>
      <c r="C1069" s="53"/>
      <c r="D1069" s="54"/>
      <c r="E1069" s="55"/>
      <c r="F1069" s="55"/>
      <c r="G1069" s="55"/>
      <c r="H1069" s="55"/>
      <c r="I1069" s="55"/>
      <c r="J1069" s="55"/>
      <c r="K1069" s="56"/>
      <c r="L1069" s="55"/>
      <c r="M1069" s="55"/>
      <c r="N1069" s="55"/>
      <c r="O1069" s="55"/>
      <c r="P1069" s="55"/>
      <c r="Q1069" s="55"/>
      <c r="R1069" s="57"/>
      <c r="S1069" s="58"/>
    </row>
    <row r="1070" spans="1:19" x14ac:dyDescent="0.25">
      <c r="A1070" s="51" t="str">
        <f>(COUNTIF($K$2:K1070,K1070))&amp;K1070</f>
        <v>1</v>
      </c>
      <c r="B1070" s="52"/>
      <c r="C1070" s="53"/>
      <c r="D1070" s="54"/>
      <c r="E1070" s="55"/>
      <c r="F1070" s="55"/>
      <c r="G1070" s="55"/>
      <c r="H1070" s="55"/>
      <c r="I1070" s="55"/>
      <c r="J1070" s="55"/>
      <c r="K1070" s="56"/>
      <c r="L1070" s="55"/>
      <c r="M1070" s="55"/>
      <c r="N1070" s="55"/>
      <c r="O1070" s="55"/>
      <c r="P1070" s="55"/>
      <c r="Q1070" s="55"/>
      <c r="R1070" s="57"/>
      <c r="S1070" s="58"/>
    </row>
    <row r="1071" spans="1:19" x14ac:dyDescent="0.25">
      <c r="A1071" s="51" t="str">
        <f>(COUNTIF($K$2:K1071,K1071))&amp;K1071</f>
        <v>1</v>
      </c>
      <c r="B1071" s="52"/>
      <c r="C1071" s="53"/>
      <c r="D1071" s="54"/>
      <c r="E1071" s="55"/>
      <c r="F1071" s="55"/>
      <c r="G1071" s="55"/>
      <c r="H1071" s="55"/>
      <c r="I1071" s="55"/>
      <c r="J1071" s="55"/>
      <c r="K1071" s="56"/>
      <c r="L1071" s="55"/>
      <c r="M1071" s="55"/>
      <c r="N1071" s="55"/>
      <c r="O1071" s="55"/>
      <c r="P1071" s="55"/>
      <c r="Q1071" s="55"/>
      <c r="R1071" s="57"/>
      <c r="S1071" s="58"/>
    </row>
    <row r="1072" spans="1:19" x14ac:dyDescent="0.25">
      <c r="A1072" s="51" t="str">
        <f>(COUNTIF($K$2:K1072,K1072))&amp;K1072</f>
        <v>1</v>
      </c>
      <c r="B1072" s="52"/>
      <c r="C1072" s="60"/>
      <c r="E1072" s="61"/>
      <c r="F1072" s="62"/>
      <c r="G1072" s="63"/>
      <c r="H1072" s="64"/>
      <c r="I1072" s="64"/>
      <c r="J1072" s="64"/>
      <c r="K1072" s="65"/>
      <c r="L1072" s="64"/>
      <c r="M1072" s="64"/>
      <c r="N1072" s="64"/>
      <c r="P1072" s="63"/>
      <c r="Q1072" s="61"/>
      <c r="R1072" s="64"/>
      <c r="S1072" s="64"/>
    </row>
    <row r="1073" spans="1:19" x14ac:dyDescent="0.25">
      <c r="A1073" s="51" t="str">
        <f>(COUNTIF($K$2:K1073,K1073))&amp;K1073</f>
        <v>1</v>
      </c>
      <c r="B1073" s="52"/>
      <c r="C1073" s="53"/>
      <c r="D1073" s="54"/>
      <c r="E1073" s="55"/>
      <c r="F1073" s="55"/>
      <c r="G1073" s="55"/>
      <c r="H1073" s="55"/>
      <c r="I1073" s="55"/>
      <c r="J1073" s="55"/>
      <c r="K1073" s="56"/>
      <c r="L1073" s="55"/>
      <c r="M1073" s="55"/>
      <c r="N1073" s="55"/>
      <c r="O1073" s="55"/>
      <c r="P1073" s="55"/>
      <c r="Q1073" s="55"/>
      <c r="R1073" s="57"/>
      <c r="S1073" s="58"/>
    </row>
    <row r="1074" spans="1:19" x14ac:dyDescent="0.25">
      <c r="A1074" s="51" t="str">
        <f>(COUNTIF($K$2:K1074,K1074))&amp;K1074</f>
        <v>1</v>
      </c>
      <c r="B1074" s="52"/>
      <c r="C1074" s="53"/>
      <c r="D1074" s="54"/>
      <c r="E1074" s="55"/>
      <c r="F1074" s="55"/>
      <c r="G1074" s="55"/>
      <c r="H1074" s="55"/>
      <c r="I1074" s="55"/>
      <c r="J1074" s="55"/>
      <c r="K1074" s="56"/>
      <c r="L1074" s="55"/>
      <c r="M1074" s="55"/>
      <c r="N1074" s="55"/>
      <c r="O1074" s="55"/>
      <c r="P1074" s="55"/>
      <c r="Q1074" s="55"/>
      <c r="R1074" s="57"/>
      <c r="S1074" s="58"/>
    </row>
    <row r="1075" spans="1:19" x14ac:dyDescent="0.25">
      <c r="A1075" s="51" t="str">
        <f>(COUNTIF($K$2:K1075,K1075))&amp;K1075</f>
        <v>1</v>
      </c>
      <c r="B1075" s="52"/>
      <c r="C1075" s="53"/>
      <c r="D1075" s="54"/>
      <c r="E1075" s="55"/>
      <c r="F1075" s="55"/>
      <c r="G1075" s="55"/>
      <c r="H1075" s="55"/>
      <c r="I1075" s="55"/>
      <c r="J1075" s="55"/>
      <c r="K1075" s="56"/>
      <c r="L1075" s="55"/>
      <c r="M1075" s="55"/>
      <c r="N1075" s="55"/>
      <c r="O1075" s="55"/>
      <c r="P1075" s="55"/>
      <c r="Q1075" s="55"/>
      <c r="R1075" s="57"/>
      <c r="S1075" s="58"/>
    </row>
    <row r="1076" spans="1:19" x14ac:dyDescent="0.25">
      <c r="A1076" s="51" t="str">
        <f>(COUNTIF($K$2:K1076,K1076))&amp;K1076</f>
        <v>1</v>
      </c>
      <c r="B1076" s="52"/>
      <c r="C1076" s="53"/>
      <c r="D1076" s="54"/>
      <c r="E1076" s="55"/>
      <c r="F1076" s="55"/>
      <c r="G1076" s="55"/>
      <c r="H1076" s="55"/>
      <c r="I1076" s="55"/>
      <c r="J1076" s="55"/>
      <c r="K1076" s="56"/>
      <c r="L1076" s="55"/>
      <c r="M1076" s="55"/>
      <c r="N1076" s="55"/>
      <c r="O1076" s="55"/>
      <c r="P1076" s="55"/>
      <c r="Q1076" s="55"/>
      <c r="R1076" s="57"/>
      <c r="S1076" s="58"/>
    </row>
    <row r="1077" spans="1:19" x14ac:dyDescent="0.25">
      <c r="A1077" s="51" t="str">
        <f>(COUNTIF($K$2:K1077,K1077))&amp;K1077</f>
        <v>1</v>
      </c>
      <c r="B1077" s="52"/>
      <c r="C1077" s="53"/>
      <c r="D1077" s="54"/>
      <c r="E1077" s="55"/>
      <c r="F1077" s="55"/>
      <c r="G1077" s="55"/>
      <c r="H1077" s="55"/>
      <c r="I1077" s="55"/>
      <c r="J1077" s="55"/>
      <c r="K1077" s="56"/>
      <c r="L1077" s="55"/>
      <c r="M1077" s="55"/>
      <c r="N1077" s="55"/>
      <c r="O1077" s="55"/>
      <c r="P1077" s="55"/>
      <c r="Q1077" s="55"/>
      <c r="R1077" s="57"/>
      <c r="S1077" s="58"/>
    </row>
    <row r="1078" spans="1:19" x14ac:dyDescent="0.25">
      <c r="A1078" s="51" t="str">
        <f>(COUNTIF($K$2:K1078,K1078))&amp;K1078</f>
        <v>1</v>
      </c>
      <c r="B1078" s="52"/>
      <c r="C1078" s="53"/>
      <c r="D1078" s="54"/>
      <c r="E1078" s="55"/>
      <c r="F1078" s="55"/>
      <c r="G1078" s="55"/>
      <c r="H1078" s="55"/>
      <c r="I1078" s="55"/>
      <c r="J1078" s="55"/>
      <c r="K1078" s="56"/>
      <c r="L1078" s="55"/>
      <c r="M1078" s="55"/>
      <c r="N1078" s="55"/>
      <c r="O1078" s="55"/>
      <c r="P1078" s="55"/>
      <c r="Q1078" s="55"/>
      <c r="R1078" s="57"/>
      <c r="S1078" s="58"/>
    </row>
    <row r="1079" spans="1:19" x14ac:dyDescent="0.25">
      <c r="A1079" s="51" t="str">
        <f>(COUNTIF($K$2:K1079,K1079))&amp;K1079</f>
        <v>1</v>
      </c>
      <c r="B1079" s="52"/>
      <c r="C1079" s="53"/>
      <c r="D1079" s="54"/>
      <c r="E1079" s="55"/>
      <c r="F1079" s="55"/>
      <c r="G1079" s="55"/>
      <c r="H1079" s="55"/>
      <c r="I1079" s="55"/>
      <c r="J1079" s="55"/>
      <c r="K1079" s="56"/>
      <c r="L1079" s="55"/>
      <c r="M1079" s="55"/>
      <c r="N1079" s="55"/>
      <c r="O1079" s="55"/>
      <c r="P1079" s="55"/>
      <c r="Q1079" s="55"/>
      <c r="R1079" s="57"/>
      <c r="S1079" s="58"/>
    </row>
    <row r="1080" spans="1:19" x14ac:dyDescent="0.25">
      <c r="A1080" s="51" t="str">
        <f>(COUNTIF($K$2:K1080,K1080))&amp;K1080</f>
        <v>1</v>
      </c>
      <c r="B1080" s="52"/>
      <c r="C1080" s="53"/>
      <c r="D1080" s="54"/>
      <c r="E1080" s="55"/>
      <c r="F1080" s="55"/>
      <c r="G1080" s="55"/>
      <c r="H1080" s="55"/>
      <c r="I1080" s="55"/>
      <c r="J1080" s="55"/>
      <c r="K1080" s="56"/>
      <c r="L1080" s="55"/>
      <c r="M1080" s="55"/>
      <c r="N1080" s="55"/>
      <c r="O1080" s="55"/>
      <c r="P1080" s="55"/>
      <c r="Q1080" s="55"/>
      <c r="R1080" s="57"/>
      <c r="S1080" s="58"/>
    </row>
    <row r="1081" spans="1:19" ht="15.75" x14ac:dyDescent="0.25">
      <c r="A1081" s="51" t="str">
        <f>(COUNTIF($K$2:K1081,K1081))&amp;K1081</f>
        <v>1</v>
      </c>
      <c r="B1081" s="52"/>
      <c r="C1081" s="53"/>
      <c r="D1081" s="54"/>
      <c r="E1081" s="55"/>
      <c r="F1081" s="55"/>
      <c r="G1081" s="55"/>
      <c r="H1081" s="55"/>
      <c r="I1081" s="55"/>
      <c r="J1081" s="55"/>
      <c r="K1081" s="59"/>
      <c r="L1081" s="55"/>
      <c r="M1081" s="55"/>
      <c r="N1081" s="55"/>
      <c r="O1081" s="55"/>
      <c r="P1081" s="55"/>
      <c r="Q1081" s="55"/>
      <c r="R1081" s="57"/>
      <c r="S1081" s="58"/>
    </row>
    <row r="1082" spans="1:19" x14ac:dyDescent="0.25">
      <c r="A1082" s="51" t="str">
        <f>(COUNTIF($K$2:K1082,K1082))&amp;K1082</f>
        <v>1</v>
      </c>
      <c r="B1082" s="52"/>
      <c r="C1082" s="53"/>
      <c r="D1082" s="54"/>
      <c r="E1082" s="55"/>
      <c r="F1082" s="55"/>
      <c r="G1082" s="55"/>
      <c r="H1082" s="55"/>
      <c r="I1082" s="55"/>
      <c r="J1082" s="55"/>
      <c r="K1082" s="56"/>
      <c r="L1082" s="55"/>
      <c r="M1082" s="55"/>
      <c r="N1082" s="55"/>
      <c r="O1082" s="55"/>
      <c r="P1082" s="55"/>
      <c r="Q1082" s="55"/>
      <c r="R1082" s="57"/>
      <c r="S1082" s="58"/>
    </row>
    <row r="1083" spans="1:19" x14ac:dyDescent="0.25">
      <c r="A1083" s="51" t="str">
        <f>(COUNTIF($K$2:K1083,K1083))&amp;K1083</f>
        <v>1</v>
      </c>
      <c r="B1083" s="52"/>
      <c r="C1083" s="53"/>
      <c r="D1083" s="54"/>
      <c r="E1083" s="55"/>
      <c r="F1083" s="55"/>
      <c r="G1083" s="55"/>
      <c r="H1083" s="55"/>
      <c r="I1083" s="55"/>
      <c r="J1083" s="55"/>
      <c r="K1083" s="56"/>
      <c r="L1083" s="55"/>
      <c r="M1083" s="55"/>
      <c r="N1083" s="55"/>
      <c r="O1083" s="55"/>
      <c r="P1083" s="55"/>
      <c r="Q1083" s="55"/>
      <c r="R1083" s="57"/>
      <c r="S1083" s="58"/>
    </row>
    <row r="1084" spans="1:19" x14ac:dyDescent="0.25">
      <c r="A1084" s="51" t="str">
        <f>(COUNTIF($K$2:K1084,K1084))&amp;K1084</f>
        <v>1</v>
      </c>
      <c r="B1084" s="52"/>
      <c r="C1084" s="53"/>
      <c r="D1084" s="54"/>
      <c r="E1084" s="55"/>
      <c r="F1084" s="55"/>
      <c r="G1084" s="55"/>
      <c r="H1084" s="55"/>
      <c r="I1084" s="55"/>
      <c r="J1084" s="55"/>
      <c r="K1084" s="56"/>
      <c r="L1084" s="55"/>
      <c r="M1084" s="55"/>
      <c r="N1084" s="55"/>
      <c r="O1084" s="55"/>
      <c r="P1084" s="55"/>
      <c r="Q1084" s="55"/>
      <c r="R1084" s="57"/>
      <c r="S1084" s="58"/>
    </row>
    <row r="1085" spans="1:19" x14ac:dyDescent="0.25">
      <c r="A1085" s="51" t="str">
        <f>(COUNTIF($K$2:K1085,K1085))&amp;K1085</f>
        <v>1</v>
      </c>
      <c r="B1085" s="52"/>
      <c r="C1085" s="53"/>
      <c r="D1085" s="54"/>
      <c r="E1085" s="55"/>
      <c r="F1085" s="55"/>
      <c r="G1085" s="55"/>
      <c r="H1085" s="55"/>
      <c r="I1085" s="55"/>
      <c r="J1085" s="55"/>
      <c r="K1085" s="56"/>
      <c r="L1085" s="55"/>
      <c r="M1085" s="55"/>
      <c r="N1085" s="55"/>
      <c r="O1085" s="55"/>
      <c r="P1085" s="55"/>
      <c r="Q1085" s="55"/>
      <c r="R1085" s="57"/>
      <c r="S1085" s="58"/>
    </row>
    <row r="1086" spans="1:19" x14ac:dyDescent="0.25">
      <c r="A1086" s="51" t="str">
        <f>(COUNTIF($K$2:K1086,K1086))&amp;K1086</f>
        <v>1</v>
      </c>
      <c r="B1086" s="52"/>
      <c r="C1086" s="53"/>
      <c r="D1086" s="54"/>
      <c r="E1086" s="55"/>
      <c r="F1086" s="55"/>
      <c r="G1086" s="55"/>
      <c r="H1086" s="55"/>
      <c r="I1086" s="55"/>
      <c r="J1086" s="55"/>
      <c r="K1086" s="56"/>
      <c r="L1086" s="55"/>
      <c r="M1086" s="55"/>
      <c r="N1086" s="55"/>
      <c r="O1086" s="55"/>
      <c r="P1086" s="55"/>
      <c r="Q1086" s="55"/>
      <c r="R1086" s="57"/>
      <c r="S1086" s="58"/>
    </row>
    <row r="1087" spans="1:19" x14ac:dyDescent="0.25">
      <c r="A1087" s="51" t="str">
        <f>(COUNTIF($K$2:K1087,K1087))&amp;K1087</f>
        <v>1</v>
      </c>
      <c r="B1087" s="52"/>
      <c r="C1087" s="53"/>
      <c r="D1087" s="54"/>
      <c r="E1087" s="55"/>
      <c r="F1087" s="55"/>
      <c r="G1087" s="55"/>
      <c r="H1087" s="55"/>
      <c r="I1087" s="55"/>
      <c r="J1087" s="55"/>
      <c r="K1087" s="56"/>
      <c r="L1087" s="55"/>
      <c r="M1087" s="55"/>
      <c r="N1087" s="55"/>
      <c r="O1087" s="55"/>
      <c r="P1087" s="55"/>
      <c r="Q1087" s="55"/>
      <c r="R1087" s="57"/>
      <c r="S1087" s="58"/>
    </row>
    <row r="1088" spans="1:19" x14ac:dyDescent="0.25">
      <c r="A1088" s="51" t="str">
        <f>(COUNTIF($K$2:K1088,K1088))&amp;K1088</f>
        <v>1</v>
      </c>
      <c r="B1088" s="52"/>
      <c r="C1088" s="53"/>
      <c r="D1088" s="54"/>
      <c r="E1088" s="55"/>
      <c r="F1088" s="55"/>
      <c r="G1088" s="55"/>
      <c r="H1088" s="55"/>
      <c r="I1088" s="55"/>
      <c r="J1088" s="55"/>
      <c r="K1088" s="56"/>
      <c r="L1088" s="55"/>
      <c r="M1088" s="55"/>
      <c r="N1088" s="55"/>
      <c r="O1088" s="55"/>
      <c r="P1088" s="55"/>
      <c r="Q1088" s="55"/>
      <c r="R1088" s="57"/>
      <c r="S1088" s="58"/>
    </row>
    <row r="1089" spans="1:19" x14ac:dyDescent="0.25">
      <c r="A1089" s="51" t="str">
        <f>(COUNTIF($K$2:K1089,K1089))&amp;K1089</f>
        <v>1</v>
      </c>
      <c r="B1089" s="52"/>
      <c r="C1089" s="60"/>
      <c r="E1089" s="61"/>
      <c r="F1089" s="62"/>
      <c r="G1089" s="63"/>
      <c r="H1089" s="64"/>
      <c r="I1089" s="64"/>
      <c r="J1089" s="64"/>
      <c r="K1089" s="65"/>
      <c r="L1089" s="64"/>
      <c r="M1089" s="64"/>
      <c r="N1089" s="64"/>
      <c r="P1089" s="63"/>
      <c r="Q1089" s="61"/>
      <c r="R1089" s="64"/>
      <c r="S1089" s="64"/>
    </row>
    <row r="1090" spans="1:19" x14ac:dyDescent="0.25">
      <c r="A1090" s="51" t="str">
        <f>(COUNTIF($K$2:K1090,K1090))&amp;K1090</f>
        <v>1</v>
      </c>
      <c r="B1090" s="52"/>
      <c r="C1090" s="53"/>
      <c r="D1090" s="54"/>
      <c r="E1090" s="55"/>
      <c r="F1090" s="55"/>
      <c r="G1090" s="55"/>
      <c r="H1090" s="55"/>
      <c r="I1090" s="55"/>
      <c r="J1090" s="55"/>
      <c r="K1090" s="56"/>
      <c r="L1090" s="55"/>
      <c r="M1090" s="55"/>
      <c r="N1090" s="55"/>
      <c r="O1090" s="55"/>
      <c r="P1090" s="55"/>
      <c r="Q1090" s="55"/>
      <c r="R1090" s="57"/>
      <c r="S1090" s="58"/>
    </row>
    <row r="1091" spans="1:19" x14ac:dyDescent="0.25">
      <c r="A1091" s="51" t="str">
        <f>(COUNTIF($K$2:K1091,K1091))&amp;K1091</f>
        <v>1</v>
      </c>
      <c r="B1091" s="52"/>
      <c r="C1091" s="53"/>
      <c r="D1091" s="54"/>
      <c r="E1091" s="55"/>
      <c r="F1091" s="55"/>
      <c r="G1091" s="55"/>
      <c r="H1091" s="55"/>
      <c r="I1091" s="55"/>
      <c r="J1091" s="55"/>
      <c r="K1091" s="56"/>
      <c r="L1091" s="55"/>
      <c r="M1091" s="55"/>
      <c r="N1091" s="55"/>
      <c r="O1091" s="55"/>
      <c r="P1091" s="55"/>
      <c r="Q1091" s="55"/>
      <c r="R1091" s="57"/>
      <c r="S1091" s="58"/>
    </row>
    <row r="1092" spans="1:19" x14ac:dyDescent="0.25">
      <c r="A1092" s="51" t="str">
        <f>(COUNTIF($K$2:K1092,K1092))&amp;K1092</f>
        <v>1</v>
      </c>
      <c r="B1092" s="52"/>
      <c r="C1092" s="53"/>
      <c r="D1092" s="54"/>
      <c r="E1092" s="55"/>
      <c r="F1092" s="55"/>
      <c r="G1092" s="55"/>
      <c r="H1092" s="55"/>
      <c r="I1092" s="55"/>
      <c r="J1092" s="55"/>
      <c r="K1092" s="56"/>
      <c r="L1092" s="55"/>
      <c r="M1092" s="55"/>
      <c r="N1092" s="55"/>
      <c r="O1092" s="55"/>
      <c r="P1092" s="55"/>
      <c r="Q1092" s="55"/>
      <c r="R1092" s="57"/>
      <c r="S1092" s="58"/>
    </row>
    <row r="1093" spans="1:19" x14ac:dyDescent="0.25">
      <c r="A1093" s="51" t="str">
        <f>(COUNTIF($K$2:K1093,K1093))&amp;K1093</f>
        <v>1</v>
      </c>
      <c r="B1093" s="52"/>
      <c r="C1093" s="53"/>
      <c r="D1093" s="54"/>
      <c r="E1093" s="55"/>
      <c r="F1093" s="55"/>
      <c r="G1093" s="55"/>
      <c r="H1093" s="55"/>
      <c r="I1093" s="55"/>
      <c r="J1093" s="55"/>
      <c r="K1093" s="56"/>
      <c r="L1093" s="55"/>
      <c r="M1093" s="55"/>
      <c r="N1093" s="55"/>
      <c r="O1093" s="55"/>
      <c r="P1093" s="55"/>
      <c r="Q1093" s="55"/>
      <c r="R1093" s="57"/>
      <c r="S1093" s="58"/>
    </row>
    <row r="1094" spans="1:19" x14ac:dyDescent="0.25">
      <c r="A1094" s="51" t="str">
        <f>(COUNTIF($K$2:K1094,K1094))&amp;K1094</f>
        <v>1</v>
      </c>
      <c r="B1094" s="52"/>
      <c r="C1094" s="53"/>
      <c r="D1094" s="54"/>
      <c r="E1094" s="55"/>
      <c r="F1094" s="55"/>
      <c r="G1094" s="55"/>
      <c r="H1094" s="55"/>
      <c r="I1094" s="55"/>
      <c r="J1094" s="55"/>
      <c r="K1094" s="56"/>
      <c r="L1094" s="55"/>
      <c r="M1094" s="55"/>
      <c r="N1094" s="55"/>
      <c r="O1094" s="55"/>
      <c r="P1094" s="55"/>
      <c r="Q1094" s="55"/>
      <c r="R1094" s="57"/>
      <c r="S1094" s="58"/>
    </row>
    <row r="1095" spans="1:19" x14ac:dyDescent="0.25">
      <c r="A1095" s="51" t="str">
        <f>(COUNTIF($K$2:K1095,K1095))&amp;K1095</f>
        <v>1</v>
      </c>
      <c r="B1095" s="52"/>
      <c r="C1095" s="53"/>
      <c r="D1095" s="54"/>
      <c r="E1095" s="55"/>
      <c r="F1095" s="55"/>
      <c r="G1095" s="55"/>
      <c r="H1095" s="55"/>
      <c r="I1095" s="55"/>
      <c r="J1095" s="55"/>
      <c r="K1095" s="56"/>
      <c r="L1095" s="55"/>
      <c r="M1095" s="55"/>
      <c r="N1095" s="55"/>
      <c r="O1095" s="55"/>
      <c r="P1095" s="55"/>
      <c r="Q1095" s="55"/>
      <c r="R1095" s="57"/>
      <c r="S1095" s="58"/>
    </row>
    <row r="1096" spans="1:19" x14ac:dyDescent="0.25">
      <c r="A1096" s="51" t="str">
        <f>(COUNTIF($K$2:K1096,K1096))&amp;K1096</f>
        <v>1</v>
      </c>
      <c r="B1096" s="52"/>
      <c r="C1096" s="53"/>
      <c r="D1096" s="54"/>
      <c r="E1096" s="55"/>
      <c r="F1096" s="55"/>
      <c r="G1096" s="55"/>
      <c r="H1096" s="55"/>
      <c r="I1096" s="55"/>
      <c r="J1096" s="55"/>
      <c r="K1096" s="56"/>
      <c r="L1096" s="55"/>
      <c r="M1096" s="55"/>
      <c r="N1096" s="55"/>
      <c r="O1096" s="55"/>
      <c r="P1096" s="55"/>
      <c r="Q1096" s="55"/>
      <c r="R1096" s="57"/>
      <c r="S1096" s="58"/>
    </row>
    <row r="1097" spans="1:19" x14ac:dyDescent="0.25">
      <c r="A1097" s="51" t="str">
        <f>(COUNTIF($K$2:K1097,K1097))&amp;K1097</f>
        <v>1</v>
      </c>
      <c r="B1097" s="52"/>
      <c r="C1097" s="53"/>
      <c r="D1097" s="54"/>
      <c r="E1097" s="55"/>
      <c r="F1097" s="55"/>
      <c r="G1097" s="55"/>
      <c r="H1097" s="55"/>
      <c r="I1097" s="55"/>
      <c r="J1097" s="55"/>
      <c r="K1097" s="56"/>
      <c r="L1097" s="55"/>
      <c r="M1097" s="55"/>
      <c r="N1097" s="55"/>
      <c r="O1097" s="55"/>
      <c r="P1097" s="55"/>
      <c r="Q1097" s="55"/>
      <c r="R1097" s="57"/>
      <c r="S1097" s="58"/>
    </row>
    <row r="1098" spans="1:19" ht="15.75" x14ac:dyDescent="0.25">
      <c r="A1098" s="51" t="str">
        <f>(COUNTIF($K$2:K1098,K1098))&amp;K1098</f>
        <v>1</v>
      </c>
      <c r="B1098" s="52"/>
      <c r="C1098" s="53"/>
      <c r="D1098" s="54"/>
      <c r="E1098" s="55"/>
      <c r="F1098" s="55"/>
      <c r="G1098" s="55"/>
      <c r="H1098" s="55"/>
      <c r="I1098" s="55"/>
      <c r="J1098" s="55"/>
      <c r="K1098" s="59"/>
      <c r="L1098" s="55"/>
      <c r="M1098" s="55"/>
      <c r="N1098" s="55"/>
      <c r="O1098" s="55"/>
      <c r="P1098" s="55"/>
      <c r="Q1098" s="55"/>
      <c r="R1098" s="57"/>
      <c r="S1098" s="58"/>
    </row>
    <row r="1099" spans="1:19" x14ac:dyDescent="0.25">
      <c r="A1099" s="51" t="str">
        <f>(COUNTIF($K$2:K1099,K1099))&amp;K1099</f>
        <v>1</v>
      </c>
      <c r="B1099" s="52"/>
      <c r="C1099" s="53"/>
      <c r="D1099" s="54"/>
      <c r="E1099" s="55"/>
      <c r="F1099" s="55"/>
      <c r="G1099" s="55"/>
      <c r="H1099" s="55"/>
      <c r="I1099" s="55"/>
      <c r="J1099" s="55"/>
      <c r="K1099" s="56"/>
      <c r="L1099" s="55"/>
      <c r="M1099" s="55"/>
      <c r="N1099" s="55"/>
      <c r="O1099" s="55"/>
      <c r="P1099" s="55"/>
      <c r="Q1099" s="55"/>
      <c r="R1099" s="57"/>
      <c r="S1099" s="58"/>
    </row>
    <row r="1100" spans="1:19" x14ac:dyDescent="0.25">
      <c r="A1100" s="51" t="str">
        <f>(COUNTIF($K$2:K1100,K1100))&amp;K1100</f>
        <v>1</v>
      </c>
      <c r="B1100" s="52"/>
      <c r="C1100" s="53"/>
      <c r="D1100" s="54"/>
      <c r="E1100" s="55"/>
      <c r="F1100" s="55"/>
      <c r="G1100" s="55"/>
      <c r="H1100" s="55"/>
      <c r="I1100" s="55"/>
      <c r="J1100" s="55"/>
      <c r="K1100" s="56"/>
      <c r="L1100" s="55"/>
      <c r="M1100" s="55"/>
      <c r="N1100" s="55"/>
      <c r="O1100" s="55"/>
      <c r="P1100" s="55"/>
      <c r="Q1100" s="55"/>
      <c r="R1100" s="57"/>
      <c r="S1100" s="58"/>
    </row>
    <row r="1101" spans="1:19" x14ac:dyDescent="0.25">
      <c r="A1101" s="51" t="str">
        <f>(COUNTIF($K$2:K1101,K1101))&amp;K1101</f>
        <v>1</v>
      </c>
      <c r="B1101" s="52"/>
      <c r="C1101" s="53"/>
      <c r="D1101" s="54"/>
      <c r="E1101" s="55"/>
      <c r="F1101" s="55"/>
      <c r="G1101" s="55"/>
      <c r="H1101" s="55"/>
      <c r="I1101" s="55"/>
      <c r="J1101" s="55"/>
      <c r="K1101" s="56"/>
      <c r="L1101" s="55"/>
      <c r="M1101" s="55"/>
      <c r="N1101" s="55"/>
      <c r="O1101" s="55"/>
      <c r="P1101" s="55"/>
      <c r="Q1101" s="55"/>
      <c r="R1101" s="57"/>
      <c r="S1101" s="58"/>
    </row>
    <row r="1102" spans="1:19" x14ac:dyDescent="0.25">
      <c r="A1102" s="51" t="str">
        <f>(COUNTIF($K$2:K1102,K1102))&amp;K1102</f>
        <v>1</v>
      </c>
      <c r="B1102" s="52"/>
      <c r="C1102" s="53"/>
      <c r="D1102" s="54"/>
      <c r="E1102" s="55"/>
      <c r="F1102" s="55"/>
      <c r="G1102" s="55"/>
      <c r="H1102" s="55"/>
      <c r="I1102" s="55"/>
      <c r="J1102" s="55"/>
      <c r="K1102" s="56"/>
      <c r="L1102" s="55"/>
      <c r="M1102" s="55"/>
      <c r="N1102" s="55"/>
      <c r="O1102" s="55"/>
      <c r="P1102" s="55"/>
      <c r="Q1102" s="55"/>
      <c r="R1102" s="57"/>
      <c r="S1102" s="58"/>
    </row>
    <row r="1103" spans="1:19" x14ac:dyDescent="0.25">
      <c r="A1103" s="51" t="str">
        <f>(COUNTIF($K$2:K1103,K1103))&amp;K1103</f>
        <v>1</v>
      </c>
      <c r="B1103" s="52"/>
      <c r="C1103" s="53"/>
      <c r="D1103" s="54"/>
      <c r="E1103" s="55"/>
      <c r="F1103" s="55"/>
      <c r="G1103" s="55"/>
      <c r="H1103" s="55"/>
      <c r="I1103" s="55"/>
      <c r="J1103" s="55"/>
      <c r="K1103" s="56"/>
      <c r="L1103" s="55"/>
      <c r="M1103" s="55"/>
      <c r="N1103" s="55"/>
      <c r="O1103" s="55"/>
      <c r="P1103" s="55"/>
      <c r="Q1103" s="55"/>
      <c r="R1103" s="57"/>
      <c r="S1103" s="58"/>
    </row>
    <row r="1104" spans="1:19" x14ac:dyDescent="0.25">
      <c r="A1104" s="51" t="str">
        <f>(COUNTIF($K$2:K1104,K1104))&amp;K1104</f>
        <v>1</v>
      </c>
      <c r="B1104" s="52"/>
      <c r="C1104" s="53"/>
      <c r="D1104" s="54"/>
      <c r="E1104" s="55"/>
      <c r="F1104" s="55"/>
      <c r="G1104" s="55"/>
      <c r="H1104" s="55"/>
      <c r="I1104" s="55"/>
      <c r="J1104" s="55"/>
      <c r="K1104" s="56"/>
      <c r="L1104" s="55"/>
      <c r="M1104" s="55"/>
      <c r="N1104" s="55"/>
      <c r="O1104" s="55"/>
      <c r="P1104" s="55"/>
      <c r="Q1104" s="55"/>
      <c r="R1104" s="57"/>
      <c r="S1104" s="58"/>
    </row>
    <row r="1105" spans="1:19" x14ac:dyDescent="0.25">
      <c r="A1105" s="51" t="str">
        <f>(COUNTIF($K$2:K1105,K1105))&amp;K1105</f>
        <v>1</v>
      </c>
      <c r="B1105" s="52"/>
      <c r="C1105" s="53"/>
      <c r="D1105" s="54"/>
      <c r="E1105" s="55"/>
      <c r="F1105" s="55"/>
      <c r="G1105" s="55"/>
      <c r="H1105" s="55"/>
      <c r="I1105" s="55"/>
      <c r="J1105" s="55"/>
      <c r="K1105" s="56"/>
      <c r="L1105" s="55"/>
      <c r="M1105" s="55"/>
      <c r="N1105" s="55"/>
      <c r="O1105" s="55"/>
      <c r="P1105" s="55"/>
      <c r="Q1105" s="55"/>
      <c r="R1105" s="57"/>
      <c r="S1105" s="58"/>
    </row>
    <row r="1106" spans="1:19" x14ac:dyDescent="0.25">
      <c r="A1106" s="51" t="str">
        <f>(COUNTIF($K$2:K1106,K1106))&amp;K1106</f>
        <v>1</v>
      </c>
      <c r="B1106" s="52"/>
      <c r="C1106" s="60"/>
      <c r="E1106" s="61"/>
      <c r="F1106" s="62"/>
      <c r="G1106" s="63"/>
      <c r="H1106" s="64"/>
      <c r="I1106" s="64"/>
      <c r="J1106" s="64"/>
      <c r="K1106" s="65"/>
      <c r="L1106" s="64"/>
      <c r="M1106" s="64"/>
      <c r="N1106" s="64"/>
      <c r="P1106" s="63"/>
      <c r="Q1106" s="61"/>
      <c r="R1106" s="64"/>
      <c r="S1106" s="64"/>
    </row>
    <row r="1107" spans="1:19" x14ac:dyDescent="0.25">
      <c r="A1107" s="51" t="str">
        <f>(COUNTIF($K$2:K1107,K1107))&amp;K1107</f>
        <v>1</v>
      </c>
      <c r="B1107" s="52"/>
      <c r="C1107" s="53"/>
      <c r="D1107" s="54"/>
      <c r="E1107" s="55"/>
      <c r="F1107" s="55"/>
      <c r="G1107" s="55"/>
      <c r="H1107" s="55"/>
      <c r="I1107" s="55"/>
      <c r="J1107" s="55"/>
      <c r="K1107" s="56"/>
      <c r="L1107" s="55"/>
      <c r="M1107" s="55"/>
      <c r="N1107" s="55"/>
      <c r="O1107" s="55"/>
      <c r="P1107" s="55"/>
      <c r="Q1107" s="55"/>
      <c r="R1107" s="57"/>
      <c r="S1107" s="58"/>
    </row>
    <row r="1108" spans="1:19" x14ac:dyDescent="0.25">
      <c r="A1108" s="51" t="str">
        <f>(COUNTIF($K$2:K1108,K1108))&amp;K1108</f>
        <v>1</v>
      </c>
      <c r="B1108" s="52"/>
      <c r="C1108" s="53"/>
      <c r="D1108" s="54"/>
      <c r="E1108" s="55"/>
      <c r="F1108" s="55"/>
      <c r="G1108" s="55"/>
      <c r="H1108" s="55"/>
      <c r="I1108" s="55"/>
      <c r="J1108" s="55"/>
      <c r="K1108" s="56"/>
      <c r="L1108" s="55"/>
      <c r="M1108" s="55"/>
      <c r="N1108" s="55"/>
      <c r="O1108" s="55"/>
      <c r="P1108" s="55"/>
      <c r="Q1108" s="55"/>
      <c r="R1108" s="57"/>
      <c r="S1108" s="58"/>
    </row>
    <row r="1109" spans="1:19" x14ac:dyDescent="0.25">
      <c r="A1109" s="51" t="str">
        <f>(COUNTIF($K$2:K1109,K1109))&amp;K1109</f>
        <v>1</v>
      </c>
      <c r="B1109" s="52"/>
      <c r="C1109" s="53"/>
      <c r="D1109" s="54"/>
      <c r="E1109" s="55"/>
      <c r="F1109" s="55"/>
      <c r="G1109" s="55"/>
      <c r="H1109" s="55"/>
      <c r="I1109" s="55"/>
      <c r="J1109" s="55"/>
      <c r="K1109" s="56"/>
      <c r="L1109" s="55"/>
      <c r="M1109" s="55"/>
      <c r="N1109" s="55"/>
      <c r="O1109" s="55"/>
      <c r="P1109" s="55"/>
      <c r="Q1109" s="55"/>
      <c r="R1109" s="57"/>
      <c r="S1109" s="58"/>
    </row>
    <row r="1110" spans="1:19" x14ac:dyDescent="0.25">
      <c r="A1110" s="51" t="str">
        <f>(COUNTIF($K$2:K1110,K1110))&amp;K1110</f>
        <v>1</v>
      </c>
      <c r="B1110" s="52"/>
      <c r="C1110" s="53"/>
      <c r="D1110" s="54"/>
      <c r="E1110" s="55"/>
      <c r="F1110" s="55"/>
      <c r="G1110" s="55"/>
      <c r="H1110" s="55"/>
      <c r="I1110" s="55"/>
      <c r="J1110" s="55"/>
      <c r="K1110" s="56"/>
      <c r="L1110" s="55"/>
      <c r="M1110" s="55"/>
      <c r="N1110" s="55"/>
      <c r="O1110" s="55"/>
      <c r="P1110" s="55"/>
      <c r="Q1110" s="55"/>
      <c r="R1110" s="57"/>
      <c r="S1110" s="58"/>
    </row>
    <row r="1111" spans="1:19" x14ac:dyDescent="0.25">
      <c r="A1111" s="51" t="str">
        <f>(COUNTIF($K$2:K1111,K1111))&amp;K1111</f>
        <v>1</v>
      </c>
      <c r="B1111" s="52"/>
      <c r="C1111" s="53"/>
      <c r="D1111" s="54"/>
      <c r="E1111" s="55"/>
      <c r="F1111" s="55"/>
      <c r="G1111" s="55"/>
      <c r="H1111" s="55"/>
      <c r="I1111" s="55"/>
      <c r="J1111" s="55"/>
      <c r="K1111" s="56"/>
      <c r="L1111" s="55"/>
      <c r="M1111" s="55"/>
      <c r="N1111" s="55"/>
      <c r="O1111" s="55"/>
      <c r="P1111" s="55"/>
      <c r="Q1111" s="55"/>
      <c r="R1111" s="57"/>
      <c r="S1111" s="58"/>
    </row>
    <row r="1112" spans="1:19" x14ac:dyDescent="0.25">
      <c r="A1112" s="51" t="str">
        <f>(COUNTIF($K$2:K1112,K1112))&amp;K1112</f>
        <v>1</v>
      </c>
      <c r="B1112" s="52"/>
      <c r="C1112" s="53"/>
      <c r="D1112" s="54"/>
      <c r="E1112" s="55"/>
      <c r="F1112" s="55"/>
      <c r="G1112" s="55"/>
      <c r="H1112" s="55"/>
      <c r="I1112" s="55"/>
      <c r="J1112" s="55"/>
      <c r="K1112" s="56"/>
      <c r="L1112" s="55"/>
      <c r="M1112" s="55"/>
      <c r="N1112" s="55"/>
      <c r="O1112" s="55"/>
      <c r="P1112" s="55"/>
      <c r="Q1112" s="55"/>
      <c r="R1112" s="57"/>
      <c r="S1112" s="58"/>
    </row>
    <row r="1113" spans="1:19" x14ac:dyDescent="0.25">
      <c r="A1113" s="51" t="str">
        <f>(COUNTIF($K$2:K1113,K1113))&amp;K1113</f>
        <v>1</v>
      </c>
      <c r="B1113" s="52"/>
      <c r="C1113" s="53"/>
      <c r="D1113" s="54"/>
      <c r="E1113" s="55"/>
      <c r="F1113" s="55"/>
      <c r="G1113" s="55"/>
      <c r="H1113" s="55"/>
      <c r="I1113" s="55"/>
      <c r="J1113" s="55"/>
      <c r="K1113" s="56"/>
      <c r="L1113" s="55"/>
      <c r="M1113" s="55"/>
      <c r="N1113" s="55"/>
      <c r="O1113" s="55"/>
      <c r="P1113" s="55"/>
      <c r="Q1113" s="55"/>
      <c r="R1113" s="57"/>
      <c r="S1113" s="58"/>
    </row>
    <row r="1114" spans="1:19" x14ac:dyDescent="0.25">
      <c r="A1114" s="51" t="str">
        <f>(COUNTIF($K$2:K1114,K1114))&amp;K1114</f>
        <v>1</v>
      </c>
      <c r="B1114" s="52"/>
      <c r="C1114" s="53"/>
      <c r="D1114" s="54"/>
      <c r="E1114" s="55"/>
      <c r="F1114" s="55"/>
      <c r="G1114" s="55"/>
      <c r="H1114" s="55"/>
      <c r="I1114" s="55"/>
      <c r="J1114" s="55"/>
      <c r="K1114" s="56"/>
      <c r="L1114" s="55"/>
      <c r="M1114" s="55"/>
      <c r="N1114" s="55"/>
      <c r="O1114" s="55"/>
      <c r="P1114" s="55"/>
      <c r="Q1114" s="55"/>
      <c r="R1114" s="57"/>
      <c r="S1114" s="58"/>
    </row>
    <row r="1115" spans="1:19" ht="15.75" x14ac:dyDescent="0.25">
      <c r="A1115" s="51" t="str">
        <f>(COUNTIF($K$2:K1115,K1115))&amp;K1115</f>
        <v>1</v>
      </c>
      <c r="B1115" s="52"/>
      <c r="C1115" s="53"/>
      <c r="D1115" s="54"/>
      <c r="E1115" s="55"/>
      <c r="F1115" s="55"/>
      <c r="G1115" s="55"/>
      <c r="H1115" s="55"/>
      <c r="I1115" s="55"/>
      <c r="J1115" s="55"/>
      <c r="K1115" s="59"/>
      <c r="L1115" s="55"/>
      <c r="M1115" s="55"/>
      <c r="N1115" s="55"/>
      <c r="O1115" s="55"/>
      <c r="P1115" s="55"/>
      <c r="Q1115" s="55"/>
      <c r="R1115" s="57"/>
      <c r="S1115" s="58"/>
    </row>
    <row r="1116" spans="1:19" x14ac:dyDescent="0.25">
      <c r="A1116" s="51" t="str">
        <f>(COUNTIF($K$2:K1116,K1116))&amp;K1116</f>
        <v>1</v>
      </c>
      <c r="B1116" s="52"/>
      <c r="C1116" s="53"/>
      <c r="D1116" s="54"/>
      <c r="E1116" s="55"/>
      <c r="F1116" s="55"/>
      <c r="G1116" s="55"/>
      <c r="H1116" s="55"/>
      <c r="I1116" s="55"/>
      <c r="J1116" s="55"/>
      <c r="K1116" s="56"/>
      <c r="L1116" s="55"/>
      <c r="M1116" s="55"/>
      <c r="N1116" s="55"/>
      <c r="O1116" s="55"/>
      <c r="P1116" s="55"/>
      <c r="Q1116" s="55"/>
      <c r="R1116" s="57"/>
      <c r="S1116" s="58"/>
    </row>
    <row r="1117" spans="1:19" x14ac:dyDescent="0.25">
      <c r="A1117" s="51" t="str">
        <f>(COUNTIF($K$2:K1117,K1117))&amp;K1117</f>
        <v>1</v>
      </c>
      <c r="B1117" s="52"/>
      <c r="C1117" s="53"/>
      <c r="D1117" s="54"/>
      <c r="E1117" s="55"/>
      <c r="F1117" s="55"/>
      <c r="G1117" s="55"/>
      <c r="H1117" s="55"/>
      <c r="I1117" s="55"/>
      <c r="J1117" s="55"/>
      <c r="K1117" s="56"/>
      <c r="L1117" s="55"/>
      <c r="M1117" s="55"/>
      <c r="N1117" s="55"/>
      <c r="O1117" s="55"/>
      <c r="P1117" s="55"/>
      <c r="Q1117" s="55"/>
      <c r="R1117" s="57"/>
      <c r="S1117" s="58"/>
    </row>
    <row r="1118" spans="1:19" x14ac:dyDescent="0.25">
      <c r="A1118" s="51" t="str">
        <f>(COUNTIF($K$2:K1118,K1118))&amp;K1118</f>
        <v>1</v>
      </c>
      <c r="B1118" s="52"/>
      <c r="C1118" s="53"/>
      <c r="D1118" s="54"/>
      <c r="E1118" s="55"/>
      <c r="F1118" s="55"/>
      <c r="G1118" s="55"/>
      <c r="H1118" s="55"/>
      <c r="I1118" s="55"/>
      <c r="J1118" s="55"/>
      <c r="K1118" s="56"/>
      <c r="L1118" s="55"/>
      <c r="M1118" s="55"/>
      <c r="N1118" s="55"/>
      <c r="O1118" s="55"/>
      <c r="P1118" s="55"/>
      <c r="Q1118" s="55"/>
      <c r="R1118" s="57"/>
      <c r="S1118" s="58"/>
    </row>
    <row r="1119" spans="1:19" x14ac:dyDescent="0.25">
      <c r="A1119" s="51" t="str">
        <f>(COUNTIF($K$2:K1119,K1119))&amp;K1119</f>
        <v>1</v>
      </c>
      <c r="B1119" s="52"/>
      <c r="C1119" s="53"/>
      <c r="D1119" s="54"/>
      <c r="E1119" s="55"/>
      <c r="F1119" s="55"/>
      <c r="G1119" s="55"/>
      <c r="H1119" s="55"/>
      <c r="I1119" s="55"/>
      <c r="J1119" s="55"/>
      <c r="K1119" s="56"/>
      <c r="L1119" s="55"/>
      <c r="M1119" s="55"/>
      <c r="N1119" s="55"/>
      <c r="O1119" s="55"/>
      <c r="P1119" s="55"/>
      <c r="Q1119" s="55"/>
      <c r="R1119" s="57"/>
      <c r="S1119" s="58"/>
    </row>
    <row r="1120" spans="1:19" x14ac:dyDescent="0.25">
      <c r="A1120" s="51" t="str">
        <f>(COUNTIF($K$2:K1120,K1120))&amp;K1120</f>
        <v>1</v>
      </c>
      <c r="B1120" s="52"/>
      <c r="C1120" s="53"/>
      <c r="D1120" s="54"/>
      <c r="E1120" s="55"/>
      <c r="F1120" s="55"/>
      <c r="G1120" s="55"/>
      <c r="H1120" s="55"/>
      <c r="I1120" s="55"/>
      <c r="J1120" s="55"/>
      <c r="K1120" s="56"/>
      <c r="L1120" s="55"/>
      <c r="M1120" s="55"/>
      <c r="N1120" s="55"/>
      <c r="O1120" s="55"/>
      <c r="P1120" s="55"/>
      <c r="Q1120" s="55"/>
      <c r="R1120" s="57"/>
      <c r="S1120" s="58"/>
    </row>
    <row r="1121" spans="1:19" x14ac:dyDescent="0.25">
      <c r="A1121" s="51" t="str">
        <f>(COUNTIF($K$2:K1121,K1121))&amp;K1121</f>
        <v>1</v>
      </c>
      <c r="B1121" s="52"/>
      <c r="C1121" s="53"/>
      <c r="D1121" s="54"/>
      <c r="E1121" s="55"/>
      <c r="F1121" s="55"/>
      <c r="G1121" s="55"/>
      <c r="H1121" s="55"/>
      <c r="I1121" s="55"/>
      <c r="J1121" s="55"/>
      <c r="K1121" s="56"/>
      <c r="L1121" s="55"/>
      <c r="M1121" s="55"/>
      <c r="N1121" s="55"/>
      <c r="O1121" s="55"/>
      <c r="P1121" s="55"/>
      <c r="Q1121" s="55"/>
      <c r="R1121" s="57"/>
      <c r="S1121" s="58"/>
    </row>
    <row r="1122" spans="1:19" x14ac:dyDescent="0.25">
      <c r="A1122" s="51" t="str">
        <f>(COUNTIF($K$2:K1122,K1122))&amp;K1122</f>
        <v>1</v>
      </c>
      <c r="B1122" s="52"/>
      <c r="C1122" s="53"/>
      <c r="D1122" s="54"/>
      <c r="E1122" s="55"/>
      <c r="F1122" s="55"/>
      <c r="G1122" s="55"/>
      <c r="H1122" s="55"/>
      <c r="I1122" s="55"/>
      <c r="J1122" s="55"/>
      <c r="K1122" s="56"/>
      <c r="L1122" s="55"/>
      <c r="M1122" s="55"/>
      <c r="N1122" s="55"/>
      <c r="O1122" s="55"/>
      <c r="P1122" s="55"/>
      <c r="Q1122" s="55"/>
      <c r="R1122" s="57"/>
      <c r="S1122" s="58"/>
    </row>
    <row r="1123" spans="1:19" x14ac:dyDescent="0.25">
      <c r="A1123" s="51" t="str">
        <f>(COUNTIF($K$2:K1123,K1123))&amp;K1123</f>
        <v>1</v>
      </c>
      <c r="B1123" s="52"/>
      <c r="C1123" s="60"/>
      <c r="E1123" s="61"/>
      <c r="F1123" s="62"/>
      <c r="G1123" s="63"/>
      <c r="H1123" s="64"/>
      <c r="I1123" s="64"/>
      <c r="J1123" s="64"/>
      <c r="K1123" s="65"/>
      <c r="L1123" s="64"/>
      <c r="M1123" s="64"/>
      <c r="N1123" s="64"/>
      <c r="P1123" s="63"/>
      <c r="Q1123" s="61"/>
      <c r="R1123" s="64"/>
      <c r="S1123" s="64"/>
    </row>
    <row r="1124" spans="1:19" x14ac:dyDescent="0.25">
      <c r="A1124" s="51" t="str">
        <f>(COUNTIF($K$2:K1124,K1124))&amp;K1124</f>
        <v>1</v>
      </c>
      <c r="B1124" s="52"/>
      <c r="C1124" s="53"/>
      <c r="D1124" s="54"/>
      <c r="E1124" s="55"/>
      <c r="F1124" s="55"/>
      <c r="G1124" s="55"/>
      <c r="H1124" s="55"/>
      <c r="I1124" s="55"/>
      <c r="J1124" s="55"/>
      <c r="K1124" s="56"/>
      <c r="L1124" s="55"/>
      <c r="M1124" s="55"/>
      <c r="N1124" s="55"/>
      <c r="O1124" s="55"/>
      <c r="P1124" s="55"/>
      <c r="Q1124" s="55"/>
      <c r="R1124" s="57"/>
      <c r="S1124" s="58"/>
    </row>
    <row r="1125" spans="1:19" x14ac:dyDescent="0.25">
      <c r="A1125" s="51" t="str">
        <f>(COUNTIF($K$2:K1125,K1125))&amp;K1125</f>
        <v>1</v>
      </c>
      <c r="B1125" s="52"/>
      <c r="C1125" s="53"/>
      <c r="D1125" s="54"/>
      <c r="E1125" s="55"/>
      <c r="F1125" s="55"/>
      <c r="G1125" s="55"/>
      <c r="H1125" s="55"/>
      <c r="I1125" s="55"/>
      <c r="J1125" s="55"/>
      <c r="K1125" s="56"/>
      <c r="L1125" s="55"/>
      <c r="M1125" s="55"/>
      <c r="N1125" s="55"/>
      <c r="O1125" s="55"/>
      <c r="P1125" s="55"/>
      <c r="Q1125" s="55"/>
      <c r="R1125" s="57"/>
      <c r="S1125" s="58"/>
    </row>
    <row r="1126" spans="1:19" x14ac:dyDescent="0.25">
      <c r="A1126" s="51" t="str">
        <f>(COUNTIF($K$2:K1126,K1126))&amp;K1126</f>
        <v>1</v>
      </c>
      <c r="B1126" s="52"/>
      <c r="C1126" s="53"/>
      <c r="D1126" s="54"/>
      <c r="E1126" s="55"/>
      <c r="F1126" s="55"/>
      <c r="G1126" s="55"/>
      <c r="H1126" s="55"/>
      <c r="I1126" s="55"/>
      <c r="J1126" s="55"/>
      <c r="K1126" s="56"/>
      <c r="L1126" s="55"/>
      <c r="M1126" s="55"/>
      <c r="N1126" s="55"/>
      <c r="O1126" s="55"/>
      <c r="P1126" s="55"/>
      <c r="Q1126" s="55"/>
      <c r="R1126" s="57"/>
      <c r="S1126" s="58"/>
    </row>
    <row r="1127" spans="1:19" x14ac:dyDescent="0.25">
      <c r="A1127" s="51" t="str">
        <f>(COUNTIF($K$2:K1127,K1127))&amp;K1127</f>
        <v>1</v>
      </c>
      <c r="B1127" s="52"/>
      <c r="C1127" s="53"/>
      <c r="D1127" s="54"/>
      <c r="E1127" s="55"/>
      <c r="F1127" s="55"/>
      <c r="G1127" s="55"/>
      <c r="H1127" s="55"/>
      <c r="I1127" s="55"/>
      <c r="J1127" s="55"/>
      <c r="K1127" s="56"/>
      <c r="L1127" s="55"/>
      <c r="M1127" s="55"/>
      <c r="N1127" s="55"/>
      <c r="O1127" s="55"/>
      <c r="P1127" s="55"/>
      <c r="Q1127" s="55"/>
      <c r="R1127" s="57"/>
      <c r="S1127" s="58"/>
    </row>
    <row r="1128" spans="1:19" x14ac:dyDescent="0.25">
      <c r="A1128" s="51" t="str">
        <f>(COUNTIF($K$2:K1128,K1128))&amp;K1128</f>
        <v>1</v>
      </c>
      <c r="B1128" s="52"/>
      <c r="C1128" s="53"/>
      <c r="D1128" s="54"/>
      <c r="E1128" s="55"/>
      <c r="F1128" s="55"/>
      <c r="G1128" s="55"/>
      <c r="H1128" s="55"/>
      <c r="I1128" s="55"/>
      <c r="J1128" s="55"/>
      <c r="K1128" s="56"/>
      <c r="L1128" s="55"/>
      <c r="M1128" s="55"/>
      <c r="N1128" s="55"/>
      <c r="O1128" s="55"/>
      <c r="P1128" s="55"/>
      <c r="Q1128" s="55"/>
      <c r="R1128" s="57"/>
      <c r="S1128" s="58"/>
    </row>
    <row r="1129" spans="1:19" x14ac:dyDescent="0.25">
      <c r="A1129" s="51" t="str">
        <f>(COUNTIF($K$2:K1129,K1129))&amp;K1129</f>
        <v>1</v>
      </c>
      <c r="B1129" s="52"/>
      <c r="C1129" s="53"/>
      <c r="D1129" s="54"/>
      <c r="E1129" s="55"/>
      <c r="F1129" s="55"/>
      <c r="G1129" s="55"/>
      <c r="H1129" s="55"/>
      <c r="I1129" s="55"/>
      <c r="J1129" s="55"/>
      <c r="K1129" s="56"/>
      <c r="L1129" s="55"/>
      <c r="M1129" s="55"/>
      <c r="N1129" s="55"/>
      <c r="O1129" s="55"/>
      <c r="P1129" s="55"/>
      <c r="Q1129" s="55"/>
      <c r="R1129" s="57"/>
      <c r="S1129" s="58"/>
    </row>
    <row r="1130" spans="1:19" x14ac:dyDescent="0.25">
      <c r="A1130" s="51" t="str">
        <f>(COUNTIF($K$2:K1130,K1130))&amp;K1130</f>
        <v>1</v>
      </c>
      <c r="B1130" s="52"/>
      <c r="C1130" s="53"/>
      <c r="D1130" s="54"/>
      <c r="E1130" s="55"/>
      <c r="F1130" s="55"/>
      <c r="G1130" s="55"/>
      <c r="H1130" s="55"/>
      <c r="I1130" s="55"/>
      <c r="J1130" s="55"/>
      <c r="K1130" s="56"/>
      <c r="L1130" s="55"/>
      <c r="M1130" s="55"/>
      <c r="N1130" s="55"/>
      <c r="O1130" s="55"/>
      <c r="P1130" s="55"/>
      <c r="Q1130" s="55"/>
      <c r="R1130" s="57"/>
      <c r="S1130" s="58"/>
    </row>
    <row r="1131" spans="1:19" x14ac:dyDescent="0.25">
      <c r="A1131" s="51" t="str">
        <f>(COUNTIF($K$2:K1131,K1131))&amp;K1131</f>
        <v>1</v>
      </c>
      <c r="B1131" s="52"/>
      <c r="C1131" s="53"/>
      <c r="D1131" s="54"/>
      <c r="E1131" s="55"/>
      <c r="F1131" s="55"/>
      <c r="G1131" s="55"/>
      <c r="H1131" s="55"/>
      <c r="I1131" s="55"/>
      <c r="J1131" s="55"/>
      <c r="K1131" s="56"/>
      <c r="L1131" s="55"/>
      <c r="M1131" s="55"/>
      <c r="N1131" s="55"/>
      <c r="O1131" s="55"/>
      <c r="P1131" s="55"/>
      <c r="Q1131" s="55"/>
      <c r="R1131" s="57"/>
      <c r="S1131" s="58"/>
    </row>
    <row r="1132" spans="1:19" ht="15.75" x14ac:dyDescent="0.25">
      <c r="A1132" s="51" t="str">
        <f>(COUNTIF($K$2:K1132,K1132))&amp;K1132</f>
        <v>1</v>
      </c>
      <c r="B1132" s="52"/>
      <c r="C1132" s="53"/>
      <c r="D1132" s="54"/>
      <c r="E1132" s="55"/>
      <c r="F1132" s="55"/>
      <c r="G1132" s="55"/>
      <c r="H1132" s="55"/>
      <c r="I1132" s="55"/>
      <c r="J1132" s="55"/>
      <c r="K1132" s="59"/>
      <c r="L1132" s="55"/>
      <c r="M1132" s="55"/>
      <c r="N1132" s="55"/>
      <c r="O1132" s="55"/>
      <c r="P1132" s="55"/>
      <c r="Q1132" s="55"/>
      <c r="R1132" s="57"/>
      <c r="S1132" s="58"/>
    </row>
    <row r="1133" spans="1:19" x14ac:dyDescent="0.25">
      <c r="A1133" s="51" t="str">
        <f>(COUNTIF($K$2:K1133,K1133))&amp;K1133</f>
        <v>1</v>
      </c>
      <c r="B1133" s="52"/>
      <c r="C1133" s="53"/>
      <c r="D1133" s="54"/>
      <c r="E1133" s="55"/>
      <c r="F1133" s="55"/>
      <c r="G1133" s="55"/>
      <c r="H1133" s="55"/>
      <c r="I1133" s="55"/>
      <c r="J1133" s="55"/>
      <c r="K1133" s="56"/>
      <c r="L1133" s="55"/>
      <c r="M1133" s="55"/>
      <c r="N1133" s="55"/>
      <c r="O1133" s="55"/>
      <c r="P1133" s="55"/>
      <c r="Q1133" s="55"/>
      <c r="R1133" s="57"/>
      <c r="S1133" s="58"/>
    </row>
    <row r="1134" spans="1:19" x14ac:dyDescent="0.25">
      <c r="A1134" s="51" t="str">
        <f>(COUNTIF($K$2:K1134,K1134))&amp;K1134</f>
        <v>1</v>
      </c>
      <c r="B1134" s="52"/>
      <c r="C1134" s="53"/>
      <c r="D1134" s="54"/>
      <c r="E1134" s="55"/>
      <c r="F1134" s="55"/>
      <c r="G1134" s="55"/>
      <c r="H1134" s="55"/>
      <c r="I1134" s="55"/>
      <c r="J1134" s="55"/>
      <c r="K1134" s="56"/>
      <c r="L1134" s="55"/>
      <c r="M1134" s="55"/>
      <c r="N1134" s="55"/>
      <c r="O1134" s="55"/>
      <c r="P1134" s="55"/>
      <c r="Q1134" s="55"/>
      <c r="R1134" s="57"/>
      <c r="S1134" s="58"/>
    </row>
    <row r="1135" spans="1:19" x14ac:dyDescent="0.25">
      <c r="A1135" s="51" t="str">
        <f>(COUNTIF($K$2:K1135,K1135))&amp;K1135</f>
        <v>1</v>
      </c>
      <c r="B1135" s="52"/>
      <c r="C1135" s="53"/>
      <c r="D1135" s="54"/>
      <c r="E1135" s="55"/>
      <c r="F1135" s="55"/>
      <c r="G1135" s="55"/>
      <c r="H1135" s="55"/>
      <c r="I1135" s="55"/>
      <c r="J1135" s="55"/>
      <c r="K1135" s="56"/>
      <c r="L1135" s="55"/>
      <c r="M1135" s="55"/>
      <c r="N1135" s="55"/>
      <c r="O1135" s="55"/>
      <c r="P1135" s="55"/>
      <c r="Q1135" s="55"/>
      <c r="R1135" s="57"/>
      <c r="S1135" s="58"/>
    </row>
    <row r="1136" spans="1:19" x14ac:dyDescent="0.25">
      <c r="A1136" s="51" t="str">
        <f>(COUNTIF($K$2:K1136,K1136))&amp;K1136</f>
        <v>1</v>
      </c>
      <c r="B1136" s="52"/>
      <c r="C1136" s="53"/>
      <c r="D1136" s="54"/>
      <c r="E1136" s="55"/>
      <c r="F1136" s="55"/>
      <c r="G1136" s="55"/>
      <c r="H1136" s="55"/>
      <c r="I1136" s="55"/>
      <c r="J1136" s="55"/>
      <c r="K1136" s="56"/>
      <c r="L1136" s="55"/>
      <c r="M1136" s="55"/>
      <c r="N1136" s="55"/>
      <c r="O1136" s="55"/>
      <c r="P1136" s="55"/>
      <c r="Q1136" s="55"/>
      <c r="R1136" s="57"/>
      <c r="S1136" s="58"/>
    </row>
    <row r="1137" spans="1:19" x14ac:dyDescent="0.25">
      <c r="A1137" s="51" t="str">
        <f>(COUNTIF($K$2:K1137,K1137))&amp;K1137</f>
        <v>1</v>
      </c>
      <c r="B1137" s="52"/>
      <c r="C1137" s="53"/>
      <c r="D1137" s="54"/>
      <c r="E1137" s="55"/>
      <c r="F1137" s="55"/>
      <c r="G1137" s="55"/>
      <c r="H1137" s="55"/>
      <c r="I1137" s="55"/>
      <c r="J1137" s="55"/>
      <c r="K1137" s="56"/>
      <c r="L1137" s="55"/>
      <c r="M1137" s="55"/>
      <c r="N1137" s="55"/>
      <c r="O1137" s="55"/>
      <c r="P1137" s="55"/>
      <c r="Q1137" s="55"/>
      <c r="R1137" s="57"/>
      <c r="S1137" s="58"/>
    </row>
    <row r="1138" spans="1:19" x14ac:dyDescent="0.25">
      <c r="A1138" s="51" t="str">
        <f>(COUNTIF($K$2:K1138,K1138))&amp;K1138</f>
        <v>1</v>
      </c>
      <c r="B1138" s="52"/>
      <c r="C1138" s="53"/>
      <c r="D1138" s="54"/>
      <c r="E1138" s="55"/>
      <c r="F1138" s="55"/>
      <c r="G1138" s="55"/>
      <c r="H1138" s="55"/>
      <c r="I1138" s="55"/>
      <c r="J1138" s="55"/>
      <c r="K1138" s="56"/>
      <c r="L1138" s="55"/>
      <c r="M1138" s="55"/>
      <c r="N1138" s="55"/>
      <c r="O1138" s="55"/>
      <c r="P1138" s="55"/>
      <c r="Q1138" s="55"/>
      <c r="R1138" s="57"/>
      <c r="S1138" s="58"/>
    </row>
    <row r="1139" spans="1:19" x14ac:dyDescent="0.25">
      <c r="A1139" s="51" t="str">
        <f>(COUNTIF($K$2:K1139,K1139))&amp;K1139</f>
        <v>1</v>
      </c>
      <c r="B1139" s="52"/>
      <c r="C1139" s="53"/>
      <c r="D1139" s="54"/>
      <c r="E1139" s="55"/>
      <c r="F1139" s="55"/>
      <c r="G1139" s="55"/>
      <c r="H1139" s="55"/>
      <c r="I1139" s="55"/>
      <c r="J1139" s="55"/>
      <c r="K1139" s="56"/>
      <c r="L1139" s="55"/>
      <c r="M1139" s="55"/>
      <c r="N1139" s="55"/>
      <c r="O1139" s="55"/>
      <c r="P1139" s="55"/>
      <c r="Q1139" s="55"/>
      <c r="R1139" s="57"/>
      <c r="S1139" s="58"/>
    </row>
    <row r="1140" spans="1:19" x14ac:dyDescent="0.25">
      <c r="A1140" s="51" t="str">
        <f>(COUNTIF($K$2:K1140,K1140))&amp;K1140</f>
        <v>1</v>
      </c>
      <c r="B1140" s="52"/>
      <c r="C1140" s="60"/>
      <c r="E1140" s="61"/>
      <c r="F1140" s="62"/>
      <c r="G1140" s="63"/>
      <c r="H1140" s="64"/>
      <c r="I1140" s="64"/>
      <c r="J1140" s="64"/>
      <c r="K1140" s="65"/>
      <c r="L1140" s="64"/>
      <c r="M1140" s="64"/>
      <c r="N1140" s="64"/>
      <c r="P1140" s="63"/>
      <c r="Q1140" s="61"/>
      <c r="R1140" s="64"/>
      <c r="S1140" s="64"/>
    </row>
    <row r="1141" spans="1:19" x14ac:dyDescent="0.25">
      <c r="A1141" s="51" t="str">
        <f>(COUNTIF($K$2:K1141,K1141))&amp;K1141</f>
        <v>1</v>
      </c>
      <c r="B1141" s="52"/>
      <c r="C1141" s="53"/>
      <c r="D1141" s="54"/>
      <c r="E1141" s="55"/>
      <c r="F1141" s="55"/>
      <c r="G1141" s="55"/>
      <c r="H1141" s="55"/>
      <c r="I1141" s="55"/>
      <c r="J1141" s="55"/>
      <c r="K1141" s="56"/>
      <c r="L1141" s="55"/>
      <c r="M1141" s="55"/>
      <c r="N1141" s="55"/>
      <c r="O1141" s="55"/>
      <c r="P1141" s="55"/>
      <c r="Q1141" s="55"/>
      <c r="R1141" s="57"/>
      <c r="S1141" s="58"/>
    </row>
    <row r="1142" spans="1:19" x14ac:dyDescent="0.25">
      <c r="A1142" s="51" t="str">
        <f>(COUNTIF($K$2:K1142,K1142))&amp;K1142</f>
        <v>1</v>
      </c>
      <c r="B1142" s="52"/>
      <c r="C1142" s="53"/>
      <c r="D1142" s="54"/>
      <c r="E1142" s="55"/>
      <c r="F1142" s="55"/>
      <c r="G1142" s="55"/>
      <c r="H1142" s="55"/>
      <c r="I1142" s="55"/>
      <c r="J1142" s="55"/>
      <c r="K1142" s="56"/>
      <c r="L1142" s="55"/>
      <c r="M1142" s="55"/>
      <c r="N1142" s="55"/>
      <c r="O1142" s="55"/>
      <c r="P1142" s="55"/>
      <c r="Q1142" s="55"/>
      <c r="R1142" s="57"/>
      <c r="S1142" s="58"/>
    </row>
    <row r="1143" spans="1:19" x14ac:dyDescent="0.25">
      <c r="A1143" s="51" t="str">
        <f>(COUNTIF($K$2:K1143,K1143))&amp;K1143</f>
        <v>1</v>
      </c>
      <c r="B1143" s="52"/>
      <c r="C1143" s="53"/>
      <c r="D1143" s="54"/>
      <c r="E1143" s="55"/>
      <c r="F1143" s="55"/>
      <c r="G1143" s="55"/>
      <c r="H1143" s="55"/>
      <c r="I1143" s="55"/>
      <c r="J1143" s="55"/>
      <c r="K1143" s="56"/>
      <c r="L1143" s="55"/>
      <c r="M1143" s="55"/>
      <c r="N1143" s="55"/>
      <c r="O1143" s="55"/>
      <c r="P1143" s="55"/>
      <c r="Q1143" s="55"/>
      <c r="R1143" s="57"/>
      <c r="S1143" s="58"/>
    </row>
    <row r="1144" spans="1:19" x14ac:dyDescent="0.25">
      <c r="A1144" s="51" t="str">
        <f>(COUNTIF($K$2:K1144,K1144))&amp;K1144</f>
        <v>1</v>
      </c>
      <c r="B1144" s="52"/>
      <c r="C1144" s="53"/>
      <c r="D1144" s="54"/>
      <c r="E1144" s="55"/>
      <c r="F1144" s="55"/>
      <c r="G1144" s="55"/>
      <c r="H1144" s="55"/>
      <c r="I1144" s="55"/>
      <c r="J1144" s="55"/>
      <c r="K1144" s="56"/>
      <c r="L1144" s="55"/>
      <c r="M1144" s="55"/>
      <c r="N1144" s="55"/>
      <c r="O1144" s="55"/>
      <c r="P1144" s="55"/>
      <c r="Q1144" s="55"/>
      <c r="R1144" s="57"/>
      <c r="S1144" s="58"/>
    </row>
    <row r="1145" spans="1:19" x14ac:dyDescent="0.25">
      <c r="A1145" s="51" t="str">
        <f>(COUNTIF($K$2:K1145,K1145))&amp;K1145</f>
        <v>1</v>
      </c>
      <c r="B1145" s="52"/>
      <c r="C1145" s="53"/>
      <c r="D1145" s="54"/>
      <c r="E1145" s="55"/>
      <c r="F1145" s="55"/>
      <c r="G1145" s="55"/>
      <c r="H1145" s="55"/>
      <c r="I1145" s="55"/>
      <c r="J1145" s="55"/>
      <c r="K1145" s="56"/>
      <c r="L1145" s="55"/>
      <c r="M1145" s="55"/>
      <c r="N1145" s="55"/>
      <c r="O1145" s="55"/>
      <c r="P1145" s="55"/>
      <c r="Q1145" s="55"/>
      <c r="R1145" s="57"/>
      <c r="S1145" s="58"/>
    </row>
    <row r="1146" spans="1:19" x14ac:dyDescent="0.25">
      <c r="A1146" s="51" t="str">
        <f>(COUNTIF($K$2:K1146,K1146))&amp;K1146</f>
        <v>1</v>
      </c>
      <c r="B1146" s="52"/>
      <c r="C1146" s="53"/>
      <c r="D1146" s="54"/>
      <c r="E1146" s="55"/>
      <c r="F1146" s="55"/>
      <c r="G1146" s="55"/>
      <c r="H1146" s="55"/>
      <c r="I1146" s="55"/>
      <c r="J1146" s="55"/>
      <c r="K1146" s="56"/>
      <c r="L1146" s="55"/>
      <c r="M1146" s="55"/>
      <c r="N1146" s="55"/>
      <c r="O1146" s="55"/>
      <c r="P1146" s="55"/>
      <c r="Q1146" s="55"/>
      <c r="R1146" s="57"/>
      <c r="S1146" s="58"/>
    </row>
    <row r="1147" spans="1:19" x14ac:dyDescent="0.25">
      <c r="A1147" s="51" t="str">
        <f>(COUNTIF($K$2:K1147,K1147))&amp;K1147</f>
        <v>1</v>
      </c>
      <c r="B1147" s="52"/>
      <c r="C1147" s="53"/>
      <c r="D1147" s="54"/>
      <c r="E1147" s="55"/>
      <c r="F1147" s="55"/>
      <c r="G1147" s="55"/>
      <c r="H1147" s="55"/>
      <c r="I1147" s="55"/>
      <c r="J1147" s="55"/>
      <c r="K1147" s="56"/>
      <c r="L1147" s="55"/>
      <c r="M1147" s="55"/>
      <c r="N1147" s="55"/>
      <c r="O1147" s="55"/>
      <c r="P1147" s="55"/>
      <c r="Q1147" s="55"/>
      <c r="R1147" s="57"/>
      <c r="S1147" s="58"/>
    </row>
    <row r="1148" spans="1:19" x14ac:dyDescent="0.25">
      <c r="A1148" s="51" t="str">
        <f>(COUNTIF($K$2:K1148,K1148))&amp;K1148</f>
        <v>1</v>
      </c>
      <c r="B1148" s="52"/>
      <c r="C1148" s="53"/>
      <c r="D1148" s="54"/>
      <c r="E1148" s="55"/>
      <c r="F1148" s="55"/>
      <c r="G1148" s="55"/>
      <c r="H1148" s="55"/>
      <c r="I1148" s="55"/>
      <c r="J1148" s="55"/>
      <c r="K1148" s="56"/>
      <c r="L1148" s="55"/>
      <c r="M1148" s="55"/>
      <c r="N1148" s="55"/>
      <c r="O1148" s="55"/>
      <c r="P1148" s="55"/>
      <c r="Q1148" s="55"/>
      <c r="R1148" s="57"/>
      <c r="S1148" s="58"/>
    </row>
    <row r="1149" spans="1:19" ht="15.75" x14ac:dyDescent="0.25">
      <c r="A1149" s="51" t="str">
        <f>(COUNTIF($K$2:K1149,K1149))&amp;K1149</f>
        <v>1</v>
      </c>
      <c r="B1149" s="52"/>
      <c r="C1149" s="53"/>
      <c r="D1149" s="54"/>
      <c r="E1149" s="55"/>
      <c r="F1149" s="55"/>
      <c r="G1149" s="55"/>
      <c r="H1149" s="55"/>
      <c r="I1149" s="55"/>
      <c r="J1149" s="55"/>
      <c r="K1149" s="59"/>
      <c r="L1149" s="55"/>
      <c r="M1149" s="55"/>
      <c r="N1149" s="55"/>
      <c r="O1149" s="55"/>
      <c r="P1149" s="55"/>
      <c r="Q1149" s="55"/>
      <c r="R1149" s="57"/>
      <c r="S1149" s="58"/>
    </row>
    <row r="1150" spans="1:19" x14ac:dyDescent="0.25">
      <c r="A1150" s="51" t="str">
        <f>(COUNTIF($K$2:K1150,K1150))&amp;K1150</f>
        <v>1</v>
      </c>
      <c r="B1150" s="52"/>
      <c r="C1150" s="53"/>
      <c r="D1150" s="54"/>
      <c r="E1150" s="55"/>
      <c r="F1150" s="55"/>
      <c r="G1150" s="55"/>
      <c r="H1150" s="55"/>
      <c r="I1150" s="55"/>
      <c r="J1150" s="55"/>
      <c r="K1150" s="56"/>
      <c r="L1150" s="55"/>
      <c r="M1150" s="55"/>
      <c r="N1150" s="55"/>
      <c r="O1150" s="55"/>
      <c r="P1150" s="55"/>
      <c r="Q1150" s="55"/>
      <c r="R1150" s="57"/>
      <c r="S1150" s="58"/>
    </row>
    <row r="1151" spans="1:19" x14ac:dyDescent="0.25">
      <c r="A1151" s="51" t="str">
        <f>(COUNTIF($K$2:K1151,K1151))&amp;K1151</f>
        <v>1</v>
      </c>
      <c r="B1151" s="52"/>
      <c r="C1151" s="53"/>
      <c r="D1151" s="54"/>
      <c r="E1151" s="55"/>
      <c r="F1151" s="55"/>
      <c r="G1151" s="55"/>
      <c r="H1151" s="55"/>
      <c r="I1151" s="55"/>
      <c r="J1151" s="55"/>
      <c r="K1151" s="56"/>
      <c r="L1151" s="55"/>
      <c r="M1151" s="55"/>
      <c r="N1151" s="55"/>
      <c r="O1151" s="55"/>
      <c r="P1151" s="55"/>
      <c r="Q1151" s="55"/>
      <c r="R1151" s="57"/>
      <c r="S1151" s="58"/>
    </row>
    <row r="1152" spans="1:19" x14ac:dyDescent="0.25">
      <c r="A1152" s="51" t="str">
        <f>(COUNTIF($K$2:K1152,K1152))&amp;K1152</f>
        <v>1</v>
      </c>
      <c r="B1152" s="52"/>
      <c r="C1152" s="53"/>
      <c r="D1152" s="54"/>
      <c r="E1152" s="55"/>
      <c r="F1152" s="55"/>
      <c r="G1152" s="55"/>
      <c r="H1152" s="55"/>
      <c r="I1152" s="55"/>
      <c r="J1152" s="55"/>
      <c r="K1152" s="56"/>
      <c r="L1152" s="55"/>
      <c r="M1152" s="55"/>
      <c r="N1152" s="55"/>
      <c r="O1152" s="55"/>
      <c r="P1152" s="55"/>
      <c r="Q1152" s="55"/>
      <c r="R1152" s="57"/>
      <c r="S1152" s="58"/>
    </row>
    <row r="1153" spans="1:19" x14ac:dyDescent="0.25">
      <c r="A1153" s="51" t="str">
        <f>(COUNTIF($K$2:K1153,K1153))&amp;K1153</f>
        <v>1</v>
      </c>
      <c r="B1153" s="52"/>
      <c r="C1153" s="53"/>
      <c r="D1153" s="54"/>
      <c r="E1153" s="55"/>
      <c r="F1153" s="55"/>
      <c r="G1153" s="55"/>
      <c r="H1153" s="55"/>
      <c r="I1153" s="55"/>
      <c r="J1153" s="55"/>
      <c r="K1153" s="56"/>
      <c r="L1153" s="55"/>
      <c r="M1153" s="55"/>
      <c r="N1153" s="55"/>
      <c r="O1153" s="55"/>
      <c r="P1153" s="55"/>
      <c r="Q1153" s="55"/>
      <c r="R1153" s="57"/>
      <c r="S1153" s="58"/>
    </row>
    <row r="1154" spans="1:19" x14ac:dyDescent="0.25">
      <c r="A1154" s="51" t="str">
        <f>(COUNTIF($K$2:K1154,K1154))&amp;K1154</f>
        <v>1</v>
      </c>
      <c r="B1154" s="52"/>
      <c r="C1154" s="53"/>
      <c r="D1154" s="54"/>
      <c r="E1154" s="55"/>
      <c r="F1154" s="55"/>
      <c r="G1154" s="55"/>
      <c r="H1154" s="55"/>
      <c r="I1154" s="55"/>
      <c r="J1154" s="55"/>
      <c r="K1154" s="56"/>
      <c r="L1154" s="55"/>
      <c r="M1154" s="55"/>
      <c r="N1154" s="55"/>
      <c r="O1154" s="55"/>
      <c r="P1154" s="55"/>
      <c r="Q1154" s="55"/>
      <c r="R1154" s="57"/>
      <c r="S1154" s="58"/>
    </row>
    <row r="1155" spans="1:19" x14ac:dyDescent="0.25">
      <c r="A1155" s="51" t="str">
        <f>(COUNTIF($K$2:K1155,K1155))&amp;K1155</f>
        <v>1</v>
      </c>
      <c r="B1155" s="52"/>
      <c r="C1155" s="53"/>
      <c r="D1155" s="54"/>
      <c r="E1155" s="55"/>
      <c r="F1155" s="55"/>
      <c r="G1155" s="55"/>
      <c r="H1155" s="55"/>
      <c r="I1155" s="55"/>
      <c r="J1155" s="55"/>
      <c r="K1155" s="56"/>
      <c r="L1155" s="55"/>
      <c r="M1155" s="55"/>
      <c r="N1155" s="55"/>
      <c r="O1155" s="55"/>
      <c r="P1155" s="55"/>
      <c r="Q1155" s="55"/>
      <c r="R1155" s="57"/>
      <c r="S1155" s="58"/>
    </row>
    <row r="1156" spans="1:19" x14ac:dyDescent="0.25">
      <c r="A1156" s="51" t="str">
        <f>(COUNTIF($K$2:K1156,K1156))&amp;K1156</f>
        <v>1</v>
      </c>
      <c r="B1156" s="52"/>
      <c r="C1156" s="53"/>
      <c r="D1156" s="54"/>
      <c r="E1156" s="55"/>
      <c r="F1156" s="55"/>
      <c r="G1156" s="55"/>
      <c r="H1156" s="55"/>
      <c r="I1156" s="55"/>
      <c r="J1156" s="55"/>
      <c r="K1156" s="56"/>
      <c r="L1156" s="55"/>
      <c r="M1156" s="55"/>
      <c r="N1156" s="55"/>
      <c r="O1156" s="55"/>
      <c r="P1156" s="55"/>
      <c r="Q1156" s="55"/>
      <c r="R1156" s="57"/>
      <c r="S1156" s="58"/>
    </row>
    <row r="1157" spans="1:19" x14ac:dyDescent="0.25">
      <c r="A1157" s="51" t="str">
        <f>(COUNTIF($K$2:K1157,K1157))&amp;K1157</f>
        <v>1</v>
      </c>
      <c r="B1157" s="52"/>
      <c r="C1157" s="60"/>
      <c r="E1157" s="61"/>
      <c r="F1157" s="62"/>
      <c r="G1157" s="63"/>
      <c r="H1157" s="64"/>
      <c r="I1157" s="64"/>
      <c r="J1157" s="64"/>
      <c r="K1157" s="65"/>
      <c r="L1157" s="64"/>
      <c r="M1157" s="64"/>
      <c r="N1157" s="64"/>
      <c r="P1157" s="63"/>
      <c r="Q1157" s="61"/>
      <c r="R1157" s="64"/>
      <c r="S1157" s="64"/>
    </row>
    <row r="1158" spans="1:19" x14ac:dyDescent="0.25">
      <c r="A1158" s="51" t="str">
        <f>(COUNTIF($K$2:K1158,K1158))&amp;K1158</f>
        <v>1</v>
      </c>
      <c r="B1158" s="52"/>
      <c r="C1158" s="53"/>
      <c r="D1158" s="54"/>
      <c r="E1158" s="55"/>
      <c r="F1158" s="55"/>
      <c r="G1158" s="55"/>
      <c r="H1158" s="55"/>
      <c r="I1158" s="55"/>
      <c r="J1158" s="55"/>
      <c r="K1158" s="56"/>
      <c r="L1158" s="55"/>
      <c r="M1158" s="55"/>
      <c r="N1158" s="55"/>
      <c r="O1158" s="55"/>
      <c r="P1158" s="55"/>
      <c r="Q1158" s="55"/>
      <c r="R1158" s="57"/>
      <c r="S1158" s="58"/>
    </row>
    <row r="1159" spans="1:19" x14ac:dyDescent="0.25">
      <c r="A1159" s="51" t="str">
        <f>(COUNTIF($K$2:K1159,K1159))&amp;K1159</f>
        <v>1</v>
      </c>
      <c r="B1159" s="52"/>
      <c r="C1159" s="53"/>
      <c r="D1159" s="54"/>
      <c r="E1159" s="55"/>
      <c r="F1159" s="55"/>
      <c r="G1159" s="55"/>
      <c r="H1159" s="55"/>
      <c r="I1159" s="55"/>
      <c r="J1159" s="55"/>
      <c r="K1159" s="56"/>
      <c r="L1159" s="55"/>
      <c r="M1159" s="55"/>
      <c r="N1159" s="55"/>
      <c r="O1159" s="55"/>
      <c r="P1159" s="55"/>
      <c r="Q1159" s="55"/>
      <c r="R1159" s="57"/>
      <c r="S1159" s="58"/>
    </row>
    <row r="1160" spans="1:19" x14ac:dyDescent="0.25">
      <c r="A1160" s="51" t="str">
        <f>(COUNTIF($K$2:K1160,K1160))&amp;K1160</f>
        <v>1</v>
      </c>
      <c r="B1160" s="52"/>
      <c r="C1160" s="53"/>
      <c r="D1160" s="54"/>
      <c r="E1160" s="55"/>
      <c r="F1160" s="55"/>
      <c r="G1160" s="55"/>
      <c r="H1160" s="55"/>
      <c r="I1160" s="55"/>
      <c r="J1160" s="55"/>
      <c r="K1160" s="56"/>
      <c r="L1160" s="55"/>
      <c r="M1160" s="55"/>
      <c r="N1160" s="55"/>
      <c r="O1160" s="55"/>
      <c r="P1160" s="55"/>
      <c r="Q1160" s="55"/>
      <c r="R1160" s="57"/>
      <c r="S1160" s="58"/>
    </row>
    <row r="1161" spans="1:19" x14ac:dyDescent="0.25">
      <c r="A1161" s="51" t="str">
        <f>(COUNTIF($K$2:K1161,K1161))&amp;K1161</f>
        <v>1</v>
      </c>
      <c r="B1161" s="52"/>
      <c r="C1161" s="53"/>
      <c r="D1161" s="54"/>
      <c r="E1161" s="55"/>
      <c r="F1161" s="55"/>
      <c r="G1161" s="55"/>
      <c r="H1161" s="55"/>
      <c r="I1161" s="55"/>
      <c r="J1161" s="55"/>
      <c r="K1161" s="56"/>
      <c r="L1161" s="55"/>
      <c r="M1161" s="55"/>
      <c r="N1161" s="55"/>
      <c r="O1161" s="55"/>
      <c r="P1161" s="55"/>
      <c r="Q1161" s="55"/>
      <c r="R1161" s="57"/>
      <c r="S1161" s="58"/>
    </row>
    <row r="1162" spans="1:19" x14ac:dyDescent="0.25">
      <c r="A1162" s="51" t="str">
        <f>(COUNTIF($K$2:K1162,K1162))&amp;K1162</f>
        <v>1</v>
      </c>
      <c r="B1162" s="52"/>
      <c r="C1162" s="53"/>
      <c r="D1162" s="54"/>
      <c r="E1162" s="55"/>
      <c r="F1162" s="55"/>
      <c r="G1162" s="55"/>
      <c r="H1162" s="55"/>
      <c r="I1162" s="55"/>
      <c r="J1162" s="55"/>
      <c r="K1162" s="56"/>
      <c r="L1162" s="55"/>
      <c r="M1162" s="55"/>
      <c r="N1162" s="55"/>
      <c r="O1162" s="55"/>
      <c r="P1162" s="55"/>
      <c r="Q1162" s="55"/>
      <c r="R1162" s="57"/>
      <c r="S1162" s="58"/>
    </row>
    <row r="1163" spans="1:19" x14ac:dyDescent="0.25">
      <c r="A1163" s="51" t="str">
        <f>(COUNTIF($K$2:K1163,K1163))&amp;K1163</f>
        <v>1</v>
      </c>
      <c r="B1163" s="52"/>
      <c r="C1163" s="53"/>
      <c r="D1163" s="54"/>
      <c r="E1163" s="55"/>
      <c r="F1163" s="55"/>
      <c r="G1163" s="55"/>
      <c r="H1163" s="55"/>
      <c r="I1163" s="55"/>
      <c r="J1163" s="55"/>
      <c r="K1163" s="56"/>
      <c r="L1163" s="55"/>
      <c r="M1163" s="55"/>
      <c r="N1163" s="55"/>
      <c r="O1163" s="55"/>
      <c r="P1163" s="55"/>
      <c r="Q1163" s="55"/>
      <c r="R1163" s="57"/>
      <c r="S1163" s="58"/>
    </row>
    <row r="1164" spans="1:19" x14ac:dyDescent="0.25">
      <c r="A1164" s="51" t="str">
        <f>(COUNTIF($K$2:K1164,K1164))&amp;K1164</f>
        <v>1</v>
      </c>
      <c r="B1164" s="52"/>
      <c r="C1164" s="53"/>
      <c r="D1164" s="54"/>
      <c r="E1164" s="55"/>
      <c r="F1164" s="55"/>
      <c r="G1164" s="55"/>
      <c r="H1164" s="55"/>
      <c r="I1164" s="55"/>
      <c r="J1164" s="55"/>
      <c r="K1164" s="56"/>
      <c r="L1164" s="55"/>
      <c r="M1164" s="55"/>
      <c r="N1164" s="55"/>
      <c r="O1164" s="55"/>
      <c r="P1164" s="55"/>
      <c r="Q1164" s="55"/>
      <c r="R1164" s="57"/>
      <c r="S1164" s="58"/>
    </row>
    <row r="1165" spans="1:19" x14ac:dyDescent="0.25">
      <c r="A1165" s="51" t="str">
        <f>(COUNTIF($K$2:K1165,K1165))&amp;K1165</f>
        <v>1</v>
      </c>
      <c r="B1165" s="52"/>
      <c r="C1165" s="53"/>
      <c r="D1165" s="54"/>
      <c r="E1165" s="55"/>
      <c r="F1165" s="55"/>
      <c r="G1165" s="55"/>
      <c r="H1165" s="55"/>
      <c r="I1165" s="55"/>
      <c r="J1165" s="55"/>
      <c r="K1165" s="56"/>
      <c r="L1165" s="55"/>
      <c r="M1165" s="55"/>
      <c r="N1165" s="55"/>
      <c r="O1165" s="55"/>
      <c r="P1165" s="55"/>
      <c r="Q1165" s="55"/>
      <c r="R1165" s="57"/>
      <c r="S1165" s="58"/>
    </row>
    <row r="1166" spans="1:19" ht="15.75" x14ac:dyDescent="0.25">
      <c r="A1166" s="51" t="str">
        <f>(COUNTIF($K$2:K1166,K1166))&amp;K1166</f>
        <v>1</v>
      </c>
      <c r="B1166" s="52"/>
      <c r="C1166" s="53"/>
      <c r="D1166" s="54"/>
      <c r="E1166" s="55"/>
      <c r="F1166" s="55"/>
      <c r="G1166" s="55"/>
      <c r="H1166" s="55"/>
      <c r="I1166" s="55"/>
      <c r="J1166" s="55"/>
      <c r="K1166" s="59"/>
      <c r="L1166" s="55"/>
      <c r="M1166" s="55"/>
      <c r="N1166" s="55"/>
      <c r="O1166" s="55"/>
      <c r="P1166" s="55"/>
      <c r="Q1166" s="55"/>
      <c r="R1166" s="57"/>
      <c r="S1166" s="58"/>
    </row>
    <row r="1167" spans="1:19" x14ac:dyDescent="0.25">
      <c r="A1167" s="51" t="str">
        <f>(COUNTIF($K$2:K1167,K1167))&amp;K1167</f>
        <v>1</v>
      </c>
      <c r="B1167" s="52"/>
      <c r="C1167" s="53"/>
      <c r="D1167" s="54"/>
      <c r="E1167" s="55"/>
      <c r="F1167" s="55"/>
      <c r="G1167" s="55"/>
      <c r="H1167" s="55"/>
      <c r="I1167" s="55"/>
      <c r="J1167" s="55"/>
      <c r="K1167" s="56"/>
      <c r="L1167" s="55"/>
      <c r="M1167" s="55"/>
      <c r="N1167" s="55"/>
      <c r="O1167" s="55"/>
      <c r="P1167" s="55"/>
      <c r="Q1167" s="55"/>
      <c r="R1167" s="57"/>
      <c r="S1167" s="58"/>
    </row>
    <row r="1168" spans="1:19" x14ac:dyDescent="0.25">
      <c r="A1168" s="51" t="str">
        <f>(COUNTIF($K$2:K1168,K1168))&amp;K1168</f>
        <v>1</v>
      </c>
      <c r="B1168" s="52"/>
      <c r="C1168" s="53"/>
      <c r="D1168" s="54"/>
      <c r="E1168" s="55"/>
      <c r="F1168" s="55"/>
      <c r="G1168" s="55"/>
      <c r="H1168" s="55"/>
      <c r="I1168" s="55"/>
      <c r="J1168" s="55"/>
      <c r="K1168" s="56"/>
      <c r="L1168" s="55"/>
      <c r="M1168" s="55"/>
      <c r="N1168" s="55"/>
      <c r="O1168" s="55"/>
      <c r="P1168" s="55"/>
      <c r="Q1168" s="55"/>
      <c r="R1168" s="57"/>
      <c r="S1168" s="58"/>
    </row>
    <row r="1169" spans="1:19" x14ac:dyDescent="0.25">
      <c r="A1169" s="51" t="str">
        <f>(COUNTIF($K$2:K1169,K1169))&amp;K1169</f>
        <v>1</v>
      </c>
      <c r="B1169" s="52"/>
      <c r="C1169" s="53"/>
      <c r="D1169" s="54"/>
      <c r="E1169" s="55"/>
      <c r="F1169" s="55"/>
      <c r="G1169" s="55"/>
      <c r="H1169" s="55"/>
      <c r="I1169" s="55"/>
      <c r="J1169" s="55"/>
      <c r="K1169" s="56"/>
      <c r="L1169" s="55"/>
      <c r="M1169" s="55"/>
      <c r="N1169" s="55"/>
      <c r="O1169" s="55"/>
      <c r="P1169" s="55"/>
      <c r="Q1169" s="55"/>
      <c r="R1169" s="57"/>
      <c r="S1169" s="58"/>
    </row>
    <row r="1170" spans="1:19" x14ac:dyDescent="0.25">
      <c r="A1170" s="51" t="str">
        <f>(COUNTIF($K$2:K1170,K1170))&amp;K1170</f>
        <v>1</v>
      </c>
      <c r="B1170" s="52"/>
      <c r="C1170" s="53"/>
      <c r="D1170" s="54"/>
      <c r="E1170" s="55"/>
      <c r="F1170" s="55"/>
      <c r="G1170" s="55"/>
      <c r="H1170" s="55"/>
      <c r="I1170" s="55"/>
      <c r="J1170" s="55"/>
      <c r="K1170" s="56"/>
      <c r="L1170" s="55"/>
      <c r="M1170" s="55"/>
      <c r="N1170" s="55"/>
      <c r="O1170" s="55"/>
      <c r="P1170" s="55"/>
      <c r="Q1170" s="55"/>
      <c r="R1170" s="57"/>
      <c r="S1170" s="58"/>
    </row>
    <row r="1171" spans="1:19" x14ac:dyDescent="0.25">
      <c r="A1171" s="51" t="str">
        <f>(COUNTIF($K$2:K1171,K1171))&amp;K1171</f>
        <v>1</v>
      </c>
      <c r="B1171" s="52"/>
      <c r="C1171" s="53"/>
      <c r="D1171" s="54"/>
      <c r="E1171" s="55"/>
      <c r="F1171" s="55"/>
      <c r="G1171" s="55"/>
      <c r="H1171" s="55"/>
      <c r="I1171" s="55"/>
      <c r="J1171" s="55"/>
      <c r="K1171" s="56"/>
      <c r="L1171" s="55"/>
      <c r="M1171" s="55"/>
      <c r="N1171" s="55"/>
      <c r="O1171" s="55"/>
      <c r="P1171" s="55"/>
      <c r="Q1171" s="55"/>
      <c r="R1171" s="57"/>
      <c r="S1171" s="58"/>
    </row>
    <row r="1172" spans="1:19" x14ac:dyDescent="0.25">
      <c r="A1172" s="51" t="str">
        <f>(COUNTIF($K$2:K1172,K1172))&amp;K1172</f>
        <v>1</v>
      </c>
      <c r="B1172" s="52"/>
      <c r="C1172" s="53"/>
      <c r="D1172" s="54"/>
      <c r="E1172" s="55"/>
      <c r="F1172" s="55"/>
      <c r="G1172" s="55"/>
      <c r="H1172" s="55"/>
      <c r="I1172" s="55"/>
      <c r="J1172" s="55"/>
      <c r="K1172" s="56"/>
      <c r="L1172" s="55"/>
      <c r="M1172" s="55"/>
      <c r="N1172" s="55"/>
      <c r="O1172" s="55"/>
      <c r="P1172" s="55"/>
      <c r="Q1172" s="55"/>
      <c r="R1172" s="57"/>
      <c r="S1172" s="58"/>
    </row>
    <row r="1173" spans="1:19" x14ac:dyDescent="0.25">
      <c r="A1173" s="51" t="str">
        <f>(COUNTIF($K$2:K1173,K1173))&amp;K1173</f>
        <v>1</v>
      </c>
      <c r="B1173" s="52"/>
      <c r="C1173" s="53"/>
      <c r="D1173" s="54"/>
      <c r="E1173" s="55"/>
      <c r="F1173" s="55"/>
      <c r="G1173" s="55"/>
      <c r="H1173" s="55"/>
      <c r="I1173" s="55"/>
      <c r="J1173" s="55"/>
      <c r="K1173" s="56"/>
      <c r="L1173" s="55"/>
      <c r="M1173" s="55"/>
      <c r="N1173" s="55"/>
      <c r="O1173" s="55"/>
      <c r="P1173" s="55"/>
      <c r="Q1173" s="55"/>
      <c r="R1173" s="57"/>
      <c r="S1173" s="58"/>
    </row>
    <row r="1174" spans="1:19" x14ac:dyDescent="0.25">
      <c r="A1174" s="51" t="str">
        <f>(COUNTIF($K$2:K1174,K1174))&amp;K1174</f>
        <v>1</v>
      </c>
      <c r="B1174" s="52"/>
      <c r="C1174" s="60"/>
      <c r="E1174" s="61"/>
      <c r="F1174" s="62"/>
      <c r="G1174" s="63"/>
      <c r="H1174" s="64"/>
      <c r="I1174" s="64"/>
      <c r="J1174" s="64"/>
      <c r="K1174" s="65"/>
      <c r="L1174" s="64"/>
      <c r="M1174" s="64"/>
      <c r="N1174" s="64"/>
      <c r="P1174" s="63"/>
      <c r="Q1174" s="61"/>
      <c r="R1174" s="64"/>
      <c r="S1174" s="64"/>
    </row>
    <row r="1175" spans="1:19" x14ac:dyDescent="0.25">
      <c r="A1175" s="51" t="str">
        <f>(COUNTIF($K$2:K1175,K1175))&amp;K1175</f>
        <v>1</v>
      </c>
      <c r="B1175" s="52"/>
      <c r="C1175" s="53"/>
      <c r="D1175" s="54"/>
      <c r="E1175" s="55"/>
      <c r="F1175" s="55"/>
      <c r="G1175" s="55"/>
      <c r="H1175" s="55"/>
      <c r="I1175" s="55"/>
      <c r="J1175" s="55"/>
      <c r="K1175" s="56"/>
      <c r="L1175" s="55"/>
      <c r="M1175" s="55"/>
      <c r="N1175" s="55"/>
      <c r="O1175" s="55"/>
      <c r="P1175" s="55"/>
      <c r="Q1175" s="55"/>
      <c r="R1175" s="57"/>
      <c r="S1175" s="58"/>
    </row>
    <row r="1176" spans="1:19" x14ac:dyDescent="0.25">
      <c r="A1176" s="51" t="str">
        <f>(COUNTIF($K$2:K1176,K1176))&amp;K1176</f>
        <v>1</v>
      </c>
      <c r="B1176" s="52"/>
      <c r="C1176" s="53"/>
      <c r="D1176" s="54"/>
      <c r="E1176" s="55"/>
      <c r="F1176" s="55"/>
      <c r="G1176" s="55"/>
      <c r="H1176" s="55"/>
      <c r="I1176" s="55"/>
      <c r="J1176" s="55"/>
      <c r="K1176" s="56"/>
      <c r="L1176" s="55"/>
      <c r="M1176" s="55"/>
      <c r="N1176" s="55"/>
      <c r="O1176" s="55"/>
      <c r="P1176" s="55"/>
      <c r="Q1176" s="55"/>
      <c r="R1176" s="57"/>
      <c r="S1176" s="58"/>
    </row>
    <row r="1177" spans="1:19" x14ac:dyDescent="0.25">
      <c r="A1177" s="51" t="str">
        <f>(COUNTIF($K$2:K1177,K1177))&amp;K1177</f>
        <v>1</v>
      </c>
      <c r="B1177" s="52"/>
      <c r="C1177" s="53"/>
      <c r="D1177" s="54"/>
      <c r="E1177" s="55"/>
      <c r="F1177" s="55"/>
      <c r="G1177" s="55"/>
      <c r="H1177" s="55"/>
      <c r="I1177" s="55"/>
      <c r="J1177" s="55"/>
      <c r="K1177" s="56"/>
      <c r="L1177" s="55"/>
      <c r="M1177" s="55"/>
      <c r="N1177" s="55"/>
      <c r="O1177" s="55"/>
      <c r="P1177" s="55"/>
      <c r="Q1177" s="55"/>
      <c r="R1177" s="57"/>
      <c r="S1177" s="58"/>
    </row>
    <row r="1178" spans="1:19" x14ac:dyDescent="0.25">
      <c r="A1178" s="51" t="str">
        <f>(COUNTIF($K$2:K1178,K1178))&amp;K1178</f>
        <v>1</v>
      </c>
      <c r="B1178" s="52"/>
      <c r="C1178" s="53"/>
      <c r="D1178" s="54"/>
      <c r="E1178" s="55"/>
      <c r="F1178" s="55"/>
      <c r="G1178" s="55"/>
      <c r="H1178" s="55"/>
      <c r="I1178" s="55"/>
      <c r="J1178" s="55"/>
      <c r="K1178" s="56"/>
      <c r="L1178" s="55"/>
      <c r="M1178" s="55"/>
      <c r="N1178" s="55"/>
      <c r="O1178" s="55"/>
      <c r="P1178" s="55"/>
      <c r="Q1178" s="55"/>
      <c r="R1178" s="57"/>
      <c r="S1178" s="58"/>
    </row>
    <row r="1179" spans="1:19" x14ac:dyDescent="0.25">
      <c r="A1179" s="51" t="str">
        <f>(COUNTIF($K$2:K1179,K1179))&amp;K1179</f>
        <v>1</v>
      </c>
      <c r="B1179" s="52"/>
      <c r="C1179" s="53"/>
      <c r="D1179" s="54"/>
      <c r="E1179" s="55"/>
      <c r="F1179" s="55"/>
      <c r="G1179" s="55"/>
      <c r="H1179" s="55"/>
      <c r="I1179" s="55"/>
      <c r="J1179" s="55"/>
      <c r="K1179" s="56"/>
      <c r="L1179" s="55"/>
      <c r="M1179" s="55"/>
      <c r="N1179" s="55"/>
      <c r="O1179" s="55"/>
      <c r="P1179" s="55"/>
      <c r="Q1179" s="55"/>
      <c r="R1179" s="57"/>
      <c r="S1179" s="58"/>
    </row>
    <row r="1180" spans="1:19" x14ac:dyDescent="0.25">
      <c r="A1180" s="51" t="str">
        <f>(COUNTIF($K$2:K1180,K1180))&amp;K1180</f>
        <v>1</v>
      </c>
      <c r="B1180" s="52"/>
      <c r="C1180" s="53"/>
      <c r="D1180" s="54"/>
      <c r="E1180" s="55"/>
      <c r="F1180" s="55"/>
      <c r="G1180" s="55"/>
      <c r="H1180" s="55"/>
      <c r="I1180" s="55"/>
      <c r="J1180" s="55"/>
      <c r="K1180" s="56"/>
      <c r="L1180" s="55"/>
      <c r="M1180" s="55"/>
      <c r="N1180" s="55"/>
      <c r="O1180" s="55"/>
      <c r="P1180" s="55"/>
      <c r="Q1180" s="55"/>
      <c r="R1180" s="57"/>
      <c r="S1180" s="58"/>
    </row>
    <row r="1181" spans="1:19" x14ac:dyDescent="0.25">
      <c r="A1181" s="51" t="str">
        <f>(COUNTIF($K$2:K1181,K1181))&amp;K1181</f>
        <v>1</v>
      </c>
      <c r="B1181" s="52"/>
      <c r="C1181" s="53"/>
      <c r="D1181" s="54"/>
      <c r="E1181" s="55"/>
      <c r="F1181" s="55"/>
      <c r="G1181" s="55"/>
      <c r="H1181" s="55"/>
      <c r="I1181" s="55"/>
      <c r="J1181" s="55"/>
      <c r="K1181" s="56"/>
      <c r="L1181" s="55"/>
      <c r="M1181" s="55"/>
      <c r="N1181" s="55"/>
      <c r="O1181" s="55"/>
      <c r="P1181" s="55"/>
      <c r="Q1181" s="55"/>
      <c r="R1181" s="57"/>
      <c r="S1181" s="58"/>
    </row>
    <row r="1182" spans="1:19" x14ac:dyDescent="0.25">
      <c r="A1182" s="51" t="str">
        <f>(COUNTIF($K$2:K1182,K1182))&amp;K1182</f>
        <v>1</v>
      </c>
      <c r="B1182" s="52"/>
      <c r="C1182" s="53"/>
      <c r="D1182" s="54"/>
      <c r="E1182" s="55"/>
      <c r="F1182" s="55"/>
      <c r="G1182" s="55"/>
      <c r="H1182" s="55"/>
      <c r="I1182" s="55"/>
      <c r="J1182" s="55"/>
      <c r="K1182" s="56"/>
      <c r="L1182" s="55"/>
      <c r="M1182" s="55"/>
      <c r="N1182" s="55"/>
      <c r="O1182" s="55"/>
      <c r="P1182" s="55"/>
      <c r="Q1182" s="55"/>
      <c r="R1182" s="57"/>
      <c r="S1182" s="58"/>
    </row>
    <row r="1183" spans="1:19" ht="15.75" x14ac:dyDescent="0.25">
      <c r="A1183" s="51" t="str">
        <f>(COUNTIF($K$2:K1183,K1183))&amp;K1183</f>
        <v>1</v>
      </c>
      <c r="B1183" s="52"/>
      <c r="C1183" s="53"/>
      <c r="D1183" s="54"/>
      <c r="E1183" s="55"/>
      <c r="F1183" s="55"/>
      <c r="G1183" s="55"/>
      <c r="H1183" s="55"/>
      <c r="I1183" s="55"/>
      <c r="J1183" s="55"/>
      <c r="K1183" s="59"/>
      <c r="L1183" s="55"/>
      <c r="M1183" s="55"/>
      <c r="N1183" s="55"/>
      <c r="O1183" s="55"/>
      <c r="P1183" s="55"/>
      <c r="Q1183" s="55"/>
      <c r="R1183" s="57"/>
      <c r="S1183" s="58"/>
    </row>
    <row r="1184" spans="1:19" x14ac:dyDescent="0.25">
      <c r="A1184" s="51" t="str">
        <f>(COUNTIF($K$2:K1184,K1184))&amp;K1184</f>
        <v>1</v>
      </c>
      <c r="B1184" s="52"/>
      <c r="C1184" s="53"/>
      <c r="D1184" s="54"/>
      <c r="E1184" s="55"/>
      <c r="F1184" s="55"/>
      <c r="G1184" s="55"/>
      <c r="H1184" s="55"/>
      <c r="I1184" s="55"/>
      <c r="J1184" s="55"/>
      <c r="K1184" s="56"/>
      <c r="L1184" s="55"/>
      <c r="M1184" s="55"/>
      <c r="N1184" s="55"/>
      <c r="O1184" s="55"/>
      <c r="P1184" s="55"/>
      <c r="Q1184" s="55"/>
      <c r="R1184" s="57"/>
      <c r="S1184" s="58"/>
    </row>
    <row r="1185" spans="1:19" x14ac:dyDescent="0.25">
      <c r="A1185" s="51" t="str">
        <f>(COUNTIF($K$2:K1185,K1185))&amp;K1185</f>
        <v>1</v>
      </c>
      <c r="B1185" s="52"/>
      <c r="C1185" s="53"/>
      <c r="D1185" s="54"/>
      <c r="E1185" s="55"/>
      <c r="F1185" s="55"/>
      <c r="G1185" s="55"/>
      <c r="H1185" s="55"/>
      <c r="I1185" s="55"/>
      <c r="J1185" s="55"/>
      <c r="K1185" s="56"/>
      <c r="L1185" s="55"/>
      <c r="M1185" s="55"/>
      <c r="N1185" s="55"/>
      <c r="O1185" s="55"/>
      <c r="P1185" s="55"/>
      <c r="Q1185" s="55"/>
      <c r="R1185" s="57"/>
      <c r="S1185" s="58"/>
    </row>
    <row r="1186" spans="1:19" x14ac:dyDescent="0.25">
      <c r="A1186" s="51" t="str">
        <f>(COUNTIF($K$2:K1186,K1186))&amp;K1186</f>
        <v>1</v>
      </c>
      <c r="B1186" s="52"/>
      <c r="C1186" s="53"/>
      <c r="D1186" s="54"/>
      <c r="E1186" s="55"/>
      <c r="F1186" s="55"/>
      <c r="G1186" s="55"/>
      <c r="H1186" s="55"/>
      <c r="I1186" s="55"/>
      <c r="J1186" s="55"/>
      <c r="K1186" s="56"/>
      <c r="L1186" s="55"/>
      <c r="M1186" s="55"/>
      <c r="N1186" s="55"/>
      <c r="O1186" s="55"/>
      <c r="P1186" s="55"/>
      <c r="Q1186" s="55"/>
      <c r="R1186" s="57"/>
      <c r="S1186" s="58"/>
    </row>
    <row r="1187" spans="1:19" x14ac:dyDescent="0.25">
      <c r="A1187" s="51" t="str">
        <f>(COUNTIF($K$2:K1187,K1187))&amp;K1187</f>
        <v>1</v>
      </c>
      <c r="B1187" s="52"/>
      <c r="C1187" s="53"/>
      <c r="D1187" s="54"/>
      <c r="E1187" s="55"/>
      <c r="F1187" s="55"/>
      <c r="G1187" s="55"/>
      <c r="H1187" s="55"/>
      <c r="I1187" s="55"/>
      <c r="J1187" s="55"/>
      <c r="K1187" s="56"/>
      <c r="L1187" s="55"/>
      <c r="M1187" s="55"/>
      <c r="N1187" s="55"/>
      <c r="O1187" s="55"/>
      <c r="P1187" s="55"/>
      <c r="Q1187" s="55"/>
      <c r="R1187" s="57"/>
      <c r="S1187" s="58"/>
    </row>
    <row r="1188" spans="1:19" x14ac:dyDescent="0.25">
      <c r="A1188" s="51" t="str">
        <f>(COUNTIF($K$2:K1188,K1188))&amp;K1188</f>
        <v>1</v>
      </c>
      <c r="B1188" s="52"/>
      <c r="C1188" s="53"/>
      <c r="D1188" s="54"/>
      <c r="E1188" s="55"/>
      <c r="F1188" s="55"/>
      <c r="G1188" s="55"/>
      <c r="H1188" s="55"/>
      <c r="I1188" s="55"/>
      <c r="J1188" s="55"/>
      <c r="K1188" s="56"/>
      <c r="L1188" s="55"/>
      <c r="M1188" s="55"/>
      <c r="N1188" s="55"/>
      <c r="O1188" s="55"/>
      <c r="P1188" s="55"/>
      <c r="Q1188" s="55"/>
      <c r="R1188" s="57"/>
      <c r="S1188" s="58"/>
    </row>
    <row r="1189" spans="1:19" x14ac:dyDescent="0.25">
      <c r="A1189" s="51" t="str">
        <f>(COUNTIF($K$2:K1189,K1189))&amp;K1189</f>
        <v>1</v>
      </c>
      <c r="B1189" s="52"/>
      <c r="C1189" s="53"/>
      <c r="D1189" s="54"/>
      <c r="E1189" s="55"/>
      <c r="F1189" s="55"/>
      <c r="G1189" s="55"/>
      <c r="H1189" s="55"/>
      <c r="I1189" s="55"/>
      <c r="J1189" s="55"/>
      <c r="K1189" s="56"/>
      <c r="L1189" s="55"/>
      <c r="M1189" s="55"/>
      <c r="N1189" s="55"/>
      <c r="O1189" s="55"/>
      <c r="P1189" s="55"/>
      <c r="Q1189" s="55"/>
      <c r="R1189" s="57"/>
      <c r="S1189" s="58"/>
    </row>
    <row r="1190" spans="1:19" x14ac:dyDescent="0.25">
      <c r="A1190" s="51" t="str">
        <f>(COUNTIF($K$2:K1190,K1190))&amp;K1190</f>
        <v>1</v>
      </c>
      <c r="B1190" s="52"/>
      <c r="C1190" s="53"/>
      <c r="D1190" s="54"/>
      <c r="E1190" s="55"/>
      <c r="F1190" s="55"/>
      <c r="G1190" s="55"/>
      <c r="H1190" s="55"/>
      <c r="I1190" s="55"/>
      <c r="J1190" s="55"/>
      <c r="K1190" s="56"/>
      <c r="L1190" s="55"/>
      <c r="M1190" s="55"/>
      <c r="N1190" s="55"/>
      <c r="O1190" s="55"/>
      <c r="P1190" s="55"/>
      <c r="Q1190" s="55"/>
      <c r="R1190" s="57"/>
      <c r="S1190" s="58"/>
    </row>
    <row r="1191" spans="1:19" x14ac:dyDescent="0.25">
      <c r="A1191" s="51" t="str">
        <f>(COUNTIF($K$2:K1191,K1191))&amp;K1191</f>
        <v>1</v>
      </c>
      <c r="B1191" s="52"/>
      <c r="C1191" s="60"/>
      <c r="E1191" s="61"/>
      <c r="F1191" s="62"/>
      <c r="G1191" s="63"/>
      <c r="H1191" s="64"/>
      <c r="I1191" s="64"/>
      <c r="J1191" s="64"/>
      <c r="K1191" s="65"/>
      <c r="L1191" s="64"/>
      <c r="M1191" s="64"/>
      <c r="N1191" s="64"/>
      <c r="P1191" s="63"/>
      <c r="Q1191" s="61"/>
      <c r="R1191" s="64"/>
      <c r="S1191" s="64"/>
    </row>
    <row r="1192" spans="1:19" x14ac:dyDescent="0.25">
      <c r="A1192" s="51" t="str">
        <f>(COUNTIF($K$2:K1192,K1192))&amp;K1192</f>
        <v>1</v>
      </c>
      <c r="B1192" s="52"/>
      <c r="C1192" s="53"/>
      <c r="D1192" s="54"/>
      <c r="E1192" s="55"/>
      <c r="F1192" s="55"/>
      <c r="G1192" s="55"/>
      <c r="H1192" s="55"/>
      <c r="I1192" s="55"/>
      <c r="J1192" s="55"/>
      <c r="K1192" s="56"/>
      <c r="L1192" s="55"/>
      <c r="M1192" s="55"/>
      <c r="N1192" s="55"/>
      <c r="O1192" s="55"/>
      <c r="P1192" s="55"/>
      <c r="Q1192" s="55"/>
      <c r="R1192" s="57"/>
      <c r="S1192" s="58"/>
    </row>
    <row r="1193" spans="1:19" x14ac:dyDescent="0.25">
      <c r="A1193" s="51" t="str">
        <f>(COUNTIF($K$2:K1193,K1193))&amp;K1193</f>
        <v>1</v>
      </c>
      <c r="B1193" s="52"/>
      <c r="C1193" s="53"/>
      <c r="D1193" s="54"/>
      <c r="E1193" s="55"/>
      <c r="F1193" s="55"/>
      <c r="G1193" s="55"/>
      <c r="H1193" s="55"/>
      <c r="I1193" s="55"/>
      <c r="J1193" s="55"/>
      <c r="K1193" s="56"/>
      <c r="L1193" s="55"/>
      <c r="M1193" s="55"/>
      <c r="N1193" s="55"/>
      <c r="O1193" s="55"/>
      <c r="P1193" s="55"/>
      <c r="Q1193" s="55"/>
      <c r="R1193" s="57"/>
      <c r="S1193" s="58"/>
    </row>
    <row r="1194" spans="1:19" x14ac:dyDescent="0.25">
      <c r="A1194" s="51" t="str">
        <f>(COUNTIF($K$2:K1194,K1194))&amp;K1194</f>
        <v>1</v>
      </c>
      <c r="B1194" s="52"/>
      <c r="C1194" s="53"/>
      <c r="D1194" s="54"/>
      <c r="E1194" s="55"/>
      <c r="F1194" s="55"/>
      <c r="G1194" s="55"/>
      <c r="H1194" s="55"/>
      <c r="I1194" s="55"/>
      <c r="J1194" s="55"/>
      <c r="K1194" s="56"/>
      <c r="L1194" s="55"/>
      <c r="M1194" s="55"/>
      <c r="N1194" s="55"/>
      <c r="O1194" s="55"/>
      <c r="P1194" s="55"/>
      <c r="Q1194" s="55"/>
      <c r="R1194" s="57"/>
      <c r="S1194" s="58"/>
    </row>
    <row r="1195" spans="1:19" x14ac:dyDescent="0.25">
      <c r="A1195" s="51" t="str">
        <f>(COUNTIF($K$2:K1195,K1195))&amp;K1195</f>
        <v>1</v>
      </c>
      <c r="B1195" s="52"/>
      <c r="C1195" s="53"/>
      <c r="D1195" s="54"/>
      <c r="E1195" s="55"/>
      <c r="F1195" s="55"/>
      <c r="G1195" s="55"/>
      <c r="H1195" s="55"/>
      <c r="I1195" s="55"/>
      <c r="J1195" s="55"/>
      <c r="K1195" s="56"/>
      <c r="L1195" s="55"/>
      <c r="M1195" s="55"/>
      <c r="N1195" s="55"/>
      <c r="O1195" s="55"/>
      <c r="P1195" s="55"/>
      <c r="Q1195" s="55"/>
      <c r="R1195" s="57"/>
      <c r="S1195" s="58"/>
    </row>
    <row r="1196" spans="1:19" x14ac:dyDescent="0.25">
      <c r="A1196" s="51" t="str">
        <f>(COUNTIF($K$2:K1196,K1196))&amp;K1196</f>
        <v>1</v>
      </c>
      <c r="B1196" s="52"/>
      <c r="C1196" s="53"/>
      <c r="D1196" s="54"/>
      <c r="E1196" s="55"/>
      <c r="F1196" s="55"/>
      <c r="G1196" s="55"/>
      <c r="H1196" s="55"/>
      <c r="I1196" s="55"/>
      <c r="J1196" s="55"/>
      <c r="K1196" s="56"/>
      <c r="L1196" s="55"/>
      <c r="M1196" s="55"/>
      <c r="N1196" s="55"/>
      <c r="O1196" s="55"/>
      <c r="P1196" s="55"/>
      <c r="Q1196" s="55"/>
      <c r="R1196" s="57"/>
      <c r="S1196" s="58"/>
    </row>
    <row r="1197" spans="1:19" x14ac:dyDescent="0.25">
      <c r="A1197" s="51" t="str">
        <f>(COUNTIF($K$2:K1197,K1197))&amp;K1197</f>
        <v>1</v>
      </c>
      <c r="B1197" s="52"/>
      <c r="C1197" s="53"/>
      <c r="D1197" s="54"/>
      <c r="E1197" s="55"/>
      <c r="F1197" s="55"/>
      <c r="G1197" s="55"/>
      <c r="H1197" s="55"/>
      <c r="I1197" s="55"/>
      <c r="J1197" s="55"/>
      <c r="K1197" s="56"/>
      <c r="L1197" s="55"/>
      <c r="M1197" s="55"/>
      <c r="N1197" s="55"/>
      <c r="O1197" s="55"/>
      <c r="P1197" s="55"/>
      <c r="Q1197" s="55"/>
      <c r="R1197" s="57"/>
      <c r="S1197" s="58"/>
    </row>
    <row r="1198" spans="1:19" x14ac:dyDescent="0.25">
      <c r="A1198" s="51" t="str">
        <f>(COUNTIF($K$2:K1198,K1198))&amp;K1198</f>
        <v>1</v>
      </c>
      <c r="B1198" s="52"/>
      <c r="C1198" s="53"/>
      <c r="D1198" s="54"/>
      <c r="E1198" s="55"/>
      <c r="F1198" s="55"/>
      <c r="G1198" s="55"/>
      <c r="H1198" s="55"/>
      <c r="I1198" s="55"/>
      <c r="J1198" s="55"/>
      <c r="K1198" s="56"/>
      <c r="L1198" s="55"/>
      <c r="M1198" s="55"/>
      <c r="N1198" s="55"/>
      <c r="O1198" s="55"/>
      <c r="P1198" s="55"/>
      <c r="Q1198" s="55"/>
      <c r="R1198" s="57"/>
      <c r="S1198" s="58"/>
    </row>
    <row r="1199" spans="1:19" x14ac:dyDescent="0.25">
      <c r="A1199" s="51" t="str">
        <f>(COUNTIF($K$2:K1199,K1199))&amp;K1199</f>
        <v>1</v>
      </c>
      <c r="B1199" s="52"/>
      <c r="C1199" s="53"/>
      <c r="D1199" s="54"/>
      <c r="E1199" s="55"/>
      <c r="F1199" s="55"/>
      <c r="G1199" s="55"/>
      <c r="H1199" s="55"/>
      <c r="I1199" s="55"/>
      <c r="J1199" s="55"/>
      <c r="K1199" s="56"/>
      <c r="L1199" s="55"/>
      <c r="M1199" s="55"/>
      <c r="N1199" s="55"/>
      <c r="O1199" s="55"/>
      <c r="P1199" s="55"/>
      <c r="Q1199" s="55"/>
      <c r="R1199" s="57"/>
      <c r="S1199" s="58"/>
    </row>
    <row r="1200" spans="1:19" ht="15.75" x14ac:dyDescent="0.25">
      <c r="A1200" s="51" t="str">
        <f>(COUNTIF($K$2:K1200,K1200))&amp;K1200</f>
        <v>1</v>
      </c>
      <c r="B1200" s="52"/>
      <c r="C1200" s="53"/>
      <c r="D1200" s="54"/>
      <c r="E1200" s="55"/>
      <c r="F1200" s="55"/>
      <c r="G1200" s="55"/>
      <c r="H1200" s="55"/>
      <c r="I1200" s="55"/>
      <c r="J1200" s="55"/>
      <c r="K1200" s="59"/>
      <c r="L1200" s="55"/>
      <c r="M1200" s="55"/>
      <c r="N1200" s="55"/>
      <c r="O1200" s="55"/>
      <c r="P1200" s="55"/>
      <c r="Q1200" s="55"/>
      <c r="R1200" s="57"/>
      <c r="S1200" s="58"/>
    </row>
    <row r="1201" spans="1:19" x14ac:dyDescent="0.25">
      <c r="A1201" s="51" t="str">
        <f>(COUNTIF($K$2:K1201,K1201))&amp;K1201</f>
        <v>1</v>
      </c>
      <c r="B1201" s="52"/>
      <c r="C1201" s="53"/>
      <c r="D1201" s="54"/>
      <c r="E1201" s="55"/>
      <c r="F1201" s="55"/>
      <c r="G1201" s="55"/>
      <c r="H1201" s="55"/>
      <c r="I1201" s="55"/>
      <c r="J1201" s="55"/>
      <c r="K1201" s="56"/>
      <c r="L1201" s="55"/>
      <c r="M1201" s="55"/>
      <c r="N1201" s="55"/>
      <c r="O1201" s="55"/>
      <c r="P1201" s="55"/>
      <c r="Q1201" s="55"/>
      <c r="R1201" s="57"/>
      <c r="S1201" s="58"/>
    </row>
    <row r="1202" spans="1:19" x14ac:dyDescent="0.25">
      <c r="A1202" s="51" t="str">
        <f>(COUNTIF($K$2:K1202,K1202))&amp;K1202</f>
        <v>1</v>
      </c>
      <c r="B1202" s="52"/>
      <c r="C1202" s="53"/>
      <c r="D1202" s="54"/>
      <c r="E1202" s="55"/>
      <c r="F1202" s="55"/>
      <c r="G1202" s="55"/>
      <c r="H1202" s="55"/>
      <c r="I1202" s="55"/>
      <c r="J1202" s="55"/>
      <c r="K1202" s="56"/>
      <c r="L1202" s="55"/>
      <c r="M1202" s="55"/>
      <c r="N1202" s="55"/>
      <c r="O1202" s="55"/>
      <c r="P1202" s="55"/>
      <c r="Q1202" s="55"/>
      <c r="R1202" s="57"/>
      <c r="S1202" s="58"/>
    </row>
    <row r="1203" spans="1:19" x14ac:dyDescent="0.25">
      <c r="A1203" s="51" t="str">
        <f>(COUNTIF($K$2:K1203,K1203))&amp;K1203</f>
        <v>1</v>
      </c>
      <c r="B1203" s="52"/>
      <c r="C1203" s="53"/>
      <c r="D1203" s="54"/>
      <c r="E1203" s="55"/>
      <c r="F1203" s="55"/>
      <c r="G1203" s="55"/>
      <c r="H1203" s="55"/>
      <c r="I1203" s="55"/>
      <c r="J1203" s="55"/>
      <c r="K1203" s="56"/>
      <c r="L1203" s="55"/>
      <c r="M1203" s="55"/>
      <c r="N1203" s="55"/>
      <c r="O1203" s="55"/>
      <c r="P1203" s="55"/>
      <c r="Q1203" s="55"/>
      <c r="R1203" s="57"/>
      <c r="S1203" s="58"/>
    </row>
    <row r="1204" spans="1:19" x14ac:dyDescent="0.25">
      <c r="A1204" s="51" t="str">
        <f>(COUNTIF($K$2:K1204,K1204))&amp;K1204</f>
        <v>1</v>
      </c>
      <c r="B1204" s="52"/>
      <c r="C1204" s="53"/>
      <c r="D1204" s="54"/>
      <c r="E1204" s="55"/>
      <c r="F1204" s="55"/>
      <c r="G1204" s="55"/>
      <c r="H1204" s="55"/>
      <c r="I1204" s="55"/>
      <c r="J1204" s="55"/>
      <c r="K1204" s="56"/>
      <c r="L1204" s="55"/>
      <c r="M1204" s="55"/>
      <c r="N1204" s="55"/>
      <c r="O1204" s="55"/>
      <c r="P1204" s="55"/>
      <c r="Q1204" s="55"/>
      <c r="R1204" s="57"/>
      <c r="S1204" s="58"/>
    </row>
    <row r="1205" spans="1:19" x14ac:dyDescent="0.25">
      <c r="A1205" s="51" t="str">
        <f>(COUNTIF($K$2:K1205,K1205))&amp;K1205</f>
        <v>1</v>
      </c>
      <c r="B1205" s="52"/>
      <c r="C1205" s="53"/>
      <c r="D1205" s="54"/>
      <c r="E1205" s="55"/>
      <c r="F1205" s="55"/>
      <c r="G1205" s="55"/>
      <c r="H1205" s="55"/>
      <c r="I1205" s="55"/>
      <c r="J1205" s="55"/>
      <c r="K1205" s="56"/>
      <c r="L1205" s="55"/>
      <c r="M1205" s="55"/>
      <c r="N1205" s="55"/>
      <c r="O1205" s="55"/>
      <c r="P1205" s="55"/>
      <c r="Q1205" s="55"/>
      <c r="R1205" s="57"/>
      <c r="S1205" s="58"/>
    </row>
    <row r="1206" spans="1:19" x14ac:dyDescent="0.25">
      <c r="A1206" s="51" t="str">
        <f>(COUNTIF($K$2:K1206,K1206))&amp;K1206</f>
        <v>1</v>
      </c>
      <c r="B1206" s="52"/>
      <c r="C1206" s="53"/>
      <c r="D1206" s="54"/>
      <c r="E1206" s="55"/>
      <c r="F1206" s="55"/>
      <c r="G1206" s="55"/>
      <c r="H1206" s="55"/>
      <c r="I1206" s="55"/>
      <c r="J1206" s="55"/>
      <c r="K1206" s="56"/>
      <c r="L1206" s="55"/>
      <c r="M1206" s="55"/>
      <c r="N1206" s="55"/>
      <c r="O1206" s="55"/>
      <c r="P1206" s="55"/>
      <c r="Q1206" s="55"/>
      <c r="R1206" s="57"/>
      <c r="S1206" s="58"/>
    </row>
    <row r="1207" spans="1:19" x14ac:dyDescent="0.25">
      <c r="A1207" s="51" t="str">
        <f>(COUNTIF($K$2:K1207,K1207))&amp;K1207</f>
        <v>1</v>
      </c>
      <c r="B1207" s="52"/>
      <c r="C1207" s="53"/>
      <c r="D1207" s="54"/>
      <c r="E1207" s="55"/>
      <c r="F1207" s="55"/>
      <c r="G1207" s="55"/>
      <c r="H1207" s="55"/>
      <c r="I1207" s="55"/>
      <c r="J1207" s="55"/>
      <c r="K1207" s="56"/>
      <c r="L1207" s="55"/>
      <c r="M1207" s="55"/>
      <c r="N1207" s="55"/>
      <c r="O1207" s="55"/>
      <c r="P1207" s="55"/>
      <c r="Q1207" s="55"/>
      <c r="R1207" s="57"/>
      <c r="S1207" s="58"/>
    </row>
    <row r="1208" spans="1:19" x14ac:dyDescent="0.25">
      <c r="A1208" s="51" t="str">
        <f>(COUNTIF($K$2:K1208,K1208))&amp;K1208</f>
        <v>1</v>
      </c>
      <c r="B1208" s="52"/>
      <c r="C1208" s="60"/>
      <c r="E1208" s="61"/>
      <c r="F1208" s="62"/>
      <c r="G1208" s="63"/>
      <c r="H1208" s="64"/>
      <c r="I1208" s="64"/>
      <c r="J1208" s="64"/>
      <c r="K1208" s="65"/>
      <c r="L1208" s="64"/>
      <c r="M1208" s="64"/>
      <c r="N1208" s="64"/>
      <c r="P1208" s="63"/>
      <c r="Q1208" s="61"/>
      <c r="R1208" s="64"/>
      <c r="S1208" s="64"/>
    </row>
    <row r="1209" spans="1:19" x14ac:dyDescent="0.25">
      <c r="A1209" s="51" t="str">
        <f>(COUNTIF($K$2:K1209,K1209))&amp;K1209</f>
        <v>1</v>
      </c>
      <c r="B1209" s="52"/>
      <c r="C1209" s="53"/>
      <c r="D1209" s="54"/>
      <c r="E1209" s="55"/>
      <c r="F1209" s="55"/>
      <c r="G1209" s="55"/>
      <c r="H1209" s="55"/>
      <c r="I1209" s="55"/>
      <c r="J1209" s="55"/>
      <c r="K1209" s="56"/>
      <c r="L1209" s="55"/>
      <c r="M1209" s="55"/>
      <c r="N1209" s="55"/>
      <c r="O1209" s="55"/>
      <c r="P1209" s="55"/>
      <c r="Q1209" s="55"/>
      <c r="R1209" s="57"/>
      <c r="S1209" s="58"/>
    </row>
    <row r="1210" spans="1:19" x14ac:dyDescent="0.25">
      <c r="A1210" s="51" t="str">
        <f>(COUNTIF($K$2:K1210,K1210))&amp;K1210</f>
        <v>1</v>
      </c>
      <c r="B1210" s="52"/>
      <c r="C1210" s="53"/>
      <c r="D1210" s="54"/>
      <c r="E1210" s="55"/>
      <c r="F1210" s="55"/>
      <c r="G1210" s="55"/>
      <c r="H1210" s="55"/>
      <c r="I1210" s="55"/>
      <c r="J1210" s="55"/>
      <c r="K1210" s="56"/>
      <c r="L1210" s="55"/>
      <c r="M1210" s="55"/>
      <c r="N1210" s="55"/>
      <c r="O1210" s="55"/>
      <c r="P1210" s="55"/>
      <c r="Q1210" s="55"/>
      <c r="R1210" s="57"/>
      <c r="S1210" s="58"/>
    </row>
    <row r="1211" spans="1:19" x14ac:dyDescent="0.25">
      <c r="A1211" s="51" t="str">
        <f>(COUNTIF($K$2:K1211,K1211))&amp;K1211</f>
        <v>1</v>
      </c>
      <c r="B1211" s="52"/>
      <c r="C1211" s="53"/>
      <c r="D1211" s="54"/>
      <c r="E1211" s="55"/>
      <c r="F1211" s="55"/>
      <c r="G1211" s="55"/>
      <c r="H1211" s="55"/>
      <c r="I1211" s="55"/>
      <c r="J1211" s="55"/>
      <c r="K1211" s="56"/>
      <c r="L1211" s="55"/>
      <c r="M1211" s="55"/>
      <c r="N1211" s="55"/>
      <c r="O1211" s="55"/>
      <c r="P1211" s="55"/>
      <c r="Q1211" s="55"/>
      <c r="R1211" s="57"/>
      <c r="S1211" s="58"/>
    </row>
    <row r="1212" spans="1:19" x14ac:dyDescent="0.25">
      <c r="A1212" s="51" t="str">
        <f>(COUNTIF($K$2:K1212,K1212))&amp;K1212</f>
        <v>1</v>
      </c>
      <c r="B1212" s="52"/>
      <c r="C1212" s="53"/>
      <c r="D1212" s="54"/>
      <c r="E1212" s="55"/>
      <c r="F1212" s="55"/>
      <c r="G1212" s="55"/>
      <c r="H1212" s="55"/>
      <c r="I1212" s="55"/>
      <c r="J1212" s="55"/>
      <c r="K1212" s="56"/>
      <c r="L1212" s="55"/>
      <c r="M1212" s="55"/>
      <c r="N1212" s="55"/>
      <c r="O1212" s="55"/>
      <c r="P1212" s="55"/>
      <c r="Q1212" s="55"/>
      <c r="R1212" s="57"/>
      <c r="S1212" s="58"/>
    </row>
    <row r="1213" spans="1:19" x14ac:dyDescent="0.25">
      <c r="A1213" s="51" t="str">
        <f>(COUNTIF($K$2:K1213,K1213))&amp;K1213</f>
        <v>1</v>
      </c>
      <c r="B1213" s="52"/>
      <c r="C1213" s="53"/>
      <c r="D1213" s="54"/>
      <c r="E1213" s="55"/>
      <c r="F1213" s="55"/>
      <c r="G1213" s="55"/>
      <c r="H1213" s="55"/>
      <c r="I1213" s="55"/>
      <c r="J1213" s="55"/>
      <c r="K1213" s="56"/>
      <c r="L1213" s="55"/>
      <c r="M1213" s="55"/>
      <c r="N1213" s="55"/>
      <c r="O1213" s="55"/>
      <c r="P1213" s="55"/>
      <c r="Q1213" s="55"/>
      <c r="R1213" s="57"/>
      <c r="S1213" s="58"/>
    </row>
    <row r="1214" spans="1:19" x14ac:dyDescent="0.25">
      <c r="A1214" s="51" t="str">
        <f>(COUNTIF($K$2:K1214,K1214))&amp;K1214</f>
        <v>1</v>
      </c>
      <c r="B1214" s="52"/>
      <c r="C1214" s="53"/>
      <c r="D1214" s="54"/>
      <c r="E1214" s="55"/>
      <c r="F1214" s="55"/>
      <c r="G1214" s="55"/>
      <c r="H1214" s="55"/>
      <c r="I1214" s="55"/>
      <c r="J1214" s="55"/>
      <c r="K1214" s="56"/>
      <c r="L1214" s="55"/>
      <c r="M1214" s="55"/>
      <c r="N1214" s="55"/>
      <c r="O1214" s="55"/>
      <c r="P1214" s="55"/>
      <c r="Q1214" s="55"/>
      <c r="R1214" s="57"/>
      <c r="S1214" s="58"/>
    </row>
    <row r="1215" spans="1:19" x14ac:dyDescent="0.25">
      <c r="A1215" s="51" t="str">
        <f>(COUNTIF($K$2:K1215,K1215))&amp;K1215</f>
        <v>1</v>
      </c>
      <c r="B1215" s="52"/>
      <c r="C1215" s="53"/>
      <c r="D1215" s="54"/>
      <c r="E1215" s="55"/>
      <c r="F1215" s="55"/>
      <c r="G1215" s="55"/>
      <c r="H1215" s="55"/>
      <c r="I1215" s="55"/>
      <c r="J1215" s="55"/>
      <c r="K1215" s="56"/>
      <c r="L1215" s="55"/>
      <c r="M1215" s="55"/>
      <c r="N1215" s="55"/>
      <c r="O1215" s="55"/>
      <c r="P1215" s="55"/>
      <c r="Q1215" s="55"/>
      <c r="R1215" s="57"/>
      <c r="S1215" s="58"/>
    </row>
    <row r="1216" spans="1:19" x14ac:dyDescent="0.25">
      <c r="A1216" s="51" t="str">
        <f>(COUNTIF($K$2:K1216,K1216))&amp;K1216</f>
        <v>1</v>
      </c>
      <c r="B1216" s="52"/>
      <c r="C1216" s="53"/>
      <c r="D1216" s="54"/>
      <c r="E1216" s="55"/>
      <c r="F1216" s="55"/>
      <c r="G1216" s="55"/>
      <c r="H1216" s="55"/>
      <c r="I1216" s="55"/>
      <c r="J1216" s="55"/>
      <c r="K1216" s="56"/>
      <c r="L1216" s="55"/>
      <c r="M1216" s="55"/>
      <c r="N1216" s="55"/>
      <c r="O1216" s="55"/>
      <c r="P1216" s="55"/>
      <c r="Q1216" s="55"/>
      <c r="R1216" s="57"/>
      <c r="S1216" s="58"/>
    </row>
    <row r="1217" spans="1:19" ht="15.75" x14ac:dyDescent="0.25">
      <c r="A1217" s="51" t="str">
        <f>(COUNTIF($K$2:K1217,K1217))&amp;K1217</f>
        <v>1</v>
      </c>
      <c r="B1217" s="52"/>
      <c r="C1217" s="53"/>
      <c r="D1217" s="54"/>
      <c r="E1217" s="55"/>
      <c r="F1217" s="55"/>
      <c r="G1217" s="55"/>
      <c r="H1217" s="55"/>
      <c r="I1217" s="55"/>
      <c r="J1217" s="55"/>
      <c r="K1217" s="59"/>
      <c r="L1217" s="55"/>
      <c r="M1217" s="55"/>
      <c r="N1217" s="55"/>
      <c r="O1217" s="55"/>
      <c r="P1217" s="55"/>
      <c r="Q1217" s="55"/>
      <c r="R1217" s="57"/>
      <c r="S1217" s="58"/>
    </row>
    <row r="1218" spans="1:19" x14ac:dyDescent="0.25">
      <c r="A1218" s="51" t="str">
        <f>(COUNTIF($K$2:K1218,K1218))&amp;K1218</f>
        <v>1</v>
      </c>
      <c r="B1218" s="52"/>
      <c r="C1218" s="53"/>
      <c r="D1218" s="54"/>
      <c r="E1218" s="55"/>
      <c r="F1218" s="55"/>
      <c r="G1218" s="55"/>
      <c r="H1218" s="55"/>
      <c r="I1218" s="55"/>
      <c r="J1218" s="55"/>
      <c r="K1218" s="56"/>
      <c r="L1218" s="55"/>
      <c r="M1218" s="55"/>
      <c r="N1218" s="55"/>
      <c r="O1218" s="55"/>
      <c r="P1218" s="55"/>
      <c r="Q1218" s="55"/>
      <c r="R1218" s="57"/>
      <c r="S1218" s="58"/>
    </row>
    <row r="1219" spans="1:19" x14ac:dyDescent="0.25">
      <c r="A1219" s="51" t="str">
        <f>(COUNTIF($K$2:K1219,K1219))&amp;K1219</f>
        <v>1</v>
      </c>
      <c r="B1219" s="52"/>
      <c r="C1219" s="53"/>
      <c r="D1219" s="54"/>
      <c r="E1219" s="55"/>
      <c r="F1219" s="55"/>
      <c r="G1219" s="55"/>
      <c r="H1219" s="55"/>
      <c r="I1219" s="55"/>
      <c r="J1219" s="55"/>
      <c r="K1219" s="56"/>
      <c r="L1219" s="55"/>
      <c r="M1219" s="55"/>
      <c r="N1219" s="55"/>
      <c r="O1219" s="55"/>
      <c r="P1219" s="55"/>
      <c r="Q1219" s="55"/>
      <c r="R1219" s="57"/>
      <c r="S1219" s="58"/>
    </row>
    <row r="1220" spans="1:19" x14ac:dyDescent="0.25">
      <c r="A1220" s="51" t="str">
        <f>(COUNTIF($K$2:K1220,K1220))&amp;K1220</f>
        <v>1</v>
      </c>
      <c r="B1220" s="52"/>
      <c r="C1220" s="53"/>
      <c r="D1220" s="54"/>
      <c r="E1220" s="55"/>
      <c r="F1220" s="55"/>
      <c r="G1220" s="55"/>
      <c r="H1220" s="55"/>
      <c r="I1220" s="55"/>
      <c r="J1220" s="55"/>
      <c r="K1220" s="56"/>
      <c r="L1220" s="55"/>
      <c r="M1220" s="55"/>
      <c r="N1220" s="55"/>
      <c r="O1220" s="55"/>
      <c r="P1220" s="55"/>
      <c r="Q1220" s="55"/>
      <c r="R1220" s="57"/>
      <c r="S1220" s="58"/>
    </row>
    <row r="1221" spans="1:19" x14ac:dyDescent="0.25">
      <c r="A1221" s="51" t="str">
        <f>(COUNTIF($K$2:K1221,K1221))&amp;K1221</f>
        <v>1</v>
      </c>
      <c r="B1221" s="52"/>
      <c r="C1221" s="53"/>
      <c r="D1221" s="54"/>
      <c r="E1221" s="55"/>
      <c r="F1221" s="55"/>
      <c r="G1221" s="55"/>
      <c r="H1221" s="55"/>
      <c r="I1221" s="55"/>
      <c r="J1221" s="55"/>
      <c r="K1221" s="56"/>
      <c r="L1221" s="55"/>
      <c r="M1221" s="55"/>
      <c r="N1221" s="55"/>
      <c r="O1221" s="55"/>
      <c r="P1221" s="55"/>
      <c r="Q1221" s="55"/>
      <c r="R1221" s="57"/>
      <c r="S1221" s="58"/>
    </row>
    <row r="1222" spans="1:19" x14ac:dyDescent="0.25">
      <c r="A1222" s="51" t="str">
        <f>(COUNTIF($K$2:K1222,K1222))&amp;K1222</f>
        <v>1</v>
      </c>
      <c r="B1222" s="52"/>
      <c r="C1222" s="53"/>
      <c r="D1222" s="54"/>
      <c r="E1222" s="55"/>
      <c r="F1222" s="55"/>
      <c r="G1222" s="55"/>
      <c r="H1222" s="55"/>
      <c r="I1222" s="55"/>
      <c r="J1222" s="55"/>
      <c r="K1222" s="56"/>
      <c r="L1222" s="55"/>
      <c r="M1222" s="55"/>
      <c r="N1222" s="55"/>
      <c r="O1222" s="55"/>
      <c r="P1222" s="55"/>
      <c r="Q1222" s="55"/>
      <c r="R1222" s="57"/>
      <c r="S1222" s="58"/>
    </row>
    <row r="1223" spans="1:19" x14ac:dyDescent="0.25">
      <c r="A1223" s="51" t="str">
        <f>(COUNTIF($K$2:K1223,K1223))&amp;K1223</f>
        <v>1</v>
      </c>
      <c r="B1223" s="52"/>
      <c r="C1223" s="53"/>
      <c r="D1223" s="54"/>
      <c r="E1223" s="55"/>
      <c r="F1223" s="55"/>
      <c r="G1223" s="55"/>
      <c r="H1223" s="55"/>
      <c r="I1223" s="55"/>
      <c r="J1223" s="55"/>
      <c r="K1223" s="56"/>
      <c r="L1223" s="55"/>
      <c r="M1223" s="55"/>
      <c r="N1223" s="55"/>
      <c r="O1223" s="55"/>
      <c r="P1223" s="55"/>
      <c r="Q1223" s="55"/>
      <c r="R1223" s="57"/>
      <c r="S1223" s="58"/>
    </row>
    <row r="1224" spans="1:19" x14ac:dyDescent="0.25">
      <c r="A1224" s="51" t="str">
        <f>(COUNTIF($K$2:K1224,K1224))&amp;K1224</f>
        <v>1</v>
      </c>
      <c r="B1224" s="52"/>
      <c r="C1224" s="53"/>
      <c r="D1224" s="54"/>
      <c r="E1224" s="55"/>
      <c r="F1224" s="55"/>
      <c r="G1224" s="55"/>
      <c r="H1224" s="55"/>
      <c r="I1224" s="55"/>
      <c r="J1224" s="55"/>
      <c r="K1224" s="56"/>
      <c r="L1224" s="55"/>
      <c r="M1224" s="55"/>
      <c r="N1224" s="55"/>
      <c r="O1224" s="55"/>
      <c r="P1224" s="55"/>
      <c r="Q1224" s="55"/>
      <c r="R1224" s="57"/>
      <c r="S1224" s="58"/>
    </row>
    <row r="1225" spans="1:19" x14ac:dyDescent="0.25">
      <c r="A1225" s="51" t="str">
        <f>(COUNTIF($K$2:K1225,K1225))&amp;K1225</f>
        <v>1</v>
      </c>
      <c r="B1225" s="52"/>
      <c r="C1225" s="60"/>
      <c r="E1225" s="61"/>
      <c r="F1225" s="62"/>
      <c r="G1225" s="63"/>
      <c r="H1225" s="64"/>
      <c r="I1225" s="64"/>
      <c r="J1225" s="64"/>
      <c r="K1225" s="65"/>
      <c r="L1225" s="64"/>
      <c r="M1225" s="64"/>
      <c r="N1225" s="64"/>
      <c r="P1225" s="63"/>
      <c r="Q1225" s="61"/>
      <c r="R1225" s="64"/>
      <c r="S1225" s="64"/>
    </row>
    <row r="1226" spans="1:19" x14ac:dyDescent="0.25">
      <c r="A1226" s="51" t="str">
        <f>(COUNTIF($K$2:K1226,K1226))&amp;K1226</f>
        <v>1</v>
      </c>
      <c r="B1226" s="52"/>
      <c r="C1226" s="53"/>
      <c r="D1226" s="54"/>
      <c r="E1226" s="55"/>
      <c r="F1226" s="55"/>
      <c r="G1226" s="55"/>
      <c r="H1226" s="55"/>
      <c r="I1226" s="55"/>
      <c r="J1226" s="55"/>
      <c r="K1226" s="56"/>
      <c r="L1226" s="55"/>
      <c r="M1226" s="55"/>
      <c r="N1226" s="55"/>
      <c r="O1226" s="55"/>
      <c r="P1226" s="55"/>
      <c r="Q1226" s="55"/>
      <c r="R1226" s="57"/>
      <c r="S1226" s="58"/>
    </row>
    <row r="1227" spans="1:19" x14ac:dyDescent="0.25">
      <c r="A1227" s="51" t="str">
        <f>(COUNTIF($K$2:K1227,K1227))&amp;K1227</f>
        <v>1</v>
      </c>
      <c r="B1227" s="52"/>
      <c r="C1227" s="53"/>
      <c r="D1227" s="54"/>
      <c r="E1227" s="55"/>
      <c r="F1227" s="55"/>
      <c r="G1227" s="55"/>
      <c r="H1227" s="55"/>
      <c r="I1227" s="55"/>
      <c r="J1227" s="55"/>
      <c r="K1227" s="56"/>
      <c r="L1227" s="55"/>
      <c r="M1227" s="55"/>
      <c r="N1227" s="55"/>
      <c r="O1227" s="55"/>
      <c r="P1227" s="55"/>
      <c r="Q1227" s="55"/>
      <c r="R1227" s="57"/>
      <c r="S1227" s="58"/>
    </row>
    <row r="1228" spans="1:19" x14ac:dyDescent="0.25">
      <c r="A1228" s="51" t="str">
        <f>(COUNTIF($K$2:K1228,K1228))&amp;K1228</f>
        <v>1</v>
      </c>
      <c r="B1228" s="52"/>
      <c r="C1228" s="53"/>
      <c r="D1228" s="54"/>
      <c r="E1228" s="55"/>
      <c r="F1228" s="55"/>
      <c r="G1228" s="55"/>
      <c r="H1228" s="55"/>
      <c r="I1228" s="55"/>
      <c r="J1228" s="55"/>
      <c r="K1228" s="56"/>
      <c r="L1228" s="55"/>
      <c r="M1228" s="55"/>
      <c r="N1228" s="55"/>
      <c r="O1228" s="55"/>
      <c r="P1228" s="55"/>
      <c r="Q1228" s="55"/>
      <c r="R1228" s="57"/>
      <c r="S1228" s="58"/>
    </row>
    <row r="1229" spans="1:19" x14ac:dyDescent="0.25">
      <c r="A1229" s="51" t="str">
        <f>(COUNTIF($K$2:K1229,K1229))&amp;K1229</f>
        <v>1</v>
      </c>
      <c r="B1229" s="52"/>
      <c r="C1229" s="53"/>
      <c r="D1229" s="54"/>
      <c r="E1229" s="55"/>
      <c r="F1229" s="55"/>
      <c r="G1229" s="55"/>
      <c r="H1229" s="55"/>
      <c r="I1229" s="55"/>
      <c r="J1229" s="55"/>
      <c r="K1229" s="56"/>
      <c r="L1229" s="55"/>
      <c r="M1229" s="55"/>
      <c r="N1229" s="55"/>
      <c r="O1229" s="55"/>
      <c r="P1229" s="55"/>
      <c r="Q1229" s="55"/>
      <c r="R1229" s="57"/>
      <c r="S1229" s="58"/>
    </row>
    <row r="1230" spans="1:19" x14ac:dyDescent="0.25">
      <c r="A1230" s="51" t="str">
        <f>(COUNTIF($K$2:K1230,K1230))&amp;K1230</f>
        <v>1</v>
      </c>
      <c r="B1230" s="52"/>
      <c r="C1230" s="53"/>
      <c r="D1230" s="54"/>
      <c r="E1230" s="55"/>
      <c r="F1230" s="55"/>
      <c r="G1230" s="55"/>
      <c r="H1230" s="55"/>
      <c r="I1230" s="55"/>
      <c r="J1230" s="55"/>
      <c r="K1230" s="56"/>
      <c r="L1230" s="55"/>
      <c r="M1230" s="55"/>
      <c r="N1230" s="55"/>
      <c r="O1230" s="55"/>
      <c r="P1230" s="55"/>
      <c r="Q1230" s="55"/>
      <c r="R1230" s="57"/>
      <c r="S1230" s="58"/>
    </row>
    <row r="1231" spans="1:19" x14ac:dyDescent="0.25">
      <c r="A1231" s="51" t="str">
        <f>(COUNTIF($K$2:K1231,K1231))&amp;K1231</f>
        <v>1</v>
      </c>
      <c r="B1231" s="52"/>
      <c r="C1231" s="53"/>
      <c r="D1231" s="54"/>
      <c r="E1231" s="55"/>
      <c r="F1231" s="55"/>
      <c r="G1231" s="55"/>
      <c r="H1231" s="55"/>
      <c r="I1231" s="55"/>
      <c r="J1231" s="55"/>
      <c r="K1231" s="56"/>
      <c r="L1231" s="55"/>
      <c r="M1231" s="55"/>
      <c r="N1231" s="55"/>
      <c r="O1231" s="55"/>
      <c r="P1231" s="55"/>
      <c r="Q1231" s="55"/>
      <c r="R1231" s="57"/>
      <c r="S1231" s="58"/>
    </row>
    <row r="1232" spans="1:19" x14ac:dyDescent="0.25">
      <c r="A1232" s="51" t="str">
        <f>(COUNTIF($K$2:K1232,K1232))&amp;K1232</f>
        <v>1</v>
      </c>
      <c r="B1232" s="52"/>
      <c r="C1232" s="53"/>
      <c r="D1232" s="54"/>
      <c r="E1232" s="55"/>
      <c r="F1232" s="55"/>
      <c r="G1232" s="55"/>
      <c r="H1232" s="55"/>
      <c r="I1232" s="55"/>
      <c r="J1232" s="55"/>
      <c r="K1232" s="56"/>
      <c r="L1232" s="55"/>
      <c r="M1232" s="55"/>
      <c r="N1232" s="55"/>
      <c r="O1232" s="55"/>
      <c r="P1232" s="55"/>
      <c r="Q1232" s="55"/>
      <c r="R1232" s="57"/>
      <c r="S1232" s="58"/>
    </row>
    <row r="1233" spans="1:19" x14ac:dyDescent="0.25">
      <c r="A1233" s="51" t="str">
        <f>(COUNTIF($K$2:K1233,K1233))&amp;K1233</f>
        <v>1</v>
      </c>
      <c r="B1233" s="52"/>
      <c r="C1233" s="53"/>
      <c r="D1233" s="54"/>
      <c r="E1233" s="55"/>
      <c r="F1233" s="55"/>
      <c r="G1233" s="55"/>
      <c r="H1233" s="55"/>
      <c r="I1233" s="55"/>
      <c r="J1233" s="55"/>
      <c r="K1233" s="56"/>
      <c r="L1233" s="55"/>
      <c r="M1233" s="55"/>
      <c r="N1233" s="55"/>
      <c r="O1233" s="55"/>
      <c r="P1233" s="55"/>
      <c r="Q1233" s="55"/>
      <c r="R1233" s="57"/>
      <c r="S1233" s="58"/>
    </row>
    <row r="1234" spans="1:19" ht="15.75" x14ac:dyDescent="0.25">
      <c r="A1234" s="51" t="str">
        <f>(COUNTIF($K$2:K1234,K1234))&amp;K1234</f>
        <v>1</v>
      </c>
      <c r="B1234" s="52"/>
      <c r="C1234" s="53"/>
      <c r="D1234" s="54"/>
      <c r="E1234" s="55"/>
      <c r="F1234" s="55"/>
      <c r="G1234" s="55"/>
      <c r="H1234" s="55"/>
      <c r="I1234" s="55"/>
      <c r="J1234" s="55"/>
      <c r="K1234" s="59"/>
      <c r="L1234" s="55"/>
      <c r="M1234" s="55"/>
      <c r="N1234" s="55"/>
      <c r="O1234" s="55"/>
      <c r="P1234" s="55"/>
      <c r="Q1234" s="55"/>
      <c r="R1234" s="57"/>
      <c r="S1234" s="58"/>
    </row>
    <row r="1235" spans="1:19" x14ac:dyDescent="0.25">
      <c r="A1235" s="51" t="str">
        <f>(COUNTIF($K$2:K1235,K1235))&amp;K1235</f>
        <v>1</v>
      </c>
      <c r="B1235" s="52"/>
      <c r="C1235" s="53"/>
      <c r="D1235" s="54"/>
      <c r="E1235" s="55"/>
      <c r="F1235" s="55"/>
      <c r="G1235" s="55"/>
      <c r="H1235" s="55"/>
      <c r="I1235" s="55"/>
      <c r="J1235" s="55"/>
      <c r="K1235" s="56"/>
      <c r="L1235" s="55"/>
      <c r="M1235" s="55"/>
      <c r="N1235" s="55"/>
      <c r="O1235" s="55"/>
      <c r="P1235" s="55"/>
      <c r="Q1235" s="55"/>
      <c r="R1235" s="57"/>
      <c r="S1235" s="58"/>
    </row>
    <row r="1236" spans="1:19" x14ac:dyDescent="0.25">
      <c r="A1236" s="51" t="str">
        <f>(COUNTIF($K$2:K1236,K1236))&amp;K1236</f>
        <v>1</v>
      </c>
      <c r="B1236" s="52"/>
      <c r="C1236" s="53"/>
      <c r="D1236" s="54"/>
      <c r="E1236" s="55"/>
      <c r="F1236" s="55"/>
      <c r="G1236" s="55"/>
      <c r="H1236" s="55"/>
      <c r="I1236" s="55"/>
      <c r="J1236" s="55"/>
      <c r="K1236" s="56"/>
      <c r="L1236" s="55"/>
      <c r="M1236" s="55"/>
      <c r="N1236" s="55"/>
      <c r="O1236" s="55"/>
      <c r="P1236" s="55"/>
      <c r="Q1236" s="55"/>
      <c r="R1236" s="57"/>
      <c r="S1236" s="58"/>
    </row>
    <row r="1237" spans="1:19" x14ac:dyDescent="0.25">
      <c r="A1237" s="51" t="str">
        <f>(COUNTIF($K$2:K1237,K1237))&amp;K1237</f>
        <v>1</v>
      </c>
      <c r="B1237" s="52"/>
      <c r="C1237" s="53"/>
      <c r="D1237" s="54"/>
      <c r="E1237" s="55"/>
      <c r="F1237" s="55"/>
      <c r="G1237" s="55"/>
      <c r="H1237" s="55"/>
      <c r="I1237" s="55"/>
      <c r="J1237" s="55"/>
      <c r="K1237" s="56"/>
      <c r="L1237" s="55"/>
      <c r="M1237" s="55"/>
      <c r="N1237" s="55"/>
      <c r="O1237" s="55"/>
      <c r="P1237" s="55"/>
      <c r="Q1237" s="55"/>
      <c r="R1237" s="57"/>
      <c r="S1237" s="58"/>
    </row>
    <row r="1238" spans="1:19" x14ac:dyDescent="0.25">
      <c r="A1238" s="51" t="str">
        <f>(COUNTIF($K$2:K1238,K1238))&amp;K1238</f>
        <v>1</v>
      </c>
      <c r="B1238" s="52"/>
      <c r="C1238" s="53"/>
      <c r="D1238" s="54"/>
      <c r="E1238" s="55"/>
      <c r="F1238" s="55"/>
      <c r="G1238" s="55"/>
      <c r="H1238" s="55"/>
      <c r="I1238" s="55"/>
      <c r="J1238" s="55"/>
      <c r="K1238" s="56"/>
      <c r="L1238" s="55"/>
      <c r="M1238" s="55"/>
      <c r="N1238" s="55"/>
      <c r="O1238" s="55"/>
      <c r="P1238" s="55"/>
      <c r="Q1238" s="55"/>
      <c r="R1238" s="57"/>
      <c r="S1238" s="58"/>
    </row>
    <row r="1239" spans="1:19" x14ac:dyDescent="0.25">
      <c r="A1239" s="51" t="str">
        <f>(COUNTIF($K$2:K1239,K1239))&amp;K1239</f>
        <v>1</v>
      </c>
      <c r="B1239" s="52"/>
      <c r="C1239" s="53"/>
      <c r="D1239" s="54"/>
      <c r="E1239" s="55"/>
      <c r="F1239" s="55"/>
      <c r="G1239" s="55"/>
      <c r="H1239" s="55"/>
      <c r="I1239" s="55"/>
      <c r="J1239" s="55"/>
      <c r="K1239" s="56"/>
      <c r="L1239" s="55"/>
      <c r="M1239" s="55"/>
      <c r="N1239" s="55"/>
      <c r="O1239" s="55"/>
      <c r="P1239" s="55"/>
      <c r="Q1239" s="55"/>
      <c r="R1239" s="57"/>
      <c r="S1239" s="58"/>
    </row>
    <row r="1240" spans="1:19" x14ac:dyDescent="0.25">
      <c r="A1240" s="51" t="str">
        <f>(COUNTIF($K$2:K1240,K1240))&amp;K1240</f>
        <v>1</v>
      </c>
      <c r="B1240" s="52"/>
      <c r="C1240" s="53"/>
      <c r="D1240" s="54"/>
      <c r="E1240" s="55"/>
      <c r="F1240" s="55"/>
      <c r="G1240" s="55"/>
      <c r="H1240" s="55"/>
      <c r="I1240" s="55"/>
      <c r="J1240" s="55"/>
      <c r="K1240" s="56"/>
      <c r="L1240" s="55"/>
      <c r="M1240" s="55"/>
      <c r="N1240" s="55"/>
      <c r="O1240" s="55"/>
      <c r="P1240" s="55"/>
      <c r="Q1240" s="55"/>
      <c r="R1240" s="57"/>
      <c r="S1240" s="58"/>
    </row>
    <row r="1241" spans="1:19" x14ac:dyDescent="0.25">
      <c r="A1241" s="51" t="str">
        <f>(COUNTIF($K$2:K1241,K1241))&amp;K1241</f>
        <v>1</v>
      </c>
      <c r="B1241" s="52"/>
      <c r="C1241" s="53"/>
      <c r="D1241" s="54"/>
      <c r="E1241" s="55"/>
      <c r="F1241" s="55"/>
      <c r="G1241" s="55"/>
      <c r="H1241" s="55"/>
      <c r="I1241" s="55"/>
      <c r="J1241" s="55"/>
      <c r="K1241" s="56"/>
      <c r="L1241" s="55"/>
      <c r="M1241" s="55"/>
      <c r="N1241" s="55"/>
      <c r="O1241" s="55"/>
      <c r="P1241" s="55"/>
      <c r="Q1241" s="55"/>
      <c r="R1241" s="57"/>
      <c r="S1241" s="58"/>
    </row>
    <row r="1242" spans="1:19" x14ac:dyDescent="0.25">
      <c r="A1242" s="51" t="str">
        <f>(COUNTIF($K$2:K1242,K1242))&amp;K1242</f>
        <v>1</v>
      </c>
      <c r="B1242" s="52"/>
      <c r="C1242" s="60"/>
      <c r="E1242" s="61"/>
      <c r="F1242" s="62"/>
      <c r="G1242" s="63"/>
      <c r="H1242" s="64"/>
      <c r="I1242" s="64"/>
      <c r="J1242" s="64"/>
      <c r="K1242" s="65"/>
      <c r="L1242" s="64"/>
      <c r="M1242" s="64"/>
      <c r="N1242" s="64"/>
      <c r="P1242" s="63"/>
      <c r="Q1242" s="61"/>
      <c r="R1242" s="64"/>
      <c r="S1242" s="64"/>
    </row>
    <row r="1243" spans="1:19" x14ac:dyDescent="0.25">
      <c r="A1243" s="51" t="str">
        <f>(COUNTIF($K$2:K1243,K1243))&amp;K1243</f>
        <v>1</v>
      </c>
      <c r="B1243" s="52"/>
      <c r="C1243" s="53"/>
      <c r="D1243" s="54"/>
      <c r="E1243" s="55"/>
      <c r="F1243" s="55"/>
      <c r="G1243" s="55"/>
      <c r="H1243" s="55"/>
      <c r="I1243" s="55"/>
      <c r="J1243" s="55"/>
      <c r="K1243" s="56"/>
      <c r="L1243" s="55"/>
      <c r="M1243" s="55"/>
      <c r="N1243" s="55"/>
      <c r="O1243" s="55"/>
      <c r="P1243" s="55"/>
      <c r="Q1243" s="55"/>
      <c r="R1243" s="57"/>
      <c r="S1243" s="58"/>
    </row>
    <row r="1244" spans="1:19" x14ac:dyDescent="0.25">
      <c r="A1244" s="51" t="str">
        <f>(COUNTIF($K$2:K1244,K1244))&amp;K1244</f>
        <v>1</v>
      </c>
      <c r="B1244" s="52"/>
      <c r="C1244" s="53"/>
      <c r="D1244" s="54"/>
      <c r="E1244" s="55"/>
      <c r="F1244" s="55"/>
      <c r="G1244" s="55"/>
      <c r="H1244" s="55"/>
      <c r="I1244" s="55"/>
      <c r="J1244" s="55"/>
      <c r="K1244" s="56"/>
      <c r="L1244" s="55"/>
      <c r="M1244" s="55"/>
      <c r="N1244" s="55"/>
      <c r="O1244" s="55"/>
      <c r="P1244" s="55"/>
      <c r="Q1244" s="55"/>
      <c r="R1244" s="57"/>
      <c r="S1244" s="58"/>
    </row>
    <row r="1245" spans="1:19" x14ac:dyDescent="0.25">
      <c r="A1245" s="51" t="str">
        <f>(COUNTIF($K$2:K1245,K1245))&amp;K1245</f>
        <v>1</v>
      </c>
      <c r="B1245" s="52"/>
      <c r="C1245" s="53"/>
      <c r="D1245" s="54"/>
      <c r="E1245" s="55"/>
      <c r="F1245" s="55"/>
      <c r="G1245" s="55"/>
      <c r="H1245" s="55"/>
      <c r="I1245" s="55"/>
      <c r="J1245" s="55"/>
      <c r="K1245" s="56"/>
      <c r="L1245" s="55"/>
      <c r="M1245" s="55"/>
      <c r="N1245" s="55"/>
      <c r="O1245" s="55"/>
      <c r="P1245" s="55"/>
      <c r="Q1245" s="55"/>
      <c r="R1245" s="57"/>
      <c r="S1245" s="58"/>
    </row>
    <row r="1246" spans="1:19" x14ac:dyDescent="0.25">
      <c r="A1246" s="51" t="str">
        <f>(COUNTIF($K$2:K1246,K1246))&amp;K1246</f>
        <v>1</v>
      </c>
      <c r="B1246" s="52"/>
      <c r="C1246" s="53"/>
      <c r="D1246" s="54"/>
      <c r="E1246" s="55"/>
      <c r="F1246" s="55"/>
      <c r="G1246" s="55"/>
      <c r="H1246" s="55"/>
      <c r="I1246" s="55"/>
      <c r="J1246" s="55"/>
      <c r="K1246" s="56"/>
      <c r="L1246" s="55"/>
      <c r="M1246" s="55"/>
      <c r="N1246" s="55"/>
      <c r="O1246" s="55"/>
      <c r="P1246" s="55"/>
      <c r="Q1246" s="55"/>
      <c r="R1246" s="57"/>
      <c r="S1246" s="58"/>
    </row>
    <row r="1247" spans="1:19" x14ac:dyDescent="0.25">
      <c r="A1247" s="51" t="str">
        <f>(COUNTIF($K$2:K1247,K1247))&amp;K1247</f>
        <v>1</v>
      </c>
      <c r="B1247" s="52"/>
      <c r="C1247" s="53"/>
      <c r="D1247" s="54"/>
      <c r="E1247" s="55"/>
      <c r="F1247" s="55"/>
      <c r="G1247" s="55"/>
      <c r="H1247" s="55"/>
      <c r="I1247" s="55"/>
      <c r="J1247" s="55"/>
      <c r="K1247" s="56"/>
      <c r="L1247" s="55"/>
      <c r="M1247" s="55"/>
      <c r="N1247" s="55"/>
      <c r="O1247" s="55"/>
      <c r="P1247" s="55"/>
      <c r="Q1247" s="55"/>
      <c r="R1247" s="57"/>
      <c r="S1247" s="58"/>
    </row>
    <row r="1248" spans="1:19" x14ac:dyDescent="0.25">
      <c r="A1248" s="51" t="str">
        <f>(COUNTIF($K$2:K1248,K1248))&amp;K1248</f>
        <v>1</v>
      </c>
      <c r="B1248" s="52"/>
      <c r="C1248" s="53"/>
      <c r="D1248" s="54"/>
      <c r="E1248" s="55"/>
      <c r="F1248" s="55"/>
      <c r="G1248" s="55"/>
      <c r="H1248" s="55"/>
      <c r="I1248" s="55"/>
      <c r="J1248" s="55"/>
      <c r="K1248" s="56"/>
      <c r="L1248" s="55"/>
      <c r="M1248" s="55"/>
      <c r="N1248" s="55"/>
      <c r="O1248" s="55"/>
      <c r="P1248" s="55"/>
      <c r="Q1248" s="55"/>
      <c r="R1248" s="57"/>
      <c r="S1248" s="58"/>
    </row>
    <row r="1249" spans="1:19" x14ac:dyDescent="0.25">
      <c r="A1249" s="51" t="str">
        <f>(COUNTIF($K$2:K1249,K1249))&amp;K1249</f>
        <v>1</v>
      </c>
      <c r="B1249" s="52"/>
      <c r="C1249" s="53"/>
      <c r="D1249" s="54"/>
      <c r="E1249" s="55"/>
      <c r="F1249" s="55"/>
      <c r="G1249" s="55"/>
      <c r="H1249" s="55"/>
      <c r="I1249" s="55"/>
      <c r="J1249" s="55"/>
      <c r="K1249" s="56"/>
      <c r="L1249" s="55"/>
      <c r="M1249" s="55"/>
      <c r="N1249" s="55"/>
      <c r="O1249" s="55"/>
      <c r="P1249" s="55"/>
      <c r="Q1249" s="55"/>
      <c r="R1249" s="57"/>
      <c r="S1249" s="58"/>
    </row>
    <row r="1250" spans="1:19" x14ac:dyDescent="0.25">
      <c r="A1250" s="51" t="str">
        <f>(COUNTIF($K$2:K1250,K1250))&amp;K1250</f>
        <v>1</v>
      </c>
      <c r="B1250" s="52"/>
      <c r="C1250" s="53"/>
      <c r="D1250" s="54"/>
      <c r="E1250" s="55"/>
      <c r="F1250" s="55"/>
      <c r="G1250" s="55"/>
      <c r="H1250" s="55"/>
      <c r="I1250" s="55"/>
      <c r="J1250" s="55"/>
      <c r="K1250" s="56"/>
      <c r="L1250" s="55"/>
      <c r="M1250" s="55"/>
      <c r="N1250" s="55"/>
      <c r="O1250" s="55"/>
      <c r="P1250" s="55"/>
      <c r="Q1250" s="55"/>
      <c r="R1250" s="57"/>
      <c r="S1250" s="58"/>
    </row>
    <row r="1251" spans="1:19" ht="15.75" x14ac:dyDescent="0.25">
      <c r="A1251" s="51" t="str">
        <f>(COUNTIF($K$2:K1251,K1251))&amp;K1251</f>
        <v>1</v>
      </c>
      <c r="B1251" s="52"/>
      <c r="C1251" s="53"/>
      <c r="D1251" s="54"/>
      <c r="E1251" s="55"/>
      <c r="F1251" s="55"/>
      <c r="G1251" s="55"/>
      <c r="H1251" s="55"/>
      <c r="I1251" s="55"/>
      <c r="J1251" s="55"/>
      <c r="K1251" s="59"/>
      <c r="L1251" s="55"/>
      <c r="M1251" s="55"/>
      <c r="N1251" s="55"/>
      <c r="O1251" s="55"/>
      <c r="P1251" s="55"/>
      <c r="Q1251" s="55"/>
      <c r="R1251" s="57"/>
      <c r="S1251" s="58"/>
    </row>
    <row r="1252" spans="1:19" x14ac:dyDescent="0.25">
      <c r="A1252" s="51" t="str">
        <f>(COUNTIF($K$2:K1252,K1252))&amp;K1252</f>
        <v>1</v>
      </c>
      <c r="B1252" s="52"/>
      <c r="C1252" s="53"/>
      <c r="D1252" s="54"/>
      <c r="E1252" s="55"/>
      <c r="F1252" s="55"/>
      <c r="G1252" s="55"/>
      <c r="H1252" s="55"/>
      <c r="I1252" s="55"/>
      <c r="J1252" s="55"/>
      <c r="K1252" s="56"/>
      <c r="L1252" s="55"/>
      <c r="M1252" s="55"/>
      <c r="N1252" s="55"/>
      <c r="O1252" s="55"/>
      <c r="P1252" s="55"/>
      <c r="Q1252" s="55"/>
      <c r="R1252" s="57"/>
      <c r="S1252" s="58"/>
    </row>
    <row r="1253" spans="1:19" x14ac:dyDescent="0.25">
      <c r="A1253" s="51" t="str">
        <f>(COUNTIF($K$2:K1253,K1253))&amp;K1253</f>
        <v>1</v>
      </c>
      <c r="B1253" s="52"/>
      <c r="C1253" s="53"/>
      <c r="D1253" s="54"/>
      <c r="E1253" s="55"/>
      <c r="F1253" s="55"/>
      <c r="G1253" s="55"/>
      <c r="H1253" s="55"/>
      <c r="I1253" s="55"/>
      <c r="J1253" s="55"/>
      <c r="K1253" s="56"/>
      <c r="L1253" s="55"/>
      <c r="M1253" s="55"/>
      <c r="N1253" s="55"/>
      <c r="O1253" s="55"/>
      <c r="P1253" s="55"/>
      <c r="Q1253" s="55"/>
      <c r="R1253" s="57"/>
      <c r="S1253" s="58"/>
    </row>
    <row r="1254" spans="1:19" x14ac:dyDescent="0.25">
      <c r="A1254" s="51" t="str">
        <f>(COUNTIF($K$2:K1254,K1254))&amp;K1254</f>
        <v>1</v>
      </c>
      <c r="B1254" s="52"/>
      <c r="C1254" s="53"/>
      <c r="D1254" s="54"/>
      <c r="E1254" s="55"/>
      <c r="F1254" s="55"/>
      <c r="G1254" s="55"/>
      <c r="H1254" s="55"/>
      <c r="I1254" s="55"/>
      <c r="J1254" s="55"/>
      <c r="K1254" s="56"/>
      <c r="L1254" s="55"/>
      <c r="M1254" s="55"/>
      <c r="N1254" s="55"/>
      <c r="O1254" s="55"/>
      <c r="P1254" s="55"/>
      <c r="Q1254" s="55"/>
      <c r="R1254" s="57"/>
      <c r="S1254" s="58"/>
    </row>
    <row r="1255" spans="1:19" x14ac:dyDescent="0.25">
      <c r="A1255" s="51" t="str">
        <f>(COUNTIF($K$2:K1255,K1255))&amp;K1255</f>
        <v>1</v>
      </c>
      <c r="B1255" s="52"/>
      <c r="C1255" s="53"/>
      <c r="D1255" s="54"/>
      <c r="E1255" s="55"/>
      <c r="F1255" s="55"/>
      <c r="G1255" s="55"/>
      <c r="H1255" s="55"/>
      <c r="I1255" s="55"/>
      <c r="J1255" s="55"/>
      <c r="K1255" s="56"/>
      <c r="L1255" s="55"/>
      <c r="M1255" s="55"/>
      <c r="N1255" s="55"/>
      <c r="O1255" s="55"/>
      <c r="P1255" s="55"/>
      <c r="Q1255" s="55"/>
      <c r="R1255" s="57"/>
      <c r="S1255" s="58"/>
    </row>
    <row r="1256" spans="1:19" x14ac:dyDescent="0.25">
      <c r="A1256" s="51" t="str">
        <f>(COUNTIF($K$2:K1256,K1256))&amp;K1256</f>
        <v>1</v>
      </c>
      <c r="B1256" s="52"/>
      <c r="C1256" s="53"/>
      <c r="D1256" s="54"/>
      <c r="E1256" s="55"/>
      <c r="F1256" s="55"/>
      <c r="G1256" s="55"/>
      <c r="H1256" s="55"/>
      <c r="I1256" s="55"/>
      <c r="J1256" s="55"/>
      <c r="K1256" s="56"/>
      <c r="L1256" s="55"/>
      <c r="M1256" s="55"/>
      <c r="N1256" s="55"/>
      <c r="O1256" s="55"/>
      <c r="P1256" s="55"/>
      <c r="Q1256" s="55"/>
      <c r="R1256" s="57"/>
      <c r="S1256" s="58"/>
    </row>
    <row r="1257" spans="1:19" x14ac:dyDescent="0.25">
      <c r="A1257" s="51" t="str">
        <f>(COUNTIF($K$2:K1257,K1257))&amp;K1257</f>
        <v>1</v>
      </c>
      <c r="B1257" s="52"/>
      <c r="C1257" s="53"/>
      <c r="D1257" s="54"/>
      <c r="E1257" s="55"/>
      <c r="F1257" s="55"/>
      <c r="G1257" s="55"/>
      <c r="H1257" s="55"/>
      <c r="I1257" s="55"/>
      <c r="J1257" s="55"/>
      <c r="K1257" s="56"/>
      <c r="L1257" s="55"/>
      <c r="M1257" s="55"/>
      <c r="N1257" s="55"/>
      <c r="O1257" s="55"/>
      <c r="P1257" s="55"/>
      <c r="Q1257" s="55"/>
      <c r="R1257" s="57"/>
      <c r="S1257" s="58"/>
    </row>
    <row r="1258" spans="1:19" x14ac:dyDescent="0.25">
      <c r="A1258" s="51" t="str">
        <f>(COUNTIF($K$2:K1258,K1258))&amp;K1258</f>
        <v>1</v>
      </c>
      <c r="B1258" s="52"/>
      <c r="C1258" s="53"/>
      <c r="D1258" s="54"/>
      <c r="E1258" s="55"/>
      <c r="F1258" s="55"/>
      <c r="G1258" s="55"/>
      <c r="H1258" s="55"/>
      <c r="I1258" s="55"/>
      <c r="J1258" s="55"/>
      <c r="K1258" s="56"/>
      <c r="L1258" s="55"/>
      <c r="M1258" s="55"/>
      <c r="N1258" s="55"/>
      <c r="O1258" s="55"/>
      <c r="P1258" s="55"/>
      <c r="Q1258" s="55"/>
      <c r="R1258" s="57"/>
      <c r="S1258" s="58"/>
    </row>
    <row r="1259" spans="1:19" x14ac:dyDescent="0.25">
      <c r="A1259" s="51" t="str">
        <f>(COUNTIF($K$2:K1259,K1259))&amp;K1259</f>
        <v>1</v>
      </c>
      <c r="B1259" s="52"/>
      <c r="C1259" s="60"/>
      <c r="E1259" s="61"/>
      <c r="F1259" s="62"/>
      <c r="G1259" s="63"/>
      <c r="H1259" s="64"/>
      <c r="I1259" s="64"/>
      <c r="J1259" s="64"/>
      <c r="K1259" s="65"/>
      <c r="L1259" s="64"/>
      <c r="M1259" s="64"/>
      <c r="N1259" s="64"/>
      <c r="P1259" s="63"/>
      <c r="Q1259" s="61"/>
      <c r="R1259" s="64"/>
      <c r="S1259" s="64"/>
    </row>
    <row r="1260" spans="1:19" x14ac:dyDescent="0.25">
      <c r="A1260" s="51" t="str">
        <f>(COUNTIF($K$2:K1260,K1260))&amp;K1260</f>
        <v>1</v>
      </c>
      <c r="B1260" s="52"/>
      <c r="C1260" s="53"/>
      <c r="D1260" s="54"/>
      <c r="E1260" s="55"/>
      <c r="F1260" s="55"/>
      <c r="G1260" s="55"/>
      <c r="H1260" s="55"/>
      <c r="I1260" s="55"/>
      <c r="J1260" s="55"/>
      <c r="K1260" s="56"/>
      <c r="L1260" s="55"/>
      <c r="M1260" s="55"/>
      <c r="N1260" s="55"/>
      <c r="O1260" s="55"/>
      <c r="P1260" s="55"/>
      <c r="Q1260" s="55"/>
      <c r="R1260" s="57"/>
      <c r="S1260" s="58"/>
    </row>
    <row r="1261" spans="1:19" x14ac:dyDescent="0.25">
      <c r="A1261" s="51" t="str">
        <f>(COUNTIF($K$2:K1261,K1261))&amp;K1261</f>
        <v>1</v>
      </c>
      <c r="B1261" s="52"/>
      <c r="C1261" s="53"/>
      <c r="D1261" s="54"/>
      <c r="E1261" s="55"/>
      <c r="F1261" s="55"/>
      <c r="G1261" s="55"/>
      <c r="H1261" s="55"/>
      <c r="I1261" s="55"/>
      <c r="J1261" s="55"/>
      <c r="K1261" s="56"/>
      <c r="L1261" s="55"/>
      <c r="M1261" s="55"/>
      <c r="N1261" s="55"/>
      <c r="O1261" s="55"/>
      <c r="P1261" s="55"/>
      <c r="Q1261" s="55"/>
      <c r="R1261" s="57"/>
      <c r="S1261" s="58"/>
    </row>
    <row r="1262" spans="1:19" x14ac:dyDescent="0.25">
      <c r="A1262" s="51" t="str">
        <f>(COUNTIF($K$2:K1262,K1262))&amp;K1262</f>
        <v>1</v>
      </c>
      <c r="B1262" s="52"/>
      <c r="C1262" s="53"/>
      <c r="D1262" s="54"/>
      <c r="E1262" s="55"/>
      <c r="F1262" s="55"/>
      <c r="G1262" s="55"/>
      <c r="H1262" s="55"/>
      <c r="I1262" s="55"/>
      <c r="J1262" s="55"/>
      <c r="K1262" s="56"/>
      <c r="L1262" s="55"/>
      <c r="M1262" s="55"/>
      <c r="N1262" s="55"/>
      <c r="O1262" s="55"/>
      <c r="P1262" s="55"/>
      <c r="Q1262" s="55"/>
      <c r="R1262" s="57"/>
      <c r="S1262" s="58"/>
    </row>
    <row r="1263" spans="1:19" x14ac:dyDescent="0.25">
      <c r="A1263" s="51" t="str">
        <f>(COUNTIF($K$2:K1263,K1263))&amp;K1263</f>
        <v>1</v>
      </c>
      <c r="B1263" s="52"/>
      <c r="C1263" s="53"/>
      <c r="D1263" s="54"/>
      <c r="E1263" s="55"/>
      <c r="F1263" s="55"/>
      <c r="G1263" s="55"/>
      <c r="H1263" s="55"/>
      <c r="I1263" s="55"/>
      <c r="J1263" s="55"/>
      <c r="K1263" s="56"/>
      <c r="L1263" s="55"/>
      <c r="M1263" s="55"/>
      <c r="N1263" s="55"/>
      <c r="O1263" s="55"/>
      <c r="P1263" s="55"/>
      <c r="Q1263" s="55"/>
      <c r="R1263" s="57"/>
      <c r="S1263" s="58"/>
    </row>
    <row r="1264" spans="1:19" x14ac:dyDescent="0.25">
      <c r="A1264" s="51" t="str">
        <f>(COUNTIF($K$2:K1264,K1264))&amp;K1264</f>
        <v>1</v>
      </c>
      <c r="B1264" s="52"/>
      <c r="C1264" s="53"/>
      <c r="D1264" s="54"/>
      <c r="E1264" s="55"/>
      <c r="F1264" s="55"/>
      <c r="G1264" s="55"/>
      <c r="H1264" s="55"/>
      <c r="I1264" s="55"/>
      <c r="J1264" s="55"/>
      <c r="K1264" s="56"/>
      <c r="L1264" s="55"/>
      <c r="M1264" s="55"/>
      <c r="N1264" s="55"/>
      <c r="O1264" s="55"/>
      <c r="P1264" s="55"/>
      <c r="Q1264" s="55"/>
      <c r="R1264" s="57"/>
      <c r="S1264" s="58"/>
    </row>
    <row r="1265" spans="1:19" x14ac:dyDescent="0.25">
      <c r="A1265" s="51" t="str">
        <f>(COUNTIF($K$2:K1265,K1265))&amp;K1265</f>
        <v>1</v>
      </c>
      <c r="B1265" s="52"/>
      <c r="C1265" s="53"/>
      <c r="D1265" s="54"/>
      <c r="E1265" s="55"/>
      <c r="F1265" s="55"/>
      <c r="G1265" s="55"/>
      <c r="H1265" s="55"/>
      <c r="I1265" s="55"/>
      <c r="J1265" s="55"/>
      <c r="K1265" s="56"/>
      <c r="L1265" s="55"/>
      <c r="M1265" s="55"/>
      <c r="N1265" s="55"/>
      <c r="O1265" s="55"/>
      <c r="P1265" s="55"/>
      <c r="Q1265" s="55"/>
      <c r="R1265" s="57"/>
      <c r="S1265" s="58"/>
    </row>
    <row r="1266" spans="1:19" x14ac:dyDescent="0.25">
      <c r="A1266" s="51" t="str">
        <f>(COUNTIF($K$2:K1266,K1266))&amp;K1266</f>
        <v>1</v>
      </c>
      <c r="B1266" s="52"/>
      <c r="C1266" s="53"/>
      <c r="D1266" s="54"/>
      <c r="E1266" s="55"/>
      <c r="F1266" s="55"/>
      <c r="G1266" s="55"/>
      <c r="H1266" s="55"/>
      <c r="I1266" s="55"/>
      <c r="J1266" s="55"/>
      <c r="K1266" s="56"/>
      <c r="L1266" s="55"/>
      <c r="M1266" s="55"/>
      <c r="N1266" s="55"/>
      <c r="O1266" s="55"/>
      <c r="P1266" s="55"/>
      <c r="Q1266" s="55"/>
      <c r="R1266" s="57"/>
      <c r="S1266" s="58"/>
    </row>
    <row r="1267" spans="1:19" x14ac:dyDescent="0.25">
      <c r="A1267" s="51" t="str">
        <f>(COUNTIF($K$2:K1267,K1267))&amp;K1267</f>
        <v>1</v>
      </c>
      <c r="B1267" s="52"/>
      <c r="C1267" s="53"/>
      <c r="D1267" s="54"/>
      <c r="E1267" s="55"/>
      <c r="F1267" s="55"/>
      <c r="G1267" s="55"/>
      <c r="H1267" s="55"/>
      <c r="I1267" s="55"/>
      <c r="J1267" s="55"/>
      <c r="K1267" s="56"/>
      <c r="L1267" s="55"/>
      <c r="M1267" s="55"/>
      <c r="N1267" s="55"/>
      <c r="O1267" s="55"/>
      <c r="P1267" s="55"/>
      <c r="Q1267" s="55"/>
      <c r="R1267" s="57"/>
      <c r="S1267" s="58"/>
    </row>
    <row r="1268" spans="1:19" ht="15.75" x14ac:dyDescent="0.25">
      <c r="A1268" s="51" t="str">
        <f>(COUNTIF($K$2:K1268,K1268))&amp;K1268</f>
        <v>1</v>
      </c>
      <c r="B1268" s="52"/>
      <c r="C1268" s="53"/>
      <c r="D1268" s="54"/>
      <c r="E1268" s="55"/>
      <c r="F1268" s="55"/>
      <c r="G1268" s="55"/>
      <c r="H1268" s="55"/>
      <c r="I1268" s="55"/>
      <c r="J1268" s="55"/>
      <c r="K1268" s="59"/>
      <c r="L1268" s="55"/>
      <c r="M1268" s="55"/>
      <c r="N1268" s="55"/>
      <c r="O1268" s="55"/>
      <c r="P1268" s="55"/>
      <c r="Q1268" s="55"/>
      <c r="R1268" s="57"/>
      <c r="S1268" s="58"/>
    </row>
    <row r="1269" spans="1:19" x14ac:dyDescent="0.25">
      <c r="A1269" s="51" t="str">
        <f>(COUNTIF($K$2:K1269,K1269))&amp;K1269</f>
        <v>1</v>
      </c>
      <c r="B1269" s="52"/>
      <c r="C1269" s="53"/>
      <c r="D1269" s="54"/>
      <c r="E1269" s="55"/>
      <c r="F1269" s="55"/>
      <c r="G1269" s="55"/>
      <c r="H1269" s="55"/>
      <c r="I1269" s="55"/>
      <c r="J1269" s="55"/>
      <c r="K1269" s="56"/>
      <c r="L1269" s="55"/>
      <c r="M1269" s="55"/>
      <c r="N1269" s="55"/>
      <c r="O1269" s="55"/>
      <c r="P1269" s="55"/>
      <c r="Q1269" s="55"/>
      <c r="R1269" s="57"/>
      <c r="S1269" s="58"/>
    </row>
    <row r="1270" spans="1:19" x14ac:dyDescent="0.25">
      <c r="A1270" s="51" t="str">
        <f>(COUNTIF($K$2:K1270,K1270))&amp;K1270</f>
        <v>1</v>
      </c>
      <c r="B1270" s="52"/>
      <c r="C1270" s="53"/>
      <c r="D1270" s="54"/>
      <c r="E1270" s="55"/>
      <c r="F1270" s="55"/>
      <c r="G1270" s="55"/>
      <c r="H1270" s="55"/>
      <c r="I1270" s="55"/>
      <c r="J1270" s="55"/>
      <c r="K1270" s="56"/>
      <c r="L1270" s="55"/>
      <c r="M1270" s="55"/>
      <c r="N1270" s="55"/>
      <c r="O1270" s="55"/>
      <c r="P1270" s="55"/>
      <c r="Q1270" s="55"/>
      <c r="R1270" s="57"/>
      <c r="S1270" s="58"/>
    </row>
    <row r="1271" spans="1:19" x14ac:dyDescent="0.25">
      <c r="A1271" s="51" t="str">
        <f>(COUNTIF($K$2:K1271,K1271))&amp;K1271</f>
        <v>1</v>
      </c>
      <c r="B1271" s="52"/>
      <c r="C1271" s="53"/>
      <c r="D1271" s="54"/>
      <c r="E1271" s="55"/>
      <c r="F1271" s="55"/>
      <c r="G1271" s="55"/>
      <c r="H1271" s="55"/>
      <c r="I1271" s="55"/>
      <c r="J1271" s="55"/>
      <c r="K1271" s="56"/>
      <c r="L1271" s="55"/>
      <c r="M1271" s="55"/>
      <c r="N1271" s="55"/>
      <c r="O1271" s="55"/>
      <c r="P1271" s="55"/>
      <c r="Q1271" s="55"/>
      <c r="R1271" s="57"/>
      <c r="S1271" s="58"/>
    </row>
    <row r="1272" spans="1:19" x14ac:dyDescent="0.25">
      <c r="A1272" s="51" t="str">
        <f>(COUNTIF($K$2:K1272,K1272))&amp;K1272</f>
        <v>1</v>
      </c>
      <c r="B1272" s="52"/>
      <c r="C1272" s="53"/>
      <c r="D1272" s="54"/>
      <c r="E1272" s="55"/>
      <c r="F1272" s="55"/>
      <c r="G1272" s="55"/>
      <c r="H1272" s="55"/>
      <c r="I1272" s="55"/>
      <c r="J1272" s="55"/>
      <c r="K1272" s="56"/>
      <c r="L1272" s="55"/>
      <c r="M1272" s="55"/>
      <c r="N1272" s="55"/>
      <c r="O1272" s="55"/>
      <c r="P1272" s="55"/>
      <c r="Q1272" s="55"/>
      <c r="R1272" s="57"/>
      <c r="S1272" s="58"/>
    </row>
    <row r="1273" spans="1:19" x14ac:dyDescent="0.25">
      <c r="A1273" s="51" t="str">
        <f>(COUNTIF($K$2:K1273,K1273))&amp;K1273</f>
        <v>1</v>
      </c>
      <c r="B1273" s="52"/>
      <c r="C1273" s="53"/>
      <c r="D1273" s="54"/>
      <c r="E1273" s="55"/>
      <c r="F1273" s="55"/>
      <c r="G1273" s="55"/>
      <c r="H1273" s="55"/>
      <c r="I1273" s="55"/>
      <c r="J1273" s="55"/>
      <c r="K1273" s="56"/>
      <c r="L1273" s="55"/>
      <c r="M1273" s="55"/>
      <c r="N1273" s="55"/>
      <c r="O1273" s="55"/>
      <c r="P1273" s="55"/>
      <c r="Q1273" s="55"/>
      <c r="R1273" s="57"/>
      <c r="S1273" s="58"/>
    </row>
    <row r="1274" spans="1:19" x14ac:dyDescent="0.25">
      <c r="A1274" s="51" t="str">
        <f>(COUNTIF($K$2:K1274,K1274))&amp;K1274</f>
        <v>1</v>
      </c>
      <c r="B1274" s="52"/>
      <c r="C1274" s="53"/>
      <c r="D1274" s="54"/>
      <c r="E1274" s="55"/>
      <c r="F1274" s="55"/>
      <c r="G1274" s="55"/>
      <c r="H1274" s="55"/>
      <c r="I1274" s="55"/>
      <c r="J1274" s="55"/>
      <c r="K1274" s="56"/>
      <c r="L1274" s="55"/>
      <c r="M1274" s="55"/>
      <c r="N1274" s="55"/>
      <c r="O1274" s="55"/>
      <c r="P1274" s="55"/>
      <c r="Q1274" s="55"/>
      <c r="R1274" s="57"/>
      <c r="S1274" s="58"/>
    </row>
    <row r="1275" spans="1:19" x14ac:dyDescent="0.25">
      <c r="A1275" s="51" t="str">
        <f>(COUNTIF($K$2:K1275,K1275))&amp;K1275</f>
        <v>1</v>
      </c>
      <c r="B1275" s="52"/>
      <c r="C1275" s="53"/>
      <c r="D1275" s="54"/>
      <c r="E1275" s="55"/>
      <c r="F1275" s="55"/>
      <c r="G1275" s="55"/>
      <c r="H1275" s="55"/>
      <c r="I1275" s="55"/>
      <c r="J1275" s="55"/>
      <c r="K1275" s="56"/>
      <c r="L1275" s="55"/>
      <c r="M1275" s="55"/>
      <c r="N1275" s="55"/>
      <c r="O1275" s="55"/>
      <c r="P1275" s="55"/>
      <c r="Q1275" s="55"/>
      <c r="R1275" s="57"/>
      <c r="S1275" s="58"/>
    </row>
    <row r="1276" spans="1:19" x14ac:dyDescent="0.25">
      <c r="A1276" s="51" t="str">
        <f>(COUNTIF($K$2:K1276,K1276))&amp;K1276</f>
        <v>1</v>
      </c>
      <c r="B1276" s="52"/>
      <c r="C1276" s="60"/>
      <c r="E1276" s="61"/>
      <c r="F1276" s="62"/>
      <c r="G1276" s="63"/>
      <c r="H1276" s="64"/>
      <c r="I1276" s="64"/>
      <c r="J1276" s="64"/>
      <c r="K1276" s="65"/>
      <c r="L1276" s="64"/>
      <c r="M1276" s="64"/>
      <c r="N1276" s="64"/>
      <c r="P1276" s="63"/>
      <c r="Q1276" s="61"/>
      <c r="R1276" s="64"/>
      <c r="S1276" s="64"/>
    </row>
    <row r="1277" spans="1:19" x14ac:dyDescent="0.25">
      <c r="A1277" s="51" t="str">
        <f>(COUNTIF($K$2:K1277,K1277))&amp;K1277</f>
        <v>1</v>
      </c>
      <c r="B1277" s="52"/>
      <c r="C1277" s="53"/>
      <c r="D1277" s="54"/>
      <c r="E1277" s="55"/>
      <c r="F1277" s="55"/>
      <c r="G1277" s="55"/>
      <c r="H1277" s="55"/>
      <c r="I1277" s="55"/>
      <c r="J1277" s="55"/>
      <c r="K1277" s="56"/>
      <c r="L1277" s="55"/>
      <c r="M1277" s="55"/>
      <c r="N1277" s="55"/>
      <c r="O1277" s="55"/>
      <c r="P1277" s="55"/>
      <c r="Q1277" s="55"/>
      <c r="R1277" s="57"/>
      <c r="S1277" s="58"/>
    </row>
    <row r="1278" spans="1:19" x14ac:dyDescent="0.25">
      <c r="A1278" s="51" t="str">
        <f>(COUNTIF($K$2:K1278,K1278))&amp;K1278</f>
        <v>1</v>
      </c>
      <c r="B1278" s="52"/>
      <c r="C1278" s="53"/>
      <c r="D1278" s="54"/>
      <c r="E1278" s="55"/>
      <c r="F1278" s="55"/>
      <c r="G1278" s="55"/>
      <c r="H1278" s="55"/>
      <c r="I1278" s="55"/>
      <c r="J1278" s="55"/>
      <c r="K1278" s="56"/>
      <c r="L1278" s="55"/>
      <c r="M1278" s="55"/>
      <c r="N1278" s="55"/>
      <c r="O1278" s="55"/>
      <c r="P1278" s="55"/>
      <c r="Q1278" s="55"/>
      <c r="R1278" s="57"/>
      <c r="S1278" s="58"/>
    </row>
    <row r="1279" spans="1:19" x14ac:dyDescent="0.25">
      <c r="A1279" s="51" t="str">
        <f>(COUNTIF($K$2:K1279,K1279))&amp;K1279</f>
        <v>1</v>
      </c>
      <c r="B1279" s="52"/>
      <c r="C1279" s="53"/>
      <c r="D1279" s="54"/>
      <c r="E1279" s="55"/>
      <c r="F1279" s="55"/>
      <c r="G1279" s="55"/>
      <c r="H1279" s="55"/>
      <c r="I1279" s="55"/>
      <c r="J1279" s="55"/>
      <c r="K1279" s="56"/>
      <c r="L1279" s="55"/>
      <c r="M1279" s="55"/>
      <c r="N1279" s="55"/>
      <c r="O1279" s="55"/>
      <c r="P1279" s="55"/>
      <c r="Q1279" s="55"/>
      <c r="R1279" s="57"/>
      <c r="S1279" s="58"/>
    </row>
    <row r="1280" spans="1:19" x14ac:dyDescent="0.25">
      <c r="A1280" s="51" t="str">
        <f>(COUNTIF($K$2:K1280,K1280))&amp;K1280</f>
        <v>1</v>
      </c>
      <c r="B1280" s="52"/>
      <c r="C1280" s="53"/>
      <c r="D1280" s="54"/>
      <c r="E1280" s="55"/>
      <c r="F1280" s="55"/>
      <c r="G1280" s="55"/>
      <c r="H1280" s="55"/>
      <c r="I1280" s="55"/>
      <c r="J1280" s="55"/>
      <c r="K1280" s="56"/>
      <c r="L1280" s="55"/>
      <c r="M1280" s="55"/>
      <c r="N1280" s="55"/>
      <c r="O1280" s="55"/>
      <c r="P1280" s="55"/>
      <c r="Q1280" s="55"/>
      <c r="R1280" s="57"/>
      <c r="S1280" s="58"/>
    </row>
    <row r="1281" spans="1:19" x14ac:dyDescent="0.25">
      <c r="A1281" s="51" t="str">
        <f>(COUNTIF($K$2:K1281,K1281))&amp;K1281</f>
        <v>1</v>
      </c>
      <c r="B1281" s="52"/>
      <c r="C1281" s="53"/>
      <c r="D1281" s="54"/>
      <c r="E1281" s="55"/>
      <c r="F1281" s="55"/>
      <c r="G1281" s="55"/>
      <c r="H1281" s="55"/>
      <c r="I1281" s="55"/>
      <c r="J1281" s="55"/>
      <c r="K1281" s="56"/>
      <c r="L1281" s="55"/>
      <c r="M1281" s="55"/>
      <c r="N1281" s="55"/>
      <c r="O1281" s="55"/>
      <c r="P1281" s="55"/>
      <c r="Q1281" s="55"/>
      <c r="R1281" s="57"/>
      <c r="S1281" s="58"/>
    </row>
    <row r="1282" spans="1:19" x14ac:dyDescent="0.25">
      <c r="A1282" s="51" t="str">
        <f>(COUNTIF($K$2:K1282,K1282))&amp;K1282</f>
        <v>1</v>
      </c>
      <c r="B1282" s="52"/>
      <c r="C1282" s="53"/>
      <c r="D1282" s="54"/>
      <c r="E1282" s="55"/>
      <c r="F1282" s="55"/>
      <c r="G1282" s="55"/>
      <c r="H1282" s="55"/>
      <c r="I1282" s="55"/>
      <c r="J1282" s="55"/>
      <c r="K1282" s="56"/>
      <c r="L1282" s="55"/>
      <c r="M1282" s="55"/>
      <c r="N1282" s="55"/>
      <c r="O1282" s="55"/>
      <c r="P1282" s="55"/>
      <c r="Q1282" s="55"/>
      <c r="R1282" s="57"/>
      <c r="S1282" s="58"/>
    </row>
    <row r="1283" spans="1:19" x14ac:dyDescent="0.25">
      <c r="A1283" s="51" t="str">
        <f>(COUNTIF($K$2:K1283,K1283))&amp;K1283</f>
        <v>1</v>
      </c>
      <c r="B1283" s="52"/>
      <c r="C1283" s="53"/>
      <c r="D1283" s="54"/>
      <c r="E1283" s="55"/>
      <c r="F1283" s="55"/>
      <c r="G1283" s="55"/>
      <c r="H1283" s="55"/>
      <c r="I1283" s="55"/>
      <c r="J1283" s="55"/>
      <c r="K1283" s="56"/>
      <c r="L1283" s="55"/>
      <c r="M1283" s="55"/>
      <c r="N1283" s="55"/>
      <c r="O1283" s="55"/>
      <c r="P1283" s="55"/>
      <c r="Q1283" s="55"/>
      <c r="R1283" s="57"/>
      <c r="S1283" s="58"/>
    </row>
    <row r="1284" spans="1:19" x14ac:dyDescent="0.25">
      <c r="A1284" s="51" t="str">
        <f>(COUNTIF($K$2:K1284,K1284))&amp;K1284</f>
        <v>1</v>
      </c>
      <c r="B1284" s="52"/>
      <c r="C1284" s="53"/>
      <c r="D1284" s="54"/>
      <c r="E1284" s="55"/>
      <c r="F1284" s="55"/>
      <c r="G1284" s="55"/>
      <c r="H1284" s="55"/>
      <c r="I1284" s="55"/>
      <c r="J1284" s="55"/>
      <c r="K1284" s="56"/>
      <c r="L1284" s="55"/>
      <c r="M1284" s="55"/>
      <c r="N1284" s="55"/>
      <c r="O1284" s="55"/>
      <c r="P1284" s="55"/>
      <c r="Q1284" s="55"/>
      <c r="R1284" s="57"/>
      <c r="S1284" s="58"/>
    </row>
    <row r="1285" spans="1:19" ht="15.75" x14ac:dyDescent="0.25">
      <c r="A1285" s="51" t="str">
        <f>(COUNTIF($K$2:K1285,K1285))&amp;K1285</f>
        <v>1</v>
      </c>
      <c r="B1285" s="52"/>
      <c r="C1285" s="53"/>
      <c r="D1285" s="54"/>
      <c r="E1285" s="55"/>
      <c r="F1285" s="55"/>
      <c r="G1285" s="55"/>
      <c r="H1285" s="55"/>
      <c r="I1285" s="55"/>
      <c r="J1285" s="55"/>
      <c r="K1285" s="59"/>
      <c r="L1285" s="55"/>
      <c r="M1285" s="55"/>
      <c r="N1285" s="55"/>
      <c r="O1285" s="55"/>
      <c r="P1285" s="55"/>
      <c r="Q1285" s="55"/>
      <c r="R1285" s="57"/>
      <c r="S1285" s="58"/>
    </row>
    <row r="1286" spans="1:19" x14ac:dyDescent="0.25">
      <c r="A1286" s="51" t="str">
        <f>(COUNTIF($K$2:K1286,K1286))&amp;K1286</f>
        <v>1</v>
      </c>
      <c r="B1286" s="52"/>
      <c r="C1286" s="53"/>
      <c r="D1286" s="54"/>
      <c r="E1286" s="55"/>
      <c r="F1286" s="55"/>
      <c r="G1286" s="55"/>
      <c r="H1286" s="55"/>
      <c r="I1286" s="55"/>
      <c r="J1286" s="55"/>
      <c r="K1286" s="56"/>
      <c r="L1286" s="55"/>
      <c r="M1286" s="55"/>
      <c r="N1286" s="55"/>
      <c r="O1286" s="55"/>
      <c r="P1286" s="55"/>
      <c r="Q1286" s="55"/>
      <c r="R1286" s="57"/>
      <c r="S1286" s="58"/>
    </row>
    <row r="1287" spans="1:19" x14ac:dyDescent="0.25">
      <c r="A1287" s="51" t="str">
        <f>(COUNTIF($K$2:K1287,K1287))&amp;K1287</f>
        <v>1</v>
      </c>
      <c r="B1287" s="52"/>
      <c r="C1287" s="53"/>
      <c r="D1287" s="54"/>
      <c r="E1287" s="55"/>
      <c r="F1287" s="55"/>
      <c r="G1287" s="55"/>
      <c r="H1287" s="55"/>
      <c r="I1287" s="55"/>
      <c r="J1287" s="55"/>
      <c r="K1287" s="56"/>
      <c r="L1287" s="55"/>
      <c r="M1287" s="55"/>
      <c r="N1287" s="55"/>
      <c r="O1287" s="55"/>
      <c r="P1287" s="55"/>
      <c r="Q1287" s="55"/>
      <c r="R1287" s="57"/>
      <c r="S1287" s="58"/>
    </row>
    <row r="1288" spans="1:19" x14ac:dyDescent="0.25">
      <c r="A1288" s="51" t="str">
        <f>(COUNTIF($K$2:K1288,K1288))&amp;K1288</f>
        <v>1</v>
      </c>
      <c r="B1288" s="52"/>
      <c r="C1288" s="53"/>
      <c r="D1288" s="54"/>
      <c r="E1288" s="55"/>
      <c r="F1288" s="55"/>
      <c r="G1288" s="55"/>
      <c r="H1288" s="55"/>
      <c r="I1288" s="55"/>
      <c r="J1288" s="55"/>
      <c r="K1288" s="56"/>
      <c r="L1288" s="55"/>
      <c r="M1288" s="55"/>
      <c r="N1288" s="55"/>
      <c r="O1288" s="55"/>
      <c r="P1288" s="55"/>
      <c r="Q1288" s="55"/>
      <c r="R1288" s="57"/>
      <c r="S1288" s="58"/>
    </row>
    <row r="1289" spans="1:19" x14ac:dyDescent="0.25">
      <c r="A1289" s="51" t="str">
        <f>(COUNTIF($K$2:K1289,K1289))&amp;K1289</f>
        <v>1</v>
      </c>
      <c r="B1289" s="52"/>
      <c r="C1289" s="53"/>
      <c r="D1289" s="54"/>
      <c r="E1289" s="55"/>
      <c r="F1289" s="55"/>
      <c r="G1289" s="55"/>
      <c r="H1289" s="55"/>
      <c r="I1289" s="55"/>
      <c r="J1289" s="55"/>
      <c r="K1289" s="56"/>
      <c r="L1289" s="55"/>
      <c r="M1289" s="55"/>
      <c r="N1289" s="55"/>
      <c r="O1289" s="55"/>
      <c r="P1289" s="55"/>
      <c r="Q1289" s="55"/>
      <c r="R1289" s="57"/>
      <c r="S1289" s="58"/>
    </row>
    <row r="1290" spans="1:19" x14ac:dyDescent="0.25">
      <c r="A1290" s="51" t="str">
        <f>(COUNTIF($K$2:K1290,K1290))&amp;K1290</f>
        <v>1</v>
      </c>
      <c r="B1290" s="52"/>
      <c r="C1290" s="53"/>
      <c r="D1290" s="54"/>
      <c r="E1290" s="55"/>
      <c r="F1290" s="55"/>
      <c r="G1290" s="55"/>
      <c r="H1290" s="55"/>
      <c r="I1290" s="55"/>
      <c r="J1290" s="55"/>
      <c r="K1290" s="56"/>
      <c r="L1290" s="55"/>
      <c r="M1290" s="55"/>
      <c r="N1290" s="55"/>
      <c r="O1290" s="55"/>
      <c r="P1290" s="55"/>
      <c r="Q1290" s="55"/>
      <c r="R1290" s="57"/>
      <c r="S1290" s="58"/>
    </row>
    <row r="1291" spans="1:19" x14ac:dyDescent="0.25">
      <c r="A1291" s="51" t="str">
        <f>(COUNTIF($K$2:K1291,K1291))&amp;K1291</f>
        <v>1</v>
      </c>
      <c r="B1291" s="52"/>
      <c r="C1291" s="53"/>
      <c r="D1291" s="54"/>
      <c r="E1291" s="55"/>
      <c r="F1291" s="55"/>
      <c r="G1291" s="55"/>
      <c r="H1291" s="55"/>
      <c r="I1291" s="55"/>
      <c r="J1291" s="55"/>
      <c r="K1291" s="56"/>
      <c r="L1291" s="55"/>
      <c r="M1291" s="55"/>
      <c r="N1291" s="55"/>
      <c r="O1291" s="55"/>
      <c r="P1291" s="55"/>
      <c r="Q1291" s="55"/>
      <c r="R1291" s="57"/>
      <c r="S1291" s="58"/>
    </row>
    <row r="1292" spans="1:19" x14ac:dyDescent="0.25">
      <c r="A1292" s="51" t="str">
        <f>(COUNTIF($K$2:K1292,K1292))&amp;K1292</f>
        <v>1</v>
      </c>
      <c r="B1292" s="52"/>
      <c r="C1292" s="53"/>
      <c r="D1292" s="54"/>
      <c r="E1292" s="55"/>
      <c r="F1292" s="55"/>
      <c r="G1292" s="55"/>
      <c r="H1292" s="55"/>
      <c r="I1292" s="55"/>
      <c r="J1292" s="55"/>
      <c r="K1292" s="56"/>
      <c r="L1292" s="55"/>
      <c r="M1292" s="55"/>
      <c r="N1292" s="55"/>
      <c r="O1292" s="55"/>
      <c r="P1292" s="55"/>
      <c r="Q1292" s="55"/>
      <c r="R1292" s="57"/>
      <c r="S1292" s="58"/>
    </row>
    <row r="1293" spans="1:19" x14ac:dyDescent="0.25">
      <c r="A1293" s="51" t="str">
        <f>(COUNTIF($K$2:K1293,K1293))&amp;K1293</f>
        <v>1</v>
      </c>
      <c r="B1293" s="52"/>
      <c r="C1293" s="60"/>
      <c r="E1293" s="61"/>
      <c r="F1293" s="62"/>
      <c r="G1293" s="63"/>
      <c r="H1293" s="64"/>
      <c r="I1293" s="64"/>
      <c r="J1293" s="64"/>
      <c r="K1293" s="65"/>
      <c r="L1293" s="64"/>
      <c r="M1293" s="64"/>
      <c r="N1293" s="64"/>
      <c r="P1293" s="63"/>
      <c r="Q1293" s="61"/>
      <c r="R1293" s="64"/>
      <c r="S1293" s="64"/>
    </row>
    <row r="1294" spans="1:19" x14ac:dyDescent="0.25">
      <c r="A1294" s="51" t="str">
        <f>(COUNTIF($K$2:K1294,K1294))&amp;K1294</f>
        <v>1</v>
      </c>
      <c r="B1294" s="52"/>
      <c r="C1294" s="53"/>
      <c r="D1294" s="54"/>
      <c r="E1294" s="55"/>
      <c r="F1294" s="55"/>
      <c r="G1294" s="55"/>
      <c r="H1294" s="55"/>
      <c r="I1294" s="55"/>
      <c r="J1294" s="55"/>
      <c r="K1294" s="56"/>
      <c r="L1294" s="55"/>
      <c r="M1294" s="55"/>
      <c r="N1294" s="55"/>
      <c r="O1294" s="55"/>
      <c r="P1294" s="55"/>
      <c r="Q1294" s="55"/>
      <c r="R1294" s="57"/>
      <c r="S1294" s="58"/>
    </row>
    <row r="1295" spans="1:19" x14ac:dyDescent="0.25">
      <c r="A1295" s="51" t="str">
        <f>(COUNTIF($K$2:K1295,K1295))&amp;K1295</f>
        <v>1</v>
      </c>
      <c r="B1295" s="52"/>
      <c r="C1295" s="53"/>
      <c r="D1295" s="54"/>
      <c r="E1295" s="55"/>
      <c r="F1295" s="55"/>
      <c r="G1295" s="55"/>
      <c r="H1295" s="55"/>
      <c r="I1295" s="55"/>
      <c r="J1295" s="55"/>
      <c r="K1295" s="56"/>
      <c r="L1295" s="55"/>
      <c r="M1295" s="55"/>
      <c r="N1295" s="55"/>
      <c r="O1295" s="55"/>
      <c r="P1295" s="55"/>
      <c r="Q1295" s="55"/>
      <c r="R1295" s="57"/>
      <c r="S1295" s="58"/>
    </row>
    <row r="1296" spans="1:19" x14ac:dyDescent="0.25">
      <c r="A1296" s="51" t="str">
        <f>(COUNTIF($K$2:K1296,K1296))&amp;K1296</f>
        <v>1</v>
      </c>
      <c r="B1296" s="52"/>
      <c r="C1296" s="53"/>
      <c r="D1296" s="54"/>
      <c r="E1296" s="55"/>
      <c r="F1296" s="55"/>
      <c r="G1296" s="55"/>
      <c r="H1296" s="55"/>
      <c r="I1296" s="55"/>
      <c r="J1296" s="55"/>
      <c r="K1296" s="56"/>
      <c r="L1296" s="55"/>
      <c r="M1296" s="55"/>
      <c r="N1296" s="55"/>
      <c r="O1296" s="55"/>
      <c r="P1296" s="55"/>
      <c r="Q1296" s="55"/>
      <c r="R1296" s="57"/>
      <c r="S1296" s="58"/>
    </row>
    <row r="1297" spans="1:19" x14ac:dyDescent="0.25">
      <c r="A1297" s="51" t="str">
        <f>(COUNTIF($K$2:K1297,K1297))&amp;K1297</f>
        <v>1</v>
      </c>
      <c r="B1297" s="52"/>
      <c r="C1297" s="53"/>
      <c r="D1297" s="54"/>
      <c r="E1297" s="55"/>
      <c r="F1297" s="55"/>
      <c r="G1297" s="55"/>
      <c r="H1297" s="55"/>
      <c r="I1297" s="55"/>
      <c r="J1297" s="55"/>
      <c r="K1297" s="56"/>
      <c r="L1297" s="55"/>
      <c r="M1297" s="55"/>
      <c r="N1297" s="55"/>
      <c r="O1297" s="55"/>
      <c r="P1297" s="55"/>
      <c r="Q1297" s="55"/>
      <c r="R1297" s="57"/>
      <c r="S1297" s="58"/>
    </row>
    <row r="1298" spans="1:19" x14ac:dyDescent="0.25">
      <c r="A1298" s="51" t="str">
        <f>(COUNTIF($K$2:K1298,K1298))&amp;K1298</f>
        <v>1</v>
      </c>
      <c r="B1298" s="52"/>
      <c r="C1298" s="53"/>
      <c r="D1298" s="54"/>
      <c r="E1298" s="55"/>
      <c r="F1298" s="55"/>
      <c r="G1298" s="55"/>
      <c r="H1298" s="55"/>
      <c r="I1298" s="55"/>
      <c r="J1298" s="55"/>
      <c r="K1298" s="56"/>
      <c r="L1298" s="55"/>
      <c r="M1298" s="55"/>
      <c r="N1298" s="55"/>
      <c r="O1298" s="55"/>
      <c r="P1298" s="55"/>
      <c r="Q1298" s="55"/>
      <c r="R1298" s="57"/>
      <c r="S1298" s="58"/>
    </row>
    <row r="1299" spans="1:19" x14ac:dyDescent="0.25">
      <c r="A1299" s="51" t="str">
        <f>(COUNTIF($K$2:K1299,K1299))&amp;K1299</f>
        <v>1</v>
      </c>
      <c r="B1299" s="52"/>
      <c r="C1299" s="53"/>
      <c r="D1299" s="54"/>
      <c r="E1299" s="55"/>
      <c r="F1299" s="55"/>
      <c r="G1299" s="55"/>
      <c r="H1299" s="55"/>
      <c r="I1299" s="55"/>
      <c r="J1299" s="55"/>
      <c r="K1299" s="56"/>
      <c r="L1299" s="55"/>
      <c r="M1299" s="55"/>
      <c r="N1299" s="55"/>
      <c r="O1299" s="55"/>
      <c r="P1299" s="55"/>
      <c r="Q1299" s="55"/>
      <c r="R1299" s="57"/>
      <c r="S1299" s="58"/>
    </row>
    <row r="1300" spans="1:19" x14ac:dyDescent="0.25">
      <c r="A1300" s="51" t="str">
        <f>(COUNTIF($K$2:K1300,K1300))&amp;K1300</f>
        <v>1</v>
      </c>
      <c r="B1300" s="52"/>
      <c r="C1300" s="53"/>
      <c r="D1300" s="54"/>
      <c r="E1300" s="55"/>
      <c r="F1300" s="55"/>
      <c r="G1300" s="55"/>
      <c r="H1300" s="55"/>
      <c r="I1300" s="55"/>
      <c r="J1300" s="55"/>
      <c r="K1300" s="56"/>
      <c r="L1300" s="55"/>
      <c r="M1300" s="55"/>
      <c r="N1300" s="55"/>
      <c r="O1300" s="55"/>
      <c r="P1300" s="55"/>
      <c r="Q1300" s="55"/>
      <c r="R1300" s="57"/>
      <c r="S1300" s="58"/>
    </row>
    <row r="1301" spans="1:19" x14ac:dyDescent="0.25">
      <c r="A1301" s="51" t="str">
        <f>(COUNTIF($K$2:K1301,K1301))&amp;K1301</f>
        <v>1</v>
      </c>
      <c r="B1301" s="52"/>
      <c r="C1301" s="53"/>
      <c r="D1301" s="54"/>
      <c r="E1301" s="55"/>
      <c r="F1301" s="55"/>
      <c r="G1301" s="55"/>
      <c r="H1301" s="55"/>
      <c r="I1301" s="55"/>
      <c r="J1301" s="55"/>
      <c r="K1301" s="56"/>
      <c r="L1301" s="55"/>
      <c r="M1301" s="55"/>
      <c r="N1301" s="55"/>
      <c r="O1301" s="55"/>
      <c r="P1301" s="55"/>
      <c r="Q1301" s="55"/>
      <c r="R1301" s="57"/>
      <c r="S1301" s="58"/>
    </row>
    <row r="1302" spans="1:19" ht="15.75" x14ac:dyDescent="0.25">
      <c r="A1302" s="51" t="str">
        <f>(COUNTIF($K$2:K1302,K1302))&amp;K1302</f>
        <v>1</v>
      </c>
      <c r="B1302" s="52"/>
      <c r="C1302" s="53"/>
      <c r="D1302" s="54"/>
      <c r="E1302" s="55"/>
      <c r="F1302" s="55"/>
      <c r="G1302" s="55"/>
      <c r="H1302" s="55"/>
      <c r="I1302" s="55"/>
      <c r="J1302" s="55"/>
      <c r="K1302" s="59"/>
      <c r="L1302" s="55"/>
      <c r="M1302" s="55"/>
      <c r="N1302" s="55"/>
      <c r="O1302" s="55"/>
      <c r="P1302" s="55"/>
      <c r="Q1302" s="55"/>
      <c r="R1302" s="57"/>
      <c r="S1302" s="58"/>
    </row>
    <row r="1303" spans="1:19" x14ac:dyDescent="0.25">
      <c r="A1303" s="51" t="str">
        <f>(COUNTIF($K$2:K1303,K1303))&amp;K1303</f>
        <v>1</v>
      </c>
      <c r="B1303" s="52"/>
      <c r="C1303" s="53"/>
      <c r="D1303" s="54"/>
      <c r="E1303" s="55"/>
      <c r="F1303" s="55"/>
      <c r="G1303" s="55"/>
      <c r="H1303" s="55"/>
      <c r="I1303" s="55"/>
      <c r="J1303" s="55"/>
      <c r="K1303" s="56"/>
      <c r="L1303" s="55"/>
      <c r="M1303" s="55"/>
      <c r="N1303" s="55"/>
      <c r="O1303" s="55"/>
      <c r="P1303" s="55"/>
      <c r="Q1303" s="55"/>
      <c r="R1303" s="57"/>
      <c r="S1303" s="58"/>
    </row>
    <row r="1304" spans="1:19" x14ac:dyDescent="0.25">
      <c r="A1304" s="51" t="str">
        <f>(COUNTIF($K$2:K1304,K1304))&amp;K1304</f>
        <v>1</v>
      </c>
      <c r="B1304" s="52"/>
      <c r="C1304" s="53"/>
      <c r="D1304" s="54"/>
      <c r="E1304" s="55"/>
      <c r="F1304" s="55"/>
      <c r="G1304" s="55"/>
      <c r="H1304" s="55"/>
      <c r="I1304" s="55"/>
      <c r="J1304" s="55"/>
      <c r="K1304" s="56"/>
      <c r="L1304" s="55"/>
      <c r="M1304" s="55"/>
      <c r="N1304" s="55"/>
      <c r="O1304" s="55"/>
      <c r="P1304" s="55"/>
      <c r="Q1304" s="55"/>
      <c r="R1304" s="57"/>
      <c r="S1304" s="58"/>
    </row>
    <row r="1305" spans="1:19" x14ac:dyDescent="0.25">
      <c r="A1305" s="51" t="str">
        <f>(COUNTIF($K$2:K1305,K1305))&amp;K1305</f>
        <v>1</v>
      </c>
      <c r="B1305" s="52"/>
      <c r="C1305" s="53"/>
      <c r="D1305" s="54"/>
      <c r="E1305" s="55"/>
      <c r="F1305" s="55"/>
      <c r="G1305" s="55"/>
      <c r="H1305" s="55"/>
      <c r="I1305" s="55"/>
      <c r="J1305" s="55"/>
      <c r="K1305" s="56"/>
      <c r="L1305" s="55"/>
      <c r="M1305" s="55"/>
      <c r="N1305" s="55"/>
      <c r="O1305" s="55"/>
      <c r="P1305" s="55"/>
      <c r="Q1305" s="55"/>
      <c r="R1305" s="57"/>
      <c r="S1305" s="58"/>
    </row>
    <row r="1306" spans="1:19" x14ac:dyDescent="0.25">
      <c r="A1306" s="51" t="str">
        <f>(COUNTIF($K$2:K1306,K1306))&amp;K1306</f>
        <v>1</v>
      </c>
      <c r="B1306" s="52"/>
      <c r="C1306" s="53"/>
      <c r="D1306" s="54"/>
      <c r="E1306" s="55"/>
      <c r="F1306" s="55"/>
      <c r="G1306" s="55"/>
      <c r="H1306" s="55"/>
      <c r="I1306" s="55"/>
      <c r="J1306" s="55"/>
      <c r="K1306" s="56"/>
      <c r="L1306" s="55"/>
      <c r="M1306" s="55"/>
      <c r="N1306" s="55"/>
      <c r="O1306" s="55"/>
      <c r="P1306" s="55"/>
      <c r="Q1306" s="55"/>
      <c r="R1306" s="57"/>
      <c r="S1306" s="58"/>
    </row>
    <row r="1307" spans="1:19" x14ac:dyDescent="0.25">
      <c r="A1307" s="51" t="str">
        <f>(COUNTIF($K$2:K1307,K1307))&amp;K1307</f>
        <v>1</v>
      </c>
      <c r="B1307" s="52"/>
      <c r="C1307" s="53"/>
      <c r="D1307" s="54"/>
      <c r="E1307" s="55"/>
      <c r="F1307" s="55"/>
      <c r="G1307" s="55"/>
      <c r="H1307" s="55"/>
      <c r="I1307" s="55"/>
      <c r="J1307" s="55"/>
      <c r="K1307" s="56"/>
      <c r="L1307" s="55"/>
      <c r="M1307" s="55"/>
      <c r="N1307" s="55"/>
      <c r="O1307" s="55"/>
      <c r="P1307" s="55"/>
      <c r="Q1307" s="55"/>
      <c r="R1307" s="57"/>
      <c r="S1307" s="58"/>
    </row>
    <row r="1308" spans="1:19" x14ac:dyDescent="0.25">
      <c r="A1308" s="51" t="str">
        <f>(COUNTIF($K$2:K1308,K1308))&amp;K1308</f>
        <v>1</v>
      </c>
      <c r="B1308" s="52"/>
      <c r="C1308" s="53"/>
      <c r="D1308" s="54"/>
      <c r="E1308" s="55"/>
      <c r="F1308" s="55"/>
      <c r="G1308" s="55"/>
      <c r="H1308" s="55"/>
      <c r="I1308" s="55"/>
      <c r="J1308" s="55"/>
      <c r="K1308" s="56"/>
      <c r="L1308" s="55"/>
      <c r="M1308" s="55"/>
      <c r="N1308" s="55"/>
      <c r="O1308" s="55"/>
      <c r="P1308" s="55"/>
      <c r="Q1308" s="55"/>
      <c r="R1308" s="57"/>
      <c r="S1308" s="58"/>
    </row>
    <row r="1309" spans="1:19" x14ac:dyDescent="0.25">
      <c r="A1309" s="51" t="str">
        <f>(COUNTIF($K$2:K1309,K1309))&amp;K1309</f>
        <v>1</v>
      </c>
      <c r="B1309" s="52"/>
      <c r="C1309" s="53"/>
      <c r="D1309" s="54"/>
      <c r="E1309" s="55"/>
      <c r="F1309" s="55"/>
      <c r="G1309" s="55"/>
      <c r="H1309" s="55"/>
      <c r="I1309" s="55"/>
      <c r="J1309" s="55"/>
      <c r="K1309" s="56"/>
      <c r="L1309" s="55"/>
      <c r="M1309" s="55"/>
      <c r="N1309" s="55"/>
      <c r="O1309" s="55"/>
      <c r="P1309" s="55"/>
      <c r="Q1309" s="55"/>
      <c r="R1309" s="57"/>
      <c r="S1309" s="58"/>
    </row>
    <row r="1310" spans="1:19" x14ac:dyDescent="0.25">
      <c r="A1310" s="51" t="str">
        <f>(COUNTIF($K$2:K1310,K1310))&amp;K1310</f>
        <v>1</v>
      </c>
      <c r="B1310" s="52"/>
      <c r="C1310" s="60"/>
      <c r="E1310" s="61"/>
      <c r="F1310" s="62"/>
      <c r="G1310" s="63"/>
      <c r="H1310" s="64"/>
      <c r="I1310" s="64"/>
      <c r="J1310" s="64"/>
      <c r="K1310" s="65"/>
      <c r="L1310" s="64"/>
      <c r="M1310" s="64"/>
      <c r="N1310" s="64"/>
      <c r="P1310" s="63"/>
      <c r="Q1310" s="61"/>
      <c r="R1310" s="64"/>
      <c r="S1310" s="64"/>
    </row>
    <row r="1311" spans="1:19" x14ac:dyDescent="0.25">
      <c r="A1311" s="51" t="str">
        <f>(COUNTIF($K$2:K1311,K1311))&amp;K1311</f>
        <v>1</v>
      </c>
      <c r="B1311" s="52"/>
      <c r="C1311" s="53"/>
      <c r="D1311" s="54"/>
      <c r="E1311" s="55"/>
      <c r="F1311" s="55"/>
      <c r="G1311" s="55"/>
      <c r="H1311" s="55"/>
      <c r="I1311" s="55"/>
      <c r="J1311" s="55"/>
      <c r="K1311" s="56"/>
      <c r="L1311" s="55"/>
      <c r="M1311" s="55"/>
      <c r="N1311" s="55"/>
      <c r="O1311" s="55"/>
      <c r="P1311" s="55"/>
      <c r="Q1311" s="55"/>
      <c r="R1311" s="57"/>
      <c r="S1311" s="58"/>
    </row>
    <row r="1312" spans="1:19" x14ac:dyDescent="0.25">
      <c r="A1312" s="51" t="str">
        <f>(COUNTIF($K$2:K1312,K1312))&amp;K1312</f>
        <v>1</v>
      </c>
      <c r="B1312" s="52"/>
      <c r="C1312" s="53"/>
      <c r="D1312" s="54"/>
      <c r="E1312" s="55"/>
      <c r="F1312" s="55"/>
      <c r="G1312" s="55"/>
      <c r="H1312" s="55"/>
      <c r="I1312" s="55"/>
      <c r="J1312" s="55"/>
      <c r="K1312" s="56"/>
      <c r="L1312" s="55"/>
      <c r="M1312" s="55"/>
      <c r="N1312" s="55"/>
      <c r="O1312" s="55"/>
      <c r="P1312" s="55"/>
      <c r="Q1312" s="55"/>
      <c r="R1312" s="57"/>
      <c r="S1312" s="58"/>
    </row>
    <row r="1313" spans="1:19" x14ac:dyDescent="0.25">
      <c r="A1313" s="51" t="str">
        <f>(COUNTIF($K$2:K1313,K1313))&amp;K1313</f>
        <v>1</v>
      </c>
      <c r="B1313" s="52"/>
      <c r="C1313" s="53"/>
      <c r="D1313" s="54"/>
      <c r="E1313" s="55"/>
      <c r="F1313" s="55"/>
      <c r="G1313" s="55"/>
      <c r="H1313" s="55"/>
      <c r="I1313" s="55"/>
      <c r="J1313" s="55"/>
      <c r="K1313" s="56"/>
      <c r="L1313" s="55"/>
      <c r="M1313" s="55"/>
      <c r="N1313" s="55"/>
      <c r="O1313" s="55"/>
      <c r="P1313" s="55"/>
      <c r="Q1313" s="55"/>
      <c r="R1313" s="57"/>
      <c r="S1313" s="58"/>
    </row>
    <row r="1314" spans="1:19" x14ac:dyDescent="0.25">
      <c r="A1314" s="51" t="str">
        <f>(COUNTIF($K$2:K1314,K1314))&amp;K1314</f>
        <v>1</v>
      </c>
      <c r="B1314" s="52"/>
      <c r="C1314" s="53"/>
      <c r="D1314" s="54"/>
      <c r="E1314" s="55"/>
      <c r="F1314" s="55"/>
      <c r="G1314" s="55"/>
      <c r="H1314" s="55"/>
      <c r="I1314" s="55"/>
      <c r="J1314" s="55"/>
      <c r="K1314" s="56"/>
      <c r="L1314" s="55"/>
      <c r="M1314" s="55"/>
      <c r="N1314" s="55"/>
      <c r="O1314" s="55"/>
      <c r="P1314" s="55"/>
      <c r="Q1314" s="55"/>
      <c r="R1314" s="57"/>
      <c r="S1314" s="58"/>
    </row>
    <row r="1315" spans="1:19" x14ac:dyDescent="0.25">
      <c r="A1315" s="51" t="str">
        <f>(COUNTIF($K$2:K1315,K1315))&amp;K1315</f>
        <v>1</v>
      </c>
      <c r="B1315" s="52"/>
      <c r="C1315" s="53"/>
      <c r="D1315" s="54"/>
      <c r="E1315" s="55"/>
      <c r="F1315" s="55"/>
      <c r="G1315" s="55"/>
      <c r="H1315" s="55"/>
      <c r="I1315" s="55"/>
      <c r="J1315" s="55"/>
      <c r="K1315" s="56"/>
      <c r="L1315" s="55"/>
      <c r="M1315" s="55"/>
      <c r="N1315" s="55"/>
      <c r="O1315" s="55"/>
      <c r="P1315" s="55"/>
      <c r="Q1315" s="55"/>
      <c r="R1315" s="57"/>
      <c r="S1315" s="58"/>
    </row>
    <row r="1316" spans="1:19" x14ac:dyDescent="0.25">
      <c r="A1316" s="51" t="str">
        <f>(COUNTIF($K$2:K1316,K1316))&amp;K1316</f>
        <v>1</v>
      </c>
      <c r="B1316" s="52"/>
      <c r="C1316" s="53"/>
      <c r="D1316" s="54"/>
      <c r="E1316" s="55"/>
      <c r="F1316" s="55"/>
      <c r="G1316" s="55"/>
      <c r="H1316" s="55"/>
      <c r="I1316" s="55"/>
      <c r="J1316" s="55"/>
      <c r="K1316" s="56"/>
      <c r="L1316" s="55"/>
      <c r="M1316" s="55"/>
      <c r="N1316" s="55"/>
      <c r="O1316" s="55"/>
      <c r="P1316" s="55"/>
      <c r="Q1316" s="55"/>
      <c r="R1316" s="57"/>
      <c r="S1316" s="58"/>
    </row>
    <row r="1317" spans="1:19" x14ac:dyDescent="0.25">
      <c r="A1317" s="51" t="str">
        <f>(COUNTIF($K$2:K1317,K1317))&amp;K1317</f>
        <v>1</v>
      </c>
      <c r="B1317" s="52"/>
      <c r="C1317" s="53"/>
      <c r="D1317" s="54"/>
      <c r="E1317" s="55"/>
      <c r="F1317" s="55"/>
      <c r="G1317" s="55"/>
      <c r="H1317" s="55"/>
      <c r="I1317" s="55"/>
      <c r="J1317" s="55"/>
      <c r="K1317" s="56"/>
      <c r="L1317" s="55"/>
      <c r="M1317" s="55"/>
      <c r="N1317" s="55"/>
      <c r="O1317" s="55"/>
      <c r="P1317" s="55"/>
      <c r="Q1317" s="55"/>
      <c r="R1317" s="57"/>
      <c r="S1317" s="58"/>
    </row>
    <row r="1318" spans="1:19" x14ac:dyDescent="0.25">
      <c r="A1318" s="51" t="str">
        <f>(COUNTIF($K$2:K1318,K1318))&amp;K1318</f>
        <v>1</v>
      </c>
      <c r="B1318" s="52"/>
      <c r="C1318" s="53"/>
      <c r="D1318" s="54"/>
      <c r="E1318" s="55"/>
      <c r="F1318" s="55"/>
      <c r="G1318" s="55"/>
      <c r="H1318" s="55"/>
      <c r="I1318" s="55"/>
      <c r="J1318" s="55"/>
      <c r="K1318" s="56"/>
      <c r="L1318" s="55"/>
      <c r="M1318" s="55"/>
      <c r="N1318" s="55"/>
      <c r="O1318" s="55"/>
      <c r="P1318" s="55"/>
      <c r="Q1318" s="55"/>
      <c r="R1318" s="57"/>
      <c r="S1318" s="58"/>
    </row>
    <row r="1319" spans="1:19" ht="15.75" x14ac:dyDescent="0.25">
      <c r="A1319" s="51" t="str">
        <f>(COUNTIF($K$2:K1319,K1319))&amp;K1319</f>
        <v>1</v>
      </c>
      <c r="B1319" s="52"/>
      <c r="C1319" s="53"/>
      <c r="D1319" s="54"/>
      <c r="E1319" s="55"/>
      <c r="F1319" s="55"/>
      <c r="G1319" s="55"/>
      <c r="H1319" s="55"/>
      <c r="I1319" s="55"/>
      <c r="J1319" s="55"/>
      <c r="K1319" s="59"/>
      <c r="L1319" s="55"/>
      <c r="M1319" s="55"/>
      <c r="N1319" s="55"/>
      <c r="O1319" s="55"/>
      <c r="P1319" s="55"/>
      <c r="Q1319" s="55"/>
      <c r="R1319" s="57"/>
      <c r="S1319" s="58"/>
    </row>
    <row r="1320" spans="1:19" x14ac:dyDescent="0.25">
      <c r="A1320" s="51" t="str">
        <f>(COUNTIF($K$2:K1320,K1320))&amp;K1320</f>
        <v>1</v>
      </c>
      <c r="B1320" s="52"/>
      <c r="C1320" s="53"/>
      <c r="D1320" s="54"/>
      <c r="E1320" s="55"/>
      <c r="F1320" s="55"/>
      <c r="G1320" s="55"/>
      <c r="H1320" s="55"/>
      <c r="I1320" s="55"/>
      <c r="J1320" s="55"/>
      <c r="K1320" s="56"/>
      <c r="L1320" s="55"/>
      <c r="M1320" s="55"/>
      <c r="N1320" s="55"/>
      <c r="O1320" s="55"/>
      <c r="P1320" s="55"/>
      <c r="Q1320" s="55"/>
      <c r="R1320" s="57"/>
      <c r="S1320" s="58"/>
    </row>
    <row r="1321" spans="1:19" x14ac:dyDescent="0.25">
      <c r="A1321" s="51" t="str">
        <f>(COUNTIF($K$2:K1321,K1321))&amp;K1321</f>
        <v>1</v>
      </c>
      <c r="B1321" s="52"/>
      <c r="C1321" s="53"/>
      <c r="D1321" s="54"/>
      <c r="E1321" s="55"/>
      <c r="F1321" s="55"/>
      <c r="G1321" s="55"/>
      <c r="H1321" s="55"/>
      <c r="I1321" s="55"/>
      <c r="J1321" s="55"/>
      <c r="K1321" s="56"/>
      <c r="L1321" s="55"/>
      <c r="M1321" s="55"/>
      <c r="N1321" s="55"/>
      <c r="O1321" s="55"/>
      <c r="P1321" s="55"/>
      <c r="Q1321" s="55"/>
      <c r="R1321" s="57"/>
      <c r="S1321" s="58"/>
    </row>
    <row r="1322" spans="1:19" x14ac:dyDescent="0.25">
      <c r="A1322" s="51" t="str">
        <f>(COUNTIF($K$2:K1322,K1322))&amp;K1322</f>
        <v>1</v>
      </c>
      <c r="B1322" s="52"/>
      <c r="C1322" s="53"/>
      <c r="D1322" s="54"/>
      <c r="E1322" s="55"/>
      <c r="F1322" s="55"/>
      <c r="G1322" s="55"/>
      <c r="H1322" s="55"/>
      <c r="I1322" s="55"/>
      <c r="J1322" s="55"/>
      <c r="K1322" s="56"/>
      <c r="L1322" s="55"/>
      <c r="M1322" s="55"/>
      <c r="N1322" s="55"/>
      <c r="O1322" s="55"/>
      <c r="P1322" s="55"/>
      <c r="Q1322" s="55"/>
      <c r="R1322" s="57"/>
      <c r="S1322" s="58"/>
    </row>
    <row r="1323" spans="1:19" x14ac:dyDescent="0.25">
      <c r="A1323" s="51" t="str">
        <f>(COUNTIF($K$2:K1323,K1323))&amp;K1323</f>
        <v>1</v>
      </c>
      <c r="B1323" s="52"/>
      <c r="C1323" s="53"/>
      <c r="D1323" s="54"/>
      <c r="E1323" s="55"/>
      <c r="F1323" s="55"/>
      <c r="G1323" s="55"/>
      <c r="H1323" s="55"/>
      <c r="I1323" s="55"/>
      <c r="J1323" s="55"/>
      <c r="K1323" s="56"/>
      <c r="L1323" s="55"/>
      <c r="M1323" s="55"/>
      <c r="N1323" s="55"/>
      <c r="O1323" s="55"/>
      <c r="P1323" s="55"/>
      <c r="Q1323" s="55"/>
      <c r="R1323" s="57"/>
      <c r="S1323" s="58"/>
    </row>
    <row r="1324" spans="1:19" x14ac:dyDescent="0.25">
      <c r="A1324" s="51" t="str">
        <f>(COUNTIF($K$2:K1324,K1324))&amp;K1324</f>
        <v>1</v>
      </c>
      <c r="B1324" s="52"/>
      <c r="C1324" s="53"/>
      <c r="D1324" s="54"/>
      <c r="E1324" s="55"/>
      <c r="F1324" s="55"/>
      <c r="G1324" s="55"/>
      <c r="H1324" s="55"/>
      <c r="I1324" s="55"/>
      <c r="J1324" s="55"/>
      <c r="K1324" s="56"/>
      <c r="L1324" s="55"/>
      <c r="M1324" s="55"/>
      <c r="N1324" s="55"/>
      <c r="O1324" s="55"/>
      <c r="P1324" s="55"/>
      <c r="Q1324" s="55"/>
      <c r="R1324" s="57"/>
      <c r="S1324" s="58"/>
    </row>
    <row r="1325" spans="1:19" x14ac:dyDescent="0.25">
      <c r="A1325" s="51" t="str">
        <f>(COUNTIF($K$2:K1325,K1325))&amp;K1325</f>
        <v>1</v>
      </c>
      <c r="B1325" s="52"/>
      <c r="C1325" s="53"/>
      <c r="D1325" s="54"/>
      <c r="E1325" s="55"/>
      <c r="F1325" s="55"/>
      <c r="G1325" s="55"/>
      <c r="H1325" s="55"/>
      <c r="I1325" s="55"/>
      <c r="J1325" s="55"/>
      <c r="K1325" s="56"/>
      <c r="L1325" s="55"/>
      <c r="M1325" s="55"/>
      <c r="N1325" s="55"/>
      <c r="O1325" s="55"/>
      <c r="P1325" s="55"/>
      <c r="Q1325" s="55"/>
      <c r="R1325" s="57"/>
      <c r="S1325" s="58"/>
    </row>
    <row r="1326" spans="1:19" x14ac:dyDescent="0.25">
      <c r="A1326" s="51" t="str">
        <f>(COUNTIF($K$2:K1326,K1326))&amp;K1326</f>
        <v>1</v>
      </c>
      <c r="B1326" s="52"/>
      <c r="C1326" s="53"/>
      <c r="D1326" s="54"/>
      <c r="E1326" s="55"/>
      <c r="F1326" s="55"/>
      <c r="G1326" s="55"/>
      <c r="H1326" s="55"/>
      <c r="I1326" s="55"/>
      <c r="J1326" s="55"/>
      <c r="K1326" s="56"/>
      <c r="L1326" s="55"/>
      <c r="M1326" s="55"/>
      <c r="N1326" s="55"/>
      <c r="O1326" s="55"/>
      <c r="P1326" s="55"/>
      <c r="Q1326" s="55"/>
      <c r="R1326" s="57"/>
      <c r="S1326" s="58"/>
    </row>
    <row r="1327" spans="1:19" x14ac:dyDescent="0.25">
      <c r="A1327" s="51" t="str">
        <f>(COUNTIF($K$2:K1327,K1327))&amp;K1327</f>
        <v>1</v>
      </c>
      <c r="B1327" s="52"/>
      <c r="C1327" s="60"/>
      <c r="E1327" s="61"/>
      <c r="F1327" s="62"/>
      <c r="G1327" s="63"/>
      <c r="H1327" s="64"/>
      <c r="I1327" s="64"/>
      <c r="J1327" s="64"/>
      <c r="K1327" s="65"/>
      <c r="L1327" s="64"/>
      <c r="M1327" s="64"/>
      <c r="N1327" s="64"/>
      <c r="P1327" s="63"/>
      <c r="Q1327" s="61"/>
      <c r="R1327" s="64"/>
      <c r="S1327" s="64"/>
    </row>
    <row r="1328" spans="1:19" x14ac:dyDescent="0.25">
      <c r="A1328" s="51" t="str">
        <f>(COUNTIF($K$2:K1328,K1328))&amp;K1328</f>
        <v>1</v>
      </c>
      <c r="B1328" s="52"/>
      <c r="C1328" s="53"/>
      <c r="D1328" s="54"/>
      <c r="E1328" s="55"/>
      <c r="F1328" s="55"/>
      <c r="G1328" s="55"/>
      <c r="H1328" s="55"/>
      <c r="I1328" s="55"/>
      <c r="J1328" s="55"/>
      <c r="K1328" s="56"/>
      <c r="L1328" s="55"/>
      <c r="M1328" s="55"/>
      <c r="N1328" s="55"/>
      <c r="O1328" s="55"/>
      <c r="P1328" s="55"/>
      <c r="Q1328" s="55"/>
      <c r="R1328" s="57"/>
      <c r="S1328" s="58"/>
    </row>
    <row r="1329" spans="1:19" x14ac:dyDescent="0.25">
      <c r="A1329" s="51" t="str">
        <f>(COUNTIF($K$2:K1329,K1329))&amp;K1329</f>
        <v>1</v>
      </c>
      <c r="B1329" s="52"/>
      <c r="C1329" s="53"/>
      <c r="D1329" s="54"/>
      <c r="E1329" s="55"/>
      <c r="F1329" s="55"/>
      <c r="G1329" s="55"/>
      <c r="H1329" s="55"/>
      <c r="I1329" s="55"/>
      <c r="J1329" s="55"/>
      <c r="K1329" s="56"/>
      <c r="L1329" s="55"/>
      <c r="M1329" s="55"/>
      <c r="N1329" s="55"/>
      <c r="O1329" s="55"/>
      <c r="P1329" s="55"/>
      <c r="Q1329" s="55"/>
      <c r="R1329" s="57"/>
      <c r="S1329" s="58"/>
    </row>
    <row r="1330" spans="1:19" x14ac:dyDescent="0.25">
      <c r="A1330" s="51" t="str">
        <f>(COUNTIF($K$2:K1330,K1330))&amp;K1330</f>
        <v>1</v>
      </c>
      <c r="B1330" s="52"/>
      <c r="C1330" s="53"/>
      <c r="D1330" s="54"/>
      <c r="E1330" s="55"/>
      <c r="F1330" s="55"/>
      <c r="G1330" s="55"/>
      <c r="H1330" s="55"/>
      <c r="I1330" s="55"/>
      <c r="J1330" s="55"/>
      <c r="K1330" s="56"/>
      <c r="L1330" s="55"/>
      <c r="M1330" s="55"/>
      <c r="N1330" s="55"/>
      <c r="O1330" s="55"/>
      <c r="P1330" s="55"/>
      <c r="Q1330" s="55"/>
      <c r="R1330" s="57"/>
      <c r="S1330" s="58"/>
    </row>
    <row r="1331" spans="1:19" x14ac:dyDescent="0.25">
      <c r="A1331" s="51" t="str">
        <f>(COUNTIF($K$2:K1331,K1331))&amp;K1331</f>
        <v>1</v>
      </c>
      <c r="B1331" s="52"/>
      <c r="C1331" s="53"/>
      <c r="D1331" s="54"/>
      <c r="E1331" s="55"/>
      <c r="F1331" s="55"/>
      <c r="G1331" s="55"/>
      <c r="H1331" s="55"/>
      <c r="I1331" s="55"/>
      <c r="J1331" s="55"/>
      <c r="K1331" s="56"/>
      <c r="L1331" s="55"/>
      <c r="M1331" s="55"/>
      <c r="N1331" s="55"/>
      <c r="O1331" s="55"/>
      <c r="P1331" s="55"/>
      <c r="Q1331" s="55"/>
      <c r="R1331" s="57"/>
      <c r="S1331" s="58"/>
    </row>
    <row r="1332" spans="1:19" x14ac:dyDescent="0.25">
      <c r="A1332" s="51" t="str">
        <f>(COUNTIF($K$2:K1332,K1332))&amp;K1332</f>
        <v>1</v>
      </c>
      <c r="B1332" s="52"/>
      <c r="C1332" s="53"/>
      <c r="D1332" s="54"/>
      <c r="E1332" s="55"/>
      <c r="F1332" s="55"/>
      <c r="G1332" s="55"/>
      <c r="H1332" s="55"/>
      <c r="I1332" s="55"/>
      <c r="J1332" s="55"/>
      <c r="K1332" s="56"/>
      <c r="L1332" s="55"/>
      <c r="M1332" s="55"/>
      <c r="N1332" s="55"/>
      <c r="O1332" s="55"/>
      <c r="P1332" s="55"/>
      <c r="Q1332" s="55"/>
      <c r="R1332" s="57"/>
      <c r="S1332" s="58"/>
    </row>
    <row r="1333" spans="1:19" x14ac:dyDescent="0.25">
      <c r="A1333" s="51" t="str">
        <f>(COUNTIF($K$2:K1333,K1333))&amp;K1333</f>
        <v>1</v>
      </c>
      <c r="B1333" s="52"/>
      <c r="C1333" s="53"/>
      <c r="D1333" s="54"/>
      <c r="E1333" s="55"/>
      <c r="F1333" s="55"/>
      <c r="G1333" s="55"/>
      <c r="H1333" s="55"/>
      <c r="I1333" s="55"/>
      <c r="J1333" s="55"/>
      <c r="K1333" s="56"/>
      <c r="L1333" s="55"/>
      <c r="M1333" s="55"/>
      <c r="N1333" s="55"/>
      <c r="O1333" s="55"/>
      <c r="P1333" s="55"/>
      <c r="Q1333" s="55"/>
      <c r="R1333" s="57"/>
      <c r="S1333" s="58"/>
    </row>
    <row r="1334" spans="1:19" x14ac:dyDescent="0.25">
      <c r="A1334" s="51" t="str">
        <f>(COUNTIF($K$2:K1334,K1334))&amp;K1334</f>
        <v>1</v>
      </c>
      <c r="B1334" s="52"/>
      <c r="C1334" s="53"/>
      <c r="D1334" s="54"/>
      <c r="E1334" s="55"/>
      <c r="F1334" s="55"/>
      <c r="G1334" s="55"/>
      <c r="H1334" s="55"/>
      <c r="I1334" s="55"/>
      <c r="J1334" s="55"/>
      <c r="K1334" s="56"/>
      <c r="L1334" s="55"/>
      <c r="M1334" s="55"/>
      <c r="N1334" s="55"/>
      <c r="O1334" s="55"/>
      <c r="P1334" s="55"/>
      <c r="Q1334" s="55"/>
      <c r="R1334" s="57"/>
      <c r="S1334" s="58"/>
    </row>
    <row r="1335" spans="1:19" x14ac:dyDescent="0.25">
      <c r="A1335" s="51" t="str">
        <f>(COUNTIF($K$2:K1335,K1335))&amp;K1335</f>
        <v>1</v>
      </c>
      <c r="B1335" s="52"/>
      <c r="C1335" s="53"/>
      <c r="D1335" s="54"/>
      <c r="E1335" s="55"/>
      <c r="F1335" s="55"/>
      <c r="G1335" s="55"/>
      <c r="H1335" s="55"/>
      <c r="I1335" s="55"/>
      <c r="J1335" s="55"/>
      <c r="K1335" s="56"/>
      <c r="L1335" s="55"/>
      <c r="M1335" s="55"/>
      <c r="N1335" s="55"/>
      <c r="O1335" s="55"/>
      <c r="P1335" s="55"/>
      <c r="Q1335" s="55"/>
      <c r="R1335" s="57"/>
      <c r="S1335" s="58"/>
    </row>
    <row r="1336" spans="1:19" ht="15.75" x14ac:dyDescent="0.25">
      <c r="A1336" s="51" t="str">
        <f>(COUNTIF($K$2:K1336,K1336))&amp;K1336</f>
        <v>1</v>
      </c>
      <c r="B1336" s="52"/>
      <c r="C1336" s="53"/>
      <c r="D1336" s="54"/>
      <c r="E1336" s="55"/>
      <c r="F1336" s="55"/>
      <c r="G1336" s="55"/>
      <c r="H1336" s="55"/>
      <c r="I1336" s="55"/>
      <c r="J1336" s="55"/>
      <c r="K1336" s="59"/>
      <c r="L1336" s="55"/>
      <c r="M1336" s="55"/>
      <c r="N1336" s="55"/>
      <c r="O1336" s="55"/>
      <c r="P1336" s="55"/>
      <c r="Q1336" s="55"/>
      <c r="R1336" s="57"/>
      <c r="S1336" s="58"/>
    </row>
    <row r="1337" spans="1:19" x14ac:dyDescent="0.25">
      <c r="A1337" s="51" t="str">
        <f>(COUNTIF($K$2:K1337,K1337))&amp;K1337</f>
        <v>1</v>
      </c>
      <c r="B1337" s="52"/>
      <c r="C1337" s="53"/>
      <c r="D1337" s="54"/>
      <c r="E1337" s="55"/>
      <c r="F1337" s="55"/>
      <c r="G1337" s="55"/>
      <c r="H1337" s="55"/>
      <c r="I1337" s="55"/>
      <c r="J1337" s="55"/>
      <c r="K1337" s="56"/>
      <c r="L1337" s="55"/>
      <c r="M1337" s="55"/>
      <c r="N1337" s="55"/>
      <c r="O1337" s="55"/>
      <c r="P1337" s="55"/>
      <c r="Q1337" s="55"/>
      <c r="R1337" s="57"/>
      <c r="S1337" s="58"/>
    </row>
    <row r="1338" spans="1:19" x14ac:dyDescent="0.25">
      <c r="A1338" s="51" t="str">
        <f>(COUNTIF($K$2:K1338,K1338))&amp;K1338</f>
        <v>1</v>
      </c>
      <c r="B1338" s="52"/>
      <c r="C1338" s="53"/>
      <c r="D1338" s="54"/>
      <c r="E1338" s="55"/>
      <c r="F1338" s="55"/>
      <c r="G1338" s="55"/>
      <c r="H1338" s="55"/>
      <c r="I1338" s="55"/>
      <c r="J1338" s="55"/>
      <c r="K1338" s="56"/>
      <c r="L1338" s="55"/>
      <c r="M1338" s="55"/>
      <c r="N1338" s="55"/>
      <c r="O1338" s="55"/>
      <c r="P1338" s="55"/>
      <c r="Q1338" s="55"/>
      <c r="R1338" s="57"/>
      <c r="S1338" s="58"/>
    </row>
    <row r="1339" spans="1:19" x14ac:dyDescent="0.25">
      <c r="A1339" s="51" t="str">
        <f>(COUNTIF($K$2:K1339,K1339))&amp;K1339</f>
        <v>1</v>
      </c>
      <c r="B1339" s="52"/>
      <c r="C1339" s="53"/>
      <c r="D1339" s="54"/>
      <c r="E1339" s="55"/>
      <c r="F1339" s="55"/>
      <c r="G1339" s="55"/>
      <c r="H1339" s="55"/>
      <c r="I1339" s="55"/>
      <c r="J1339" s="55"/>
      <c r="K1339" s="56"/>
      <c r="L1339" s="55"/>
      <c r="M1339" s="55"/>
      <c r="N1339" s="55"/>
      <c r="O1339" s="55"/>
      <c r="P1339" s="55"/>
      <c r="Q1339" s="55"/>
      <c r="R1339" s="57"/>
      <c r="S1339" s="58"/>
    </row>
    <row r="1340" spans="1:19" x14ac:dyDescent="0.25">
      <c r="A1340" s="51" t="str">
        <f>(COUNTIF($K$2:K1340,K1340))&amp;K1340</f>
        <v>1</v>
      </c>
      <c r="B1340" s="52"/>
      <c r="C1340" s="53"/>
      <c r="D1340" s="54"/>
      <c r="E1340" s="55"/>
      <c r="F1340" s="55"/>
      <c r="G1340" s="55"/>
      <c r="H1340" s="55"/>
      <c r="I1340" s="55"/>
      <c r="J1340" s="55"/>
      <c r="K1340" s="56"/>
      <c r="L1340" s="55"/>
      <c r="M1340" s="55"/>
      <c r="N1340" s="55"/>
      <c r="O1340" s="55"/>
      <c r="P1340" s="55"/>
      <c r="Q1340" s="55"/>
      <c r="R1340" s="57"/>
      <c r="S1340" s="58"/>
    </row>
    <row r="1341" spans="1:19" x14ac:dyDescent="0.25">
      <c r="A1341" s="51" t="str">
        <f>(COUNTIF($K$2:K1341,K1341))&amp;K1341</f>
        <v>1</v>
      </c>
      <c r="B1341" s="52"/>
      <c r="C1341" s="53"/>
      <c r="D1341" s="54"/>
      <c r="E1341" s="55"/>
      <c r="F1341" s="55"/>
      <c r="G1341" s="55"/>
      <c r="H1341" s="55"/>
      <c r="I1341" s="55"/>
      <c r="J1341" s="55"/>
      <c r="K1341" s="56"/>
      <c r="L1341" s="55"/>
      <c r="M1341" s="55"/>
      <c r="N1341" s="55"/>
      <c r="O1341" s="55"/>
      <c r="P1341" s="55"/>
      <c r="Q1341" s="55"/>
      <c r="R1341" s="57"/>
      <c r="S1341" s="58"/>
    </row>
    <row r="1342" spans="1:19" x14ac:dyDescent="0.25">
      <c r="A1342" s="51" t="str">
        <f>(COUNTIF($K$2:K1342,K1342))&amp;K1342</f>
        <v>1</v>
      </c>
      <c r="B1342" s="52"/>
      <c r="C1342" s="53"/>
      <c r="D1342" s="54"/>
      <c r="E1342" s="55"/>
      <c r="F1342" s="55"/>
      <c r="G1342" s="55"/>
      <c r="H1342" s="55"/>
      <c r="I1342" s="55"/>
      <c r="J1342" s="55"/>
      <c r="K1342" s="56"/>
      <c r="L1342" s="55"/>
      <c r="M1342" s="55"/>
      <c r="N1342" s="55"/>
      <c r="O1342" s="55"/>
      <c r="P1342" s="55"/>
      <c r="Q1342" s="55"/>
      <c r="R1342" s="57"/>
      <c r="S1342" s="58"/>
    </row>
    <row r="1343" spans="1:19" x14ac:dyDescent="0.25">
      <c r="A1343" s="51" t="str">
        <f>(COUNTIF($K$2:K1343,K1343))&amp;K1343</f>
        <v>1</v>
      </c>
      <c r="B1343" s="52"/>
      <c r="C1343" s="53"/>
      <c r="D1343" s="54"/>
      <c r="E1343" s="55"/>
      <c r="F1343" s="55"/>
      <c r="G1343" s="55"/>
      <c r="H1343" s="55"/>
      <c r="I1343" s="55"/>
      <c r="J1343" s="55"/>
      <c r="K1343" s="56"/>
      <c r="L1343" s="55"/>
      <c r="M1343" s="55"/>
      <c r="N1343" s="55"/>
      <c r="O1343" s="55"/>
      <c r="P1343" s="55"/>
      <c r="Q1343" s="55"/>
      <c r="R1343" s="57"/>
      <c r="S1343" s="58"/>
    </row>
    <row r="1344" spans="1:19" x14ac:dyDescent="0.25">
      <c r="A1344" s="51" t="str">
        <f>(COUNTIF($K$2:K1344,K1344))&amp;K1344</f>
        <v>1</v>
      </c>
      <c r="B1344" s="52"/>
      <c r="C1344" s="60"/>
      <c r="E1344" s="61"/>
      <c r="F1344" s="62"/>
      <c r="G1344" s="63"/>
      <c r="H1344" s="64"/>
      <c r="I1344" s="64"/>
      <c r="J1344" s="64"/>
      <c r="K1344" s="65"/>
      <c r="L1344" s="64"/>
      <c r="M1344" s="64"/>
      <c r="N1344" s="64"/>
      <c r="P1344" s="63"/>
      <c r="Q1344" s="61"/>
      <c r="R1344" s="64"/>
      <c r="S1344" s="64"/>
    </row>
    <row r="1345" spans="1:19" x14ac:dyDescent="0.25">
      <c r="A1345" s="51" t="str">
        <f>(COUNTIF($K$2:K1345,K1345))&amp;K1345</f>
        <v>1</v>
      </c>
      <c r="B1345" s="52"/>
      <c r="C1345" s="53"/>
      <c r="D1345" s="54"/>
      <c r="E1345" s="55"/>
      <c r="F1345" s="55"/>
      <c r="G1345" s="55"/>
      <c r="H1345" s="55"/>
      <c r="I1345" s="55"/>
      <c r="J1345" s="55"/>
      <c r="K1345" s="56"/>
      <c r="L1345" s="55"/>
      <c r="M1345" s="55"/>
      <c r="N1345" s="55"/>
      <c r="O1345" s="55"/>
      <c r="P1345" s="55"/>
      <c r="Q1345" s="55"/>
      <c r="R1345" s="57"/>
      <c r="S1345" s="58"/>
    </row>
    <row r="1346" spans="1:19" x14ac:dyDescent="0.25">
      <c r="A1346" s="51" t="str">
        <f>(COUNTIF($K$2:K1346,K1346))&amp;K1346</f>
        <v>1</v>
      </c>
      <c r="B1346" s="52"/>
      <c r="C1346" s="53"/>
      <c r="D1346" s="54"/>
      <c r="E1346" s="55"/>
      <c r="F1346" s="55"/>
      <c r="G1346" s="55"/>
      <c r="H1346" s="55"/>
      <c r="I1346" s="55"/>
      <c r="J1346" s="55"/>
      <c r="K1346" s="56"/>
      <c r="L1346" s="55"/>
      <c r="M1346" s="55"/>
      <c r="N1346" s="55"/>
      <c r="O1346" s="55"/>
      <c r="P1346" s="55"/>
      <c r="Q1346" s="55"/>
      <c r="R1346" s="57"/>
      <c r="S1346" s="58"/>
    </row>
    <row r="1347" spans="1:19" x14ac:dyDescent="0.25">
      <c r="A1347" s="51" t="str">
        <f>(COUNTIF($K$2:K1347,K1347))&amp;K1347</f>
        <v>1</v>
      </c>
      <c r="B1347" s="52"/>
      <c r="C1347" s="53"/>
      <c r="D1347" s="54"/>
      <c r="E1347" s="55"/>
      <c r="F1347" s="55"/>
      <c r="G1347" s="55"/>
      <c r="H1347" s="55"/>
      <c r="I1347" s="55"/>
      <c r="J1347" s="55"/>
      <c r="K1347" s="56"/>
      <c r="L1347" s="55"/>
      <c r="M1347" s="55"/>
      <c r="N1347" s="55"/>
      <c r="O1347" s="55"/>
      <c r="P1347" s="55"/>
      <c r="Q1347" s="55"/>
      <c r="R1347" s="57"/>
      <c r="S1347" s="58"/>
    </row>
    <row r="1348" spans="1:19" x14ac:dyDescent="0.25">
      <c r="A1348" s="51" t="str">
        <f>(COUNTIF($K$2:K1348,K1348))&amp;K1348</f>
        <v>1</v>
      </c>
      <c r="B1348" s="52"/>
      <c r="C1348" s="53"/>
      <c r="D1348" s="54"/>
      <c r="E1348" s="55"/>
      <c r="F1348" s="55"/>
      <c r="G1348" s="55"/>
      <c r="H1348" s="55"/>
      <c r="I1348" s="55"/>
      <c r="J1348" s="55"/>
      <c r="K1348" s="56"/>
      <c r="L1348" s="55"/>
      <c r="M1348" s="55"/>
      <c r="N1348" s="55"/>
      <c r="O1348" s="55"/>
      <c r="P1348" s="55"/>
      <c r="Q1348" s="55"/>
      <c r="R1348" s="57"/>
      <c r="S1348" s="58"/>
    </row>
    <row r="1349" spans="1:19" x14ac:dyDescent="0.25">
      <c r="A1349" s="51" t="str">
        <f>(COUNTIF($K$2:K1349,K1349))&amp;K1349</f>
        <v>1</v>
      </c>
      <c r="B1349" s="52"/>
      <c r="C1349" s="53"/>
      <c r="D1349" s="54"/>
      <c r="E1349" s="55"/>
      <c r="F1349" s="55"/>
      <c r="G1349" s="55"/>
      <c r="H1349" s="55"/>
      <c r="I1349" s="55"/>
      <c r="J1349" s="55"/>
      <c r="K1349" s="56"/>
      <c r="L1349" s="55"/>
      <c r="M1349" s="55"/>
      <c r="N1349" s="55"/>
      <c r="O1349" s="55"/>
      <c r="P1349" s="55"/>
      <c r="Q1349" s="55"/>
      <c r="R1349" s="57"/>
      <c r="S1349" s="58"/>
    </row>
    <row r="1350" spans="1:19" x14ac:dyDescent="0.25">
      <c r="A1350" s="51" t="str">
        <f>(COUNTIF($K$2:K1350,K1350))&amp;K1350</f>
        <v>1</v>
      </c>
      <c r="B1350" s="52"/>
      <c r="C1350" s="53"/>
      <c r="D1350" s="54"/>
      <c r="E1350" s="55"/>
      <c r="F1350" s="55"/>
      <c r="G1350" s="55"/>
      <c r="H1350" s="55"/>
      <c r="I1350" s="55"/>
      <c r="J1350" s="55"/>
      <c r="K1350" s="56"/>
      <c r="L1350" s="55"/>
      <c r="M1350" s="55"/>
      <c r="N1350" s="55"/>
      <c r="O1350" s="55"/>
      <c r="P1350" s="55"/>
      <c r="Q1350" s="55"/>
      <c r="R1350" s="57"/>
      <c r="S1350" s="58"/>
    </row>
    <row r="1351" spans="1:19" x14ac:dyDescent="0.25">
      <c r="A1351" s="51" t="str">
        <f>(COUNTIF($K$2:K1351,K1351))&amp;K1351</f>
        <v>1</v>
      </c>
      <c r="B1351" s="52"/>
      <c r="C1351" s="53"/>
      <c r="D1351" s="54"/>
      <c r="E1351" s="55"/>
      <c r="F1351" s="55"/>
      <c r="G1351" s="55"/>
      <c r="H1351" s="55"/>
      <c r="I1351" s="55"/>
      <c r="J1351" s="55"/>
      <c r="K1351" s="56"/>
      <c r="L1351" s="55"/>
      <c r="M1351" s="55"/>
      <c r="N1351" s="55"/>
      <c r="O1351" s="55"/>
      <c r="P1351" s="55"/>
      <c r="Q1351" s="55"/>
      <c r="R1351" s="57"/>
      <c r="S1351" s="58"/>
    </row>
    <row r="1352" spans="1:19" x14ac:dyDescent="0.25">
      <c r="A1352" s="51" t="str">
        <f>(COUNTIF($K$2:K1352,K1352))&amp;K1352</f>
        <v>1</v>
      </c>
      <c r="B1352" s="52"/>
      <c r="C1352" s="53"/>
      <c r="D1352" s="54"/>
      <c r="E1352" s="55"/>
      <c r="F1352" s="55"/>
      <c r="G1352" s="55"/>
      <c r="H1352" s="55"/>
      <c r="I1352" s="55"/>
      <c r="J1352" s="55"/>
      <c r="K1352" s="56"/>
      <c r="L1352" s="55"/>
      <c r="M1352" s="55"/>
      <c r="N1352" s="55"/>
      <c r="O1352" s="55"/>
      <c r="P1352" s="55"/>
      <c r="Q1352" s="55"/>
      <c r="R1352" s="57"/>
      <c r="S1352" s="58"/>
    </row>
    <row r="1353" spans="1:19" ht="15.75" x14ac:dyDescent="0.25">
      <c r="A1353" s="51" t="str">
        <f>(COUNTIF($K$2:K1353,K1353))&amp;K1353</f>
        <v>1</v>
      </c>
      <c r="B1353" s="52"/>
      <c r="C1353" s="53"/>
      <c r="D1353" s="54"/>
      <c r="E1353" s="55"/>
      <c r="F1353" s="55"/>
      <c r="G1353" s="55"/>
      <c r="H1353" s="55"/>
      <c r="I1353" s="55"/>
      <c r="J1353" s="55"/>
      <c r="K1353" s="59"/>
      <c r="L1353" s="55"/>
      <c r="M1353" s="55"/>
      <c r="N1353" s="55"/>
      <c r="O1353" s="55"/>
      <c r="P1353" s="55"/>
      <c r="Q1353" s="55"/>
      <c r="R1353" s="57"/>
      <c r="S1353" s="58"/>
    </row>
    <row r="1354" spans="1:19" x14ac:dyDescent="0.25">
      <c r="A1354" s="51" t="str">
        <f>(COUNTIF($K$2:K1354,K1354))&amp;K1354</f>
        <v>1</v>
      </c>
      <c r="B1354" s="52"/>
      <c r="C1354" s="53"/>
      <c r="D1354" s="54"/>
      <c r="E1354" s="55"/>
      <c r="F1354" s="55"/>
      <c r="G1354" s="55"/>
      <c r="H1354" s="55"/>
      <c r="I1354" s="55"/>
      <c r="J1354" s="55"/>
      <c r="K1354" s="56"/>
      <c r="L1354" s="55"/>
      <c r="M1354" s="55"/>
      <c r="N1354" s="55"/>
      <c r="O1354" s="55"/>
      <c r="P1354" s="55"/>
      <c r="Q1354" s="55"/>
      <c r="R1354" s="57"/>
      <c r="S1354" s="58"/>
    </row>
    <row r="1355" spans="1:19" x14ac:dyDescent="0.25">
      <c r="A1355" s="51" t="str">
        <f>(COUNTIF($K$2:K1355,K1355))&amp;K1355</f>
        <v>1</v>
      </c>
      <c r="B1355" s="52"/>
      <c r="C1355" s="53"/>
      <c r="D1355" s="54"/>
      <c r="E1355" s="55"/>
      <c r="F1355" s="55"/>
      <c r="G1355" s="55"/>
      <c r="H1355" s="55"/>
      <c r="I1355" s="55"/>
      <c r="J1355" s="55"/>
      <c r="K1355" s="56"/>
      <c r="L1355" s="55"/>
      <c r="M1355" s="55"/>
      <c r="N1355" s="55"/>
      <c r="O1355" s="55"/>
      <c r="P1355" s="55"/>
      <c r="Q1355" s="55"/>
      <c r="R1355" s="57"/>
      <c r="S1355" s="58"/>
    </row>
    <row r="1356" spans="1:19" x14ac:dyDescent="0.25">
      <c r="A1356" s="51" t="str">
        <f>(COUNTIF($K$2:K1356,K1356))&amp;K1356</f>
        <v>1</v>
      </c>
      <c r="B1356" s="52"/>
      <c r="C1356" s="53"/>
      <c r="D1356" s="54"/>
      <c r="E1356" s="55"/>
      <c r="F1356" s="55"/>
      <c r="G1356" s="55"/>
      <c r="H1356" s="55"/>
      <c r="I1356" s="55"/>
      <c r="J1356" s="55"/>
      <c r="K1356" s="56"/>
      <c r="L1356" s="55"/>
      <c r="M1356" s="55"/>
      <c r="N1356" s="55"/>
      <c r="O1356" s="55"/>
      <c r="P1356" s="55"/>
      <c r="Q1356" s="55"/>
      <c r="R1356" s="57"/>
      <c r="S1356" s="58"/>
    </row>
    <row r="1357" spans="1:19" x14ac:dyDescent="0.25">
      <c r="A1357" s="51" t="str">
        <f>(COUNTIF($K$2:K1357,K1357))&amp;K1357</f>
        <v>1</v>
      </c>
      <c r="B1357" s="52"/>
      <c r="C1357" s="53"/>
      <c r="D1357" s="54"/>
      <c r="E1357" s="55"/>
      <c r="F1357" s="55"/>
      <c r="G1357" s="55"/>
      <c r="H1357" s="55"/>
      <c r="I1357" s="55"/>
      <c r="J1357" s="55"/>
      <c r="K1357" s="56"/>
      <c r="L1357" s="55"/>
      <c r="M1357" s="55"/>
      <c r="N1357" s="55"/>
      <c r="O1357" s="55"/>
      <c r="P1357" s="55"/>
      <c r="Q1357" s="55"/>
      <c r="R1357" s="57"/>
      <c r="S1357" s="58"/>
    </row>
    <row r="1358" spans="1:19" x14ac:dyDescent="0.25">
      <c r="A1358" s="51" t="str">
        <f>(COUNTIF($K$2:K1358,K1358))&amp;K1358</f>
        <v>1</v>
      </c>
      <c r="B1358" s="52"/>
      <c r="C1358" s="53"/>
      <c r="D1358" s="54"/>
      <c r="E1358" s="55"/>
      <c r="F1358" s="55"/>
      <c r="G1358" s="55"/>
      <c r="H1358" s="55"/>
      <c r="I1358" s="55"/>
      <c r="J1358" s="55"/>
      <c r="K1358" s="56"/>
      <c r="L1358" s="55"/>
      <c r="M1358" s="55"/>
      <c r="N1358" s="55"/>
      <c r="O1358" s="55"/>
      <c r="P1358" s="55"/>
      <c r="Q1358" s="55"/>
      <c r="R1358" s="57"/>
      <c r="S1358" s="58"/>
    </row>
    <row r="1359" spans="1:19" x14ac:dyDescent="0.25">
      <c r="A1359" s="51" t="str">
        <f>(COUNTIF($K$2:K1359,K1359))&amp;K1359</f>
        <v>1</v>
      </c>
      <c r="B1359" s="52"/>
      <c r="C1359" s="53"/>
      <c r="D1359" s="54"/>
      <c r="E1359" s="55"/>
      <c r="F1359" s="55"/>
      <c r="G1359" s="55"/>
      <c r="H1359" s="55"/>
      <c r="I1359" s="55"/>
      <c r="J1359" s="55"/>
      <c r="K1359" s="56"/>
      <c r="L1359" s="55"/>
      <c r="M1359" s="55"/>
      <c r="N1359" s="55"/>
      <c r="O1359" s="55"/>
      <c r="P1359" s="55"/>
      <c r="Q1359" s="55"/>
      <c r="R1359" s="57"/>
      <c r="S1359" s="58"/>
    </row>
    <row r="1360" spans="1:19" x14ac:dyDescent="0.25">
      <c r="A1360" s="51" t="str">
        <f>(COUNTIF($K$2:K1360,K1360))&amp;K1360</f>
        <v>1</v>
      </c>
      <c r="B1360" s="52"/>
      <c r="C1360" s="53"/>
      <c r="D1360" s="54"/>
      <c r="E1360" s="55"/>
      <c r="F1360" s="55"/>
      <c r="G1360" s="55"/>
      <c r="H1360" s="55"/>
      <c r="I1360" s="55"/>
      <c r="J1360" s="55"/>
      <c r="K1360" s="56"/>
      <c r="L1360" s="55"/>
      <c r="M1360" s="55"/>
      <c r="N1360" s="55"/>
      <c r="O1360" s="55"/>
      <c r="P1360" s="55"/>
      <c r="Q1360" s="55"/>
      <c r="R1360" s="57"/>
      <c r="S1360" s="58"/>
    </row>
    <row r="1361" spans="1:19" x14ac:dyDescent="0.25">
      <c r="A1361" s="51" t="str">
        <f>(COUNTIF($K$2:K1361,K1361))&amp;K1361</f>
        <v>1</v>
      </c>
      <c r="B1361" s="52"/>
      <c r="C1361" s="60"/>
      <c r="E1361" s="61"/>
      <c r="F1361" s="62"/>
      <c r="G1361" s="63"/>
      <c r="H1361" s="64"/>
      <c r="I1361" s="64"/>
      <c r="J1361" s="64"/>
      <c r="K1361" s="65"/>
      <c r="L1361" s="64"/>
      <c r="M1361" s="64"/>
      <c r="N1361" s="64"/>
      <c r="P1361" s="63"/>
      <c r="Q1361" s="61"/>
      <c r="R1361" s="64"/>
      <c r="S1361" s="64"/>
    </row>
    <row r="1362" spans="1:19" x14ac:dyDescent="0.25">
      <c r="A1362" s="51" t="str">
        <f>(COUNTIF($K$2:K1362,K1362))&amp;K1362</f>
        <v>1</v>
      </c>
      <c r="B1362" s="52"/>
      <c r="C1362" s="53"/>
      <c r="D1362" s="54"/>
      <c r="E1362" s="55"/>
      <c r="F1362" s="55"/>
      <c r="G1362" s="55"/>
      <c r="H1362" s="55"/>
      <c r="I1362" s="55"/>
      <c r="J1362" s="55"/>
      <c r="K1362" s="56"/>
      <c r="L1362" s="55"/>
      <c r="M1362" s="55"/>
      <c r="N1362" s="55"/>
      <c r="O1362" s="55"/>
      <c r="P1362" s="55"/>
      <c r="Q1362" s="55"/>
      <c r="R1362" s="57"/>
      <c r="S1362" s="58"/>
    </row>
    <row r="1363" spans="1:19" x14ac:dyDescent="0.25">
      <c r="A1363" s="51" t="str">
        <f>(COUNTIF($K$2:K1363,K1363))&amp;K1363</f>
        <v>1</v>
      </c>
      <c r="B1363" s="52"/>
      <c r="C1363" s="53"/>
      <c r="D1363" s="54"/>
      <c r="E1363" s="55"/>
      <c r="F1363" s="55"/>
      <c r="G1363" s="55"/>
      <c r="H1363" s="55"/>
      <c r="I1363" s="55"/>
      <c r="J1363" s="55"/>
      <c r="K1363" s="56"/>
      <c r="L1363" s="55"/>
      <c r="M1363" s="55"/>
      <c r="N1363" s="55"/>
      <c r="O1363" s="55"/>
      <c r="P1363" s="55"/>
      <c r="Q1363" s="55"/>
      <c r="R1363" s="57"/>
      <c r="S1363" s="58"/>
    </row>
    <row r="1364" spans="1:19" x14ac:dyDescent="0.25">
      <c r="A1364" s="51" t="str">
        <f>(COUNTIF($K$2:K1364,K1364))&amp;K1364</f>
        <v>1</v>
      </c>
      <c r="B1364" s="52"/>
      <c r="C1364" s="53"/>
      <c r="D1364" s="54"/>
      <c r="E1364" s="55"/>
      <c r="F1364" s="55"/>
      <c r="G1364" s="55"/>
      <c r="H1364" s="55"/>
      <c r="I1364" s="55"/>
      <c r="J1364" s="55"/>
      <c r="K1364" s="56"/>
      <c r="L1364" s="55"/>
      <c r="M1364" s="55"/>
      <c r="N1364" s="55"/>
      <c r="O1364" s="55"/>
      <c r="P1364" s="55"/>
      <c r="Q1364" s="55"/>
      <c r="R1364" s="57"/>
      <c r="S1364" s="58"/>
    </row>
    <row r="1365" spans="1:19" x14ac:dyDescent="0.25">
      <c r="A1365" s="51" t="str">
        <f>(COUNTIF($K$2:K1365,K1365))&amp;K1365</f>
        <v>1</v>
      </c>
      <c r="B1365" s="52"/>
      <c r="C1365" s="53"/>
      <c r="D1365" s="54"/>
      <c r="E1365" s="55"/>
      <c r="F1365" s="55"/>
      <c r="G1365" s="55"/>
      <c r="H1365" s="55"/>
      <c r="I1365" s="55"/>
      <c r="J1365" s="55"/>
      <c r="K1365" s="56"/>
      <c r="L1365" s="55"/>
      <c r="M1365" s="55"/>
      <c r="N1365" s="55"/>
      <c r="O1365" s="55"/>
      <c r="P1365" s="55"/>
      <c r="Q1365" s="55"/>
      <c r="R1365" s="57"/>
      <c r="S1365" s="58"/>
    </row>
    <row r="1366" spans="1:19" x14ac:dyDescent="0.25">
      <c r="A1366" s="51" t="str">
        <f>(COUNTIF($K$2:K1366,K1366))&amp;K1366</f>
        <v>1</v>
      </c>
      <c r="B1366" s="52"/>
      <c r="C1366" s="53"/>
      <c r="D1366" s="54"/>
      <c r="E1366" s="55"/>
      <c r="F1366" s="55"/>
      <c r="G1366" s="55"/>
      <c r="H1366" s="55"/>
      <c r="I1366" s="55"/>
      <c r="J1366" s="55"/>
      <c r="K1366" s="56"/>
      <c r="L1366" s="55"/>
      <c r="M1366" s="55"/>
      <c r="N1366" s="55"/>
      <c r="O1366" s="55"/>
      <c r="P1366" s="55"/>
      <c r="Q1366" s="55"/>
      <c r="R1366" s="57"/>
      <c r="S1366" s="58"/>
    </row>
    <row r="1367" spans="1:19" x14ac:dyDescent="0.25">
      <c r="A1367" s="51" t="str">
        <f>(COUNTIF($K$2:K1367,K1367))&amp;K1367</f>
        <v>1</v>
      </c>
      <c r="B1367" s="52"/>
      <c r="C1367" s="53"/>
      <c r="D1367" s="54"/>
      <c r="E1367" s="55"/>
      <c r="F1367" s="55"/>
      <c r="G1367" s="55"/>
      <c r="H1367" s="55"/>
      <c r="I1367" s="55"/>
      <c r="J1367" s="55"/>
      <c r="K1367" s="56"/>
      <c r="L1367" s="55"/>
      <c r="M1367" s="55"/>
      <c r="N1367" s="55"/>
      <c r="O1367" s="55"/>
      <c r="P1367" s="55"/>
      <c r="Q1367" s="55"/>
      <c r="R1367" s="57"/>
      <c r="S1367" s="58"/>
    </row>
    <row r="1368" spans="1:19" x14ac:dyDescent="0.25">
      <c r="A1368" s="51" t="str">
        <f>(COUNTIF($K$2:K1368,K1368))&amp;K1368</f>
        <v>1</v>
      </c>
      <c r="B1368" s="52"/>
      <c r="C1368" s="53"/>
      <c r="D1368" s="54"/>
      <c r="E1368" s="55"/>
      <c r="F1368" s="55"/>
      <c r="G1368" s="55"/>
      <c r="H1368" s="55"/>
      <c r="I1368" s="55"/>
      <c r="J1368" s="55"/>
      <c r="K1368" s="56"/>
      <c r="L1368" s="55"/>
      <c r="M1368" s="55"/>
      <c r="N1368" s="55"/>
      <c r="O1368" s="55"/>
      <c r="P1368" s="55"/>
      <c r="Q1368" s="55"/>
      <c r="R1368" s="57"/>
      <c r="S1368" s="58"/>
    </row>
    <row r="1369" spans="1:19" x14ac:dyDescent="0.25">
      <c r="A1369" s="51" t="str">
        <f>(COUNTIF($K$2:K1369,K1369))&amp;K1369</f>
        <v>1</v>
      </c>
      <c r="B1369" s="52"/>
      <c r="C1369" s="53"/>
      <c r="D1369" s="54"/>
      <c r="E1369" s="55"/>
      <c r="F1369" s="55"/>
      <c r="G1369" s="55"/>
      <c r="H1369" s="55"/>
      <c r="I1369" s="55"/>
      <c r="J1369" s="55"/>
      <c r="K1369" s="56"/>
      <c r="L1369" s="55"/>
      <c r="M1369" s="55"/>
      <c r="N1369" s="55"/>
      <c r="O1369" s="55"/>
      <c r="P1369" s="55"/>
      <c r="Q1369" s="55"/>
      <c r="R1369" s="57"/>
      <c r="S1369" s="58"/>
    </row>
    <row r="1370" spans="1:19" ht="15.75" x14ac:dyDescent="0.25">
      <c r="A1370" s="51" t="str">
        <f>(COUNTIF($K$2:K1370,K1370))&amp;K1370</f>
        <v>1</v>
      </c>
      <c r="B1370" s="52"/>
      <c r="C1370" s="53"/>
      <c r="D1370" s="54"/>
      <c r="E1370" s="55"/>
      <c r="F1370" s="55"/>
      <c r="G1370" s="55"/>
      <c r="H1370" s="55"/>
      <c r="I1370" s="55"/>
      <c r="J1370" s="55"/>
      <c r="K1370" s="59"/>
      <c r="L1370" s="55"/>
      <c r="M1370" s="55"/>
      <c r="N1370" s="55"/>
      <c r="O1370" s="55"/>
      <c r="P1370" s="55"/>
      <c r="Q1370" s="55"/>
      <c r="R1370" s="57"/>
      <c r="S1370" s="58"/>
    </row>
    <row r="1371" spans="1:19" x14ac:dyDescent="0.25">
      <c r="A1371" s="51" t="str">
        <f>(COUNTIF($K$2:K1371,K1371))&amp;K1371</f>
        <v>1</v>
      </c>
      <c r="B1371" s="52"/>
      <c r="C1371" s="53"/>
      <c r="D1371" s="54"/>
      <c r="E1371" s="55"/>
      <c r="F1371" s="55"/>
      <c r="G1371" s="55"/>
      <c r="H1371" s="55"/>
      <c r="I1371" s="55"/>
      <c r="J1371" s="55"/>
      <c r="K1371" s="56"/>
      <c r="L1371" s="55"/>
      <c r="M1371" s="55"/>
      <c r="N1371" s="55"/>
      <c r="O1371" s="55"/>
      <c r="P1371" s="55"/>
      <c r="Q1371" s="55"/>
      <c r="R1371" s="57"/>
      <c r="S1371" s="58"/>
    </row>
    <row r="1372" spans="1:19" x14ac:dyDescent="0.25">
      <c r="A1372" s="51" t="str">
        <f>(COUNTIF($K$2:K1372,K1372))&amp;K1372</f>
        <v>1</v>
      </c>
      <c r="B1372" s="52"/>
      <c r="C1372" s="53"/>
      <c r="D1372" s="54"/>
      <c r="E1372" s="55"/>
      <c r="F1372" s="55"/>
      <c r="G1372" s="55"/>
      <c r="H1372" s="55"/>
      <c r="I1372" s="55"/>
      <c r="J1372" s="55"/>
      <c r="K1372" s="56"/>
      <c r="L1372" s="55"/>
      <c r="M1372" s="55"/>
      <c r="N1372" s="55"/>
      <c r="O1372" s="55"/>
      <c r="P1372" s="55"/>
      <c r="Q1372" s="55"/>
      <c r="R1372" s="57"/>
      <c r="S1372" s="58"/>
    </row>
    <row r="1373" spans="1:19" x14ac:dyDescent="0.25">
      <c r="A1373" s="51" t="str">
        <f>(COUNTIF($K$2:K1373,K1373))&amp;K1373</f>
        <v>1</v>
      </c>
      <c r="B1373" s="52"/>
      <c r="C1373" s="53"/>
      <c r="D1373" s="54"/>
      <c r="E1373" s="55"/>
      <c r="F1373" s="55"/>
      <c r="G1373" s="55"/>
      <c r="H1373" s="55"/>
      <c r="I1373" s="55"/>
      <c r="J1373" s="55"/>
      <c r="K1373" s="56"/>
      <c r="L1373" s="55"/>
      <c r="M1373" s="55"/>
      <c r="N1373" s="55"/>
      <c r="O1373" s="55"/>
      <c r="P1373" s="55"/>
      <c r="Q1373" s="55"/>
      <c r="R1373" s="57"/>
      <c r="S1373" s="58"/>
    </row>
    <row r="1374" spans="1:19" x14ac:dyDescent="0.25">
      <c r="A1374" s="51" t="str">
        <f>(COUNTIF($K$2:K1374,K1374))&amp;K1374</f>
        <v>1</v>
      </c>
      <c r="B1374" s="52"/>
      <c r="C1374" s="53"/>
      <c r="D1374" s="54"/>
      <c r="E1374" s="55"/>
      <c r="F1374" s="55"/>
      <c r="G1374" s="55"/>
      <c r="H1374" s="55"/>
      <c r="I1374" s="55"/>
      <c r="J1374" s="55"/>
      <c r="K1374" s="56"/>
      <c r="L1374" s="55"/>
      <c r="M1374" s="55"/>
      <c r="N1374" s="55"/>
      <c r="O1374" s="55"/>
      <c r="P1374" s="55"/>
      <c r="Q1374" s="55"/>
      <c r="R1374" s="57"/>
      <c r="S1374" s="58"/>
    </row>
    <row r="1375" spans="1:19" x14ac:dyDescent="0.25">
      <c r="A1375" s="51" t="str">
        <f>(COUNTIF($K$2:K1375,K1375))&amp;K1375</f>
        <v>1</v>
      </c>
      <c r="B1375" s="52"/>
      <c r="C1375" s="53"/>
      <c r="D1375" s="54"/>
      <c r="E1375" s="55"/>
      <c r="F1375" s="55"/>
      <c r="G1375" s="55"/>
      <c r="H1375" s="55"/>
      <c r="I1375" s="55"/>
      <c r="J1375" s="55"/>
      <c r="K1375" s="56"/>
      <c r="L1375" s="55"/>
      <c r="M1375" s="55"/>
      <c r="N1375" s="55"/>
      <c r="O1375" s="55"/>
      <c r="P1375" s="55"/>
      <c r="Q1375" s="55"/>
      <c r="R1375" s="57"/>
      <c r="S1375" s="58"/>
    </row>
    <row r="1376" spans="1:19" x14ac:dyDescent="0.25">
      <c r="A1376" s="51" t="str">
        <f>(COUNTIF($K$2:K1376,K1376))&amp;K1376</f>
        <v>1</v>
      </c>
      <c r="B1376" s="52"/>
      <c r="C1376" s="53"/>
      <c r="D1376" s="54"/>
      <c r="E1376" s="55"/>
      <c r="F1376" s="55"/>
      <c r="G1376" s="55"/>
      <c r="H1376" s="55"/>
      <c r="I1376" s="55"/>
      <c r="J1376" s="55"/>
      <c r="K1376" s="56"/>
      <c r="L1376" s="55"/>
      <c r="M1376" s="55"/>
      <c r="N1376" s="55"/>
      <c r="O1376" s="55"/>
      <c r="P1376" s="55"/>
      <c r="Q1376" s="55"/>
      <c r="R1376" s="57"/>
      <c r="S1376" s="58"/>
    </row>
    <row r="1377" spans="1:19" x14ac:dyDescent="0.25">
      <c r="A1377" s="51" t="str">
        <f>(COUNTIF($K$2:K1377,K1377))&amp;K1377</f>
        <v>1</v>
      </c>
      <c r="B1377" s="52"/>
      <c r="C1377" s="53"/>
      <c r="D1377" s="54"/>
      <c r="E1377" s="55"/>
      <c r="F1377" s="55"/>
      <c r="G1377" s="55"/>
      <c r="H1377" s="55"/>
      <c r="I1377" s="55"/>
      <c r="J1377" s="55"/>
      <c r="K1377" s="56"/>
      <c r="L1377" s="55"/>
      <c r="M1377" s="55"/>
      <c r="N1377" s="55"/>
      <c r="O1377" s="55"/>
      <c r="P1377" s="55"/>
      <c r="Q1377" s="55"/>
      <c r="R1377" s="57"/>
      <c r="S1377" s="58"/>
    </row>
    <row r="1378" spans="1:19" x14ac:dyDescent="0.25">
      <c r="A1378" s="51" t="str">
        <f>(COUNTIF($K$2:K1378,K1378))&amp;K1378</f>
        <v>1</v>
      </c>
      <c r="B1378" s="52"/>
      <c r="C1378" s="60"/>
      <c r="E1378" s="61"/>
      <c r="F1378" s="62"/>
      <c r="G1378" s="63"/>
      <c r="H1378" s="64"/>
      <c r="I1378" s="64"/>
      <c r="J1378" s="64"/>
      <c r="K1378" s="65"/>
      <c r="L1378" s="64"/>
      <c r="M1378" s="64"/>
      <c r="N1378" s="64"/>
      <c r="P1378" s="63"/>
      <c r="Q1378" s="61"/>
      <c r="R1378" s="64"/>
      <c r="S1378" s="64"/>
    </row>
    <row r="1379" spans="1:19" x14ac:dyDescent="0.25">
      <c r="A1379" s="51" t="str">
        <f>(COUNTIF($K$2:K1379,K1379))&amp;K1379</f>
        <v>1</v>
      </c>
      <c r="B1379" s="52"/>
      <c r="C1379" s="53"/>
      <c r="D1379" s="54"/>
      <c r="E1379" s="55"/>
      <c r="F1379" s="55"/>
      <c r="G1379" s="55"/>
      <c r="H1379" s="55"/>
      <c r="I1379" s="55"/>
      <c r="J1379" s="55"/>
      <c r="K1379" s="56"/>
      <c r="L1379" s="55"/>
      <c r="M1379" s="55"/>
      <c r="N1379" s="55"/>
      <c r="O1379" s="55"/>
      <c r="P1379" s="55"/>
      <c r="Q1379" s="55"/>
      <c r="R1379" s="57"/>
      <c r="S1379" s="58"/>
    </row>
    <row r="1380" spans="1:19" x14ac:dyDescent="0.25">
      <c r="A1380" s="51" t="str">
        <f>(COUNTIF($K$2:K1380,K1380))&amp;K1380</f>
        <v>1</v>
      </c>
      <c r="B1380" s="52"/>
      <c r="C1380" s="53"/>
      <c r="D1380" s="54"/>
      <c r="E1380" s="55"/>
      <c r="F1380" s="55"/>
      <c r="G1380" s="55"/>
      <c r="H1380" s="55"/>
      <c r="I1380" s="55"/>
      <c r="J1380" s="55"/>
      <c r="K1380" s="56"/>
      <c r="L1380" s="55"/>
      <c r="M1380" s="55"/>
      <c r="N1380" s="55"/>
      <c r="O1380" s="55"/>
      <c r="P1380" s="55"/>
      <c r="Q1380" s="55"/>
      <c r="R1380" s="57"/>
      <c r="S1380" s="58"/>
    </row>
    <row r="1381" spans="1:19" x14ac:dyDescent="0.25">
      <c r="A1381" s="51" t="str">
        <f>(COUNTIF($K$2:K1381,K1381))&amp;K1381</f>
        <v>1</v>
      </c>
      <c r="B1381" s="52"/>
      <c r="C1381" s="53"/>
      <c r="D1381" s="54"/>
      <c r="E1381" s="55"/>
      <c r="F1381" s="55"/>
      <c r="G1381" s="55"/>
      <c r="H1381" s="55"/>
      <c r="I1381" s="55"/>
      <c r="J1381" s="55"/>
      <c r="K1381" s="56"/>
      <c r="L1381" s="55"/>
      <c r="M1381" s="55"/>
      <c r="N1381" s="55"/>
      <c r="O1381" s="55"/>
      <c r="P1381" s="55"/>
      <c r="Q1381" s="55"/>
      <c r="R1381" s="57"/>
      <c r="S1381" s="58"/>
    </row>
    <row r="1382" spans="1:19" x14ac:dyDescent="0.25">
      <c r="A1382" s="51" t="str">
        <f>(COUNTIF($K$2:K1382,K1382))&amp;K1382</f>
        <v>1</v>
      </c>
      <c r="B1382" s="52"/>
      <c r="C1382" s="53"/>
      <c r="D1382" s="54"/>
      <c r="E1382" s="55"/>
      <c r="F1382" s="55"/>
      <c r="G1382" s="55"/>
      <c r="H1382" s="55"/>
      <c r="I1382" s="55"/>
      <c r="J1382" s="55"/>
      <c r="K1382" s="56"/>
      <c r="L1382" s="55"/>
      <c r="M1382" s="55"/>
      <c r="N1382" s="55"/>
      <c r="O1382" s="55"/>
      <c r="P1382" s="55"/>
      <c r="Q1382" s="55"/>
      <c r="R1382" s="57"/>
      <c r="S1382" s="58"/>
    </row>
    <row r="1383" spans="1:19" x14ac:dyDescent="0.25">
      <c r="A1383" s="51" t="str">
        <f>(COUNTIF($K$2:K1383,K1383))&amp;K1383</f>
        <v>1</v>
      </c>
      <c r="B1383" s="52"/>
      <c r="C1383" s="53"/>
      <c r="D1383" s="54"/>
      <c r="E1383" s="55"/>
      <c r="F1383" s="55"/>
      <c r="G1383" s="55"/>
      <c r="H1383" s="55"/>
      <c r="I1383" s="55"/>
      <c r="J1383" s="55"/>
      <c r="K1383" s="56"/>
      <c r="L1383" s="55"/>
      <c r="M1383" s="55"/>
      <c r="N1383" s="55"/>
      <c r="O1383" s="55"/>
      <c r="P1383" s="55"/>
      <c r="Q1383" s="55"/>
      <c r="R1383" s="57"/>
      <c r="S1383" s="58"/>
    </row>
    <row r="1384" spans="1:19" x14ac:dyDescent="0.25">
      <c r="A1384" s="51" t="str">
        <f>(COUNTIF($K$2:K1384,K1384))&amp;K1384</f>
        <v>1</v>
      </c>
      <c r="B1384" s="52"/>
      <c r="C1384" s="53"/>
      <c r="D1384" s="54"/>
      <c r="E1384" s="55"/>
      <c r="F1384" s="55"/>
      <c r="G1384" s="55"/>
      <c r="H1384" s="55"/>
      <c r="I1384" s="55"/>
      <c r="J1384" s="55"/>
      <c r="K1384" s="56"/>
      <c r="L1384" s="55"/>
      <c r="M1384" s="55"/>
      <c r="N1384" s="55"/>
      <c r="O1384" s="55"/>
      <c r="P1384" s="55"/>
      <c r="Q1384" s="55"/>
      <c r="R1384" s="57"/>
      <c r="S1384" s="58"/>
    </row>
    <row r="1385" spans="1:19" x14ac:dyDescent="0.25">
      <c r="A1385" s="51" t="str">
        <f>(COUNTIF($K$2:K1385,K1385))&amp;K1385</f>
        <v>1</v>
      </c>
      <c r="B1385" s="52"/>
      <c r="C1385" s="53"/>
      <c r="D1385" s="54"/>
      <c r="E1385" s="55"/>
      <c r="F1385" s="55"/>
      <c r="G1385" s="55"/>
      <c r="H1385" s="55"/>
      <c r="I1385" s="55"/>
      <c r="J1385" s="55"/>
      <c r="K1385" s="56"/>
      <c r="L1385" s="55"/>
      <c r="M1385" s="55"/>
      <c r="N1385" s="55"/>
      <c r="O1385" s="55"/>
      <c r="P1385" s="55"/>
      <c r="Q1385" s="55"/>
      <c r="R1385" s="57"/>
      <c r="S1385" s="58"/>
    </row>
    <row r="1386" spans="1:19" x14ac:dyDescent="0.25">
      <c r="A1386" s="51" t="str">
        <f>(COUNTIF($K$2:K1386,K1386))&amp;K1386</f>
        <v>1</v>
      </c>
      <c r="B1386" s="52"/>
      <c r="C1386" s="53"/>
      <c r="D1386" s="54"/>
      <c r="E1386" s="55"/>
      <c r="F1386" s="55"/>
      <c r="G1386" s="55"/>
      <c r="H1386" s="55"/>
      <c r="I1386" s="55"/>
      <c r="J1386" s="55"/>
      <c r="K1386" s="56"/>
      <c r="L1386" s="55"/>
      <c r="M1386" s="55"/>
      <c r="N1386" s="55"/>
      <c r="O1386" s="55"/>
      <c r="P1386" s="55"/>
      <c r="Q1386" s="55"/>
      <c r="R1386" s="57"/>
      <c r="S1386" s="58"/>
    </row>
    <row r="1387" spans="1:19" ht="15.75" x14ac:dyDescent="0.25">
      <c r="A1387" s="51" t="str">
        <f>(COUNTIF($K$2:K1387,K1387))&amp;K1387</f>
        <v>1</v>
      </c>
      <c r="B1387" s="52"/>
      <c r="C1387" s="53"/>
      <c r="D1387" s="54"/>
      <c r="E1387" s="55"/>
      <c r="F1387" s="55"/>
      <c r="G1387" s="55"/>
      <c r="H1387" s="55"/>
      <c r="I1387" s="55"/>
      <c r="J1387" s="55"/>
      <c r="K1387" s="59"/>
      <c r="L1387" s="55"/>
      <c r="M1387" s="55"/>
      <c r="N1387" s="55"/>
      <c r="O1387" s="55"/>
      <c r="P1387" s="55"/>
      <c r="Q1387" s="55"/>
      <c r="R1387" s="57"/>
      <c r="S1387" s="58"/>
    </row>
    <row r="1388" spans="1:19" x14ac:dyDescent="0.25">
      <c r="A1388" s="51" t="str">
        <f>(COUNTIF($K$2:K1388,K1388))&amp;K1388</f>
        <v>1</v>
      </c>
      <c r="B1388" s="52"/>
      <c r="C1388" s="53"/>
      <c r="D1388" s="54"/>
      <c r="E1388" s="55"/>
      <c r="F1388" s="55"/>
      <c r="G1388" s="55"/>
      <c r="H1388" s="55"/>
      <c r="I1388" s="55"/>
      <c r="J1388" s="55"/>
      <c r="K1388" s="56"/>
      <c r="L1388" s="55"/>
      <c r="M1388" s="55"/>
      <c r="N1388" s="55"/>
      <c r="O1388" s="55"/>
      <c r="P1388" s="55"/>
      <c r="Q1388" s="55"/>
      <c r="R1388" s="57"/>
      <c r="S1388" s="58"/>
    </row>
    <row r="1389" spans="1:19" x14ac:dyDescent="0.25">
      <c r="A1389" s="51" t="str">
        <f>(COUNTIF($K$2:K1389,K1389))&amp;K1389</f>
        <v>1</v>
      </c>
      <c r="B1389" s="52"/>
      <c r="C1389" s="53"/>
      <c r="D1389" s="54"/>
      <c r="E1389" s="55"/>
      <c r="F1389" s="55"/>
      <c r="G1389" s="55"/>
      <c r="H1389" s="55"/>
      <c r="I1389" s="55"/>
      <c r="J1389" s="55"/>
      <c r="K1389" s="56"/>
      <c r="L1389" s="55"/>
      <c r="M1389" s="55"/>
      <c r="N1389" s="55"/>
      <c r="O1389" s="55"/>
      <c r="P1389" s="55"/>
      <c r="Q1389" s="55"/>
      <c r="R1389" s="57"/>
      <c r="S1389" s="58"/>
    </row>
    <row r="1390" spans="1:19" x14ac:dyDescent="0.25">
      <c r="A1390" s="51" t="str">
        <f>(COUNTIF($K$2:K1390,K1390))&amp;K1390</f>
        <v>1</v>
      </c>
      <c r="B1390" s="52"/>
      <c r="C1390" s="53"/>
      <c r="D1390" s="54"/>
      <c r="E1390" s="55"/>
      <c r="F1390" s="55"/>
      <c r="G1390" s="55"/>
      <c r="H1390" s="55"/>
      <c r="I1390" s="55"/>
      <c r="J1390" s="55"/>
      <c r="K1390" s="56"/>
      <c r="L1390" s="55"/>
      <c r="M1390" s="55"/>
      <c r="N1390" s="55"/>
      <c r="O1390" s="55"/>
      <c r="P1390" s="55"/>
      <c r="Q1390" s="55"/>
      <c r="R1390" s="57"/>
      <c r="S1390" s="58"/>
    </row>
    <row r="1391" spans="1:19" x14ac:dyDescent="0.25">
      <c r="A1391" s="51" t="str">
        <f>(COUNTIF($K$2:K1391,K1391))&amp;K1391</f>
        <v>1</v>
      </c>
      <c r="B1391" s="52"/>
      <c r="C1391" s="53"/>
      <c r="D1391" s="54"/>
      <c r="E1391" s="55"/>
      <c r="F1391" s="55"/>
      <c r="G1391" s="55"/>
      <c r="H1391" s="55"/>
      <c r="I1391" s="55"/>
      <c r="J1391" s="55"/>
      <c r="K1391" s="56"/>
      <c r="L1391" s="55"/>
      <c r="M1391" s="55"/>
      <c r="N1391" s="55"/>
      <c r="O1391" s="55"/>
      <c r="P1391" s="55"/>
      <c r="Q1391" s="55"/>
      <c r="R1391" s="57"/>
      <c r="S1391" s="58"/>
    </row>
    <row r="1392" spans="1:19" x14ac:dyDescent="0.25">
      <c r="A1392" s="51" t="str">
        <f>(COUNTIF($K$2:K1392,K1392))&amp;K1392</f>
        <v>1</v>
      </c>
      <c r="B1392" s="52"/>
      <c r="C1392" s="53"/>
      <c r="D1392" s="54"/>
      <c r="E1392" s="55"/>
      <c r="F1392" s="55"/>
      <c r="G1392" s="55"/>
      <c r="H1392" s="55"/>
      <c r="I1392" s="55"/>
      <c r="J1392" s="55"/>
      <c r="K1392" s="56"/>
      <c r="L1392" s="55"/>
      <c r="M1392" s="55"/>
      <c r="N1392" s="55"/>
      <c r="O1392" s="55"/>
      <c r="P1392" s="55"/>
      <c r="Q1392" s="55"/>
      <c r="R1392" s="57"/>
      <c r="S1392" s="58"/>
    </row>
    <row r="1393" spans="1:19" x14ac:dyDescent="0.25">
      <c r="A1393" s="51" t="str">
        <f>(COUNTIF($K$2:K1393,K1393))&amp;K1393</f>
        <v>1</v>
      </c>
      <c r="B1393" s="52"/>
      <c r="C1393" s="53"/>
      <c r="D1393" s="54"/>
      <c r="E1393" s="55"/>
      <c r="F1393" s="55"/>
      <c r="G1393" s="55"/>
      <c r="H1393" s="55"/>
      <c r="I1393" s="55"/>
      <c r="J1393" s="55"/>
      <c r="K1393" s="56"/>
      <c r="L1393" s="55"/>
      <c r="M1393" s="55"/>
      <c r="N1393" s="55"/>
      <c r="O1393" s="55"/>
      <c r="P1393" s="55"/>
      <c r="Q1393" s="55"/>
      <c r="R1393" s="57"/>
      <c r="S1393" s="58"/>
    </row>
    <row r="1394" spans="1:19" x14ac:dyDescent="0.25">
      <c r="A1394" s="51" t="str">
        <f>(COUNTIF($K$2:K1394,K1394))&amp;K1394</f>
        <v>1</v>
      </c>
      <c r="B1394" s="52"/>
      <c r="C1394" s="53"/>
      <c r="D1394" s="54"/>
      <c r="E1394" s="55"/>
      <c r="F1394" s="55"/>
      <c r="G1394" s="55"/>
      <c r="H1394" s="55"/>
      <c r="I1394" s="55"/>
      <c r="J1394" s="55"/>
      <c r="K1394" s="56"/>
      <c r="L1394" s="55"/>
      <c r="M1394" s="55"/>
      <c r="N1394" s="55"/>
      <c r="O1394" s="55"/>
      <c r="P1394" s="55"/>
      <c r="Q1394" s="55"/>
      <c r="R1394" s="57"/>
      <c r="S1394" s="58"/>
    </row>
    <row r="1395" spans="1:19" x14ac:dyDescent="0.25">
      <c r="A1395" s="51" t="str">
        <f>(COUNTIF($K$2:K1395,K1395))&amp;K1395</f>
        <v>1</v>
      </c>
      <c r="B1395" s="52"/>
      <c r="C1395" s="60"/>
      <c r="E1395" s="61"/>
      <c r="F1395" s="62"/>
      <c r="G1395" s="63"/>
      <c r="H1395" s="64"/>
      <c r="I1395" s="64"/>
      <c r="J1395" s="64"/>
      <c r="K1395" s="65"/>
      <c r="L1395" s="64"/>
      <c r="M1395" s="64"/>
      <c r="N1395" s="64"/>
      <c r="P1395" s="63"/>
      <c r="Q1395" s="61"/>
      <c r="R1395" s="64"/>
      <c r="S1395" s="64"/>
    </row>
    <row r="1396" spans="1:19" x14ac:dyDescent="0.25">
      <c r="A1396" s="51" t="str">
        <f>(COUNTIF($K$2:K1396,K1396))&amp;K1396</f>
        <v>1</v>
      </c>
      <c r="B1396" s="52"/>
      <c r="C1396" s="53"/>
      <c r="D1396" s="54"/>
      <c r="E1396" s="55"/>
      <c r="F1396" s="55"/>
      <c r="G1396" s="55"/>
      <c r="H1396" s="55"/>
      <c r="I1396" s="55"/>
      <c r="J1396" s="55"/>
      <c r="K1396" s="56"/>
      <c r="L1396" s="55"/>
      <c r="M1396" s="55"/>
      <c r="N1396" s="55"/>
      <c r="O1396" s="55"/>
      <c r="P1396" s="55"/>
      <c r="Q1396" s="55"/>
      <c r="R1396" s="57"/>
      <c r="S1396" s="58"/>
    </row>
    <row r="1397" spans="1:19" x14ac:dyDescent="0.25">
      <c r="A1397" s="51" t="str">
        <f>(COUNTIF($K$2:K1397,K1397))&amp;K1397</f>
        <v>1</v>
      </c>
      <c r="B1397" s="52"/>
      <c r="C1397" s="53"/>
      <c r="D1397" s="54"/>
      <c r="E1397" s="55"/>
      <c r="F1397" s="55"/>
      <c r="G1397" s="55"/>
      <c r="H1397" s="55"/>
      <c r="I1397" s="55"/>
      <c r="J1397" s="55"/>
      <c r="K1397" s="56"/>
      <c r="L1397" s="55"/>
      <c r="M1397" s="55"/>
      <c r="N1397" s="55"/>
      <c r="O1397" s="55"/>
      <c r="P1397" s="55"/>
      <c r="Q1397" s="55"/>
      <c r="R1397" s="57"/>
      <c r="S1397" s="58"/>
    </row>
    <row r="1398" spans="1:19" x14ac:dyDescent="0.25">
      <c r="A1398" s="51" t="str">
        <f>(COUNTIF($K$2:K1398,K1398))&amp;K1398</f>
        <v>1</v>
      </c>
      <c r="B1398" s="52"/>
      <c r="C1398" s="53"/>
      <c r="D1398" s="54"/>
      <c r="E1398" s="55"/>
      <c r="F1398" s="55"/>
      <c r="G1398" s="55"/>
      <c r="H1398" s="55"/>
      <c r="I1398" s="55"/>
      <c r="J1398" s="55"/>
      <c r="K1398" s="56"/>
      <c r="L1398" s="55"/>
      <c r="M1398" s="55"/>
      <c r="N1398" s="55"/>
      <c r="O1398" s="55"/>
      <c r="P1398" s="55"/>
      <c r="Q1398" s="55"/>
      <c r="R1398" s="57"/>
      <c r="S1398" s="58"/>
    </row>
    <row r="1399" spans="1:19" x14ac:dyDescent="0.25">
      <c r="A1399" s="51" t="str">
        <f>(COUNTIF($K$2:K1399,K1399))&amp;K1399</f>
        <v>1</v>
      </c>
      <c r="B1399" s="52"/>
      <c r="C1399" s="53"/>
      <c r="D1399" s="54"/>
      <c r="E1399" s="55"/>
      <c r="F1399" s="55"/>
      <c r="G1399" s="55"/>
      <c r="H1399" s="55"/>
      <c r="I1399" s="55"/>
      <c r="J1399" s="55"/>
      <c r="K1399" s="56"/>
      <c r="L1399" s="55"/>
      <c r="M1399" s="55"/>
      <c r="N1399" s="55"/>
      <c r="O1399" s="55"/>
      <c r="P1399" s="55"/>
      <c r="Q1399" s="55"/>
      <c r="R1399" s="57"/>
      <c r="S1399" s="58"/>
    </row>
    <row r="1400" spans="1:19" x14ac:dyDescent="0.25">
      <c r="A1400" s="51" t="str">
        <f>(COUNTIF($K$2:K1400,K1400))&amp;K1400</f>
        <v>1</v>
      </c>
      <c r="B1400" s="52"/>
      <c r="C1400" s="53"/>
      <c r="D1400" s="54"/>
      <c r="E1400" s="55"/>
      <c r="F1400" s="55"/>
      <c r="G1400" s="55"/>
      <c r="H1400" s="55"/>
      <c r="I1400" s="55"/>
      <c r="J1400" s="55"/>
      <c r="K1400" s="56"/>
      <c r="L1400" s="55"/>
      <c r="M1400" s="55"/>
      <c r="N1400" s="55"/>
      <c r="O1400" s="55"/>
      <c r="P1400" s="55"/>
      <c r="Q1400" s="55"/>
      <c r="R1400" s="57"/>
      <c r="S1400" s="58"/>
    </row>
    <row r="1401" spans="1:19" x14ac:dyDescent="0.25">
      <c r="A1401" s="51" t="str">
        <f>(COUNTIF($K$2:K1401,K1401))&amp;K1401</f>
        <v>1</v>
      </c>
      <c r="B1401" s="52"/>
      <c r="C1401" s="53"/>
      <c r="D1401" s="54"/>
      <c r="E1401" s="55"/>
      <c r="F1401" s="55"/>
      <c r="G1401" s="55"/>
      <c r="H1401" s="55"/>
      <c r="I1401" s="55"/>
      <c r="J1401" s="55"/>
      <c r="K1401" s="56"/>
      <c r="L1401" s="55"/>
      <c r="M1401" s="55"/>
      <c r="N1401" s="55"/>
      <c r="O1401" s="55"/>
      <c r="P1401" s="55"/>
      <c r="Q1401" s="55"/>
      <c r="R1401" s="57"/>
      <c r="S1401" s="58"/>
    </row>
    <row r="1402" spans="1:19" x14ac:dyDescent="0.25">
      <c r="A1402" s="51" t="str">
        <f>(COUNTIF($K$2:K1402,K1402))&amp;K1402</f>
        <v>1</v>
      </c>
      <c r="B1402" s="52"/>
      <c r="C1402" s="53"/>
      <c r="D1402" s="54"/>
      <c r="E1402" s="55"/>
      <c r="F1402" s="55"/>
      <c r="G1402" s="55"/>
      <c r="H1402" s="55"/>
      <c r="I1402" s="55"/>
      <c r="J1402" s="55"/>
      <c r="K1402" s="56"/>
      <c r="L1402" s="55"/>
      <c r="M1402" s="55"/>
      <c r="N1402" s="55"/>
      <c r="O1402" s="55"/>
      <c r="P1402" s="55"/>
      <c r="Q1402" s="55"/>
      <c r="R1402" s="57"/>
      <c r="S1402" s="58"/>
    </row>
    <row r="1403" spans="1:19" x14ac:dyDescent="0.25">
      <c r="A1403" s="51" t="str">
        <f>(COUNTIF($K$2:K1403,K1403))&amp;K1403</f>
        <v>1</v>
      </c>
      <c r="B1403" s="52"/>
      <c r="C1403" s="53"/>
      <c r="D1403" s="54"/>
      <c r="E1403" s="55"/>
      <c r="F1403" s="55"/>
      <c r="G1403" s="55"/>
      <c r="H1403" s="55"/>
      <c r="I1403" s="55"/>
      <c r="J1403" s="55"/>
      <c r="K1403" s="56"/>
      <c r="L1403" s="55"/>
      <c r="M1403" s="55"/>
      <c r="N1403" s="55"/>
      <c r="O1403" s="55"/>
      <c r="P1403" s="55"/>
      <c r="Q1403" s="55"/>
      <c r="R1403" s="57"/>
      <c r="S1403" s="58"/>
    </row>
    <row r="1404" spans="1:19" ht="15.75" x14ac:dyDescent="0.25">
      <c r="A1404" s="51" t="str">
        <f>(COUNTIF($K$2:K1404,K1404))&amp;K1404</f>
        <v>1</v>
      </c>
      <c r="B1404" s="52"/>
      <c r="C1404" s="53"/>
      <c r="D1404" s="54"/>
      <c r="E1404" s="55"/>
      <c r="F1404" s="55"/>
      <c r="G1404" s="55"/>
      <c r="H1404" s="55"/>
      <c r="I1404" s="55"/>
      <c r="J1404" s="55"/>
      <c r="K1404" s="59"/>
      <c r="L1404" s="55"/>
      <c r="M1404" s="55"/>
      <c r="N1404" s="55"/>
      <c r="O1404" s="55"/>
      <c r="P1404" s="55"/>
      <c r="Q1404" s="55"/>
      <c r="R1404" s="57"/>
      <c r="S1404" s="58"/>
    </row>
    <row r="1405" spans="1:19" x14ac:dyDescent="0.25">
      <c r="A1405" s="51" t="str">
        <f>(COUNTIF($K$2:K1405,K1405))&amp;K1405</f>
        <v>1</v>
      </c>
      <c r="B1405" s="52"/>
      <c r="C1405" s="53"/>
      <c r="D1405" s="54"/>
      <c r="E1405" s="55"/>
      <c r="F1405" s="55"/>
      <c r="G1405" s="55"/>
      <c r="H1405" s="55"/>
      <c r="I1405" s="55"/>
      <c r="J1405" s="55"/>
      <c r="K1405" s="56"/>
      <c r="L1405" s="55"/>
      <c r="M1405" s="55"/>
      <c r="N1405" s="55"/>
      <c r="O1405" s="55"/>
      <c r="P1405" s="55"/>
      <c r="Q1405" s="55"/>
      <c r="R1405" s="57"/>
      <c r="S1405" s="58"/>
    </row>
    <row r="1406" spans="1:19" x14ac:dyDescent="0.25">
      <c r="A1406" s="51" t="str">
        <f>(COUNTIF($K$2:K1406,K1406))&amp;K1406</f>
        <v>1</v>
      </c>
      <c r="B1406" s="52"/>
      <c r="C1406" s="53"/>
      <c r="D1406" s="54"/>
      <c r="E1406" s="55"/>
      <c r="F1406" s="55"/>
      <c r="G1406" s="55"/>
      <c r="H1406" s="55"/>
      <c r="I1406" s="55"/>
      <c r="J1406" s="55"/>
      <c r="K1406" s="56"/>
      <c r="L1406" s="55"/>
      <c r="M1406" s="55"/>
      <c r="N1406" s="55"/>
      <c r="O1406" s="55"/>
      <c r="P1406" s="55"/>
      <c r="Q1406" s="55"/>
      <c r="R1406" s="57"/>
      <c r="S1406" s="58"/>
    </row>
    <row r="1407" spans="1:19" x14ac:dyDescent="0.25">
      <c r="A1407" s="51" t="str">
        <f>(COUNTIF($K$2:K1407,K1407))&amp;K1407</f>
        <v>1</v>
      </c>
      <c r="B1407" s="52"/>
      <c r="C1407" s="53"/>
      <c r="D1407" s="54"/>
      <c r="E1407" s="55"/>
      <c r="F1407" s="55"/>
      <c r="G1407" s="55"/>
      <c r="H1407" s="55"/>
      <c r="I1407" s="55"/>
      <c r="J1407" s="55"/>
      <c r="K1407" s="56"/>
      <c r="L1407" s="55"/>
      <c r="M1407" s="55"/>
      <c r="N1407" s="55"/>
      <c r="O1407" s="55"/>
      <c r="P1407" s="55"/>
      <c r="Q1407" s="55"/>
      <c r="R1407" s="57"/>
      <c r="S1407" s="58"/>
    </row>
    <row r="1408" spans="1:19" x14ac:dyDescent="0.25">
      <c r="A1408" s="51" t="str">
        <f>(COUNTIF($K$2:K1408,K1408))&amp;K1408</f>
        <v>1</v>
      </c>
      <c r="B1408" s="52"/>
      <c r="C1408" s="53"/>
      <c r="D1408" s="54"/>
      <c r="E1408" s="55"/>
      <c r="F1408" s="55"/>
      <c r="G1408" s="55"/>
      <c r="H1408" s="55"/>
      <c r="I1408" s="55"/>
      <c r="J1408" s="55"/>
      <c r="K1408" s="56"/>
      <c r="L1408" s="55"/>
      <c r="M1408" s="55"/>
      <c r="N1408" s="55"/>
      <c r="O1408" s="55"/>
      <c r="P1408" s="55"/>
      <c r="Q1408" s="55"/>
      <c r="R1408" s="57"/>
      <c r="S1408" s="58"/>
    </row>
    <row r="1409" spans="1:19" x14ac:dyDescent="0.25">
      <c r="A1409" s="51" t="str">
        <f>(COUNTIF($K$2:K1409,K1409))&amp;K1409</f>
        <v>1</v>
      </c>
      <c r="B1409" s="52"/>
      <c r="C1409" s="53"/>
      <c r="D1409" s="54"/>
      <c r="E1409" s="55"/>
      <c r="F1409" s="55"/>
      <c r="G1409" s="55"/>
      <c r="H1409" s="55"/>
      <c r="I1409" s="55"/>
      <c r="J1409" s="55"/>
      <c r="K1409" s="56"/>
      <c r="L1409" s="55"/>
      <c r="M1409" s="55"/>
      <c r="N1409" s="55"/>
      <c r="O1409" s="55"/>
      <c r="P1409" s="55"/>
      <c r="Q1409" s="55"/>
      <c r="R1409" s="57"/>
      <c r="S1409" s="58"/>
    </row>
    <row r="1410" spans="1:19" x14ac:dyDescent="0.25">
      <c r="A1410" s="51" t="str">
        <f>(COUNTIF($K$2:K1410,K1410))&amp;K1410</f>
        <v>1</v>
      </c>
      <c r="B1410" s="52"/>
      <c r="C1410" s="53"/>
      <c r="D1410" s="54"/>
      <c r="E1410" s="55"/>
      <c r="F1410" s="55"/>
      <c r="G1410" s="55"/>
      <c r="H1410" s="55"/>
      <c r="I1410" s="55"/>
      <c r="J1410" s="55"/>
      <c r="K1410" s="56"/>
      <c r="L1410" s="55"/>
      <c r="M1410" s="55"/>
      <c r="N1410" s="55"/>
      <c r="O1410" s="55"/>
      <c r="P1410" s="55"/>
      <c r="Q1410" s="55"/>
      <c r="R1410" s="57"/>
      <c r="S1410" s="58"/>
    </row>
    <row r="1411" spans="1:19" x14ac:dyDescent="0.25">
      <c r="A1411" s="51" t="str">
        <f>(COUNTIF($K$2:K1411,K1411))&amp;K1411</f>
        <v>1</v>
      </c>
      <c r="B1411" s="52"/>
      <c r="C1411" s="53"/>
      <c r="D1411" s="54"/>
      <c r="E1411" s="55"/>
      <c r="F1411" s="55"/>
      <c r="G1411" s="55"/>
      <c r="H1411" s="55"/>
      <c r="I1411" s="55"/>
      <c r="J1411" s="55"/>
      <c r="K1411" s="56"/>
      <c r="L1411" s="55"/>
      <c r="M1411" s="55"/>
      <c r="N1411" s="55"/>
      <c r="O1411" s="55"/>
      <c r="P1411" s="55"/>
      <c r="Q1411" s="55"/>
      <c r="R1411" s="57"/>
      <c r="S1411" s="58"/>
    </row>
    <row r="1412" spans="1:19" x14ac:dyDescent="0.25">
      <c r="A1412" s="51" t="str">
        <f>(COUNTIF($K$2:K1412,K1412))&amp;K1412</f>
        <v>1</v>
      </c>
      <c r="B1412" s="52"/>
      <c r="C1412" s="60"/>
      <c r="E1412" s="61"/>
      <c r="F1412" s="62"/>
      <c r="G1412" s="63"/>
      <c r="H1412" s="64"/>
      <c r="I1412" s="64"/>
      <c r="J1412" s="64"/>
      <c r="K1412" s="65"/>
      <c r="L1412" s="64"/>
      <c r="M1412" s="64"/>
      <c r="N1412" s="64"/>
      <c r="P1412" s="63"/>
      <c r="Q1412" s="61"/>
      <c r="R1412" s="64"/>
      <c r="S1412" s="64"/>
    </row>
    <row r="1413" spans="1:19" x14ac:dyDescent="0.25">
      <c r="A1413" s="51" t="str">
        <f>(COUNTIF($K$2:K1413,K1413))&amp;K1413</f>
        <v>1</v>
      </c>
      <c r="B1413" s="52"/>
      <c r="C1413" s="53"/>
      <c r="D1413" s="54"/>
      <c r="E1413" s="55"/>
      <c r="F1413" s="55"/>
      <c r="G1413" s="55"/>
      <c r="H1413" s="55"/>
      <c r="I1413" s="55"/>
      <c r="J1413" s="55"/>
      <c r="K1413" s="56"/>
      <c r="L1413" s="55"/>
      <c r="M1413" s="55"/>
      <c r="N1413" s="55"/>
      <c r="O1413" s="55"/>
      <c r="P1413" s="55"/>
      <c r="Q1413" s="55"/>
      <c r="R1413" s="57"/>
      <c r="S1413" s="58"/>
    </row>
    <row r="1414" spans="1:19" x14ac:dyDescent="0.25">
      <c r="A1414" s="51" t="str">
        <f>(COUNTIF($K$2:K1414,K1414))&amp;K1414</f>
        <v>1</v>
      </c>
      <c r="B1414" s="52"/>
      <c r="C1414" s="53"/>
      <c r="D1414" s="54"/>
      <c r="E1414" s="55"/>
      <c r="F1414" s="55"/>
      <c r="G1414" s="55"/>
      <c r="H1414" s="55"/>
      <c r="I1414" s="55"/>
      <c r="J1414" s="55"/>
      <c r="K1414" s="56"/>
      <c r="L1414" s="55"/>
      <c r="M1414" s="55"/>
      <c r="N1414" s="55"/>
      <c r="O1414" s="55"/>
      <c r="P1414" s="55"/>
      <c r="Q1414" s="55"/>
      <c r="R1414" s="57"/>
      <c r="S1414" s="58"/>
    </row>
    <row r="1415" spans="1:19" x14ac:dyDescent="0.25">
      <c r="A1415" s="51" t="str">
        <f>(COUNTIF($K$2:K1415,K1415))&amp;K1415</f>
        <v>1</v>
      </c>
      <c r="B1415" s="52"/>
      <c r="C1415" s="53"/>
      <c r="D1415" s="54"/>
      <c r="E1415" s="55"/>
      <c r="F1415" s="55"/>
      <c r="G1415" s="55"/>
      <c r="H1415" s="55"/>
      <c r="I1415" s="55"/>
      <c r="J1415" s="55"/>
      <c r="K1415" s="56"/>
      <c r="L1415" s="55"/>
      <c r="M1415" s="55"/>
      <c r="N1415" s="55"/>
      <c r="O1415" s="55"/>
      <c r="P1415" s="55"/>
      <c r="Q1415" s="55"/>
      <c r="R1415" s="57"/>
      <c r="S1415" s="58"/>
    </row>
    <row r="1416" spans="1:19" x14ac:dyDescent="0.25">
      <c r="A1416" s="51" t="str">
        <f>(COUNTIF($K$2:K1416,K1416))&amp;K1416</f>
        <v>1</v>
      </c>
      <c r="B1416" s="52"/>
      <c r="C1416" s="53"/>
      <c r="D1416" s="54"/>
      <c r="E1416" s="55"/>
      <c r="F1416" s="55"/>
      <c r="G1416" s="55"/>
      <c r="H1416" s="55"/>
      <c r="I1416" s="55"/>
      <c r="J1416" s="55"/>
      <c r="K1416" s="56"/>
      <c r="L1416" s="55"/>
      <c r="M1416" s="55"/>
      <c r="N1416" s="55"/>
      <c r="O1416" s="55"/>
      <c r="P1416" s="55"/>
      <c r="Q1416" s="55"/>
      <c r="R1416" s="57"/>
      <c r="S1416" s="58"/>
    </row>
    <row r="1417" spans="1:19" x14ac:dyDescent="0.25">
      <c r="A1417" s="51" t="str">
        <f>(COUNTIF($K$2:K1417,K1417))&amp;K1417</f>
        <v>1</v>
      </c>
      <c r="B1417" s="52"/>
      <c r="C1417" s="53"/>
      <c r="D1417" s="54"/>
      <c r="E1417" s="55"/>
      <c r="F1417" s="55"/>
      <c r="G1417" s="55"/>
      <c r="H1417" s="55"/>
      <c r="I1417" s="55"/>
      <c r="J1417" s="55"/>
      <c r="K1417" s="56"/>
      <c r="L1417" s="55"/>
      <c r="M1417" s="55"/>
      <c r="N1417" s="55"/>
      <c r="O1417" s="55"/>
      <c r="P1417" s="55"/>
      <c r="Q1417" s="55"/>
      <c r="R1417" s="57"/>
      <c r="S1417" s="58"/>
    </row>
    <row r="1418" spans="1:19" x14ac:dyDescent="0.25">
      <c r="A1418" s="51" t="str">
        <f>(COUNTIF($K$2:K1418,K1418))&amp;K1418</f>
        <v>1</v>
      </c>
      <c r="B1418" s="52"/>
      <c r="C1418" s="53"/>
      <c r="D1418" s="54"/>
      <c r="E1418" s="55"/>
      <c r="F1418" s="55"/>
      <c r="G1418" s="55"/>
      <c r="H1418" s="55"/>
      <c r="I1418" s="55"/>
      <c r="J1418" s="55"/>
      <c r="K1418" s="56"/>
      <c r="L1418" s="55"/>
      <c r="M1418" s="55"/>
      <c r="N1418" s="55"/>
      <c r="O1418" s="55"/>
      <c r="P1418" s="55"/>
      <c r="Q1418" s="55"/>
      <c r="R1418" s="57"/>
      <c r="S1418" s="58"/>
    </row>
    <row r="1419" spans="1:19" x14ac:dyDescent="0.25">
      <c r="A1419" s="51" t="str">
        <f>(COUNTIF($K$2:K1419,K1419))&amp;K1419</f>
        <v>1</v>
      </c>
      <c r="B1419" s="52"/>
      <c r="C1419" s="53"/>
      <c r="D1419" s="54"/>
      <c r="E1419" s="55"/>
      <c r="F1419" s="55"/>
      <c r="G1419" s="55"/>
      <c r="H1419" s="55"/>
      <c r="I1419" s="55"/>
      <c r="J1419" s="55"/>
      <c r="K1419" s="56"/>
      <c r="L1419" s="55"/>
      <c r="M1419" s="55"/>
      <c r="N1419" s="55"/>
      <c r="O1419" s="55"/>
      <c r="P1419" s="55"/>
      <c r="Q1419" s="55"/>
      <c r="R1419" s="57"/>
      <c r="S1419" s="58"/>
    </row>
    <row r="1420" spans="1:19" x14ac:dyDescent="0.25">
      <c r="A1420" s="51" t="str">
        <f>(COUNTIF($K$2:K1420,K1420))&amp;K1420</f>
        <v>1</v>
      </c>
      <c r="B1420" s="52"/>
      <c r="C1420" s="53"/>
      <c r="D1420" s="54"/>
      <c r="E1420" s="55"/>
      <c r="F1420" s="55"/>
      <c r="G1420" s="55"/>
      <c r="H1420" s="55"/>
      <c r="I1420" s="55"/>
      <c r="J1420" s="55"/>
      <c r="K1420" s="56"/>
      <c r="L1420" s="55"/>
      <c r="M1420" s="55"/>
      <c r="N1420" s="55"/>
      <c r="O1420" s="55"/>
      <c r="P1420" s="55"/>
      <c r="Q1420" s="55"/>
      <c r="R1420" s="57"/>
      <c r="S1420" s="58"/>
    </row>
    <row r="1421" spans="1:19" ht="15.75" x14ac:dyDescent="0.25">
      <c r="A1421" s="51" t="str">
        <f>(COUNTIF($K$2:K1421,K1421))&amp;K1421</f>
        <v>1</v>
      </c>
      <c r="B1421" s="52"/>
      <c r="C1421" s="53"/>
      <c r="D1421" s="54"/>
      <c r="E1421" s="55"/>
      <c r="F1421" s="55"/>
      <c r="G1421" s="55"/>
      <c r="H1421" s="55"/>
      <c r="I1421" s="55"/>
      <c r="J1421" s="55"/>
      <c r="K1421" s="59"/>
      <c r="L1421" s="55"/>
      <c r="M1421" s="55"/>
      <c r="N1421" s="55"/>
      <c r="O1421" s="55"/>
      <c r="P1421" s="55"/>
      <c r="Q1421" s="55"/>
      <c r="R1421" s="57"/>
      <c r="S1421" s="58"/>
    </row>
    <row r="1422" spans="1:19" x14ac:dyDescent="0.25">
      <c r="A1422" s="51" t="str">
        <f>(COUNTIF($K$2:K1422,K1422))&amp;K1422</f>
        <v>1</v>
      </c>
      <c r="B1422" s="52"/>
      <c r="C1422" s="53"/>
      <c r="D1422" s="54"/>
      <c r="E1422" s="55"/>
      <c r="F1422" s="55"/>
      <c r="G1422" s="55"/>
      <c r="H1422" s="55"/>
      <c r="I1422" s="55"/>
      <c r="J1422" s="55"/>
      <c r="K1422" s="56"/>
      <c r="L1422" s="55"/>
      <c r="M1422" s="55"/>
      <c r="N1422" s="55"/>
      <c r="O1422" s="55"/>
      <c r="P1422" s="55"/>
      <c r="Q1422" s="55"/>
      <c r="R1422" s="57"/>
      <c r="S1422" s="58"/>
    </row>
    <row r="1423" spans="1:19" x14ac:dyDescent="0.25">
      <c r="A1423" s="51" t="str">
        <f>(COUNTIF($K$2:K1423,K1423))&amp;K1423</f>
        <v>1</v>
      </c>
      <c r="B1423" s="52"/>
      <c r="C1423" s="53"/>
      <c r="D1423" s="54"/>
      <c r="E1423" s="55"/>
      <c r="F1423" s="55"/>
      <c r="G1423" s="55"/>
      <c r="H1423" s="55"/>
      <c r="I1423" s="55"/>
      <c r="J1423" s="55"/>
      <c r="K1423" s="56"/>
      <c r="L1423" s="55"/>
      <c r="M1423" s="55"/>
      <c r="N1423" s="55"/>
      <c r="O1423" s="55"/>
      <c r="P1423" s="55"/>
      <c r="Q1423" s="55"/>
      <c r="R1423" s="57"/>
      <c r="S1423" s="58"/>
    </row>
    <row r="1424" spans="1:19" x14ac:dyDescent="0.25">
      <c r="A1424" s="51" t="str">
        <f>(COUNTIF($K$2:K1424,K1424))&amp;K1424</f>
        <v>1</v>
      </c>
      <c r="B1424" s="52"/>
      <c r="C1424" s="53"/>
      <c r="D1424" s="54"/>
      <c r="E1424" s="55"/>
      <c r="F1424" s="55"/>
      <c r="G1424" s="55"/>
      <c r="H1424" s="55"/>
      <c r="I1424" s="55"/>
      <c r="J1424" s="55"/>
      <c r="K1424" s="56"/>
      <c r="L1424" s="55"/>
      <c r="M1424" s="55"/>
      <c r="N1424" s="55"/>
      <c r="O1424" s="55"/>
      <c r="P1424" s="55"/>
      <c r="Q1424" s="55"/>
      <c r="R1424" s="57"/>
      <c r="S1424" s="58"/>
    </row>
    <row r="1425" spans="1:19" x14ac:dyDescent="0.25">
      <c r="A1425" s="51" t="str">
        <f>(COUNTIF($K$2:K1425,K1425))&amp;K1425</f>
        <v>1</v>
      </c>
      <c r="B1425" s="52"/>
      <c r="C1425" s="53"/>
      <c r="D1425" s="54"/>
      <c r="E1425" s="55"/>
      <c r="F1425" s="55"/>
      <c r="G1425" s="55"/>
      <c r="H1425" s="55"/>
      <c r="I1425" s="55"/>
      <c r="J1425" s="55"/>
      <c r="K1425" s="56"/>
      <c r="L1425" s="55"/>
      <c r="M1425" s="55"/>
      <c r="N1425" s="55"/>
      <c r="O1425" s="55"/>
      <c r="P1425" s="55"/>
      <c r="Q1425" s="55"/>
      <c r="R1425" s="57"/>
      <c r="S1425" s="58"/>
    </row>
    <row r="1426" spans="1:19" x14ac:dyDescent="0.25">
      <c r="A1426" s="51" t="str">
        <f>(COUNTIF($K$2:K1426,K1426))&amp;K1426</f>
        <v>1</v>
      </c>
      <c r="B1426" s="52"/>
      <c r="C1426" s="53"/>
      <c r="D1426" s="54"/>
      <c r="E1426" s="55"/>
      <c r="F1426" s="55"/>
      <c r="G1426" s="55"/>
      <c r="H1426" s="55"/>
      <c r="I1426" s="55"/>
      <c r="J1426" s="55"/>
      <c r="K1426" s="56"/>
      <c r="L1426" s="55"/>
      <c r="M1426" s="55"/>
      <c r="N1426" s="55"/>
      <c r="O1426" s="55"/>
      <c r="P1426" s="55"/>
      <c r="Q1426" s="55"/>
      <c r="R1426" s="57"/>
      <c r="S1426" s="58"/>
    </row>
    <row r="1427" spans="1:19" x14ac:dyDescent="0.25">
      <c r="A1427" s="51" t="str">
        <f>(COUNTIF($K$2:K1427,K1427))&amp;K1427</f>
        <v>1</v>
      </c>
      <c r="B1427" s="52"/>
      <c r="C1427" s="53"/>
      <c r="D1427" s="54"/>
      <c r="E1427" s="55"/>
      <c r="F1427" s="55"/>
      <c r="G1427" s="55"/>
      <c r="H1427" s="55"/>
      <c r="I1427" s="55"/>
      <c r="J1427" s="55"/>
      <c r="K1427" s="56"/>
      <c r="L1427" s="55"/>
      <c r="M1427" s="55"/>
      <c r="N1427" s="55"/>
      <c r="O1427" s="55"/>
      <c r="P1427" s="55"/>
      <c r="Q1427" s="55"/>
      <c r="R1427" s="57"/>
      <c r="S1427" s="58"/>
    </row>
    <row r="1428" spans="1:19" x14ac:dyDescent="0.25">
      <c r="A1428" s="51" t="str">
        <f>(COUNTIF($K$2:K1428,K1428))&amp;K1428</f>
        <v>1</v>
      </c>
      <c r="B1428" s="52"/>
      <c r="C1428" s="53"/>
      <c r="D1428" s="54"/>
      <c r="E1428" s="55"/>
      <c r="F1428" s="55"/>
      <c r="G1428" s="55"/>
      <c r="H1428" s="55"/>
      <c r="I1428" s="55"/>
      <c r="J1428" s="55"/>
      <c r="K1428" s="56"/>
      <c r="L1428" s="55"/>
      <c r="M1428" s="55"/>
      <c r="N1428" s="55"/>
      <c r="O1428" s="55"/>
      <c r="P1428" s="55"/>
      <c r="Q1428" s="55"/>
      <c r="R1428" s="57"/>
      <c r="S1428" s="58"/>
    </row>
    <row r="1429" spans="1:19" x14ac:dyDescent="0.25">
      <c r="A1429" s="51" t="str">
        <f>(COUNTIF($K$2:K1429,K1429))&amp;K1429</f>
        <v>1</v>
      </c>
      <c r="B1429" s="52"/>
      <c r="C1429" s="60"/>
      <c r="E1429" s="61"/>
      <c r="F1429" s="62"/>
      <c r="G1429" s="63"/>
      <c r="H1429" s="64"/>
      <c r="I1429" s="64"/>
      <c r="J1429" s="64"/>
      <c r="K1429" s="65"/>
      <c r="L1429" s="64"/>
      <c r="M1429" s="64"/>
      <c r="N1429" s="64"/>
      <c r="P1429" s="63"/>
      <c r="Q1429" s="61"/>
      <c r="R1429" s="64"/>
      <c r="S1429" s="64"/>
    </row>
    <row r="1430" spans="1:19" x14ac:dyDescent="0.25">
      <c r="A1430" s="51" t="str">
        <f>(COUNTIF($K$2:K1430,K1430))&amp;K1430</f>
        <v>1</v>
      </c>
      <c r="B1430" s="52"/>
      <c r="C1430" s="53"/>
      <c r="D1430" s="54"/>
      <c r="E1430" s="55"/>
      <c r="F1430" s="55"/>
      <c r="G1430" s="55"/>
      <c r="H1430" s="55"/>
      <c r="I1430" s="55"/>
      <c r="J1430" s="55"/>
      <c r="K1430" s="56"/>
      <c r="L1430" s="55"/>
      <c r="M1430" s="55"/>
      <c r="N1430" s="55"/>
      <c r="O1430" s="55"/>
      <c r="P1430" s="55"/>
      <c r="Q1430" s="55"/>
      <c r="R1430" s="57"/>
      <c r="S1430" s="58"/>
    </row>
    <row r="1431" spans="1:19" x14ac:dyDescent="0.25">
      <c r="A1431" s="51" t="str">
        <f>(COUNTIF($K$2:K1431,K1431))&amp;K1431</f>
        <v>1</v>
      </c>
      <c r="B1431" s="52"/>
      <c r="C1431" s="53"/>
      <c r="D1431" s="54"/>
      <c r="E1431" s="55"/>
      <c r="F1431" s="55"/>
      <c r="G1431" s="55"/>
      <c r="H1431" s="55"/>
      <c r="I1431" s="55"/>
      <c r="J1431" s="55"/>
      <c r="K1431" s="56"/>
      <c r="L1431" s="55"/>
      <c r="M1431" s="55"/>
      <c r="N1431" s="55"/>
      <c r="O1431" s="55"/>
      <c r="P1431" s="55"/>
      <c r="Q1431" s="55"/>
      <c r="R1431" s="57"/>
      <c r="S1431" s="58"/>
    </row>
    <row r="1432" spans="1:19" x14ac:dyDescent="0.25">
      <c r="A1432" s="51" t="str">
        <f>(COUNTIF($K$2:K1432,K1432))&amp;K1432</f>
        <v>1</v>
      </c>
      <c r="B1432" s="52"/>
      <c r="C1432" s="53"/>
      <c r="D1432" s="54"/>
      <c r="E1432" s="55"/>
      <c r="F1432" s="55"/>
      <c r="G1432" s="55"/>
      <c r="H1432" s="55"/>
      <c r="I1432" s="55"/>
      <c r="J1432" s="55"/>
      <c r="K1432" s="56"/>
      <c r="L1432" s="55"/>
      <c r="M1432" s="55"/>
      <c r="N1432" s="55"/>
      <c r="O1432" s="55"/>
      <c r="P1432" s="55"/>
      <c r="Q1432" s="55"/>
      <c r="R1432" s="57"/>
      <c r="S1432" s="58"/>
    </row>
    <row r="1433" spans="1:19" x14ac:dyDescent="0.25">
      <c r="A1433" s="51" t="str">
        <f>(COUNTIF($K$2:K1433,K1433))&amp;K1433</f>
        <v>1</v>
      </c>
      <c r="B1433" s="52"/>
      <c r="C1433" s="53"/>
      <c r="D1433" s="54"/>
      <c r="E1433" s="55"/>
      <c r="F1433" s="55"/>
      <c r="G1433" s="55"/>
      <c r="H1433" s="55"/>
      <c r="I1433" s="55"/>
      <c r="J1433" s="55"/>
      <c r="K1433" s="56"/>
      <c r="L1433" s="55"/>
      <c r="M1433" s="55"/>
      <c r="N1433" s="55"/>
      <c r="O1433" s="55"/>
      <c r="P1433" s="55"/>
      <c r="Q1433" s="55"/>
      <c r="R1433" s="57"/>
      <c r="S1433" s="58"/>
    </row>
    <row r="1434" spans="1:19" x14ac:dyDescent="0.25">
      <c r="A1434" s="51" t="str">
        <f>(COUNTIF($K$2:K1434,K1434))&amp;K1434</f>
        <v>1</v>
      </c>
      <c r="B1434" s="52"/>
      <c r="C1434" s="53"/>
      <c r="D1434" s="54"/>
      <c r="E1434" s="55"/>
      <c r="F1434" s="55"/>
      <c r="G1434" s="55"/>
      <c r="H1434" s="55"/>
      <c r="I1434" s="55"/>
      <c r="J1434" s="55"/>
      <c r="K1434" s="56"/>
      <c r="L1434" s="55"/>
      <c r="M1434" s="55"/>
      <c r="N1434" s="55"/>
      <c r="O1434" s="55"/>
      <c r="P1434" s="55"/>
      <c r="Q1434" s="55"/>
      <c r="R1434" s="57"/>
      <c r="S1434" s="58"/>
    </row>
    <row r="1435" spans="1:19" x14ac:dyDescent="0.25">
      <c r="A1435" s="51" t="str">
        <f>(COUNTIF($K$2:K1435,K1435))&amp;K1435</f>
        <v>1</v>
      </c>
      <c r="B1435" s="52"/>
      <c r="C1435" s="53"/>
      <c r="D1435" s="54"/>
      <c r="E1435" s="55"/>
      <c r="F1435" s="55"/>
      <c r="G1435" s="55"/>
      <c r="H1435" s="55"/>
      <c r="I1435" s="55"/>
      <c r="J1435" s="55"/>
      <c r="K1435" s="56"/>
      <c r="L1435" s="55"/>
      <c r="M1435" s="55"/>
      <c r="N1435" s="55"/>
      <c r="O1435" s="55"/>
      <c r="P1435" s="55"/>
      <c r="Q1435" s="55"/>
      <c r="R1435" s="57"/>
      <c r="S1435" s="58"/>
    </row>
    <row r="1436" spans="1:19" x14ac:dyDescent="0.25">
      <c r="A1436" s="51" t="str">
        <f>(COUNTIF($K$2:K1436,K1436))&amp;K1436</f>
        <v>1</v>
      </c>
      <c r="B1436" s="52"/>
      <c r="C1436" s="53"/>
      <c r="D1436" s="54"/>
      <c r="E1436" s="55"/>
      <c r="F1436" s="55"/>
      <c r="G1436" s="55"/>
      <c r="H1436" s="55"/>
      <c r="I1436" s="55"/>
      <c r="J1436" s="55"/>
      <c r="K1436" s="56"/>
      <c r="L1436" s="55"/>
      <c r="M1436" s="55"/>
      <c r="N1436" s="55"/>
      <c r="O1436" s="55"/>
      <c r="P1436" s="55"/>
      <c r="Q1436" s="55"/>
      <c r="R1436" s="57"/>
      <c r="S1436" s="58"/>
    </row>
    <row r="1437" spans="1:19" x14ac:dyDescent="0.25">
      <c r="A1437" s="51" t="str">
        <f>(COUNTIF($K$2:K1437,K1437))&amp;K1437</f>
        <v>1</v>
      </c>
      <c r="B1437" s="52"/>
      <c r="C1437" s="53"/>
      <c r="D1437" s="54"/>
      <c r="E1437" s="55"/>
      <c r="F1437" s="55"/>
      <c r="G1437" s="55"/>
      <c r="H1437" s="55"/>
      <c r="I1437" s="55"/>
      <c r="J1437" s="55"/>
      <c r="K1437" s="56"/>
      <c r="L1437" s="55"/>
      <c r="M1437" s="55"/>
      <c r="N1437" s="55"/>
      <c r="O1437" s="55"/>
      <c r="P1437" s="55"/>
      <c r="Q1437" s="55"/>
      <c r="R1437" s="57"/>
      <c r="S1437" s="58"/>
    </row>
    <row r="1438" spans="1:19" ht="15.75" x14ac:dyDescent="0.25">
      <c r="A1438" s="51" t="str">
        <f>(COUNTIF($K$2:K1438,K1438))&amp;K1438</f>
        <v>1</v>
      </c>
      <c r="B1438" s="52"/>
      <c r="C1438" s="53"/>
      <c r="D1438" s="54"/>
      <c r="E1438" s="55"/>
      <c r="F1438" s="55"/>
      <c r="G1438" s="55"/>
      <c r="H1438" s="55"/>
      <c r="I1438" s="55"/>
      <c r="J1438" s="55"/>
      <c r="K1438" s="59"/>
      <c r="L1438" s="55"/>
      <c r="M1438" s="55"/>
      <c r="N1438" s="55"/>
      <c r="O1438" s="55"/>
      <c r="P1438" s="55"/>
      <c r="Q1438" s="55"/>
      <c r="R1438" s="57"/>
      <c r="S1438" s="58"/>
    </row>
    <row r="1439" spans="1:19" x14ac:dyDescent="0.25">
      <c r="A1439" s="51" t="str">
        <f>(COUNTIF($K$2:K1439,K1439))&amp;K1439</f>
        <v>1</v>
      </c>
      <c r="B1439" s="52"/>
      <c r="C1439" s="53"/>
      <c r="D1439" s="54"/>
      <c r="E1439" s="55"/>
      <c r="F1439" s="55"/>
      <c r="G1439" s="55"/>
      <c r="H1439" s="55"/>
      <c r="I1439" s="55"/>
      <c r="J1439" s="55"/>
      <c r="K1439" s="56"/>
      <c r="L1439" s="55"/>
      <c r="M1439" s="55"/>
      <c r="N1439" s="55"/>
      <c r="O1439" s="55"/>
      <c r="P1439" s="55"/>
      <c r="Q1439" s="55"/>
      <c r="R1439" s="57"/>
      <c r="S1439" s="58"/>
    </row>
    <row r="1440" spans="1:19" x14ac:dyDescent="0.25">
      <c r="A1440" s="51" t="str">
        <f>(COUNTIF($K$2:K1440,K1440))&amp;K1440</f>
        <v>1</v>
      </c>
      <c r="B1440" s="52"/>
      <c r="C1440" s="53"/>
      <c r="D1440" s="54"/>
      <c r="E1440" s="55"/>
      <c r="F1440" s="55"/>
      <c r="G1440" s="55"/>
      <c r="H1440" s="55"/>
      <c r="I1440" s="55"/>
      <c r="J1440" s="55"/>
      <c r="K1440" s="56"/>
      <c r="L1440" s="55"/>
      <c r="M1440" s="55"/>
      <c r="N1440" s="55"/>
      <c r="O1440" s="55"/>
      <c r="P1440" s="55"/>
      <c r="Q1440" s="55"/>
      <c r="R1440" s="57"/>
      <c r="S1440" s="58"/>
    </row>
    <row r="1441" spans="1:19" x14ac:dyDescent="0.25">
      <c r="A1441" s="51" t="str">
        <f>(COUNTIF($K$2:K1441,K1441))&amp;K1441</f>
        <v>1</v>
      </c>
      <c r="B1441" s="52"/>
      <c r="C1441" s="53"/>
      <c r="D1441" s="54"/>
      <c r="E1441" s="55"/>
      <c r="F1441" s="55"/>
      <c r="G1441" s="55"/>
      <c r="H1441" s="55"/>
      <c r="I1441" s="55"/>
      <c r="J1441" s="55"/>
      <c r="K1441" s="56"/>
      <c r="L1441" s="55"/>
      <c r="M1441" s="55"/>
      <c r="N1441" s="55"/>
      <c r="O1441" s="55"/>
      <c r="P1441" s="55"/>
      <c r="Q1441" s="55"/>
      <c r="R1441" s="57"/>
      <c r="S1441" s="58"/>
    </row>
    <row r="1442" spans="1:19" x14ac:dyDescent="0.25">
      <c r="A1442" s="51" t="str">
        <f>(COUNTIF($K$2:K1442,K1442))&amp;K1442</f>
        <v>1</v>
      </c>
      <c r="B1442" s="52"/>
      <c r="C1442" s="53"/>
      <c r="D1442" s="54"/>
      <c r="E1442" s="55"/>
      <c r="F1442" s="55"/>
      <c r="G1442" s="55"/>
      <c r="H1442" s="55"/>
      <c r="I1442" s="55"/>
      <c r="J1442" s="55"/>
      <c r="K1442" s="56"/>
      <c r="L1442" s="55"/>
      <c r="M1442" s="55"/>
      <c r="N1442" s="55"/>
      <c r="O1442" s="55"/>
      <c r="P1442" s="55"/>
      <c r="Q1442" s="55"/>
      <c r="R1442" s="57"/>
      <c r="S1442" s="58"/>
    </row>
    <row r="1443" spans="1:19" x14ac:dyDescent="0.25">
      <c r="A1443" s="51" t="str">
        <f>(COUNTIF($K$2:K1443,K1443))&amp;K1443</f>
        <v>1</v>
      </c>
      <c r="B1443" s="52"/>
      <c r="C1443" s="53"/>
      <c r="D1443" s="54"/>
      <c r="E1443" s="55"/>
      <c r="F1443" s="55"/>
      <c r="G1443" s="55"/>
      <c r="H1443" s="55"/>
      <c r="I1443" s="55"/>
      <c r="J1443" s="55"/>
      <c r="K1443" s="56"/>
      <c r="L1443" s="55"/>
      <c r="M1443" s="55"/>
      <c r="N1443" s="55"/>
      <c r="O1443" s="55"/>
      <c r="P1443" s="55"/>
      <c r="Q1443" s="55"/>
      <c r="R1443" s="57"/>
      <c r="S1443" s="58"/>
    </row>
    <row r="1444" spans="1:19" x14ac:dyDescent="0.25">
      <c r="A1444" s="51" t="str">
        <f>(COUNTIF($K$2:K1444,K1444))&amp;K1444</f>
        <v>1</v>
      </c>
      <c r="B1444" s="52"/>
      <c r="C1444" s="53"/>
      <c r="D1444" s="54"/>
      <c r="E1444" s="55"/>
      <c r="F1444" s="55"/>
      <c r="G1444" s="55"/>
      <c r="H1444" s="55"/>
      <c r="I1444" s="55"/>
      <c r="J1444" s="55"/>
      <c r="K1444" s="56"/>
      <c r="L1444" s="55"/>
      <c r="M1444" s="55"/>
      <c r="N1444" s="55"/>
      <c r="O1444" s="55"/>
      <c r="P1444" s="55"/>
      <c r="Q1444" s="55"/>
      <c r="R1444" s="57"/>
      <c r="S1444" s="58"/>
    </row>
    <row r="1445" spans="1:19" x14ac:dyDescent="0.25">
      <c r="A1445" s="51" t="str">
        <f>(COUNTIF($K$2:K1445,K1445))&amp;K1445</f>
        <v>1</v>
      </c>
      <c r="B1445" s="52"/>
      <c r="C1445" s="53"/>
      <c r="D1445" s="54"/>
      <c r="E1445" s="55"/>
      <c r="F1445" s="55"/>
      <c r="G1445" s="55"/>
      <c r="H1445" s="55"/>
      <c r="I1445" s="55"/>
      <c r="J1445" s="55"/>
      <c r="K1445" s="56"/>
      <c r="L1445" s="55"/>
      <c r="M1445" s="55"/>
      <c r="N1445" s="55"/>
      <c r="O1445" s="55"/>
      <c r="P1445" s="55"/>
      <c r="Q1445" s="55"/>
      <c r="R1445" s="57"/>
      <c r="S1445" s="58"/>
    </row>
    <row r="1446" spans="1:19" x14ac:dyDescent="0.25">
      <c r="A1446" s="51" t="str">
        <f>(COUNTIF($K$2:K1446,K1446))&amp;K1446</f>
        <v>1</v>
      </c>
      <c r="B1446" s="52"/>
      <c r="C1446" s="60"/>
      <c r="E1446" s="61"/>
      <c r="F1446" s="62"/>
      <c r="G1446" s="63"/>
      <c r="H1446" s="64"/>
      <c r="I1446" s="64"/>
      <c r="J1446" s="64"/>
      <c r="K1446" s="65"/>
      <c r="L1446" s="64"/>
      <c r="M1446" s="64"/>
      <c r="N1446" s="64"/>
      <c r="P1446" s="63"/>
      <c r="Q1446" s="61"/>
      <c r="R1446" s="64"/>
      <c r="S1446" s="64"/>
    </row>
    <row r="1447" spans="1:19" x14ac:dyDescent="0.25">
      <c r="A1447" s="51" t="str">
        <f>(COUNTIF($K$2:K1447,K1447))&amp;K1447</f>
        <v>1</v>
      </c>
      <c r="B1447" s="52"/>
      <c r="C1447" s="53"/>
      <c r="D1447" s="54"/>
      <c r="E1447" s="55"/>
      <c r="F1447" s="55"/>
      <c r="G1447" s="55"/>
      <c r="H1447" s="55"/>
      <c r="I1447" s="55"/>
      <c r="J1447" s="55"/>
      <c r="K1447" s="56"/>
      <c r="L1447" s="55"/>
      <c r="M1447" s="55"/>
      <c r="N1447" s="55"/>
      <c r="O1447" s="55"/>
      <c r="P1447" s="55"/>
      <c r="Q1447" s="55"/>
      <c r="R1447" s="57"/>
      <c r="S1447" s="58"/>
    </row>
    <row r="1448" spans="1:19" x14ac:dyDescent="0.25">
      <c r="A1448" s="51" t="str">
        <f>(COUNTIF($K$2:K1448,K1448))&amp;K1448</f>
        <v>1</v>
      </c>
      <c r="B1448" s="52"/>
      <c r="C1448" s="53"/>
      <c r="D1448" s="54"/>
      <c r="E1448" s="55"/>
      <c r="F1448" s="55"/>
      <c r="G1448" s="55"/>
      <c r="H1448" s="55"/>
      <c r="I1448" s="55"/>
      <c r="J1448" s="55"/>
      <c r="K1448" s="56"/>
      <c r="L1448" s="55"/>
      <c r="M1448" s="55"/>
      <c r="N1448" s="55"/>
      <c r="O1448" s="55"/>
      <c r="P1448" s="55"/>
      <c r="Q1448" s="55"/>
      <c r="R1448" s="57"/>
      <c r="S1448" s="58"/>
    </row>
    <row r="1449" spans="1:19" x14ac:dyDescent="0.25">
      <c r="A1449" s="51" t="str">
        <f>(COUNTIF($K$2:K1449,K1449))&amp;K1449</f>
        <v>1</v>
      </c>
      <c r="B1449" s="52"/>
      <c r="C1449" s="53"/>
      <c r="D1449" s="54"/>
      <c r="E1449" s="55"/>
      <c r="F1449" s="55"/>
      <c r="G1449" s="55"/>
      <c r="H1449" s="55"/>
      <c r="I1449" s="55"/>
      <c r="J1449" s="55"/>
      <c r="K1449" s="56"/>
      <c r="L1449" s="55"/>
      <c r="M1449" s="55"/>
      <c r="N1449" s="55"/>
      <c r="O1449" s="55"/>
      <c r="P1449" s="55"/>
      <c r="Q1449" s="55"/>
      <c r="R1449" s="57"/>
      <c r="S1449" s="58"/>
    </row>
    <row r="1450" spans="1:19" x14ac:dyDescent="0.25">
      <c r="A1450" s="51" t="str">
        <f>(COUNTIF($K$2:K1450,K1450))&amp;K1450</f>
        <v>1</v>
      </c>
      <c r="B1450" s="52"/>
      <c r="C1450" s="53"/>
      <c r="D1450" s="54"/>
      <c r="E1450" s="55"/>
      <c r="F1450" s="55"/>
      <c r="G1450" s="55"/>
      <c r="H1450" s="55"/>
      <c r="I1450" s="55"/>
      <c r="J1450" s="55"/>
      <c r="K1450" s="56"/>
      <c r="L1450" s="55"/>
      <c r="M1450" s="55"/>
      <c r="N1450" s="55"/>
      <c r="O1450" s="55"/>
      <c r="P1450" s="55"/>
      <c r="Q1450" s="55"/>
      <c r="R1450" s="57"/>
      <c r="S1450" s="58"/>
    </row>
    <row r="1451" spans="1:19" x14ac:dyDescent="0.25">
      <c r="A1451" s="51" t="str">
        <f>(COUNTIF($K$2:K1451,K1451))&amp;K1451</f>
        <v>1</v>
      </c>
      <c r="B1451" s="52"/>
      <c r="C1451" s="53"/>
      <c r="D1451" s="54"/>
      <c r="E1451" s="55"/>
      <c r="F1451" s="55"/>
      <c r="G1451" s="55"/>
      <c r="H1451" s="55"/>
      <c r="I1451" s="55"/>
      <c r="J1451" s="55"/>
      <c r="K1451" s="56"/>
      <c r="L1451" s="55"/>
      <c r="M1451" s="55"/>
      <c r="N1451" s="55"/>
      <c r="O1451" s="55"/>
      <c r="P1451" s="55"/>
      <c r="Q1451" s="55"/>
      <c r="R1451" s="57"/>
      <c r="S1451" s="58"/>
    </row>
    <row r="1452" spans="1:19" x14ac:dyDescent="0.25">
      <c r="A1452" s="51" t="str">
        <f>(COUNTIF($K$2:K1452,K1452))&amp;K1452</f>
        <v>1</v>
      </c>
      <c r="B1452" s="52"/>
      <c r="C1452" s="53"/>
      <c r="D1452" s="54"/>
      <c r="E1452" s="55"/>
      <c r="F1452" s="55"/>
      <c r="G1452" s="55"/>
      <c r="H1452" s="55"/>
      <c r="I1452" s="55"/>
      <c r="J1452" s="55"/>
      <c r="K1452" s="56"/>
      <c r="L1452" s="55"/>
      <c r="M1452" s="55"/>
      <c r="N1452" s="55"/>
      <c r="O1452" s="55"/>
      <c r="P1452" s="55"/>
      <c r="Q1452" s="55"/>
      <c r="R1452" s="57"/>
      <c r="S1452" s="58"/>
    </row>
    <row r="1453" spans="1:19" x14ac:dyDescent="0.25">
      <c r="A1453" s="51" t="str">
        <f>(COUNTIF($K$2:K1453,K1453))&amp;K1453</f>
        <v>1</v>
      </c>
      <c r="B1453" s="52"/>
      <c r="C1453" s="53"/>
      <c r="D1453" s="54"/>
      <c r="E1453" s="55"/>
      <c r="F1453" s="55"/>
      <c r="G1453" s="55"/>
      <c r="H1453" s="55"/>
      <c r="I1453" s="55"/>
      <c r="J1453" s="55"/>
      <c r="K1453" s="56"/>
      <c r="L1453" s="55"/>
      <c r="M1453" s="55"/>
      <c r="N1453" s="55"/>
      <c r="O1453" s="55"/>
      <c r="P1453" s="55"/>
      <c r="Q1453" s="55"/>
      <c r="R1453" s="57"/>
      <c r="S1453" s="58"/>
    </row>
    <row r="1454" spans="1:19" x14ac:dyDescent="0.25">
      <c r="A1454" s="51" t="str">
        <f>(COUNTIF($K$2:K1454,K1454))&amp;K1454</f>
        <v>1</v>
      </c>
      <c r="B1454" s="52"/>
      <c r="C1454" s="53"/>
      <c r="D1454" s="54"/>
      <c r="E1454" s="55"/>
      <c r="F1454" s="55"/>
      <c r="G1454" s="55"/>
      <c r="H1454" s="55"/>
      <c r="I1454" s="55"/>
      <c r="J1454" s="55"/>
      <c r="K1454" s="56"/>
      <c r="L1454" s="55"/>
      <c r="M1454" s="55"/>
      <c r="N1454" s="55"/>
      <c r="O1454" s="55"/>
      <c r="P1454" s="55"/>
      <c r="Q1454" s="55"/>
      <c r="R1454" s="57"/>
      <c r="S1454" s="58"/>
    </row>
    <row r="1455" spans="1:19" ht="15.75" x14ac:dyDescent="0.25">
      <c r="A1455" s="51" t="str">
        <f>(COUNTIF($K$2:K1455,K1455))&amp;K1455</f>
        <v>1</v>
      </c>
      <c r="B1455" s="52"/>
      <c r="C1455" s="53"/>
      <c r="D1455" s="54"/>
      <c r="E1455" s="55"/>
      <c r="F1455" s="55"/>
      <c r="G1455" s="55"/>
      <c r="H1455" s="55"/>
      <c r="I1455" s="55"/>
      <c r="J1455" s="55"/>
      <c r="K1455" s="59"/>
      <c r="L1455" s="55"/>
      <c r="M1455" s="55"/>
      <c r="N1455" s="55"/>
      <c r="O1455" s="55"/>
      <c r="P1455" s="55"/>
      <c r="Q1455" s="55"/>
      <c r="R1455" s="57"/>
      <c r="S1455" s="58"/>
    </row>
    <row r="1456" spans="1:19" x14ac:dyDescent="0.25">
      <c r="A1456" s="51" t="str">
        <f>(COUNTIF($K$2:K1456,K1456))&amp;K1456</f>
        <v>1</v>
      </c>
      <c r="B1456" s="52"/>
      <c r="C1456" s="53"/>
      <c r="D1456" s="54"/>
      <c r="E1456" s="55"/>
      <c r="F1456" s="55"/>
      <c r="G1456" s="55"/>
      <c r="H1456" s="55"/>
      <c r="I1456" s="55"/>
      <c r="J1456" s="55"/>
      <c r="K1456" s="56"/>
      <c r="L1456" s="55"/>
      <c r="M1456" s="55"/>
      <c r="N1456" s="55"/>
      <c r="O1456" s="55"/>
      <c r="P1456" s="55"/>
      <c r="Q1456" s="55"/>
      <c r="R1456" s="57"/>
      <c r="S1456" s="58"/>
    </row>
    <row r="1457" spans="1:19" x14ac:dyDescent="0.25">
      <c r="A1457" s="51" t="str">
        <f>(COUNTIF($K$2:K1457,K1457))&amp;K1457</f>
        <v>1</v>
      </c>
      <c r="B1457" s="52"/>
      <c r="C1457" s="53"/>
      <c r="D1457" s="54"/>
      <c r="E1457" s="55"/>
      <c r="F1457" s="55"/>
      <c r="G1457" s="55"/>
      <c r="H1457" s="55"/>
      <c r="I1457" s="55"/>
      <c r="J1457" s="55"/>
      <c r="K1457" s="56"/>
      <c r="L1457" s="55"/>
      <c r="M1457" s="55"/>
      <c r="N1457" s="55"/>
      <c r="O1457" s="55"/>
      <c r="P1457" s="55"/>
      <c r="Q1457" s="55"/>
      <c r="R1457" s="57"/>
      <c r="S1457" s="58"/>
    </row>
    <row r="1458" spans="1:19" x14ac:dyDescent="0.25">
      <c r="A1458" s="51" t="str">
        <f>(COUNTIF($K$2:K1458,K1458))&amp;K1458</f>
        <v>1</v>
      </c>
      <c r="B1458" s="52"/>
      <c r="C1458" s="53"/>
      <c r="D1458" s="54"/>
      <c r="E1458" s="55"/>
      <c r="F1458" s="55"/>
      <c r="G1458" s="55"/>
      <c r="H1458" s="55"/>
      <c r="I1458" s="55"/>
      <c r="J1458" s="55"/>
      <c r="K1458" s="56"/>
      <c r="L1458" s="55"/>
      <c r="M1458" s="55"/>
      <c r="N1458" s="55"/>
      <c r="O1458" s="55"/>
      <c r="P1458" s="55"/>
      <c r="Q1458" s="55"/>
      <c r="R1458" s="57"/>
      <c r="S1458" s="58"/>
    </row>
    <row r="1459" spans="1:19" x14ac:dyDescent="0.25">
      <c r="A1459" s="51" t="str">
        <f>(COUNTIF($K$2:K1459,K1459))&amp;K1459</f>
        <v>1</v>
      </c>
      <c r="B1459" s="52"/>
      <c r="C1459" s="53"/>
      <c r="D1459" s="54"/>
      <c r="E1459" s="55"/>
      <c r="F1459" s="55"/>
      <c r="G1459" s="55"/>
      <c r="H1459" s="55"/>
      <c r="I1459" s="55"/>
      <c r="J1459" s="55"/>
      <c r="K1459" s="56"/>
      <c r="L1459" s="55"/>
      <c r="M1459" s="55"/>
      <c r="N1459" s="55"/>
      <c r="O1459" s="55"/>
      <c r="P1459" s="55"/>
      <c r="Q1459" s="55"/>
      <c r="R1459" s="57"/>
      <c r="S1459" s="58"/>
    </row>
    <row r="1460" spans="1:19" x14ac:dyDescent="0.25">
      <c r="A1460" s="51" t="str">
        <f>(COUNTIF($K$2:K1460,K1460))&amp;K1460</f>
        <v>1</v>
      </c>
      <c r="B1460" s="52"/>
      <c r="C1460" s="53"/>
      <c r="D1460" s="54"/>
      <c r="E1460" s="55"/>
      <c r="F1460" s="55"/>
      <c r="G1460" s="55"/>
      <c r="H1460" s="55"/>
      <c r="I1460" s="55"/>
      <c r="J1460" s="55"/>
      <c r="K1460" s="56"/>
      <c r="L1460" s="55"/>
      <c r="M1460" s="55"/>
      <c r="N1460" s="55"/>
      <c r="O1460" s="55"/>
      <c r="P1460" s="55"/>
      <c r="Q1460" s="55"/>
      <c r="R1460" s="57"/>
      <c r="S1460" s="58"/>
    </row>
    <row r="1461" spans="1:19" x14ac:dyDescent="0.25">
      <c r="A1461" s="51" t="str">
        <f>(COUNTIF($K$2:K1461,K1461))&amp;K1461</f>
        <v>1</v>
      </c>
      <c r="B1461" s="52"/>
      <c r="C1461" s="53"/>
      <c r="D1461" s="54"/>
      <c r="E1461" s="55"/>
      <c r="F1461" s="55"/>
      <c r="G1461" s="55"/>
      <c r="H1461" s="55"/>
      <c r="I1461" s="55"/>
      <c r="J1461" s="55"/>
      <c r="K1461" s="56"/>
      <c r="L1461" s="55"/>
      <c r="M1461" s="55"/>
      <c r="N1461" s="55"/>
      <c r="O1461" s="55"/>
      <c r="P1461" s="55"/>
      <c r="Q1461" s="55"/>
      <c r="R1461" s="57"/>
      <c r="S1461" s="58"/>
    </row>
    <row r="1462" spans="1:19" x14ac:dyDescent="0.25">
      <c r="A1462" s="51" t="str">
        <f>(COUNTIF($K$2:K1462,K1462))&amp;K1462</f>
        <v>1</v>
      </c>
      <c r="B1462" s="52"/>
      <c r="C1462" s="53"/>
      <c r="D1462" s="54"/>
      <c r="E1462" s="55"/>
      <c r="F1462" s="55"/>
      <c r="G1462" s="55"/>
      <c r="H1462" s="55"/>
      <c r="I1462" s="55"/>
      <c r="J1462" s="55"/>
      <c r="K1462" s="56"/>
      <c r="L1462" s="55"/>
      <c r="M1462" s="55"/>
      <c r="N1462" s="55"/>
      <c r="O1462" s="55"/>
      <c r="P1462" s="55"/>
      <c r="Q1462" s="55"/>
      <c r="R1462" s="57"/>
      <c r="S1462" s="58"/>
    </row>
    <row r="1463" spans="1:19" x14ac:dyDescent="0.25">
      <c r="A1463" s="51" t="str">
        <f>(COUNTIF($K$2:K1463,K1463))&amp;K1463</f>
        <v>1</v>
      </c>
      <c r="B1463" s="52"/>
      <c r="C1463" s="60"/>
      <c r="E1463" s="61"/>
      <c r="F1463" s="62"/>
      <c r="G1463" s="63"/>
      <c r="H1463" s="64"/>
      <c r="I1463" s="64"/>
      <c r="J1463" s="64"/>
      <c r="K1463" s="65"/>
      <c r="L1463" s="64"/>
      <c r="M1463" s="64"/>
      <c r="N1463" s="64"/>
      <c r="P1463" s="63"/>
      <c r="Q1463" s="61"/>
      <c r="R1463" s="64"/>
      <c r="S1463" s="64"/>
    </row>
    <row r="1464" spans="1:19" x14ac:dyDescent="0.25">
      <c r="A1464" s="51" t="str">
        <f>(COUNTIF($K$2:K1464,K1464))&amp;K1464</f>
        <v>1</v>
      </c>
      <c r="B1464" s="52"/>
      <c r="C1464" s="53"/>
      <c r="D1464" s="54"/>
      <c r="E1464" s="55"/>
      <c r="F1464" s="55"/>
      <c r="G1464" s="55"/>
      <c r="H1464" s="55"/>
      <c r="I1464" s="55"/>
      <c r="J1464" s="55"/>
      <c r="K1464" s="56"/>
      <c r="L1464" s="55"/>
      <c r="M1464" s="55"/>
      <c r="N1464" s="55"/>
      <c r="O1464" s="55"/>
      <c r="P1464" s="55"/>
      <c r="Q1464" s="55"/>
      <c r="R1464" s="57"/>
      <c r="S1464" s="58"/>
    </row>
    <row r="1465" spans="1:19" x14ac:dyDescent="0.25">
      <c r="A1465" s="51" t="str">
        <f>(COUNTIF($K$2:K1465,K1465))&amp;K1465</f>
        <v>1</v>
      </c>
      <c r="B1465" s="52"/>
      <c r="C1465" s="53"/>
      <c r="D1465" s="54"/>
      <c r="E1465" s="55"/>
      <c r="F1465" s="55"/>
      <c r="G1465" s="55"/>
      <c r="H1465" s="55"/>
      <c r="I1465" s="55"/>
      <c r="J1465" s="55"/>
      <c r="K1465" s="56"/>
      <c r="L1465" s="55"/>
      <c r="M1465" s="55"/>
      <c r="N1465" s="55"/>
      <c r="O1465" s="55"/>
      <c r="P1465" s="55"/>
      <c r="Q1465" s="55"/>
      <c r="R1465" s="57"/>
      <c r="S1465" s="58"/>
    </row>
    <row r="1466" spans="1:19" x14ac:dyDescent="0.25">
      <c r="A1466" s="51" t="str">
        <f>(COUNTIF($K$2:K1466,K1466))&amp;K1466</f>
        <v>1</v>
      </c>
      <c r="B1466" s="52"/>
      <c r="C1466" s="53"/>
      <c r="D1466" s="54"/>
      <c r="E1466" s="55"/>
      <c r="F1466" s="55"/>
      <c r="G1466" s="55"/>
      <c r="H1466" s="55"/>
      <c r="I1466" s="55"/>
      <c r="J1466" s="55"/>
      <c r="K1466" s="56"/>
      <c r="L1466" s="55"/>
      <c r="M1466" s="55"/>
      <c r="N1466" s="55"/>
      <c r="O1466" s="55"/>
      <c r="P1466" s="55"/>
      <c r="Q1466" s="55"/>
      <c r="R1466" s="57"/>
      <c r="S1466" s="58"/>
    </row>
    <row r="1467" spans="1:19" x14ac:dyDescent="0.25">
      <c r="A1467" s="51" t="str">
        <f>(COUNTIF($K$2:K1467,K1467))&amp;K1467</f>
        <v>1</v>
      </c>
      <c r="B1467" s="52"/>
      <c r="C1467" s="53"/>
      <c r="D1467" s="54"/>
      <c r="E1467" s="55"/>
      <c r="F1467" s="55"/>
      <c r="G1467" s="55"/>
      <c r="H1467" s="55"/>
      <c r="I1467" s="55"/>
      <c r="J1467" s="55"/>
      <c r="K1467" s="56"/>
      <c r="L1467" s="55"/>
      <c r="M1467" s="55"/>
      <c r="N1467" s="55"/>
      <c r="O1467" s="55"/>
      <c r="P1467" s="55"/>
      <c r="Q1467" s="55"/>
      <c r="R1467" s="57"/>
      <c r="S1467" s="58"/>
    </row>
    <row r="1468" spans="1:19" x14ac:dyDescent="0.25">
      <c r="A1468" s="51" t="str">
        <f>(COUNTIF($K$2:K1468,K1468))&amp;K1468</f>
        <v>1</v>
      </c>
      <c r="B1468" s="52"/>
      <c r="C1468" s="53"/>
      <c r="D1468" s="54"/>
      <c r="E1468" s="55"/>
      <c r="F1468" s="55"/>
      <c r="G1468" s="55"/>
      <c r="H1468" s="55"/>
      <c r="I1468" s="55"/>
      <c r="J1468" s="55"/>
      <c r="K1468" s="56"/>
      <c r="L1468" s="55"/>
      <c r="M1468" s="55"/>
      <c r="N1468" s="55"/>
      <c r="O1468" s="55"/>
      <c r="P1468" s="55"/>
      <c r="Q1468" s="55"/>
      <c r="R1468" s="57"/>
      <c r="S1468" s="58"/>
    </row>
    <row r="1469" spans="1:19" x14ac:dyDescent="0.25">
      <c r="A1469" s="51" t="str">
        <f>(COUNTIF($K$2:K1469,K1469))&amp;K1469</f>
        <v>1</v>
      </c>
      <c r="B1469" s="52"/>
      <c r="C1469" s="53"/>
      <c r="D1469" s="54"/>
      <c r="E1469" s="55"/>
      <c r="F1469" s="55"/>
      <c r="G1469" s="55"/>
      <c r="H1469" s="55"/>
      <c r="I1469" s="55"/>
      <c r="J1469" s="55"/>
      <c r="K1469" s="56"/>
      <c r="L1469" s="55"/>
      <c r="M1469" s="55"/>
      <c r="N1469" s="55"/>
      <c r="O1469" s="55"/>
      <c r="P1469" s="55"/>
      <c r="Q1469" s="55"/>
      <c r="R1469" s="57"/>
      <c r="S1469" s="58"/>
    </row>
    <row r="1470" spans="1:19" x14ac:dyDescent="0.25">
      <c r="A1470" s="51" t="str">
        <f>(COUNTIF($K$2:K1470,K1470))&amp;K1470</f>
        <v>1</v>
      </c>
      <c r="B1470" s="52"/>
      <c r="C1470" s="53"/>
      <c r="D1470" s="54"/>
      <c r="E1470" s="55"/>
      <c r="F1470" s="55"/>
      <c r="G1470" s="55"/>
      <c r="H1470" s="55"/>
      <c r="I1470" s="55"/>
      <c r="J1470" s="55"/>
      <c r="K1470" s="56"/>
      <c r="L1470" s="55"/>
      <c r="M1470" s="55"/>
      <c r="N1470" s="55"/>
      <c r="O1470" s="55"/>
      <c r="P1470" s="55"/>
      <c r="Q1470" s="55"/>
      <c r="R1470" s="57"/>
      <c r="S1470" s="58"/>
    </row>
    <row r="1471" spans="1:19" x14ac:dyDescent="0.25">
      <c r="A1471" s="51" t="str">
        <f>(COUNTIF($K$2:K1471,K1471))&amp;K1471</f>
        <v>1</v>
      </c>
      <c r="B1471" s="52"/>
      <c r="C1471" s="53"/>
      <c r="D1471" s="54"/>
      <c r="E1471" s="55"/>
      <c r="F1471" s="55"/>
      <c r="G1471" s="55"/>
      <c r="H1471" s="55"/>
      <c r="I1471" s="55"/>
      <c r="J1471" s="55"/>
      <c r="K1471" s="56"/>
      <c r="L1471" s="55"/>
      <c r="M1471" s="55"/>
      <c r="N1471" s="55"/>
      <c r="O1471" s="55"/>
      <c r="P1471" s="55"/>
      <c r="Q1471" s="55"/>
      <c r="R1471" s="57"/>
      <c r="S1471" s="58"/>
    </row>
    <row r="1472" spans="1:19" ht="15.75" x14ac:dyDescent="0.25">
      <c r="A1472" s="51" t="str">
        <f>(COUNTIF($K$2:K1472,K1472))&amp;K1472</f>
        <v>1</v>
      </c>
      <c r="B1472" s="52"/>
      <c r="C1472" s="53"/>
      <c r="D1472" s="54"/>
      <c r="E1472" s="55"/>
      <c r="F1472" s="55"/>
      <c r="G1472" s="55"/>
      <c r="H1472" s="55"/>
      <c r="I1472" s="55"/>
      <c r="J1472" s="55"/>
      <c r="K1472" s="59"/>
      <c r="L1472" s="55"/>
      <c r="M1472" s="55"/>
      <c r="N1472" s="55"/>
      <c r="O1472" s="55"/>
      <c r="P1472" s="55"/>
      <c r="Q1472" s="55"/>
      <c r="R1472" s="57"/>
      <c r="S1472" s="58"/>
    </row>
    <row r="1473" spans="1:19" x14ac:dyDescent="0.25">
      <c r="A1473" s="51" t="str">
        <f>(COUNTIF($K$2:K1473,K1473))&amp;K1473</f>
        <v>1</v>
      </c>
      <c r="B1473" s="52"/>
      <c r="C1473" s="53"/>
      <c r="D1473" s="54"/>
      <c r="E1473" s="55"/>
      <c r="F1473" s="55"/>
      <c r="G1473" s="55"/>
      <c r="H1473" s="55"/>
      <c r="I1473" s="55"/>
      <c r="J1473" s="55"/>
      <c r="K1473" s="56"/>
      <c r="L1473" s="55"/>
      <c r="M1473" s="55"/>
      <c r="N1473" s="55"/>
      <c r="O1473" s="55"/>
      <c r="P1473" s="55"/>
      <c r="Q1473" s="55"/>
      <c r="R1473" s="57"/>
      <c r="S1473" s="58"/>
    </row>
    <row r="1474" spans="1:19" x14ac:dyDescent="0.25">
      <c r="A1474" s="51" t="str">
        <f>(COUNTIF($K$2:K1474,K1474))&amp;K1474</f>
        <v>1</v>
      </c>
      <c r="B1474" s="52"/>
      <c r="C1474" s="53"/>
      <c r="D1474" s="54"/>
      <c r="E1474" s="55"/>
      <c r="F1474" s="55"/>
      <c r="G1474" s="55"/>
      <c r="H1474" s="55"/>
      <c r="I1474" s="55"/>
      <c r="J1474" s="55"/>
      <c r="K1474" s="56"/>
      <c r="L1474" s="55"/>
      <c r="M1474" s="55"/>
      <c r="N1474" s="55"/>
      <c r="O1474" s="55"/>
      <c r="P1474" s="55"/>
      <c r="Q1474" s="55"/>
      <c r="R1474" s="57"/>
      <c r="S1474" s="58"/>
    </row>
    <row r="1475" spans="1:19" x14ac:dyDescent="0.25">
      <c r="A1475" s="51" t="str">
        <f>(COUNTIF($K$2:K1475,K1475))&amp;K1475</f>
        <v>1</v>
      </c>
      <c r="B1475" s="52"/>
      <c r="C1475" s="53"/>
      <c r="D1475" s="54"/>
      <c r="E1475" s="55"/>
      <c r="F1475" s="55"/>
      <c r="G1475" s="55"/>
      <c r="H1475" s="55"/>
      <c r="I1475" s="55"/>
      <c r="J1475" s="55"/>
      <c r="K1475" s="56"/>
      <c r="L1475" s="55"/>
      <c r="M1475" s="55"/>
      <c r="N1475" s="55"/>
      <c r="O1475" s="55"/>
      <c r="P1475" s="55"/>
      <c r="Q1475" s="55"/>
      <c r="R1475" s="57"/>
      <c r="S1475" s="58"/>
    </row>
    <row r="1476" spans="1:19" x14ac:dyDescent="0.25">
      <c r="A1476" s="51" t="str">
        <f>(COUNTIF($K$2:K1476,K1476))&amp;K1476</f>
        <v>1</v>
      </c>
      <c r="B1476" s="52"/>
      <c r="C1476" s="53"/>
      <c r="D1476" s="54"/>
      <c r="E1476" s="55"/>
      <c r="F1476" s="55"/>
      <c r="G1476" s="55"/>
      <c r="H1476" s="55"/>
      <c r="I1476" s="55"/>
      <c r="J1476" s="55"/>
      <c r="K1476" s="56"/>
      <c r="L1476" s="55"/>
      <c r="M1476" s="55"/>
      <c r="N1476" s="55"/>
      <c r="O1476" s="55"/>
      <c r="P1476" s="55"/>
      <c r="Q1476" s="55"/>
      <c r="R1476" s="57"/>
      <c r="S1476" s="58"/>
    </row>
    <row r="1477" spans="1:19" x14ac:dyDescent="0.25">
      <c r="A1477" s="51" t="str">
        <f>(COUNTIF($K$2:K1477,K1477))&amp;K1477</f>
        <v>1</v>
      </c>
      <c r="B1477" s="52"/>
      <c r="C1477" s="53"/>
      <c r="D1477" s="54"/>
      <c r="E1477" s="55"/>
      <c r="F1477" s="55"/>
      <c r="G1477" s="55"/>
      <c r="H1477" s="55"/>
      <c r="I1477" s="55"/>
      <c r="J1477" s="55"/>
      <c r="K1477" s="56"/>
      <c r="L1477" s="55"/>
      <c r="M1477" s="55"/>
      <c r="N1477" s="55"/>
      <c r="O1477" s="55"/>
      <c r="P1477" s="55"/>
      <c r="Q1477" s="55"/>
      <c r="R1477" s="57"/>
      <c r="S1477" s="58"/>
    </row>
    <row r="1478" spans="1:19" x14ac:dyDescent="0.25">
      <c r="A1478" s="51" t="str">
        <f>(COUNTIF($K$2:K1478,K1478))&amp;K1478</f>
        <v>1</v>
      </c>
      <c r="B1478" s="52"/>
      <c r="C1478" s="53"/>
      <c r="D1478" s="54"/>
      <c r="E1478" s="55"/>
      <c r="F1478" s="55"/>
      <c r="G1478" s="55"/>
      <c r="H1478" s="55"/>
      <c r="I1478" s="55"/>
      <c r="J1478" s="55"/>
      <c r="K1478" s="56"/>
      <c r="L1478" s="55"/>
      <c r="M1478" s="55"/>
      <c r="N1478" s="55"/>
      <c r="O1478" s="55"/>
      <c r="P1478" s="55"/>
      <c r="Q1478" s="55"/>
      <c r="R1478" s="57"/>
      <c r="S1478" s="58"/>
    </row>
    <row r="1479" spans="1:19" x14ac:dyDescent="0.25">
      <c r="A1479" s="51" t="str">
        <f>(COUNTIF($K$2:K1479,K1479))&amp;K1479</f>
        <v>1</v>
      </c>
      <c r="B1479" s="52"/>
      <c r="C1479" s="53"/>
      <c r="D1479" s="54"/>
      <c r="E1479" s="55"/>
      <c r="F1479" s="55"/>
      <c r="G1479" s="55"/>
      <c r="H1479" s="55"/>
      <c r="I1479" s="55"/>
      <c r="J1479" s="55"/>
      <c r="K1479" s="56"/>
      <c r="L1479" s="55"/>
      <c r="M1479" s="55"/>
      <c r="N1479" s="55"/>
      <c r="O1479" s="55"/>
      <c r="P1479" s="55"/>
      <c r="Q1479" s="55"/>
      <c r="R1479" s="57"/>
      <c r="S1479" s="58"/>
    </row>
    <row r="1480" spans="1:19" x14ac:dyDescent="0.25">
      <c r="A1480" s="51" t="str">
        <f>(COUNTIF($K$2:K1480,K1480))&amp;K1480</f>
        <v>1</v>
      </c>
      <c r="B1480" s="52"/>
      <c r="C1480" s="60"/>
      <c r="E1480" s="61"/>
      <c r="F1480" s="62"/>
      <c r="G1480" s="63"/>
      <c r="H1480" s="64"/>
      <c r="I1480" s="64"/>
      <c r="J1480" s="64"/>
      <c r="K1480" s="65"/>
      <c r="L1480" s="64"/>
      <c r="M1480" s="64"/>
      <c r="N1480" s="64"/>
      <c r="P1480" s="63"/>
      <c r="Q1480" s="61"/>
      <c r="R1480" s="64"/>
      <c r="S1480" s="64"/>
    </row>
    <row r="1481" spans="1:19" x14ac:dyDescent="0.25">
      <c r="A1481" s="51" t="str">
        <f>(COUNTIF($K$2:K1481,K1481))&amp;K1481</f>
        <v>1</v>
      </c>
      <c r="B1481" s="52"/>
      <c r="C1481" s="53"/>
      <c r="D1481" s="54"/>
      <c r="E1481" s="55"/>
      <c r="F1481" s="55"/>
      <c r="G1481" s="55"/>
      <c r="H1481" s="55"/>
      <c r="I1481" s="55"/>
      <c r="J1481" s="55"/>
      <c r="K1481" s="56"/>
      <c r="L1481" s="55"/>
      <c r="M1481" s="55"/>
      <c r="N1481" s="55"/>
      <c r="O1481" s="55"/>
      <c r="P1481" s="55"/>
      <c r="Q1481" s="55"/>
      <c r="R1481" s="57"/>
      <c r="S1481" s="58"/>
    </row>
    <row r="1482" spans="1:19" x14ac:dyDescent="0.25">
      <c r="A1482" s="51" t="str">
        <f>(COUNTIF($K$2:K1482,K1482))&amp;K1482</f>
        <v>1</v>
      </c>
      <c r="B1482" s="52"/>
      <c r="C1482" s="53"/>
      <c r="D1482" s="54"/>
      <c r="E1482" s="55"/>
      <c r="F1482" s="55"/>
      <c r="G1482" s="55"/>
      <c r="H1482" s="55"/>
      <c r="I1482" s="55"/>
      <c r="J1482" s="55"/>
      <c r="K1482" s="56"/>
      <c r="L1482" s="55"/>
      <c r="M1482" s="55"/>
      <c r="N1482" s="55"/>
      <c r="O1482" s="55"/>
      <c r="P1482" s="55"/>
      <c r="Q1482" s="55"/>
      <c r="R1482" s="57"/>
      <c r="S1482" s="58"/>
    </row>
    <row r="1483" spans="1:19" x14ac:dyDescent="0.25">
      <c r="A1483" s="51" t="str">
        <f>(COUNTIF($K$2:K1483,K1483))&amp;K1483</f>
        <v>1</v>
      </c>
      <c r="B1483" s="52"/>
      <c r="C1483" s="53"/>
      <c r="D1483" s="54"/>
      <c r="E1483" s="55"/>
      <c r="F1483" s="55"/>
      <c r="G1483" s="55"/>
      <c r="H1483" s="55"/>
      <c r="I1483" s="55"/>
      <c r="J1483" s="55"/>
      <c r="K1483" s="56"/>
      <c r="L1483" s="55"/>
      <c r="M1483" s="55"/>
      <c r="N1483" s="55"/>
      <c r="O1483" s="55"/>
      <c r="P1483" s="55"/>
      <c r="Q1483" s="55"/>
      <c r="R1483" s="57"/>
      <c r="S1483" s="58"/>
    </row>
    <row r="1484" spans="1:19" x14ac:dyDescent="0.25">
      <c r="A1484" s="51" t="str">
        <f>(COUNTIF($K$2:K1484,K1484))&amp;K1484</f>
        <v>1</v>
      </c>
      <c r="B1484" s="52"/>
      <c r="C1484" s="53"/>
      <c r="D1484" s="54"/>
      <c r="E1484" s="55"/>
      <c r="F1484" s="55"/>
      <c r="G1484" s="55"/>
      <c r="H1484" s="55"/>
      <c r="I1484" s="55"/>
      <c r="J1484" s="55"/>
      <c r="K1484" s="56"/>
      <c r="L1484" s="55"/>
      <c r="M1484" s="55"/>
      <c r="N1484" s="55"/>
      <c r="O1484" s="55"/>
      <c r="P1484" s="55"/>
      <c r="Q1484" s="55"/>
      <c r="R1484" s="57"/>
      <c r="S1484" s="58"/>
    </row>
    <row r="1485" spans="1:19" x14ac:dyDescent="0.25">
      <c r="A1485" s="51" t="str">
        <f>(COUNTIF($K$2:K1485,K1485))&amp;K1485</f>
        <v>1</v>
      </c>
      <c r="B1485" s="52"/>
      <c r="C1485" s="53"/>
      <c r="D1485" s="54"/>
      <c r="E1485" s="55"/>
      <c r="F1485" s="55"/>
      <c r="G1485" s="55"/>
      <c r="H1485" s="55"/>
      <c r="I1485" s="55"/>
      <c r="J1485" s="55"/>
      <c r="K1485" s="56"/>
      <c r="L1485" s="55"/>
      <c r="M1485" s="55"/>
      <c r="N1485" s="55"/>
      <c r="O1485" s="55"/>
      <c r="P1485" s="55"/>
      <c r="Q1485" s="55"/>
      <c r="R1485" s="57"/>
      <c r="S1485" s="58"/>
    </row>
    <row r="1486" spans="1:19" x14ac:dyDescent="0.25">
      <c r="A1486" s="51" t="str">
        <f>(COUNTIF($K$2:K1486,K1486))&amp;K1486</f>
        <v>1</v>
      </c>
      <c r="B1486" s="52"/>
      <c r="C1486" s="53"/>
      <c r="D1486" s="54"/>
      <c r="E1486" s="55"/>
      <c r="F1486" s="55"/>
      <c r="G1486" s="55"/>
      <c r="H1486" s="55"/>
      <c r="I1486" s="55"/>
      <c r="J1486" s="55"/>
      <c r="K1486" s="56"/>
      <c r="L1486" s="55"/>
      <c r="M1486" s="55"/>
      <c r="N1486" s="55"/>
      <c r="O1486" s="55"/>
      <c r="P1486" s="55"/>
      <c r="Q1486" s="55"/>
      <c r="R1486" s="57"/>
      <c r="S1486" s="58"/>
    </row>
    <row r="1487" spans="1:19" x14ac:dyDescent="0.25">
      <c r="A1487" s="51" t="str">
        <f>(COUNTIF($K$2:K1487,K1487))&amp;K1487</f>
        <v>1</v>
      </c>
      <c r="B1487" s="52"/>
      <c r="C1487" s="53"/>
      <c r="D1487" s="54"/>
      <c r="E1487" s="55"/>
      <c r="F1487" s="55"/>
      <c r="G1487" s="55"/>
      <c r="H1487" s="55"/>
      <c r="I1487" s="55"/>
      <c r="J1487" s="55"/>
      <c r="K1487" s="56"/>
      <c r="L1487" s="55"/>
      <c r="M1487" s="55"/>
      <c r="N1487" s="55"/>
      <c r="O1487" s="55"/>
      <c r="P1487" s="55"/>
      <c r="Q1487" s="55"/>
      <c r="R1487" s="57"/>
      <c r="S1487" s="58"/>
    </row>
    <row r="1488" spans="1:19" x14ac:dyDescent="0.25">
      <c r="A1488" s="51" t="str">
        <f>(COUNTIF($K$2:K1488,K1488))&amp;K1488</f>
        <v>1</v>
      </c>
      <c r="B1488" s="52"/>
      <c r="C1488" s="53"/>
      <c r="D1488" s="54"/>
      <c r="E1488" s="55"/>
      <c r="F1488" s="55"/>
      <c r="G1488" s="55"/>
      <c r="H1488" s="55"/>
      <c r="I1488" s="55"/>
      <c r="J1488" s="55"/>
      <c r="K1488" s="56"/>
      <c r="L1488" s="55"/>
      <c r="M1488" s="55"/>
      <c r="N1488" s="55"/>
      <c r="O1488" s="55"/>
      <c r="P1488" s="55"/>
      <c r="Q1488" s="55"/>
      <c r="R1488" s="57"/>
      <c r="S1488" s="58"/>
    </row>
    <row r="1489" spans="1:19" ht="15.75" x14ac:dyDescent="0.25">
      <c r="A1489" s="51" t="str">
        <f>(COUNTIF($K$2:K1489,K1489))&amp;K1489</f>
        <v>1</v>
      </c>
      <c r="B1489" s="52"/>
      <c r="C1489" s="53"/>
      <c r="D1489" s="54"/>
      <c r="E1489" s="55"/>
      <c r="F1489" s="55"/>
      <c r="G1489" s="55"/>
      <c r="H1489" s="55"/>
      <c r="I1489" s="55"/>
      <c r="J1489" s="55"/>
      <c r="K1489" s="59"/>
      <c r="L1489" s="55"/>
      <c r="M1489" s="55"/>
      <c r="N1489" s="55"/>
      <c r="O1489" s="55"/>
      <c r="P1489" s="55"/>
      <c r="Q1489" s="55"/>
      <c r="R1489" s="57"/>
      <c r="S1489" s="58"/>
    </row>
    <row r="1490" spans="1:19" x14ac:dyDescent="0.25">
      <c r="A1490" s="51" t="str">
        <f>(COUNTIF($K$2:K1490,K1490))&amp;K1490</f>
        <v>1</v>
      </c>
      <c r="B1490" s="52"/>
      <c r="C1490" s="53"/>
      <c r="D1490" s="54"/>
      <c r="E1490" s="55"/>
      <c r="F1490" s="55"/>
      <c r="G1490" s="55"/>
      <c r="H1490" s="55"/>
      <c r="I1490" s="55"/>
      <c r="J1490" s="55"/>
      <c r="K1490" s="56"/>
      <c r="L1490" s="55"/>
      <c r="M1490" s="55"/>
      <c r="N1490" s="55"/>
      <c r="O1490" s="55"/>
      <c r="P1490" s="55"/>
      <c r="Q1490" s="55"/>
      <c r="R1490" s="57"/>
      <c r="S1490" s="58"/>
    </row>
    <row r="1491" spans="1:19" x14ac:dyDescent="0.25">
      <c r="A1491" s="51" t="str">
        <f>(COUNTIF($K$2:K1491,K1491))&amp;K1491</f>
        <v>1</v>
      </c>
      <c r="B1491" s="52"/>
      <c r="C1491" s="53"/>
      <c r="D1491" s="54"/>
      <c r="E1491" s="55"/>
      <c r="F1491" s="55"/>
      <c r="G1491" s="55"/>
      <c r="H1491" s="55"/>
      <c r="I1491" s="55"/>
      <c r="J1491" s="55"/>
      <c r="K1491" s="56"/>
      <c r="L1491" s="55"/>
      <c r="M1491" s="55"/>
      <c r="N1491" s="55"/>
      <c r="O1491" s="55"/>
      <c r="P1491" s="55"/>
      <c r="Q1491" s="55"/>
      <c r="R1491" s="57"/>
      <c r="S1491" s="58"/>
    </row>
    <row r="1492" spans="1:19" x14ac:dyDescent="0.25">
      <c r="A1492" s="51" t="str">
        <f>(COUNTIF($K$2:K1492,K1492))&amp;K1492</f>
        <v>1</v>
      </c>
      <c r="B1492" s="52"/>
      <c r="C1492" s="53"/>
      <c r="D1492" s="54"/>
      <c r="E1492" s="55"/>
      <c r="F1492" s="55"/>
      <c r="G1492" s="55"/>
      <c r="H1492" s="55"/>
      <c r="I1492" s="55"/>
      <c r="J1492" s="55"/>
      <c r="K1492" s="56"/>
      <c r="L1492" s="55"/>
      <c r="M1492" s="55"/>
      <c r="N1492" s="55"/>
      <c r="O1492" s="55"/>
      <c r="P1492" s="55"/>
      <c r="Q1492" s="55"/>
      <c r="R1492" s="57"/>
      <c r="S1492" s="58"/>
    </row>
    <row r="1493" spans="1:19" x14ac:dyDescent="0.25">
      <c r="A1493" s="51" t="str">
        <f>(COUNTIF($K$2:K1493,K1493))&amp;K1493</f>
        <v>1</v>
      </c>
      <c r="B1493" s="52"/>
      <c r="C1493" s="53"/>
      <c r="D1493" s="54"/>
      <c r="E1493" s="55"/>
      <c r="F1493" s="55"/>
      <c r="G1493" s="55"/>
      <c r="H1493" s="55"/>
      <c r="I1493" s="55"/>
      <c r="J1493" s="55"/>
      <c r="K1493" s="56"/>
      <c r="L1493" s="55"/>
      <c r="M1493" s="55"/>
      <c r="N1493" s="55"/>
      <c r="O1493" s="55"/>
      <c r="P1493" s="55"/>
      <c r="Q1493" s="55"/>
      <c r="R1493" s="57"/>
      <c r="S1493" s="58"/>
    </row>
    <row r="1494" spans="1:19" x14ac:dyDescent="0.25">
      <c r="A1494" s="51" t="str">
        <f>(COUNTIF($K$2:K1494,K1494))&amp;K1494</f>
        <v>1</v>
      </c>
      <c r="B1494" s="52"/>
      <c r="C1494" s="53"/>
      <c r="D1494" s="54"/>
      <c r="E1494" s="55"/>
      <c r="F1494" s="55"/>
      <c r="G1494" s="55"/>
      <c r="H1494" s="55"/>
      <c r="I1494" s="55"/>
      <c r="J1494" s="55"/>
      <c r="K1494" s="56"/>
      <c r="L1494" s="55"/>
      <c r="M1494" s="55"/>
      <c r="N1494" s="55"/>
      <c r="O1494" s="55"/>
      <c r="P1494" s="55"/>
      <c r="Q1494" s="55"/>
      <c r="R1494" s="57"/>
      <c r="S1494" s="58"/>
    </row>
    <row r="1495" spans="1:19" x14ac:dyDescent="0.25">
      <c r="A1495" s="51" t="str">
        <f>(COUNTIF($K$2:K1495,K1495))&amp;K1495</f>
        <v>1</v>
      </c>
      <c r="B1495" s="52"/>
      <c r="C1495" s="53"/>
      <c r="D1495" s="54"/>
      <c r="E1495" s="55"/>
      <c r="F1495" s="55"/>
      <c r="G1495" s="55"/>
      <c r="H1495" s="55"/>
      <c r="I1495" s="55"/>
      <c r="J1495" s="55"/>
      <c r="K1495" s="56"/>
      <c r="L1495" s="55"/>
      <c r="M1495" s="55"/>
      <c r="N1495" s="55"/>
      <c r="O1495" s="55"/>
      <c r="P1495" s="55"/>
      <c r="Q1495" s="55"/>
      <c r="R1495" s="57"/>
      <c r="S1495" s="58"/>
    </row>
    <row r="1496" spans="1:19" x14ac:dyDescent="0.25">
      <c r="A1496" s="51" t="str">
        <f>(COUNTIF($K$2:K1496,K1496))&amp;K1496</f>
        <v>1</v>
      </c>
      <c r="B1496" s="52"/>
      <c r="C1496" s="53"/>
      <c r="D1496" s="54"/>
      <c r="E1496" s="55"/>
      <c r="F1496" s="55"/>
      <c r="G1496" s="55"/>
      <c r="H1496" s="55"/>
      <c r="I1496" s="55"/>
      <c r="J1496" s="55"/>
      <c r="K1496" s="56"/>
      <c r="L1496" s="55"/>
      <c r="M1496" s="55"/>
      <c r="N1496" s="55"/>
      <c r="O1496" s="55"/>
      <c r="P1496" s="55"/>
      <c r="Q1496" s="55"/>
      <c r="R1496" s="57"/>
      <c r="S1496" s="58"/>
    </row>
    <row r="1497" spans="1:19" x14ac:dyDescent="0.25">
      <c r="A1497" s="51" t="str">
        <f>(COUNTIF($K$2:K1497,K1497))&amp;K1497</f>
        <v>1</v>
      </c>
      <c r="B1497" s="52"/>
      <c r="C1497" s="60"/>
      <c r="E1497" s="61"/>
      <c r="F1497" s="62"/>
      <c r="G1497" s="63"/>
      <c r="H1497" s="64"/>
      <c r="I1497" s="64"/>
      <c r="J1497" s="64"/>
      <c r="K1497" s="65"/>
      <c r="L1497" s="64"/>
      <c r="M1497" s="64"/>
      <c r="N1497" s="64"/>
      <c r="P1497" s="63"/>
      <c r="Q1497" s="61"/>
      <c r="R1497" s="64"/>
      <c r="S1497" s="64"/>
    </row>
    <row r="1498" spans="1:19" x14ac:dyDescent="0.25">
      <c r="A1498" s="51" t="str">
        <f>(COUNTIF($K$2:K1498,K1498))&amp;K1498</f>
        <v>1</v>
      </c>
      <c r="B1498" s="52"/>
      <c r="C1498" s="53"/>
      <c r="D1498" s="54"/>
      <c r="E1498" s="55"/>
      <c r="F1498" s="55"/>
      <c r="G1498" s="55"/>
      <c r="H1498" s="55"/>
      <c r="I1498" s="55"/>
      <c r="J1498" s="55"/>
      <c r="K1498" s="56"/>
      <c r="L1498" s="55"/>
      <c r="M1498" s="55"/>
      <c r="N1498" s="55"/>
      <c r="O1498" s="55"/>
      <c r="P1498" s="55"/>
      <c r="Q1498" s="55"/>
      <c r="R1498" s="57"/>
      <c r="S1498" s="58"/>
    </row>
    <row r="1499" spans="1:19" x14ac:dyDescent="0.25">
      <c r="A1499" s="51" t="str">
        <f>(COUNTIF($K$2:K1499,K1499))&amp;K1499</f>
        <v>1</v>
      </c>
      <c r="B1499" s="52"/>
      <c r="C1499" s="53"/>
      <c r="D1499" s="54"/>
      <c r="E1499" s="55"/>
      <c r="F1499" s="55"/>
      <c r="G1499" s="55"/>
      <c r="H1499" s="55"/>
      <c r="I1499" s="55"/>
      <c r="J1499" s="55"/>
      <c r="K1499" s="56"/>
      <c r="L1499" s="55"/>
      <c r="M1499" s="55"/>
      <c r="N1499" s="55"/>
      <c r="O1499" s="55"/>
      <c r="P1499" s="55"/>
      <c r="Q1499" s="55"/>
      <c r="R1499" s="57"/>
      <c r="S1499" s="58"/>
    </row>
    <row r="1500" spans="1:19" x14ac:dyDescent="0.25">
      <c r="A1500" s="51" t="str">
        <f>(COUNTIF($K$2:K1500,K1500))&amp;K1500</f>
        <v>1</v>
      </c>
      <c r="B1500" s="52"/>
      <c r="C1500" s="53"/>
      <c r="D1500" s="54"/>
      <c r="E1500" s="55"/>
      <c r="F1500" s="55"/>
      <c r="G1500" s="55"/>
      <c r="H1500" s="55"/>
      <c r="I1500" s="55"/>
      <c r="J1500" s="55"/>
      <c r="K1500" s="56"/>
      <c r="L1500" s="55"/>
      <c r="M1500" s="55"/>
      <c r="N1500" s="55"/>
      <c r="O1500" s="55"/>
      <c r="P1500" s="55"/>
      <c r="Q1500" s="55"/>
      <c r="R1500" s="57"/>
      <c r="S1500" s="58"/>
    </row>
    <row r="1501" spans="1:19" x14ac:dyDescent="0.25">
      <c r="A1501" s="51" t="str">
        <f>(COUNTIF($K$2:K1501,K1501))&amp;K1501</f>
        <v>1</v>
      </c>
      <c r="B1501" s="52"/>
      <c r="C1501" s="53"/>
      <c r="D1501" s="54"/>
      <c r="E1501" s="55"/>
      <c r="F1501" s="55"/>
      <c r="G1501" s="55"/>
      <c r="H1501" s="55"/>
      <c r="I1501" s="55"/>
      <c r="J1501" s="55"/>
      <c r="K1501" s="56"/>
      <c r="L1501" s="55"/>
      <c r="M1501" s="55"/>
      <c r="N1501" s="55"/>
      <c r="O1501" s="55"/>
      <c r="P1501" s="55"/>
      <c r="Q1501" s="55"/>
      <c r="R1501" s="57"/>
      <c r="S1501" s="58"/>
    </row>
    <row r="1502" spans="1:19" x14ac:dyDescent="0.25">
      <c r="A1502" s="51" t="str">
        <f>(COUNTIF($K$2:K1502,K1502))&amp;K1502</f>
        <v>1</v>
      </c>
      <c r="B1502" s="52"/>
      <c r="C1502" s="53"/>
      <c r="D1502" s="54"/>
      <c r="E1502" s="55"/>
      <c r="F1502" s="55"/>
      <c r="G1502" s="55"/>
      <c r="H1502" s="55"/>
      <c r="I1502" s="55"/>
      <c r="J1502" s="55"/>
      <c r="K1502" s="56"/>
      <c r="L1502" s="55"/>
      <c r="M1502" s="55"/>
      <c r="N1502" s="55"/>
      <c r="O1502" s="55"/>
      <c r="P1502" s="55"/>
      <c r="Q1502" s="55"/>
      <c r="R1502" s="57"/>
      <c r="S1502" s="58"/>
    </row>
    <row r="1503" spans="1:19" x14ac:dyDescent="0.25">
      <c r="A1503" s="51" t="str">
        <f>(COUNTIF($K$2:K1503,K1503))&amp;K1503</f>
        <v>1</v>
      </c>
      <c r="B1503" s="52"/>
      <c r="C1503" s="53"/>
      <c r="D1503" s="54"/>
      <c r="E1503" s="55"/>
      <c r="F1503" s="55"/>
      <c r="G1503" s="55"/>
      <c r="H1503" s="55"/>
      <c r="I1503" s="55"/>
      <c r="J1503" s="55"/>
      <c r="K1503" s="56"/>
      <c r="L1503" s="55"/>
      <c r="M1503" s="55"/>
      <c r="N1503" s="55"/>
      <c r="O1503" s="55"/>
      <c r="P1503" s="55"/>
      <c r="Q1503" s="55"/>
      <c r="R1503" s="57"/>
      <c r="S1503" s="58"/>
    </row>
    <row r="1504" spans="1:19" x14ac:dyDescent="0.25">
      <c r="A1504" s="51" t="str">
        <f>(COUNTIF($K$2:K1504,K1504))&amp;K1504</f>
        <v>1</v>
      </c>
      <c r="B1504" s="52"/>
      <c r="C1504" s="53"/>
      <c r="D1504" s="54"/>
      <c r="E1504" s="55"/>
      <c r="F1504" s="55"/>
      <c r="G1504" s="55"/>
      <c r="H1504" s="55"/>
      <c r="I1504" s="55"/>
      <c r="J1504" s="55"/>
      <c r="K1504" s="56"/>
      <c r="L1504" s="55"/>
      <c r="M1504" s="55"/>
      <c r="N1504" s="55"/>
      <c r="O1504" s="55"/>
      <c r="P1504" s="55"/>
      <c r="Q1504" s="55"/>
      <c r="R1504" s="57"/>
      <c r="S1504" s="58"/>
    </row>
    <row r="1505" spans="1:19" x14ac:dyDescent="0.25">
      <c r="A1505" s="51" t="str">
        <f>(COUNTIF($K$2:K1505,K1505))&amp;K1505</f>
        <v>1</v>
      </c>
      <c r="B1505" s="52"/>
      <c r="C1505" s="53"/>
      <c r="D1505" s="54"/>
      <c r="E1505" s="55"/>
      <c r="F1505" s="55"/>
      <c r="G1505" s="55"/>
      <c r="H1505" s="55"/>
      <c r="I1505" s="55"/>
      <c r="J1505" s="55"/>
      <c r="K1505" s="56"/>
      <c r="L1505" s="55"/>
      <c r="M1505" s="55"/>
      <c r="N1505" s="55"/>
      <c r="O1505" s="55"/>
      <c r="P1505" s="55"/>
      <c r="Q1505" s="55"/>
      <c r="R1505" s="57"/>
      <c r="S1505" s="58"/>
    </row>
    <row r="1506" spans="1:19" ht="15.75" x14ac:dyDescent="0.25">
      <c r="A1506" s="51" t="str">
        <f>(COUNTIF($K$2:K1506,K1506))&amp;K1506</f>
        <v>1</v>
      </c>
      <c r="B1506" s="52"/>
      <c r="C1506" s="53"/>
      <c r="D1506" s="54"/>
      <c r="E1506" s="55"/>
      <c r="F1506" s="55"/>
      <c r="G1506" s="55"/>
      <c r="H1506" s="55"/>
      <c r="I1506" s="55"/>
      <c r="J1506" s="55"/>
      <c r="K1506" s="59"/>
      <c r="L1506" s="55"/>
      <c r="M1506" s="55"/>
      <c r="N1506" s="55"/>
      <c r="O1506" s="55"/>
      <c r="P1506" s="55"/>
      <c r="Q1506" s="55"/>
      <c r="R1506" s="57"/>
      <c r="S1506" s="58"/>
    </row>
    <row r="1507" spans="1:19" x14ac:dyDescent="0.25">
      <c r="A1507" s="51" t="str">
        <f>(COUNTIF($K$2:K1507,K1507))&amp;K1507</f>
        <v>1</v>
      </c>
      <c r="B1507" s="52"/>
      <c r="C1507" s="53"/>
      <c r="D1507" s="54"/>
      <c r="E1507" s="55"/>
      <c r="F1507" s="55"/>
      <c r="G1507" s="55"/>
      <c r="H1507" s="55"/>
      <c r="I1507" s="55"/>
      <c r="J1507" s="55"/>
      <c r="K1507" s="56"/>
      <c r="L1507" s="55"/>
      <c r="M1507" s="55"/>
      <c r="N1507" s="55"/>
      <c r="O1507" s="55"/>
      <c r="P1507" s="55"/>
      <c r="Q1507" s="55"/>
      <c r="R1507" s="57"/>
      <c r="S1507" s="58"/>
    </row>
    <row r="1508" spans="1:19" x14ac:dyDescent="0.25">
      <c r="A1508" s="51" t="str">
        <f>(COUNTIF($K$2:K1508,K1508))&amp;K1508</f>
        <v>1</v>
      </c>
      <c r="B1508" s="52"/>
      <c r="C1508" s="53"/>
      <c r="D1508" s="54"/>
      <c r="E1508" s="55"/>
      <c r="F1508" s="55"/>
      <c r="G1508" s="55"/>
      <c r="H1508" s="55"/>
      <c r="I1508" s="55"/>
      <c r="J1508" s="55"/>
      <c r="K1508" s="56"/>
      <c r="L1508" s="55"/>
      <c r="M1508" s="55"/>
      <c r="N1508" s="55"/>
      <c r="O1508" s="55"/>
      <c r="P1508" s="55"/>
      <c r="Q1508" s="55"/>
      <c r="R1508" s="57"/>
      <c r="S1508" s="58"/>
    </row>
    <row r="1509" spans="1:19" x14ac:dyDescent="0.25">
      <c r="A1509" s="51" t="str">
        <f>(COUNTIF($K$2:K1509,K1509))&amp;K1509</f>
        <v>1</v>
      </c>
      <c r="B1509" s="52"/>
      <c r="C1509" s="53"/>
      <c r="D1509" s="54"/>
      <c r="E1509" s="55"/>
      <c r="F1509" s="55"/>
      <c r="G1509" s="55"/>
      <c r="H1509" s="55"/>
      <c r="I1509" s="55"/>
      <c r="J1509" s="55"/>
      <c r="K1509" s="56"/>
      <c r="L1509" s="55"/>
      <c r="M1509" s="55"/>
      <c r="N1509" s="55"/>
      <c r="O1509" s="55"/>
      <c r="P1509" s="55"/>
      <c r="Q1509" s="55"/>
      <c r="R1509" s="57"/>
      <c r="S1509" s="58"/>
    </row>
    <row r="1510" spans="1:19" x14ac:dyDescent="0.25">
      <c r="A1510" s="51" t="str">
        <f>(COUNTIF($K$2:K1510,K1510))&amp;K1510</f>
        <v>1</v>
      </c>
      <c r="B1510" s="52"/>
      <c r="C1510" s="53"/>
      <c r="D1510" s="54"/>
      <c r="E1510" s="55"/>
      <c r="F1510" s="55"/>
      <c r="G1510" s="55"/>
      <c r="H1510" s="55"/>
      <c r="I1510" s="55"/>
      <c r="J1510" s="55"/>
      <c r="K1510" s="56"/>
      <c r="L1510" s="55"/>
      <c r="M1510" s="55"/>
      <c r="N1510" s="55"/>
      <c r="O1510" s="55"/>
      <c r="P1510" s="55"/>
      <c r="Q1510" s="55"/>
      <c r="R1510" s="57"/>
      <c r="S1510" s="58"/>
    </row>
    <row r="1511" spans="1:19" x14ac:dyDescent="0.25">
      <c r="A1511" s="51" t="str">
        <f>(COUNTIF($K$2:K1511,K1511))&amp;K1511</f>
        <v>1</v>
      </c>
      <c r="B1511" s="52"/>
      <c r="C1511" s="53"/>
      <c r="D1511" s="54"/>
      <c r="E1511" s="55"/>
      <c r="F1511" s="55"/>
      <c r="G1511" s="55"/>
      <c r="H1511" s="55"/>
      <c r="I1511" s="55"/>
      <c r="J1511" s="55"/>
      <c r="K1511" s="56"/>
      <c r="L1511" s="55"/>
      <c r="M1511" s="55"/>
      <c r="N1511" s="55"/>
      <c r="O1511" s="55"/>
      <c r="P1511" s="55"/>
      <c r="Q1511" s="55"/>
      <c r="R1511" s="57"/>
      <c r="S1511" s="58"/>
    </row>
    <row r="1512" spans="1:19" x14ac:dyDescent="0.25">
      <c r="A1512" s="51" t="str">
        <f>(COUNTIF($K$2:K1512,K1512))&amp;K1512</f>
        <v>1</v>
      </c>
      <c r="B1512" s="52"/>
      <c r="C1512" s="53"/>
      <c r="D1512" s="54"/>
      <c r="E1512" s="55"/>
      <c r="F1512" s="55"/>
      <c r="G1512" s="55"/>
      <c r="H1512" s="55"/>
      <c r="I1512" s="55"/>
      <c r="J1512" s="55"/>
      <c r="K1512" s="56"/>
      <c r="L1512" s="55"/>
      <c r="M1512" s="55"/>
      <c r="N1512" s="55"/>
      <c r="O1512" s="55"/>
      <c r="P1512" s="55"/>
      <c r="Q1512" s="55"/>
      <c r="R1512" s="57"/>
      <c r="S1512" s="58"/>
    </row>
    <row r="1513" spans="1:19" x14ac:dyDescent="0.25">
      <c r="A1513" s="51" t="str">
        <f>(COUNTIF($K$2:K1513,K1513))&amp;K1513</f>
        <v>1</v>
      </c>
      <c r="B1513" s="52"/>
      <c r="C1513" s="53"/>
      <c r="D1513" s="54"/>
      <c r="E1513" s="55"/>
      <c r="F1513" s="55"/>
      <c r="G1513" s="55"/>
      <c r="H1513" s="55"/>
      <c r="I1513" s="55"/>
      <c r="J1513" s="55"/>
      <c r="K1513" s="56"/>
      <c r="L1513" s="55"/>
      <c r="M1513" s="55"/>
      <c r="N1513" s="55"/>
      <c r="O1513" s="55"/>
      <c r="P1513" s="55"/>
      <c r="Q1513" s="55"/>
      <c r="R1513" s="57"/>
      <c r="S1513" s="58"/>
    </row>
    <row r="1514" spans="1:19" x14ac:dyDescent="0.25">
      <c r="A1514" s="51" t="str">
        <f>(COUNTIF($K$2:K1514,K1514))&amp;K1514</f>
        <v>1</v>
      </c>
      <c r="B1514" s="52"/>
      <c r="C1514" s="60"/>
      <c r="E1514" s="61"/>
      <c r="F1514" s="62"/>
      <c r="G1514" s="63"/>
      <c r="H1514" s="64"/>
      <c r="I1514" s="64"/>
      <c r="J1514" s="64"/>
      <c r="K1514" s="65"/>
      <c r="L1514" s="64"/>
      <c r="M1514" s="64"/>
      <c r="N1514" s="64"/>
      <c r="P1514" s="63"/>
      <c r="Q1514" s="61"/>
      <c r="R1514" s="64"/>
      <c r="S1514" s="64"/>
    </row>
    <row r="1515" spans="1:19" x14ac:dyDescent="0.25">
      <c r="A1515" s="51" t="str">
        <f>(COUNTIF($K$2:K1515,K1515))&amp;K1515</f>
        <v>1</v>
      </c>
      <c r="B1515" s="52"/>
      <c r="C1515" s="53"/>
      <c r="D1515" s="54"/>
      <c r="E1515" s="55"/>
      <c r="F1515" s="55"/>
      <c r="G1515" s="55"/>
      <c r="H1515" s="55"/>
      <c r="I1515" s="55"/>
      <c r="J1515" s="55"/>
      <c r="K1515" s="56"/>
      <c r="L1515" s="55"/>
      <c r="M1515" s="55"/>
      <c r="N1515" s="55"/>
      <c r="O1515" s="55"/>
      <c r="P1515" s="55"/>
      <c r="Q1515" s="55"/>
      <c r="R1515" s="57"/>
      <c r="S1515" s="58"/>
    </row>
    <row r="1516" spans="1:19" x14ac:dyDescent="0.25">
      <c r="A1516" s="51" t="str">
        <f>(COUNTIF($K$2:K1516,K1516))&amp;K1516</f>
        <v>1</v>
      </c>
      <c r="B1516" s="52"/>
      <c r="C1516" s="53"/>
      <c r="D1516" s="54"/>
      <c r="E1516" s="55"/>
      <c r="F1516" s="55"/>
      <c r="G1516" s="55"/>
      <c r="H1516" s="55"/>
      <c r="I1516" s="55"/>
      <c r="J1516" s="55"/>
      <c r="K1516" s="56"/>
      <c r="L1516" s="55"/>
      <c r="M1516" s="55"/>
      <c r="N1516" s="55"/>
      <c r="O1516" s="55"/>
      <c r="P1516" s="55"/>
      <c r="Q1516" s="55"/>
      <c r="R1516" s="57"/>
      <c r="S1516" s="58"/>
    </row>
    <row r="1517" spans="1:19" x14ac:dyDescent="0.25">
      <c r="A1517" s="51" t="str">
        <f>(COUNTIF($K$2:K1517,K1517))&amp;K1517</f>
        <v>1</v>
      </c>
      <c r="B1517" s="52"/>
      <c r="C1517" s="53"/>
      <c r="D1517" s="54"/>
      <c r="E1517" s="55"/>
      <c r="F1517" s="55"/>
      <c r="G1517" s="55"/>
      <c r="H1517" s="55"/>
      <c r="I1517" s="55"/>
      <c r="J1517" s="55"/>
      <c r="K1517" s="56"/>
      <c r="L1517" s="55"/>
      <c r="M1517" s="55"/>
      <c r="N1517" s="55"/>
      <c r="O1517" s="55"/>
      <c r="P1517" s="55"/>
      <c r="Q1517" s="55"/>
      <c r="R1517" s="57"/>
      <c r="S1517" s="58"/>
    </row>
    <row r="1518" spans="1:19" x14ac:dyDescent="0.25">
      <c r="A1518" s="51" t="str">
        <f>(COUNTIF($K$2:K1518,K1518))&amp;K1518</f>
        <v>1</v>
      </c>
      <c r="B1518" s="52"/>
      <c r="C1518" s="53"/>
      <c r="D1518" s="54"/>
      <c r="E1518" s="55"/>
      <c r="F1518" s="55"/>
      <c r="G1518" s="55"/>
      <c r="H1518" s="55"/>
      <c r="I1518" s="55"/>
      <c r="J1518" s="55"/>
      <c r="K1518" s="56"/>
      <c r="L1518" s="55"/>
      <c r="M1518" s="55"/>
      <c r="N1518" s="55"/>
      <c r="O1518" s="55"/>
      <c r="P1518" s="55"/>
      <c r="Q1518" s="55"/>
      <c r="R1518" s="57"/>
      <c r="S1518" s="58"/>
    </row>
    <row r="1519" spans="1:19" x14ac:dyDescent="0.25">
      <c r="A1519" s="51" t="str">
        <f>(COUNTIF($K$2:K1519,K1519))&amp;K1519</f>
        <v>1</v>
      </c>
      <c r="B1519" s="52"/>
      <c r="C1519" s="53"/>
      <c r="D1519" s="54"/>
      <c r="E1519" s="55"/>
      <c r="F1519" s="55"/>
      <c r="G1519" s="55"/>
      <c r="H1519" s="55"/>
      <c r="I1519" s="55"/>
      <c r="J1519" s="55"/>
      <c r="K1519" s="56"/>
      <c r="L1519" s="55"/>
      <c r="M1519" s="55"/>
      <c r="N1519" s="55"/>
      <c r="O1519" s="55"/>
      <c r="P1519" s="55"/>
      <c r="Q1519" s="55"/>
      <c r="R1519" s="57"/>
      <c r="S1519" s="58"/>
    </row>
    <row r="1520" spans="1:19" x14ac:dyDescent="0.25">
      <c r="A1520" s="51" t="str">
        <f>(COUNTIF($K$2:K1520,K1520))&amp;K1520</f>
        <v>1</v>
      </c>
      <c r="B1520" s="52"/>
      <c r="C1520" s="53"/>
      <c r="D1520" s="54"/>
      <c r="E1520" s="55"/>
      <c r="F1520" s="55"/>
      <c r="G1520" s="55"/>
      <c r="H1520" s="55"/>
      <c r="I1520" s="55"/>
      <c r="J1520" s="55"/>
      <c r="K1520" s="56"/>
      <c r="L1520" s="55"/>
      <c r="M1520" s="55"/>
      <c r="N1520" s="55"/>
      <c r="O1520" s="55"/>
      <c r="P1520" s="55"/>
      <c r="Q1520" s="55"/>
      <c r="R1520" s="57"/>
      <c r="S1520" s="58"/>
    </row>
    <row r="1521" spans="1:19" x14ac:dyDescent="0.25">
      <c r="A1521" s="51" t="str">
        <f>(COUNTIF($K$2:K1521,K1521))&amp;K1521</f>
        <v>1</v>
      </c>
      <c r="B1521" s="52"/>
      <c r="C1521" s="53"/>
      <c r="D1521" s="54"/>
      <c r="E1521" s="55"/>
      <c r="F1521" s="55"/>
      <c r="G1521" s="55"/>
      <c r="H1521" s="55"/>
      <c r="I1521" s="55"/>
      <c r="J1521" s="55"/>
      <c r="K1521" s="56"/>
      <c r="L1521" s="55"/>
      <c r="M1521" s="55"/>
      <c r="N1521" s="55"/>
      <c r="O1521" s="55"/>
      <c r="P1521" s="55"/>
      <c r="Q1521" s="55"/>
      <c r="R1521" s="57"/>
      <c r="S1521" s="58"/>
    </row>
    <row r="1522" spans="1:19" x14ac:dyDescent="0.25">
      <c r="A1522" s="51" t="str">
        <f>(COUNTIF($K$2:K1522,K1522))&amp;K1522</f>
        <v>1</v>
      </c>
      <c r="B1522" s="52"/>
      <c r="C1522" s="53"/>
      <c r="D1522" s="54"/>
      <c r="E1522" s="55"/>
      <c r="F1522" s="55"/>
      <c r="G1522" s="55"/>
      <c r="H1522" s="55"/>
      <c r="I1522" s="55"/>
      <c r="J1522" s="55"/>
      <c r="K1522" s="56"/>
      <c r="L1522" s="55"/>
      <c r="M1522" s="55"/>
      <c r="N1522" s="55"/>
      <c r="O1522" s="55"/>
      <c r="P1522" s="55"/>
      <c r="Q1522" s="55"/>
      <c r="R1522" s="57"/>
      <c r="S1522" s="58"/>
    </row>
    <row r="1523" spans="1:19" ht="15.75" x14ac:dyDescent="0.25">
      <c r="A1523" s="51" t="str">
        <f>(COUNTIF($K$2:K1523,K1523))&amp;K1523</f>
        <v>1</v>
      </c>
      <c r="B1523" s="52"/>
      <c r="C1523" s="53"/>
      <c r="D1523" s="54"/>
      <c r="E1523" s="55"/>
      <c r="F1523" s="55"/>
      <c r="G1523" s="55"/>
      <c r="H1523" s="55"/>
      <c r="I1523" s="55"/>
      <c r="J1523" s="55"/>
      <c r="K1523" s="59"/>
      <c r="L1523" s="55"/>
      <c r="M1523" s="55"/>
      <c r="N1523" s="55"/>
      <c r="O1523" s="55"/>
      <c r="P1523" s="55"/>
      <c r="Q1523" s="55"/>
      <c r="R1523" s="57"/>
      <c r="S1523" s="58"/>
    </row>
    <row r="1524" spans="1:19" x14ac:dyDescent="0.25">
      <c r="A1524" s="51" t="str">
        <f>(COUNTIF($K$2:K1524,K1524))&amp;K1524</f>
        <v>1</v>
      </c>
      <c r="B1524" s="52"/>
      <c r="C1524" s="53"/>
      <c r="D1524" s="54"/>
      <c r="E1524" s="55"/>
      <c r="F1524" s="55"/>
      <c r="G1524" s="55"/>
      <c r="H1524" s="55"/>
      <c r="I1524" s="55"/>
      <c r="J1524" s="55"/>
      <c r="K1524" s="56"/>
      <c r="L1524" s="55"/>
      <c r="M1524" s="55"/>
      <c r="N1524" s="55"/>
      <c r="O1524" s="55"/>
      <c r="P1524" s="55"/>
      <c r="Q1524" s="55"/>
      <c r="R1524" s="57"/>
      <c r="S1524" s="58"/>
    </row>
    <row r="1525" spans="1:19" x14ac:dyDescent="0.25">
      <c r="A1525" s="51" t="str">
        <f>(COUNTIF($K$2:K1525,K1525))&amp;K1525</f>
        <v>1</v>
      </c>
      <c r="B1525" s="52"/>
      <c r="C1525" s="53"/>
      <c r="D1525" s="54"/>
      <c r="E1525" s="55"/>
      <c r="F1525" s="55"/>
      <c r="G1525" s="55"/>
      <c r="H1525" s="55"/>
      <c r="I1525" s="55"/>
      <c r="J1525" s="55"/>
      <c r="K1525" s="56"/>
      <c r="L1525" s="55"/>
      <c r="M1525" s="55"/>
      <c r="N1525" s="55"/>
      <c r="O1525" s="55"/>
      <c r="P1525" s="55"/>
      <c r="Q1525" s="55"/>
      <c r="R1525" s="57"/>
      <c r="S1525" s="58"/>
    </row>
    <row r="1526" spans="1:19" x14ac:dyDescent="0.25">
      <c r="A1526" s="51" t="str">
        <f>(COUNTIF($K$2:K1526,K1526))&amp;K1526</f>
        <v>1</v>
      </c>
      <c r="B1526" s="52"/>
      <c r="C1526" s="53"/>
      <c r="D1526" s="54"/>
      <c r="E1526" s="55"/>
      <c r="F1526" s="55"/>
      <c r="G1526" s="55"/>
      <c r="H1526" s="55"/>
      <c r="I1526" s="55"/>
      <c r="J1526" s="55"/>
      <c r="K1526" s="56"/>
      <c r="L1526" s="55"/>
      <c r="M1526" s="55"/>
      <c r="N1526" s="55"/>
      <c r="O1526" s="55"/>
      <c r="P1526" s="55"/>
      <c r="Q1526" s="55"/>
      <c r="R1526" s="57"/>
      <c r="S1526" s="58"/>
    </row>
    <row r="1527" spans="1:19" x14ac:dyDescent="0.25">
      <c r="A1527" s="51" t="str">
        <f>(COUNTIF($K$2:K1527,K1527))&amp;K1527</f>
        <v>1</v>
      </c>
      <c r="B1527" s="52"/>
      <c r="C1527" s="53"/>
      <c r="D1527" s="54"/>
      <c r="E1527" s="55"/>
      <c r="F1527" s="55"/>
      <c r="G1527" s="55"/>
      <c r="H1527" s="55"/>
      <c r="I1527" s="55"/>
      <c r="J1527" s="55"/>
      <c r="K1527" s="56"/>
      <c r="L1527" s="55"/>
      <c r="M1527" s="55"/>
      <c r="N1527" s="55"/>
      <c r="O1527" s="55"/>
      <c r="P1527" s="55"/>
      <c r="Q1527" s="55"/>
      <c r="R1527" s="57"/>
      <c r="S1527" s="58"/>
    </row>
    <row r="1528" spans="1:19" x14ac:dyDescent="0.25">
      <c r="A1528" s="51" t="str">
        <f>(COUNTIF($K$2:K1528,K1528))&amp;K1528</f>
        <v>1</v>
      </c>
      <c r="B1528" s="52"/>
      <c r="C1528" s="53"/>
      <c r="D1528" s="54"/>
      <c r="E1528" s="55"/>
      <c r="F1528" s="55"/>
      <c r="G1528" s="55"/>
      <c r="H1528" s="55"/>
      <c r="I1528" s="55"/>
      <c r="J1528" s="55"/>
      <c r="K1528" s="56"/>
      <c r="L1528" s="55"/>
      <c r="M1528" s="55"/>
      <c r="N1528" s="55"/>
      <c r="O1528" s="55"/>
      <c r="P1528" s="55"/>
      <c r="Q1528" s="55"/>
      <c r="R1528" s="57"/>
      <c r="S1528" s="58"/>
    </row>
    <row r="1529" spans="1:19" x14ac:dyDescent="0.25">
      <c r="A1529" s="51" t="str">
        <f>(COUNTIF($K$2:K1529,K1529))&amp;K1529</f>
        <v>1</v>
      </c>
      <c r="B1529" s="52"/>
      <c r="C1529" s="53"/>
      <c r="D1529" s="54"/>
      <c r="E1529" s="55"/>
      <c r="F1529" s="55"/>
      <c r="G1529" s="55"/>
      <c r="H1529" s="55"/>
      <c r="I1529" s="55"/>
      <c r="J1529" s="55"/>
      <c r="K1529" s="56"/>
      <c r="L1529" s="55"/>
      <c r="M1529" s="55"/>
      <c r="N1529" s="55"/>
      <c r="O1529" s="55"/>
      <c r="P1529" s="55"/>
      <c r="Q1529" s="55"/>
      <c r="R1529" s="57"/>
      <c r="S1529" s="58"/>
    </row>
    <row r="1530" spans="1:19" x14ac:dyDescent="0.25">
      <c r="A1530" s="51" t="str">
        <f>(COUNTIF($K$2:K1530,K1530))&amp;K1530</f>
        <v>1</v>
      </c>
      <c r="B1530" s="52"/>
      <c r="C1530" s="53"/>
      <c r="D1530" s="54"/>
      <c r="E1530" s="55"/>
      <c r="F1530" s="55"/>
      <c r="G1530" s="55"/>
      <c r="H1530" s="55"/>
      <c r="I1530" s="55"/>
      <c r="J1530" s="55"/>
      <c r="K1530" s="56"/>
      <c r="L1530" s="55"/>
      <c r="M1530" s="55"/>
      <c r="N1530" s="55"/>
      <c r="O1530" s="55"/>
      <c r="P1530" s="55"/>
      <c r="Q1530" s="55"/>
      <c r="R1530" s="57"/>
      <c r="S1530" s="58"/>
    </row>
    <row r="1531" spans="1:19" x14ac:dyDescent="0.25">
      <c r="A1531" s="51" t="str">
        <f>(COUNTIF($K$2:K1531,K1531))&amp;K1531</f>
        <v>1</v>
      </c>
      <c r="B1531" s="52"/>
      <c r="C1531" s="60"/>
      <c r="E1531" s="61"/>
      <c r="F1531" s="62"/>
      <c r="G1531" s="63"/>
      <c r="H1531" s="64"/>
      <c r="I1531" s="64"/>
      <c r="J1531" s="64"/>
      <c r="K1531" s="65"/>
      <c r="L1531" s="64"/>
      <c r="M1531" s="64"/>
      <c r="N1531" s="64"/>
      <c r="P1531" s="63"/>
      <c r="Q1531" s="61"/>
      <c r="R1531" s="64"/>
      <c r="S1531" s="64"/>
    </row>
    <row r="1532" spans="1:19" x14ac:dyDescent="0.25">
      <c r="A1532" s="51" t="str">
        <f>(COUNTIF($K$2:K1532,K1532))&amp;K1532</f>
        <v>1</v>
      </c>
      <c r="B1532" s="52"/>
      <c r="C1532" s="53"/>
      <c r="D1532" s="54"/>
      <c r="E1532" s="55"/>
      <c r="F1532" s="55"/>
      <c r="G1532" s="55"/>
      <c r="H1532" s="55"/>
      <c r="I1532" s="55"/>
      <c r="J1532" s="55"/>
      <c r="K1532" s="56"/>
      <c r="L1532" s="55"/>
      <c r="M1532" s="55"/>
      <c r="N1532" s="55"/>
      <c r="O1532" s="55"/>
      <c r="P1532" s="55"/>
      <c r="Q1532" s="55"/>
      <c r="R1532" s="57"/>
      <c r="S1532" s="58"/>
    </row>
    <row r="1533" spans="1:19" x14ac:dyDescent="0.25">
      <c r="A1533" s="51" t="str">
        <f>(COUNTIF($K$2:K1533,K1533))&amp;K1533</f>
        <v>1</v>
      </c>
      <c r="B1533" s="52"/>
      <c r="C1533" s="53"/>
      <c r="D1533" s="54"/>
      <c r="E1533" s="55"/>
      <c r="F1533" s="55"/>
      <c r="G1533" s="55"/>
      <c r="H1533" s="55"/>
      <c r="I1533" s="55"/>
      <c r="J1533" s="55"/>
      <c r="K1533" s="56"/>
      <c r="L1533" s="55"/>
      <c r="M1533" s="55"/>
      <c r="N1533" s="55"/>
      <c r="O1533" s="55"/>
      <c r="P1533" s="55"/>
      <c r="Q1533" s="55"/>
      <c r="R1533" s="57"/>
      <c r="S1533" s="58"/>
    </row>
    <row r="1534" spans="1:19" x14ac:dyDescent="0.25">
      <c r="A1534" s="51" t="str">
        <f>(COUNTIF($K$2:K1534,K1534))&amp;K1534</f>
        <v>1</v>
      </c>
      <c r="B1534" s="52"/>
      <c r="C1534" s="53"/>
      <c r="D1534" s="54"/>
      <c r="E1534" s="55"/>
      <c r="F1534" s="55"/>
      <c r="G1534" s="55"/>
      <c r="H1534" s="55"/>
      <c r="I1534" s="55"/>
      <c r="J1534" s="55"/>
      <c r="K1534" s="56"/>
      <c r="L1534" s="55"/>
      <c r="M1534" s="55"/>
      <c r="N1534" s="55"/>
      <c r="O1534" s="55"/>
      <c r="P1534" s="55"/>
      <c r="Q1534" s="55"/>
      <c r="R1534" s="57"/>
      <c r="S1534" s="58"/>
    </row>
    <row r="1535" spans="1:19" x14ac:dyDescent="0.25">
      <c r="A1535" s="51" t="str">
        <f>(COUNTIF($K$2:K1535,K1535))&amp;K1535</f>
        <v>1</v>
      </c>
      <c r="B1535" s="52"/>
      <c r="C1535" s="53"/>
      <c r="D1535" s="54"/>
      <c r="E1535" s="55"/>
      <c r="F1535" s="55"/>
      <c r="G1535" s="55"/>
      <c r="H1535" s="55"/>
      <c r="I1535" s="55"/>
      <c r="J1535" s="55"/>
      <c r="K1535" s="56"/>
      <c r="L1535" s="55"/>
      <c r="M1535" s="55"/>
      <c r="N1535" s="55"/>
      <c r="O1535" s="55"/>
      <c r="P1535" s="55"/>
      <c r="Q1535" s="55"/>
      <c r="R1535" s="57"/>
      <c r="S1535" s="58"/>
    </row>
    <row r="1536" spans="1:19" x14ac:dyDescent="0.25">
      <c r="A1536" s="51" t="str">
        <f>(COUNTIF($K$2:K1536,K1536))&amp;K1536</f>
        <v>1</v>
      </c>
      <c r="B1536" s="52"/>
      <c r="C1536" s="53"/>
      <c r="D1536" s="54"/>
      <c r="E1536" s="55"/>
      <c r="F1536" s="55"/>
      <c r="G1536" s="55"/>
      <c r="H1536" s="55"/>
      <c r="I1536" s="55"/>
      <c r="J1536" s="55"/>
      <c r="K1536" s="56"/>
      <c r="L1536" s="55"/>
      <c r="M1536" s="55"/>
      <c r="N1536" s="55"/>
      <c r="O1536" s="55"/>
      <c r="P1536" s="55"/>
      <c r="Q1536" s="55"/>
      <c r="R1536" s="57"/>
      <c r="S1536" s="58"/>
    </row>
    <row r="1537" spans="1:19" x14ac:dyDescent="0.25">
      <c r="A1537" s="51" t="str">
        <f>(COUNTIF($K$2:K1537,K1537))&amp;K1537</f>
        <v>1</v>
      </c>
      <c r="B1537" s="52"/>
      <c r="C1537" s="53"/>
      <c r="D1537" s="54"/>
      <c r="E1537" s="55"/>
      <c r="F1537" s="55"/>
      <c r="G1537" s="55"/>
      <c r="H1537" s="55"/>
      <c r="I1537" s="55"/>
      <c r="J1537" s="55"/>
      <c r="K1537" s="56"/>
      <c r="L1537" s="55"/>
      <c r="M1537" s="55"/>
      <c r="N1537" s="55"/>
      <c r="O1537" s="55"/>
      <c r="P1537" s="55"/>
      <c r="Q1537" s="55"/>
      <c r="R1537" s="57"/>
      <c r="S1537" s="58"/>
    </row>
    <row r="1538" spans="1:19" x14ac:dyDescent="0.25">
      <c r="A1538" s="51" t="str">
        <f>(COUNTIF($K$2:K1538,K1538))&amp;K1538</f>
        <v>1</v>
      </c>
      <c r="B1538" s="52"/>
      <c r="C1538" s="53"/>
      <c r="D1538" s="54"/>
      <c r="E1538" s="55"/>
      <c r="F1538" s="55"/>
      <c r="G1538" s="55"/>
      <c r="H1538" s="55"/>
      <c r="I1538" s="55"/>
      <c r="J1538" s="55"/>
      <c r="K1538" s="56"/>
      <c r="L1538" s="55"/>
      <c r="M1538" s="55"/>
      <c r="N1538" s="55"/>
      <c r="O1538" s="55"/>
      <c r="P1538" s="55"/>
      <c r="Q1538" s="55"/>
      <c r="R1538" s="57"/>
      <c r="S1538" s="58"/>
    </row>
    <row r="1539" spans="1:19" x14ac:dyDescent="0.25">
      <c r="A1539" s="51" t="str">
        <f>(COUNTIF($K$2:K1539,K1539))&amp;K1539</f>
        <v>1</v>
      </c>
      <c r="B1539" s="52"/>
      <c r="C1539" s="53"/>
      <c r="D1539" s="54"/>
      <c r="E1539" s="55"/>
      <c r="F1539" s="55"/>
      <c r="G1539" s="55"/>
      <c r="H1539" s="55"/>
      <c r="I1539" s="55"/>
      <c r="J1539" s="55"/>
      <c r="K1539" s="56"/>
      <c r="L1539" s="55"/>
      <c r="M1539" s="55"/>
      <c r="N1539" s="55"/>
      <c r="O1539" s="55"/>
      <c r="P1539" s="55"/>
      <c r="Q1539" s="55"/>
      <c r="R1539" s="57"/>
      <c r="S1539" s="58"/>
    </row>
    <row r="1540" spans="1:19" ht="15.75" x14ac:dyDescent="0.25">
      <c r="A1540" s="51" t="str">
        <f>(COUNTIF($K$2:K1540,K1540))&amp;K1540</f>
        <v>1</v>
      </c>
      <c r="B1540" s="52"/>
      <c r="C1540" s="53"/>
      <c r="D1540" s="54"/>
      <c r="E1540" s="55"/>
      <c r="F1540" s="55"/>
      <c r="G1540" s="55"/>
      <c r="H1540" s="55"/>
      <c r="I1540" s="55"/>
      <c r="J1540" s="55"/>
      <c r="K1540" s="59"/>
      <c r="L1540" s="55"/>
      <c r="M1540" s="55"/>
      <c r="N1540" s="55"/>
      <c r="O1540" s="55"/>
      <c r="P1540" s="55"/>
      <c r="Q1540" s="55"/>
      <c r="R1540" s="57"/>
      <c r="S1540" s="58"/>
    </row>
    <row r="1541" spans="1:19" x14ac:dyDescent="0.25">
      <c r="A1541" s="51" t="str">
        <f>(COUNTIF($K$2:K1541,K1541))&amp;K1541</f>
        <v>1</v>
      </c>
      <c r="B1541" s="52"/>
      <c r="C1541" s="53"/>
      <c r="D1541" s="54"/>
      <c r="E1541" s="55"/>
      <c r="F1541" s="55"/>
      <c r="G1541" s="55"/>
      <c r="H1541" s="55"/>
      <c r="I1541" s="55"/>
      <c r="J1541" s="55"/>
      <c r="K1541" s="56"/>
      <c r="L1541" s="55"/>
      <c r="M1541" s="55"/>
      <c r="N1541" s="55"/>
      <c r="O1541" s="55"/>
      <c r="P1541" s="55"/>
      <c r="Q1541" s="55"/>
      <c r="R1541" s="57"/>
      <c r="S1541" s="58"/>
    </row>
    <row r="1542" spans="1:19" x14ac:dyDescent="0.25">
      <c r="A1542" s="51" t="str">
        <f>(COUNTIF($K$2:K1542,K1542))&amp;K1542</f>
        <v>1</v>
      </c>
      <c r="B1542" s="52"/>
      <c r="C1542" s="53"/>
      <c r="D1542" s="54"/>
      <c r="E1542" s="55"/>
      <c r="F1542" s="55"/>
      <c r="G1542" s="55"/>
      <c r="H1542" s="55"/>
      <c r="I1542" s="55"/>
      <c r="J1542" s="55"/>
      <c r="K1542" s="56"/>
      <c r="L1542" s="55"/>
      <c r="M1542" s="55"/>
      <c r="N1542" s="55"/>
      <c r="O1542" s="55"/>
      <c r="P1542" s="55"/>
      <c r="Q1542" s="55"/>
      <c r="R1542" s="57"/>
      <c r="S1542" s="58"/>
    </row>
    <row r="1543" spans="1:19" x14ac:dyDescent="0.25">
      <c r="A1543" s="51" t="str">
        <f>(COUNTIF($K$2:K1543,K1543))&amp;K1543</f>
        <v>1</v>
      </c>
      <c r="B1543" s="52"/>
      <c r="C1543" s="53"/>
      <c r="D1543" s="54"/>
      <c r="E1543" s="55"/>
      <c r="F1543" s="55"/>
      <c r="G1543" s="55"/>
      <c r="H1543" s="55"/>
      <c r="I1543" s="55"/>
      <c r="J1543" s="55"/>
      <c r="K1543" s="56"/>
      <c r="L1543" s="55"/>
      <c r="M1543" s="55"/>
      <c r="N1543" s="55"/>
      <c r="O1543" s="55"/>
      <c r="P1543" s="55"/>
      <c r="Q1543" s="55"/>
      <c r="R1543" s="57"/>
      <c r="S1543" s="58"/>
    </row>
    <row r="1544" spans="1:19" x14ac:dyDescent="0.25">
      <c r="A1544" s="51" t="str">
        <f>(COUNTIF($K$2:K1544,K1544))&amp;K1544</f>
        <v>1</v>
      </c>
      <c r="B1544" s="52"/>
      <c r="C1544" s="53"/>
      <c r="D1544" s="54"/>
      <c r="E1544" s="55"/>
      <c r="F1544" s="55"/>
      <c r="G1544" s="55"/>
      <c r="H1544" s="55"/>
      <c r="I1544" s="55"/>
      <c r="J1544" s="55"/>
      <c r="K1544" s="56"/>
      <c r="L1544" s="55"/>
      <c r="M1544" s="55"/>
      <c r="N1544" s="55"/>
      <c r="O1544" s="55"/>
      <c r="P1544" s="55"/>
      <c r="Q1544" s="55"/>
      <c r="R1544" s="57"/>
      <c r="S1544" s="58"/>
    </row>
    <row r="1545" spans="1:19" x14ac:dyDescent="0.25">
      <c r="A1545" s="51" t="str">
        <f>(COUNTIF($K$2:K1545,K1545))&amp;K1545</f>
        <v>1</v>
      </c>
      <c r="B1545" s="52"/>
      <c r="C1545" s="53"/>
      <c r="D1545" s="54"/>
      <c r="E1545" s="55"/>
      <c r="F1545" s="55"/>
      <c r="G1545" s="55"/>
      <c r="H1545" s="55"/>
      <c r="I1545" s="55"/>
      <c r="J1545" s="55"/>
      <c r="K1545" s="56"/>
      <c r="L1545" s="55"/>
      <c r="M1545" s="55"/>
      <c r="N1545" s="55"/>
      <c r="O1545" s="55"/>
      <c r="P1545" s="55"/>
      <c r="Q1545" s="55"/>
      <c r="R1545" s="57"/>
      <c r="S1545" s="58"/>
    </row>
    <row r="1546" spans="1:19" x14ac:dyDescent="0.25">
      <c r="A1546" s="51" t="str">
        <f>(COUNTIF($K$2:K1546,K1546))&amp;K1546</f>
        <v>1</v>
      </c>
      <c r="B1546" s="52"/>
      <c r="C1546" s="53"/>
      <c r="D1546" s="54"/>
      <c r="E1546" s="55"/>
      <c r="F1546" s="55"/>
      <c r="G1546" s="55"/>
      <c r="H1546" s="55"/>
      <c r="I1546" s="55"/>
      <c r="J1546" s="55"/>
      <c r="K1546" s="56"/>
      <c r="L1546" s="55"/>
      <c r="M1546" s="55"/>
      <c r="N1546" s="55"/>
      <c r="O1546" s="55"/>
      <c r="P1546" s="55"/>
      <c r="Q1546" s="55"/>
      <c r="R1546" s="57"/>
      <c r="S1546" s="58"/>
    </row>
    <row r="1547" spans="1:19" x14ac:dyDescent="0.25">
      <c r="A1547" s="51" t="str">
        <f>(COUNTIF($K$2:K1547,K1547))&amp;K1547</f>
        <v>1</v>
      </c>
      <c r="B1547" s="52"/>
      <c r="C1547" s="53"/>
      <c r="D1547" s="54"/>
      <c r="E1547" s="55"/>
      <c r="F1547" s="55"/>
      <c r="G1547" s="55"/>
      <c r="H1547" s="55"/>
      <c r="I1547" s="55"/>
      <c r="J1547" s="55"/>
      <c r="K1547" s="56"/>
      <c r="L1547" s="55"/>
      <c r="M1547" s="55"/>
      <c r="N1547" s="55"/>
      <c r="O1547" s="55"/>
      <c r="P1547" s="55"/>
      <c r="Q1547" s="55"/>
      <c r="R1547" s="57"/>
      <c r="S1547" s="58"/>
    </row>
    <row r="1548" spans="1:19" x14ac:dyDescent="0.25">
      <c r="A1548" s="51" t="str">
        <f>(COUNTIF($K$2:K1548,K1548))&amp;K1548</f>
        <v>1</v>
      </c>
      <c r="B1548" s="52"/>
      <c r="C1548" s="60"/>
      <c r="E1548" s="61"/>
      <c r="F1548" s="62"/>
      <c r="G1548" s="63"/>
      <c r="H1548" s="64"/>
      <c r="I1548" s="64"/>
      <c r="J1548" s="64"/>
      <c r="K1548" s="65"/>
      <c r="L1548" s="64"/>
      <c r="M1548" s="64"/>
      <c r="N1548" s="64"/>
      <c r="P1548" s="63"/>
      <c r="Q1548" s="61"/>
      <c r="R1548" s="64"/>
      <c r="S1548" s="64"/>
    </row>
    <row r="1549" spans="1:19" x14ac:dyDescent="0.25">
      <c r="A1549" s="51" t="str">
        <f>(COUNTIF($K$2:K1549,K1549))&amp;K1549</f>
        <v>1</v>
      </c>
      <c r="B1549" s="52"/>
      <c r="C1549" s="53"/>
      <c r="D1549" s="54"/>
      <c r="E1549" s="55"/>
      <c r="F1549" s="55"/>
      <c r="G1549" s="55"/>
      <c r="H1549" s="55"/>
      <c r="I1549" s="55"/>
      <c r="J1549" s="55"/>
      <c r="K1549" s="56"/>
      <c r="L1549" s="55"/>
      <c r="M1549" s="55"/>
      <c r="N1549" s="55"/>
      <c r="O1549" s="55"/>
      <c r="P1549" s="55"/>
      <c r="Q1549" s="55"/>
      <c r="R1549" s="57"/>
      <c r="S1549" s="58"/>
    </row>
    <row r="1550" spans="1:19" x14ac:dyDescent="0.25">
      <c r="A1550" s="51" t="str">
        <f>(COUNTIF($K$2:K1550,K1550))&amp;K1550</f>
        <v>1</v>
      </c>
      <c r="B1550" s="52"/>
      <c r="C1550" s="53"/>
      <c r="D1550" s="54"/>
      <c r="E1550" s="55"/>
      <c r="F1550" s="55"/>
      <c r="G1550" s="55"/>
      <c r="H1550" s="55"/>
      <c r="I1550" s="55"/>
      <c r="J1550" s="55"/>
      <c r="K1550" s="56"/>
      <c r="L1550" s="55"/>
      <c r="M1550" s="55"/>
      <c r="N1550" s="55"/>
      <c r="O1550" s="55"/>
      <c r="P1550" s="55"/>
      <c r="Q1550" s="55"/>
      <c r="R1550" s="57"/>
      <c r="S1550" s="58"/>
    </row>
    <row r="1551" spans="1:19" x14ac:dyDescent="0.25">
      <c r="A1551" s="51" t="str">
        <f>(COUNTIF($K$2:K1551,K1551))&amp;K1551</f>
        <v>1</v>
      </c>
      <c r="B1551" s="52"/>
      <c r="C1551" s="53"/>
      <c r="D1551" s="54"/>
      <c r="E1551" s="55"/>
      <c r="F1551" s="55"/>
      <c r="G1551" s="55"/>
      <c r="H1551" s="55"/>
      <c r="I1551" s="55"/>
      <c r="J1551" s="55"/>
      <c r="K1551" s="56"/>
      <c r="L1551" s="55"/>
      <c r="M1551" s="55"/>
      <c r="N1551" s="55"/>
      <c r="O1551" s="55"/>
      <c r="P1551" s="55"/>
      <c r="Q1551" s="55"/>
      <c r="R1551" s="57"/>
      <c r="S1551" s="58"/>
    </row>
    <row r="1552" spans="1:19" x14ac:dyDescent="0.25">
      <c r="A1552" s="51" t="str">
        <f>(COUNTIF($K$2:K1552,K1552))&amp;K1552</f>
        <v>1</v>
      </c>
      <c r="B1552" s="52"/>
      <c r="C1552" s="53"/>
      <c r="D1552" s="54"/>
      <c r="E1552" s="55"/>
      <c r="F1552" s="55"/>
      <c r="G1552" s="55"/>
      <c r="H1552" s="55"/>
      <c r="I1552" s="55"/>
      <c r="J1552" s="55"/>
      <c r="K1552" s="56"/>
      <c r="L1552" s="55"/>
      <c r="M1552" s="55"/>
      <c r="N1552" s="55"/>
      <c r="O1552" s="55"/>
      <c r="P1552" s="55"/>
      <c r="Q1552" s="55"/>
      <c r="R1552" s="57"/>
      <c r="S1552" s="58"/>
    </row>
    <row r="1553" spans="1:19" x14ac:dyDescent="0.25">
      <c r="A1553" s="51" t="str">
        <f>(COUNTIF($K$2:K1553,K1553))&amp;K1553</f>
        <v>1</v>
      </c>
      <c r="B1553" s="52"/>
      <c r="C1553" s="53"/>
      <c r="D1553" s="54"/>
      <c r="E1553" s="55"/>
      <c r="F1553" s="55"/>
      <c r="G1553" s="55"/>
      <c r="H1553" s="55"/>
      <c r="I1553" s="55"/>
      <c r="J1553" s="55"/>
      <c r="K1553" s="56"/>
      <c r="L1553" s="55"/>
      <c r="M1553" s="55"/>
      <c r="N1553" s="55"/>
      <c r="O1553" s="55"/>
      <c r="P1553" s="55"/>
      <c r="Q1553" s="55"/>
      <c r="R1553" s="57"/>
      <c r="S1553" s="58"/>
    </row>
    <row r="1554" spans="1:19" x14ac:dyDescent="0.25">
      <c r="A1554" s="51" t="str">
        <f>(COUNTIF($K$2:K1554,K1554))&amp;K1554</f>
        <v>1</v>
      </c>
      <c r="B1554" s="52"/>
      <c r="C1554" s="53"/>
      <c r="D1554" s="54"/>
      <c r="E1554" s="55"/>
      <c r="F1554" s="55"/>
      <c r="G1554" s="55"/>
      <c r="H1554" s="55"/>
      <c r="I1554" s="55"/>
      <c r="J1554" s="55"/>
      <c r="K1554" s="56"/>
      <c r="L1554" s="55"/>
      <c r="M1554" s="55"/>
      <c r="N1554" s="55"/>
      <c r="O1554" s="55"/>
      <c r="P1554" s="55"/>
      <c r="Q1554" s="55"/>
      <c r="R1554" s="57"/>
      <c r="S1554" s="58"/>
    </row>
    <row r="1555" spans="1:19" x14ac:dyDescent="0.25">
      <c r="A1555" s="51" t="str">
        <f>(COUNTIF($K$2:K1555,K1555))&amp;K1555</f>
        <v>1</v>
      </c>
      <c r="B1555" s="52"/>
      <c r="C1555" s="53"/>
      <c r="D1555" s="54"/>
      <c r="E1555" s="55"/>
      <c r="F1555" s="55"/>
      <c r="G1555" s="55"/>
      <c r="H1555" s="55"/>
      <c r="I1555" s="55"/>
      <c r="J1555" s="55"/>
      <c r="K1555" s="56"/>
      <c r="L1555" s="55"/>
      <c r="M1555" s="55"/>
      <c r="N1555" s="55"/>
      <c r="O1555" s="55"/>
      <c r="P1555" s="55"/>
      <c r="Q1555" s="55"/>
      <c r="R1555" s="57"/>
      <c r="S1555" s="58"/>
    </row>
    <row r="1556" spans="1:19" x14ac:dyDescent="0.25">
      <c r="A1556" s="51" t="str">
        <f>(COUNTIF($K$2:K1556,K1556))&amp;K1556</f>
        <v>1</v>
      </c>
      <c r="B1556" s="52"/>
      <c r="C1556" s="53"/>
      <c r="D1556" s="54"/>
      <c r="E1556" s="55"/>
      <c r="F1556" s="55"/>
      <c r="G1556" s="55"/>
      <c r="H1556" s="55"/>
      <c r="I1556" s="55"/>
      <c r="J1556" s="55"/>
      <c r="K1556" s="56"/>
      <c r="L1556" s="55"/>
      <c r="M1556" s="55"/>
      <c r="N1556" s="55"/>
      <c r="O1556" s="55"/>
      <c r="P1556" s="55"/>
      <c r="Q1556" s="55"/>
      <c r="R1556" s="57"/>
      <c r="S1556" s="58"/>
    </row>
    <row r="1557" spans="1:19" ht="15.75" x14ac:dyDescent="0.25">
      <c r="A1557" s="51" t="str">
        <f>(COUNTIF($K$2:K1557,K1557))&amp;K1557</f>
        <v>1</v>
      </c>
      <c r="B1557" s="52"/>
      <c r="C1557" s="53"/>
      <c r="D1557" s="54"/>
      <c r="E1557" s="55"/>
      <c r="F1557" s="55"/>
      <c r="G1557" s="55"/>
      <c r="H1557" s="55"/>
      <c r="I1557" s="55"/>
      <c r="J1557" s="55"/>
      <c r="K1557" s="59"/>
      <c r="L1557" s="55"/>
      <c r="M1557" s="55"/>
      <c r="N1557" s="55"/>
      <c r="O1557" s="55"/>
      <c r="P1557" s="55"/>
      <c r="Q1557" s="55"/>
      <c r="R1557" s="57"/>
      <c r="S1557" s="58"/>
    </row>
    <row r="1558" spans="1:19" x14ac:dyDescent="0.25">
      <c r="A1558" s="51" t="str">
        <f>(COUNTIF($K$2:K1558,K1558))&amp;K1558</f>
        <v>1</v>
      </c>
      <c r="B1558" s="52"/>
      <c r="C1558" s="53"/>
      <c r="D1558" s="54"/>
      <c r="E1558" s="55"/>
      <c r="F1558" s="55"/>
      <c r="G1558" s="55"/>
      <c r="H1558" s="55"/>
      <c r="I1558" s="55"/>
      <c r="J1558" s="55"/>
      <c r="K1558" s="56"/>
      <c r="L1558" s="55"/>
      <c r="M1558" s="55"/>
      <c r="N1558" s="55"/>
      <c r="O1558" s="55"/>
      <c r="P1558" s="55"/>
      <c r="Q1558" s="55"/>
      <c r="R1558" s="57"/>
      <c r="S1558" s="58"/>
    </row>
    <row r="1559" spans="1:19" x14ac:dyDescent="0.25">
      <c r="A1559" s="51" t="str">
        <f>(COUNTIF($K$2:K1559,K1559))&amp;K1559</f>
        <v>1</v>
      </c>
      <c r="B1559" s="52"/>
      <c r="C1559" s="53"/>
      <c r="D1559" s="54"/>
      <c r="E1559" s="55"/>
      <c r="F1559" s="55"/>
      <c r="G1559" s="55"/>
      <c r="H1559" s="55"/>
      <c r="I1559" s="55"/>
      <c r="J1559" s="55"/>
      <c r="K1559" s="56"/>
      <c r="L1559" s="55"/>
      <c r="M1559" s="55"/>
      <c r="N1559" s="55"/>
      <c r="O1559" s="55"/>
      <c r="P1559" s="55"/>
      <c r="Q1559" s="55"/>
      <c r="R1559" s="57"/>
      <c r="S1559" s="58"/>
    </row>
    <row r="1560" spans="1:19" x14ac:dyDescent="0.25">
      <c r="A1560" s="51" t="str">
        <f>(COUNTIF($K$2:K1560,K1560))&amp;K1560</f>
        <v>1</v>
      </c>
      <c r="B1560" s="52"/>
      <c r="C1560" s="53"/>
      <c r="D1560" s="54"/>
      <c r="E1560" s="55"/>
      <c r="F1560" s="55"/>
      <c r="G1560" s="55"/>
      <c r="H1560" s="55"/>
      <c r="I1560" s="55"/>
      <c r="J1560" s="55"/>
      <c r="K1560" s="56"/>
      <c r="L1560" s="55"/>
      <c r="M1560" s="55"/>
      <c r="N1560" s="55"/>
      <c r="O1560" s="55"/>
      <c r="P1560" s="55"/>
      <c r="Q1560" s="55"/>
      <c r="R1560" s="57"/>
      <c r="S1560" s="58"/>
    </row>
    <row r="1561" spans="1:19" x14ac:dyDescent="0.25">
      <c r="A1561" s="51" t="str">
        <f>(COUNTIF($K$2:K1561,K1561))&amp;K1561</f>
        <v>1</v>
      </c>
      <c r="B1561" s="52"/>
      <c r="C1561" s="53"/>
      <c r="D1561" s="54"/>
      <c r="E1561" s="55"/>
      <c r="F1561" s="55"/>
      <c r="G1561" s="55"/>
      <c r="H1561" s="55"/>
      <c r="I1561" s="55"/>
      <c r="J1561" s="55"/>
      <c r="K1561" s="56"/>
      <c r="L1561" s="55"/>
      <c r="M1561" s="55"/>
      <c r="N1561" s="55"/>
      <c r="O1561" s="55"/>
      <c r="P1561" s="55"/>
      <c r="Q1561" s="55"/>
      <c r="R1561" s="57"/>
      <c r="S1561" s="58"/>
    </row>
    <row r="1562" spans="1:19" x14ac:dyDescent="0.25">
      <c r="A1562" s="51" t="str">
        <f>(COUNTIF($K$2:K1562,K1562))&amp;K1562</f>
        <v>1</v>
      </c>
      <c r="B1562" s="52"/>
      <c r="C1562" s="53"/>
      <c r="D1562" s="54"/>
      <c r="E1562" s="55"/>
      <c r="F1562" s="55"/>
      <c r="G1562" s="55"/>
      <c r="H1562" s="55"/>
      <c r="I1562" s="55"/>
      <c r="J1562" s="55"/>
      <c r="K1562" s="56"/>
      <c r="L1562" s="55"/>
      <c r="M1562" s="55"/>
      <c r="N1562" s="55"/>
      <c r="O1562" s="55"/>
      <c r="P1562" s="55"/>
      <c r="Q1562" s="55"/>
      <c r="R1562" s="57"/>
      <c r="S1562" s="58"/>
    </row>
    <row r="1563" spans="1:19" x14ac:dyDescent="0.25">
      <c r="A1563" s="51" t="str">
        <f>(COUNTIF($K$2:K1563,K1563))&amp;K1563</f>
        <v>1</v>
      </c>
      <c r="B1563" s="52"/>
      <c r="C1563" s="53"/>
      <c r="D1563" s="54"/>
      <c r="E1563" s="55"/>
      <c r="F1563" s="55"/>
      <c r="G1563" s="55"/>
      <c r="H1563" s="55"/>
      <c r="I1563" s="55"/>
      <c r="J1563" s="55"/>
      <c r="K1563" s="56"/>
      <c r="L1563" s="55"/>
      <c r="M1563" s="55"/>
      <c r="N1563" s="55"/>
      <c r="O1563" s="55"/>
      <c r="P1563" s="55"/>
      <c r="Q1563" s="55"/>
      <c r="R1563" s="57"/>
      <c r="S1563" s="58"/>
    </row>
    <row r="1564" spans="1:19" x14ac:dyDescent="0.25">
      <c r="A1564" s="51" t="str">
        <f>(COUNTIF($K$2:K1564,K1564))&amp;K1564</f>
        <v>1</v>
      </c>
      <c r="B1564" s="52"/>
      <c r="C1564" s="53"/>
      <c r="D1564" s="54"/>
      <c r="E1564" s="55"/>
      <c r="F1564" s="55"/>
      <c r="G1564" s="55"/>
      <c r="H1564" s="55"/>
      <c r="I1564" s="55"/>
      <c r="J1564" s="55"/>
      <c r="K1564" s="56"/>
      <c r="L1564" s="55"/>
      <c r="M1564" s="55"/>
      <c r="N1564" s="55"/>
      <c r="O1564" s="55"/>
      <c r="P1564" s="55"/>
      <c r="Q1564" s="55"/>
      <c r="R1564" s="57"/>
      <c r="S1564" s="58"/>
    </row>
    <row r="1565" spans="1:19" x14ac:dyDescent="0.25">
      <c r="A1565" s="51" t="str">
        <f>(COUNTIF($K$2:K1565,K1565))&amp;K1565</f>
        <v>1</v>
      </c>
      <c r="B1565" s="52"/>
      <c r="C1565" s="60"/>
      <c r="E1565" s="61"/>
      <c r="F1565" s="62"/>
      <c r="G1565" s="63"/>
      <c r="H1565" s="64"/>
      <c r="I1565" s="64"/>
      <c r="J1565" s="64"/>
      <c r="K1565" s="65"/>
      <c r="L1565" s="64"/>
      <c r="M1565" s="64"/>
      <c r="N1565" s="64"/>
      <c r="P1565" s="63"/>
      <c r="Q1565" s="61"/>
      <c r="R1565" s="64"/>
      <c r="S1565" s="64"/>
    </row>
    <row r="1566" spans="1:19" x14ac:dyDescent="0.25">
      <c r="A1566" s="51" t="str">
        <f>(COUNTIF($K$2:K1566,K1566))&amp;K1566</f>
        <v>1</v>
      </c>
      <c r="B1566" s="52"/>
      <c r="C1566" s="53"/>
      <c r="D1566" s="54"/>
      <c r="E1566" s="55"/>
      <c r="F1566" s="55"/>
      <c r="G1566" s="55"/>
      <c r="H1566" s="55"/>
      <c r="I1566" s="55"/>
      <c r="J1566" s="55"/>
      <c r="K1566" s="56"/>
      <c r="L1566" s="55"/>
      <c r="M1566" s="55"/>
      <c r="N1566" s="55"/>
      <c r="O1566" s="55"/>
      <c r="P1566" s="55"/>
      <c r="Q1566" s="55"/>
      <c r="R1566" s="57"/>
      <c r="S1566" s="58"/>
    </row>
    <row r="1567" spans="1:19" x14ac:dyDescent="0.25">
      <c r="A1567" s="51" t="str">
        <f>(COUNTIF($K$2:K1567,K1567))&amp;K1567</f>
        <v>1</v>
      </c>
      <c r="B1567" s="52"/>
      <c r="C1567" s="53"/>
      <c r="D1567" s="54"/>
      <c r="E1567" s="55"/>
      <c r="F1567" s="55"/>
      <c r="G1567" s="55"/>
      <c r="H1567" s="55"/>
      <c r="I1567" s="55"/>
      <c r="J1567" s="55"/>
      <c r="K1567" s="56"/>
      <c r="L1567" s="55"/>
      <c r="M1567" s="55"/>
      <c r="N1567" s="55"/>
      <c r="O1567" s="55"/>
      <c r="P1567" s="55"/>
      <c r="Q1567" s="55"/>
      <c r="R1567" s="57"/>
      <c r="S1567" s="58"/>
    </row>
    <row r="1568" spans="1:19" x14ac:dyDescent="0.25">
      <c r="A1568" s="51" t="str">
        <f>(COUNTIF($K$2:K1568,K1568))&amp;K1568</f>
        <v>1</v>
      </c>
      <c r="B1568" s="52"/>
      <c r="C1568" s="53"/>
      <c r="D1568" s="54"/>
      <c r="E1568" s="55"/>
      <c r="F1568" s="55"/>
      <c r="G1568" s="55"/>
      <c r="H1568" s="55"/>
      <c r="I1568" s="55"/>
      <c r="J1568" s="55"/>
      <c r="K1568" s="56"/>
      <c r="L1568" s="55"/>
      <c r="M1568" s="55"/>
      <c r="N1568" s="55"/>
      <c r="O1568" s="55"/>
      <c r="P1568" s="55"/>
      <c r="Q1568" s="55"/>
      <c r="R1568" s="57"/>
      <c r="S1568" s="58"/>
    </row>
    <row r="1569" spans="1:19" x14ac:dyDescent="0.25">
      <c r="A1569" s="51" t="str">
        <f>(COUNTIF($K$2:K1569,K1569))&amp;K1569</f>
        <v>1</v>
      </c>
      <c r="B1569" s="52"/>
      <c r="C1569" s="53"/>
      <c r="D1569" s="54"/>
      <c r="E1569" s="55"/>
      <c r="F1569" s="55"/>
      <c r="G1569" s="55"/>
      <c r="H1569" s="55"/>
      <c r="I1569" s="55"/>
      <c r="J1569" s="55"/>
      <c r="K1569" s="56"/>
      <c r="L1569" s="55"/>
      <c r="M1569" s="55"/>
      <c r="N1569" s="55"/>
      <c r="O1569" s="55"/>
      <c r="P1569" s="55"/>
      <c r="Q1569" s="55"/>
      <c r="R1569" s="57"/>
      <c r="S1569" s="58"/>
    </row>
    <row r="1570" spans="1:19" x14ac:dyDescent="0.25">
      <c r="A1570" s="51" t="str">
        <f>(COUNTIF($K$2:K1570,K1570))&amp;K1570</f>
        <v>1</v>
      </c>
      <c r="B1570" s="52"/>
      <c r="C1570" s="53"/>
      <c r="D1570" s="54"/>
      <c r="E1570" s="55"/>
      <c r="F1570" s="55"/>
      <c r="G1570" s="55"/>
      <c r="H1570" s="55"/>
      <c r="I1570" s="55"/>
      <c r="J1570" s="55"/>
      <c r="K1570" s="56"/>
      <c r="L1570" s="55"/>
      <c r="M1570" s="55"/>
      <c r="N1570" s="55"/>
      <c r="O1570" s="55"/>
      <c r="P1570" s="55"/>
      <c r="Q1570" s="55"/>
      <c r="R1570" s="57"/>
      <c r="S1570" s="58"/>
    </row>
    <row r="1571" spans="1:19" x14ac:dyDescent="0.25">
      <c r="A1571" s="51" t="str">
        <f>(COUNTIF($K$2:K1571,K1571))&amp;K1571</f>
        <v>1</v>
      </c>
      <c r="B1571" s="52"/>
      <c r="C1571" s="53"/>
      <c r="D1571" s="54"/>
      <c r="E1571" s="55"/>
      <c r="F1571" s="55"/>
      <c r="G1571" s="55"/>
      <c r="H1571" s="55"/>
      <c r="I1571" s="55"/>
      <c r="J1571" s="55"/>
      <c r="K1571" s="56"/>
      <c r="L1571" s="55"/>
      <c r="M1571" s="55"/>
      <c r="N1571" s="55"/>
      <c r="O1571" s="55"/>
      <c r="P1571" s="55"/>
      <c r="Q1571" s="55"/>
      <c r="R1571" s="57"/>
      <c r="S1571" s="58"/>
    </row>
    <row r="1572" spans="1:19" x14ac:dyDescent="0.25">
      <c r="A1572" s="51" t="str">
        <f>(COUNTIF($K$2:K1572,K1572))&amp;K1572</f>
        <v>1</v>
      </c>
      <c r="B1572" s="52"/>
      <c r="C1572" s="53"/>
      <c r="D1572" s="54"/>
      <c r="E1572" s="55"/>
      <c r="F1572" s="55"/>
      <c r="G1572" s="55"/>
      <c r="H1572" s="55"/>
      <c r="I1572" s="55"/>
      <c r="J1572" s="55"/>
      <c r="K1572" s="56"/>
      <c r="L1572" s="55"/>
      <c r="M1572" s="55"/>
      <c r="N1572" s="55"/>
      <c r="O1572" s="55"/>
      <c r="P1572" s="55"/>
      <c r="Q1572" s="55"/>
      <c r="R1572" s="57"/>
      <c r="S1572" s="58"/>
    </row>
    <row r="1573" spans="1:19" x14ac:dyDescent="0.25">
      <c r="A1573" s="51" t="str">
        <f>(COUNTIF($K$2:K1573,K1573))&amp;K1573</f>
        <v>1</v>
      </c>
      <c r="B1573" s="52"/>
      <c r="C1573" s="53"/>
      <c r="D1573" s="54"/>
      <c r="E1573" s="55"/>
      <c r="F1573" s="55"/>
      <c r="G1573" s="55"/>
      <c r="H1573" s="55"/>
      <c r="I1573" s="55"/>
      <c r="J1573" s="55"/>
      <c r="K1573" s="56"/>
      <c r="L1573" s="55"/>
      <c r="M1573" s="55"/>
      <c r="N1573" s="55"/>
      <c r="O1573" s="55"/>
      <c r="P1573" s="55"/>
      <c r="Q1573" s="55"/>
      <c r="R1573" s="57"/>
      <c r="S1573" s="58"/>
    </row>
    <row r="1574" spans="1:19" ht="15.75" x14ac:dyDescent="0.25">
      <c r="A1574" s="51" t="str">
        <f>(COUNTIF($K$2:K1574,K1574))&amp;K1574</f>
        <v>1</v>
      </c>
      <c r="B1574" s="52"/>
      <c r="C1574" s="53"/>
      <c r="D1574" s="54"/>
      <c r="E1574" s="55"/>
      <c r="F1574" s="55"/>
      <c r="G1574" s="55"/>
      <c r="H1574" s="55"/>
      <c r="I1574" s="55"/>
      <c r="J1574" s="55"/>
      <c r="K1574" s="59"/>
      <c r="L1574" s="55"/>
      <c r="M1574" s="55"/>
      <c r="N1574" s="55"/>
      <c r="O1574" s="55"/>
      <c r="P1574" s="55"/>
      <c r="Q1574" s="55"/>
      <c r="R1574" s="57"/>
      <c r="S1574" s="58"/>
    </row>
    <row r="1575" spans="1:19" x14ac:dyDescent="0.25">
      <c r="A1575" s="51" t="str">
        <f>(COUNTIF($K$2:K1575,K1575))&amp;K1575</f>
        <v>1</v>
      </c>
      <c r="B1575" s="52"/>
      <c r="C1575" s="53"/>
      <c r="D1575" s="54"/>
      <c r="E1575" s="55"/>
      <c r="F1575" s="55"/>
      <c r="G1575" s="55"/>
      <c r="H1575" s="55"/>
      <c r="I1575" s="55"/>
      <c r="J1575" s="55"/>
      <c r="K1575" s="56"/>
      <c r="L1575" s="55"/>
      <c r="M1575" s="55"/>
      <c r="N1575" s="55"/>
      <c r="O1575" s="55"/>
      <c r="P1575" s="55"/>
      <c r="Q1575" s="55"/>
      <c r="R1575" s="57"/>
      <c r="S1575" s="58"/>
    </row>
    <row r="1576" spans="1:19" x14ac:dyDescent="0.25">
      <c r="A1576" s="51" t="str">
        <f>(COUNTIF($K$2:K1576,K1576))&amp;K1576</f>
        <v>1</v>
      </c>
      <c r="B1576" s="52"/>
      <c r="C1576" s="53"/>
      <c r="D1576" s="54"/>
      <c r="E1576" s="55"/>
      <c r="F1576" s="55"/>
      <c r="G1576" s="55"/>
      <c r="H1576" s="55"/>
      <c r="I1576" s="55"/>
      <c r="J1576" s="55"/>
      <c r="K1576" s="56"/>
      <c r="L1576" s="55"/>
      <c r="M1576" s="55"/>
      <c r="N1576" s="55"/>
      <c r="O1576" s="55"/>
      <c r="P1576" s="55"/>
      <c r="Q1576" s="55"/>
      <c r="R1576" s="57"/>
      <c r="S1576" s="58"/>
    </row>
    <row r="1577" spans="1:19" x14ac:dyDescent="0.25">
      <c r="A1577" s="51" t="str">
        <f>(COUNTIF($K$2:K1577,K1577))&amp;K1577</f>
        <v>1</v>
      </c>
      <c r="B1577" s="52"/>
      <c r="C1577" s="53"/>
      <c r="D1577" s="54"/>
      <c r="E1577" s="55"/>
      <c r="F1577" s="55"/>
      <c r="G1577" s="55"/>
      <c r="H1577" s="55"/>
      <c r="I1577" s="55"/>
      <c r="J1577" s="55"/>
      <c r="K1577" s="56"/>
      <c r="L1577" s="55"/>
      <c r="M1577" s="55"/>
      <c r="N1577" s="55"/>
      <c r="O1577" s="55"/>
      <c r="P1577" s="55"/>
      <c r="Q1577" s="55"/>
      <c r="R1577" s="57"/>
      <c r="S1577" s="58"/>
    </row>
    <row r="1578" spans="1:19" x14ac:dyDescent="0.25">
      <c r="A1578" s="51" t="str">
        <f>(COUNTIF($K$2:K1578,K1578))&amp;K1578</f>
        <v>1</v>
      </c>
      <c r="B1578" s="52"/>
      <c r="C1578" s="53"/>
      <c r="D1578" s="54"/>
      <c r="E1578" s="55"/>
      <c r="F1578" s="55"/>
      <c r="G1578" s="55"/>
      <c r="H1578" s="55"/>
      <c r="I1578" s="55"/>
      <c r="J1578" s="55"/>
      <c r="K1578" s="56"/>
      <c r="L1578" s="55"/>
      <c r="M1578" s="55"/>
      <c r="N1578" s="55"/>
      <c r="O1578" s="55"/>
      <c r="P1578" s="55"/>
      <c r="Q1578" s="55"/>
      <c r="R1578" s="57"/>
      <c r="S1578" s="58"/>
    </row>
    <row r="1579" spans="1:19" x14ac:dyDescent="0.25">
      <c r="A1579" s="51" t="str">
        <f>(COUNTIF($K$2:K1579,K1579))&amp;K1579</f>
        <v>1</v>
      </c>
      <c r="B1579" s="52"/>
      <c r="C1579" s="53"/>
      <c r="D1579" s="54"/>
      <c r="E1579" s="55"/>
      <c r="F1579" s="55"/>
      <c r="G1579" s="55"/>
      <c r="H1579" s="55"/>
      <c r="I1579" s="55"/>
      <c r="J1579" s="55"/>
      <c r="K1579" s="56"/>
      <c r="L1579" s="55"/>
      <c r="M1579" s="55"/>
      <c r="N1579" s="55"/>
      <c r="O1579" s="55"/>
      <c r="P1579" s="55"/>
      <c r="Q1579" s="55"/>
      <c r="R1579" s="57"/>
      <c r="S1579" s="58"/>
    </row>
    <row r="1580" spans="1:19" x14ac:dyDescent="0.25">
      <c r="A1580" s="51" t="str">
        <f>(COUNTIF($K$2:K1580,K1580))&amp;K1580</f>
        <v>1</v>
      </c>
      <c r="B1580" s="52"/>
      <c r="C1580" s="53"/>
      <c r="D1580" s="54"/>
      <c r="E1580" s="55"/>
      <c r="F1580" s="55"/>
      <c r="G1580" s="55"/>
      <c r="H1580" s="55"/>
      <c r="I1580" s="55"/>
      <c r="J1580" s="55"/>
      <c r="K1580" s="56"/>
      <c r="L1580" s="55"/>
      <c r="M1580" s="55"/>
      <c r="N1580" s="55"/>
      <c r="O1580" s="55"/>
      <c r="P1580" s="55"/>
      <c r="Q1580" s="55"/>
      <c r="R1580" s="57"/>
      <c r="S1580" s="58"/>
    </row>
    <row r="1581" spans="1:19" x14ac:dyDescent="0.25">
      <c r="A1581" s="51" t="str">
        <f>(COUNTIF($K$2:K1581,K1581))&amp;K1581</f>
        <v>1</v>
      </c>
      <c r="B1581" s="52"/>
      <c r="C1581" s="53"/>
      <c r="D1581" s="54"/>
      <c r="E1581" s="55"/>
      <c r="F1581" s="55"/>
      <c r="G1581" s="55"/>
      <c r="H1581" s="55"/>
      <c r="I1581" s="55"/>
      <c r="J1581" s="55"/>
      <c r="K1581" s="56"/>
      <c r="L1581" s="55"/>
      <c r="M1581" s="55"/>
      <c r="N1581" s="55"/>
      <c r="O1581" s="55"/>
      <c r="P1581" s="55"/>
      <c r="Q1581" s="55"/>
      <c r="R1581" s="57"/>
      <c r="S1581" s="58"/>
    </row>
    <row r="1582" spans="1:19" x14ac:dyDescent="0.25">
      <c r="A1582" s="51" t="str">
        <f>(COUNTIF($K$2:K1582,K1582))&amp;K1582</f>
        <v>1</v>
      </c>
      <c r="B1582" s="52"/>
      <c r="C1582" s="60"/>
      <c r="E1582" s="61"/>
      <c r="F1582" s="62"/>
      <c r="G1582" s="63"/>
      <c r="H1582" s="64"/>
      <c r="I1582" s="64"/>
      <c r="J1582" s="64"/>
      <c r="K1582" s="65"/>
      <c r="L1582" s="64"/>
      <c r="M1582" s="64"/>
      <c r="N1582" s="64"/>
      <c r="P1582" s="63"/>
      <c r="Q1582" s="61"/>
      <c r="R1582" s="64"/>
      <c r="S1582" s="64"/>
    </row>
    <row r="1583" spans="1:19" x14ac:dyDescent="0.25">
      <c r="A1583" s="51" t="str">
        <f>(COUNTIF($K$2:K1583,K1583))&amp;K1583</f>
        <v>1</v>
      </c>
      <c r="B1583" s="52"/>
      <c r="C1583" s="53"/>
      <c r="D1583" s="54"/>
      <c r="E1583" s="55"/>
      <c r="F1583" s="55"/>
      <c r="G1583" s="55"/>
      <c r="H1583" s="55"/>
      <c r="I1583" s="55"/>
      <c r="J1583" s="55"/>
      <c r="K1583" s="56"/>
      <c r="L1583" s="55"/>
      <c r="M1583" s="55"/>
      <c r="N1583" s="55"/>
      <c r="O1583" s="55"/>
      <c r="P1583" s="55"/>
      <c r="Q1583" s="55"/>
      <c r="R1583" s="57"/>
      <c r="S1583" s="58"/>
    </row>
    <row r="1584" spans="1:19" x14ac:dyDescent="0.25">
      <c r="A1584" s="51" t="str">
        <f>(COUNTIF($K$2:K1584,K1584))&amp;K1584</f>
        <v>1</v>
      </c>
      <c r="B1584" s="52"/>
      <c r="C1584" s="53"/>
      <c r="D1584" s="54"/>
      <c r="E1584" s="55"/>
      <c r="F1584" s="55"/>
      <c r="G1584" s="55"/>
      <c r="H1584" s="55"/>
      <c r="I1584" s="55"/>
      <c r="J1584" s="55"/>
      <c r="K1584" s="56"/>
      <c r="L1584" s="55"/>
      <c r="M1584" s="55"/>
      <c r="N1584" s="55"/>
      <c r="O1584" s="55"/>
      <c r="P1584" s="55"/>
      <c r="Q1584" s="55"/>
      <c r="R1584" s="57"/>
      <c r="S1584" s="58"/>
    </row>
    <row r="1585" spans="1:19" x14ac:dyDescent="0.25">
      <c r="A1585" s="51" t="str">
        <f>(COUNTIF($K$2:K1585,K1585))&amp;K1585</f>
        <v>1</v>
      </c>
      <c r="B1585" s="52"/>
      <c r="C1585" s="53"/>
      <c r="D1585" s="54"/>
      <c r="E1585" s="55"/>
      <c r="F1585" s="55"/>
      <c r="G1585" s="55"/>
      <c r="H1585" s="55"/>
      <c r="I1585" s="55"/>
      <c r="J1585" s="55"/>
      <c r="K1585" s="56"/>
      <c r="L1585" s="55"/>
      <c r="M1585" s="55"/>
      <c r="N1585" s="55"/>
      <c r="O1585" s="55"/>
      <c r="P1585" s="55"/>
      <c r="Q1585" s="55"/>
      <c r="R1585" s="57"/>
      <c r="S1585" s="58"/>
    </row>
    <row r="1586" spans="1:19" x14ac:dyDescent="0.25">
      <c r="A1586" s="51" t="str">
        <f>(COUNTIF($K$2:K1586,K1586))&amp;K1586</f>
        <v>1</v>
      </c>
      <c r="B1586" s="52"/>
      <c r="C1586" s="53"/>
      <c r="D1586" s="54"/>
      <c r="E1586" s="55"/>
      <c r="F1586" s="55"/>
      <c r="G1586" s="55"/>
      <c r="H1586" s="55"/>
      <c r="I1586" s="55"/>
      <c r="J1586" s="55"/>
      <c r="K1586" s="56"/>
      <c r="L1586" s="55"/>
      <c r="M1586" s="55"/>
      <c r="N1586" s="55"/>
      <c r="O1586" s="55"/>
      <c r="P1586" s="55"/>
      <c r="Q1586" s="55"/>
      <c r="R1586" s="57"/>
      <c r="S1586" s="58"/>
    </row>
    <row r="1587" spans="1:19" x14ac:dyDescent="0.25">
      <c r="A1587" s="51" t="str">
        <f>(COUNTIF($K$2:K1587,K1587))&amp;K1587</f>
        <v>1</v>
      </c>
      <c r="B1587" s="52"/>
      <c r="C1587" s="53"/>
      <c r="D1587" s="54"/>
      <c r="E1587" s="55"/>
      <c r="F1587" s="55"/>
      <c r="G1587" s="55"/>
      <c r="H1587" s="55"/>
      <c r="I1587" s="55"/>
      <c r="J1587" s="55"/>
      <c r="K1587" s="56"/>
      <c r="L1587" s="55"/>
      <c r="M1587" s="55"/>
      <c r="N1587" s="55"/>
      <c r="O1587" s="55"/>
      <c r="P1587" s="55"/>
      <c r="Q1587" s="55"/>
      <c r="R1587" s="57"/>
      <c r="S1587" s="58"/>
    </row>
    <row r="1588" spans="1:19" x14ac:dyDescent="0.25">
      <c r="A1588" s="51" t="str">
        <f>(COUNTIF($K$2:K1588,K1588))&amp;K1588</f>
        <v>1</v>
      </c>
      <c r="B1588" s="52"/>
      <c r="C1588" s="53"/>
      <c r="D1588" s="54"/>
      <c r="E1588" s="55"/>
      <c r="F1588" s="55"/>
      <c r="G1588" s="55"/>
      <c r="H1588" s="55"/>
      <c r="I1588" s="55"/>
      <c r="J1588" s="55"/>
      <c r="K1588" s="56"/>
      <c r="L1588" s="55"/>
      <c r="M1588" s="55"/>
      <c r="N1588" s="55"/>
      <c r="O1588" s="55"/>
      <c r="P1588" s="55"/>
      <c r="Q1588" s="55"/>
      <c r="R1588" s="57"/>
      <c r="S1588" s="58"/>
    </row>
    <row r="1589" spans="1:19" x14ac:dyDescent="0.25">
      <c r="A1589" s="51" t="str">
        <f>(COUNTIF($K$2:K1589,K1589))&amp;K1589</f>
        <v>1</v>
      </c>
      <c r="B1589" s="52"/>
      <c r="C1589" s="53"/>
      <c r="D1589" s="54"/>
      <c r="E1589" s="55"/>
      <c r="F1589" s="55"/>
      <c r="G1589" s="55"/>
      <c r="H1589" s="55"/>
      <c r="I1589" s="55"/>
      <c r="J1589" s="55"/>
      <c r="K1589" s="56"/>
      <c r="L1589" s="55"/>
      <c r="M1589" s="55"/>
      <c r="N1589" s="55"/>
      <c r="O1589" s="55"/>
      <c r="P1589" s="55"/>
      <c r="Q1589" s="55"/>
      <c r="R1589" s="57"/>
      <c r="S1589" s="58"/>
    </row>
    <row r="1590" spans="1:19" x14ac:dyDescent="0.25">
      <c r="A1590" s="51" t="str">
        <f>(COUNTIF($K$2:K1590,K1590))&amp;K1590</f>
        <v>1</v>
      </c>
      <c r="B1590" s="52"/>
      <c r="C1590" s="53"/>
      <c r="D1590" s="54"/>
      <c r="E1590" s="55"/>
      <c r="F1590" s="55"/>
      <c r="G1590" s="55"/>
      <c r="H1590" s="55"/>
      <c r="I1590" s="55"/>
      <c r="J1590" s="55"/>
      <c r="K1590" s="56"/>
      <c r="L1590" s="55"/>
      <c r="M1590" s="55"/>
      <c r="N1590" s="55"/>
      <c r="O1590" s="55"/>
      <c r="P1590" s="55"/>
      <c r="Q1590" s="55"/>
      <c r="R1590" s="57"/>
      <c r="S1590" s="58"/>
    </row>
    <row r="1591" spans="1:19" ht="15.75" x14ac:dyDescent="0.25">
      <c r="A1591" s="51" t="str">
        <f>(COUNTIF($K$2:K1591,K1591))&amp;K1591</f>
        <v>1</v>
      </c>
      <c r="B1591" s="52"/>
      <c r="C1591" s="53"/>
      <c r="D1591" s="54"/>
      <c r="E1591" s="55"/>
      <c r="F1591" s="55"/>
      <c r="G1591" s="55"/>
      <c r="H1591" s="55"/>
      <c r="I1591" s="55"/>
      <c r="J1591" s="55"/>
      <c r="K1591" s="59"/>
      <c r="L1591" s="55"/>
      <c r="M1591" s="55"/>
      <c r="N1591" s="55"/>
      <c r="O1591" s="55"/>
      <c r="P1591" s="55"/>
      <c r="Q1591" s="55"/>
      <c r="R1591" s="57"/>
      <c r="S1591" s="58"/>
    </row>
    <row r="1592" spans="1:19" x14ac:dyDescent="0.25">
      <c r="A1592" s="51" t="str">
        <f>(COUNTIF($K$2:K1592,K1592))&amp;K1592</f>
        <v>1</v>
      </c>
      <c r="B1592" s="52"/>
      <c r="C1592" s="53"/>
      <c r="D1592" s="54"/>
      <c r="E1592" s="55"/>
      <c r="F1592" s="55"/>
      <c r="G1592" s="55"/>
      <c r="H1592" s="55"/>
      <c r="I1592" s="55"/>
      <c r="J1592" s="55"/>
      <c r="K1592" s="56"/>
      <c r="L1592" s="55"/>
      <c r="M1592" s="55"/>
      <c r="N1592" s="55"/>
      <c r="O1592" s="55"/>
      <c r="P1592" s="55"/>
      <c r="Q1592" s="55"/>
      <c r="R1592" s="57"/>
      <c r="S1592" s="58"/>
    </row>
    <row r="1593" spans="1:19" x14ac:dyDescent="0.25">
      <c r="A1593" s="51" t="str">
        <f>(COUNTIF($K$2:K1593,K1593))&amp;K1593</f>
        <v>1</v>
      </c>
      <c r="B1593" s="52"/>
      <c r="C1593" s="53"/>
      <c r="D1593" s="54"/>
      <c r="E1593" s="55"/>
      <c r="F1593" s="55"/>
      <c r="G1593" s="55"/>
      <c r="H1593" s="55"/>
      <c r="I1593" s="55"/>
      <c r="J1593" s="55"/>
      <c r="K1593" s="56"/>
      <c r="L1593" s="55"/>
      <c r="M1593" s="55"/>
      <c r="N1593" s="55"/>
      <c r="O1593" s="55"/>
      <c r="P1593" s="55"/>
      <c r="Q1593" s="55"/>
      <c r="R1593" s="57"/>
      <c r="S1593" s="58"/>
    </row>
    <row r="1594" spans="1:19" x14ac:dyDescent="0.25">
      <c r="A1594" s="51" t="str">
        <f>(COUNTIF($K$2:K1594,K1594))&amp;K1594</f>
        <v>1</v>
      </c>
      <c r="B1594" s="52"/>
      <c r="C1594" s="53"/>
      <c r="D1594" s="54"/>
      <c r="E1594" s="55"/>
      <c r="F1594" s="55"/>
      <c r="G1594" s="55"/>
      <c r="H1594" s="55"/>
      <c r="I1594" s="55"/>
      <c r="J1594" s="55"/>
      <c r="K1594" s="56"/>
      <c r="L1594" s="55"/>
      <c r="M1594" s="55"/>
      <c r="N1594" s="55"/>
      <c r="O1594" s="55"/>
      <c r="P1594" s="55"/>
      <c r="Q1594" s="55"/>
      <c r="R1594" s="57"/>
      <c r="S1594" s="58"/>
    </row>
    <row r="1595" spans="1:19" x14ac:dyDescent="0.25">
      <c r="A1595" s="51" t="str">
        <f>(COUNTIF($K$2:K1595,K1595))&amp;K1595</f>
        <v>1</v>
      </c>
      <c r="B1595" s="52"/>
      <c r="C1595" s="53"/>
      <c r="D1595" s="54"/>
      <c r="E1595" s="55"/>
      <c r="F1595" s="55"/>
      <c r="G1595" s="55"/>
      <c r="H1595" s="55"/>
      <c r="I1595" s="55"/>
      <c r="J1595" s="55"/>
      <c r="K1595" s="56"/>
      <c r="L1595" s="55"/>
      <c r="M1595" s="55"/>
      <c r="N1595" s="55"/>
      <c r="O1595" s="55"/>
      <c r="P1595" s="55"/>
      <c r="Q1595" s="55"/>
      <c r="R1595" s="57"/>
      <c r="S1595" s="58"/>
    </row>
    <row r="1596" spans="1:19" x14ac:dyDescent="0.25">
      <c r="A1596" s="51" t="str">
        <f>(COUNTIF($K$2:K1596,K1596))&amp;K1596</f>
        <v>1</v>
      </c>
      <c r="B1596" s="52"/>
      <c r="C1596" s="53"/>
      <c r="D1596" s="54"/>
      <c r="E1596" s="55"/>
      <c r="F1596" s="55"/>
      <c r="G1596" s="55"/>
      <c r="H1596" s="55"/>
      <c r="I1596" s="55"/>
      <c r="J1596" s="55"/>
      <c r="K1596" s="56"/>
      <c r="L1596" s="55"/>
      <c r="M1596" s="55"/>
      <c r="N1596" s="55"/>
      <c r="O1596" s="55"/>
      <c r="P1596" s="55"/>
      <c r="Q1596" s="55"/>
      <c r="R1596" s="57"/>
      <c r="S1596" s="58"/>
    </row>
    <row r="1597" spans="1:19" x14ac:dyDescent="0.25">
      <c r="A1597" s="51" t="str">
        <f>(COUNTIF($K$2:K1597,K1597))&amp;K1597</f>
        <v>1</v>
      </c>
      <c r="B1597" s="52"/>
      <c r="C1597" s="53"/>
      <c r="D1597" s="54"/>
      <c r="E1597" s="55"/>
      <c r="F1597" s="55"/>
      <c r="G1597" s="55"/>
      <c r="H1597" s="55"/>
      <c r="I1597" s="55"/>
      <c r="J1597" s="55"/>
      <c r="K1597" s="56"/>
      <c r="L1597" s="55"/>
      <c r="M1597" s="55"/>
      <c r="N1597" s="55"/>
      <c r="O1597" s="55"/>
      <c r="P1597" s="55"/>
      <c r="Q1597" s="55"/>
      <c r="R1597" s="57"/>
      <c r="S1597" s="58"/>
    </row>
    <row r="1598" spans="1:19" x14ac:dyDescent="0.25">
      <c r="A1598" s="51" t="str">
        <f>(COUNTIF($K$2:K1598,K1598))&amp;K1598</f>
        <v>1</v>
      </c>
      <c r="B1598" s="52"/>
      <c r="C1598" s="53"/>
      <c r="D1598" s="54"/>
      <c r="E1598" s="55"/>
      <c r="F1598" s="55"/>
      <c r="G1598" s="55"/>
      <c r="H1598" s="55"/>
      <c r="I1598" s="55"/>
      <c r="J1598" s="55"/>
      <c r="K1598" s="56"/>
      <c r="L1598" s="55"/>
      <c r="M1598" s="55"/>
      <c r="N1598" s="55"/>
      <c r="O1598" s="55"/>
      <c r="P1598" s="55"/>
      <c r="Q1598" s="55"/>
      <c r="R1598" s="57"/>
      <c r="S1598" s="58"/>
    </row>
    <row r="1599" spans="1:19" x14ac:dyDescent="0.25">
      <c r="A1599" s="51" t="str">
        <f>(COUNTIF($K$2:K1599,K1599))&amp;K1599</f>
        <v>1</v>
      </c>
      <c r="B1599" s="52"/>
      <c r="C1599" s="60"/>
      <c r="E1599" s="61"/>
      <c r="F1599" s="62"/>
      <c r="G1599" s="63"/>
      <c r="H1599" s="64"/>
      <c r="I1599" s="64"/>
      <c r="J1599" s="64"/>
      <c r="K1599" s="65"/>
      <c r="L1599" s="64"/>
      <c r="M1599" s="64"/>
      <c r="N1599" s="64"/>
      <c r="P1599" s="63"/>
      <c r="Q1599" s="61"/>
      <c r="R1599" s="64"/>
      <c r="S1599" s="64"/>
    </row>
    <row r="1600" spans="1:19" x14ac:dyDescent="0.25">
      <c r="A1600" s="51" t="str">
        <f>(COUNTIF($K$2:K1600,K1600))&amp;K1600</f>
        <v>1</v>
      </c>
      <c r="B1600" s="52"/>
      <c r="C1600" s="53"/>
      <c r="D1600" s="54"/>
      <c r="E1600" s="55"/>
      <c r="F1600" s="55"/>
      <c r="G1600" s="55"/>
      <c r="H1600" s="55"/>
      <c r="I1600" s="55"/>
      <c r="J1600" s="55"/>
      <c r="K1600" s="56"/>
      <c r="L1600" s="55"/>
      <c r="M1600" s="55"/>
      <c r="N1600" s="55"/>
      <c r="O1600" s="55"/>
      <c r="P1600" s="55"/>
      <c r="Q1600" s="55"/>
      <c r="R1600" s="57"/>
      <c r="S1600" s="58"/>
    </row>
    <row r="1601" spans="1:19" x14ac:dyDescent="0.25">
      <c r="A1601" s="51" t="str">
        <f>(COUNTIF($K$2:K1601,K1601))&amp;K1601</f>
        <v>1</v>
      </c>
      <c r="B1601" s="52"/>
      <c r="C1601" s="53"/>
      <c r="D1601" s="54"/>
      <c r="E1601" s="55"/>
      <c r="F1601" s="55"/>
      <c r="G1601" s="55"/>
      <c r="H1601" s="55"/>
      <c r="I1601" s="55"/>
      <c r="J1601" s="55"/>
      <c r="K1601" s="56"/>
      <c r="L1601" s="55"/>
      <c r="M1601" s="55"/>
      <c r="N1601" s="55"/>
      <c r="O1601" s="55"/>
      <c r="P1601" s="55"/>
      <c r="Q1601" s="55"/>
      <c r="R1601" s="57"/>
      <c r="S1601" s="58"/>
    </row>
    <row r="1602" spans="1:19" x14ac:dyDescent="0.25">
      <c r="A1602" s="51" t="str">
        <f>(COUNTIF($K$2:K1602,K1602))&amp;K1602</f>
        <v>1</v>
      </c>
      <c r="B1602" s="52"/>
      <c r="C1602" s="53"/>
      <c r="D1602" s="54"/>
      <c r="E1602" s="55"/>
      <c r="F1602" s="55"/>
      <c r="G1602" s="55"/>
      <c r="H1602" s="55"/>
      <c r="I1602" s="55"/>
      <c r="J1602" s="55"/>
      <c r="K1602" s="56"/>
      <c r="L1602" s="55"/>
      <c r="M1602" s="55"/>
      <c r="N1602" s="55"/>
      <c r="O1602" s="55"/>
      <c r="P1602" s="55"/>
      <c r="Q1602" s="55"/>
      <c r="R1602" s="57"/>
      <c r="S1602" s="58"/>
    </row>
    <row r="1603" spans="1:19" x14ac:dyDescent="0.25">
      <c r="A1603" s="51" t="str">
        <f>(COUNTIF($K$2:K1603,K1603))&amp;K1603</f>
        <v>1</v>
      </c>
      <c r="B1603" s="52"/>
      <c r="C1603" s="53"/>
      <c r="D1603" s="54"/>
      <c r="E1603" s="55"/>
      <c r="F1603" s="55"/>
      <c r="G1603" s="55"/>
      <c r="H1603" s="55"/>
      <c r="I1603" s="55"/>
      <c r="J1603" s="55"/>
      <c r="K1603" s="56"/>
      <c r="L1603" s="55"/>
      <c r="M1603" s="55"/>
      <c r="N1603" s="55"/>
      <c r="O1603" s="55"/>
      <c r="P1603" s="55"/>
      <c r="Q1603" s="55"/>
      <c r="R1603" s="57"/>
      <c r="S1603" s="58"/>
    </row>
    <row r="1604" spans="1:19" x14ac:dyDescent="0.25">
      <c r="A1604" s="51" t="str">
        <f>(COUNTIF($K$2:K1604,K1604))&amp;K1604</f>
        <v>1</v>
      </c>
      <c r="B1604" s="52"/>
      <c r="C1604" s="53"/>
      <c r="D1604" s="54"/>
      <c r="E1604" s="55"/>
      <c r="F1604" s="55"/>
      <c r="G1604" s="55"/>
      <c r="H1604" s="55"/>
      <c r="I1604" s="55"/>
      <c r="J1604" s="55"/>
      <c r="K1604" s="56"/>
      <c r="L1604" s="55"/>
      <c r="M1604" s="55"/>
      <c r="N1604" s="55"/>
      <c r="O1604" s="55"/>
      <c r="P1604" s="55"/>
      <c r="Q1604" s="55"/>
      <c r="R1604" s="57"/>
      <c r="S1604" s="58"/>
    </row>
    <row r="1605" spans="1:19" x14ac:dyDescent="0.25">
      <c r="A1605" s="51" t="str">
        <f>(COUNTIF($K$2:K1605,K1605))&amp;K1605</f>
        <v>1</v>
      </c>
      <c r="B1605" s="52"/>
      <c r="C1605" s="53"/>
      <c r="D1605" s="54"/>
      <c r="E1605" s="55"/>
      <c r="F1605" s="55"/>
      <c r="G1605" s="55"/>
      <c r="H1605" s="55"/>
      <c r="I1605" s="55"/>
      <c r="J1605" s="55"/>
      <c r="K1605" s="56"/>
      <c r="L1605" s="55"/>
      <c r="M1605" s="55"/>
      <c r="N1605" s="55"/>
      <c r="O1605" s="55"/>
      <c r="P1605" s="55"/>
      <c r="Q1605" s="55"/>
      <c r="R1605" s="57"/>
      <c r="S1605" s="58"/>
    </row>
    <row r="1606" spans="1:19" x14ac:dyDescent="0.25">
      <c r="A1606" s="51" t="str">
        <f>(COUNTIF($K$2:K1606,K1606))&amp;K1606</f>
        <v>1</v>
      </c>
      <c r="B1606" s="52"/>
      <c r="C1606" s="53"/>
      <c r="D1606" s="54"/>
      <c r="E1606" s="55"/>
      <c r="F1606" s="55"/>
      <c r="G1606" s="55"/>
      <c r="H1606" s="55"/>
      <c r="I1606" s="55"/>
      <c r="J1606" s="55"/>
      <c r="K1606" s="56"/>
      <c r="L1606" s="55"/>
      <c r="M1606" s="55"/>
      <c r="N1606" s="55"/>
      <c r="O1606" s="55"/>
      <c r="P1606" s="55"/>
      <c r="Q1606" s="55"/>
      <c r="R1606" s="57"/>
      <c r="S1606" s="58"/>
    </row>
    <row r="1607" spans="1:19" x14ac:dyDescent="0.25">
      <c r="A1607" s="51" t="str">
        <f>(COUNTIF($K$2:K1607,K1607))&amp;K1607</f>
        <v>1</v>
      </c>
      <c r="B1607" s="52"/>
      <c r="C1607" s="53"/>
      <c r="D1607" s="54"/>
      <c r="E1607" s="55"/>
      <c r="F1607" s="55"/>
      <c r="G1607" s="55"/>
      <c r="H1607" s="55"/>
      <c r="I1607" s="55"/>
      <c r="J1607" s="55"/>
      <c r="K1607" s="56"/>
      <c r="L1607" s="55"/>
      <c r="M1607" s="55"/>
      <c r="N1607" s="55"/>
      <c r="O1607" s="55"/>
      <c r="P1607" s="55"/>
      <c r="Q1607" s="55"/>
      <c r="R1607" s="57"/>
      <c r="S1607" s="58"/>
    </row>
    <row r="1608" spans="1:19" ht="15.75" x14ac:dyDescent="0.25">
      <c r="A1608" s="51" t="str">
        <f>(COUNTIF($K$2:K1608,K1608))&amp;K1608</f>
        <v>1</v>
      </c>
      <c r="B1608" s="52"/>
      <c r="C1608" s="53"/>
      <c r="D1608" s="54"/>
      <c r="E1608" s="55"/>
      <c r="F1608" s="55"/>
      <c r="G1608" s="55"/>
      <c r="H1608" s="55"/>
      <c r="I1608" s="55"/>
      <c r="J1608" s="55"/>
      <c r="K1608" s="59"/>
      <c r="L1608" s="55"/>
      <c r="M1608" s="55"/>
      <c r="N1608" s="55"/>
      <c r="O1608" s="55"/>
      <c r="P1608" s="55"/>
      <c r="Q1608" s="55"/>
      <c r="R1608" s="57"/>
      <c r="S1608" s="58"/>
    </row>
    <row r="1609" spans="1:19" x14ac:dyDescent="0.25">
      <c r="A1609" s="51" t="str">
        <f>(COUNTIF($K$2:K1609,K1609))&amp;K1609</f>
        <v>1</v>
      </c>
      <c r="B1609" s="52"/>
      <c r="C1609" s="53"/>
      <c r="D1609" s="54"/>
      <c r="E1609" s="55"/>
      <c r="F1609" s="55"/>
      <c r="G1609" s="55"/>
      <c r="H1609" s="55"/>
      <c r="I1609" s="55"/>
      <c r="J1609" s="55"/>
      <c r="K1609" s="56"/>
      <c r="L1609" s="55"/>
      <c r="M1609" s="55"/>
      <c r="N1609" s="55"/>
      <c r="O1609" s="55"/>
      <c r="P1609" s="55"/>
      <c r="Q1609" s="55"/>
      <c r="R1609" s="57"/>
      <c r="S1609" s="58"/>
    </row>
    <row r="1610" spans="1:19" x14ac:dyDescent="0.25">
      <c r="A1610" s="51" t="str">
        <f>(COUNTIF($K$2:K1610,K1610))&amp;K1610</f>
        <v>1</v>
      </c>
      <c r="B1610" s="52"/>
      <c r="C1610" s="53"/>
      <c r="D1610" s="54"/>
      <c r="E1610" s="55"/>
      <c r="F1610" s="55"/>
      <c r="G1610" s="55"/>
      <c r="H1610" s="55"/>
      <c r="I1610" s="55"/>
      <c r="J1610" s="55"/>
      <c r="K1610" s="56"/>
      <c r="L1610" s="55"/>
      <c r="M1610" s="55"/>
      <c r="N1610" s="55"/>
      <c r="O1610" s="55"/>
      <c r="P1610" s="55"/>
      <c r="Q1610" s="55"/>
      <c r="R1610" s="57"/>
      <c r="S1610" s="58"/>
    </row>
    <row r="1611" spans="1:19" x14ac:dyDescent="0.25">
      <c r="A1611" s="51" t="str">
        <f>(COUNTIF($K$2:K1611,K1611))&amp;K1611</f>
        <v>1</v>
      </c>
      <c r="B1611" s="52"/>
      <c r="C1611" s="53"/>
      <c r="D1611" s="54"/>
      <c r="E1611" s="55"/>
      <c r="F1611" s="55"/>
      <c r="G1611" s="55"/>
      <c r="H1611" s="55"/>
      <c r="I1611" s="55"/>
      <c r="J1611" s="55"/>
      <c r="K1611" s="56"/>
      <c r="L1611" s="55"/>
      <c r="M1611" s="55"/>
      <c r="N1611" s="55"/>
      <c r="O1611" s="55"/>
      <c r="P1611" s="55"/>
      <c r="Q1611" s="55"/>
      <c r="R1611" s="57"/>
      <c r="S1611" s="58"/>
    </row>
    <row r="1612" spans="1:19" x14ac:dyDescent="0.25">
      <c r="A1612" s="51" t="str">
        <f>(COUNTIF($K$2:K1612,K1612))&amp;K1612</f>
        <v>1</v>
      </c>
      <c r="B1612" s="52"/>
      <c r="C1612" s="53"/>
      <c r="D1612" s="54"/>
      <c r="E1612" s="55"/>
      <c r="F1612" s="55"/>
      <c r="G1612" s="55"/>
      <c r="H1612" s="55"/>
      <c r="I1612" s="55"/>
      <c r="J1612" s="55"/>
      <c r="K1612" s="56"/>
      <c r="L1612" s="55"/>
      <c r="M1612" s="55"/>
      <c r="N1612" s="55"/>
      <c r="O1612" s="55"/>
      <c r="P1612" s="55"/>
      <c r="Q1612" s="55"/>
      <c r="R1612" s="57"/>
      <c r="S1612" s="58"/>
    </row>
    <row r="1613" spans="1:19" x14ac:dyDescent="0.25">
      <c r="A1613" s="51" t="str">
        <f>(COUNTIF($K$2:K1613,K1613))&amp;K1613</f>
        <v>1</v>
      </c>
      <c r="B1613" s="52"/>
      <c r="C1613" s="53"/>
      <c r="D1613" s="54"/>
      <c r="E1613" s="55"/>
      <c r="F1613" s="55"/>
      <c r="G1613" s="55"/>
      <c r="H1613" s="55"/>
      <c r="I1613" s="55"/>
      <c r="J1613" s="55"/>
      <c r="K1613" s="56"/>
      <c r="L1613" s="55"/>
      <c r="M1613" s="55"/>
      <c r="N1613" s="55"/>
      <c r="O1613" s="55"/>
      <c r="P1613" s="55"/>
      <c r="Q1613" s="55"/>
      <c r="R1613" s="57"/>
      <c r="S1613" s="58"/>
    </row>
    <row r="1614" spans="1:19" x14ac:dyDescent="0.25">
      <c r="A1614" s="51" t="str">
        <f>(COUNTIF($K$2:K1614,K1614))&amp;K1614</f>
        <v>1</v>
      </c>
      <c r="B1614" s="52"/>
      <c r="C1614" s="53"/>
      <c r="D1614" s="54"/>
      <c r="E1614" s="55"/>
      <c r="F1614" s="55"/>
      <c r="G1614" s="55"/>
      <c r="H1614" s="55"/>
      <c r="I1614" s="55"/>
      <c r="J1614" s="55"/>
      <c r="K1614" s="56"/>
      <c r="L1614" s="55"/>
      <c r="M1614" s="55"/>
      <c r="N1614" s="55"/>
      <c r="O1614" s="55"/>
      <c r="P1614" s="55"/>
      <c r="Q1614" s="55"/>
      <c r="R1614" s="57"/>
      <c r="S1614" s="58"/>
    </row>
    <row r="1615" spans="1:19" x14ac:dyDescent="0.25">
      <c r="A1615" s="51" t="str">
        <f>(COUNTIF($K$2:K1615,K1615))&amp;K1615</f>
        <v>1</v>
      </c>
      <c r="B1615" s="52"/>
      <c r="C1615" s="53"/>
      <c r="D1615" s="54"/>
      <c r="E1615" s="55"/>
      <c r="F1615" s="55"/>
      <c r="G1615" s="55"/>
      <c r="H1615" s="55"/>
      <c r="I1615" s="55"/>
      <c r="J1615" s="55"/>
      <c r="K1615" s="56"/>
      <c r="L1615" s="55"/>
      <c r="M1615" s="55"/>
      <c r="N1615" s="55"/>
      <c r="O1615" s="55"/>
      <c r="P1615" s="55"/>
      <c r="Q1615" s="55"/>
      <c r="R1615" s="57"/>
      <c r="S1615" s="58"/>
    </row>
    <row r="1616" spans="1:19" x14ac:dyDescent="0.25">
      <c r="A1616" s="51" t="str">
        <f>(COUNTIF($K$2:K1616,K1616))&amp;K1616</f>
        <v>1</v>
      </c>
      <c r="B1616" s="52"/>
      <c r="C1616" s="60"/>
      <c r="E1616" s="61"/>
      <c r="F1616" s="62"/>
      <c r="G1616" s="63"/>
      <c r="H1616" s="64"/>
      <c r="I1616" s="64"/>
      <c r="J1616" s="64"/>
      <c r="K1616" s="65"/>
      <c r="L1616" s="64"/>
      <c r="M1616" s="64"/>
      <c r="N1616" s="64"/>
      <c r="P1616" s="63"/>
      <c r="Q1616" s="61"/>
      <c r="R1616" s="64"/>
      <c r="S1616" s="64"/>
    </row>
    <row r="1617" spans="1:19" x14ac:dyDescent="0.25">
      <c r="A1617" s="51" t="str">
        <f>(COUNTIF($K$2:K1617,K1617))&amp;K1617</f>
        <v>1</v>
      </c>
      <c r="B1617" s="52"/>
      <c r="C1617" s="53"/>
      <c r="D1617" s="54"/>
      <c r="E1617" s="55"/>
      <c r="F1617" s="55"/>
      <c r="G1617" s="55"/>
      <c r="H1617" s="55"/>
      <c r="I1617" s="55"/>
      <c r="J1617" s="55"/>
      <c r="K1617" s="56"/>
      <c r="L1617" s="55"/>
      <c r="M1617" s="55"/>
      <c r="N1617" s="55"/>
      <c r="O1617" s="55"/>
      <c r="P1617" s="55"/>
      <c r="Q1617" s="55"/>
      <c r="R1617" s="57"/>
      <c r="S1617" s="58"/>
    </row>
    <row r="1618" spans="1:19" x14ac:dyDescent="0.25">
      <c r="A1618" s="51" t="str">
        <f>(COUNTIF($K$2:K1618,K1618))&amp;K1618</f>
        <v>1</v>
      </c>
      <c r="B1618" s="52"/>
      <c r="C1618" s="53"/>
      <c r="D1618" s="54"/>
      <c r="E1618" s="55"/>
      <c r="F1618" s="55"/>
      <c r="G1618" s="55"/>
      <c r="H1618" s="55"/>
      <c r="I1618" s="55"/>
      <c r="J1618" s="55"/>
      <c r="K1618" s="56"/>
      <c r="L1618" s="55"/>
      <c r="M1618" s="55"/>
      <c r="N1618" s="55"/>
      <c r="O1618" s="55"/>
      <c r="P1618" s="55"/>
      <c r="Q1618" s="55"/>
      <c r="R1618" s="57"/>
      <c r="S1618" s="58"/>
    </row>
    <row r="1619" spans="1:19" x14ac:dyDescent="0.25">
      <c r="A1619" s="51" t="str">
        <f>(COUNTIF($K$2:K1619,K1619))&amp;K1619</f>
        <v>1</v>
      </c>
      <c r="B1619" s="52"/>
      <c r="C1619" s="53"/>
      <c r="D1619" s="54"/>
      <c r="E1619" s="55"/>
      <c r="F1619" s="55"/>
      <c r="G1619" s="55"/>
      <c r="H1619" s="55"/>
      <c r="I1619" s="55"/>
      <c r="J1619" s="55"/>
      <c r="K1619" s="56"/>
      <c r="L1619" s="55"/>
      <c r="M1619" s="55"/>
      <c r="N1619" s="55"/>
      <c r="O1619" s="55"/>
      <c r="P1619" s="55"/>
      <c r="Q1619" s="55"/>
      <c r="R1619" s="57"/>
      <c r="S1619" s="58"/>
    </row>
    <row r="1620" spans="1:19" x14ac:dyDescent="0.25">
      <c r="A1620" s="51" t="str">
        <f>(COUNTIF($K$2:K1620,K1620))&amp;K1620</f>
        <v>1</v>
      </c>
      <c r="B1620" s="52"/>
      <c r="C1620" s="53"/>
      <c r="D1620" s="54"/>
      <c r="E1620" s="55"/>
      <c r="F1620" s="55"/>
      <c r="G1620" s="55"/>
      <c r="H1620" s="55"/>
      <c r="I1620" s="55"/>
      <c r="J1620" s="55"/>
      <c r="K1620" s="56"/>
      <c r="L1620" s="55"/>
      <c r="M1620" s="55"/>
      <c r="N1620" s="55"/>
      <c r="O1620" s="55"/>
      <c r="P1620" s="55"/>
      <c r="Q1620" s="55"/>
      <c r="R1620" s="57"/>
      <c r="S1620" s="58"/>
    </row>
    <row r="1621" spans="1:19" x14ac:dyDescent="0.25">
      <c r="A1621" s="51" t="str">
        <f>(COUNTIF($K$2:K1621,K1621))&amp;K1621</f>
        <v>1</v>
      </c>
      <c r="B1621" s="52"/>
      <c r="C1621" s="53"/>
      <c r="D1621" s="54"/>
      <c r="E1621" s="55"/>
      <c r="F1621" s="55"/>
      <c r="G1621" s="55"/>
      <c r="H1621" s="55"/>
      <c r="I1621" s="55"/>
      <c r="J1621" s="55"/>
      <c r="K1621" s="56"/>
      <c r="L1621" s="55"/>
      <c r="M1621" s="55"/>
      <c r="N1621" s="55"/>
      <c r="O1621" s="55"/>
      <c r="P1621" s="55"/>
      <c r="Q1621" s="55"/>
      <c r="R1621" s="57"/>
      <c r="S1621" s="58"/>
    </row>
    <row r="1622" spans="1:19" x14ac:dyDescent="0.25">
      <c r="A1622" s="51" t="str">
        <f>(COUNTIF($K$2:K1622,K1622))&amp;K1622</f>
        <v>1</v>
      </c>
      <c r="B1622" s="52"/>
      <c r="C1622" s="53"/>
      <c r="D1622" s="54"/>
      <c r="E1622" s="55"/>
      <c r="F1622" s="55"/>
      <c r="G1622" s="55"/>
      <c r="H1622" s="55"/>
      <c r="I1622" s="55"/>
      <c r="J1622" s="55"/>
      <c r="K1622" s="56"/>
      <c r="L1622" s="55"/>
      <c r="M1622" s="55"/>
      <c r="N1622" s="55"/>
      <c r="O1622" s="55"/>
      <c r="P1622" s="55"/>
      <c r="Q1622" s="55"/>
      <c r="R1622" s="57"/>
      <c r="S1622" s="58"/>
    </row>
    <row r="1623" spans="1:19" x14ac:dyDescent="0.25">
      <c r="A1623" s="51" t="str">
        <f>(COUNTIF($K$2:K1623,K1623))&amp;K1623</f>
        <v>1</v>
      </c>
      <c r="B1623" s="52"/>
      <c r="C1623" s="53"/>
      <c r="D1623" s="54"/>
      <c r="E1623" s="55"/>
      <c r="F1623" s="55"/>
      <c r="G1623" s="55"/>
      <c r="H1623" s="55"/>
      <c r="I1623" s="55"/>
      <c r="J1623" s="55"/>
      <c r="K1623" s="56"/>
      <c r="L1623" s="55"/>
      <c r="M1623" s="55"/>
      <c r="N1623" s="55"/>
      <c r="O1623" s="55"/>
      <c r="P1623" s="55"/>
      <c r="Q1623" s="55"/>
      <c r="R1623" s="57"/>
      <c r="S1623" s="58"/>
    </row>
    <row r="1624" spans="1:19" x14ac:dyDescent="0.25">
      <c r="A1624" s="51" t="str">
        <f>(COUNTIF($K$2:K1624,K1624))&amp;K1624</f>
        <v>1</v>
      </c>
      <c r="B1624" s="52"/>
      <c r="C1624" s="53"/>
      <c r="D1624" s="54"/>
      <c r="E1624" s="55"/>
      <c r="F1624" s="55"/>
      <c r="G1624" s="55"/>
      <c r="H1624" s="55"/>
      <c r="I1624" s="55"/>
      <c r="J1624" s="55"/>
      <c r="K1624" s="56"/>
      <c r="L1624" s="55"/>
      <c r="M1624" s="55"/>
      <c r="N1624" s="55"/>
      <c r="O1624" s="55"/>
      <c r="P1624" s="55"/>
      <c r="Q1624" s="55"/>
      <c r="R1624" s="57"/>
      <c r="S1624" s="58"/>
    </row>
    <row r="1625" spans="1:19" ht="15.75" x14ac:dyDescent="0.25">
      <c r="A1625" s="51" t="str">
        <f>(COUNTIF($K$2:K1625,K1625))&amp;K1625</f>
        <v>1</v>
      </c>
      <c r="B1625" s="52"/>
      <c r="C1625" s="53"/>
      <c r="D1625" s="54"/>
      <c r="E1625" s="55"/>
      <c r="F1625" s="55"/>
      <c r="G1625" s="55"/>
      <c r="H1625" s="55"/>
      <c r="I1625" s="55"/>
      <c r="J1625" s="55"/>
      <c r="K1625" s="59"/>
      <c r="L1625" s="55"/>
      <c r="M1625" s="55"/>
      <c r="N1625" s="55"/>
      <c r="O1625" s="55"/>
      <c r="P1625" s="55"/>
      <c r="Q1625" s="55"/>
      <c r="R1625" s="57"/>
      <c r="S1625" s="58"/>
    </row>
    <row r="1626" spans="1:19" x14ac:dyDescent="0.25">
      <c r="A1626" s="51" t="str">
        <f>(COUNTIF($K$2:K1626,K1626))&amp;K1626</f>
        <v>1</v>
      </c>
      <c r="B1626" s="52"/>
      <c r="C1626" s="53"/>
      <c r="D1626" s="54"/>
      <c r="E1626" s="55"/>
      <c r="F1626" s="55"/>
      <c r="G1626" s="55"/>
      <c r="H1626" s="55"/>
      <c r="I1626" s="55"/>
      <c r="J1626" s="55"/>
      <c r="K1626" s="56"/>
      <c r="L1626" s="55"/>
      <c r="M1626" s="55"/>
      <c r="N1626" s="55"/>
      <c r="O1626" s="55"/>
      <c r="P1626" s="55"/>
      <c r="Q1626" s="55"/>
      <c r="R1626" s="57"/>
      <c r="S1626" s="58"/>
    </row>
    <row r="1627" spans="1:19" x14ac:dyDescent="0.25">
      <c r="A1627" s="51" t="str">
        <f>(COUNTIF($K$2:K1627,K1627))&amp;K1627</f>
        <v>1</v>
      </c>
      <c r="B1627" s="52"/>
      <c r="C1627" s="53"/>
      <c r="D1627" s="54"/>
      <c r="E1627" s="55"/>
      <c r="F1627" s="55"/>
      <c r="G1627" s="55"/>
      <c r="H1627" s="55"/>
      <c r="I1627" s="55"/>
      <c r="J1627" s="55"/>
      <c r="K1627" s="56"/>
      <c r="L1627" s="55"/>
      <c r="M1627" s="55"/>
      <c r="N1627" s="55"/>
      <c r="O1627" s="55"/>
      <c r="P1627" s="55"/>
      <c r="Q1627" s="55"/>
      <c r="R1627" s="57"/>
      <c r="S1627" s="58"/>
    </row>
    <row r="1628" spans="1:19" x14ac:dyDescent="0.25">
      <c r="A1628" s="51" t="str">
        <f>(COUNTIF($K$2:K1628,K1628))&amp;K1628</f>
        <v>1</v>
      </c>
      <c r="B1628" s="52"/>
      <c r="C1628" s="53"/>
      <c r="D1628" s="54"/>
      <c r="E1628" s="55"/>
      <c r="F1628" s="55"/>
      <c r="G1628" s="55"/>
      <c r="H1628" s="55"/>
      <c r="I1628" s="55"/>
      <c r="J1628" s="55"/>
      <c r="K1628" s="56"/>
      <c r="L1628" s="55"/>
      <c r="M1628" s="55"/>
      <c r="N1628" s="55"/>
      <c r="O1628" s="55"/>
      <c r="P1628" s="55"/>
      <c r="Q1628" s="55"/>
      <c r="R1628" s="57"/>
      <c r="S1628" s="58"/>
    </row>
    <row r="1629" spans="1:19" x14ac:dyDescent="0.25">
      <c r="A1629" s="51" t="str">
        <f>(COUNTIF($K$2:K1629,K1629))&amp;K1629</f>
        <v>1</v>
      </c>
      <c r="B1629" s="52"/>
      <c r="C1629" s="53"/>
      <c r="D1629" s="54"/>
      <c r="E1629" s="55"/>
      <c r="F1629" s="55"/>
      <c r="G1629" s="55"/>
      <c r="H1629" s="55"/>
      <c r="I1629" s="55"/>
      <c r="J1629" s="55"/>
      <c r="K1629" s="56"/>
      <c r="L1629" s="55"/>
      <c r="M1629" s="55"/>
      <c r="N1629" s="55"/>
      <c r="O1629" s="55"/>
      <c r="P1629" s="55"/>
      <c r="Q1629" s="55"/>
      <c r="R1629" s="57"/>
      <c r="S1629" s="58"/>
    </row>
    <row r="1630" spans="1:19" x14ac:dyDescent="0.25">
      <c r="A1630" s="51" t="str">
        <f>(COUNTIF($K$2:K1630,K1630))&amp;K1630</f>
        <v>1</v>
      </c>
      <c r="B1630" s="52"/>
      <c r="C1630" s="53"/>
      <c r="D1630" s="54"/>
      <c r="E1630" s="55"/>
      <c r="F1630" s="55"/>
      <c r="G1630" s="55"/>
      <c r="H1630" s="55"/>
      <c r="I1630" s="55"/>
      <c r="J1630" s="55"/>
      <c r="K1630" s="56"/>
      <c r="L1630" s="55"/>
      <c r="M1630" s="55"/>
      <c r="N1630" s="55"/>
      <c r="O1630" s="55"/>
      <c r="P1630" s="55"/>
      <c r="Q1630" s="55"/>
      <c r="R1630" s="57"/>
      <c r="S1630" s="58"/>
    </row>
    <row r="1631" spans="1:19" x14ac:dyDescent="0.25">
      <c r="A1631" s="51" t="str">
        <f>(COUNTIF($K$2:K1631,K1631))&amp;K1631</f>
        <v>1</v>
      </c>
      <c r="B1631" s="52"/>
      <c r="C1631" s="53"/>
      <c r="D1631" s="54"/>
      <c r="E1631" s="55"/>
      <c r="F1631" s="55"/>
      <c r="G1631" s="55"/>
      <c r="H1631" s="55"/>
      <c r="I1631" s="55"/>
      <c r="J1631" s="55"/>
      <c r="K1631" s="56"/>
      <c r="L1631" s="55"/>
      <c r="M1631" s="55"/>
      <c r="N1631" s="55"/>
      <c r="O1631" s="55"/>
      <c r="P1631" s="55"/>
      <c r="Q1631" s="55"/>
      <c r="R1631" s="57"/>
      <c r="S1631" s="58"/>
    </row>
    <row r="1632" spans="1:19" x14ac:dyDescent="0.25">
      <c r="A1632" s="51" t="str">
        <f>(COUNTIF($K$2:K1632,K1632))&amp;K1632</f>
        <v>1</v>
      </c>
      <c r="B1632" s="52"/>
      <c r="C1632" s="53"/>
      <c r="D1632" s="54"/>
      <c r="E1632" s="55"/>
      <c r="F1632" s="55"/>
      <c r="G1632" s="55"/>
      <c r="H1632" s="55"/>
      <c r="I1632" s="55"/>
      <c r="J1632" s="55"/>
      <c r="K1632" s="56"/>
      <c r="L1632" s="55"/>
      <c r="M1632" s="55"/>
      <c r="N1632" s="55"/>
      <c r="O1632" s="55"/>
      <c r="P1632" s="55"/>
      <c r="Q1632" s="55"/>
      <c r="R1632" s="57"/>
      <c r="S1632" s="58"/>
    </row>
    <row r="1633" spans="1:19" x14ac:dyDescent="0.25">
      <c r="A1633" s="51" t="str">
        <f>(COUNTIF($K$2:K1633,K1633))&amp;K1633</f>
        <v>1</v>
      </c>
      <c r="B1633" s="52"/>
      <c r="C1633" s="60"/>
      <c r="E1633" s="61"/>
      <c r="F1633" s="62"/>
      <c r="G1633" s="63"/>
      <c r="H1633" s="64"/>
      <c r="I1633" s="64"/>
      <c r="J1633" s="64"/>
      <c r="K1633" s="65"/>
      <c r="L1633" s="64"/>
      <c r="M1633" s="64"/>
      <c r="N1633" s="64"/>
      <c r="P1633" s="63"/>
      <c r="Q1633" s="61"/>
      <c r="R1633" s="64"/>
      <c r="S1633" s="64"/>
    </row>
    <row r="1634" spans="1:19" x14ac:dyDescent="0.25">
      <c r="A1634" s="51" t="str">
        <f>(COUNTIF($K$2:K1634,K1634))&amp;K1634</f>
        <v>1</v>
      </c>
      <c r="B1634" s="52"/>
      <c r="C1634" s="53"/>
      <c r="D1634" s="54"/>
      <c r="E1634" s="55"/>
      <c r="F1634" s="55"/>
      <c r="G1634" s="55"/>
      <c r="H1634" s="55"/>
      <c r="I1634" s="55"/>
      <c r="J1634" s="55"/>
      <c r="K1634" s="56"/>
      <c r="L1634" s="55"/>
      <c r="M1634" s="55"/>
      <c r="N1634" s="55"/>
      <c r="O1634" s="55"/>
      <c r="P1634" s="55"/>
      <c r="Q1634" s="55"/>
      <c r="R1634" s="57"/>
      <c r="S1634" s="58"/>
    </row>
    <row r="1635" spans="1:19" x14ac:dyDescent="0.25">
      <c r="A1635" s="51" t="str">
        <f>(COUNTIF($K$2:K1635,K1635))&amp;K1635</f>
        <v>1</v>
      </c>
      <c r="B1635" s="52"/>
      <c r="C1635" s="53"/>
      <c r="D1635" s="54"/>
      <c r="E1635" s="55"/>
      <c r="F1635" s="55"/>
      <c r="G1635" s="55"/>
      <c r="H1635" s="55"/>
      <c r="I1635" s="55"/>
      <c r="J1635" s="55"/>
      <c r="K1635" s="56"/>
      <c r="L1635" s="55"/>
      <c r="M1635" s="55"/>
      <c r="N1635" s="55"/>
      <c r="O1635" s="55"/>
      <c r="P1635" s="55"/>
      <c r="Q1635" s="55"/>
      <c r="R1635" s="57"/>
      <c r="S1635" s="58"/>
    </row>
    <row r="1636" spans="1:19" x14ac:dyDescent="0.25">
      <c r="A1636" s="51" t="str">
        <f>(COUNTIF($K$2:K1636,K1636))&amp;K1636</f>
        <v>1</v>
      </c>
      <c r="B1636" s="52"/>
      <c r="C1636" s="53"/>
      <c r="D1636" s="54"/>
      <c r="E1636" s="55"/>
      <c r="F1636" s="55"/>
      <c r="G1636" s="55"/>
      <c r="H1636" s="55"/>
      <c r="I1636" s="55"/>
      <c r="J1636" s="55"/>
      <c r="K1636" s="56"/>
      <c r="L1636" s="55"/>
      <c r="M1636" s="55"/>
      <c r="N1636" s="55"/>
      <c r="O1636" s="55"/>
      <c r="P1636" s="55"/>
      <c r="Q1636" s="55"/>
      <c r="R1636" s="57"/>
      <c r="S1636" s="58"/>
    </row>
    <row r="1637" spans="1:19" x14ac:dyDescent="0.25">
      <c r="A1637" s="51" t="str">
        <f>(COUNTIF($K$2:K1637,K1637))&amp;K1637</f>
        <v>1</v>
      </c>
      <c r="B1637" s="52"/>
      <c r="C1637" s="53"/>
      <c r="D1637" s="54"/>
      <c r="E1637" s="55"/>
      <c r="F1637" s="55"/>
      <c r="G1637" s="55"/>
      <c r="H1637" s="55"/>
      <c r="I1637" s="55"/>
      <c r="J1637" s="55"/>
      <c r="K1637" s="56"/>
      <c r="L1637" s="55"/>
      <c r="M1637" s="55"/>
      <c r="N1637" s="55"/>
      <c r="O1637" s="55"/>
      <c r="P1637" s="55"/>
      <c r="Q1637" s="55"/>
      <c r="R1637" s="57"/>
      <c r="S1637" s="58"/>
    </row>
    <row r="1638" spans="1:19" x14ac:dyDescent="0.25">
      <c r="A1638" s="51" t="str">
        <f>(COUNTIF($K$2:K1638,K1638))&amp;K1638</f>
        <v>1</v>
      </c>
      <c r="B1638" s="52"/>
      <c r="C1638" s="53"/>
      <c r="D1638" s="54"/>
      <c r="E1638" s="55"/>
      <c r="F1638" s="55"/>
      <c r="G1638" s="55"/>
      <c r="H1638" s="55"/>
      <c r="I1638" s="55"/>
      <c r="J1638" s="55"/>
      <c r="K1638" s="56"/>
      <c r="L1638" s="55"/>
      <c r="M1638" s="55"/>
      <c r="N1638" s="55"/>
      <c r="O1638" s="55"/>
      <c r="P1638" s="55"/>
      <c r="Q1638" s="55"/>
      <c r="R1638" s="57"/>
      <c r="S1638" s="58"/>
    </row>
    <row r="1639" spans="1:19" x14ac:dyDescent="0.25">
      <c r="A1639" s="51" t="str">
        <f>(COUNTIF($K$2:K1639,K1639))&amp;K1639</f>
        <v>1</v>
      </c>
      <c r="B1639" s="52"/>
      <c r="C1639" s="53"/>
      <c r="D1639" s="54"/>
      <c r="E1639" s="55"/>
      <c r="F1639" s="55"/>
      <c r="G1639" s="55"/>
      <c r="H1639" s="55"/>
      <c r="I1639" s="55"/>
      <c r="J1639" s="55"/>
      <c r="K1639" s="56"/>
      <c r="L1639" s="55"/>
      <c r="M1639" s="55"/>
      <c r="N1639" s="55"/>
      <c r="O1639" s="55"/>
      <c r="P1639" s="55"/>
      <c r="Q1639" s="55"/>
      <c r="R1639" s="57"/>
      <c r="S1639" s="58"/>
    </row>
    <row r="1640" spans="1:19" x14ac:dyDescent="0.25">
      <c r="A1640" s="51" t="str">
        <f>(COUNTIF($K$2:K1640,K1640))&amp;K1640</f>
        <v>1</v>
      </c>
      <c r="B1640" s="52"/>
      <c r="C1640" s="53"/>
      <c r="D1640" s="54"/>
      <c r="E1640" s="55"/>
      <c r="F1640" s="55"/>
      <c r="G1640" s="55"/>
      <c r="H1640" s="55"/>
      <c r="I1640" s="55"/>
      <c r="J1640" s="55"/>
      <c r="K1640" s="56"/>
      <c r="L1640" s="55"/>
      <c r="M1640" s="55"/>
      <c r="N1640" s="55"/>
      <c r="O1640" s="55"/>
      <c r="P1640" s="55"/>
      <c r="Q1640" s="55"/>
      <c r="R1640" s="57"/>
      <c r="S1640" s="58"/>
    </row>
    <row r="1641" spans="1:19" x14ac:dyDescent="0.25">
      <c r="A1641" s="51" t="str">
        <f>(COUNTIF($K$2:K1641,K1641))&amp;K1641</f>
        <v>1</v>
      </c>
      <c r="B1641" s="52"/>
      <c r="C1641" s="53"/>
      <c r="D1641" s="54"/>
      <c r="E1641" s="55"/>
      <c r="F1641" s="55"/>
      <c r="G1641" s="55"/>
      <c r="H1641" s="55"/>
      <c r="I1641" s="55"/>
      <c r="J1641" s="55"/>
      <c r="K1641" s="56"/>
      <c r="L1641" s="55"/>
      <c r="M1641" s="55"/>
      <c r="N1641" s="55"/>
      <c r="O1641" s="55"/>
      <c r="P1641" s="55"/>
      <c r="Q1641" s="55"/>
      <c r="R1641" s="57"/>
      <c r="S1641" s="58"/>
    </row>
    <row r="1642" spans="1:19" ht="15.75" x14ac:dyDescent="0.25">
      <c r="A1642" s="51" t="str">
        <f>(COUNTIF($K$2:K1642,K1642))&amp;K1642</f>
        <v>1</v>
      </c>
      <c r="B1642" s="52"/>
      <c r="C1642" s="53"/>
      <c r="D1642" s="54"/>
      <c r="E1642" s="55"/>
      <c r="F1642" s="55"/>
      <c r="G1642" s="55"/>
      <c r="H1642" s="55"/>
      <c r="I1642" s="55"/>
      <c r="J1642" s="55"/>
      <c r="K1642" s="59"/>
      <c r="L1642" s="55"/>
      <c r="M1642" s="55"/>
      <c r="N1642" s="55"/>
      <c r="O1642" s="55"/>
      <c r="P1642" s="55"/>
      <c r="Q1642" s="55"/>
      <c r="R1642" s="57"/>
      <c r="S1642" s="58"/>
    </row>
    <row r="1643" spans="1:19" x14ac:dyDescent="0.25">
      <c r="A1643" s="51" t="str">
        <f>(COUNTIF($K$2:K1643,K1643))&amp;K1643</f>
        <v>1</v>
      </c>
      <c r="B1643" s="52"/>
      <c r="C1643" s="53"/>
      <c r="D1643" s="54"/>
      <c r="E1643" s="55"/>
      <c r="F1643" s="55"/>
      <c r="G1643" s="55"/>
      <c r="H1643" s="55"/>
      <c r="I1643" s="55"/>
      <c r="J1643" s="55"/>
      <c r="K1643" s="56"/>
      <c r="L1643" s="55"/>
      <c r="M1643" s="55"/>
      <c r="N1643" s="55"/>
      <c r="O1643" s="55"/>
      <c r="P1643" s="55"/>
      <c r="Q1643" s="55"/>
      <c r="R1643" s="57"/>
      <c r="S1643" s="58"/>
    </row>
    <row r="1644" spans="1:19" x14ac:dyDescent="0.25">
      <c r="A1644" s="51" t="str">
        <f>(COUNTIF($K$2:K1644,K1644))&amp;K1644</f>
        <v>1</v>
      </c>
      <c r="B1644" s="52"/>
      <c r="C1644" s="53"/>
      <c r="D1644" s="54"/>
      <c r="E1644" s="55"/>
      <c r="F1644" s="55"/>
      <c r="G1644" s="55"/>
      <c r="H1644" s="55"/>
      <c r="I1644" s="55"/>
      <c r="J1644" s="55"/>
      <c r="K1644" s="56"/>
      <c r="L1644" s="55"/>
      <c r="M1644" s="55"/>
      <c r="N1644" s="55"/>
      <c r="O1644" s="55"/>
      <c r="P1644" s="55"/>
      <c r="Q1644" s="55"/>
      <c r="R1644" s="57"/>
      <c r="S1644" s="58"/>
    </row>
    <row r="1645" spans="1:19" x14ac:dyDescent="0.25">
      <c r="A1645" s="51" t="str">
        <f>(COUNTIF($K$2:K1645,K1645))&amp;K1645</f>
        <v>1</v>
      </c>
      <c r="B1645" s="52"/>
      <c r="C1645" s="53"/>
      <c r="D1645" s="54"/>
      <c r="E1645" s="55"/>
      <c r="F1645" s="55"/>
      <c r="G1645" s="55"/>
      <c r="H1645" s="55"/>
      <c r="I1645" s="55"/>
      <c r="J1645" s="55"/>
      <c r="K1645" s="56"/>
      <c r="L1645" s="55"/>
      <c r="M1645" s="55"/>
      <c r="N1645" s="55"/>
      <c r="O1645" s="55"/>
      <c r="P1645" s="55"/>
      <c r="Q1645" s="55"/>
      <c r="R1645" s="57"/>
      <c r="S1645" s="58"/>
    </row>
    <row r="1646" spans="1:19" x14ac:dyDescent="0.25">
      <c r="A1646" s="51" t="str">
        <f>(COUNTIF($K$2:K1646,K1646))&amp;K1646</f>
        <v>1</v>
      </c>
      <c r="B1646" s="52"/>
      <c r="C1646" s="53"/>
      <c r="D1646" s="54"/>
      <c r="E1646" s="55"/>
      <c r="F1646" s="55"/>
      <c r="G1646" s="55"/>
      <c r="H1646" s="55"/>
      <c r="I1646" s="55"/>
      <c r="J1646" s="55"/>
      <c r="K1646" s="56"/>
      <c r="L1646" s="55"/>
      <c r="M1646" s="55"/>
      <c r="N1646" s="55"/>
      <c r="O1646" s="55"/>
      <c r="P1646" s="55"/>
      <c r="Q1646" s="55"/>
      <c r="R1646" s="57"/>
      <c r="S1646" s="58"/>
    </row>
    <row r="1647" spans="1:19" x14ac:dyDescent="0.25">
      <c r="A1647" s="51" t="str">
        <f>(COUNTIF($K$2:K1647,K1647))&amp;K1647</f>
        <v>1</v>
      </c>
      <c r="B1647" s="52"/>
      <c r="C1647" s="53"/>
      <c r="D1647" s="54"/>
      <c r="E1647" s="55"/>
      <c r="F1647" s="55"/>
      <c r="G1647" s="55"/>
      <c r="H1647" s="55"/>
      <c r="I1647" s="55"/>
      <c r="J1647" s="55"/>
      <c r="K1647" s="56"/>
      <c r="L1647" s="55"/>
      <c r="M1647" s="55"/>
      <c r="N1647" s="55"/>
      <c r="O1647" s="55"/>
      <c r="P1647" s="55"/>
      <c r="Q1647" s="55"/>
      <c r="R1647" s="57"/>
      <c r="S1647" s="58"/>
    </row>
    <row r="1648" spans="1:19" x14ac:dyDescent="0.25">
      <c r="A1648" s="51" t="str">
        <f>(COUNTIF($K$2:K1648,K1648))&amp;K1648</f>
        <v>1</v>
      </c>
      <c r="B1648" s="52"/>
      <c r="C1648" s="53"/>
      <c r="D1648" s="54"/>
      <c r="E1648" s="55"/>
      <c r="F1648" s="55"/>
      <c r="G1648" s="55"/>
      <c r="H1648" s="55"/>
      <c r="I1648" s="55"/>
      <c r="J1648" s="55"/>
      <c r="K1648" s="56"/>
      <c r="L1648" s="55"/>
      <c r="M1648" s="55"/>
      <c r="N1648" s="55"/>
      <c r="O1648" s="55"/>
      <c r="P1648" s="55"/>
      <c r="Q1648" s="55"/>
      <c r="R1648" s="57"/>
      <c r="S1648" s="58"/>
    </row>
    <row r="1649" spans="1:19" x14ac:dyDescent="0.25">
      <c r="A1649" s="51" t="str">
        <f>(COUNTIF($K$2:K1649,K1649))&amp;K1649</f>
        <v>1</v>
      </c>
      <c r="B1649" s="52"/>
      <c r="C1649" s="53"/>
      <c r="D1649" s="54"/>
      <c r="E1649" s="55"/>
      <c r="F1649" s="55"/>
      <c r="G1649" s="55"/>
      <c r="H1649" s="55"/>
      <c r="I1649" s="55"/>
      <c r="J1649" s="55"/>
      <c r="K1649" s="56"/>
      <c r="L1649" s="55"/>
      <c r="M1649" s="55"/>
      <c r="N1649" s="55"/>
      <c r="O1649" s="55"/>
      <c r="P1649" s="55"/>
      <c r="Q1649" s="55"/>
      <c r="R1649" s="57"/>
      <c r="S1649" s="58"/>
    </row>
    <row r="1650" spans="1:19" x14ac:dyDescent="0.25">
      <c r="A1650" s="51" t="str">
        <f>(COUNTIF($K$2:K1650,K1650))&amp;K1650</f>
        <v>1</v>
      </c>
      <c r="B1650" s="52"/>
      <c r="C1650" s="60"/>
      <c r="E1650" s="61"/>
      <c r="F1650" s="62"/>
      <c r="G1650" s="63"/>
      <c r="H1650" s="64"/>
      <c r="I1650" s="64"/>
      <c r="J1650" s="64"/>
      <c r="K1650" s="65"/>
      <c r="L1650" s="64"/>
      <c r="M1650" s="64"/>
      <c r="N1650" s="64"/>
      <c r="P1650" s="63"/>
      <c r="Q1650" s="61"/>
      <c r="R1650" s="64"/>
      <c r="S1650" s="64"/>
    </row>
    <row r="1651" spans="1:19" x14ac:dyDescent="0.25">
      <c r="A1651" s="51" t="str">
        <f>(COUNTIF($K$2:K1651,K1651))&amp;K1651</f>
        <v>1</v>
      </c>
      <c r="B1651" s="52"/>
      <c r="C1651" s="53"/>
      <c r="D1651" s="54"/>
      <c r="E1651" s="55"/>
      <c r="F1651" s="55"/>
      <c r="G1651" s="55"/>
      <c r="H1651" s="55"/>
      <c r="I1651" s="55"/>
      <c r="J1651" s="55"/>
      <c r="K1651" s="56"/>
      <c r="L1651" s="55"/>
      <c r="M1651" s="55"/>
      <c r="N1651" s="55"/>
      <c r="O1651" s="55"/>
      <c r="P1651" s="55"/>
      <c r="Q1651" s="55"/>
      <c r="R1651" s="57"/>
      <c r="S1651" s="58"/>
    </row>
    <row r="1652" spans="1:19" x14ac:dyDescent="0.25">
      <c r="A1652" s="51" t="str">
        <f>(COUNTIF($K$2:K1652,K1652))&amp;K1652</f>
        <v>1</v>
      </c>
      <c r="B1652" s="52"/>
      <c r="C1652" s="53"/>
      <c r="D1652" s="54"/>
      <c r="E1652" s="55"/>
      <c r="F1652" s="55"/>
      <c r="G1652" s="55"/>
      <c r="H1652" s="55"/>
      <c r="I1652" s="55"/>
      <c r="J1652" s="55"/>
      <c r="K1652" s="56"/>
      <c r="L1652" s="55"/>
      <c r="M1652" s="55"/>
      <c r="N1652" s="55"/>
      <c r="O1652" s="55"/>
      <c r="P1652" s="55"/>
      <c r="Q1652" s="55"/>
      <c r="R1652" s="57"/>
      <c r="S1652" s="58"/>
    </row>
    <row r="1653" spans="1:19" x14ac:dyDescent="0.25">
      <c r="A1653" s="51" t="str">
        <f>(COUNTIF($K$2:K1653,K1653))&amp;K1653</f>
        <v>1</v>
      </c>
      <c r="B1653" s="52"/>
      <c r="C1653" s="53"/>
      <c r="D1653" s="54"/>
      <c r="E1653" s="55"/>
      <c r="F1653" s="55"/>
      <c r="G1653" s="55"/>
      <c r="H1653" s="55"/>
      <c r="I1653" s="55"/>
      <c r="J1653" s="55"/>
      <c r="K1653" s="56"/>
      <c r="L1653" s="55"/>
      <c r="M1653" s="55"/>
      <c r="N1653" s="55"/>
      <c r="O1653" s="55"/>
      <c r="P1653" s="55"/>
      <c r="Q1653" s="55"/>
      <c r="R1653" s="57"/>
      <c r="S1653" s="58"/>
    </row>
    <row r="1654" spans="1:19" x14ac:dyDescent="0.25">
      <c r="A1654" s="51" t="str">
        <f>(COUNTIF($K$2:K1654,K1654))&amp;K1654</f>
        <v>1</v>
      </c>
      <c r="B1654" s="52"/>
      <c r="C1654" s="53"/>
      <c r="D1654" s="54"/>
      <c r="E1654" s="55"/>
      <c r="F1654" s="55"/>
      <c r="G1654" s="55"/>
      <c r="H1654" s="55"/>
      <c r="I1654" s="55"/>
      <c r="J1654" s="55"/>
      <c r="K1654" s="56"/>
      <c r="L1654" s="55"/>
      <c r="M1654" s="55"/>
      <c r="N1654" s="55"/>
      <c r="O1654" s="55"/>
      <c r="P1654" s="55"/>
      <c r="Q1654" s="55"/>
      <c r="R1654" s="57"/>
      <c r="S1654" s="58"/>
    </row>
    <row r="1655" spans="1:19" x14ac:dyDescent="0.25">
      <c r="A1655" s="51" t="str">
        <f>(COUNTIF($K$2:K1655,K1655))&amp;K1655</f>
        <v>1</v>
      </c>
      <c r="B1655" s="52"/>
      <c r="C1655" s="53"/>
      <c r="D1655" s="54"/>
      <c r="E1655" s="55"/>
      <c r="F1655" s="55"/>
      <c r="G1655" s="55"/>
      <c r="H1655" s="55"/>
      <c r="I1655" s="55"/>
      <c r="J1655" s="55"/>
      <c r="K1655" s="56"/>
      <c r="L1655" s="55"/>
      <c r="M1655" s="55"/>
      <c r="N1655" s="55"/>
      <c r="O1655" s="55"/>
      <c r="P1655" s="55"/>
      <c r="Q1655" s="55"/>
      <c r="R1655" s="57"/>
      <c r="S1655" s="58"/>
    </row>
    <row r="1656" spans="1:19" x14ac:dyDescent="0.25">
      <c r="A1656" s="51" t="str">
        <f>(COUNTIF($K$2:K1656,K1656))&amp;K1656</f>
        <v>1</v>
      </c>
      <c r="B1656" s="52"/>
      <c r="C1656" s="53"/>
      <c r="D1656" s="54"/>
      <c r="E1656" s="55"/>
      <c r="F1656" s="55"/>
      <c r="G1656" s="55"/>
      <c r="H1656" s="55"/>
      <c r="I1656" s="55"/>
      <c r="J1656" s="55"/>
      <c r="K1656" s="56"/>
      <c r="L1656" s="55"/>
      <c r="M1656" s="55"/>
      <c r="N1656" s="55"/>
      <c r="O1656" s="55"/>
      <c r="P1656" s="55"/>
      <c r="Q1656" s="55"/>
      <c r="R1656" s="57"/>
      <c r="S1656" s="58"/>
    </row>
    <row r="1657" spans="1:19" x14ac:dyDescent="0.25">
      <c r="A1657" s="51" t="str">
        <f>(COUNTIF($K$2:K1657,K1657))&amp;K1657</f>
        <v>1</v>
      </c>
      <c r="B1657" s="52"/>
      <c r="C1657" s="53"/>
      <c r="D1657" s="54"/>
      <c r="E1657" s="55"/>
      <c r="F1657" s="55"/>
      <c r="G1657" s="55"/>
      <c r="H1657" s="55"/>
      <c r="I1657" s="55"/>
      <c r="J1657" s="55"/>
      <c r="K1657" s="56"/>
      <c r="L1657" s="55"/>
      <c r="M1657" s="55"/>
      <c r="N1657" s="55"/>
      <c r="O1657" s="55"/>
      <c r="P1657" s="55"/>
      <c r="Q1657" s="55"/>
      <c r="R1657" s="57"/>
      <c r="S1657" s="58"/>
    </row>
    <row r="1658" spans="1:19" x14ac:dyDescent="0.25">
      <c r="A1658" s="51" t="str">
        <f>(COUNTIF($K$2:K1658,K1658))&amp;K1658</f>
        <v>1</v>
      </c>
      <c r="B1658" s="52"/>
      <c r="C1658" s="53"/>
      <c r="D1658" s="54"/>
      <c r="E1658" s="55"/>
      <c r="F1658" s="55"/>
      <c r="G1658" s="55"/>
      <c r="H1658" s="55"/>
      <c r="I1658" s="55"/>
      <c r="J1658" s="55"/>
      <c r="K1658" s="56"/>
      <c r="L1658" s="55"/>
      <c r="M1658" s="55"/>
      <c r="N1658" s="55"/>
      <c r="O1658" s="55"/>
      <c r="P1658" s="55"/>
      <c r="Q1658" s="55"/>
      <c r="R1658" s="57"/>
      <c r="S1658" s="58"/>
    </row>
    <row r="1659" spans="1:19" ht="15.75" x14ac:dyDescent="0.25">
      <c r="A1659" s="51" t="str">
        <f>(COUNTIF($K$2:K1659,K1659))&amp;K1659</f>
        <v>1</v>
      </c>
      <c r="B1659" s="52"/>
      <c r="C1659" s="53"/>
      <c r="D1659" s="54"/>
      <c r="E1659" s="55"/>
      <c r="F1659" s="55"/>
      <c r="G1659" s="55"/>
      <c r="H1659" s="55"/>
      <c r="I1659" s="55"/>
      <c r="J1659" s="55"/>
      <c r="K1659" s="59"/>
      <c r="L1659" s="55"/>
      <c r="M1659" s="55"/>
      <c r="N1659" s="55"/>
      <c r="O1659" s="55"/>
      <c r="P1659" s="55"/>
      <c r="Q1659" s="55"/>
      <c r="R1659" s="57"/>
      <c r="S1659" s="58"/>
    </row>
    <row r="1660" spans="1:19" x14ac:dyDescent="0.25">
      <c r="A1660" s="51" t="str">
        <f>(COUNTIF($K$2:K1660,K1660))&amp;K1660</f>
        <v>1</v>
      </c>
      <c r="B1660" s="52"/>
      <c r="C1660" s="53"/>
      <c r="D1660" s="54"/>
      <c r="E1660" s="55"/>
      <c r="F1660" s="55"/>
      <c r="G1660" s="55"/>
      <c r="H1660" s="55"/>
      <c r="I1660" s="55"/>
      <c r="J1660" s="55"/>
      <c r="K1660" s="56"/>
      <c r="L1660" s="55"/>
      <c r="M1660" s="55"/>
      <c r="N1660" s="55"/>
      <c r="O1660" s="55"/>
      <c r="P1660" s="55"/>
      <c r="Q1660" s="55"/>
      <c r="R1660" s="57"/>
      <c r="S1660" s="58"/>
    </row>
    <row r="1661" spans="1:19" x14ac:dyDescent="0.25">
      <c r="A1661" s="51" t="str">
        <f>(COUNTIF($K$2:K1661,K1661))&amp;K1661</f>
        <v>1</v>
      </c>
      <c r="B1661" s="52"/>
      <c r="C1661" s="53"/>
      <c r="D1661" s="54"/>
      <c r="E1661" s="55"/>
      <c r="F1661" s="55"/>
      <c r="G1661" s="55"/>
      <c r="H1661" s="55"/>
      <c r="I1661" s="55"/>
      <c r="J1661" s="55"/>
      <c r="K1661" s="56"/>
      <c r="L1661" s="55"/>
      <c r="M1661" s="55"/>
      <c r="N1661" s="55"/>
      <c r="O1661" s="55"/>
      <c r="P1661" s="55"/>
      <c r="Q1661" s="55"/>
      <c r="R1661" s="57"/>
      <c r="S1661" s="58"/>
    </row>
    <row r="1662" spans="1:19" x14ac:dyDescent="0.25">
      <c r="A1662" s="51" t="str">
        <f>(COUNTIF($K$2:K1662,K1662))&amp;K1662</f>
        <v>1</v>
      </c>
      <c r="B1662" s="52"/>
      <c r="C1662" s="53"/>
      <c r="D1662" s="54"/>
      <c r="E1662" s="55"/>
      <c r="F1662" s="55"/>
      <c r="G1662" s="55"/>
      <c r="H1662" s="55"/>
      <c r="I1662" s="55"/>
      <c r="J1662" s="55"/>
      <c r="K1662" s="56"/>
      <c r="L1662" s="55"/>
      <c r="M1662" s="55"/>
      <c r="N1662" s="55"/>
      <c r="O1662" s="55"/>
      <c r="P1662" s="55"/>
      <c r="Q1662" s="55"/>
      <c r="R1662" s="57"/>
      <c r="S1662" s="58"/>
    </row>
    <row r="1663" spans="1:19" x14ac:dyDescent="0.25">
      <c r="A1663" s="51" t="str">
        <f>(COUNTIF($K$2:K1663,K1663))&amp;K1663</f>
        <v>1</v>
      </c>
      <c r="B1663" s="52"/>
      <c r="C1663" s="53"/>
      <c r="D1663" s="54"/>
      <c r="E1663" s="55"/>
      <c r="F1663" s="55"/>
      <c r="G1663" s="55"/>
      <c r="H1663" s="55"/>
      <c r="I1663" s="55"/>
      <c r="J1663" s="55"/>
      <c r="K1663" s="56"/>
      <c r="L1663" s="55"/>
      <c r="M1663" s="55"/>
      <c r="N1663" s="55"/>
      <c r="O1663" s="55"/>
      <c r="P1663" s="55"/>
      <c r="Q1663" s="55"/>
      <c r="R1663" s="57"/>
      <c r="S1663" s="58"/>
    </row>
    <row r="1664" spans="1:19" x14ac:dyDescent="0.25">
      <c r="A1664" s="51" t="str">
        <f>(COUNTIF($K$2:K1664,K1664))&amp;K1664</f>
        <v>1</v>
      </c>
      <c r="B1664" s="52"/>
      <c r="C1664" s="53"/>
      <c r="D1664" s="54"/>
      <c r="E1664" s="55"/>
      <c r="F1664" s="55"/>
      <c r="G1664" s="55"/>
      <c r="H1664" s="55"/>
      <c r="I1664" s="55"/>
      <c r="J1664" s="55"/>
      <c r="K1664" s="56"/>
      <c r="L1664" s="55"/>
      <c r="M1664" s="55"/>
      <c r="N1664" s="55"/>
      <c r="O1664" s="55"/>
      <c r="P1664" s="55"/>
      <c r="Q1664" s="55"/>
      <c r="R1664" s="57"/>
      <c r="S1664" s="58"/>
    </row>
    <row r="1665" spans="1:19" x14ac:dyDescent="0.25">
      <c r="A1665" s="51" t="str">
        <f>(COUNTIF($K$2:K1665,K1665))&amp;K1665</f>
        <v>1</v>
      </c>
      <c r="B1665" s="52"/>
      <c r="C1665" s="53"/>
      <c r="D1665" s="54"/>
      <c r="E1665" s="55"/>
      <c r="F1665" s="55"/>
      <c r="G1665" s="55"/>
      <c r="H1665" s="55"/>
      <c r="I1665" s="55"/>
      <c r="J1665" s="55"/>
      <c r="K1665" s="56"/>
      <c r="L1665" s="55"/>
      <c r="M1665" s="55"/>
      <c r="N1665" s="55"/>
      <c r="O1665" s="55"/>
      <c r="P1665" s="55"/>
      <c r="Q1665" s="55"/>
      <c r="R1665" s="57"/>
      <c r="S1665" s="58"/>
    </row>
    <row r="1666" spans="1:19" x14ac:dyDescent="0.25">
      <c r="A1666" s="51" t="str">
        <f>(COUNTIF($K$2:K1666,K1666))&amp;K1666</f>
        <v>1</v>
      </c>
      <c r="B1666" s="52"/>
      <c r="C1666" s="53"/>
      <c r="D1666" s="54"/>
      <c r="E1666" s="55"/>
      <c r="F1666" s="55"/>
      <c r="G1666" s="55"/>
      <c r="H1666" s="55"/>
      <c r="I1666" s="55"/>
      <c r="J1666" s="55"/>
      <c r="K1666" s="56"/>
      <c r="L1666" s="55"/>
      <c r="M1666" s="55"/>
      <c r="N1666" s="55"/>
      <c r="O1666" s="55"/>
      <c r="P1666" s="55"/>
      <c r="Q1666" s="55"/>
      <c r="R1666" s="57"/>
      <c r="S1666" s="58"/>
    </row>
    <row r="1667" spans="1:19" x14ac:dyDescent="0.25">
      <c r="A1667" s="51" t="str">
        <f>(COUNTIF($K$2:K1667,K1667))&amp;K1667</f>
        <v>1</v>
      </c>
      <c r="B1667" s="52"/>
      <c r="C1667" s="60"/>
      <c r="E1667" s="61"/>
      <c r="F1667" s="62"/>
      <c r="G1667" s="63"/>
      <c r="H1667" s="64"/>
      <c r="I1667" s="64"/>
      <c r="J1667" s="64"/>
      <c r="K1667" s="65"/>
      <c r="L1667" s="64"/>
      <c r="M1667" s="64"/>
      <c r="N1667" s="64"/>
      <c r="P1667" s="63"/>
      <c r="Q1667" s="61"/>
      <c r="R1667" s="64"/>
      <c r="S1667" s="64"/>
    </row>
    <row r="1668" spans="1:19" x14ac:dyDescent="0.25">
      <c r="A1668" s="51" t="str">
        <f>(COUNTIF($K$2:K1668,K1668))&amp;K1668</f>
        <v>1</v>
      </c>
      <c r="B1668" s="52"/>
      <c r="C1668" s="53"/>
      <c r="D1668" s="54"/>
      <c r="E1668" s="55"/>
      <c r="F1668" s="55"/>
      <c r="G1668" s="55"/>
      <c r="H1668" s="55"/>
      <c r="I1668" s="55"/>
      <c r="J1668" s="55"/>
      <c r="K1668" s="56"/>
      <c r="L1668" s="55"/>
      <c r="M1668" s="55"/>
      <c r="N1668" s="55"/>
      <c r="O1668" s="55"/>
      <c r="P1668" s="55"/>
      <c r="Q1668" s="55"/>
      <c r="R1668" s="57"/>
      <c r="S1668" s="58"/>
    </row>
    <row r="1669" spans="1:19" x14ac:dyDescent="0.25">
      <c r="A1669" s="51" t="str">
        <f>(COUNTIF($K$2:K1669,K1669))&amp;K1669</f>
        <v>1</v>
      </c>
      <c r="B1669" s="52"/>
      <c r="C1669" s="53"/>
      <c r="D1669" s="54"/>
      <c r="E1669" s="55"/>
      <c r="F1669" s="55"/>
      <c r="G1669" s="55"/>
      <c r="H1669" s="55"/>
      <c r="I1669" s="55"/>
      <c r="J1669" s="55"/>
      <c r="K1669" s="56"/>
      <c r="L1669" s="55"/>
      <c r="M1669" s="55"/>
      <c r="N1669" s="55"/>
      <c r="O1669" s="55"/>
      <c r="P1669" s="55"/>
      <c r="Q1669" s="55"/>
      <c r="R1669" s="57"/>
      <c r="S1669" s="58"/>
    </row>
    <row r="1670" spans="1:19" x14ac:dyDescent="0.25">
      <c r="A1670" s="51" t="str">
        <f>(COUNTIF($K$2:K1670,K1670))&amp;K1670</f>
        <v>1</v>
      </c>
      <c r="B1670" s="52"/>
      <c r="C1670" s="53"/>
      <c r="D1670" s="54"/>
      <c r="E1670" s="55"/>
      <c r="F1670" s="55"/>
      <c r="G1670" s="55"/>
      <c r="H1670" s="55"/>
      <c r="I1670" s="55"/>
      <c r="J1670" s="55"/>
      <c r="K1670" s="56"/>
      <c r="L1670" s="55"/>
      <c r="M1670" s="55"/>
      <c r="N1670" s="55"/>
      <c r="O1670" s="55"/>
      <c r="P1670" s="55"/>
      <c r="Q1670" s="55"/>
      <c r="R1670" s="57"/>
      <c r="S1670" s="58"/>
    </row>
    <row r="1671" spans="1:19" x14ac:dyDescent="0.25">
      <c r="A1671" s="51" t="str">
        <f>(COUNTIF($K$2:K1671,K1671))&amp;K1671</f>
        <v>1</v>
      </c>
      <c r="B1671" s="52"/>
      <c r="C1671" s="53"/>
      <c r="D1671" s="54"/>
      <c r="E1671" s="55"/>
      <c r="F1671" s="55"/>
      <c r="G1671" s="55"/>
      <c r="H1671" s="55"/>
      <c r="I1671" s="55"/>
      <c r="J1671" s="55"/>
      <c r="K1671" s="56"/>
      <c r="L1671" s="55"/>
      <c r="M1671" s="55"/>
      <c r="N1671" s="55"/>
      <c r="O1671" s="55"/>
      <c r="P1671" s="55"/>
      <c r="Q1671" s="55"/>
      <c r="R1671" s="57"/>
      <c r="S1671" s="58"/>
    </row>
    <row r="1672" spans="1:19" x14ac:dyDescent="0.25">
      <c r="A1672" s="51" t="str">
        <f>(COUNTIF($K$2:K1672,K1672))&amp;K1672</f>
        <v>1</v>
      </c>
      <c r="B1672" s="52"/>
      <c r="C1672" s="53"/>
      <c r="D1672" s="54"/>
      <c r="E1672" s="55"/>
      <c r="F1672" s="55"/>
      <c r="G1672" s="55"/>
      <c r="H1672" s="55"/>
      <c r="I1672" s="55"/>
      <c r="J1672" s="55"/>
      <c r="K1672" s="56"/>
      <c r="L1672" s="55"/>
      <c r="M1672" s="55"/>
      <c r="N1672" s="55"/>
      <c r="O1672" s="55"/>
      <c r="P1672" s="55"/>
      <c r="Q1672" s="55"/>
      <c r="R1672" s="57"/>
      <c r="S1672" s="58"/>
    </row>
    <row r="1673" spans="1:19" x14ac:dyDescent="0.25">
      <c r="A1673" s="51" t="str">
        <f>(COUNTIF($K$2:K1673,K1673))&amp;K1673</f>
        <v>1</v>
      </c>
      <c r="B1673" s="52"/>
      <c r="C1673" s="53"/>
      <c r="D1673" s="54"/>
      <c r="E1673" s="55"/>
      <c r="F1673" s="55"/>
      <c r="G1673" s="55"/>
      <c r="H1673" s="55"/>
      <c r="I1673" s="55"/>
      <c r="J1673" s="55"/>
      <c r="K1673" s="56"/>
      <c r="L1673" s="55"/>
      <c r="M1673" s="55"/>
      <c r="N1673" s="55"/>
      <c r="O1673" s="55"/>
      <c r="P1673" s="55"/>
      <c r="Q1673" s="55"/>
      <c r="R1673" s="57"/>
      <c r="S1673" s="58"/>
    </row>
    <row r="1674" spans="1:19" x14ac:dyDescent="0.25">
      <c r="A1674" s="51" t="str">
        <f>(COUNTIF($K$2:K1674,K1674))&amp;K1674</f>
        <v>1</v>
      </c>
      <c r="B1674" s="52"/>
      <c r="C1674" s="53"/>
      <c r="D1674" s="54"/>
      <c r="E1674" s="55"/>
      <c r="F1674" s="55"/>
      <c r="G1674" s="55"/>
      <c r="H1674" s="55"/>
      <c r="I1674" s="55"/>
      <c r="J1674" s="55"/>
      <c r="K1674" s="56"/>
      <c r="L1674" s="55"/>
      <c r="M1674" s="55"/>
      <c r="N1674" s="55"/>
      <c r="O1674" s="55"/>
      <c r="P1674" s="55"/>
      <c r="Q1674" s="55"/>
      <c r="R1674" s="57"/>
      <c r="S1674" s="58"/>
    </row>
    <row r="1675" spans="1:19" x14ac:dyDescent="0.25">
      <c r="A1675" s="51" t="str">
        <f>(COUNTIF($K$2:K1675,K1675))&amp;K1675</f>
        <v>1</v>
      </c>
      <c r="B1675" s="52"/>
      <c r="C1675" s="53"/>
      <c r="D1675" s="54"/>
      <c r="E1675" s="55"/>
      <c r="F1675" s="55"/>
      <c r="G1675" s="55"/>
      <c r="H1675" s="55"/>
      <c r="I1675" s="55"/>
      <c r="J1675" s="55"/>
      <c r="K1675" s="56"/>
      <c r="L1675" s="55"/>
      <c r="M1675" s="55"/>
      <c r="N1675" s="55"/>
      <c r="O1675" s="55"/>
      <c r="P1675" s="55"/>
      <c r="Q1675" s="55"/>
      <c r="R1675" s="57"/>
      <c r="S1675" s="58"/>
    </row>
    <row r="1676" spans="1:19" ht="15.75" x14ac:dyDescent="0.25">
      <c r="A1676" s="51" t="str">
        <f>(COUNTIF($K$2:K1676,K1676))&amp;K1676</f>
        <v>1</v>
      </c>
      <c r="B1676" s="52"/>
      <c r="C1676" s="53"/>
      <c r="D1676" s="54"/>
      <c r="E1676" s="55"/>
      <c r="F1676" s="55"/>
      <c r="G1676" s="55"/>
      <c r="H1676" s="55"/>
      <c r="I1676" s="55"/>
      <c r="J1676" s="55"/>
      <c r="K1676" s="59"/>
      <c r="L1676" s="55"/>
      <c r="M1676" s="55"/>
      <c r="N1676" s="55"/>
      <c r="O1676" s="55"/>
      <c r="P1676" s="55"/>
      <c r="Q1676" s="55"/>
      <c r="R1676" s="57"/>
      <c r="S1676" s="58"/>
    </row>
    <row r="1677" spans="1:19" x14ac:dyDescent="0.25">
      <c r="A1677" s="51" t="str">
        <f>(COUNTIF($K$2:K1677,K1677))&amp;K1677</f>
        <v>1</v>
      </c>
      <c r="B1677" s="52"/>
      <c r="C1677" s="53"/>
      <c r="D1677" s="54"/>
      <c r="E1677" s="55"/>
      <c r="F1677" s="55"/>
      <c r="G1677" s="55"/>
      <c r="H1677" s="55"/>
      <c r="I1677" s="55"/>
      <c r="J1677" s="55"/>
      <c r="K1677" s="56"/>
      <c r="L1677" s="55"/>
      <c r="M1677" s="55"/>
      <c r="N1677" s="55"/>
      <c r="O1677" s="55"/>
      <c r="P1677" s="55"/>
      <c r="Q1677" s="55"/>
      <c r="R1677" s="57"/>
      <c r="S1677" s="58"/>
    </row>
    <row r="1678" spans="1:19" x14ac:dyDescent="0.25">
      <c r="A1678" s="51" t="str">
        <f>(COUNTIF($K$2:K1678,K1678))&amp;K1678</f>
        <v>1</v>
      </c>
      <c r="B1678" s="52"/>
      <c r="C1678" s="53"/>
      <c r="D1678" s="54"/>
      <c r="E1678" s="55"/>
      <c r="F1678" s="55"/>
      <c r="G1678" s="55"/>
      <c r="H1678" s="55"/>
      <c r="I1678" s="55"/>
      <c r="J1678" s="55"/>
      <c r="K1678" s="56"/>
      <c r="L1678" s="55"/>
      <c r="M1678" s="55"/>
      <c r="N1678" s="55"/>
      <c r="O1678" s="55"/>
      <c r="P1678" s="55"/>
      <c r="Q1678" s="55"/>
      <c r="R1678" s="57"/>
      <c r="S1678" s="58"/>
    </row>
    <row r="1679" spans="1:19" x14ac:dyDescent="0.25">
      <c r="A1679" s="51" t="str">
        <f>(COUNTIF($K$2:K1679,K1679))&amp;K1679</f>
        <v>1</v>
      </c>
      <c r="B1679" s="52"/>
      <c r="C1679" s="53"/>
      <c r="D1679" s="54"/>
      <c r="E1679" s="55"/>
      <c r="F1679" s="55"/>
      <c r="G1679" s="55"/>
      <c r="H1679" s="55"/>
      <c r="I1679" s="55"/>
      <c r="J1679" s="55"/>
      <c r="K1679" s="56"/>
      <c r="L1679" s="55"/>
      <c r="M1679" s="55"/>
      <c r="N1679" s="55"/>
      <c r="O1679" s="55"/>
      <c r="P1679" s="55"/>
      <c r="Q1679" s="55"/>
      <c r="R1679" s="57"/>
      <c r="S1679" s="58"/>
    </row>
    <row r="1680" spans="1:19" x14ac:dyDescent="0.25">
      <c r="A1680" s="51" t="str">
        <f>(COUNTIF($K$2:K1680,K1680))&amp;K1680</f>
        <v>1</v>
      </c>
      <c r="B1680" s="52"/>
      <c r="C1680" s="53"/>
      <c r="D1680" s="54"/>
      <c r="E1680" s="55"/>
      <c r="F1680" s="55"/>
      <c r="G1680" s="55"/>
      <c r="H1680" s="55"/>
      <c r="I1680" s="55"/>
      <c r="J1680" s="55"/>
      <c r="K1680" s="56"/>
      <c r="L1680" s="55"/>
      <c r="M1680" s="55"/>
      <c r="N1680" s="55"/>
      <c r="O1680" s="55"/>
      <c r="P1680" s="55"/>
      <c r="Q1680" s="55"/>
      <c r="R1680" s="57"/>
      <c r="S1680" s="58"/>
    </row>
    <row r="1681" spans="1:19" x14ac:dyDescent="0.25">
      <c r="A1681" s="51" t="str">
        <f>(COUNTIF($K$2:K1681,K1681))&amp;K1681</f>
        <v>1</v>
      </c>
      <c r="B1681" s="52"/>
      <c r="C1681" s="53"/>
      <c r="D1681" s="54"/>
      <c r="E1681" s="55"/>
      <c r="F1681" s="55"/>
      <c r="G1681" s="55"/>
      <c r="H1681" s="55"/>
      <c r="I1681" s="55"/>
      <c r="J1681" s="55"/>
      <c r="K1681" s="56"/>
      <c r="L1681" s="55"/>
      <c r="M1681" s="55"/>
      <c r="N1681" s="55"/>
      <c r="O1681" s="55"/>
      <c r="P1681" s="55"/>
      <c r="Q1681" s="55"/>
      <c r="R1681" s="57"/>
      <c r="S1681" s="58"/>
    </row>
    <row r="1682" spans="1:19" x14ac:dyDescent="0.25">
      <c r="A1682" s="51" t="str">
        <f>(COUNTIF($K$2:K1682,K1682))&amp;K1682</f>
        <v>1</v>
      </c>
      <c r="B1682" s="52"/>
      <c r="C1682" s="53"/>
      <c r="D1682" s="54"/>
      <c r="E1682" s="55"/>
      <c r="F1682" s="55"/>
      <c r="G1682" s="55"/>
      <c r="H1682" s="55"/>
      <c r="I1682" s="55"/>
      <c r="J1682" s="55"/>
      <c r="K1682" s="56"/>
      <c r="L1682" s="55"/>
      <c r="M1682" s="55"/>
      <c r="N1682" s="55"/>
      <c r="O1682" s="55"/>
      <c r="P1682" s="55"/>
      <c r="Q1682" s="55"/>
      <c r="R1682" s="57"/>
      <c r="S1682" s="58"/>
    </row>
    <row r="1683" spans="1:19" x14ac:dyDescent="0.25">
      <c r="A1683" s="51" t="str">
        <f>(COUNTIF($K$2:K1683,K1683))&amp;K1683</f>
        <v>1</v>
      </c>
      <c r="B1683" s="52"/>
      <c r="C1683" s="53"/>
      <c r="D1683" s="54"/>
      <c r="E1683" s="55"/>
      <c r="F1683" s="55"/>
      <c r="G1683" s="55"/>
      <c r="H1683" s="55"/>
      <c r="I1683" s="55"/>
      <c r="J1683" s="55"/>
      <c r="K1683" s="56"/>
      <c r="L1683" s="55"/>
      <c r="M1683" s="55"/>
      <c r="N1683" s="55"/>
      <c r="O1683" s="55"/>
      <c r="P1683" s="55"/>
      <c r="Q1683" s="55"/>
      <c r="R1683" s="57"/>
      <c r="S1683" s="58"/>
    </row>
    <row r="1684" spans="1:19" x14ac:dyDescent="0.25">
      <c r="A1684" s="51" t="str">
        <f>(COUNTIF($K$2:K1684,K1684))&amp;K1684</f>
        <v>1</v>
      </c>
      <c r="B1684" s="52"/>
      <c r="C1684" s="60"/>
      <c r="E1684" s="61"/>
      <c r="F1684" s="62"/>
      <c r="G1684" s="63"/>
      <c r="H1684" s="64"/>
      <c r="I1684" s="64"/>
      <c r="J1684" s="64"/>
      <c r="K1684" s="65"/>
      <c r="L1684" s="64"/>
      <c r="M1684" s="64"/>
      <c r="N1684" s="64"/>
      <c r="P1684" s="63"/>
      <c r="Q1684" s="61"/>
      <c r="R1684" s="64"/>
      <c r="S1684" s="64"/>
    </row>
    <row r="1685" spans="1:19" x14ac:dyDescent="0.25">
      <c r="A1685" s="51" t="str">
        <f>(COUNTIF($K$2:K1685,K1685))&amp;K1685</f>
        <v>1</v>
      </c>
      <c r="B1685" s="52"/>
      <c r="C1685" s="53"/>
      <c r="D1685" s="54"/>
      <c r="E1685" s="55"/>
      <c r="F1685" s="55"/>
      <c r="G1685" s="55"/>
      <c r="H1685" s="55"/>
      <c r="I1685" s="55"/>
      <c r="J1685" s="55"/>
      <c r="K1685" s="56"/>
      <c r="L1685" s="55"/>
      <c r="M1685" s="55"/>
      <c r="N1685" s="55"/>
      <c r="O1685" s="55"/>
      <c r="P1685" s="55"/>
      <c r="Q1685" s="55"/>
      <c r="R1685" s="57"/>
      <c r="S1685" s="58"/>
    </row>
    <row r="1686" spans="1:19" x14ac:dyDescent="0.25">
      <c r="A1686" s="51" t="str">
        <f>(COUNTIF($K$2:K1686,K1686))&amp;K1686</f>
        <v>1</v>
      </c>
      <c r="B1686" s="52"/>
      <c r="C1686" s="53"/>
      <c r="D1686" s="54"/>
      <c r="E1686" s="55"/>
      <c r="F1686" s="55"/>
      <c r="G1686" s="55"/>
      <c r="H1686" s="55"/>
      <c r="I1686" s="55"/>
      <c r="J1686" s="55"/>
      <c r="K1686" s="56"/>
      <c r="L1686" s="55"/>
      <c r="M1686" s="55"/>
      <c r="N1686" s="55"/>
      <c r="O1686" s="55"/>
      <c r="P1686" s="55"/>
      <c r="Q1686" s="55"/>
      <c r="R1686" s="57"/>
      <c r="S1686" s="58"/>
    </row>
    <row r="1687" spans="1:19" x14ac:dyDescent="0.25">
      <c r="A1687" s="51" t="str">
        <f>(COUNTIF($K$2:K1687,K1687))&amp;K1687</f>
        <v>1</v>
      </c>
      <c r="B1687" s="52"/>
      <c r="C1687" s="53"/>
      <c r="D1687" s="54"/>
      <c r="E1687" s="55"/>
      <c r="F1687" s="55"/>
      <c r="G1687" s="55"/>
      <c r="H1687" s="55"/>
      <c r="I1687" s="55"/>
      <c r="J1687" s="55"/>
      <c r="K1687" s="56"/>
      <c r="L1687" s="55"/>
      <c r="M1687" s="55"/>
      <c r="N1687" s="55"/>
      <c r="O1687" s="55"/>
      <c r="P1687" s="55"/>
      <c r="Q1687" s="55"/>
      <c r="R1687" s="57"/>
      <c r="S1687" s="58"/>
    </row>
    <row r="1688" spans="1:19" x14ac:dyDescent="0.25">
      <c r="A1688" s="51" t="str">
        <f>(COUNTIF($K$2:K1688,K1688))&amp;K1688</f>
        <v>1</v>
      </c>
      <c r="B1688" s="52"/>
      <c r="C1688" s="53"/>
      <c r="D1688" s="54"/>
      <c r="E1688" s="55"/>
      <c r="F1688" s="55"/>
      <c r="G1688" s="55"/>
      <c r="H1688" s="55"/>
      <c r="I1688" s="55"/>
      <c r="J1688" s="55"/>
      <c r="K1688" s="56"/>
      <c r="L1688" s="55"/>
      <c r="M1688" s="55"/>
      <c r="N1688" s="55"/>
      <c r="O1688" s="55"/>
      <c r="P1688" s="55"/>
      <c r="Q1688" s="55"/>
      <c r="R1688" s="57"/>
      <c r="S1688" s="58"/>
    </row>
    <row r="1689" spans="1:19" x14ac:dyDescent="0.25">
      <c r="A1689" s="51" t="str">
        <f>(COUNTIF($K$2:K1689,K1689))&amp;K1689</f>
        <v>1</v>
      </c>
      <c r="B1689" s="52"/>
      <c r="C1689" s="53"/>
      <c r="D1689" s="54"/>
      <c r="E1689" s="55"/>
      <c r="F1689" s="55"/>
      <c r="G1689" s="55"/>
      <c r="H1689" s="55"/>
      <c r="I1689" s="55"/>
      <c r="J1689" s="55"/>
      <c r="K1689" s="56"/>
      <c r="L1689" s="55"/>
      <c r="M1689" s="55"/>
      <c r="N1689" s="55"/>
      <c r="O1689" s="55"/>
      <c r="P1689" s="55"/>
      <c r="Q1689" s="55"/>
      <c r="R1689" s="57"/>
      <c r="S1689" s="58"/>
    </row>
    <row r="1690" spans="1:19" x14ac:dyDescent="0.25">
      <c r="A1690" s="51" t="str">
        <f>(COUNTIF($K$2:K1690,K1690))&amp;K1690</f>
        <v>1</v>
      </c>
      <c r="B1690" s="52"/>
      <c r="C1690" s="53"/>
      <c r="D1690" s="54"/>
      <c r="E1690" s="55"/>
      <c r="F1690" s="55"/>
      <c r="G1690" s="55"/>
      <c r="H1690" s="55"/>
      <c r="I1690" s="55"/>
      <c r="J1690" s="55"/>
      <c r="K1690" s="56"/>
      <c r="L1690" s="55"/>
      <c r="M1690" s="55"/>
      <c r="N1690" s="55"/>
      <c r="O1690" s="55"/>
      <c r="P1690" s="55"/>
      <c r="Q1690" s="55"/>
      <c r="R1690" s="57"/>
      <c r="S1690" s="58"/>
    </row>
    <row r="1691" spans="1:19" x14ac:dyDescent="0.25">
      <c r="A1691" s="51" t="str">
        <f>(COUNTIF($K$2:K1691,K1691))&amp;K1691</f>
        <v>1</v>
      </c>
      <c r="B1691" s="52"/>
      <c r="C1691" s="53"/>
      <c r="D1691" s="54"/>
      <c r="E1691" s="55"/>
      <c r="F1691" s="55"/>
      <c r="G1691" s="55"/>
      <c r="H1691" s="55"/>
      <c r="I1691" s="55"/>
      <c r="J1691" s="55"/>
      <c r="K1691" s="56"/>
      <c r="L1691" s="55"/>
      <c r="M1691" s="55"/>
      <c r="N1691" s="55"/>
      <c r="O1691" s="55"/>
      <c r="P1691" s="55"/>
      <c r="Q1691" s="55"/>
      <c r="R1691" s="57"/>
      <c r="S1691" s="58"/>
    </row>
    <row r="1692" spans="1:19" x14ac:dyDescent="0.25">
      <c r="A1692" s="51" t="str">
        <f>(COUNTIF($K$2:K1692,K1692))&amp;K1692</f>
        <v>1</v>
      </c>
      <c r="B1692" s="52"/>
      <c r="C1692" s="53"/>
      <c r="D1692" s="54"/>
      <c r="E1692" s="55"/>
      <c r="F1692" s="55"/>
      <c r="G1692" s="55"/>
      <c r="H1692" s="55"/>
      <c r="I1692" s="55"/>
      <c r="J1692" s="55"/>
      <c r="K1692" s="56"/>
      <c r="L1692" s="55"/>
      <c r="M1692" s="55"/>
      <c r="N1692" s="55"/>
      <c r="O1692" s="55"/>
      <c r="P1692" s="55"/>
      <c r="Q1692" s="55"/>
      <c r="R1692" s="57"/>
      <c r="S1692" s="58"/>
    </row>
    <row r="1693" spans="1:19" ht="15.75" x14ac:dyDescent="0.25">
      <c r="A1693" s="51" t="str">
        <f>(COUNTIF($K$2:K1693,K1693))&amp;K1693</f>
        <v>1</v>
      </c>
      <c r="B1693" s="52"/>
      <c r="C1693" s="53"/>
      <c r="D1693" s="54"/>
      <c r="E1693" s="55"/>
      <c r="F1693" s="55"/>
      <c r="G1693" s="55"/>
      <c r="H1693" s="55"/>
      <c r="I1693" s="55"/>
      <c r="J1693" s="55"/>
      <c r="K1693" s="59"/>
      <c r="L1693" s="55"/>
      <c r="M1693" s="55"/>
      <c r="N1693" s="55"/>
      <c r="O1693" s="55"/>
      <c r="P1693" s="55"/>
      <c r="Q1693" s="55"/>
      <c r="R1693" s="57"/>
      <c r="S1693" s="58"/>
    </row>
    <row r="1694" spans="1:19" x14ac:dyDescent="0.25">
      <c r="A1694" s="51" t="str">
        <f>(COUNTIF($K$2:K1694,K1694))&amp;K1694</f>
        <v>1</v>
      </c>
      <c r="B1694" s="52"/>
      <c r="C1694" s="53"/>
      <c r="D1694" s="54"/>
      <c r="E1694" s="55"/>
      <c r="F1694" s="55"/>
      <c r="G1694" s="55"/>
      <c r="H1694" s="55"/>
      <c r="I1694" s="55"/>
      <c r="J1694" s="55"/>
      <c r="K1694" s="56"/>
      <c r="L1694" s="55"/>
      <c r="M1694" s="55"/>
      <c r="N1694" s="55"/>
      <c r="O1694" s="55"/>
      <c r="P1694" s="55"/>
      <c r="Q1694" s="55"/>
      <c r="R1694" s="57"/>
      <c r="S1694" s="58"/>
    </row>
    <row r="1695" spans="1:19" x14ac:dyDescent="0.25">
      <c r="A1695" s="51" t="str">
        <f>(COUNTIF($K$2:K1695,K1695))&amp;K1695</f>
        <v>1</v>
      </c>
      <c r="B1695" s="52"/>
      <c r="C1695" s="53"/>
      <c r="D1695" s="54"/>
      <c r="E1695" s="55"/>
      <c r="F1695" s="55"/>
      <c r="G1695" s="55"/>
      <c r="H1695" s="55"/>
      <c r="I1695" s="55"/>
      <c r="J1695" s="55"/>
      <c r="K1695" s="56"/>
      <c r="L1695" s="55"/>
      <c r="M1695" s="55"/>
      <c r="N1695" s="55"/>
      <c r="O1695" s="55"/>
      <c r="P1695" s="55"/>
      <c r="Q1695" s="55"/>
      <c r="R1695" s="57"/>
      <c r="S1695" s="58"/>
    </row>
    <row r="1696" spans="1:19" x14ac:dyDescent="0.25">
      <c r="A1696" s="51" t="str">
        <f>(COUNTIF($K$2:K1696,K1696))&amp;K1696</f>
        <v>1</v>
      </c>
      <c r="B1696" s="52"/>
      <c r="C1696" s="53"/>
      <c r="D1696" s="54"/>
      <c r="E1696" s="55"/>
      <c r="F1696" s="55"/>
      <c r="G1696" s="55"/>
      <c r="H1696" s="55"/>
      <c r="I1696" s="55"/>
      <c r="J1696" s="55"/>
      <c r="K1696" s="56"/>
      <c r="L1696" s="55"/>
      <c r="M1696" s="55"/>
      <c r="N1696" s="55"/>
      <c r="O1696" s="55"/>
      <c r="P1696" s="55"/>
      <c r="Q1696" s="55"/>
      <c r="R1696" s="57"/>
      <c r="S1696" s="58"/>
    </row>
    <row r="1697" spans="1:19" x14ac:dyDescent="0.25">
      <c r="A1697" s="51" t="str">
        <f>(COUNTIF($K$2:K1697,K1697))&amp;K1697</f>
        <v>1</v>
      </c>
      <c r="B1697" s="52"/>
      <c r="C1697" s="53"/>
      <c r="D1697" s="54"/>
      <c r="E1697" s="55"/>
      <c r="F1697" s="55"/>
      <c r="G1697" s="55"/>
      <c r="H1697" s="55"/>
      <c r="I1697" s="55"/>
      <c r="J1697" s="55"/>
      <c r="K1697" s="56"/>
      <c r="L1697" s="55"/>
      <c r="M1697" s="55"/>
      <c r="N1697" s="55"/>
      <c r="O1697" s="55"/>
      <c r="P1697" s="55"/>
      <c r="Q1697" s="55"/>
      <c r="R1697" s="57"/>
      <c r="S1697" s="58"/>
    </row>
    <row r="1698" spans="1:19" x14ac:dyDescent="0.25">
      <c r="A1698" s="51" t="str">
        <f>(COUNTIF($K$2:K1698,K1698))&amp;K1698</f>
        <v>1</v>
      </c>
      <c r="B1698" s="52"/>
      <c r="C1698" s="53"/>
      <c r="D1698" s="54"/>
      <c r="E1698" s="55"/>
      <c r="F1698" s="55"/>
      <c r="G1698" s="55"/>
      <c r="H1698" s="55"/>
      <c r="I1698" s="55"/>
      <c r="J1698" s="55"/>
      <c r="K1698" s="56"/>
      <c r="L1698" s="55"/>
      <c r="M1698" s="55"/>
      <c r="N1698" s="55"/>
      <c r="O1698" s="55"/>
      <c r="P1698" s="55"/>
      <c r="Q1698" s="55"/>
      <c r="R1698" s="57"/>
      <c r="S1698" s="58"/>
    </row>
    <row r="1699" spans="1:19" x14ac:dyDescent="0.25">
      <c r="A1699" s="51" t="str">
        <f>(COUNTIF($K$2:K1699,K1699))&amp;K1699</f>
        <v>1</v>
      </c>
      <c r="B1699" s="52"/>
      <c r="C1699" s="53"/>
      <c r="D1699" s="54"/>
      <c r="E1699" s="55"/>
      <c r="F1699" s="55"/>
      <c r="G1699" s="55"/>
      <c r="H1699" s="55"/>
      <c r="I1699" s="55"/>
      <c r="J1699" s="55"/>
      <c r="K1699" s="56"/>
      <c r="L1699" s="55"/>
      <c r="M1699" s="55"/>
      <c r="N1699" s="55"/>
      <c r="O1699" s="55"/>
      <c r="P1699" s="55"/>
      <c r="Q1699" s="55"/>
      <c r="R1699" s="57"/>
      <c r="S1699" s="58"/>
    </row>
    <row r="1700" spans="1:19" x14ac:dyDescent="0.25">
      <c r="A1700" s="51" t="str">
        <f>(COUNTIF($K$2:K1700,K1700))&amp;K1700</f>
        <v>1</v>
      </c>
      <c r="B1700" s="52"/>
      <c r="C1700" s="53"/>
      <c r="D1700" s="54"/>
      <c r="E1700" s="55"/>
      <c r="F1700" s="55"/>
      <c r="G1700" s="55"/>
      <c r="H1700" s="55"/>
      <c r="I1700" s="55"/>
      <c r="J1700" s="55"/>
      <c r="K1700" s="56"/>
      <c r="L1700" s="55"/>
      <c r="M1700" s="55"/>
      <c r="N1700" s="55"/>
      <c r="O1700" s="55"/>
      <c r="P1700" s="55"/>
      <c r="Q1700" s="55"/>
      <c r="R1700" s="57"/>
      <c r="S1700" s="58"/>
    </row>
    <row r="1701" spans="1:19" x14ac:dyDescent="0.25">
      <c r="A1701" s="51" t="str">
        <f>(COUNTIF($K$2:K1701,K1701))&amp;K1701</f>
        <v>1</v>
      </c>
      <c r="B1701" s="52"/>
      <c r="C1701" s="60"/>
      <c r="E1701" s="61"/>
      <c r="F1701" s="62"/>
      <c r="G1701" s="63"/>
      <c r="H1701" s="64"/>
      <c r="I1701" s="64"/>
      <c r="J1701" s="64"/>
      <c r="K1701" s="65"/>
      <c r="L1701" s="64"/>
      <c r="M1701" s="64"/>
      <c r="N1701" s="64"/>
      <c r="P1701" s="63"/>
      <c r="Q1701" s="61"/>
      <c r="R1701" s="64"/>
      <c r="S1701" s="64"/>
    </row>
    <row r="1702" spans="1:19" x14ac:dyDescent="0.25">
      <c r="A1702" s="51" t="str">
        <f>(COUNTIF($K$2:K1702,K1702))&amp;K1702</f>
        <v>1</v>
      </c>
      <c r="B1702" s="52"/>
      <c r="C1702" s="53"/>
      <c r="D1702" s="54"/>
      <c r="E1702" s="55"/>
      <c r="F1702" s="55"/>
      <c r="G1702" s="55"/>
      <c r="H1702" s="55"/>
      <c r="I1702" s="55"/>
      <c r="J1702" s="55"/>
      <c r="K1702" s="56"/>
      <c r="L1702" s="55"/>
      <c r="M1702" s="55"/>
      <c r="N1702" s="55"/>
      <c r="O1702" s="55"/>
      <c r="P1702" s="55"/>
      <c r="Q1702" s="55"/>
      <c r="R1702" s="57"/>
      <c r="S1702" s="58"/>
    </row>
    <row r="1703" spans="1:19" x14ac:dyDescent="0.25">
      <c r="A1703" s="51" t="str">
        <f>(COUNTIF($K$2:K1703,K1703))&amp;K1703</f>
        <v>1</v>
      </c>
      <c r="B1703" s="52"/>
      <c r="C1703" s="53"/>
      <c r="D1703" s="54"/>
      <c r="E1703" s="55"/>
      <c r="F1703" s="55"/>
      <c r="G1703" s="55"/>
      <c r="H1703" s="55"/>
      <c r="I1703" s="55"/>
      <c r="J1703" s="55"/>
      <c r="K1703" s="56"/>
      <c r="L1703" s="55"/>
      <c r="M1703" s="55"/>
      <c r="N1703" s="55"/>
      <c r="O1703" s="55"/>
      <c r="P1703" s="55"/>
      <c r="Q1703" s="55"/>
      <c r="R1703" s="57"/>
      <c r="S1703" s="58"/>
    </row>
    <row r="1704" spans="1:19" x14ac:dyDescent="0.25">
      <c r="A1704" s="51" t="str">
        <f>(COUNTIF($K$2:K1704,K1704))&amp;K1704</f>
        <v>1</v>
      </c>
      <c r="B1704" s="52"/>
      <c r="C1704" s="53"/>
      <c r="D1704" s="54"/>
      <c r="E1704" s="55"/>
      <c r="F1704" s="55"/>
      <c r="G1704" s="55"/>
      <c r="H1704" s="55"/>
      <c r="I1704" s="55"/>
      <c r="J1704" s="55"/>
      <c r="K1704" s="56"/>
      <c r="L1704" s="55"/>
      <c r="M1704" s="55"/>
      <c r="N1704" s="55"/>
      <c r="O1704" s="55"/>
      <c r="P1704" s="55"/>
      <c r="Q1704" s="55"/>
      <c r="R1704" s="57"/>
      <c r="S1704" s="58"/>
    </row>
    <row r="1705" spans="1:19" x14ac:dyDescent="0.25">
      <c r="A1705" s="51" t="str">
        <f>(COUNTIF($K$2:K1705,K1705))&amp;K1705</f>
        <v>1</v>
      </c>
      <c r="B1705" s="52"/>
      <c r="C1705" s="53"/>
      <c r="D1705" s="54"/>
      <c r="E1705" s="55"/>
      <c r="F1705" s="55"/>
      <c r="G1705" s="55"/>
      <c r="H1705" s="55"/>
      <c r="I1705" s="55"/>
      <c r="J1705" s="55"/>
      <c r="K1705" s="56"/>
      <c r="L1705" s="55"/>
      <c r="M1705" s="55"/>
      <c r="N1705" s="55"/>
      <c r="O1705" s="55"/>
      <c r="P1705" s="55"/>
      <c r="Q1705" s="55"/>
      <c r="R1705" s="57"/>
      <c r="S1705" s="58"/>
    </row>
    <row r="1706" spans="1:19" x14ac:dyDescent="0.25">
      <c r="A1706" s="51" t="str">
        <f>(COUNTIF($K$2:K1706,K1706))&amp;K1706</f>
        <v>1</v>
      </c>
      <c r="B1706" s="52"/>
      <c r="C1706" s="53"/>
      <c r="D1706" s="54"/>
      <c r="E1706" s="55"/>
      <c r="F1706" s="55"/>
      <c r="G1706" s="55"/>
      <c r="H1706" s="55"/>
      <c r="I1706" s="55"/>
      <c r="J1706" s="55"/>
      <c r="K1706" s="56"/>
      <c r="L1706" s="55"/>
      <c r="M1706" s="55"/>
      <c r="N1706" s="55"/>
      <c r="O1706" s="55"/>
      <c r="P1706" s="55"/>
      <c r="Q1706" s="55"/>
      <c r="R1706" s="57"/>
      <c r="S1706" s="58"/>
    </row>
    <row r="1707" spans="1:19" x14ac:dyDescent="0.25">
      <c r="A1707" s="51" t="str">
        <f>(COUNTIF($K$2:K1707,K1707))&amp;K1707</f>
        <v>1</v>
      </c>
      <c r="B1707" s="52"/>
      <c r="C1707" s="53"/>
      <c r="D1707" s="54"/>
      <c r="E1707" s="55"/>
      <c r="F1707" s="55"/>
      <c r="G1707" s="55"/>
      <c r="H1707" s="55"/>
      <c r="I1707" s="55"/>
      <c r="J1707" s="55"/>
      <c r="K1707" s="56"/>
      <c r="L1707" s="55"/>
      <c r="M1707" s="55"/>
      <c r="N1707" s="55"/>
      <c r="O1707" s="55"/>
      <c r="P1707" s="55"/>
      <c r="Q1707" s="55"/>
      <c r="R1707" s="57"/>
      <c r="S1707" s="58"/>
    </row>
    <row r="1708" spans="1:19" x14ac:dyDescent="0.25">
      <c r="A1708" s="51" t="str">
        <f>(COUNTIF($K$2:K1708,K1708))&amp;K1708</f>
        <v>1</v>
      </c>
      <c r="B1708" s="52"/>
      <c r="C1708" s="53"/>
      <c r="D1708" s="54"/>
      <c r="E1708" s="55"/>
      <c r="F1708" s="55"/>
      <c r="G1708" s="55"/>
      <c r="H1708" s="55"/>
      <c r="I1708" s="55"/>
      <c r="J1708" s="55"/>
      <c r="K1708" s="56"/>
      <c r="L1708" s="55"/>
      <c r="M1708" s="55"/>
      <c r="N1708" s="55"/>
      <c r="O1708" s="55"/>
      <c r="P1708" s="55"/>
      <c r="Q1708" s="55"/>
      <c r="R1708" s="57"/>
      <c r="S1708" s="58"/>
    </row>
    <row r="1709" spans="1:19" x14ac:dyDescent="0.25">
      <c r="A1709" s="51" t="str">
        <f>(COUNTIF($K$2:K1709,K1709))&amp;K1709</f>
        <v>1</v>
      </c>
      <c r="B1709" s="52"/>
      <c r="C1709" s="53"/>
      <c r="D1709" s="54"/>
      <c r="E1709" s="55"/>
      <c r="F1709" s="55"/>
      <c r="G1709" s="55"/>
      <c r="H1709" s="55"/>
      <c r="I1709" s="55"/>
      <c r="J1709" s="55"/>
      <c r="K1709" s="56"/>
      <c r="L1709" s="55"/>
      <c r="M1709" s="55"/>
      <c r="N1709" s="55"/>
      <c r="O1709" s="55"/>
      <c r="P1709" s="55"/>
      <c r="Q1709" s="55"/>
      <c r="R1709" s="57"/>
      <c r="S1709" s="58"/>
    </row>
    <row r="1710" spans="1:19" ht="15.75" x14ac:dyDescent="0.25">
      <c r="A1710" s="51" t="str">
        <f>(COUNTIF($K$2:K1710,K1710))&amp;K1710</f>
        <v>1</v>
      </c>
      <c r="B1710" s="52"/>
      <c r="C1710" s="53"/>
      <c r="D1710" s="54"/>
      <c r="E1710" s="55"/>
      <c r="F1710" s="55"/>
      <c r="G1710" s="55"/>
      <c r="H1710" s="55"/>
      <c r="I1710" s="55"/>
      <c r="J1710" s="55"/>
      <c r="K1710" s="59"/>
      <c r="L1710" s="55"/>
      <c r="M1710" s="55"/>
      <c r="N1710" s="55"/>
      <c r="O1710" s="55"/>
      <c r="P1710" s="55"/>
      <c r="Q1710" s="55"/>
      <c r="R1710" s="57"/>
      <c r="S1710" s="58"/>
    </row>
    <row r="1711" spans="1:19" x14ac:dyDescent="0.25">
      <c r="A1711" s="51" t="str">
        <f>(COUNTIF($K$2:K1711,K1711))&amp;K1711</f>
        <v>1</v>
      </c>
      <c r="B1711" s="52"/>
      <c r="C1711" s="53"/>
      <c r="D1711" s="54"/>
      <c r="E1711" s="55"/>
      <c r="F1711" s="55"/>
      <c r="G1711" s="55"/>
      <c r="H1711" s="55"/>
      <c r="I1711" s="55"/>
      <c r="J1711" s="55"/>
      <c r="K1711" s="56"/>
      <c r="L1711" s="55"/>
      <c r="M1711" s="55"/>
      <c r="N1711" s="55"/>
      <c r="O1711" s="55"/>
      <c r="P1711" s="55"/>
      <c r="Q1711" s="55"/>
      <c r="R1711" s="57"/>
      <c r="S1711" s="58"/>
    </row>
    <row r="1712" spans="1:19" x14ac:dyDescent="0.25">
      <c r="A1712" s="51" t="str">
        <f>(COUNTIF($K$2:K1712,K1712))&amp;K1712</f>
        <v>1</v>
      </c>
      <c r="B1712" s="52"/>
      <c r="C1712" s="53"/>
      <c r="D1712" s="54"/>
      <c r="E1712" s="55"/>
      <c r="F1712" s="55"/>
      <c r="G1712" s="55"/>
      <c r="H1712" s="55"/>
      <c r="I1712" s="55"/>
      <c r="J1712" s="55"/>
      <c r="K1712" s="56"/>
      <c r="L1712" s="55"/>
      <c r="M1712" s="55"/>
      <c r="N1712" s="55"/>
      <c r="O1712" s="55"/>
      <c r="P1712" s="55"/>
      <c r="Q1712" s="55"/>
      <c r="R1712" s="57"/>
      <c r="S1712" s="58"/>
    </row>
    <row r="1713" spans="1:19" x14ac:dyDescent="0.25">
      <c r="A1713" s="51" t="str">
        <f>(COUNTIF($K$2:K1713,K1713))&amp;K1713</f>
        <v>1</v>
      </c>
      <c r="B1713" s="52"/>
      <c r="C1713" s="53"/>
      <c r="D1713" s="54"/>
      <c r="E1713" s="55"/>
      <c r="F1713" s="55"/>
      <c r="G1713" s="55"/>
      <c r="H1713" s="55"/>
      <c r="I1713" s="55"/>
      <c r="J1713" s="55"/>
      <c r="K1713" s="56"/>
      <c r="L1713" s="55"/>
      <c r="M1713" s="55"/>
      <c r="N1713" s="55"/>
      <c r="O1713" s="55"/>
      <c r="P1713" s="55"/>
      <c r="Q1713" s="55"/>
      <c r="R1713" s="57"/>
      <c r="S1713" s="58"/>
    </row>
    <row r="1714" spans="1:19" x14ac:dyDescent="0.25">
      <c r="A1714" s="51" t="str">
        <f>(COUNTIF($K$2:K1714,K1714))&amp;K1714</f>
        <v>1</v>
      </c>
      <c r="B1714" s="52"/>
      <c r="C1714" s="53"/>
      <c r="D1714" s="54"/>
      <c r="E1714" s="55"/>
      <c r="F1714" s="55"/>
      <c r="G1714" s="55"/>
      <c r="H1714" s="55"/>
      <c r="I1714" s="55"/>
      <c r="J1714" s="55"/>
      <c r="K1714" s="56"/>
      <c r="L1714" s="55"/>
      <c r="M1714" s="55"/>
      <c r="N1714" s="55"/>
      <c r="O1714" s="55"/>
      <c r="P1714" s="55"/>
      <c r="Q1714" s="55"/>
      <c r="R1714" s="57"/>
      <c r="S1714" s="58"/>
    </row>
    <row r="1715" spans="1:19" x14ac:dyDescent="0.25">
      <c r="A1715" s="51" t="str">
        <f>(COUNTIF($K$2:K1715,K1715))&amp;K1715</f>
        <v>1</v>
      </c>
      <c r="B1715" s="52"/>
      <c r="C1715" s="53"/>
      <c r="D1715" s="54"/>
      <c r="E1715" s="55"/>
      <c r="F1715" s="55"/>
      <c r="G1715" s="55"/>
      <c r="H1715" s="55"/>
      <c r="I1715" s="55"/>
      <c r="J1715" s="55"/>
      <c r="K1715" s="56"/>
      <c r="L1715" s="55"/>
      <c r="M1715" s="55"/>
      <c r="N1715" s="55"/>
      <c r="O1715" s="55"/>
      <c r="P1715" s="55"/>
      <c r="Q1715" s="55"/>
      <c r="R1715" s="57"/>
      <c r="S1715" s="58"/>
    </row>
    <row r="1716" spans="1:19" x14ac:dyDescent="0.25">
      <c r="A1716" s="51" t="str">
        <f>(COUNTIF($K$2:K1716,K1716))&amp;K1716</f>
        <v>1</v>
      </c>
      <c r="B1716" s="52"/>
      <c r="C1716" s="53"/>
      <c r="D1716" s="54"/>
      <c r="E1716" s="55"/>
      <c r="F1716" s="55"/>
      <c r="G1716" s="55"/>
      <c r="H1716" s="55"/>
      <c r="I1716" s="55"/>
      <c r="J1716" s="55"/>
      <c r="K1716" s="56"/>
      <c r="L1716" s="55"/>
      <c r="M1716" s="55"/>
      <c r="N1716" s="55"/>
      <c r="O1716" s="55"/>
      <c r="P1716" s="55"/>
      <c r="Q1716" s="55"/>
      <c r="R1716" s="57"/>
      <c r="S1716" s="58"/>
    </row>
    <row r="1717" spans="1:19" x14ac:dyDescent="0.25">
      <c r="A1717" s="51" t="str">
        <f>(COUNTIF($K$2:K1717,K1717))&amp;K1717</f>
        <v>1</v>
      </c>
      <c r="B1717" s="52"/>
      <c r="C1717" s="53"/>
      <c r="D1717" s="54"/>
      <c r="E1717" s="55"/>
      <c r="F1717" s="55"/>
      <c r="G1717" s="55"/>
      <c r="H1717" s="55"/>
      <c r="I1717" s="55"/>
      <c r="J1717" s="55"/>
      <c r="K1717" s="56"/>
      <c r="L1717" s="55"/>
      <c r="M1717" s="55"/>
      <c r="N1717" s="55"/>
      <c r="O1717" s="55"/>
      <c r="P1717" s="55"/>
      <c r="Q1717" s="55"/>
      <c r="R1717" s="57"/>
      <c r="S1717" s="58"/>
    </row>
    <row r="1718" spans="1:19" x14ac:dyDescent="0.25">
      <c r="A1718" s="51" t="str">
        <f>(COUNTIF($K$2:K1718,K1718))&amp;K1718</f>
        <v>1</v>
      </c>
      <c r="B1718" s="52"/>
      <c r="C1718" s="60"/>
      <c r="E1718" s="61"/>
      <c r="F1718" s="62"/>
      <c r="G1718" s="63"/>
      <c r="H1718" s="64"/>
      <c r="I1718" s="64"/>
      <c r="J1718" s="64"/>
      <c r="K1718" s="65"/>
      <c r="L1718" s="64"/>
      <c r="M1718" s="64"/>
      <c r="N1718" s="64"/>
      <c r="P1718" s="63"/>
      <c r="Q1718" s="61"/>
      <c r="R1718" s="64"/>
      <c r="S1718" s="64"/>
    </row>
    <row r="1719" spans="1:19" x14ac:dyDescent="0.25">
      <c r="A1719" s="51" t="str">
        <f>(COUNTIF($K$2:K1719,K1719))&amp;K1719</f>
        <v>1</v>
      </c>
      <c r="B1719" s="52"/>
      <c r="C1719" s="53"/>
      <c r="D1719" s="54"/>
      <c r="E1719" s="55"/>
      <c r="F1719" s="55"/>
      <c r="G1719" s="55"/>
      <c r="H1719" s="55"/>
      <c r="I1719" s="55"/>
      <c r="J1719" s="55"/>
      <c r="K1719" s="56"/>
      <c r="L1719" s="55"/>
      <c r="M1719" s="55"/>
      <c r="N1719" s="55"/>
      <c r="O1719" s="55"/>
      <c r="P1719" s="55"/>
      <c r="Q1719" s="55"/>
      <c r="R1719" s="57"/>
      <c r="S1719" s="58"/>
    </row>
    <row r="1720" spans="1:19" x14ac:dyDescent="0.25">
      <c r="A1720" s="51" t="str">
        <f>(COUNTIF($K$2:K1720,K1720))&amp;K1720</f>
        <v>1</v>
      </c>
      <c r="B1720" s="52"/>
      <c r="C1720" s="53"/>
      <c r="D1720" s="54"/>
      <c r="E1720" s="55"/>
      <c r="F1720" s="55"/>
      <c r="G1720" s="55"/>
      <c r="H1720" s="55"/>
      <c r="I1720" s="55"/>
      <c r="J1720" s="55"/>
      <c r="K1720" s="56"/>
      <c r="L1720" s="55"/>
      <c r="M1720" s="55"/>
      <c r="N1720" s="55"/>
      <c r="O1720" s="55"/>
      <c r="P1720" s="55"/>
      <c r="Q1720" s="55"/>
      <c r="R1720" s="57"/>
      <c r="S1720" s="58"/>
    </row>
    <row r="1721" spans="1:19" x14ac:dyDescent="0.25">
      <c r="A1721" s="51" t="str">
        <f>(COUNTIF($K$2:K1721,K1721))&amp;K1721</f>
        <v>1</v>
      </c>
      <c r="B1721" s="52"/>
      <c r="C1721" s="53"/>
      <c r="D1721" s="54"/>
      <c r="E1721" s="55"/>
      <c r="F1721" s="55"/>
      <c r="G1721" s="55"/>
      <c r="H1721" s="55"/>
      <c r="I1721" s="55"/>
      <c r="J1721" s="55"/>
      <c r="K1721" s="56"/>
      <c r="L1721" s="55"/>
      <c r="M1721" s="55"/>
      <c r="N1721" s="55"/>
      <c r="O1721" s="55"/>
      <c r="P1721" s="55"/>
      <c r="Q1721" s="55"/>
      <c r="R1721" s="57"/>
      <c r="S1721" s="58"/>
    </row>
    <row r="1722" spans="1:19" x14ac:dyDescent="0.25">
      <c r="A1722" s="51" t="str">
        <f>(COUNTIF($K$2:K1722,K1722))&amp;K1722</f>
        <v>1</v>
      </c>
      <c r="B1722" s="52"/>
      <c r="C1722" s="53"/>
      <c r="D1722" s="54"/>
      <c r="E1722" s="55"/>
      <c r="F1722" s="55"/>
      <c r="G1722" s="55"/>
      <c r="H1722" s="55"/>
      <c r="I1722" s="55"/>
      <c r="J1722" s="55"/>
      <c r="K1722" s="56"/>
      <c r="L1722" s="55"/>
      <c r="M1722" s="55"/>
      <c r="N1722" s="55"/>
      <c r="O1722" s="55"/>
      <c r="P1722" s="55"/>
      <c r="Q1722" s="55"/>
      <c r="R1722" s="57"/>
      <c r="S1722" s="58"/>
    </row>
    <row r="1723" spans="1:19" x14ac:dyDescent="0.25">
      <c r="A1723" s="51" t="str">
        <f>(COUNTIF($K$2:K1723,K1723))&amp;K1723</f>
        <v>1</v>
      </c>
      <c r="B1723" s="52"/>
      <c r="C1723" s="53"/>
      <c r="D1723" s="54"/>
      <c r="E1723" s="55"/>
      <c r="F1723" s="55"/>
      <c r="G1723" s="55"/>
      <c r="H1723" s="55"/>
      <c r="I1723" s="55"/>
      <c r="J1723" s="55"/>
      <c r="K1723" s="56"/>
      <c r="L1723" s="55"/>
      <c r="M1723" s="55"/>
      <c r="N1723" s="55"/>
      <c r="O1723" s="55"/>
      <c r="P1723" s="55"/>
      <c r="Q1723" s="55"/>
      <c r="R1723" s="57"/>
      <c r="S1723" s="58"/>
    </row>
    <row r="1724" spans="1:19" x14ac:dyDescent="0.25">
      <c r="A1724" s="51" t="str">
        <f>(COUNTIF($K$2:K1724,K1724))&amp;K1724</f>
        <v>1</v>
      </c>
      <c r="B1724" s="52"/>
      <c r="C1724" s="53"/>
      <c r="D1724" s="54"/>
      <c r="E1724" s="55"/>
      <c r="F1724" s="55"/>
      <c r="G1724" s="55"/>
      <c r="H1724" s="55"/>
      <c r="I1724" s="55"/>
      <c r="J1724" s="55"/>
      <c r="K1724" s="56"/>
      <c r="L1724" s="55"/>
      <c r="M1724" s="55"/>
      <c r="N1724" s="55"/>
      <c r="O1724" s="55"/>
      <c r="P1724" s="55"/>
      <c r="Q1724" s="55"/>
      <c r="R1724" s="57"/>
      <c r="S1724" s="58"/>
    </row>
    <row r="1725" spans="1:19" x14ac:dyDescent="0.25">
      <c r="A1725" s="51" t="str">
        <f>(COUNTIF($K$2:K1725,K1725))&amp;K1725</f>
        <v>1</v>
      </c>
      <c r="B1725" s="52"/>
      <c r="C1725" s="53"/>
      <c r="D1725" s="54"/>
      <c r="E1725" s="55"/>
      <c r="F1725" s="55"/>
      <c r="G1725" s="55"/>
      <c r="H1725" s="55"/>
      <c r="I1725" s="55"/>
      <c r="J1725" s="55"/>
      <c r="K1725" s="56"/>
      <c r="L1725" s="55"/>
      <c r="M1725" s="55"/>
      <c r="N1725" s="55"/>
      <c r="O1725" s="55"/>
      <c r="P1725" s="55"/>
      <c r="Q1725" s="55"/>
      <c r="R1725" s="57"/>
      <c r="S1725" s="58"/>
    </row>
    <row r="1726" spans="1:19" x14ac:dyDescent="0.25">
      <c r="A1726" s="51" t="str">
        <f>(COUNTIF($K$2:K1726,K1726))&amp;K1726</f>
        <v>1</v>
      </c>
      <c r="B1726" s="52"/>
      <c r="C1726" s="53"/>
      <c r="D1726" s="54"/>
      <c r="E1726" s="55"/>
      <c r="F1726" s="55"/>
      <c r="G1726" s="55"/>
      <c r="H1726" s="55"/>
      <c r="I1726" s="55"/>
      <c r="J1726" s="55"/>
      <c r="K1726" s="56"/>
      <c r="L1726" s="55"/>
      <c r="M1726" s="55"/>
      <c r="N1726" s="55"/>
      <c r="O1726" s="55"/>
      <c r="P1726" s="55"/>
      <c r="Q1726" s="55"/>
      <c r="R1726" s="57"/>
      <c r="S1726" s="58"/>
    </row>
    <row r="1727" spans="1:19" ht="15.75" x14ac:dyDescent="0.25">
      <c r="A1727" s="51" t="str">
        <f>(COUNTIF($K$2:K1727,K1727))&amp;K1727</f>
        <v>1</v>
      </c>
      <c r="B1727" s="52"/>
      <c r="C1727" s="53"/>
      <c r="D1727" s="54"/>
      <c r="E1727" s="55"/>
      <c r="F1727" s="55"/>
      <c r="G1727" s="55"/>
      <c r="H1727" s="55"/>
      <c r="I1727" s="55"/>
      <c r="J1727" s="55"/>
      <c r="K1727" s="59"/>
      <c r="L1727" s="55"/>
      <c r="M1727" s="55"/>
      <c r="N1727" s="55"/>
      <c r="O1727" s="55"/>
      <c r="P1727" s="55"/>
      <c r="Q1727" s="55"/>
      <c r="R1727" s="57"/>
      <c r="S1727" s="58"/>
    </row>
    <row r="1728" spans="1:19" x14ac:dyDescent="0.25">
      <c r="A1728" s="51" t="str">
        <f>(COUNTIF($K$2:K1728,K1728))&amp;K1728</f>
        <v>1</v>
      </c>
      <c r="B1728" s="52"/>
      <c r="C1728" s="53"/>
      <c r="D1728" s="54"/>
      <c r="E1728" s="55"/>
      <c r="F1728" s="55"/>
      <c r="G1728" s="55"/>
      <c r="H1728" s="55"/>
      <c r="I1728" s="55"/>
      <c r="J1728" s="55"/>
      <c r="K1728" s="56"/>
      <c r="L1728" s="55"/>
      <c r="M1728" s="55"/>
      <c r="N1728" s="55"/>
      <c r="O1728" s="55"/>
      <c r="P1728" s="55"/>
      <c r="Q1728" s="55"/>
      <c r="R1728" s="57"/>
      <c r="S1728" s="58"/>
    </row>
    <row r="1729" spans="1:19" x14ac:dyDescent="0.25">
      <c r="A1729" s="51" t="str">
        <f>(COUNTIF($K$2:K1729,K1729))&amp;K1729</f>
        <v>1</v>
      </c>
      <c r="B1729" s="52"/>
      <c r="C1729" s="53"/>
      <c r="D1729" s="54"/>
      <c r="E1729" s="55"/>
      <c r="F1729" s="55"/>
      <c r="G1729" s="55"/>
      <c r="H1729" s="55"/>
      <c r="I1729" s="55"/>
      <c r="J1729" s="55"/>
      <c r="K1729" s="56"/>
      <c r="L1729" s="55"/>
      <c r="M1729" s="55"/>
      <c r="N1729" s="55"/>
      <c r="O1729" s="55"/>
      <c r="P1729" s="55"/>
      <c r="Q1729" s="55"/>
      <c r="R1729" s="57"/>
      <c r="S1729" s="58"/>
    </row>
    <row r="1730" spans="1:19" x14ac:dyDescent="0.25">
      <c r="A1730" s="51" t="str">
        <f>(COUNTIF($K$2:K1730,K1730))&amp;K1730</f>
        <v>1</v>
      </c>
      <c r="B1730" s="52"/>
      <c r="C1730" s="53"/>
      <c r="D1730" s="54"/>
      <c r="E1730" s="55"/>
      <c r="F1730" s="55"/>
      <c r="G1730" s="55"/>
      <c r="H1730" s="55"/>
      <c r="I1730" s="55"/>
      <c r="J1730" s="55"/>
      <c r="K1730" s="56"/>
      <c r="L1730" s="55"/>
      <c r="M1730" s="55"/>
      <c r="N1730" s="55"/>
      <c r="O1730" s="55"/>
      <c r="P1730" s="55"/>
      <c r="Q1730" s="55"/>
      <c r="R1730" s="57"/>
      <c r="S1730" s="58"/>
    </row>
    <row r="1731" spans="1:19" x14ac:dyDescent="0.25">
      <c r="A1731" s="51" t="str">
        <f>(COUNTIF($K$2:K1731,K1731))&amp;K1731</f>
        <v>1</v>
      </c>
      <c r="B1731" s="52"/>
      <c r="C1731" s="53"/>
      <c r="D1731" s="54"/>
      <c r="E1731" s="55"/>
      <c r="F1731" s="55"/>
      <c r="G1731" s="55"/>
      <c r="H1731" s="55"/>
      <c r="I1731" s="55"/>
      <c r="J1731" s="55"/>
      <c r="K1731" s="56"/>
      <c r="L1731" s="55"/>
      <c r="M1731" s="55"/>
      <c r="N1731" s="55"/>
      <c r="O1731" s="55"/>
      <c r="P1731" s="55"/>
      <c r="Q1731" s="55"/>
      <c r="R1731" s="57"/>
      <c r="S1731" s="58"/>
    </row>
    <row r="1732" spans="1:19" x14ac:dyDescent="0.25">
      <c r="A1732" s="51" t="str">
        <f>(COUNTIF($K$2:K1732,K1732))&amp;K1732</f>
        <v>1</v>
      </c>
      <c r="B1732" s="52"/>
      <c r="C1732" s="53"/>
      <c r="D1732" s="54"/>
      <c r="E1732" s="55"/>
      <c r="F1732" s="55"/>
      <c r="G1732" s="55"/>
      <c r="H1732" s="55"/>
      <c r="I1732" s="55"/>
      <c r="J1732" s="55"/>
      <c r="K1732" s="56"/>
      <c r="L1732" s="55"/>
      <c r="M1732" s="55"/>
      <c r="N1732" s="55"/>
      <c r="O1732" s="55"/>
      <c r="P1732" s="55"/>
      <c r="Q1732" s="55"/>
      <c r="R1732" s="57"/>
      <c r="S1732" s="58"/>
    </row>
    <row r="1733" spans="1:19" x14ac:dyDescent="0.25">
      <c r="A1733" s="51" t="str">
        <f>(COUNTIF($K$2:K1733,K1733))&amp;K1733</f>
        <v>1</v>
      </c>
      <c r="B1733" s="52"/>
      <c r="C1733" s="53"/>
      <c r="D1733" s="54"/>
      <c r="E1733" s="55"/>
      <c r="F1733" s="55"/>
      <c r="G1733" s="55"/>
      <c r="H1733" s="55"/>
      <c r="I1733" s="55"/>
      <c r="J1733" s="55"/>
      <c r="K1733" s="56"/>
      <c r="L1733" s="55"/>
      <c r="M1733" s="55"/>
      <c r="N1733" s="55"/>
      <c r="O1733" s="55"/>
      <c r="P1733" s="55"/>
      <c r="Q1733" s="55"/>
      <c r="R1733" s="57"/>
      <c r="S1733" s="58"/>
    </row>
    <row r="1734" spans="1:19" x14ac:dyDescent="0.25">
      <c r="A1734" s="51" t="str">
        <f>(COUNTIF($K$2:K1734,K1734))&amp;K1734</f>
        <v>1</v>
      </c>
      <c r="B1734" s="52"/>
      <c r="C1734" s="53"/>
      <c r="D1734" s="54"/>
      <c r="E1734" s="55"/>
      <c r="F1734" s="55"/>
      <c r="G1734" s="55"/>
      <c r="H1734" s="55"/>
      <c r="I1734" s="55"/>
      <c r="J1734" s="55"/>
      <c r="K1734" s="56"/>
      <c r="L1734" s="55"/>
      <c r="M1734" s="55"/>
      <c r="N1734" s="55"/>
      <c r="O1734" s="55"/>
      <c r="P1734" s="55"/>
      <c r="Q1734" s="55"/>
      <c r="R1734" s="57"/>
      <c r="S1734" s="58"/>
    </row>
    <row r="1735" spans="1:19" x14ac:dyDescent="0.25">
      <c r="A1735" s="51" t="str">
        <f>(COUNTIF($K$2:K1735,K1735))&amp;K1735</f>
        <v>1</v>
      </c>
      <c r="B1735" s="52"/>
      <c r="C1735" s="60"/>
      <c r="E1735" s="61"/>
      <c r="F1735" s="62"/>
      <c r="G1735" s="63"/>
      <c r="H1735" s="64"/>
      <c r="I1735" s="64"/>
      <c r="J1735" s="64"/>
      <c r="K1735" s="65"/>
      <c r="L1735" s="64"/>
      <c r="M1735" s="64"/>
      <c r="N1735" s="64"/>
      <c r="P1735" s="63"/>
      <c r="Q1735" s="61"/>
      <c r="R1735" s="64"/>
      <c r="S1735" s="64"/>
    </row>
    <row r="1736" spans="1:19" x14ac:dyDescent="0.25">
      <c r="A1736" s="51" t="str">
        <f>(COUNTIF($K$2:K1736,K1736))&amp;K1736</f>
        <v>1</v>
      </c>
      <c r="B1736" s="52"/>
      <c r="C1736" s="53"/>
      <c r="D1736" s="54"/>
      <c r="E1736" s="55"/>
      <c r="F1736" s="55"/>
      <c r="G1736" s="55"/>
      <c r="H1736" s="55"/>
      <c r="I1736" s="55"/>
      <c r="J1736" s="55"/>
      <c r="K1736" s="56"/>
      <c r="L1736" s="55"/>
      <c r="M1736" s="55"/>
      <c r="N1736" s="55"/>
      <c r="O1736" s="55"/>
      <c r="P1736" s="55"/>
      <c r="Q1736" s="55"/>
      <c r="R1736" s="57"/>
      <c r="S1736" s="58"/>
    </row>
    <row r="1737" spans="1:19" x14ac:dyDescent="0.25">
      <c r="A1737" s="51" t="str">
        <f>(COUNTIF($K$2:K1737,K1737))&amp;K1737</f>
        <v>1</v>
      </c>
      <c r="B1737" s="52"/>
      <c r="C1737" s="53"/>
      <c r="D1737" s="54"/>
      <c r="E1737" s="55"/>
      <c r="F1737" s="55"/>
      <c r="G1737" s="55"/>
      <c r="H1737" s="55"/>
      <c r="I1737" s="55"/>
      <c r="J1737" s="55"/>
      <c r="K1737" s="56"/>
      <c r="L1737" s="55"/>
      <c r="M1737" s="55"/>
      <c r="N1737" s="55"/>
      <c r="O1737" s="55"/>
      <c r="P1737" s="55"/>
      <c r="Q1737" s="55"/>
      <c r="R1737" s="57"/>
      <c r="S1737" s="58"/>
    </row>
    <row r="1738" spans="1:19" x14ac:dyDescent="0.25">
      <c r="A1738" s="51" t="str">
        <f>(COUNTIF($K$2:K1738,K1738))&amp;K1738</f>
        <v>1</v>
      </c>
      <c r="B1738" s="52"/>
      <c r="C1738" s="53"/>
      <c r="D1738" s="54"/>
      <c r="E1738" s="55"/>
      <c r="F1738" s="55"/>
      <c r="G1738" s="55"/>
      <c r="H1738" s="55"/>
      <c r="I1738" s="55"/>
      <c r="J1738" s="55"/>
      <c r="K1738" s="56"/>
      <c r="L1738" s="55"/>
      <c r="M1738" s="55"/>
      <c r="N1738" s="55"/>
      <c r="O1738" s="55"/>
      <c r="P1738" s="55"/>
      <c r="Q1738" s="55"/>
      <c r="R1738" s="57"/>
      <c r="S1738" s="58"/>
    </row>
    <row r="1739" spans="1:19" x14ac:dyDescent="0.25">
      <c r="A1739" s="51" t="str">
        <f>(COUNTIF($K$2:K1739,K1739))&amp;K1739</f>
        <v>1</v>
      </c>
      <c r="B1739" s="52"/>
      <c r="C1739" s="53"/>
      <c r="D1739" s="54"/>
      <c r="E1739" s="55"/>
      <c r="F1739" s="55"/>
      <c r="G1739" s="55"/>
      <c r="H1739" s="55"/>
      <c r="I1739" s="55"/>
      <c r="J1739" s="55"/>
      <c r="K1739" s="56"/>
      <c r="L1739" s="55"/>
      <c r="M1739" s="55"/>
      <c r="N1739" s="55"/>
      <c r="O1739" s="55"/>
      <c r="P1739" s="55"/>
      <c r="Q1739" s="55"/>
      <c r="R1739" s="57"/>
      <c r="S1739" s="58"/>
    </row>
    <row r="1740" spans="1:19" x14ac:dyDescent="0.25">
      <c r="A1740" s="51" t="str">
        <f>(COUNTIF($K$2:K1740,K1740))&amp;K1740</f>
        <v>1</v>
      </c>
      <c r="B1740" s="52"/>
      <c r="C1740" s="53"/>
      <c r="D1740" s="54"/>
      <c r="E1740" s="55"/>
      <c r="F1740" s="55"/>
      <c r="G1740" s="55"/>
      <c r="H1740" s="55"/>
      <c r="I1740" s="55"/>
      <c r="J1740" s="55"/>
      <c r="K1740" s="56"/>
      <c r="L1740" s="55"/>
      <c r="M1740" s="55"/>
      <c r="N1740" s="55"/>
      <c r="O1740" s="55"/>
      <c r="P1740" s="55"/>
      <c r="Q1740" s="55"/>
      <c r="R1740" s="57"/>
      <c r="S1740" s="58"/>
    </row>
    <row r="1741" spans="1:19" x14ac:dyDescent="0.25">
      <c r="A1741" s="51" t="str">
        <f>(COUNTIF($K$2:K1741,K1741))&amp;K1741</f>
        <v>1</v>
      </c>
      <c r="B1741" s="52"/>
      <c r="C1741" s="53"/>
      <c r="D1741" s="54"/>
      <c r="E1741" s="55"/>
      <c r="F1741" s="55"/>
      <c r="G1741" s="55"/>
      <c r="H1741" s="55"/>
      <c r="I1741" s="55"/>
      <c r="J1741" s="55"/>
      <c r="K1741" s="56"/>
      <c r="L1741" s="55"/>
      <c r="M1741" s="55"/>
      <c r="N1741" s="55"/>
      <c r="O1741" s="55"/>
      <c r="P1741" s="55"/>
      <c r="Q1741" s="55"/>
      <c r="R1741" s="57"/>
      <c r="S1741" s="58"/>
    </row>
    <row r="1742" spans="1:19" x14ac:dyDescent="0.25">
      <c r="A1742" s="51" t="str">
        <f>(COUNTIF($K$2:K1742,K1742))&amp;K1742</f>
        <v>1</v>
      </c>
      <c r="B1742" s="52"/>
      <c r="C1742" s="53"/>
      <c r="D1742" s="54"/>
      <c r="E1742" s="55"/>
      <c r="F1742" s="55"/>
      <c r="G1742" s="55"/>
      <c r="H1742" s="55"/>
      <c r="I1742" s="55"/>
      <c r="J1742" s="55"/>
      <c r="K1742" s="56"/>
      <c r="L1742" s="55"/>
      <c r="M1742" s="55"/>
      <c r="N1742" s="55"/>
      <c r="O1742" s="55"/>
      <c r="P1742" s="55"/>
      <c r="Q1742" s="55"/>
      <c r="R1742" s="57"/>
      <c r="S1742" s="58"/>
    </row>
    <row r="1743" spans="1:19" x14ac:dyDescent="0.25">
      <c r="A1743" s="51" t="str">
        <f>(COUNTIF($K$2:K1743,K1743))&amp;K1743</f>
        <v>1</v>
      </c>
      <c r="B1743" s="52"/>
      <c r="C1743" s="53"/>
      <c r="D1743" s="54"/>
      <c r="E1743" s="55"/>
      <c r="F1743" s="55"/>
      <c r="G1743" s="55"/>
      <c r="H1743" s="55"/>
      <c r="I1743" s="55"/>
      <c r="J1743" s="55"/>
      <c r="K1743" s="56"/>
      <c r="L1743" s="55"/>
      <c r="M1743" s="55"/>
      <c r="N1743" s="55"/>
      <c r="O1743" s="55"/>
      <c r="P1743" s="55"/>
      <c r="Q1743" s="55"/>
      <c r="R1743" s="57"/>
      <c r="S1743" s="58"/>
    </row>
    <row r="1744" spans="1:19" ht="15.75" x14ac:dyDescent="0.25">
      <c r="A1744" s="51" t="str">
        <f>(COUNTIF($K$2:K1744,K1744))&amp;K1744</f>
        <v>1</v>
      </c>
      <c r="B1744" s="52"/>
      <c r="C1744" s="53"/>
      <c r="D1744" s="54"/>
      <c r="E1744" s="55"/>
      <c r="F1744" s="55"/>
      <c r="G1744" s="55"/>
      <c r="H1744" s="55"/>
      <c r="I1744" s="55"/>
      <c r="J1744" s="55"/>
      <c r="K1744" s="59"/>
      <c r="L1744" s="55"/>
      <c r="M1744" s="55"/>
      <c r="N1744" s="55"/>
      <c r="O1744" s="55"/>
      <c r="P1744" s="55"/>
      <c r="Q1744" s="55"/>
      <c r="R1744" s="57"/>
      <c r="S1744" s="58"/>
    </row>
    <row r="1745" spans="1:19" x14ac:dyDescent="0.25">
      <c r="A1745" s="51" t="str">
        <f>(COUNTIF($K$2:K1745,K1745))&amp;K1745</f>
        <v>1</v>
      </c>
      <c r="B1745" s="52"/>
      <c r="C1745" s="53"/>
      <c r="D1745" s="54"/>
      <c r="E1745" s="55"/>
      <c r="F1745" s="55"/>
      <c r="G1745" s="55"/>
      <c r="H1745" s="55"/>
      <c r="I1745" s="55"/>
      <c r="J1745" s="55"/>
      <c r="K1745" s="56"/>
      <c r="L1745" s="55"/>
      <c r="M1745" s="55"/>
      <c r="N1745" s="55"/>
      <c r="O1745" s="55"/>
      <c r="P1745" s="55"/>
      <c r="Q1745" s="55"/>
      <c r="R1745" s="57"/>
      <c r="S1745" s="58"/>
    </row>
    <row r="1746" spans="1:19" x14ac:dyDescent="0.25">
      <c r="A1746" s="51" t="str">
        <f>(COUNTIF($K$2:K1746,K1746))&amp;K1746</f>
        <v>1</v>
      </c>
      <c r="B1746" s="52"/>
      <c r="C1746" s="53"/>
      <c r="D1746" s="54"/>
      <c r="E1746" s="55"/>
      <c r="F1746" s="55"/>
      <c r="G1746" s="55"/>
      <c r="H1746" s="55"/>
      <c r="I1746" s="55"/>
      <c r="J1746" s="55"/>
      <c r="K1746" s="56"/>
      <c r="L1746" s="55"/>
      <c r="M1746" s="55"/>
      <c r="N1746" s="55"/>
      <c r="O1746" s="55"/>
      <c r="P1746" s="55"/>
      <c r="Q1746" s="55"/>
      <c r="R1746" s="57"/>
      <c r="S1746" s="58"/>
    </row>
    <row r="1747" spans="1:19" x14ac:dyDescent="0.25">
      <c r="A1747" s="51" t="str">
        <f>(COUNTIF($K$2:K1747,K1747))&amp;K1747</f>
        <v>1</v>
      </c>
      <c r="B1747" s="52"/>
      <c r="C1747" s="53"/>
      <c r="D1747" s="54"/>
      <c r="E1747" s="55"/>
      <c r="F1747" s="55"/>
      <c r="G1747" s="55"/>
      <c r="H1747" s="55"/>
      <c r="I1747" s="55"/>
      <c r="J1747" s="55"/>
      <c r="K1747" s="56"/>
      <c r="L1747" s="55"/>
      <c r="M1747" s="55"/>
      <c r="N1747" s="55"/>
      <c r="O1747" s="55"/>
      <c r="P1747" s="55"/>
      <c r="Q1747" s="55"/>
      <c r="R1747" s="57"/>
      <c r="S1747" s="58"/>
    </row>
    <row r="1748" spans="1:19" x14ac:dyDescent="0.25">
      <c r="A1748" s="51" t="str">
        <f>(COUNTIF($K$2:K1748,K1748))&amp;K1748</f>
        <v>1</v>
      </c>
      <c r="B1748" s="52"/>
      <c r="C1748" s="53"/>
      <c r="D1748" s="54"/>
      <c r="E1748" s="55"/>
      <c r="F1748" s="55"/>
      <c r="G1748" s="55"/>
      <c r="H1748" s="55"/>
      <c r="I1748" s="55"/>
      <c r="J1748" s="55"/>
      <c r="K1748" s="56"/>
      <c r="L1748" s="55"/>
      <c r="M1748" s="55"/>
      <c r="N1748" s="55"/>
      <c r="O1748" s="55"/>
      <c r="P1748" s="55"/>
      <c r="Q1748" s="55"/>
      <c r="R1748" s="57"/>
      <c r="S1748" s="58"/>
    </row>
    <row r="1749" spans="1:19" x14ac:dyDescent="0.25">
      <c r="A1749" s="51" t="str">
        <f>(COUNTIF($K$2:K1749,K1749))&amp;K1749</f>
        <v>1</v>
      </c>
      <c r="B1749" s="52"/>
      <c r="C1749" s="53"/>
      <c r="D1749" s="54"/>
      <c r="E1749" s="55"/>
      <c r="F1749" s="55"/>
      <c r="G1749" s="55"/>
      <c r="H1749" s="55"/>
      <c r="I1749" s="55"/>
      <c r="J1749" s="55"/>
      <c r="K1749" s="56"/>
      <c r="L1749" s="55"/>
      <c r="M1749" s="55"/>
      <c r="N1749" s="55"/>
      <c r="O1749" s="55"/>
      <c r="P1749" s="55"/>
      <c r="Q1749" s="55"/>
      <c r="R1749" s="57"/>
      <c r="S1749" s="58"/>
    </row>
    <row r="1750" spans="1:19" x14ac:dyDescent="0.25">
      <c r="A1750" s="51" t="str">
        <f>(COUNTIF($K$2:K1750,K1750))&amp;K1750</f>
        <v>1</v>
      </c>
      <c r="B1750" s="52"/>
      <c r="C1750" s="53"/>
      <c r="D1750" s="54"/>
      <c r="E1750" s="55"/>
      <c r="F1750" s="55"/>
      <c r="G1750" s="55"/>
      <c r="H1750" s="55"/>
      <c r="I1750" s="55"/>
      <c r="J1750" s="55"/>
      <c r="K1750" s="56"/>
      <c r="L1750" s="55"/>
      <c r="M1750" s="55"/>
      <c r="N1750" s="55"/>
      <c r="O1750" s="55"/>
      <c r="P1750" s="55"/>
      <c r="Q1750" s="55"/>
      <c r="R1750" s="57"/>
      <c r="S1750" s="58"/>
    </row>
    <row r="1751" spans="1:19" x14ac:dyDescent="0.25">
      <c r="A1751" s="51" t="str">
        <f>(COUNTIF($K$2:K1751,K1751))&amp;K1751</f>
        <v>1</v>
      </c>
      <c r="B1751" s="52"/>
      <c r="C1751" s="53"/>
      <c r="D1751" s="54"/>
      <c r="E1751" s="55"/>
      <c r="F1751" s="55"/>
      <c r="G1751" s="55"/>
      <c r="H1751" s="55"/>
      <c r="I1751" s="55"/>
      <c r="J1751" s="55"/>
      <c r="K1751" s="56"/>
      <c r="L1751" s="55"/>
      <c r="M1751" s="55"/>
      <c r="N1751" s="55"/>
      <c r="O1751" s="55"/>
      <c r="P1751" s="55"/>
      <c r="Q1751" s="55"/>
      <c r="R1751" s="57"/>
      <c r="S1751" s="58"/>
    </row>
    <row r="1752" spans="1:19" x14ac:dyDescent="0.25">
      <c r="A1752" s="51" t="str">
        <f>(COUNTIF($K$2:K1752,K1752))&amp;K1752</f>
        <v>1</v>
      </c>
      <c r="B1752" s="52"/>
      <c r="C1752" s="60"/>
      <c r="E1752" s="61"/>
      <c r="F1752" s="62"/>
      <c r="G1752" s="63"/>
      <c r="H1752" s="64"/>
      <c r="I1752" s="64"/>
      <c r="J1752" s="64"/>
      <c r="K1752" s="65"/>
      <c r="L1752" s="64"/>
      <c r="M1752" s="64"/>
      <c r="N1752" s="64"/>
      <c r="P1752" s="63"/>
      <c r="Q1752" s="61"/>
      <c r="R1752" s="64"/>
      <c r="S1752" s="64"/>
    </row>
    <row r="1753" spans="1:19" x14ac:dyDescent="0.25">
      <c r="A1753" s="51" t="str">
        <f>(COUNTIF($K$2:K1753,K1753))&amp;K1753</f>
        <v>1</v>
      </c>
      <c r="B1753" s="52"/>
      <c r="C1753" s="53"/>
      <c r="D1753" s="54"/>
      <c r="E1753" s="55"/>
      <c r="F1753" s="55"/>
      <c r="G1753" s="55"/>
      <c r="H1753" s="55"/>
      <c r="I1753" s="55"/>
      <c r="J1753" s="55"/>
      <c r="K1753" s="56"/>
      <c r="L1753" s="55"/>
      <c r="M1753" s="55"/>
      <c r="N1753" s="55"/>
      <c r="O1753" s="55"/>
      <c r="P1753" s="55"/>
      <c r="Q1753" s="55"/>
      <c r="R1753" s="57"/>
      <c r="S1753" s="58"/>
    </row>
    <row r="1754" spans="1:19" x14ac:dyDescent="0.25">
      <c r="A1754" s="51" t="str">
        <f>(COUNTIF($K$2:K1754,K1754))&amp;K1754</f>
        <v>1</v>
      </c>
      <c r="B1754" s="52"/>
      <c r="C1754" s="53"/>
      <c r="D1754" s="54"/>
      <c r="E1754" s="55"/>
      <c r="F1754" s="55"/>
      <c r="G1754" s="55"/>
      <c r="H1754" s="55"/>
      <c r="I1754" s="55"/>
      <c r="J1754" s="55"/>
      <c r="K1754" s="56"/>
      <c r="L1754" s="55"/>
      <c r="M1754" s="55"/>
      <c r="N1754" s="55"/>
      <c r="O1754" s="55"/>
      <c r="P1754" s="55"/>
      <c r="Q1754" s="55"/>
      <c r="R1754" s="57"/>
      <c r="S1754" s="58"/>
    </row>
    <row r="1755" spans="1:19" x14ac:dyDescent="0.25">
      <c r="A1755" s="51" t="str">
        <f>(COUNTIF($K$2:K1755,K1755))&amp;K1755</f>
        <v>1</v>
      </c>
      <c r="B1755" s="52"/>
      <c r="C1755" s="53"/>
      <c r="D1755" s="54"/>
      <c r="E1755" s="55"/>
      <c r="F1755" s="55"/>
      <c r="G1755" s="55"/>
      <c r="H1755" s="55"/>
      <c r="I1755" s="55"/>
      <c r="J1755" s="55"/>
      <c r="K1755" s="56"/>
      <c r="L1755" s="55"/>
      <c r="M1755" s="55"/>
      <c r="N1755" s="55"/>
      <c r="O1755" s="55"/>
      <c r="P1755" s="55"/>
      <c r="Q1755" s="55"/>
      <c r="R1755" s="57"/>
      <c r="S1755" s="58"/>
    </row>
    <row r="1756" spans="1:19" x14ac:dyDescent="0.25">
      <c r="A1756" s="51" t="str">
        <f>(COUNTIF($K$2:K1756,K1756))&amp;K1756</f>
        <v>1</v>
      </c>
      <c r="B1756" s="52"/>
      <c r="C1756" s="53"/>
      <c r="D1756" s="54"/>
      <c r="E1756" s="55"/>
      <c r="F1756" s="55"/>
      <c r="G1756" s="55"/>
      <c r="H1756" s="55"/>
      <c r="I1756" s="55"/>
      <c r="J1756" s="55"/>
      <c r="K1756" s="56"/>
      <c r="L1756" s="55"/>
      <c r="M1756" s="55"/>
      <c r="N1756" s="55"/>
      <c r="O1756" s="55"/>
      <c r="P1756" s="55"/>
      <c r="Q1756" s="55"/>
      <c r="R1756" s="57"/>
      <c r="S1756" s="58"/>
    </row>
    <row r="1757" spans="1:19" x14ac:dyDescent="0.25">
      <c r="A1757" s="51" t="str">
        <f>(COUNTIF($K$2:K1757,K1757))&amp;K1757</f>
        <v>1</v>
      </c>
      <c r="B1757" s="52"/>
      <c r="C1757" s="53"/>
      <c r="D1757" s="54"/>
      <c r="E1757" s="55"/>
      <c r="F1757" s="55"/>
      <c r="G1757" s="55"/>
      <c r="H1757" s="55"/>
      <c r="I1757" s="55"/>
      <c r="J1757" s="55"/>
      <c r="K1757" s="56"/>
      <c r="L1757" s="55"/>
      <c r="M1757" s="55"/>
      <c r="N1757" s="55"/>
      <c r="O1757" s="55"/>
      <c r="P1757" s="55"/>
      <c r="Q1757" s="55"/>
      <c r="R1757" s="57"/>
      <c r="S1757" s="58"/>
    </row>
    <row r="1758" spans="1:19" x14ac:dyDescent="0.25">
      <c r="A1758" s="51" t="str">
        <f>(COUNTIF($K$2:K1758,K1758))&amp;K1758</f>
        <v>1</v>
      </c>
      <c r="B1758" s="52"/>
      <c r="C1758" s="53"/>
      <c r="D1758" s="54"/>
      <c r="E1758" s="55"/>
      <c r="F1758" s="55"/>
      <c r="G1758" s="55"/>
      <c r="H1758" s="55"/>
      <c r="I1758" s="55"/>
      <c r="J1758" s="55"/>
      <c r="K1758" s="56"/>
      <c r="L1758" s="55"/>
      <c r="M1758" s="55"/>
      <c r="N1758" s="55"/>
      <c r="O1758" s="55"/>
      <c r="P1758" s="55"/>
      <c r="Q1758" s="55"/>
      <c r="R1758" s="57"/>
      <c r="S1758" s="58"/>
    </row>
    <row r="1759" spans="1:19" x14ac:dyDescent="0.25">
      <c r="A1759" s="51" t="str">
        <f>(COUNTIF($K$2:K1759,K1759))&amp;K1759</f>
        <v>1</v>
      </c>
      <c r="B1759" s="52"/>
      <c r="C1759" s="53"/>
      <c r="D1759" s="54"/>
      <c r="E1759" s="55"/>
      <c r="F1759" s="55"/>
      <c r="G1759" s="55"/>
      <c r="H1759" s="55"/>
      <c r="I1759" s="55"/>
      <c r="J1759" s="55"/>
      <c r="K1759" s="56"/>
      <c r="L1759" s="55"/>
      <c r="M1759" s="55"/>
      <c r="N1759" s="55"/>
      <c r="O1759" s="55"/>
      <c r="P1759" s="55"/>
      <c r="Q1759" s="55"/>
      <c r="R1759" s="57"/>
      <c r="S1759" s="58"/>
    </row>
    <row r="1760" spans="1:19" x14ac:dyDescent="0.25">
      <c r="A1760" s="51" t="str">
        <f>(COUNTIF($K$2:K1760,K1760))&amp;K1760</f>
        <v>1</v>
      </c>
      <c r="B1760" s="52"/>
      <c r="C1760" s="53"/>
      <c r="D1760" s="54"/>
      <c r="E1760" s="55"/>
      <c r="F1760" s="55"/>
      <c r="G1760" s="55"/>
      <c r="H1760" s="55"/>
      <c r="I1760" s="55"/>
      <c r="J1760" s="55"/>
      <c r="K1760" s="56"/>
      <c r="L1760" s="55"/>
      <c r="M1760" s="55"/>
      <c r="N1760" s="55"/>
      <c r="O1760" s="55"/>
      <c r="P1760" s="55"/>
      <c r="Q1760" s="55"/>
      <c r="R1760" s="57"/>
      <c r="S1760" s="58"/>
    </row>
    <row r="1761" spans="1:19" ht="15.75" x14ac:dyDescent="0.25">
      <c r="A1761" s="51" t="str">
        <f>(COUNTIF($K$2:K1761,K1761))&amp;K1761</f>
        <v>1</v>
      </c>
      <c r="B1761" s="52"/>
      <c r="C1761" s="53"/>
      <c r="D1761" s="54"/>
      <c r="E1761" s="55"/>
      <c r="F1761" s="55"/>
      <c r="G1761" s="55"/>
      <c r="H1761" s="55"/>
      <c r="I1761" s="55"/>
      <c r="J1761" s="55"/>
      <c r="K1761" s="59"/>
      <c r="L1761" s="55"/>
      <c r="M1761" s="55"/>
      <c r="N1761" s="55"/>
      <c r="O1761" s="55"/>
      <c r="P1761" s="55"/>
      <c r="Q1761" s="55"/>
      <c r="R1761" s="57"/>
      <c r="S1761" s="58"/>
    </row>
    <row r="1762" spans="1:19" x14ac:dyDescent="0.25">
      <c r="A1762" s="51" t="str">
        <f>(COUNTIF($K$2:K1762,K1762))&amp;K1762</f>
        <v>1</v>
      </c>
      <c r="B1762" s="52"/>
      <c r="C1762" s="53"/>
      <c r="D1762" s="54"/>
      <c r="E1762" s="55"/>
      <c r="F1762" s="55"/>
      <c r="G1762" s="55"/>
      <c r="H1762" s="55"/>
      <c r="I1762" s="55"/>
      <c r="J1762" s="55"/>
      <c r="K1762" s="56"/>
      <c r="L1762" s="55"/>
      <c r="M1762" s="55"/>
      <c r="N1762" s="55"/>
      <c r="O1762" s="55"/>
      <c r="P1762" s="55"/>
      <c r="Q1762" s="55"/>
      <c r="R1762" s="57"/>
      <c r="S1762" s="58"/>
    </row>
    <row r="1763" spans="1:19" x14ac:dyDescent="0.25">
      <c r="A1763" s="51" t="str">
        <f>(COUNTIF($K$2:K1763,K1763))&amp;K1763</f>
        <v>1</v>
      </c>
      <c r="B1763" s="52"/>
      <c r="C1763" s="53"/>
      <c r="D1763" s="54"/>
      <c r="E1763" s="55"/>
      <c r="F1763" s="55"/>
      <c r="G1763" s="55"/>
      <c r="H1763" s="55"/>
      <c r="I1763" s="55"/>
      <c r="J1763" s="55"/>
      <c r="K1763" s="56"/>
      <c r="L1763" s="55"/>
      <c r="M1763" s="55"/>
      <c r="N1763" s="55"/>
      <c r="O1763" s="55"/>
      <c r="P1763" s="55"/>
      <c r="Q1763" s="55"/>
      <c r="R1763" s="57"/>
      <c r="S1763" s="58"/>
    </row>
    <row r="1764" spans="1:19" x14ac:dyDescent="0.25">
      <c r="A1764" s="51" t="str">
        <f>(COUNTIF($K$2:K1764,K1764))&amp;K1764</f>
        <v>1</v>
      </c>
      <c r="B1764" s="52"/>
      <c r="C1764" s="53"/>
      <c r="D1764" s="54"/>
      <c r="E1764" s="55"/>
      <c r="F1764" s="55"/>
      <c r="G1764" s="55"/>
      <c r="H1764" s="55"/>
      <c r="I1764" s="55"/>
      <c r="J1764" s="55"/>
      <c r="K1764" s="56"/>
      <c r="L1764" s="55"/>
      <c r="M1764" s="55"/>
      <c r="N1764" s="55"/>
      <c r="O1764" s="55"/>
      <c r="P1764" s="55"/>
      <c r="Q1764" s="55"/>
      <c r="R1764" s="57"/>
      <c r="S1764" s="58"/>
    </row>
    <row r="1765" spans="1:19" x14ac:dyDescent="0.25">
      <c r="A1765" s="51" t="str">
        <f>(COUNTIF($K$2:K1765,K1765))&amp;K1765</f>
        <v>1</v>
      </c>
      <c r="B1765" s="52"/>
      <c r="C1765" s="53"/>
      <c r="D1765" s="54"/>
      <c r="E1765" s="55"/>
      <c r="F1765" s="55"/>
      <c r="G1765" s="55"/>
      <c r="H1765" s="55"/>
      <c r="I1765" s="55"/>
      <c r="J1765" s="55"/>
      <c r="K1765" s="56"/>
      <c r="L1765" s="55"/>
      <c r="M1765" s="55"/>
      <c r="N1765" s="55"/>
      <c r="O1765" s="55"/>
      <c r="P1765" s="55"/>
      <c r="Q1765" s="55"/>
      <c r="R1765" s="57"/>
      <c r="S1765" s="58"/>
    </row>
    <row r="1766" spans="1:19" x14ac:dyDescent="0.25">
      <c r="A1766" s="51" t="str">
        <f>(COUNTIF($K$2:K1766,K1766))&amp;K1766</f>
        <v>1</v>
      </c>
      <c r="B1766" s="52"/>
      <c r="C1766" s="53"/>
      <c r="D1766" s="54"/>
      <c r="E1766" s="55"/>
      <c r="F1766" s="55"/>
      <c r="G1766" s="55"/>
      <c r="H1766" s="55"/>
      <c r="I1766" s="55"/>
      <c r="J1766" s="55"/>
      <c r="K1766" s="56"/>
      <c r="L1766" s="55"/>
      <c r="M1766" s="55"/>
      <c r="N1766" s="55"/>
      <c r="O1766" s="55"/>
      <c r="P1766" s="55"/>
      <c r="Q1766" s="55"/>
      <c r="R1766" s="57"/>
      <c r="S1766" s="58"/>
    </row>
    <row r="1767" spans="1:19" x14ac:dyDescent="0.25">
      <c r="A1767" s="51" t="str">
        <f>(COUNTIF($K$2:K1767,K1767))&amp;K1767</f>
        <v>1</v>
      </c>
      <c r="B1767" s="52"/>
      <c r="C1767" s="53"/>
      <c r="D1767" s="54"/>
      <c r="E1767" s="55"/>
      <c r="F1767" s="55"/>
      <c r="G1767" s="55"/>
      <c r="H1767" s="55"/>
      <c r="I1767" s="55"/>
      <c r="J1767" s="55"/>
      <c r="K1767" s="56"/>
      <c r="L1767" s="55"/>
      <c r="M1767" s="55"/>
      <c r="N1767" s="55"/>
      <c r="O1767" s="55"/>
      <c r="P1767" s="55"/>
      <c r="Q1767" s="55"/>
      <c r="R1767" s="57"/>
      <c r="S1767" s="58"/>
    </row>
    <row r="1768" spans="1:19" x14ac:dyDescent="0.25">
      <c r="A1768" s="51" t="str">
        <f>(COUNTIF($K$2:K1768,K1768))&amp;K1768</f>
        <v>1</v>
      </c>
      <c r="B1768" s="52"/>
      <c r="C1768" s="53"/>
      <c r="D1768" s="54"/>
      <c r="E1768" s="55"/>
      <c r="F1768" s="55"/>
      <c r="G1768" s="55"/>
      <c r="H1768" s="55"/>
      <c r="I1768" s="55"/>
      <c r="J1768" s="55"/>
      <c r="K1768" s="56"/>
      <c r="L1768" s="55"/>
      <c r="M1768" s="55"/>
      <c r="N1768" s="55"/>
      <c r="O1768" s="55"/>
      <c r="P1768" s="55"/>
      <c r="Q1768" s="55"/>
      <c r="R1768" s="57"/>
      <c r="S1768" s="58"/>
    </row>
    <row r="1769" spans="1:19" x14ac:dyDescent="0.25">
      <c r="A1769" s="51" t="str">
        <f>(COUNTIF($K$2:K1769,K1769))&amp;K1769</f>
        <v>1</v>
      </c>
      <c r="B1769" s="52"/>
      <c r="C1769" s="60"/>
      <c r="E1769" s="61"/>
      <c r="F1769" s="62"/>
      <c r="G1769" s="63"/>
      <c r="H1769" s="64"/>
      <c r="I1769" s="64"/>
      <c r="J1769" s="64"/>
      <c r="K1769" s="65"/>
      <c r="L1769" s="64"/>
      <c r="M1769" s="64"/>
      <c r="N1769" s="64"/>
      <c r="P1769" s="63"/>
      <c r="Q1769" s="61"/>
      <c r="R1769" s="64"/>
      <c r="S1769" s="64"/>
    </row>
    <row r="1770" spans="1:19" x14ac:dyDescent="0.25">
      <c r="A1770" s="51" t="str">
        <f>(COUNTIF($K$2:K1770,K1770))&amp;K1770</f>
        <v>1</v>
      </c>
      <c r="B1770" s="52"/>
      <c r="C1770" s="53"/>
      <c r="D1770" s="54"/>
      <c r="E1770" s="55"/>
      <c r="F1770" s="55"/>
      <c r="G1770" s="55"/>
      <c r="H1770" s="55"/>
      <c r="I1770" s="55"/>
      <c r="J1770" s="55"/>
      <c r="K1770" s="56"/>
      <c r="L1770" s="55"/>
      <c r="M1770" s="55"/>
      <c r="N1770" s="55"/>
      <c r="O1770" s="55"/>
      <c r="P1770" s="55"/>
      <c r="Q1770" s="55"/>
      <c r="R1770" s="57"/>
      <c r="S1770" s="58"/>
    </row>
    <row r="1771" spans="1:19" x14ac:dyDescent="0.25">
      <c r="A1771" s="51" t="str">
        <f>(COUNTIF($K$2:K1771,K1771))&amp;K1771</f>
        <v>1</v>
      </c>
      <c r="B1771" s="52"/>
      <c r="C1771" s="53"/>
      <c r="D1771" s="54"/>
      <c r="E1771" s="55"/>
      <c r="F1771" s="55"/>
      <c r="G1771" s="55"/>
      <c r="H1771" s="55"/>
      <c r="I1771" s="55"/>
      <c r="J1771" s="55"/>
      <c r="K1771" s="56"/>
      <c r="L1771" s="55"/>
      <c r="M1771" s="55"/>
      <c r="N1771" s="55"/>
      <c r="O1771" s="55"/>
      <c r="P1771" s="55"/>
      <c r="Q1771" s="55"/>
      <c r="R1771" s="57"/>
      <c r="S1771" s="58"/>
    </row>
    <row r="1772" spans="1:19" x14ac:dyDescent="0.25">
      <c r="A1772" s="51" t="str">
        <f>(COUNTIF($K$2:K1772,K1772))&amp;K1772</f>
        <v>1</v>
      </c>
      <c r="B1772" s="52"/>
      <c r="C1772" s="53"/>
      <c r="D1772" s="54"/>
      <c r="E1772" s="55"/>
      <c r="F1772" s="55"/>
      <c r="G1772" s="55"/>
      <c r="H1772" s="55"/>
      <c r="I1772" s="55"/>
      <c r="J1772" s="55"/>
      <c r="K1772" s="56"/>
      <c r="L1772" s="55"/>
      <c r="M1772" s="55"/>
      <c r="N1772" s="55"/>
      <c r="O1772" s="55"/>
      <c r="P1772" s="55"/>
      <c r="Q1772" s="55"/>
      <c r="R1772" s="57"/>
      <c r="S1772" s="58"/>
    </row>
    <row r="1773" spans="1:19" x14ac:dyDescent="0.25">
      <c r="A1773" s="51" t="str">
        <f>(COUNTIF($K$2:K1773,K1773))&amp;K1773</f>
        <v>1</v>
      </c>
      <c r="B1773" s="52"/>
      <c r="C1773" s="53"/>
      <c r="D1773" s="54"/>
      <c r="E1773" s="55"/>
      <c r="F1773" s="55"/>
      <c r="G1773" s="55"/>
      <c r="H1773" s="55"/>
      <c r="I1773" s="55"/>
      <c r="J1773" s="55"/>
      <c r="K1773" s="56"/>
      <c r="L1773" s="55"/>
      <c r="M1773" s="55"/>
      <c r="N1773" s="55"/>
      <c r="O1773" s="55"/>
      <c r="P1773" s="55"/>
      <c r="Q1773" s="55"/>
      <c r="R1773" s="57"/>
      <c r="S1773" s="58"/>
    </row>
    <row r="1774" spans="1:19" x14ac:dyDescent="0.25">
      <c r="A1774" s="51" t="str">
        <f>(COUNTIF($K$2:K1774,K1774))&amp;K1774</f>
        <v>1</v>
      </c>
      <c r="B1774" s="52"/>
      <c r="C1774" s="53"/>
      <c r="D1774" s="54"/>
      <c r="E1774" s="55"/>
      <c r="F1774" s="55"/>
      <c r="G1774" s="55"/>
      <c r="H1774" s="55"/>
      <c r="I1774" s="55"/>
      <c r="J1774" s="55"/>
      <c r="K1774" s="56"/>
      <c r="L1774" s="55"/>
      <c r="M1774" s="55"/>
      <c r="N1774" s="55"/>
      <c r="O1774" s="55"/>
      <c r="P1774" s="55"/>
      <c r="Q1774" s="55"/>
      <c r="R1774" s="57"/>
      <c r="S1774" s="58"/>
    </row>
    <row r="1775" spans="1:19" x14ac:dyDescent="0.25">
      <c r="A1775" s="51" t="str">
        <f>(COUNTIF($K$2:K1775,K1775))&amp;K1775</f>
        <v>1</v>
      </c>
      <c r="B1775" s="52"/>
      <c r="C1775" s="53"/>
      <c r="D1775" s="54"/>
      <c r="E1775" s="55"/>
      <c r="F1775" s="55"/>
      <c r="G1775" s="55"/>
      <c r="H1775" s="55"/>
      <c r="I1775" s="55"/>
      <c r="J1775" s="55"/>
      <c r="K1775" s="56"/>
      <c r="L1775" s="55"/>
      <c r="M1775" s="55"/>
      <c r="N1775" s="55"/>
      <c r="O1775" s="55"/>
      <c r="P1775" s="55"/>
      <c r="Q1775" s="55"/>
      <c r="R1775" s="57"/>
      <c r="S1775" s="58"/>
    </row>
    <row r="1776" spans="1:19" x14ac:dyDescent="0.25">
      <c r="A1776" s="51" t="str">
        <f>(COUNTIF($K$2:K1776,K1776))&amp;K1776</f>
        <v>1</v>
      </c>
      <c r="B1776" s="52"/>
      <c r="C1776" s="53"/>
      <c r="D1776" s="54"/>
      <c r="E1776" s="55"/>
      <c r="F1776" s="55"/>
      <c r="G1776" s="55"/>
      <c r="H1776" s="55"/>
      <c r="I1776" s="55"/>
      <c r="J1776" s="55"/>
      <c r="K1776" s="56"/>
      <c r="L1776" s="55"/>
      <c r="M1776" s="55"/>
      <c r="N1776" s="55"/>
      <c r="O1776" s="55"/>
      <c r="P1776" s="55"/>
      <c r="Q1776" s="55"/>
      <c r="R1776" s="57"/>
      <c r="S1776" s="58"/>
    </row>
    <row r="1777" spans="1:19" x14ac:dyDescent="0.25">
      <c r="A1777" s="51" t="str">
        <f>(COUNTIF($K$2:K1777,K1777))&amp;K1777</f>
        <v>1</v>
      </c>
      <c r="B1777" s="52"/>
      <c r="C1777" s="53"/>
      <c r="D1777" s="54"/>
      <c r="E1777" s="55"/>
      <c r="F1777" s="55"/>
      <c r="G1777" s="55"/>
      <c r="H1777" s="55"/>
      <c r="I1777" s="55"/>
      <c r="J1777" s="55"/>
      <c r="K1777" s="56"/>
      <c r="L1777" s="55"/>
      <c r="M1777" s="55"/>
      <c r="N1777" s="55"/>
      <c r="O1777" s="55"/>
      <c r="P1777" s="55"/>
      <c r="Q1777" s="55"/>
      <c r="R1777" s="57"/>
      <c r="S1777" s="58"/>
    </row>
    <row r="1778" spans="1:19" ht="15.75" x14ac:dyDescent="0.25">
      <c r="A1778" s="51" t="str">
        <f>(COUNTIF($K$2:K1778,K1778))&amp;K1778</f>
        <v>1</v>
      </c>
      <c r="B1778" s="52"/>
      <c r="C1778" s="53"/>
      <c r="D1778" s="54"/>
      <c r="E1778" s="55"/>
      <c r="F1778" s="55"/>
      <c r="G1778" s="55"/>
      <c r="H1778" s="55"/>
      <c r="I1778" s="55"/>
      <c r="J1778" s="55"/>
      <c r="K1778" s="59"/>
      <c r="L1778" s="55"/>
      <c r="M1778" s="55"/>
      <c r="N1778" s="55"/>
      <c r="O1778" s="55"/>
      <c r="P1778" s="55"/>
      <c r="Q1778" s="55"/>
      <c r="R1778" s="57"/>
      <c r="S1778" s="58"/>
    </row>
    <row r="1779" spans="1:19" x14ac:dyDescent="0.25">
      <c r="A1779" s="51" t="str">
        <f>(COUNTIF($K$2:K1779,K1779))&amp;K1779</f>
        <v>1</v>
      </c>
      <c r="B1779" s="52"/>
      <c r="C1779" s="53"/>
      <c r="D1779" s="54"/>
      <c r="E1779" s="55"/>
      <c r="F1779" s="55"/>
      <c r="G1779" s="55"/>
      <c r="H1779" s="55"/>
      <c r="I1779" s="55"/>
      <c r="J1779" s="55"/>
      <c r="K1779" s="56"/>
      <c r="L1779" s="55"/>
      <c r="M1779" s="55"/>
      <c r="N1779" s="55"/>
      <c r="O1779" s="55"/>
      <c r="P1779" s="55"/>
      <c r="Q1779" s="55"/>
      <c r="R1779" s="57"/>
      <c r="S1779" s="58"/>
    </row>
    <row r="1780" spans="1:19" x14ac:dyDescent="0.25">
      <c r="A1780" s="51" t="str">
        <f>(COUNTIF($K$2:K1780,K1780))&amp;K1780</f>
        <v>1</v>
      </c>
      <c r="B1780" s="52"/>
      <c r="C1780" s="53"/>
      <c r="D1780" s="54"/>
      <c r="E1780" s="55"/>
      <c r="F1780" s="55"/>
      <c r="G1780" s="55"/>
      <c r="H1780" s="55"/>
      <c r="I1780" s="55"/>
      <c r="J1780" s="55"/>
      <c r="K1780" s="56"/>
      <c r="L1780" s="55"/>
      <c r="M1780" s="55"/>
      <c r="N1780" s="55"/>
      <c r="O1780" s="55"/>
      <c r="P1780" s="55"/>
      <c r="Q1780" s="55"/>
      <c r="R1780" s="57"/>
      <c r="S1780" s="58"/>
    </row>
    <row r="1781" spans="1:19" x14ac:dyDescent="0.25">
      <c r="A1781" s="51" t="str">
        <f>(COUNTIF($K$2:K1781,K1781))&amp;K1781</f>
        <v>1</v>
      </c>
      <c r="B1781" s="52"/>
      <c r="C1781" s="53"/>
      <c r="D1781" s="54"/>
      <c r="E1781" s="55"/>
      <c r="F1781" s="55"/>
      <c r="G1781" s="55"/>
      <c r="H1781" s="55"/>
      <c r="I1781" s="55"/>
      <c r="J1781" s="55"/>
      <c r="K1781" s="56"/>
      <c r="L1781" s="55"/>
      <c r="M1781" s="55"/>
      <c r="N1781" s="55"/>
      <c r="O1781" s="55"/>
      <c r="P1781" s="55"/>
      <c r="Q1781" s="55"/>
      <c r="R1781" s="57"/>
      <c r="S1781" s="58"/>
    </row>
    <row r="1782" spans="1:19" x14ac:dyDescent="0.25">
      <c r="A1782" s="51" t="str">
        <f>(COUNTIF($K$2:K1782,K1782))&amp;K1782</f>
        <v>1</v>
      </c>
      <c r="B1782" s="52"/>
      <c r="C1782" s="53"/>
      <c r="D1782" s="54"/>
      <c r="E1782" s="55"/>
      <c r="F1782" s="55"/>
      <c r="G1782" s="55"/>
      <c r="H1782" s="55"/>
      <c r="I1782" s="55"/>
      <c r="J1782" s="55"/>
      <c r="K1782" s="56"/>
      <c r="L1782" s="55"/>
      <c r="M1782" s="55"/>
      <c r="N1782" s="55"/>
      <c r="O1782" s="55"/>
      <c r="P1782" s="55"/>
      <c r="Q1782" s="55"/>
      <c r="R1782" s="57"/>
      <c r="S1782" s="58"/>
    </row>
    <row r="1783" spans="1:19" x14ac:dyDescent="0.25">
      <c r="A1783" s="51" t="str">
        <f>(COUNTIF($K$2:K1783,K1783))&amp;K1783</f>
        <v>1</v>
      </c>
      <c r="B1783" s="52"/>
      <c r="C1783" s="53"/>
      <c r="D1783" s="54"/>
      <c r="E1783" s="55"/>
      <c r="F1783" s="55"/>
      <c r="G1783" s="55"/>
      <c r="H1783" s="55"/>
      <c r="I1783" s="55"/>
      <c r="J1783" s="55"/>
      <c r="K1783" s="56"/>
      <c r="L1783" s="55"/>
      <c r="M1783" s="55"/>
      <c r="N1783" s="55"/>
      <c r="O1783" s="55"/>
      <c r="P1783" s="55"/>
      <c r="Q1783" s="55"/>
      <c r="R1783" s="57"/>
      <c r="S1783" s="58"/>
    </row>
    <row r="1784" spans="1:19" x14ac:dyDescent="0.25">
      <c r="A1784" s="51" t="str">
        <f>(COUNTIF($K$2:K1784,K1784))&amp;K1784</f>
        <v>1</v>
      </c>
      <c r="B1784" s="52"/>
      <c r="C1784" s="53"/>
      <c r="D1784" s="54"/>
      <c r="E1784" s="55"/>
      <c r="F1784" s="55"/>
      <c r="G1784" s="55"/>
      <c r="H1784" s="55"/>
      <c r="I1784" s="55"/>
      <c r="J1784" s="55"/>
      <c r="K1784" s="56"/>
      <c r="L1784" s="55"/>
      <c r="M1784" s="55"/>
      <c r="N1784" s="55"/>
      <c r="O1784" s="55"/>
      <c r="P1784" s="55"/>
      <c r="Q1784" s="55"/>
      <c r="R1784" s="57"/>
      <c r="S1784" s="58"/>
    </row>
    <row r="1785" spans="1:19" x14ac:dyDescent="0.25">
      <c r="A1785" s="51" t="str">
        <f>(COUNTIF($K$2:K1785,K1785))&amp;K1785</f>
        <v>1</v>
      </c>
      <c r="B1785" s="52"/>
      <c r="C1785" s="53"/>
      <c r="D1785" s="54"/>
      <c r="E1785" s="55"/>
      <c r="F1785" s="55"/>
      <c r="G1785" s="55"/>
      <c r="H1785" s="55"/>
      <c r="I1785" s="55"/>
      <c r="J1785" s="55"/>
      <c r="K1785" s="56"/>
      <c r="L1785" s="55"/>
      <c r="M1785" s="55"/>
      <c r="N1785" s="55"/>
      <c r="O1785" s="55"/>
      <c r="P1785" s="55"/>
      <c r="Q1785" s="55"/>
      <c r="R1785" s="57"/>
      <c r="S1785" s="58"/>
    </row>
    <row r="1786" spans="1:19" x14ac:dyDescent="0.25">
      <c r="A1786" s="51" t="str">
        <f>(COUNTIF($K$2:K1786,K1786))&amp;K1786</f>
        <v>1</v>
      </c>
      <c r="B1786" s="52"/>
      <c r="C1786" s="60"/>
      <c r="E1786" s="61"/>
      <c r="F1786" s="62"/>
      <c r="G1786" s="63"/>
      <c r="H1786" s="64"/>
      <c r="I1786" s="64"/>
      <c r="J1786" s="64"/>
      <c r="K1786" s="65"/>
      <c r="L1786" s="64"/>
      <c r="M1786" s="64"/>
      <c r="N1786" s="64"/>
      <c r="P1786" s="63"/>
      <c r="Q1786" s="61"/>
      <c r="R1786" s="64"/>
      <c r="S1786" s="64"/>
    </row>
    <row r="1787" spans="1:19" x14ac:dyDescent="0.25">
      <c r="A1787" s="51" t="str">
        <f>(COUNTIF($K$2:K1787,K1787))&amp;K1787</f>
        <v>1</v>
      </c>
      <c r="B1787" s="52"/>
      <c r="C1787" s="53"/>
      <c r="D1787" s="54"/>
      <c r="E1787" s="55"/>
      <c r="F1787" s="55"/>
      <c r="G1787" s="55"/>
      <c r="H1787" s="55"/>
      <c r="I1787" s="55"/>
      <c r="J1787" s="55"/>
      <c r="K1787" s="56"/>
      <c r="L1787" s="55"/>
      <c r="M1787" s="55"/>
      <c r="N1787" s="55"/>
      <c r="O1787" s="55"/>
      <c r="P1787" s="55"/>
      <c r="Q1787" s="55"/>
      <c r="R1787" s="57"/>
      <c r="S1787" s="58"/>
    </row>
    <row r="1788" spans="1:19" x14ac:dyDescent="0.25">
      <c r="A1788" s="51" t="str">
        <f>(COUNTIF($K$2:K1788,K1788))&amp;K1788</f>
        <v>1</v>
      </c>
      <c r="B1788" s="52"/>
      <c r="C1788" s="53"/>
      <c r="D1788" s="54"/>
      <c r="E1788" s="55"/>
      <c r="F1788" s="55"/>
      <c r="G1788" s="55"/>
      <c r="H1788" s="55"/>
      <c r="I1788" s="55"/>
      <c r="J1788" s="55"/>
      <c r="K1788" s="56"/>
      <c r="L1788" s="55"/>
      <c r="M1788" s="55"/>
      <c r="N1788" s="55"/>
      <c r="O1788" s="55"/>
      <c r="P1788" s="55"/>
      <c r="Q1788" s="55"/>
      <c r="R1788" s="57"/>
      <c r="S1788" s="58"/>
    </row>
    <row r="1789" spans="1:19" x14ac:dyDescent="0.25">
      <c r="A1789" s="51" t="str">
        <f>(COUNTIF($K$2:K1789,K1789))&amp;K1789</f>
        <v>1</v>
      </c>
      <c r="B1789" s="52"/>
      <c r="C1789" s="53"/>
      <c r="D1789" s="54"/>
      <c r="E1789" s="55"/>
      <c r="F1789" s="55"/>
      <c r="G1789" s="55"/>
      <c r="H1789" s="55"/>
      <c r="I1789" s="55"/>
      <c r="J1789" s="55"/>
      <c r="K1789" s="56"/>
      <c r="L1789" s="55"/>
      <c r="M1789" s="55"/>
      <c r="N1789" s="55"/>
      <c r="O1789" s="55"/>
      <c r="P1789" s="55"/>
      <c r="Q1789" s="55"/>
      <c r="R1789" s="57"/>
      <c r="S1789" s="58"/>
    </row>
    <row r="1790" spans="1:19" x14ac:dyDescent="0.25">
      <c r="A1790" s="51" t="str">
        <f>(COUNTIF($K$2:K1790,K1790))&amp;K1790</f>
        <v>1</v>
      </c>
      <c r="B1790" s="52"/>
      <c r="C1790" s="53"/>
      <c r="D1790" s="54"/>
      <c r="E1790" s="55"/>
      <c r="F1790" s="55"/>
      <c r="G1790" s="55"/>
      <c r="H1790" s="55"/>
      <c r="I1790" s="55"/>
      <c r="J1790" s="55"/>
      <c r="K1790" s="56"/>
      <c r="L1790" s="55"/>
      <c r="M1790" s="55"/>
      <c r="N1790" s="55"/>
      <c r="O1790" s="55"/>
      <c r="P1790" s="55"/>
      <c r="Q1790" s="55"/>
      <c r="R1790" s="57"/>
      <c r="S1790" s="58"/>
    </row>
    <row r="1791" spans="1:19" x14ac:dyDescent="0.25">
      <c r="A1791" s="51" t="str">
        <f>(COUNTIF($K$2:K1791,K1791))&amp;K1791</f>
        <v>1</v>
      </c>
      <c r="B1791" s="52"/>
      <c r="C1791" s="53"/>
      <c r="D1791" s="54"/>
      <c r="E1791" s="55"/>
      <c r="F1791" s="55"/>
      <c r="G1791" s="55"/>
      <c r="H1791" s="55"/>
      <c r="I1791" s="55"/>
      <c r="J1791" s="55"/>
      <c r="K1791" s="56"/>
      <c r="L1791" s="55"/>
      <c r="M1791" s="55"/>
      <c r="N1791" s="55"/>
      <c r="O1791" s="55"/>
      <c r="P1791" s="55"/>
      <c r="Q1791" s="55"/>
      <c r="R1791" s="57"/>
      <c r="S1791" s="58"/>
    </row>
    <row r="1792" spans="1:19" x14ac:dyDescent="0.25">
      <c r="A1792" s="51" t="str">
        <f>(COUNTIF($K$2:K1792,K1792))&amp;K1792</f>
        <v>1</v>
      </c>
      <c r="B1792" s="52"/>
      <c r="C1792" s="53"/>
      <c r="D1792" s="54"/>
      <c r="E1792" s="55"/>
      <c r="F1792" s="55"/>
      <c r="G1792" s="55"/>
      <c r="H1792" s="55"/>
      <c r="I1792" s="55"/>
      <c r="J1792" s="55"/>
      <c r="K1792" s="56"/>
      <c r="L1792" s="55"/>
      <c r="M1792" s="55"/>
      <c r="N1792" s="55"/>
      <c r="O1792" s="55"/>
      <c r="P1792" s="55"/>
      <c r="Q1792" s="55"/>
      <c r="R1792" s="57"/>
      <c r="S1792" s="58"/>
    </row>
    <row r="1793" spans="1:19" x14ac:dyDescent="0.25">
      <c r="A1793" s="51" t="str">
        <f>(COUNTIF($K$2:K1793,K1793))&amp;K1793</f>
        <v>1</v>
      </c>
      <c r="B1793" s="52"/>
      <c r="C1793" s="53"/>
      <c r="D1793" s="54"/>
      <c r="E1793" s="55"/>
      <c r="F1793" s="55"/>
      <c r="G1793" s="55"/>
      <c r="H1793" s="55"/>
      <c r="I1793" s="55"/>
      <c r="J1793" s="55"/>
      <c r="K1793" s="56"/>
      <c r="L1793" s="55"/>
      <c r="M1793" s="55"/>
      <c r="N1793" s="55"/>
      <c r="O1793" s="55"/>
      <c r="P1793" s="55"/>
      <c r="Q1793" s="55"/>
      <c r="R1793" s="57"/>
      <c r="S1793" s="58"/>
    </row>
    <row r="1794" spans="1:19" x14ac:dyDescent="0.25">
      <c r="A1794" s="51" t="str">
        <f>(COUNTIF($K$2:K1794,K1794))&amp;K1794</f>
        <v>1</v>
      </c>
      <c r="B1794" s="52"/>
      <c r="C1794" s="53"/>
      <c r="D1794" s="54"/>
      <c r="E1794" s="55"/>
      <c r="F1794" s="55"/>
      <c r="G1794" s="55"/>
      <c r="H1794" s="55"/>
      <c r="I1794" s="55"/>
      <c r="J1794" s="55"/>
      <c r="K1794" s="56"/>
      <c r="L1794" s="55"/>
      <c r="M1794" s="55"/>
      <c r="N1794" s="55"/>
      <c r="O1794" s="55"/>
      <c r="P1794" s="55"/>
      <c r="Q1794" s="55"/>
      <c r="R1794" s="57"/>
      <c r="S1794" s="58"/>
    </row>
    <row r="1795" spans="1:19" ht="15.75" x14ac:dyDescent="0.25">
      <c r="A1795" s="51" t="str">
        <f>(COUNTIF($K$2:K1795,K1795))&amp;K1795</f>
        <v>1</v>
      </c>
      <c r="B1795" s="52"/>
      <c r="C1795" s="53"/>
      <c r="D1795" s="54"/>
      <c r="E1795" s="55"/>
      <c r="F1795" s="55"/>
      <c r="G1795" s="55"/>
      <c r="H1795" s="55"/>
      <c r="I1795" s="55"/>
      <c r="J1795" s="55"/>
      <c r="K1795" s="59"/>
      <c r="L1795" s="55"/>
      <c r="M1795" s="55"/>
      <c r="N1795" s="55"/>
      <c r="O1795" s="55"/>
      <c r="P1795" s="55"/>
      <c r="Q1795" s="55"/>
      <c r="R1795" s="57"/>
      <c r="S1795" s="58"/>
    </row>
    <row r="1796" spans="1:19" x14ac:dyDescent="0.25">
      <c r="A1796" s="51" t="str">
        <f>(COUNTIF($K$2:K1796,K1796))&amp;K1796</f>
        <v>1</v>
      </c>
      <c r="B1796" s="52"/>
      <c r="C1796" s="53"/>
      <c r="D1796" s="54"/>
      <c r="E1796" s="55"/>
      <c r="F1796" s="55"/>
      <c r="G1796" s="55"/>
      <c r="H1796" s="55"/>
      <c r="I1796" s="55"/>
      <c r="J1796" s="55"/>
      <c r="K1796" s="56"/>
      <c r="L1796" s="55"/>
      <c r="M1796" s="55"/>
      <c r="N1796" s="55"/>
      <c r="O1796" s="55"/>
      <c r="P1796" s="55"/>
      <c r="Q1796" s="55"/>
      <c r="R1796" s="57"/>
      <c r="S1796" s="58"/>
    </row>
    <row r="1797" spans="1:19" x14ac:dyDescent="0.25">
      <c r="A1797" s="51" t="str">
        <f>(COUNTIF($K$2:K1797,K1797))&amp;K1797</f>
        <v>1</v>
      </c>
      <c r="B1797" s="52"/>
      <c r="C1797" s="53"/>
      <c r="D1797" s="54"/>
      <c r="E1797" s="55"/>
      <c r="F1797" s="55"/>
      <c r="G1797" s="55"/>
      <c r="H1797" s="55"/>
      <c r="I1797" s="55"/>
      <c r="J1797" s="55"/>
      <c r="K1797" s="56"/>
      <c r="L1797" s="55"/>
      <c r="M1797" s="55"/>
      <c r="N1797" s="55"/>
      <c r="O1797" s="55"/>
      <c r="P1797" s="55"/>
      <c r="Q1797" s="55"/>
      <c r="R1797" s="57"/>
      <c r="S1797" s="58"/>
    </row>
    <row r="1798" spans="1:19" x14ac:dyDescent="0.25">
      <c r="A1798" s="51" t="str">
        <f>(COUNTIF($K$2:K1798,K1798))&amp;K1798</f>
        <v>1</v>
      </c>
      <c r="B1798" s="52"/>
      <c r="C1798" s="53"/>
      <c r="D1798" s="54"/>
      <c r="E1798" s="55"/>
      <c r="F1798" s="55"/>
      <c r="G1798" s="55"/>
      <c r="H1798" s="55"/>
      <c r="I1798" s="55"/>
      <c r="J1798" s="55"/>
      <c r="K1798" s="56"/>
      <c r="L1798" s="55"/>
      <c r="M1798" s="55"/>
      <c r="N1798" s="55"/>
      <c r="O1798" s="55"/>
      <c r="P1798" s="55"/>
      <c r="Q1798" s="55"/>
      <c r="R1798" s="57"/>
      <c r="S1798" s="58"/>
    </row>
    <row r="1799" spans="1:19" x14ac:dyDescent="0.25">
      <c r="A1799" s="51" t="str">
        <f>(COUNTIF($K$2:K1799,K1799))&amp;K1799</f>
        <v>1</v>
      </c>
      <c r="B1799" s="52"/>
      <c r="C1799" s="53"/>
      <c r="D1799" s="54"/>
      <c r="E1799" s="55"/>
      <c r="F1799" s="55"/>
      <c r="G1799" s="55"/>
      <c r="H1799" s="55"/>
      <c r="I1799" s="55"/>
      <c r="J1799" s="55"/>
      <c r="K1799" s="56"/>
      <c r="L1799" s="55"/>
      <c r="M1799" s="55"/>
      <c r="N1799" s="55"/>
      <c r="O1799" s="55"/>
      <c r="P1799" s="55"/>
      <c r="Q1799" s="55"/>
      <c r="R1799" s="57"/>
      <c r="S1799" s="58"/>
    </row>
    <row r="1800" spans="1:19" x14ac:dyDescent="0.25">
      <c r="A1800" s="51" t="str">
        <f>(COUNTIF($K$2:K1800,K1800))&amp;K1800</f>
        <v>1</v>
      </c>
      <c r="B1800" s="52"/>
      <c r="C1800" s="53"/>
      <c r="D1800" s="54"/>
      <c r="E1800" s="55"/>
      <c r="F1800" s="55"/>
      <c r="G1800" s="55"/>
      <c r="H1800" s="55"/>
      <c r="I1800" s="55"/>
      <c r="J1800" s="55"/>
      <c r="K1800" s="56"/>
      <c r="L1800" s="55"/>
      <c r="M1800" s="55"/>
      <c r="N1800" s="55"/>
      <c r="O1800" s="55"/>
      <c r="P1800" s="55"/>
      <c r="Q1800" s="55"/>
      <c r="R1800" s="57"/>
      <c r="S1800" s="58"/>
    </row>
    <row r="1801" spans="1:19" x14ac:dyDescent="0.25">
      <c r="A1801" s="51" t="str">
        <f>(COUNTIF($K$2:K1801,K1801))&amp;K1801</f>
        <v>1</v>
      </c>
      <c r="B1801" s="52"/>
      <c r="C1801" s="53"/>
      <c r="D1801" s="54"/>
      <c r="E1801" s="55"/>
      <c r="F1801" s="55"/>
      <c r="G1801" s="55"/>
      <c r="H1801" s="55"/>
      <c r="I1801" s="55"/>
      <c r="J1801" s="55"/>
      <c r="K1801" s="56"/>
      <c r="L1801" s="55"/>
      <c r="M1801" s="55"/>
      <c r="N1801" s="55"/>
      <c r="O1801" s="55"/>
      <c r="P1801" s="55"/>
      <c r="Q1801" s="55"/>
      <c r="R1801" s="57"/>
      <c r="S1801" s="58"/>
    </row>
    <row r="1802" spans="1:19" x14ac:dyDescent="0.25">
      <c r="A1802" s="51" t="str">
        <f>(COUNTIF($K$2:K1802,K1802))&amp;K1802</f>
        <v>1</v>
      </c>
      <c r="B1802" s="52"/>
      <c r="C1802" s="53"/>
      <c r="D1802" s="54"/>
      <c r="E1802" s="55"/>
      <c r="F1802" s="55"/>
      <c r="G1802" s="55"/>
      <c r="H1802" s="55"/>
      <c r="I1802" s="55"/>
      <c r="J1802" s="55"/>
      <c r="K1802" s="56"/>
      <c r="L1802" s="55"/>
      <c r="M1802" s="55"/>
      <c r="N1802" s="55"/>
      <c r="O1802" s="55"/>
      <c r="P1802" s="55"/>
      <c r="Q1802" s="55"/>
      <c r="R1802" s="57"/>
      <c r="S1802" s="58"/>
    </row>
    <row r="1803" spans="1:19" x14ac:dyDescent="0.25">
      <c r="A1803" s="51" t="str">
        <f>(COUNTIF($K$2:K1803,K1803))&amp;K1803</f>
        <v>1</v>
      </c>
      <c r="B1803" s="52"/>
      <c r="C1803" s="60"/>
      <c r="E1803" s="61"/>
      <c r="F1803" s="62"/>
      <c r="G1803" s="63"/>
      <c r="H1803" s="64"/>
      <c r="I1803" s="64"/>
      <c r="J1803" s="64"/>
      <c r="K1803" s="65"/>
      <c r="L1803" s="64"/>
      <c r="M1803" s="64"/>
      <c r="N1803" s="64"/>
      <c r="P1803" s="63"/>
      <c r="Q1803" s="61"/>
      <c r="R1803" s="64"/>
      <c r="S1803" s="64"/>
    </row>
    <row r="1804" spans="1:19" x14ac:dyDescent="0.25">
      <c r="A1804" s="51" t="str">
        <f>(COUNTIF($K$2:K1804,K1804))&amp;K1804</f>
        <v>1</v>
      </c>
      <c r="B1804" s="52"/>
      <c r="C1804" s="53"/>
      <c r="D1804" s="54"/>
      <c r="E1804" s="55"/>
      <c r="F1804" s="55"/>
      <c r="G1804" s="55"/>
      <c r="H1804" s="55"/>
      <c r="I1804" s="55"/>
      <c r="J1804" s="55"/>
      <c r="K1804" s="56"/>
      <c r="L1804" s="55"/>
      <c r="M1804" s="55"/>
      <c r="N1804" s="55"/>
      <c r="O1804" s="55"/>
      <c r="P1804" s="55"/>
      <c r="Q1804" s="55"/>
      <c r="R1804" s="57"/>
      <c r="S1804" s="58"/>
    </row>
    <row r="1805" spans="1:19" x14ac:dyDescent="0.25">
      <c r="A1805" s="51" t="str">
        <f>(COUNTIF($K$2:K1805,K1805))&amp;K1805</f>
        <v>1</v>
      </c>
      <c r="B1805" s="52"/>
      <c r="C1805" s="53"/>
      <c r="D1805" s="54"/>
      <c r="E1805" s="55"/>
      <c r="F1805" s="55"/>
      <c r="G1805" s="55"/>
      <c r="H1805" s="55"/>
      <c r="I1805" s="55"/>
      <c r="J1805" s="55"/>
      <c r="K1805" s="56"/>
      <c r="L1805" s="55"/>
      <c r="M1805" s="55"/>
      <c r="N1805" s="55"/>
      <c r="O1805" s="55"/>
      <c r="P1805" s="55"/>
      <c r="Q1805" s="55"/>
      <c r="R1805" s="57"/>
      <c r="S1805" s="58"/>
    </row>
    <row r="1806" spans="1:19" x14ac:dyDescent="0.25">
      <c r="A1806" s="51" t="str">
        <f>(COUNTIF($K$2:K1806,K1806))&amp;K1806</f>
        <v>1</v>
      </c>
      <c r="B1806" s="52"/>
      <c r="C1806" s="53"/>
      <c r="D1806" s="54"/>
      <c r="E1806" s="55"/>
      <c r="F1806" s="55"/>
      <c r="G1806" s="55"/>
      <c r="H1806" s="55"/>
      <c r="I1806" s="55"/>
      <c r="J1806" s="55"/>
      <c r="K1806" s="56"/>
      <c r="L1806" s="55"/>
      <c r="M1806" s="55"/>
      <c r="N1806" s="55"/>
      <c r="O1806" s="55"/>
      <c r="P1806" s="55"/>
      <c r="Q1806" s="55"/>
      <c r="R1806" s="57"/>
      <c r="S1806" s="58"/>
    </row>
    <row r="1807" spans="1:19" x14ac:dyDescent="0.25">
      <c r="A1807" s="51" t="str">
        <f>(COUNTIF($K$2:K1807,K1807))&amp;K1807</f>
        <v>1</v>
      </c>
      <c r="B1807" s="52"/>
      <c r="C1807" s="53"/>
      <c r="D1807" s="54"/>
      <c r="E1807" s="55"/>
      <c r="F1807" s="55"/>
      <c r="G1807" s="55"/>
      <c r="H1807" s="55"/>
      <c r="I1807" s="55"/>
      <c r="J1807" s="55"/>
      <c r="K1807" s="56"/>
      <c r="L1807" s="55"/>
      <c r="M1807" s="55"/>
      <c r="N1807" s="55"/>
      <c r="O1807" s="55"/>
      <c r="P1807" s="55"/>
      <c r="Q1807" s="55"/>
      <c r="R1807" s="57"/>
      <c r="S1807" s="58"/>
    </row>
    <row r="1808" spans="1:19" x14ac:dyDescent="0.25">
      <c r="A1808" s="51" t="str">
        <f>(COUNTIF($K$2:K1808,K1808))&amp;K1808</f>
        <v>1</v>
      </c>
      <c r="B1808" s="52"/>
      <c r="C1808" s="53"/>
      <c r="D1808" s="54"/>
      <c r="E1808" s="55"/>
      <c r="F1808" s="55"/>
      <c r="G1808" s="55"/>
      <c r="H1808" s="55"/>
      <c r="I1808" s="55"/>
      <c r="J1808" s="55"/>
      <c r="K1808" s="56"/>
      <c r="L1808" s="55"/>
      <c r="M1808" s="55"/>
      <c r="N1808" s="55"/>
      <c r="O1808" s="55"/>
      <c r="P1808" s="55"/>
      <c r="Q1808" s="55"/>
      <c r="R1808" s="57"/>
      <c r="S1808" s="58"/>
    </row>
    <row r="1809" spans="1:19" x14ac:dyDescent="0.25">
      <c r="A1809" s="51" t="str">
        <f>(COUNTIF($K$2:K1809,K1809))&amp;K1809</f>
        <v>1</v>
      </c>
      <c r="B1809" s="52"/>
      <c r="C1809" s="53"/>
      <c r="D1809" s="54"/>
      <c r="E1809" s="55"/>
      <c r="F1809" s="55"/>
      <c r="G1809" s="55"/>
      <c r="H1809" s="55"/>
      <c r="I1809" s="55"/>
      <c r="J1809" s="55"/>
      <c r="K1809" s="56"/>
      <c r="L1809" s="55"/>
      <c r="M1809" s="55"/>
      <c r="N1809" s="55"/>
      <c r="O1809" s="55"/>
      <c r="P1809" s="55"/>
      <c r="Q1809" s="55"/>
      <c r="R1809" s="57"/>
      <c r="S1809" s="58"/>
    </row>
    <row r="1810" spans="1:19" x14ac:dyDescent="0.25">
      <c r="A1810" s="51" t="str">
        <f>(COUNTIF($K$2:K1810,K1810))&amp;K1810</f>
        <v>1</v>
      </c>
      <c r="B1810" s="52"/>
      <c r="C1810" s="53"/>
      <c r="D1810" s="54"/>
      <c r="E1810" s="55"/>
      <c r="F1810" s="55"/>
      <c r="G1810" s="55"/>
      <c r="H1810" s="55"/>
      <c r="I1810" s="55"/>
      <c r="J1810" s="55"/>
      <c r="K1810" s="56"/>
      <c r="L1810" s="55"/>
      <c r="M1810" s="55"/>
      <c r="N1810" s="55"/>
      <c r="O1810" s="55"/>
      <c r="P1810" s="55"/>
      <c r="Q1810" s="55"/>
      <c r="R1810" s="57"/>
      <c r="S1810" s="58"/>
    </row>
    <row r="1811" spans="1:19" x14ac:dyDescent="0.25">
      <c r="A1811" s="51" t="str">
        <f>(COUNTIF($K$2:K1811,K1811))&amp;K1811</f>
        <v>1</v>
      </c>
      <c r="B1811" s="52"/>
      <c r="C1811" s="53"/>
      <c r="D1811" s="54"/>
      <c r="E1811" s="55"/>
      <c r="F1811" s="55"/>
      <c r="G1811" s="55"/>
      <c r="H1811" s="55"/>
      <c r="I1811" s="55"/>
      <c r="J1811" s="55"/>
      <c r="K1811" s="56"/>
      <c r="L1811" s="55"/>
      <c r="M1811" s="55"/>
      <c r="N1811" s="55"/>
      <c r="O1811" s="55"/>
      <c r="P1811" s="55"/>
      <c r="Q1811" s="55"/>
      <c r="R1811" s="57"/>
      <c r="S1811" s="58"/>
    </row>
    <row r="1812" spans="1:19" ht="15.75" x14ac:dyDescent="0.25">
      <c r="A1812" s="51" t="str">
        <f>(COUNTIF($K$2:K1812,K1812))&amp;K1812</f>
        <v>1</v>
      </c>
      <c r="B1812" s="52"/>
      <c r="C1812" s="53"/>
      <c r="D1812" s="54"/>
      <c r="E1812" s="55"/>
      <c r="F1812" s="55"/>
      <c r="G1812" s="55"/>
      <c r="H1812" s="55"/>
      <c r="I1812" s="55"/>
      <c r="J1812" s="55"/>
      <c r="K1812" s="59"/>
      <c r="L1812" s="55"/>
      <c r="M1812" s="55"/>
      <c r="N1812" s="55"/>
      <c r="O1812" s="55"/>
      <c r="P1812" s="55"/>
      <c r="Q1812" s="55"/>
      <c r="R1812" s="57"/>
      <c r="S1812" s="58"/>
    </row>
    <row r="1813" spans="1:19" x14ac:dyDescent="0.25">
      <c r="A1813" s="51" t="str">
        <f>(COUNTIF($K$2:K1813,K1813))&amp;K1813</f>
        <v>1</v>
      </c>
      <c r="B1813" s="52"/>
      <c r="C1813" s="53"/>
      <c r="D1813" s="54"/>
      <c r="E1813" s="55"/>
      <c r="F1813" s="55"/>
      <c r="G1813" s="55"/>
      <c r="H1813" s="55"/>
      <c r="I1813" s="55"/>
      <c r="J1813" s="55"/>
      <c r="K1813" s="56"/>
      <c r="L1813" s="55"/>
      <c r="M1813" s="55"/>
      <c r="N1813" s="55"/>
      <c r="O1813" s="55"/>
      <c r="P1813" s="55"/>
      <c r="Q1813" s="55"/>
      <c r="R1813" s="57"/>
      <c r="S1813" s="58"/>
    </row>
    <row r="1814" spans="1:19" x14ac:dyDescent="0.25">
      <c r="A1814" s="51" t="str">
        <f>(COUNTIF($K$2:K1814,K1814))&amp;K1814</f>
        <v>1</v>
      </c>
      <c r="B1814" s="52"/>
      <c r="C1814" s="53"/>
      <c r="D1814" s="54"/>
      <c r="E1814" s="55"/>
      <c r="F1814" s="55"/>
      <c r="G1814" s="55"/>
      <c r="H1814" s="55"/>
      <c r="I1814" s="55"/>
      <c r="J1814" s="55"/>
      <c r="K1814" s="56"/>
      <c r="L1814" s="55"/>
      <c r="M1814" s="55"/>
      <c r="N1814" s="55"/>
      <c r="O1814" s="55"/>
      <c r="P1814" s="55"/>
      <c r="Q1814" s="55"/>
      <c r="R1814" s="57"/>
      <c r="S1814" s="58"/>
    </row>
    <row r="1815" spans="1:19" x14ac:dyDescent="0.25">
      <c r="A1815" s="51" t="str">
        <f>(COUNTIF($K$2:K1815,K1815))&amp;K1815</f>
        <v>1</v>
      </c>
      <c r="B1815" s="52"/>
      <c r="C1815" s="53"/>
      <c r="D1815" s="54"/>
      <c r="E1815" s="55"/>
      <c r="F1815" s="55"/>
      <c r="G1815" s="55"/>
      <c r="H1815" s="55"/>
      <c r="I1815" s="55"/>
      <c r="J1815" s="55"/>
      <c r="K1815" s="56"/>
      <c r="L1815" s="55"/>
      <c r="M1815" s="55"/>
      <c r="N1815" s="55"/>
      <c r="O1815" s="55"/>
      <c r="P1815" s="55"/>
      <c r="Q1815" s="55"/>
      <c r="R1815" s="57"/>
      <c r="S1815" s="58"/>
    </row>
    <row r="1816" spans="1:19" x14ac:dyDescent="0.25">
      <c r="A1816" s="51" t="str">
        <f>(COUNTIF($K$2:K1816,K1816))&amp;K1816</f>
        <v>1</v>
      </c>
      <c r="B1816" s="52"/>
      <c r="C1816" s="53"/>
      <c r="D1816" s="54"/>
      <c r="E1816" s="55"/>
      <c r="F1816" s="55"/>
      <c r="G1816" s="55"/>
      <c r="H1816" s="55"/>
      <c r="I1816" s="55"/>
      <c r="J1816" s="55"/>
      <c r="K1816" s="56"/>
      <c r="L1816" s="55"/>
      <c r="M1816" s="55"/>
      <c r="N1816" s="55"/>
      <c r="O1816" s="55"/>
      <c r="P1816" s="55"/>
      <c r="Q1816" s="55"/>
      <c r="R1816" s="57"/>
      <c r="S1816" s="58"/>
    </row>
    <row r="1817" spans="1:19" x14ac:dyDescent="0.25">
      <c r="A1817" s="51" t="str">
        <f>(COUNTIF($K$2:K1817,K1817))&amp;K1817</f>
        <v>1</v>
      </c>
      <c r="B1817" s="52"/>
      <c r="C1817" s="53"/>
      <c r="D1817" s="54"/>
      <c r="E1817" s="55"/>
      <c r="F1817" s="55"/>
      <c r="G1817" s="55"/>
      <c r="H1817" s="55"/>
      <c r="I1817" s="55"/>
      <c r="J1817" s="55"/>
      <c r="K1817" s="56"/>
      <c r="L1817" s="55"/>
      <c r="M1817" s="55"/>
      <c r="N1817" s="55"/>
      <c r="O1817" s="55"/>
      <c r="P1817" s="55"/>
      <c r="Q1817" s="55"/>
      <c r="R1817" s="57"/>
      <c r="S1817" s="58"/>
    </row>
    <row r="1818" spans="1:19" x14ac:dyDescent="0.25">
      <c r="A1818" s="51" t="str">
        <f>(COUNTIF($K$2:K1818,K1818))&amp;K1818</f>
        <v>1</v>
      </c>
      <c r="B1818" s="52"/>
      <c r="C1818" s="53"/>
      <c r="D1818" s="54"/>
      <c r="E1818" s="55"/>
      <c r="F1818" s="55"/>
      <c r="G1818" s="55"/>
      <c r="H1818" s="55"/>
      <c r="I1818" s="55"/>
      <c r="J1818" s="55"/>
      <c r="K1818" s="56"/>
      <c r="L1818" s="55"/>
      <c r="M1818" s="55"/>
      <c r="N1818" s="55"/>
      <c r="O1818" s="55"/>
      <c r="P1818" s="55"/>
      <c r="Q1818" s="55"/>
      <c r="R1818" s="57"/>
      <c r="S1818" s="58"/>
    </row>
    <row r="1819" spans="1:19" x14ac:dyDescent="0.25">
      <c r="A1819" s="51" t="str">
        <f>(COUNTIF($K$2:K1819,K1819))&amp;K1819</f>
        <v>1</v>
      </c>
      <c r="B1819" s="52"/>
      <c r="C1819" s="53"/>
      <c r="D1819" s="54"/>
      <c r="E1819" s="55"/>
      <c r="F1819" s="55"/>
      <c r="G1819" s="55"/>
      <c r="H1819" s="55"/>
      <c r="I1819" s="55"/>
      <c r="J1819" s="55"/>
      <c r="K1819" s="56"/>
      <c r="L1819" s="55"/>
      <c r="M1819" s="55"/>
      <c r="N1819" s="55"/>
      <c r="O1819" s="55"/>
      <c r="P1819" s="55"/>
      <c r="Q1819" s="55"/>
      <c r="R1819" s="57"/>
      <c r="S1819" s="58"/>
    </row>
    <row r="1820" spans="1:19" x14ac:dyDescent="0.25">
      <c r="A1820" s="51" t="str">
        <f>(COUNTIF($K$2:K1820,K1820))&amp;K1820</f>
        <v>1</v>
      </c>
      <c r="B1820" s="52"/>
      <c r="C1820" s="60"/>
      <c r="E1820" s="61"/>
      <c r="F1820" s="62"/>
      <c r="G1820" s="63"/>
      <c r="H1820" s="64"/>
      <c r="I1820" s="64"/>
      <c r="J1820" s="64"/>
      <c r="K1820" s="65"/>
      <c r="L1820" s="64"/>
      <c r="M1820" s="64"/>
      <c r="N1820" s="64"/>
      <c r="P1820" s="63"/>
      <c r="Q1820" s="61"/>
      <c r="R1820" s="64"/>
      <c r="S1820" s="64"/>
    </row>
    <row r="1821" spans="1:19" x14ac:dyDescent="0.25">
      <c r="A1821" s="51" t="str">
        <f>(COUNTIF($K$2:K1821,K1821))&amp;K1821</f>
        <v>1</v>
      </c>
      <c r="B1821" s="52"/>
      <c r="C1821" s="53"/>
      <c r="D1821" s="54"/>
      <c r="E1821" s="55"/>
      <c r="F1821" s="55"/>
      <c r="G1821" s="55"/>
      <c r="H1821" s="55"/>
      <c r="I1821" s="55"/>
      <c r="J1821" s="55"/>
      <c r="K1821" s="56"/>
      <c r="L1821" s="55"/>
      <c r="M1821" s="55"/>
      <c r="N1821" s="55"/>
      <c r="O1821" s="55"/>
      <c r="P1821" s="55"/>
      <c r="Q1821" s="55"/>
      <c r="R1821" s="57"/>
      <c r="S1821" s="58"/>
    </row>
    <row r="1822" spans="1:19" x14ac:dyDescent="0.25">
      <c r="A1822" s="51" t="str">
        <f>(COUNTIF($K$2:K1822,K1822))&amp;K1822</f>
        <v>1</v>
      </c>
      <c r="B1822" s="52"/>
      <c r="C1822" s="53"/>
      <c r="D1822" s="54"/>
      <c r="E1822" s="55"/>
      <c r="F1822" s="55"/>
      <c r="G1822" s="55"/>
      <c r="H1822" s="55"/>
      <c r="I1822" s="55"/>
      <c r="J1822" s="55"/>
      <c r="K1822" s="56"/>
      <c r="L1822" s="55"/>
      <c r="M1822" s="55"/>
      <c r="N1822" s="55"/>
      <c r="O1822" s="55"/>
      <c r="P1822" s="55"/>
      <c r="Q1822" s="55"/>
      <c r="R1822" s="57"/>
      <c r="S1822" s="58"/>
    </row>
    <row r="1823" spans="1:19" x14ac:dyDescent="0.25">
      <c r="A1823" s="51" t="str">
        <f>(COUNTIF($K$2:K1823,K1823))&amp;K1823</f>
        <v>1</v>
      </c>
      <c r="B1823" s="52"/>
      <c r="C1823" s="53"/>
      <c r="D1823" s="54"/>
      <c r="E1823" s="55"/>
      <c r="F1823" s="55"/>
      <c r="G1823" s="55"/>
      <c r="H1823" s="55"/>
      <c r="I1823" s="55"/>
      <c r="J1823" s="55"/>
      <c r="K1823" s="56"/>
      <c r="L1823" s="55"/>
      <c r="M1823" s="55"/>
      <c r="N1823" s="55"/>
      <c r="O1823" s="55"/>
      <c r="P1823" s="55"/>
      <c r="Q1823" s="55"/>
      <c r="R1823" s="57"/>
      <c r="S1823" s="58"/>
    </row>
    <row r="1824" spans="1:19" x14ac:dyDescent="0.25">
      <c r="A1824" s="51" t="str">
        <f>(COUNTIF($K$2:K1824,K1824))&amp;K1824</f>
        <v>1</v>
      </c>
      <c r="B1824" s="52"/>
      <c r="C1824" s="53"/>
      <c r="D1824" s="54"/>
      <c r="E1824" s="55"/>
      <c r="F1824" s="55"/>
      <c r="G1824" s="55"/>
      <c r="H1824" s="55"/>
      <c r="I1824" s="55"/>
      <c r="J1824" s="55"/>
      <c r="K1824" s="56"/>
      <c r="L1824" s="55"/>
      <c r="M1824" s="55"/>
      <c r="N1824" s="55"/>
      <c r="O1824" s="55"/>
      <c r="P1824" s="55"/>
      <c r="Q1824" s="55"/>
      <c r="R1824" s="57"/>
      <c r="S1824" s="58"/>
    </row>
    <row r="1825" spans="1:19" x14ac:dyDescent="0.25">
      <c r="A1825" s="51" t="str">
        <f>(COUNTIF($K$2:K1825,K1825))&amp;K1825</f>
        <v>1</v>
      </c>
      <c r="B1825" s="52"/>
      <c r="C1825" s="53"/>
      <c r="D1825" s="54"/>
      <c r="E1825" s="55"/>
      <c r="F1825" s="55"/>
      <c r="G1825" s="55"/>
      <c r="H1825" s="55"/>
      <c r="I1825" s="55"/>
      <c r="J1825" s="55"/>
      <c r="K1825" s="56"/>
      <c r="L1825" s="55"/>
      <c r="M1825" s="55"/>
      <c r="N1825" s="55"/>
      <c r="O1825" s="55"/>
      <c r="P1825" s="55"/>
      <c r="Q1825" s="55"/>
      <c r="R1825" s="57"/>
      <c r="S1825" s="58"/>
    </row>
    <row r="1826" spans="1:19" x14ac:dyDescent="0.25">
      <c r="A1826" s="51" t="str">
        <f>(COUNTIF($K$2:K1826,K1826))&amp;K1826</f>
        <v>1</v>
      </c>
      <c r="B1826" s="52"/>
      <c r="C1826" s="53"/>
      <c r="D1826" s="54"/>
      <c r="E1826" s="55"/>
      <c r="F1826" s="55"/>
      <c r="G1826" s="55"/>
      <c r="H1826" s="55"/>
      <c r="I1826" s="55"/>
      <c r="J1826" s="55"/>
      <c r="K1826" s="56"/>
      <c r="L1826" s="55"/>
      <c r="M1826" s="55"/>
      <c r="N1826" s="55"/>
      <c r="O1826" s="55"/>
      <c r="P1826" s="55"/>
      <c r="Q1826" s="55"/>
      <c r="R1826" s="57"/>
      <c r="S1826" s="58"/>
    </row>
    <row r="1827" spans="1:19" x14ac:dyDescent="0.25">
      <c r="A1827" s="51" t="str">
        <f>(COUNTIF($K$2:K1827,K1827))&amp;K1827</f>
        <v>1</v>
      </c>
      <c r="B1827" s="52"/>
      <c r="C1827" s="53"/>
      <c r="D1827" s="54"/>
      <c r="E1827" s="55"/>
      <c r="F1827" s="55"/>
      <c r="G1827" s="55"/>
      <c r="H1827" s="55"/>
      <c r="I1827" s="55"/>
      <c r="J1827" s="55"/>
      <c r="K1827" s="56"/>
      <c r="L1827" s="55"/>
      <c r="M1827" s="55"/>
      <c r="N1827" s="55"/>
      <c r="O1827" s="55"/>
      <c r="P1827" s="55"/>
      <c r="Q1827" s="55"/>
      <c r="R1827" s="57"/>
      <c r="S1827" s="58"/>
    </row>
    <row r="1828" spans="1:19" x14ac:dyDescent="0.25">
      <c r="A1828" s="51" t="str">
        <f>(COUNTIF($K$2:K1828,K1828))&amp;K1828</f>
        <v>1</v>
      </c>
      <c r="B1828" s="52"/>
      <c r="C1828" s="53"/>
      <c r="D1828" s="54"/>
      <c r="E1828" s="55"/>
      <c r="F1828" s="55"/>
      <c r="G1828" s="55"/>
      <c r="H1828" s="55"/>
      <c r="I1828" s="55"/>
      <c r="J1828" s="55"/>
      <c r="K1828" s="56"/>
      <c r="L1828" s="55"/>
      <c r="M1828" s="55"/>
      <c r="N1828" s="55"/>
      <c r="O1828" s="55"/>
      <c r="P1828" s="55"/>
      <c r="Q1828" s="55"/>
      <c r="R1828" s="57"/>
      <c r="S1828" s="58"/>
    </row>
    <row r="1829" spans="1:19" ht="15.75" x14ac:dyDescent="0.25">
      <c r="A1829" s="51" t="str">
        <f>(COUNTIF($K$2:K1829,K1829))&amp;K1829</f>
        <v>1</v>
      </c>
      <c r="B1829" s="52"/>
      <c r="C1829" s="53"/>
      <c r="D1829" s="54"/>
      <c r="E1829" s="55"/>
      <c r="F1829" s="55"/>
      <c r="G1829" s="55"/>
      <c r="H1829" s="55"/>
      <c r="I1829" s="55"/>
      <c r="J1829" s="55"/>
      <c r="K1829" s="59"/>
      <c r="L1829" s="55"/>
      <c r="M1829" s="55"/>
      <c r="N1829" s="55"/>
      <c r="O1829" s="55"/>
      <c r="P1829" s="55"/>
      <c r="Q1829" s="55"/>
      <c r="R1829" s="57"/>
      <c r="S1829" s="58"/>
    </row>
    <row r="1830" spans="1:19" x14ac:dyDescent="0.25">
      <c r="A1830" s="51" t="str">
        <f>(COUNTIF($K$2:K1830,K1830))&amp;K1830</f>
        <v>1</v>
      </c>
      <c r="B1830" s="52"/>
      <c r="C1830" s="53"/>
      <c r="D1830" s="54"/>
      <c r="E1830" s="55"/>
      <c r="F1830" s="55"/>
      <c r="G1830" s="55"/>
      <c r="H1830" s="55"/>
      <c r="I1830" s="55"/>
      <c r="J1830" s="55"/>
      <c r="K1830" s="56"/>
      <c r="L1830" s="55"/>
      <c r="M1830" s="55"/>
      <c r="N1830" s="55"/>
      <c r="O1830" s="55"/>
      <c r="P1830" s="55"/>
      <c r="Q1830" s="55"/>
      <c r="R1830" s="57"/>
      <c r="S1830" s="58"/>
    </row>
    <row r="1831" spans="1:19" x14ac:dyDescent="0.25">
      <c r="A1831" s="51" t="str">
        <f>(COUNTIF($K$2:K1831,K1831))&amp;K1831</f>
        <v>1</v>
      </c>
      <c r="B1831" s="52"/>
      <c r="C1831" s="53"/>
      <c r="D1831" s="54"/>
      <c r="E1831" s="55"/>
      <c r="F1831" s="55"/>
      <c r="G1831" s="55"/>
      <c r="H1831" s="55"/>
      <c r="I1831" s="55"/>
      <c r="J1831" s="55"/>
      <c r="K1831" s="56"/>
      <c r="L1831" s="55"/>
      <c r="M1831" s="55"/>
      <c r="N1831" s="55"/>
      <c r="O1831" s="55"/>
      <c r="P1831" s="55"/>
      <c r="Q1831" s="55"/>
      <c r="R1831" s="57"/>
      <c r="S1831" s="58"/>
    </row>
    <row r="1832" spans="1:19" x14ac:dyDescent="0.25">
      <c r="A1832" s="51" t="str">
        <f>(COUNTIF($K$2:K1832,K1832))&amp;K1832</f>
        <v>1</v>
      </c>
      <c r="B1832" s="52"/>
      <c r="C1832" s="53"/>
      <c r="D1832" s="54"/>
      <c r="E1832" s="55"/>
      <c r="F1832" s="55"/>
      <c r="G1832" s="55"/>
      <c r="H1832" s="55"/>
      <c r="I1832" s="55"/>
      <c r="J1832" s="55"/>
      <c r="K1832" s="56"/>
      <c r="L1832" s="55"/>
      <c r="M1832" s="55"/>
      <c r="N1832" s="55"/>
      <c r="O1832" s="55"/>
      <c r="P1832" s="55"/>
      <c r="Q1832" s="55"/>
      <c r="R1832" s="57"/>
      <c r="S1832" s="58"/>
    </row>
    <row r="1833" spans="1:19" x14ac:dyDescent="0.25">
      <c r="A1833" s="51" t="str">
        <f>(COUNTIF($K$2:K1833,K1833))&amp;K1833</f>
        <v>1</v>
      </c>
      <c r="B1833" s="52"/>
      <c r="C1833" s="53"/>
      <c r="D1833" s="54"/>
      <c r="E1833" s="55"/>
      <c r="F1833" s="55"/>
      <c r="G1833" s="55"/>
      <c r="H1833" s="55"/>
      <c r="I1833" s="55"/>
      <c r="J1833" s="55"/>
      <c r="K1833" s="56"/>
      <c r="L1833" s="55"/>
      <c r="M1833" s="55"/>
      <c r="N1833" s="55"/>
      <c r="O1833" s="55"/>
      <c r="P1833" s="55"/>
      <c r="Q1833" s="55"/>
      <c r="R1833" s="57"/>
      <c r="S1833" s="58"/>
    </row>
    <row r="1834" spans="1:19" x14ac:dyDescent="0.25">
      <c r="A1834" s="51" t="str">
        <f>(COUNTIF($K$2:K1834,K1834))&amp;K1834</f>
        <v>1</v>
      </c>
      <c r="B1834" s="52"/>
      <c r="C1834" s="53"/>
      <c r="D1834" s="54"/>
      <c r="E1834" s="55"/>
      <c r="F1834" s="55"/>
      <c r="G1834" s="55"/>
      <c r="H1834" s="55"/>
      <c r="I1834" s="55"/>
      <c r="J1834" s="55"/>
      <c r="K1834" s="56"/>
      <c r="L1834" s="55"/>
      <c r="M1834" s="55"/>
      <c r="N1834" s="55"/>
      <c r="O1834" s="55"/>
      <c r="P1834" s="55"/>
      <c r="Q1834" s="55"/>
      <c r="R1834" s="57"/>
      <c r="S1834" s="58"/>
    </row>
    <row r="1835" spans="1:19" x14ac:dyDescent="0.25">
      <c r="A1835" s="51" t="str">
        <f>(COUNTIF($K$2:K1835,K1835))&amp;K1835</f>
        <v>1</v>
      </c>
      <c r="B1835" s="52"/>
      <c r="C1835" s="53"/>
      <c r="D1835" s="54"/>
      <c r="E1835" s="55"/>
      <c r="F1835" s="55"/>
      <c r="G1835" s="55"/>
      <c r="H1835" s="55"/>
      <c r="I1835" s="55"/>
      <c r="J1835" s="55"/>
      <c r="K1835" s="56"/>
      <c r="L1835" s="55"/>
      <c r="M1835" s="55"/>
      <c r="N1835" s="55"/>
      <c r="O1835" s="55"/>
      <c r="P1835" s="55"/>
      <c r="Q1835" s="55"/>
      <c r="R1835" s="57"/>
      <c r="S1835" s="58"/>
    </row>
    <row r="1836" spans="1:19" x14ac:dyDescent="0.25">
      <c r="A1836" s="51" t="str">
        <f>(COUNTIF($K$2:K1836,K1836))&amp;K1836</f>
        <v>1</v>
      </c>
      <c r="B1836" s="52"/>
      <c r="C1836" s="53"/>
      <c r="D1836" s="54"/>
      <c r="E1836" s="55"/>
      <c r="F1836" s="55"/>
      <c r="G1836" s="55"/>
      <c r="H1836" s="55"/>
      <c r="I1836" s="55"/>
      <c r="J1836" s="55"/>
      <c r="K1836" s="56"/>
      <c r="L1836" s="55"/>
      <c r="M1836" s="55"/>
      <c r="N1836" s="55"/>
      <c r="O1836" s="55"/>
      <c r="P1836" s="55"/>
      <c r="Q1836" s="55"/>
      <c r="R1836" s="57"/>
      <c r="S1836" s="58"/>
    </row>
    <row r="1837" spans="1:19" x14ac:dyDescent="0.25">
      <c r="A1837" s="51" t="str">
        <f>(COUNTIF($K$2:K1837,K1837))&amp;K1837</f>
        <v>1</v>
      </c>
      <c r="B1837" s="52"/>
      <c r="C1837" s="60"/>
      <c r="E1837" s="61"/>
      <c r="F1837" s="62"/>
      <c r="G1837" s="63"/>
      <c r="H1837" s="64"/>
      <c r="I1837" s="64"/>
      <c r="J1837" s="64"/>
      <c r="K1837" s="65"/>
      <c r="L1837" s="64"/>
      <c r="M1837" s="64"/>
      <c r="N1837" s="64"/>
      <c r="P1837" s="63"/>
      <c r="Q1837" s="61"/>
      <c r="R1837" s="64"/>
      <c r="S1837" s="64"/>
    </row>
    <row r="1838" spans="1:19" x14ac:dyDescent="0.25">
      <c r="A1838" s="51" t="str">
        <f>(COUNTIF($K$2:K1838,K1838))&amp;K1838</f>
        <v>1</v>
      </c>
      <c r="B1838" s="52"/>
      <c r="C1838" s="53"/>
      <c r="D1838" s="54"/>
      <c r="E1838" s="55"/>
      <c r="F1838" s="55"/>
      <c r="G1838" s="55"/>
      <c r="H1838" s="55"/>
      <c r="I1838" s="55"/>
      <c r="J1838" s="55"/>
      <c r="K1838" s="56"/>
      <c r="L1838" s="55"/>
      <c r="M1838" s="55"/>
      <c r="N1838" s="55"/>
      <c r="O1838" s="55"/>
      <c r="P1838" s="55"/>
      <c r="Q1838" s="55"/>
      <c r="R1838" s="57"/>
      <c r="S1838" s="58"/>
    </row>
    <row r="1839" spans="1:19" x14ac:dyDescent="0.25">
      <c r="A1839" s="51" t="str">
        <f>(COUNTIF($K$2:K1839,K1839))&amp;K1839</f>
        <v>1</v>
      </c>
      <c r="B1839" s="52"/>
      <c r="C1839" s="53"/>
      <c r="D1839" s="54"/>
      <c r="E1839" s="55"/>
      <c r="F1839" s="55"/>
      <c r="G1839" s="55"/>
      <c r="H1839" s="55"/>
      <c r="I1839" s="55"/>
      <c r="J1839" s="55"/>
      <c r="K1839" s="56"/>
      <c r="L1839" s="55"/>
      <c r="M1839" s="55"/>
      <c r="N1839" s="55"/>
      <c r="O1839" s="55"/>
      <c r="P1839" s="55"/>
      <c r="Q1839" s="55"/>
      <c r="R1839" s="57"/>
      <c r="S1839" s="58"/>
    </row>
    <row r="1840" spans="1:19" x14ac:dyDescent="0.25">
      <c r="A1840" s="51" t="str">
        <f>(COUNTIF($K$2:K1840,K1840))&amp;K1840</f>
        <v>1</v>
      </c>
      <c r="B1840" s="52"/>
      <c r="C1840" s="53"/>
      <c r="D1840" s="54"/>
      <c r="E1840" s="55"/>
      <c r="F1840" s="55"/>
      <c r="G1840" s="55"/>
      <c r="H1840" s="55"/>
      <c r="I1840" s="55"/>
      <c r="J1840" s="55"/>
      <c r="K1840" s="56"/>
      <c r="L1840" s="55"/>
      <c r="M1840" s="55"/>
      <c r="N1840" s="55"/>
      <c r="O1840" s="55"/>
      <c r="P1840" s="55"/>
      <c r="Q1840" s="55"/>
      <c r="R1840" s="57"/>
      <c r="S1840" s="58"/>
    </row>
    <row r="1841" spans="1:19" x14ac:dyDescent="0.25">
      <c r="A1841" s="51" t="str">
        <f>(COUNTIF($K$2:K1841,K1841))&amp;K1841</f>
        <v>1</v>
      </c>
      <c r="B1841" s="52"/>
      <c r="C1841" s="53"/>
      <c r="D1841" s="54"/>
      <c r="E1841" s="55"/>
      <c r="F1841" s="55"/>
      <c r="G1841" s="55"/>
      <c r="H1841" s="55"/>
      <c r="I1841" s="55"/>
      <c r="J1841" s="55"/>
      <c r="K1841" s="56"/>
      <c r="L1841" s="55"/>
      <c r="M1841" s="55"/>
      <c r="N1841" s="55"/>
      <c r="O1841" s="55"/>
      <c r="P1841" s="55"/>
      <c r="Q1841" s="55"/>
      <c r="R1841" s="57"/>
      <c r="S1841" s="58"/>
    </row>
    <row r="1842" spans="1:19" x14ac:dyDescent="0.25">
      <c r="A1842" s="51" t="str">
        <f>(COUNTIF($K$2:K1842,K1842))&amp;K1842</f>
        <v>1</v>
      </c>
      <c r="B1842" s="52"/>
      <c r="C1842" s="53"/>
      <c r="D1842" s="54"/>
      <c r="E1842" s="55"/>
      <c r="F1842" s="55"/>
      <c r="G1842" s="55"/>
      <c r="H1842" s="55"/>
      <c r="I1842" s="55"/>
      <c r="J1842" s="55"/>
      <c r="K1842" s="56"/>
      <c r="L1842" s="55"/>
      <c r="M1842" s="55"/>
      <c r="N1842" s="55"/>
      <c r="O1842" s="55"/>
      <c r="P1842" s="55"/>
      <c r="Q1842" s="55"/>
      <c r="R1842" s="57"/>
      <c r="S1842" s="58"/>
    </row>
    <row r="1843" spans="1:19" x14ac:dyDescent="0.25">
      <c r="A1843" s="51" t="str">
        <f>(COUNTIF($K$2:K1843,K1843))&amp;K1843</f>
        <v>1</v>
      </c>
      <c r="B1843" s="52"/>
      <c r="C1843" s="53"/>
      <c r="D1843" s="54"/>
      <c r="E1843" s="55"/>
      <c r="F1843" s="55"/>
      <c r="G1843" s="55"/>
      <c r="H1843" s="55"/>
      <c r="I1843" s="55"/>
      <c r="J1843" s="55"/>
      <c r="K1843" s="56"/>
      <c r="L1843" s="55"/>
      <c r="M1843" s="55"/>
      <c r="N1843" s="55"/>
      <c r="O1843" s="55"/>
      <c r="P1843" s="55"/>
      <c r="Q1843" s="55"/>
      <c r="R1843" s="57"/>
      <c r="S1843" s="58"/>
    </row>
    <row r="1844" spans="1:19" x14ac:dyDescent="0.25">
      <c r="A1844" s="51" t="str">
        <f>(COUNTIF($K$2:K1844,K1844))&amp;K1844</f>
        <v>1</v>
      </c>
      <c r="B1844" s="52"/>
      <c r="C1844" s="53"/>
      <c r="D1844" s="54"/>
      <c r="E1844" s="55"/>
      <c r="F1844" s="55"/>
      <c r="G1844" s="55"/>
      <c r="H1844" s="55"/>
      <c r="I1844" s="55"/>
      <c r="J1844" s="55"/>
      <c r="K1844" s="56"/>
      <c r="L1844" s="55"/>
      <c r="M1844" s="55"/>
      <c r="N1844" s="55"/>
      <c r="O1844" s="55"/>
      <c r="P1844" s="55"/>
      <c r="Q1844" s="55"/>
      <c r="R1844" s="57"/>
      <c r="S1844" s="58"/>
    </row>
    <row r="1845" spans="1:19" x14ac:dyDescent="0.25">
      <c r="A1845" s="51" t="str">
        <f>(COUNTIF($K$2:K1845,K1845))&amp;K1845</f>
        <v>1</v>
      </c>
      <c r="B1845" s="52"/>
      <c r="C1845" s="53"/>
      <c r="D1845" s="54"/>
      <c r="E1845" s="55"/>
      <c r="F1845" s="55"/>
      <c r="G1845" s="55"/>
      <c r="H1845" s="55"/>
      <c r="I1845" s="55"/>
      <c r="J1845" s="55"/>
      <c r="K1845" s="56"/>
      <c r="L1845" s="55"/>
      <c r="M1845" s="55"/>
      <c r="N1845" s="55"/>
      <c r="O1845" s="55"/>
      <c r="P1845" s="55"/>
      <c r="Q1845" s="55"/>
      <c r="R1845" s="57"/>
      <c r="S1845" s="58"/>
    </row>
    <row r="1846" spans="1:19" ht="15.75" x14ac:dyDescent="0.25">
      <c r="A1846" s="51" t="str">
        <f>(COUNTIF($K$2:K1846,K1846))&amp;K1846</f>
        <v>1</v>
      </c>
      <c r="B1846" s="52"/>
      <c r="C1846" s="53"/>
      <c r="D1846" s="54"/>
      <c r="E1846" s="55"/>
      <c r="F1846" s="55"/>
      <c r="G1846" s="55"/>
      <c r="H1846" s="55"/>
      <c r="I1846" s="55"/>
      <c r="J1846" s="55"/>
      <c r="K1846" s="59"/>
      <c r="L1846" s="55"/>
      <c r="M1846" s="55"/>
      <c r="N1846" s="55"/>
      <c r="O1846" s="55"/>
      <c r="P1846" s="55"/>
      <c r="Q1846" s="55"/>
      <c r="R1846" s="57"/>
      <c r="S1846" s="58"/>
    </row>
    <row r="1847" spans="1:19" x14ac:dyDescent="0.25">
      <c r="A1847" s="51" t="str">
        <f>(COUNTIF($K$2:K1847,K1847))&amp;K1847</f>
        <v>1</v>
      </c>
      <c r="B1847" s="52"/>
      <c r="C1847" s="53"/>
      <c r="D1847" s="54"/>
      <c r="E1847" s="55"/>
      <c r="F1847" s="55"/>
      <c r="G1847" s="55"/>
      <c r="H1847" s="55"/>
      <c r="I1847" s="55"/>
      <c r="J1847" s="55"/>
      <c r="K1847" s="56"/>
      <c r="L1847" s="55"/>
      <c r="M1847" s="55"/>
      <c r="N1847" s="55"/>
      <c r="O1847" s="55"/>
      <c r="P1847" s="55"/>
      <c r="Q1847" s="55"/>
      <c r="R1847" s="57"/>
      <c r="S1847" s="58"/>
    </row>
    <row r="1848" spans="1:19" x14ac:dyDescent="0.25">
      <c r="A1848" s="51" t="str">
        <f>(COUNTIF($K$2:K1848,K1848))&amp;K1848</f>
        <v>1</v>
      </c>
      <c r="B1848" s="52"/>
      <c r="C1848" s="53"/>
      <c r="D1848" s="54"/>
      <c r="E1848" s="55"/>
      <c r="F1848" s="55"/>
      <c r="G1848" s="55"/>
      <c r="H1848" s="55"/>
      <c r="I1848" s="55"/>
      <c r="J1848" s="55"/>
      <c r="K1848" s="56"/>
      <c r="L1848" s="55"/>
      <c r="M1848" s="55"/>
      <c r="N1848" s="55"/>
      <c r="O1848" s="55"/>
      <c r="P1848" s="55"/>
      <c r="Q1848" s="55"/>
      <c r="R1848" s="57"/>
      <c r="S1848" s="58"/>
    </row>
    <row r="1849" spans="1:19" x14ac:dyDescent="0.25">
      <c r="A1849" s="51" t="str">
        <f>(COUNTIF($K$2:K1849,K1849))&amp;K1849</f>
        <v>1</v>
      </c>
      <c r="B1849" s="52"/>
      <c r="C1849" s="53"/>
      <c r="D1849" s="54"/>
      <c r="E1849" s="55"/>
      <c r="F1849" s="55"/>
      <c r="G1849" s="55"/>
      <c r="H1849" s="55"/>
      <c r="I1849" s="55"/>
      <c r="J1849" s="55"/>
      <c r="K1849" s="56"/>
      <c r="L1849" s="55"/>
      <c r="M1849" s="55"/>
      <c r="N1849" s="55"/>
      <c r="O1849" s="55"/>
      <c r="P1849" s="55"/>
      <c r="Q1849" s="55"/>
      <c r="R1849" s="57"/>
      <c r="S1849" s="58"/>
    </row>
    <row r="1850" spans="1:19" x14ac:dyDescent="0.25">
      <c r="A1850" s="51" t="str">
        <f>(COUNTIF($K$2:K1850,K1850))&amp;K1850</f>
        <v>1</v>
      </c>
      <c r="B1850" s="52"/>
      <c r="C1850" s="53"/>
      <c r="D1850" s="54"/>
      <c r="E1850" s="55"/>
      <c r="F1850" s="55"/>
      <c r="G1850" s="55"/>
      <c r="H1850" s="55"/>
      <c r="I1850" s="55"/>
      <c r="J1850" s="55"/>
      <c r="K1850" s="56"/>
      <c r="L1850" s="55"/>
      <c r="M1850" s="55"/>
      <c r="N1850" s="55"/>
      <c r="O1850" s="55"/>
      <c r="P1850" s="55"/>
      <c r="Q1850" s="55"/>
      <c r="R1850" s="57"/>
      <c r="S1850" s="58"/>
    </row>
    <row r="1851" spans="1:19" x14ac:dyDescent="0.25">
      <c r="A1851" s="51" t="str">
        <f>(COUNTIF($K$2:K1851,K1851))&amp;K1851</f>
        <v>1</v>
      </c>
      <c r="B1851" s="52"/>
      <c r="C1851" s="53"/>
      <c r="D1851" s="54"/>
      <c r="E1851" s="55"/>
      <c r="F1851" s="55"/>
      <c r="G1851" s="55"/>
      <c r="H1851" s="55"/>
      <c r="I1851" s="55"/>
      <c r="J1851" s="55"/>
      <c r="K1851" s="56"/>
      <c r="L1851" s="55"/>
      <c r="M1851" s="55"/>
      <c r="N1851" s="55"/>
      <c r="O1851" s="55"/>
      <c r="P1851" s="55"/>
      <c r="Q1851" s="55"/>
      <c r="R1851" s="57"/>
      <c r="S1851" s="58"/>
    </row>
    <row r="1852" spans="1:19" x14ac:dyDescent="0.25">
      <c r="A1852" s="51" t="str">
        <f>(COUNTIF($K$2:K1852,K1852))&amp;K1852</f>
        <v>1</v>
      </c>
      <c r="B1852" s="52"/>
      <c r="C1852" s="53"/>
      <c r="D1852" s="54"/>
      <c r="E1852" s="55"/>
      <c r="F1852" s="55"/>
      <c r="G1852" s="55"/>
      <c r="H1852" s="55"/>
      <c r="I1852" s="55"/>
      <c r="J1852" s="55"/>
      <c r="K1852" s="56"/>
      <c r="L1852" s="55"/>
      <c r="M1852" s="55"/>
      <c r="N1852" s="55"/>
      <c r="O1852" s="55"/>
      <c r="P1852" s="55"/>
      <c r="Q1852" s="55"/>
      <c r="R1852" s="57"/>
      <c r="S1852" s="58"/>
    </row>
    <row r="1853" spans="1:19" x14ac:dyDescent="0.25">
      <c r="A1853" s="51" t="str">
        <f>(COUNTIF($K$2:K1853,K1853))&amp;K1853</f>
        <v>1</v>
      </c>
      <c r="B1853" s="52"/>
      <c r="C1853" s="53"/>
      <c r="D1853" s="54"/>
      <c r="E1853" s="55"/>
      <c r="F1853" s="55"/>
      <c r="G1853" s="55"/>
      <c r="H1853" s="55"/>
      <c r="I1853" s="55"/>
      <c r="J1853" s="55"/>
      <c r="K1853" s="56"/>
      <c r="L1853" s="55"/>
      <c r="M1853" s="55"/>
      <c r="N1853" s="55"/>
      <c r="O1853" s="55"/>
      <c r="P1853" s="55"/>
      <c r="Q1853" s="55"/>
      <c r="R1853" s="57"/>
      <c r="S1853" s="58"/>
    </row>
    <row r="1854" spans="1:19" x14ac:dyDescent="0.25">
      <c r="A1854" s="51" t="str">
        <f>(COUNTIF($K$2:K1854,K1854))&amp;K1854</f>
        <v>1</v>
      </c>
      <c r="B1854" s="52"/>
      <c r="C1854" s="60"/>
      <c r="E1854" s="61"/>
      <c r="F1854" s="62"/>
      <c r="G1854" s="63"/>
      <c r="H1854" s="64"/>
      <c r="I1854" s="64"/>
      <c r="J1854" s="64"/>
      <c r="K1854" s="65"/>
      <c r="L1854" s="64"/>
      <c r="M1854" s="64"/>
      <c r="N1854" s="64"/>
      <c r="P1854" s="63"/>
      <c r="Q1854" s="61"/>
      <c r="R1854" s="64"/>
      <c r="S1854" s="64"/>
    </row>
    <row r="1855" spans="1:19" x14ac:dyDescent="0.25">
      <c r="A1855" s="51" t="str">
        <f>(COUNTIF($K$2:K1855,K1855))&amp;K1855</f>
        <v>1</v>
      </c>
      <c r="B1855" s="52"/>
      <c r="C1855" s="53"/>
      <c r="D1855" s="54"/>
      <c r="E1855" s="55"/>
      <c r="F1855" s="55"/>
      <c r="G1855" s="55"/>
      <c r="H1855" s="55"/>
      <c r="I1855" s="55"/>
      <c r="J1855" s="55"/>
      <c r="K1855" s="56"/>
      <c r="L1855" s="55"/>
      <c r="M1855" s="55"/>
      <c r="N1855" s="55"/>
      <c r="O1855" s="55"/>
      <c r="P1855" s="55"/>
      <c r="Q1855" s="55"/>
      <c r="R1855" s="57"/>
      <c r="S1855" s="58"/>
    </row>
    <row r="1856" spans="1:19" x14ac:dyDescent="0.25">
      <c r="A1856" s="51" t="str">
        <f>(COUNTIF($K$2:K1856,K1856))&amp;K1856</f>
        <v>1</v>
      </c>
      <c r="B1856" s="52"/>
      <c r="C1856" s="53"/>
      <c r="D1856" s="54"/>
      <c r="E1856" s="55"/>
      <c r="F1856" s="55"/>
      <c r="G1856" s="55"/>
      <c r="H1856" s="55"/>
      <c r="I1856" s="55"/>
      <c r="J1856" s="55"/>
      <c r="K1856" s="56"/>
      <c r="L1856" s="55"/>
      <c r="M1856" s="55"/>
      <c r="N1856" s="55"/>
      <c r="O1856" s="55"/>
      <c r="P1856" s="55"/>
      <c r="Q1856" s="55"/>
      <c r="R1856" s="57"/>
      <c r="S1856" s="58"/>
    </row>
    <row r="1857" spans="1:19" x14ac:dyDescent="0.25">
      <c r="A1857" s="51" t="str">
        <f>(COUNTIF($K$2:K1857,K1857))&amp;K1857</f>
        <v>1</v>
      </c>
      <c r="B1857" s="52"/>
      <c r="C1857" s="53"/>
      <c r="D1857" s="54"/>
      <c r="E1857" s="55"/>
      <c r="F1857" s="55"/>
      <c r="G1857" s="55"/>
      <c r="H1857" s="55"/>
      <c r="I1857" s="55"/>
      <c r="J1857" s="55"/>
      <c r="K1857" s="56"/>
      <c r="L1857" s="55"/>
      <c r="M1857" s="55"/>
      <c r="N1857" s="55"/>
      <c r="O1857" s="55"/>
      <c r="P1857" s="55"/>
      <c r="Q1857" s="55"/>
      <c r="R1857" s="57"/>
      <c r="S1857" s="58"/>
    </row>
    <row r="1858" spans="1:19" x14ac:dyDescent="0.25">
      <c r="A1858" s="51" t="str">
        <f>(COUNTIF($K$2:K1858,K1858))&amp;K1858</f>
        <v>1</v>
      </c>
      <c r="B1858" s="52"/>
      <c r="C1858" s="53"/>
      <c r="D1858" s="54"/>
      <c r="E1858" s="55"/>
      <c r="F1858" s="55"/>
      <c r="G1858" s="55"/>
      <c r="H1858" s="55"/>
      <c r="I1858" s="55"/>
      <c r="J1858" s="55"/>
      <c r="K1858" s="56"/>
      <c r="L1858" s="55"/>
      <c r="M1858" s="55"/>
      <c r="N1858" s="55"/>
      <c r="O1858" s="55"/>
      <c r="P1858" s="55"/>
      <c r="Q1858" s="55"/>
      <c r="R1858" s="57"/>
      <c r="S1858" s="58"/>
    </row>
    <row r="1859" spans="1:19" x14ac:dyDescent="0.25">
      <c r="A1859" s="51" t="str">
        <f>(COUNTIF($K$2:K1859,K1859))&amp;K1859</f>
        <v>1</v>
      </c>
      <c r="B1859" s="52"/>
      <c r="C1859" s="53"/>
      <c r="D1859" s="54"/>
      <c r="E1859" s="55"/>
      <c r="F1859" s="55"/>
      <c r="G1859" s="55"/>
      <c r="H1859" s="55"/>
      <c r="I1859" s="55"/>
      <c r="J1859" s="55"/>
      <c r="K1859" s="56"/>
      <c r="L1859" s="55"/>
      <c r="M1859" s="55"/>
      <c r="N1859" s="55"/>
      <c r="O1859" s="55"/>
      <c r="P1859" s="55"/>
      <c r="Q1859" s="55"/>
      <c r="R1859" s="57"/>
      <c r="S1859" s="58"/>
    </row>
    <row r="1860" spans="1:19" x14ac:dyDescent="0.25">
      <c r="A1860" s="51" t="str">
        <f>(COUNTIF($K$2:K1860,K1860))&amp;K1860</f>
        <v>1</v>
      </c>
      <c r="B1860" s="52"/>
      <c r="C1860" s="53"/>
      <c r="D1860" s="54"/>
      <c r="E1860" s="55"/>
      <c r="F1860" s="55"/>
      <c r="G1860" s="55"/>
      <c r="H1860" s="55"/>
      <c r="I1860" s="55"/>
      <c r="J1860" s="55"/>
      <c r="K1860" s="56"/>
      <c r="L1860" s="55"/>
      <c r="M1860" s="55"/>
      <c r="N1860" s="55"/>
      <c r="O1860" s="55"/>
      <c r="P1860" s="55"/>
      <c r="Q1860" s="55"/>
      <c r="R1860" s="57"/>
      <c r="S1860" s="58"/>
    </row>
    <row r="1861" spans="1:19" x14ac:dyDescent="0.25">
      <c r="A1861" s="51" t="str">
        <f>(COUNTIF($K$2:K1861,K1861))&amp;K1861</f>
        <v>1</v>
      </c>
      <c r="B1861" s="52"/>
      <c r="C1861" s="53"/>
      <c r="D1861" s="54"/>
      <c r="E1861" s="55"/>
      <c r="F1861" s="55"/>
      <c r="G1861" s="55"/>
      <c r="H1861" s="55"/>
      <c r="I1861" s="55"/>
      <c r="J1861" s="55"/>
      <c r="K1861" s="56"/>
      <c r="L1861" s="55"/>
      <c r="M1861" s="55"/>
      <c r="N1861" s="55"/>
      <c r="O1861" s="55"/>
      <c r="P1861" s="55"/>
      <c r="Q1861" s="55"/>
      <c r="R1861" s="57"/>
      <c r="S1861" s="58"/>
    </row>
    <row r="1862" spans="1:19" x14ac:dyDescent="0.25">
      <c r="A1862" s="51" t="str">
        <f>(COUNTIF($K$2:K1862,K1862))&amp;K1862</f>
        <v>1</v>
      </c>
      <c r="B1862" s="52"/>
      <c r="C1862" s="53"/>
      <c r="D1862" s="54"/>
      <c r="E1862" s="55"/>
      <c r="F1862" s="55"/>
      <c r="G1862" s="55"/>
      <c r="H1862" s="55"/>
      <c r="I1862" s="55"/>
      <c r="J1862" s="55"/>
      <c r="K1862" s="56"/>
      <c r="L1862" s="55"/>
      <c r="M1862" s="55"/>
      <c r="N1862" s="55"/>
      <c r="O1862" s="55"/>
      <c r="P1862" s="55"/>
      <c r="Q1862" s="55"/>
      <c r="R1862" s="57"/>
      <c r="S1862" s="58"/>
    </row>
    <row r="1863" spans="1:19" ht="15.75" x14ac:dyDescent="0.25">
      <c r="A1863" s="51" t="str">
        <f>(COUNTIF($K$2:K1863,K1863))&amp;K1863</f>
        <v>1</v>
      </c>
      <c r="B1863" s="52"/>
      <c r="C1863" s="53"/>
      <c r="D1863" s="54"/>
      <c r="E1863" s="55"/>
      <c r="F1863" s="55"/>
      <c r="G1863" s="55"/>
      <c r="H1863" s="55"/>
      <c r="I1863" s="55"/>
      <c r="J1863" s="55"/>
      <c r="K1863" s="59"/>
      <c r="L1863" s="55"/>
      <c r="M1863" s="55"/>
      <c r="N1863" s="55"/>
      <c r="O1863" s="55"/>
      <c r="P1863" s="55"/>
      <c r="Q1863" s="55"/>
      <c r="R1863" s="57"/>
      <c r="S1863" s="58"/>
    </row>
    <row r="1864" spans="1:19" x14ac:dyDescent="0.25">
      <c r="A1864" s="51" t="str">
        <f>(COUNTIF($K$2:K1864,K1864))&amp;K1864</f>
        <v>1</v>
      </c>
      <c r="B1864" s="52"/>
      <c r="C1864" s="53"/>
      <c r="D1864" s="54"/>
      <c r="E1864" s="55"/>
      <c r="F1864" s="55"/>
      <c r="G1864" s="55"/>
      <c r="H1864" s="55"/>
      <c r="I1864" s="55"/>
      <c r="J1864" s="55"/>
      <c r="K1864" s="56"/>
      <c r="L1864" s="55"/>
      <c r="M1864" s="55"/>
      <c r="N1864" s="55"/>
      <c r="O1864" s="55"/>
      <c r="P1864" s="55"/>
      <c r="Q1864" s="55"/>
      <c r="R1864" s="57"/>
      <c r="S1864" s="58"/>
    </row>
    <row r="1865" spans="1:19" x14ac:dyDescent="0.25">
      <c r="A1865" s="51" t="str">
        <f>(COUNTIF($K$2:K1865,K1865))&amp;K1865</f>
        <v>1</v>
      </c>
      <c r="B1865" s="52"/>
      <c r="C1865" s="53"/>
      <c r="D1865" s="54"/>
      <c r="E1865" s="55"/>
      <c r="F1865" s="55"/>
      <c r="G1865" s="55"/>
      <c r="H1865" s="55"/>
      <c r="I1865" s="55"/>
      <c r="J1865" s="55"/>
      <c r="K1865" s="56"/>
      <c r="L1865" s="55"/>
      <c r="M1865" s="55"/>
      <c r="N1865" s="55"/>
      <c r="O1865" s="55"/>
      <c r="P1865" s="55"/>
      <c r="Q1865" s="55"/>
      <c r="R1865" s="57"/>
      <c r="S1865" s="58"/>
    </row>
    <row r="1866" spans="1:19" x14ac:dyDescent="0.25">
      <c r="A1866" s="51" t="str">
        <f>(COUNTIF($K$2:K1866,K1866))&amp;K1866</f>
        <v>1</v>
      </c>
      <c r="B1866" s="52"/>
      <c r="C1866" s="53"/>
      <c r="D1866" s="54"/>
      <c r="E1866" s="55"/>
      <c r="F1866" s="55"/>
      <c r="G1866" s="55"/>
      <c r="H1866" s="55"/>
      <c r="I1866" s="55"/>
      <c r="J1866" s="55"/>
      <c r="K1866" s="56"/>
      <c r="L1866" s="55"/>
      <c r="M1866" s="55"/>
      <c r="N1866" s="55"/>
      <c r="O1866" s="55"/>
      <c r="P1866" s="55"/>
      <c r="Q1866" s="55"/>
      <c r="R1866" s="57"/>
      <c r="S1866" s="58"/>
    </row>
    <row r="1867" spans="1:19" x14ac:dyDescent="0.25">
      <c r="A1867" s="51" t="str">
        <f>(COUNTIF($K$2:K1867,K1867))&amp;K1867</f>
        <v>1</v>
      </c>
      <c r="B1867" s="52"/>
      <c r="C1867" s="53"/>
      <c r="D1867" s="54"/>
      <c r="E1867" s="55"/>
      <c r="F1867" s="55"/>
      <c r="G1867" s="55"/>
      <c r="H1867" s="55"/>
      <c r="I1867" s="55"/>
      <c r="J1867" s="55"/>
      <c r="K1867" s="56"/>
      <c r="L1867" s="55"/>
      <c r="M1867" s="55"/>
      <c r="N1867" s="55"/>
      <c r="O1867" s="55"/>
      <c r="P1867" s="55"/>
      <c r="Q1867" s="55"/>
      <c r="R1867" s="57"/>
      <c r="S1867" s="58"/>
    </row>
    <row r="1868" spans="1:19" x14ac:dyDescent="0.25">
      <c r="A1868" s="51" t="str">
        <f>(COUNTIF($K$2:K1868,K1868))&amp;K1868</f>
        <v>1</v>
      </c>
      <c r="B1868" s="52"/>
      <c r="C1868" s="53"/>
      <c r="D1868" s="54"/>
      <c r="E1868" s="55"/>
      <c r="F1868" s="55"/>
      <c r="G1868" s="55"/>
      <c r="H1868" s="55"/>
      <c r="I1868" s="55"/>
      <c r="J1868" s="55"/>
      <c r="K1868" s="56"/>
      <c r="L1868" s="55"/>
      <c r="M1868" s="55"/>
      <c r="N1868" s="55"/>
      <c r="O1868" s="55"/>
      <c r="P1868" s="55"/>
      <c r="Q1868" s="55"/>
      <c r="R1868" s="57"/>
      <c r="S1868" s="58"/>
    </row>
    <row r="1869" spans="1:19" x14ac:dyDescent="0.25">
      <c r="A1869" s="51" t="str">
        <f>(COUNTIF($K$2:K1869,K1869))&amp;K1869</f>
        <v>1</v>
      </c>
      <c r="B1869" s="52"/>
      <c r="C1869" s="53"/>
      <c r="D1869" s="54"/>
      <c r="E1869" s="55"/>
      <c r="F1869" s="55"/>
      <c r="G1869" s="55"/>
      <c r="H1869" s="55"/>
      <c r="I1869" s="55"/>
      <c r="J1869" s="55"/>
      <c r="K1869" s="56"/>
      <c r="L1869" s="55"/>
      <c r="M1869" s="55"/>
      <c r="N1869" s="55"/>
      <c r="O1869" s="55"/>
      <c r="P1869" s="55"/>
      <c r="Q1869" s="55"/>
      <c r="R1869" s="57"/>
      <c r="S1869" s="58"/>
    </row>
    <row r="1870" spans="1:19" x14ac:dyDescent="0.25">
      <c r="A1870" s="51" t="str">
        <f>(COUNTIF($K$2:K1870,K1870))&amp;K1870</f>
        <v>1</v>
      </c>
      <c r="B1870" s="52"/>
      <c r="C1870" s="53"/>
      <c r="D1870" s="54"/>
      <c r="E1870" s="55"/>
      <c r="F1870" s="55"/>
      <c r="G1870" s="55"/>
      <c r="H1870" s="55"/>
      <c r="I1870" s="55"/>
      <c r="J1870" s="55"/>
      <c r="K1870" s="56"/>
      <c r="L1870" s="55"/>
      <c r="M1870" s="55"/>
      <c r="N1870" s="55"/>
      <c r="O1870" s="55"/>
      <c r="P1870" s="55"/>
      <c r="Q1870" s="55"/>
      <c r="R1870" s="57"/>
      <c r="S1870" s="58"/>
    </row>
    <row r="1871" spans="1:19" x14ac:dyDescent="0.25">
      <c r="A1871" s="51" t="str">
        <f>(COUNTIF($K$2:K1871,K1871))&amp;K1871</f>
        <v>1</v>
      </c>
      <c r="B1871" s="52"/>
      <c r="C1871" s="60"/>
      <c r="E1871" s="61"/>
      <c r="F1871" s="62"/>
      <c r="G1871" s="63"/>
      <c r="H1871" s="64"/>
      <c r="I1871" s="64"/>
      <c r="J1871" s="64"/>
      <c r="K1871" s="65"/>
      <c r="L1871" s="64"/>
      <c r="M1871" s="64"/>
      <c r="N1871" s="64"/>
      <c r="P1871" s="63"/>
      <c r="Q1871" s="61"/>
      <c r="R1871" s="64"/>
      <c r="S1871" s="64"/>
    </row>
    <row r="1872" spans="1:19" x14ac:dyDescent="0.25">
      <c r="A1872" s="51" t="str">
        <f>(COUNTIF($K$2:K1872,K1872))&amp;K1872</f>
        <v>1</v>
      </c>
      <c r="B1872" s="52"/>
      <c r="C1872" s="53"/>
      <c r="D1872" s="54"/>
      <c r="E1872" s="55"/>
      <c r="F1872" s="55"/>
      <c r="G1872" s="55"/>
      <c r="H1872" s="55"/>
      <c r="I1872" s="55"/>
      <c r="J1872" s="55"/>
      <c r="K1872" s="56"/>
      <c r="L1872" s="55"/>
      <c r="M1872" s="55"/>
      <c r="N1872" s="55"/>
      <c r="O1872" s="55"/>
      <c r="P1872" s="55"/>
      <c r="Q1872" s="55"/>
      <c r="R1872" s="57"/>
      <c r="S1872" s="58"/>
    </row>
    <row r="1873" spans="1:19" x14ac:dyDescent="0.25">
      <c r="A1873" s="51" t="str">
        <f>(COUNTIF($K$2:K1873,K1873))&amp;K1873</f>
        <v>1</v>
      </c>
      <c r="B1873" s="52"/>
      <c r="C1873" s="53"/>
      <c r="D1873" s="54"/>
      <c r="E1873" s="55"/>
      <c r="F1873" s="55"/>
      <c r="G1873" s="55"/>
      <c r="H1873" s="55"/>
      <c r="I1873" s="55"/>
      <c r="J1873" s="55"/>
      <c r="K1873" s="56"/>
      <c r="L1873" s="55"/>
      <c r="M1873" s="55"/>
      <c r="N1873" s="55"/>
      <c r="O1873" s="55"/>
      <c r="P1873" s="55"/>
      <c r="Q1873" s="55"/>
      <c r="R1873" s="57"/>
      <c r="S1873" s="58"/>
    </row>
    <row r="1874" spans="1:19" x14ac:dyDescent="0.25">
      <c r="A1874" s="51" t="str">
        <f>(COUNTIF($K$2:K1874,K1874))&amp;K1874</f>
        <v>1</v>
      </c>
      <c r="B1874" s="52"/>
      <c r="C1874" s="53"/>
      <c r="D1874" s="54"/>
      <c r="E1874" s="55"/>
      <c r="F1874" s="55"/>
      <c r="G1874" s="55"/>
      <c r="H1874" s="55"/>
      <c r="I1874" s="55"/>
      <c r="J1874" s="55"/>
      <c r="K1874" s="56"/>
      <c r="L1874" s="55"/>
      <c r="M1874" s="55"/>
      <c r="N1874" s="55"/>
      <c r="O1874" s="55"/>
      <c r="P1874" s="55"/>
      <c r="Q1874" s="55"/>
      <c r="R1874" s="57"/>
      <c r="S1874" s="58"/>
    </row>
    <row r="1875" spans="1:19" x14ac:dyDescent="0.25">
      <c r="A1875" s="51" t="str">
        <f>(COUNTIF($K$2:K1875,K1875))&amp;K1875</f>
        <v>1</v>
      </c>
      <c r="B1875" s="52"/>
      <c r="C1875" s="53"/>
      <c r="D1875" s="54"/>
      <c r="E1875" s="55"/>
      <c r="F1875" s="55"/>
      <c r="G1875" s="55"/>
      <c r="H1875" s="55"/>
      <c r="I1875" s="55"/>
      <c r="J1875" s="55"/>
      <c r="K1875" s="56"/>
      <c r="L1875" s="55"/>
      <c r="M1875" s="55"/>
      <c r="N1875" s="55"/>
      <c r="O1875" s="55"/>
      <c r="P1875" s="55"/>
      <c r="Q1875" s="55"/>
      <c r="R1875" s="57"/>
      <c r="S1875" s="58"/>
    </row>
    <row r="1876" spans="1:19" x14ac:dyDescent="0.25">
      <c r="A1876" s="51" t="str">
        <f>(COUNTIF($K$2:K1876,K1876))&amp;K1876</f>
        <v>1</v>
      </c>
      <c r="B1876" s="52"/>
      <c r="C1876" s="53"/>
      <c r="D1876" s="54"/>
      <c r="E1876" s="55"/>
      <c r="F1876" s="55"/>
      <c r="G1876" s="55"/>
      <c r="H1876" s="55"/>
      <c r="I1876" s="55"/>
      <c r="J1876" s="55"/>
      <c r="K1876" s="56"/>
      <c r="L1876" s="55"/>
      <c r="M1876" s="55"/>
      <c r="N1876" s="55"/>
      <c r="O1876" s="55"/>
      <c r="P1876" s="55"/>
      <c r="Q1876" s="55"/>
      <c r="R1876" s="57"/>
      <c r="S1876" s="58"/>
    </row>
    <row r="1877" spans="1:19" x14ac:dyDescent="0.25">
      <c r="A1877" s="51" t="str">
        <f>(COUNTIF($K$2:K1877,K1877))&amp;K1877</f>
        <v>1</v>
      </c>
      <c r="B1877" s="52"/>
      <c r="C1877" s="53"/>
      <c r="D1877" s="54"/>
      <c r="E1877" s="55"/>
      <c r="F1877" s="55"/>
      <c r="G1877" s="55"/>
      <c r="H1877" s="55"/>
      <c r="I1877" s="55"/>
      <c r="J1877" s="55"/>
      <c r="K1877" s="56"/>
      <c r="L1877" s="55"/>
      <c r="M1877" s="55"/>
      <c r="N1877" s="55"/>
      <c r="O1877" s="55"/>
      <c r="P1877" s="55"/>
      <c r="Q1877" s="55"/>
      <c r="R1877" s="57"/>
      <c r="S1877" s="58"/>
    </row>
    <row r="1878" spans="1:19" x14ac:dyDescent="0.25">
      <c r="A1878" s="51" t="str">
        <f>(COUNTIF($K$2:K1878,K1878))&amp;K1878</f>
        <v>1</v>
      </c>
      <c r="B1878" s="52"/>
      <c r="C1878" s="53"/>
      <c r="D1878" s="54"/>
      <c r="E1878" s="55"/>
      <c r="F1878" s="55"/>
      <c r="G1878" s="55"/>
      <c r="H1878" s="55"/>
      <c r="I1878" s="55"/>
      <c r="J1878" s="55"/>
      <c r="K1878" s="56"/>
      <c r="L1878" s="55"/>
      <c r="M1878" s="55"/>
      <c r="N1878" s="55"/>
      <c r="O1878" s="55"/>
      <c r="P1878" s="55"/>
      <c r="Q1878" s="55"/>
      <c r="R1878" s="57"/>
      <c r="S1878" s="58"/>
    </row>
    <row r="1879" spans="1:19" x14ac:dyDescent="0.25">
      <c r="A1879" s="51" t="str">
        <f>(COUNTIF($K$2:K1879,K1879))&amp;K1879</f>
        <v>1</v>
      </c>
      <c r="B1879" s="52"/>
      <c r="C1879" s="53"/>
      <c r="D1879" s="54"/>
      <c r="E1879" s="55"/>
      <c r="F1879" s="55"/>
      <c r="G1879" s="55"/>
      <c r="H1879" s="55"/>
      <c r="I1879" s="55"/>
      <c r="J1879" s="55"/>
      <c r="K1879" s="56"/>
      <c r="L1879" s="55"/>
      <c r="M1879" s="55"/>
      <c r="N1879" s="55"/>
      <c r="O1879" s="55"/>
      <c r="P1879" s="55"/>
      <c r="Q1879" s="55"/>
      <c r="R1879" s="57"/>
      <c r="S1879" s="58"/>
    </row>
    <row r="1880" spans="1:19" ht="15.75" x14ac:dyDescent="0.25">
      <c r="A1880" s="51" t="str">
        <f>(COUNTIF($K$2:K1880,K1880))&amp;K1880</f>
        <v>1</v>
      </c>
      <c r="B1880" s="52"/>
      <c r="C1880" s="53"/>
      <c r="D1880" s="54"/>
      <c r="E1880" s="55"/>
      <c r="F1880" s="55"/>
      <c r="G1880" s="55"/>
      <c r="H1880" s="55"/>
      <c r="I1880" s="55"/>
      <c r="J1880" s="55"/>
      <c r="K1880" s="59"/>
      <c r="L1880" s="55"/>
      <c r="M1880" s="55"/>
      <c r="N1880" s="55"/>
      <c r="O1880" s="55"/>
      <c r="P1880" s="55"/>
      <c r="Q1880" s="55"/>
      <c r="R1880" s="57"/>
      <c r="S1880" s="58"/>
    </row>
    <row r="1881" spans="1:19" x14ac:dyDescent="0.25">
      <c r="A1881" s="51" t="str">
        <f>(COUNTIF($K$2:K1881,K1881))&amp;K1881</f>
        <v>1</v>
      </c>
      <c r="B1881" s="52"/>
      <c r="C1881" s="53"/>
      <c r="D1881" s="54"/>
      <c r="E1881" s="55"/>
      <c r="F1881" s="55"/>
      <c r="G1881" s="55"/>
      <c r="H1881" s="55"/>
      <c r="I1881" s="55"/>
      <c r="J1881" s="55"/>
      <c r="K1881" s="56"/>
      <c r="L1881" s="55"/>
      <c r="M1881" s="55"/>
      <c r="N1881" s="55"/>
      <c r="O1881" s="55"/>
      <c r="P1881" s="55"/>
      <c r="Q1881" s="55"/>
      <c r="R1881" s="57"/>
      <c r="S1881" s="58"/>
    </row>
    <row r="1882" spans="1:19" x14ac:dyDescent="0.25">
      <c r="A1882" s="51" t="str">
        <f>(COUNTIF($K$2:K1882,K1882))&amp;K1882</f>
        <v>1</v>
      </c>
      <c r="B1882" s="52"/>
      <c r="C1882" s="53"/>
      <c r="D1882" s="54"/>
      <c r="E1882" s="55"/>
      <c r="F1882" s="55"/>
      <c r="G1882" s="55"/>
      <c r="H1882" s="55"/>
      <c r="I1882" s="55"/>
      <c r="J1882" s="55"/>
      <c r="K1882" s="56"/>
      <c r="L1882" s="55"/>
      <c r="M1882" s="55"/>
      <c r="N1882" s="55"/>
      <c r="O1882" s="55"/>
      <c r="P1882" s="55"/>
      <c r="Q1882" s="55"/>
      <c r="R1882" s="57"/>
      <c r="S1882" s="58"/>
    </row>
    <row r="1883" spans="1:19" x14ac:dyDescent="0.25">
      <c r="A1883" s="51" t="str">
        <f>(COUNTIF($K$2:K1883,K1883))&amp;K1883</f>
        <v>1</v>
      </c>
      <c r="B1883" s="52"/>
      <c r="C1883" s="53"/>
      <c r="D1883" s="54"/>
      <c r="E1883" s="55"/>
      <c r="F1883" s="55"/>
      <c r="G1883" s="55"/>
      <c r="H1883" s="55"/>
      <c r="I1883" s="55"/>
      <c r="J1883" s="55"/>
      <c r="K1883" s="56"/>
      <c r="L1883" s="55"/>
      <c r="M1883" s="55"/>
      <c r="N1883" s="55"/>
      <c r="O1883" s="55"/>
      <c r="P1883" s="55"/>
      <c r="Q1883" s="55"/>
      <c r="R1883" s="57"/>
      <c r="S1883" s="58"/>
    </row>
    <row r="1884" spans="1:19" x14ac:dyDescent="0.25">
      <c r="A1884" s="51" t="str">
        <f>(COUNTIF($K$2:K1884,K1884))&amp;K1884</f>
        <v>1</v>
      </c>
      <c r="B1884" s="52"/>
      <c r="C1884" s="53"/>
      <c r="D1884" s="54"/>
      <c r="E1884" s="55"/>
      <c r="F1884" s="55"/>
      <c r="G1884" s="55"/>
      <c r="H1884" s="55"/>
      <c r="I1884" s="55"/>
      <c r="J1884" s="55"/>
      <c r="K1884" s="56"/>
      <c r="L1884" s="55"/>
      <c r="M1884" s="55"/>
      <c r="N1884" s="55"/>
      <c r="O1884" s="55"/>
      <c r="P1884" s="55"/>
      <c r="Q1884" s="55"/>
      <c r="R1884" s="57"/>
      <c r="S1884" s="58"/>
    </row>
    <row r="1885" spans="1:19" x14ac:dyDescent="0.25">
      <c r="A1885" s="51" t="str">
        <f>(COUNTIF($K$2:K1885,K1885))&amp;K1885</f>
        <v>1</v>
      </c>
      <c r="B1885" s="52"/>
      <c r="C1885" s="53"/>
      <c r="D1885" s="54"/>
      <c r="E1885" s="55"/>
      <c r="F1885" s="55"/>
      <c r="G1885" s="55"/>
      <c r="H1885" s="55"/>
      <c r="I1885" s="55"/>
      <c r="J1885" s="55"/>
      <c r="K1885" s="56"/>
      <c r="L1885" s="55"/>
      <c r="M1885" s="55"/>
      <c r="N1885" s="55"/>
      <c r="O1885" s="55"/>
      <c r="P1885" s="55"/>
      <c r="Q1885" s="55"/>
      <c r="R1885" s="57"/>
      <c r="S1885" s="58"/>
    </row>
    <row r="1886" spans="1:19" x14ac:dyDescent="0.25">
      <c r="A1886" s="51" t="str">
        <f>(COUNTIF($K$2:K1886,K1886))&amp;K1886</f>
        <v>1</v>
      </c>
      <c r="B1886" s="52"/>
      <c r="C1886" s="53"/>
      <c r="D1886" s="54"/>
      <c r="E1886" s="55"/>
      <c r="F1886" s="55"/>
      <c r="G1886" s="55"/>
      <c r="H1886" s="55"/>
      <c r="I1886" s="55"/>
      <c r="J1886" s="55"/>
      <c r="K1886" s="56"/>
      <c r="L1886" s="55"/>
      <c r="M1886" s="55"/>
      <c r="N1886" s="55"/>
      <c r="O1886" s="55"/>
      <c r="P1886" s="55"/>
      <c r="Q1886" s="55"/>
      <c r="R1886" s="57"/>
      <c r="S1886" s="58"/>
    </row>
    <row r="1887" spans="1:19" x14ac:dyDescent="0.25">
      <c r="A1887" s="51" t="str">
        <f>(COUNTIF($K$2:K1887,K1887))&amp;K1887</f>
        <v>1</v>
      </c>
      <c r="B1887" s="52"/>
      <c r="C1887" s="53"/>
      <c r="D1887" s="54"/>
      <c r="E1887" s="55"/>
      <c r="F1887" s="55"/>
      <c r="G1887" s="55"/>
      <c r="H1887" s="55"/>
      <c r="I1887" s="55"/>
      <c r="J1887" s="55"/>
      <c r="K1887" s="56"/>
      <c r="L1887" s="55"/>
      <c r="M1887" s="55"/>
      <c r="N1887" s="55"/>
      <c r="O1887" s="55"/>
      <c r="P1887" s="55"/>
      <c r="Q1887" s="55"/>
      <c r="R1887" s="57"/>
      <c r="S1887" s="58"/>
    </row>
    <row r="1888" spans="1:19" x14ac:dyDescent="0.25">
      <c r="A1888" s="51" t="str">
        <f>(COUNTIF($K$2:K1888,K1888))&amp;K1888</f>
        <v>1</v>
      </c>
      <c r="B1888" s="52"/>
      <c r="C1888" s="60"/>
      <c r="E1888" s="61"/>
      <c r="F1888" s="62"/>
      <c r="G1888" s="63"/>
      <c r="H1888" s="64"/>
      <c r="I1888" s="64"/>
      <c r="J1888" s="64"/>
      <c r="K1888" s="65"/>
      <c r="L1888" s="64"/>
      <c r="M1888" s="64"/>
      <c r="N1888" s="64"/>
      <c r="P1888" s="63"/>
      <c r="Q1888" s="61"/>
      <c r="R1888" s="64"/>
      <c r="S1888" s="64"/>
    </row>
    <row r="1889" spans="1:19" x14ac:dyDescent="0.25">
      <c r="A1889" s="51" t="str">
        <f>(COUNTIF($K$2:K1889,K1889))&amp;K1889</f>
        <v>1</v>
      </c>
      <c r="B1889" s="52"/>
      <c r="C1889" s="53"/>
      <c r="D1889" s="54"/>
      <c r="E1889" s="55"/>
      <c r="F1889" s="55"/>
      <c r="G1889" s="55"/>
      <c r="H1889" s="55"/>
      <c r="I1889" s="55"/>
      <c r="J1889" s="55"/>
      <c r="K1889" s="56"/>
      <c r="L1889" s="55"/>
      <c r="M1889" s="55"/>
      <c r="N1889" s="55"/>
      <c r="O1889" s="55"/>
      <c r="P1889" s="55"/>
      <c r="Q1889" s="55"/>
      <c r="R1889" s="57"/>
      <c r="S1889" s="58"/>
    </row>
    <row r="1890" spans="1:19" x14ac:dyDescent="0.25">
      <c r="A1890" s="51" t="str">
        <f>(COUNTIF($K$2:K1890,K1890))&amp;K1890</f>
        <v>1</v>
      </c>
      <c r="B1890" s="52"/>
      <c r="C1890" s="53"/>
      <c r="D1890" s="54"/>
      <c r="E1890" s="55"/>
      <c r="F1890" s="55"/>
      <c r="G1890" s="55"/>
      <c r="H1890" s="55"/>
      <c r="I1890" s="55"/>
      <c r="J1890" s="55"/>
      <c r="K1890" s="56"/>
      <c r="L1890" s="55"/>
      <c r="M1890" s="55"/>
      <c r="N1890" s="55"/>
      <c r="O1890" s="55"/>
      <c r="P1890" s="55"/>
      <c r="Q1890" s="55"/>
      <c r="R1890" s="57"/>
      <c r="S1890" s="58"/>
    </row>
    <row r="1891" spans="1:19" x14ac:dyDescent="0.25">
      <c r="A1891" s="51" t="str">
        <f>(COUNTIF($K$2:K1891,K1891))&amp;K1891</f>
        <v>1</v>
      </c>
      <c r="B1891" s="52"/>
      <c r="C1891" s="53"/>
      <c r="D1891" s="54"/>
      <c r="E1891" s="55"/>
      <c r="F1891" s="55"/>
      <c r="G1891" s="55"/>
      <c r="H1891" s="55"/>
      <c r="I1891" s="55"/>
      <c r="J1891" s="55"/>
      <c r="K1891" s="56"/>
      <c r="L1891" s="55"/>
      <c r="M1891" s="55"/>
      <c r="N1891" s="55"/>
      <c r="O1891" s="55"/>
      <c r="P1891" s="55"/>
      <c r="Q1891" s="55"/>
      <c r="R1891" s="57"/>
      <c r="S1891" s="58"/>
    </row>
    <row r="1892" spans="1:19" x14ac:dyDescent="0.25">
      <c r="A1892" s="51" t="str">
        <f>(COUNTIF($K$2:K1892,K1892))&amp;K1892</f>
        <v>1</v>
      </c>
      <c r="B1892" s="52"/>
      <c r="C1892" s="53"/>
      <c r="D1892" s="54"/>
      <c r="E1892" s="55"/>
      <c r="F1892" s="55"/>
      <c r="G1892" s="55"/>
      <c r="H1892" s="55"/>
      <c r="I1892" s="55"/>
      <c r="J1892" s="55"/>
      <c r="K1892" s="56"/>
      <c r="L1892" s="55"/>
      <c r="M1892" s="55"/>
      <c r="N1892" s="55"/>
      <c r="O1892" s="55"/>
      <c r="P1892" s="55"/>
      <c r="Q1892" s="55"/>
      <c r="R1892" s="57"/>
      <c r="S1892" s="58"/>
    </row>
    <row r="1893" spans="1:19" x14ac:dyDescent="0.25">
      <c r="A1893" s="51" t="str">
        <f>(COUNTIF($K$2:K1893,K1893))&amp;K1893</f>
        <v>1</v>
      </c>
      <c r="B1893" s="52"/>
      <c r="C1893" s="53"/>
      <c r="D1893" s="54"/>
      <c r="E1893" s="55"/>
      <c r="F1893" s="55"/>
      <c r="G1893" s="55"/>
      <c r="H1893" s="55"/>
      <c r="I1893" s="55"/>
      <c r="J1893" s="55"/>
      <c r="K1893" s="56"/>
      <c r="L1893" s="55"/>
      <c r="M1893" s="55"/>
      <c r="N1893" s="55"/>
      <c r="O1893" s="55"/>
      <c r="P1893" s="55"/>
      <c r="Q1893" s="55"/>
      <c r="R1893" s="57"/>
      <c r="S1893" s="58"/>
    </row>
    <row r="1894" spans="1:19" x14ac:dyDescent="0.25">
      <c r="A1894" s="51" t="str">
        <f>(COUNTIF($K$2:K1894,K1894))&amp;K1894</f>
        <v>1</v>
      </c>
      <c r="B1894" s="52"/>
      <c r="C1894" s="53"/>
      <c r="D1894" s="54"/>
      <c r="E1894" s="55"/>
      <c r="F1894" s="55"/>
      <c r="G1894" s="55"/>
      <c r="H1894" s="55"/>
      <c r="I1894" s="55"/>
      <c r="J1894" s="55"/>
      <c r="K1894" s="56"/>
      <c r="L1894" s="55"/>
      <c r="M1894" s="55"/>
      <c r="N1894" s="55"/>
      <c r="O1894" s="55"/>
      <c r="P1894" s="55"/>
      <c r="Q1894" s="55"/>
      <c r="R1894" s="57"/>
      <c r="S1894" s="58"/>
    </row>
    <row r="1895" spans="1:19" x14ac:dyDescent="0.25">
      <c r="A1895" s="51" t="str">
        <f>(COUNTIF($K$2:K1895,K1895))&amp;K1895</f>
        <v>1</v>
      </c>
      <c r="B1895" s="52"/>
      <c r="C1895" s="53"/>
      <c r="D1895" s="54"/>
      <c r="E1895" s="55"/>
      <c r="F1895" s="55"/>
      <c r="G1895" s="55"/>
      <c r="H1895" s="55"/>
      <c r="I1895" s="55"/>
      <c r="J1895" s="55"/>
      <c r="K1895" s="56"/>
      <c r="L1895" s="55"/>
      <c r="M1895" s="55"/>
      <c r="N1895" s="55"/>
      <c r="O1895" s="55"/>
      <c r="P1895" s="55"/>
      <c r="Q1895" s="55"/>
      <c r="R1895" s="57"/>
      <c r="S1895" s="58"/>
    </row>
    <row r="1896" spans="1:19" x14ac:dyDescent="0.25">
      <c r="A1896" s="51" t="str">
        <f>(COUNTIF($K$2:K1896,K1896))&amp;K1896</f>
        <v>1</v>
      </c>
      <c r="B1896" s="52"/>
      <c r="C1896" s="53"/>
      <c r="D1896" s="54"/>
      <c r="E1896" s="55"/>
      <c r="F1896" s="55"/>
      <c r="G1896" s="55"/>
      <c r="H1896" s="55"/>
      <c r="I1896" s="55"/>
      <c r="J1896" s="55"/>
      <c r="K1896" s="56"/>
      <c r="L1896" s="55"/>
      <c r="M1896" s="55"/>
      <c r="N1896" s="55"/>
      <c r="O1896" s="55"/>
      <c r="P1896" s="55"/>
      <c r="Q1896" s="55"/>
      <c r="R1896" s="57"/>
      <c r="S1896" s="58"/>
    </row>
    <row r="1897" spans="1:19" ht="15.75" x14ac:dyDescent="0.25">
      <c r="A1897" s="51" t="str">
        <f>(COUNTIF($K$2:K1897,K1897))&amp;K1897</f>
        <v>1</v>
      </c>
      <c r="B1897" s="52"/>
      <c r="C1897" s="53"/>
      <c r="D1897" s="54"/>
      <c r="E1897" s="55"/>
      <c r="F1897" s="55"/>
      <c r="G1897" s="55"/>
      <c r="H1897" s="55"/>
      <c r="I1897" s="55"/>
      <c r="J1897" s="55"/>
      <c r="K1897" s="59"/>
      <c r="L1897" s="55"/>
      <c r="M1897" s="55"/>
      <c r="N1897" s="55"/>
      <c r="O1897" s="55"/>
      <c r="P1897" s="55"/>
      <c r="Q1897" s="55"/>
      <c r="R1897" s="57"/>
      <c r="S1897" s="58"/>
    </row>
    <row r="1898" spans="1:19" x14ac:dyDescent="0.25">
      <c r="A1898" s="51" t="str">
        <f>(COUNTIF($K$2:K1898,K1898))&amp;K1898</f>
        <v>1</v>
      </c>
      <c r="B1898" s="52"/>
      <c r="C1898" s="53"/>
      <c r="D1898" s="54"/>
      <c r="E1898" s="55"/>
      <c r="F1898" s="55"/>
      <c r="G1898" s="55"/>
      <c r="H1898" s="55"/>
      <c r="I1898" s="55"/>
      <c r="J1898" s="55"/>
      <c r="K1898" s="56"/>
      <c r="L1898" s="55"/>
      <c r="M1898" s="55"/>
      <c r="N1898" s="55"/>
      <c r="O1898" s="55"/>
      <c r="P1898" s="55"/>
      <c r="Q1898" s="55"/>
      <c r="R1898" s="57"/>
      <c r="S1898" s="58"/>
    </row>
    <row r="1899" spans="1:19" x14ac:dyDescent="0.25">
      <c r="A1899" s="51" t="str">
        <f>(COUNTIF($K$2:K1899,K1899))&amp;K1899</f>
        <v>1</v>
      </c>
      <c r="B1899" s="52"/>
      <c r="C1899" s="53"/>
      <c r="D1899" s="54"/>
      <c r="E1899" s="55"/>
      <c r="F1899" s="55"/>
      <c r="G1899" s="55"/>
      <c r="H1899" s="55"/>
      <c r="I1899" s="55"/>
      <c r="J1899" s="55"/>
      <c r="K1899" s="56"/>
      <c r="L1899" s="55"/>
      <c r="M1899" s="55"/>
      <c r="N1899" s="55"/>
      <c r="O1899" s="55"/>
      <c r="P1899" s="55"/>
      <c r="Q1899" s="55"/>
      <c r="R1899" s="57"/>
      <c r="S1899" s="58"/>
    </row>
    <row r="1900" spans="1:19" x14ac:dyDescent="0.25">
      <c r="A1900" s="51" t="str">
        <f>(COUNTIF($K$2:K1900,K1900))&amp;K1900</f>
        <v>1</v>
      </c>
      <c r="B1900" s="52"/>
      <c r="C1900" s="53"/>
      <c r="D1900" s="54"/>
      <c r="E1900" s="55"/>
      <c r="F1900" s="55"/>
      <c r="G1900" s="55"/>
      <c r="H1900" s="55"/>
      <c r="I1900" s="55"/>
      <c r="J1900" s="55"/>
      <c r="K1900" s="56"/>
      <c r="L1900" s="55"/>
      <c r="M1900" s="55"/>
      <c r="N1900" s="55"/>
      <c r="O1900" s="55"/>
      <c r="P1900" s="55"/>
      <c r="Q1900" s="55"/>
      <c r="R1900" s="57"/>
      <c r="S1900" s="58"/>
    </row>
    <row r="1901" spans="1:19" x14ac:dyDescent="0.25">
      <c r="A1901" s="51" t="str">
        <f>(COUNTIF($K$2:K1901,K1901))&amp;K1901</f>
        <v>1</v>
      </c>
      <c r="B1901" s="52"/>
      <c r="C1901" s="53"/>
      <c r="D1901" s="54"/>
      <c r="E1901" s="55"/>
      <c r="F1901" s="55"/>
      <c r="G1901" s="55"/>
      <c r="H1901" s="55"/>
      <c r="I1901" s="55"/>
      <c r="J1901" s="55"/>
      <c r="K1901" s="56"/>
      <c r="L1901" s="55"/>
      <c r="M1901" s="55"/>
      <c r="N1901" s="55"/>
      <c r="O1901" s="55"/>
      <c r="P1901" s="55"/>
      <c r="Q1901" s="55"/>
      <c r="R1901" s="57"/>
      <c r="S1901" s="58"/>
    </row>
    <row r="1902" spans="1:19" x14ac:dyDescent="0.25">
      <c r="A1902" s="51" t="str">
        <f>(COUNTIF($K$2:K1902,K1902))&amp;K1902</f>
        <v>1</v>
      </c>
      <c r="B1902" s="52"/>
      <c r="C1902" s="53"/>
      <c r="D1902" s="54"/>
      <c r="E1902" s="55"/>
      <c r="F1902" s="55"/>
      <c r="G1902" s="55"/>
      <c r="H1902" s="55"/>
      <c r="I1902" s="55"/>
      <c r="J1902" s="55"/>
      <c r="K1902" s="56"/>
      <c r="L1902" s="55"/>
      <c r="M1902" s="55"/>
      <c r="N1902" s="55"/>
      <c r="O1902" s="55"/>
      <c r="P1902" s="55"/>
      <c r="Q1902" s="55"/>
      <c r="R1902" s="57"/>
      <c r="S1902" s="58"/>
    </row>
    <row r="1903" spans="1:19" x14ac:dyDescent="0.25">
      <c r="A1903" s="51" t="str">
        <f>(COUNTIF($K$2:K1903,K1903))&amp;K1903</f>
        <v>1</v>
      </c>
      <c r="B1903" s="52"/>
      <c r="C1903" s="53"/>
      <c r="D1903" s="54"/>
      <c r="E1903" s="55"/>
      <c r="F1903" s="55"/>
      <c r="G1903" s="55"/>
      <c r="H1903" s="55"/>
      <c r="I1903" s="55"/>
      <c r="J1903" s="55"/>
      <c r="K1903" s="56"/>
      <c r="L1903" s="55"/>
      <c r="M1903" s="55"/>
      <c r="N1903" s="55"/>
      <c r="O1903" s="55"/>
      <c r="P1903" s="55"/>
      <c r="Q1903" s="55"/>
      <c r="R1903" s="57"/>
      <c r="S1903" s="58"/>
    </row>
    <row r="1904" spans="1:19" x14ac:dyDescent="0.25">
      <c r="A1904" s="51" t="str">
        <f>(COUNTIF($K$2:K1904,K1904))&amp;K1904</f>
        <v>1</v>
      </c>
      <c r="B1904" s="52"/>
      <c r="C1904" s="53"/>
      <c r="D1904" s="54"/>
      <c r="E1904" s="55"/>
      <c r="F1904" s="55"/>
      <c r="G1904" s="55"/>
      <c r="H1904" s="55"/>
      <c r="I1904" s="55"/>
      <c r="J1904" s="55"/>
      <c r="K1904" s="56"/>
      <c r="L1904" s="55"/>
      <c r="M1904" s="55"/>
      <c r="N1904" s="55"/>
      <c r="O1904" s="55"/>
      <c r="P1904" s="55"/>
      <c r="Q1904" s="55"/>
      <c r="R1904" s="57"/>
      <c r="S1904" s="58"/>
    </row>
    <row r="1905" spans="1:19" x14ac:dyDescent="0.25">
      <c r="A1905" s="51" t="str">
        <f>(COUNTIF($K$2:K1905,K1905))&amp;K1905</f>
        <v>1</v>
      </c>
      <c r="B1905" s="52"/>
      <c r="C1905" s="60"/>
      <c r="E1905" s="61"/>
      <c r="F1905" s="62"/>
      <c r="G1905" s="63"/>
      <c r="H1905" s="64"/>
      <c r="I1905" s="64"/>
      <c r="J1905" s="64"/>
      <c r="K1905" s="65"/>
      <c r="L1905" s="64"/>
      <c r="M1905" s="64"/>
      <c r="N1905" s="64"/>
      <c r="P1905" s="63"/>
      <c r="Q1905" s="61"/>
      <c r="R1905" s="64"/>
      <c r="S1905" s="64"/>
    </row>
    <row r="1906" spans="1:19" x14ac:dyDescent="0.25">
      <c r="A1906" s="51" t="str">
        <f>(COUNTIF($K$2:K1906,K1906))&amp;K1906</f>
        <v>1</v>
      </c>
      <c r="B1906" s="52"/>
      <c r="C1906" s="53"/>
      <c r="D1906" s="54"/>
      <c r="E1906" s="55"/>
      <c r="F1906" s="55"/>
      <c r="G1906" s="55"/>
      <c r="H1906" s="55"/>
      <c r="I1906" s="55"/>
      <c r="J1906" s="55"/>
      <c r="K1906" s="56"/>
      <c r="L1906" s="55"/>
      <c r="M1906" s="55"/>
      <c r="N1906" s="55"/>
      <c r="O1906" s="55"/>
      <c r="P1906" s="55"/>
      <c r="Q1906" s="55"/>
      <c r="R1906" s="57"/>
      <c r="S1906" s="58"/>
    </row>
    <row r="1907" spans="1:19" x14ac:dyDescent="0.25">
      <c r="A1907" s="51" t="str">
        <f>(COUNTIF($K$2:K1907,K1907))&amp;K1907</f>
        <v>1</v>
      </c>
      <c r="B1907" s="52"/>
      <c r="C1907" s="53"/>
      <c r="D1907" s="54"/>
      <c r="E1907" s="55"/>
      <c r="F1907" s="55"/>
      <c r="G1907" s="55"/>
      <c r="H1907" s="55"/>
      <c r="I1907" s="55"/>
      <c r="J1907" s="55"/>
      <c r="K1907" s="56"/>
      <c r="L1907" s="55"/>
      <c r="M1907" s="55"/>
      <c r="N1907" s="55"/>
      <c r="O1907" s="55"/>
      <c r="P1907" s="55"/>
      <c r="Q1907" s="55"/>
      <c r="R1907" s="57"/>
      <c r="S1907" s="58"/>
    </row>
    <row r="1908" spans="1:19" x14ac:dyDescent="0.25">
      <c r="A1908" s="51" t="str">
        <f>(COUNTIF($K$2:K1908,K1908))&amp;K1908</f>
        <v>1</v>
      </c>
      <c r="B1908" s="52"/>
      <c r="C1908" s="53"/>
      <c r="D1908" s="54"/>
      <c r="E1908" s="55"/>
      <c r="F1908" s="55"/>
      <c r="G1908" s="55"/>
      <c r="H1908" s="55"/>
      <c r="I1908" s="55"/>
      <c r="J1908" s="55"/>
      <c r="K1908" s="56"/>
      <c r="L1908" s="55"/>
      <c r="M1908" s="55"/>
      <c r="N1908" s="55"/>
      <c r="O1908" s="55"/>
      <c r="P1908" s="55"/>
      <c r="Q1908" s="55"/>
      <c r="R1908" s="57"/>
      <c r="S1908" s="58"/>
    </row>
    <row r="1909" spans="1:19" x14ac:dyDescent="0.25">
      <c r="A1909" s="51" t="str">
        <f>(COUNTIF($K$2:K1909,K1909))&amp;K1909</f>
        <v>1</v>
      </c>
      <c r="B1909" s="52"/>
      <c r="C1909" s="53"/>
      <c r="D1909" s="54"/>
      <c r="E1909" s="55"/>
      <c r="F1909" s="55"/>
      <c r="G1909" s="55"/>
      <c r="H1909" s="55"/>
      <c r="I1909" s="55"/>
      <c r="J1909" s="55"/>
      <c r="K1909" s="56"/>
      <c r="L1909" s="55"/>
      <c r="M1909" s="55"/>
      <c r="N1909" s="55"/>
      <c r="O1909" s="55"/>
      <c r="P1909" s="55"/>
      <c r="Q1909" s="55"/>
      <c r="R1909" s="57"/>
      <c r="S1909" s="58"/>
    </row>
    <row r="1910" spans="1:19" x14ac:dyDescent="0.25">
      <c r="A1910" s="51" t="str">
        <f>(COUNTIF($K$2:K1910,K1910))&amp;K1910</f>
        <v>1</v>
      </c>
      <c r="B1910" s="52"/>
      <c r="C1910" s="53"/>
      <c r="D1910" s="54"/>
      <c r="E1910" s="55"/>
      <c r="F1910" s="55"/>
      <c r="G1910" s="55"/>
      <c r="H1910" s="55"/>
      <c r="I1910" s="55"/>
      <c r="J1910" s="55"/>
      <c r="K1910" s="56"/>
      <c r="L1910" s="55"/>
      <c r="M1910" s="55"/>
      <c r="N1910" s="55"/>
      <c r="O1910" s="55"/>
      <c r="P1910" s="55"/>
      <c r="Q1910" s="55"/>
      <c r="R1910" s="57"/>
      <c r="S1910" s="58"/>
    </row>
    <row r="1911" spans="1:19" x14ac:dyDescent="0.25">
      <c r="A1911" s="51" t="str">
        <f>(COUNTIF($K$2:K1911,K1911))&amp;K1911</f>
        <v>1</v>
      </c>
      <c r="B1911" s="52"/>
      <c r="C1911" s="53"/>
      <c r="D1911" s="54"/>
      <c r="E1911" s="55"/>
      <c r="F1911" s="55"/>
      <c r="G1911" s="55"/>
      <c r="H1911" s="55"/>
      <c r="I1911" s="55"/>
      <c r="J1911" s="55"/>
      <c r="K1911" s="56"/>
      <c r="L1911" s="55"/>
      <c r="M1911" s="55"/>
      <c r="N1911" s="55"/>
      <c r="O1911" s="55"/>
      <c r="P1911" s="55"/>
      <c r="Q1911" s="55"/>
      <c r="R1911" s="57"/>
      <c r="S1911" s="58"/>
    </row>
    <row r="1912" spans="1:19" x14ac:dyDescent="0.25">
      <c r="A1912" s="51" t="str">
        <f>(COUNTIF($K$2:K1912,K1912))&amp;K1912</f>
        <v>1</v>
      </c>
      <c r="B1912" s="52"/>
      <c r="C1912" s="53"/>
      <c r="D1912" s="54"/>
      <c r="E1912" s="55"/>
      <c r="F1912" s="55"/>
      <c r="G1912" s="55"/>
      <c r="H1912" s="55"/>
      <c r="I1912" s="55"/>
      <c r="J1912" s="55"/>
      <c r="K1912" s="56"/>
      <c r="L1912" s="55"/>
      <c r="M1912" s="55"/>
      <c r="N1912" s="55"/>
      <c r="O1912" s="55"/>
      <c r="P1912" s="55"/>
      <c r="Q1912" s="55"/>
      <c r="R1912" s="57"/>
      <c r="S1912" s="58"/>
    </row>
    <row r="1913" spans="1:19" x14ac:dyDescent="0.25">
      <c r="A1913" s="51" t="str">
        <f>(COUNTIF($K$2:K1913,K1913))&amp;K1913</f>
        <v>1</v>
      </c>
      <c r="B1913" s="52"/>
      <c r="C1913" s="53"/>
      <c r="D1913" s="54"/>
      <c r="E1913" s="55"/>
      <c r="F1913" s="55"/>
      <c r="G1913" s="55"/>
      <c r="H1913" s="55"/>
      <c r="I1913" s="55"/>
      <c r="J1913" s="55"/>
      <c r="K1913" s="56"/>
      <c r="L1913" s="55"/>
      <c r="M1913" s="55"/>
      <c r="N1913" s="55"/>
      <c r="O1913" s="55"/>
      <c r="P1913" s="55"/>
      <c r="Q1913" s="55"/>
      <c r="R1913" s="57"/>
      <c r="S1913" s="58"/>
    </row>
    <row r="1914" spans="1:19" ht="15.75" x14ac:dyDescent="0.25">
      <c r="A1914" s="51" t="str">
        <f>(COUNTIF($K$2:K1914,K1914))&amp;K1914</f>
        <v>1</v>
      </c>
      <c r="B1914" s="52"/>
      <c r="C1914" s="53"/>
      <c r="D1914" s="54"/>
      <c r="E1914" s="55"/>
      <c r="F1914" s="55"/>
      <c r="G1914" s="55"/>
      <c r="H1914" s="55"/>
      <c r="I1914" s="55"/>
      <c r="J1914" s="55"/>
      <c r="K1914" s="59"/>
      <c r="L1914" s="55"/>
      <c r="M1914" s="55"/>
      <c r="N1914" s="55"/>
      <c r="O1914" s="55"/>
      <c r="P1914" s="55"/>
      <c r="Q1914" s="55"/>
      <c r="R1914" s="57"/>
      <c r="S1914" s="58"/>
    </row>
    <row r="1915" spans="1:19" x14ac:dyDescent="0.25">
      <c r="A1915" s="51" t="str">
        <f>(COUNTIF($K$2:K1915,K1915))&amp;K1915</f>
        <v>1</v>
      </c>
      <c r="B1915" s="52"/>
      <c r="C1915" s="53"/>
      <c r="D1915" s="54"/>
      <c r="E1915" s="55"/>
      <c r="F1915" s="55"/>
      <c r="G1915" s="55"/>
      <c r="H1915" s="55"/>
      <c r="I1915" s="55"/>
      <c r="J1915" s="55"/>
      <c r="K1915" s="56"/>
      <c r="L1915" s="55"/>
      <c r="M1915" s="55"/>
      <c r="N1915" s="55"/>
      <c r="O1915" s="55"/>
      <c r="P1915" s="55"/>
      <c r="Q1915" s="55"/>
      <c r="R1915" s="57"/>
      <c r="S1915" s="58"/>
    </row>
    <row r="1916" spans="1:19" x14ac:dyDescent="0.25">
      <c r="A1916" s="51" t="str">
        <f>(COUNTIF($K$2:K1916,K1916))&amp;K1916</f>
        <v>1</v>
      </c>
      <c r="B1916" s="52"/>
      <c r="C1916" s="53"/>
      <c r="D1916" s="54"/>
      <c r="E1916" s="55"/>
      <c r="F1916" s="55"/>
      <c r="G1916" s="55"/>
      <c r="H1916" s="55"/>
      <c r="I1916" s="55"/>
      <c r="J1916" s="55"/>
      <c r="K1916" s="56"/>
      <c r="L1916" s="55"/>
      <c r="M1916" s="55"/>
      <c r="N1916" s="55"/>
      <c r="O1916" s="55"/>
      <c r="P1916" s="55"/>
      <c r="Q1916" s="55"/>
      <c r="R1916" s="57"/>
      <c r="S1916" s="58"/>
    </row>
    <row r="1917" spans="1:19" x14ac:dyDescent="0.25">
      <c r="A1917" s="51" t="str">
        <f>(COUNTIF($K$2:K1917,K1917))&amp;K1917</f>
        <v>1</v>
      </c>
      <c r="B1917" s="52"/>
      <c r="C1917" s="53"/>
      <c r="D1917" s="54"/>
      <c r="E1917" s="55"/>
      <c r="F1917" s="55"/>
      <c r="G1917" s="55"/>
      <c r="H1917" s="55"/>
      <c r="I1917" s="55"/>
      <c r="J1917" s="55"/>
      <c r="K1917" s="56"/>
      <c r="L1917" s="55"/>
      <c r="M1917" s="55"/>
      <c r="N1917" s="55"/>
      <c r="O1917" s="55"/>
      <c r="P1917" s="55"/>
      <c r="Q1917" s="55"/>
      <c r="R1917" s="57"/>
      <c r="S1917" s="58"/>
    </row>
    <row r="1918" spans="1:19" x14ac:dyDescent="0.25">
      <c r="A1918" s="51" t="str">
        <f>(COUNTIF($K$2:K1918,K1918))&amp;K1918</f>
        <v>1</v>
      </c>
      <c r="B1918" s="52"/>
      <c r="C1918" s="53"/>
      <c r="D1918" s="54"/>
      <c r="E1918" s="55"/>
      <c r="F1918" s="55"/>
      <c r="G1918" s="55"/>
      <c r="H1918" s="55"/>
      <c r="I1918" s="55"/>
      <c r="J1918" s="55"/>
      <c r="K1918" s="56"/>
      <c r="L1918" s="55"/>
      <c r="M1918" s="55"/>
      <c r="N1918" s="55"/>
      <c r="O1918" s="55"/>
      <c r="P1918" s="55"/>
      <c r="Q1918" s="55"/>
      <c r="R1918" s="57"/>
      <c r="S1918" s="58"/>
    </row>
    <row r="1919" spans="1:19" x14ac:dyDescent="0.25">
      <c r="A1919" s="51" t="str">
        <f>(COUNTIF($K$2:K1919,K1919))&amp;K1919</f>
        <v>1</v>
      </c>
      <c r="B1919" s="52"/>
      <c r="C1919" s="53"/>
      <c r="D1919" s="54"/>
      <c r="E1919" s="55"/>
      <c r="F1919" s="55"/>
      <c r="G1919" s="55"/>
      <c r="H1919" s="55"/>
      <c r="I1919" s="55"/>
      <c r="J1919" s="55"/>
      <c r="K1919" s="56"/>
      <c r="L1919" s="55"/>
      <c r="M1919" s="55"/>
      <c r="N1919" s="55"/>
      <c r="O1919" s="55"/>
      <c r="P1919" s="55"/>
      <c r="Q1919" s="55"/>
      <c r="R1919" s="57"/>
      <c r="S1919" s="58"/>
    </row>
    <row r="1920" spans="1:19" x14ac:dyDescent="0.25">
      <c r="A1920" s="51" t="str">
        <f>(COUNTIF($K$2:K1920,K1920))&amp;K1920</f>
        <v>1</v>
      </c>
      <c r="B1920" s="52"/>
      <c r="C1920" s="53"/>
      <c r="D1920" s="54"/>
      <c r="E1920" s="55"/>
      <c r="F1920" s="55"/>
      <c r="G1920" s="55"/>
      <c r="H1920" s="55"/>
      <c r="I1920" s="55"/>
      <c r="J1920" s="55"/>
      <c r="K1920" s="56"/>
      <c r="L1920" s="55"/>
      <c r="M1920" s="55"/>
      <c r="N1920" s="55"/>
      <c r="O1920" s="55"/>
      <c r="P1920" s="55"/>
      <c r="Q1920" s="55"/>
      <c r="R1920" s="57"/>
      <c r="S1920" s="58"/>
    </row>
    <row r="1921" spans="1:19" x14ac:dyDescent="0.25">
      <c r="A1921" s="51" t="str">
        <f>(COUNTIF($K$2:K1921,K1921))&amp;K1921</f>
        <v>1</v>
      </c>
      <c r="B1921" s="52"/>
      <c r="C1921" s="53"/>
      <c r="D1921" s="54"/>
      <c r="E1921" s="55"/>
      <c r="F1921" s="55"/>
      <c r="G1921" s="55"/>
      <c r="H1921" s="55"/>
      <c r="I1921" s="55"/>
      <c r="J1921" s="55"/>
      <c r="K1921" s="56"/>
      <c r="L1921" s="55"/>
      <c r="M1921" s="55"/>
      <c r="N1921" s="55"/>
      <c r="O1921" s="55"/>
      <c r="P1921" s="55"/>
      <c r="Q1921" s="55"/>
      <c r="R1921" s="57"/>
      <c r="S1921" s="58"/>
    </row>
    <row r="1922" spans="1:19" x14ac:dyDescent="0.25">
      <c r="A1922" s="51" t="str">
        <f>(COUNTIF($K$2:K1922,K1922))&amp;K1922</f>
        <v>1</v>
      </c>
      <c r="B1922" s="52"/>
      <c r="C1922" s="60"/>
      <c r="E1922" s="61"/>
      <c r="F1922" s="62"/>
      <c r="G1922" s="63"/>
      <c r="H1922" s="64"/>
      <c r="I1922" s="64"/>
      <c r="J1922" s="64"/>
      <c r="K1922" s="65"/>
      <c r="L1922" s="64"/>
      <c r="M1922" s="64"/>
      <c r="N1922" s="64"/>
      <c r="P1922" s="63"/>
      <c r="Q1922" s="61"/>
      <c r="R1922" s="64"/>
      <c r="S1922" s="64"/>
    </row>
    <row r="1923" spans="1:19" x14ac:dyDescent="0.25">
      <c r="A1923" s="51" t="str">
        <f>(COUNTIF($K$2:K1923,K1923))&amp;K1923</f>
        <v>1</v>
      </c>
      <c r="B1923" s="52"/>
      <c r="C1923" s="53"/>
      <c r="D1923" s="54"/>
      <c r="E1923" s="55"/>
      <c r="F1923" s="55"/>
      <c r="G1923" s="55"/>
      <c r="H1923" s="55"/>
      <c r="I1923" s="55"/>
      <c r="J1923" s="55"/>
      <c r="K1923" s="56"/>
      <c r="L1923" s="55"/>
      <c r="M1923" s="55"/>
      <c r="N1923" s="55"/>
      <c r="O1923" s="55"/>
      <c r="P1923" s="55"/>
      <c r="Q1923" s="55"/>
      <c r="R1923" s="57"/>
      <c r="S1923" s="58"/>
    </row>
    <row r="1924" spans="1:19" x14ac:dyDescent="0.25">
      <c r="A1924" s="51" t="str">
        <f>(COUNTIF($K$2:K1924,K1924))&amp;K1924</f>
        <v>1</v>
      </c>
      <c r="B1924" s="52"/>
      <c r="C1924" s="53"/>
      <c r="D1924" s="54"/>
      <c r="E1924" s="55"/>
      <c r="F1924" s="55"/>
      <c r="G1924" s="55"/>
      <c r="H1924" s="55"/>
      <c r="I1924" s="55"/>
      <c r="J1924" s="55"/>
      <c r="K1924" s="56"/>
      <c r="L1924" s="55"/>
      <c r="M1924" s="55"/>
      <c r="N1924" s="55"/>
      <c r="O1924" s="55"/>
      <c r="P1924" s="55"/>
      <c r="Q1924" s="55"/>
      <c r="R1924" s="57"/>
      <c r="S1924" s="58"/>
    </row>
    <row r="1925" spans="1:19" x14ac:dyDescent="0.25">
      <c r="A1925" s="51" t="str">
        <f>(COUNTIF($K$2:K1925,K1925))&amp;K1925</f>
        <v>1</v>
      </c>
      <c r="B1925" s="52"/>
      <c r="C1925" s="53"/>
      <c r="D1925" s="54"/>
      <c r="E1925" s="55"/>
      <c r="F1925" s="55"/>
      <c r="G1925" s="55"/>
      <c r="H1925" s="55"/>
      <c r="I1925" s="55"/>
      <c r="J1925" s="55"/>
      <c r="K1925" s="56"/>
      <c r="L1925" s="55"/>
      <c r="M1925" s="55"/>
      <c r="N1925" s="55"/>
      <c r="O1925" s="55"/>
      <c r="P1925" s="55"/>
      <c r="Q1925" s="55"/>
      <c r="R1925" s="57"/>
      <c r="S1925" s="58"/>
    </row>
    <row r="1926" spans="1:19" x14ac:dyDescent="0.25">
      <c r="A1926" s="51" t="str">
        <f>(COUNTIF($K$2:K1926,K1926))&amp;K1926</f>
        <v>1</v>
      </c>
      <c r="B1926" s="52"/>
      <c r="C1926" s="53"/>
      <c r="D1926" s="54"/>
      <c r="E1926" s="55"/>
      <c r="F1926" s="55"/>
      <c r="G1926" s="55"/>
      <c r="H1926" s="55"/>
      <c r="I1926" s="55"/>
      <c r="J1926" s="55"/>
      <c r="K1926" s="56"/>
      <c r="L1926" s="55"/>
      <c r="M1926" s="55"/>
      <c r="N1926" s="55"/>
      <c r="O1926" s="55"/>
      <c r="P1926" s="55"/>
      <c r="Q1926" s="55"/>
      <c r="R1926" s="57"/>
      <c r="S1926" s="58"/>
    </row>
    <row r="1927" spans="1:19" x14ac:dyDescent="0.25">
      <c r="A1927" s="51" t="str">
        <f>(COUNTIF($K$2:K1927,K1927))&amp;K1927</f>
        <v>1</v>
      </c>
      <c r="B1927" s="52"/>
      <c r="C1927" s="53"/>
      <c r="D1927" s="54"/>
      <c r="E1927" s="55"/>
      <c r="F1927" s="55"/>
      <c r="G1927" s="55"/>
      <c r="H1927" s="55"/>
      <c r="I1927" s="55"/>
      <c r="J1927" s="55"/>
      <c r="K1927" s="56"/>
      <c r="L1927" s="55"/>
      <c r="M1927" s="55"/>
      <c r="N1927" s="55"/>
      <c r="O1927" s="55"/>
      <c r="P1927" s="55"/>
      <c r="Q1927" s="55"/>
      <c r="R1927" s="57"/>
      <c r="S1927" s="58"/>
    </row>
    <row r="1928" spans="1:19" x14ac:dyDescent="0.25">
      <c r="A1928" s="51" t="str">
        <f>(COUNTIF($K$2:K1928,K1928))&amp;K1928</f>
        <v>1</v>
      </c>
      <c r="B1928" s="52"/>
      <c r="C1928" s="53"/>
      <c r="D1928" s="54"/>
      <c r="E1928" s="55"/>
      <c r="F1928" s="55"/>
      <c r="G1928" s="55"/>
      <c r="H1928" s="55"/>
      <c r="I1928" s="55"/>
      <c r="J1928" s="55"/>
      <c r="K1928" s="56"/>
      <c r="L1928" s="55"/>
      <c r="M1928" s="55"/>
      <c r="N1928" s="55"/>
      <c r="O1928" s="55"/>
      <c r="P1928" s="55"/>
      <c r="Q1928" s="55"/>
      <c r="R1928" s="57"/>
      <c r="S1928" s="58"/>
    </row>
    <row r="1929" spans="1:19" x14ac:dyDescent="0.25">
      <c r="A1929" s="51" t="str">
        <f>(COUNTIF($K$2:K1929,K1929))&amp;K1929</f>
        <v>1</v>
      </c>
      <c r="B1929" s="52"/>
      <c r="C1929" s="53"/>
      <c r="D1929" s="54"/>
      <c r="E1929" s="55"/>
      <c r="F1929" s="55"/>
      <c r="G1929" s="55"/>
      <c r="H1929" s="55"/>
      <c r="I1929" s="55"/>
      <c r="J1929" s="55"/>
      <c r="K1929" s="56"/>
      <c r="L1929" s="55"/>
      <c r="M1929" s="55"/>
      <c r="N1929" s="55"/>
      <c r="O1929" s="55"/>
      <c r="P1929" s="55"/>
      <c r="Q1929" s="55"/>
      <c r="R1929" s="57"/>
      <c r="S1929" s="58"/>
    </row>
    <row r="1930" spans="1:19" x14ac:dyDescent="0.25">
      <c r="A1930" s="51" t="str">
        <f>(COUNTIF($K$2:K1930,K1930))&amp;K1930</f>
        <v>1</v>
      </c>
      <c r="B1930" s="52"/>
      <c r="C1930" s="53"/>
      <c r="D1930" s="54"/>
      <c r="E1930" s="55"/>
      <c r="F1930" s="55"/>
      <c r="G1930" s="55"/>
      <c r="H1930" s="55"/>
      <c r="I1930" s="55"/>
      <c r="J1930" s="55"/>
      <c r="K1930" s="56"/>
      <c r="L1930" s="55"/>
      <c r="M1930" s="55"/>
      <c r="N1930" s="55"/>
      <c r="O1930" s="55"/>
      <c r="P1930" s="55"/>
      <c r="Q1930" s="55"/>
      <c r="R1930" s="57"/>
      <c r="S1930" s="58"/>
    </row>
    <row r="1931" spans="1:19" ht="15.75" x14ac:dyDescent="0.25">
      <c r="A1931" s="51" t="str">
        <f>(COUNTIF($K$2:K1931,K1931))&amp;K1931</f>
        <v>1</v>
      </c>
      <c r="B1931" s="52"/>
      <c r="C1931" s="53"/>
      <c r="D1931" s="54"/>
      <c r="E1931" s="55"/>
      <c r="F1931" s="55"/>
      <c r="G1931" s="55"/>
      <c r="H1931" s="55"/>
      <c r="I1931" s="55"/>
      <c r="J1931" s="55"/>
      <c r="K1931" s="59"/>
      <c r="L1931" s="55"/>
      <c r="M1931" s="55"/>
      <c r="N1931" s="55"/>
      <c r="O1931" s="55"/>
      <c r="P1931" s="55"/>
      <c r="Q1931" s="55"/>
      <c r="R1931" s="57"/>
      <c r="S1931" s="58"/>
    </row>
    <row r="1932" spans="1:19" x14ac:dyDescent="0.25">
      <c r="A1932" s="51" t="str">
        <f>(COUNTIF($K$2:K1932,K1932))&amp;K1932</f>
        <v>1</v>
      </c>
      <c r="B1932" s="52"/>
      <c r="C1932" s="53"/>
      <c r="D1932" s="54"/>
      <c r="E1932" s="55"/>
      <c r="F1932" s="55"/>
      <c r="G1932" s="55"/>
      <c r="H1932" s="55"/>
      <c r="I1932" s="55"/>
      <c r="J1932" s="55"/>
      <c r="K1932" s="56"/>
      <c r="L1932" s="55"/>
      <c r="M1932" s="55"/>
      <c r="N1932" s="55"/>
      <c r="O1932" s="55"/>
      <c r="P1932" s="55"/>
      <c r="Q1932" s="55"/>
      <c r="R1932" s="57"/>
      <c r="S1932" s="58"/>
    </row>
    <row r="1933" spans="1:19" x14ac:dyDescent="0.25">
      <c r="A1933" s="51" t="str">
        <f>(COUNTIF($K$2:K1933,K1933))&amp;K1933</f>
        <v>1</v>
      </c>
      <c r="B1933" s="52"/>
      <c r="C1933" s="53"/>
      <c r="D1933" s="54"/>
      <c r="E1933" s="55"/>
      <c r="F1933" s="55"/>
      <c r="G1933" s="55"/>
      <c r="H1933" s="55"/>
      <c r="I1933" s="55"/>
      <c r="J1933" s="55"/>
      <c r="K1933" s="56"/>
      <c r="L1933" s="55"/>
      <c r="M1933" s="55"/>
      <c r="N1933" s="55"/>
      <c r="O1933" s="55"/>
      <c r="P1933" s="55"/>
      <c r="Q1933" s="55"/>
      <c r="R1933" s="57"/>
      <c r="S1933" s="58"/>
    </row>
    <row r="1934" spans="1:19" x14ac:dyDescent="0.25">
      <c r="A1934" s="51" t="str">
        <f>(COUNTIF($K$2:K1934,K1934))&amp;K1934</f>
        <v>1</v>
      </c>
      <c r="B1934" s="52"/>
      <c r="C1934" s="53"/>
      <c r="D1934" s="54"/>
      <c r="E1934" s="55"/>
      <c r="F1934" s="55"/>
      <c r="G1934" s="55"/>
      <c r="H1934" s="55"/>
      <c r="I1934" s="55"/>
      <c r="J1934" s="55"/>
      <c r="K1934" s="56"/>
      <c r="L1934" s="55"/>
      <c r="M1934" s="55"/>
      <c r="N1934" s="55"/>
      <c r="O1934" s="55"/>
      <c r="P1934" s="55"/>
      <c r="Q1934" s="55"/>
      <c r="R1934" s="57"/>
      <c r="S1934" s="58"/>
    </row>
    <row r="1935" spans="1:19" x14ac:dyDescent="0.25">
      <c r="A1935" s="51" t="str">
        <f>(COUNTIF($K$2:K1935,K1935))&amp;K1935</f>
        <v>1</v>
      </c>
      <c r="B1935" s="52"/>
      <c r="C1935" s="53"/>
      <c r="D1935" s="54"/>
      <c r="E1935" s="55"/>
      <c r="F1935" s="55"/>
      <c r="G1935" s="55"/>
      <c r="H1935" s="55"/>
      <c r="I1935" s="55"/>
      <c r="J1935" s="55"/>
      <c r="K1935" s="56"/>
      <c r="L1935" s="55"/>
      <c r="M1935" s="55"/>
      <c r="N1935" s="55"/>
      <c r="O1935" s="55"/>
      <c r="P1935" s="55"/>
      <c r="Q1935" s="55"/>
      <c r="R1935" s="57"/>
      <c r="S1935" s="58"/>
    </row>
    <row r="1936" spans="1:19" x14ac:dyDescent="0.25">
      <c r="A1936" s="51" t="str">
        <f>(COUNTIF($K$2:K1936,K1936))&amp;K1936</f>
        <v>1</v>
      </c>
      <c r="B1936" s="52"/>
      <c r="C1936" s="53"/>
      <c r="D1936" s="54"/>
      <c r="E1936" s="55"/>
      <c r="F1936" s="55"/>
      <c r="G1936" s="55"/>
      <c r="H1936" s="55"/>
      <c r="I1936" s="55"/>
      <c r="J1936" s="55"/>
      <c r="K1936" s="56"/>
      <c r="L1936" s="55"/>
      <c r="M1936" s="55"/>
      <c r="N1936" s="55"/>
      <c r="O1936" s="55"/>
      <c r="P1936" s="55"/>
      <c r="Q1936" s="55"/>
      <c r="R1936" s="57"/>
      <c r="S1936" s="58"/>
    </row>
    <row r="1937" spans="1:19" x14ac:dyDescent="0.25">
      <c r="A1937" s="51" t="str">
        <f>(COUNTIF($K$2:K1937,K1937))&amp;K1937</f>
        <v>1</v>
      </c>
      <c r="B1937" s="52"/>
      <c r="C1937" s="53"/>
      <c r="D1937" s="54"/>
      <c r="E1937" s="55"/>
      <c r="F1937" s="55"/>
      <c r="G1937" s="55"/>
      <c r="H1937" s="55"/>
      <c r="I1937" s="55"/>
      <c r="J1937" s="55"/>
      <c r="K1937" s="56"/>
      <c r="L1937" s="55"/>
      <c r="M1937" s="55"/>
      <c r="N1937" s="55"/>
      <c r="O1937" s="55"/>
      <c r="P1937" s="55"/>
      <c r="Q1937" s="55"/>
      <c r="R1937" s="57"/>
      <c r="S1937" s="58"/>
    </row>
    <row r="1938" spans="1:19" x14ac:dyDescent="0.25">
      <c r="A1938" s="51" t="str">
        <f>(COUNTIF($K$2:K1938,K1938))&amp;K1938</f>
        <v>1</v>
      </c>
      <c r="B1938" s="52"/>
      <c r="C1938" s="53"/>
      <c r="D1938" s="54"/>
      <c r="E1938" s="55"/>
      <c r="F1938" s="55"/>
      <c r="G1938" s="55"/>
      <c r="H1938" s="55"/>
      <c r="I1938" s="55"/>
      <c r="J1938" s="55"/>
      <c r="K1938" s="56"/>
      <c r="L1938" s="55"/>
      <c r="M1938" s="55"/>
      <c r="N1938" s="55"/>
      <c r="O1938" s="55"/>
      <c r="P1938" s="55"/>
      <c r="Q1938" s="55"/>
      <c r="R1938" s="57"/>
      <c r="S1938" s="58"/>
    </row>
    <row r="1939" spans="1:19" x14ac:dyDescent="0.25">
      <c r="A1939" s="51" t="str">
        <f>(COUNTIF($K$2:K1939,K1939))&amp;K1939</f>
        <v>1</v>
      </c>
      <c r="B1939" s="52"/>
      <c r="C1939" s="60"/>
      <c r="E1939" s="61"/>
      <c r="F1939" s="62"/>
      <c r="G1939" s="63"/>
      <c r="H1939" s="64"/>
      <c r="I1939" s="64"/>
      <c r="J1939" s="64"/>
      <c r="K1939" s="65"/>
      <c r="L1939" s="64"/>
      <c r="M1939" s="64"/>
      <c r="N1939" s="64"/>
      <c r="P1939" s="63"/>
      <c r="Q1939" s="61"/>
      <c r="R1939" s="64"/>
      <c r="S1939" s="64"/>
    </row>
    <row r="1940" spans="1:19" x14ac:dyDescent="0.25">
      <c r="A1940" s="51" t="str">
        <f>(COUNTIF($K$2:K1940,K1940))&amp;K1940</f>
        <v>1</v>
      </c>
      <c r="B1940" s="52"/>
      <c r="C1940" s="53"/>
      <c r="D1940" s="54"/>
      <c r="E1940" s="55"/>
      <c r="F1940" s="55"/>
      <c r="G1940" s="55"/>
      <c r="H1940" s="55"/>
      <c r="I1940" s="55"/>
      <c r="J1940" s="55"/>
      <c r="K1940" s="56"/>
      <c r="L1940" s="55"/>
      <c r="M1940" s="55"/>
      <c r="N1940" s="55"/>
      <c r="O1940" s="55"/>
      <c r="P1940" s="55"/>
      <c r="Q1940" s="55"/>
      <c r="R1940" s="57"/>
      <c r="S1940" s="58"/>
    </row>
    <row r="1941" spans="1:19" x14ac:dyDescent="0.25">
      <c r="A1941" s="51" t="str">
        <f>(COUNTIF($K$2:K1941,K1941))&amp;K1941</f>
        <v>1</v>
      </c>
      <c r="B1941" s="52"/>
      <c r="C1941" s="53"/>
      <c r="D1941" s="54"/>
      <c r="E1941" s="55"/>
      <c r="F1941" s="55"/>
      <c r="G1941" s="55"/>
      <c r="H1941" s="55"/>
      <c r="I1941" s="55"/>
      <c r="J1941" s="55"/>
      <c r="K1941" s="56"/>
      <c r="L1941" s="55"/>
      <c r="M1941" s="55"/>
      <c r="N1941" s="55"/>
      <c r="O1941" s="55"/>
      <c r="P1941" s="55"/>
      <c r="Q1941" s="55"/>
      <c r="R1941" s="57"/>
      <c r="S1941" s="58"/>
    </row>
    <row r="1942" spans="1:19" x14ac:dyDescent="0.25">
      <c r="A1942" s="51" t="str">
        <f>(COUNTIF($K$2:K1942,K1942))&amp;K1942</f>
        <v>1</v>
      </c>
      <c r="B1942" s="52"/>
      <c r="C1942" s="53"/>
      <c r="D1942" s="54"/>
      <c r="E1942" s="55"/>
      <c r="F1942" s="55"/>
      <c r="G1942" s="55"/>
      <c r="H1942" s="55"/>
      <c r="I1942" s="55"/>
      <c r="J1942" s="55"/>
      <c r="K1942" s="56"/>
      <c r="L1942" s="55"/>
      <c r="M1942" s="55"/>
      <c r="N1942" s="55"/>
      <c r="O1942" s="55"/>
      <c r="P1942" s="55"/>
      <c r="Q1942" s="55"/>
      <c r="R1942" s="57"/>
      <c r="S1942" s="58"/>
    </row>
    <row r="1943" spans="1:19" x14ac:dyDescent="0.25">
      <c r="A1943" s="51" t="str">
        <f>(COUNTIF($K$2:K1943,K1943))&amp;K1943</f>
        <v>1</v>
      </c>
      <c r="B1943" s="52"/>
      <c r="C1943" s="53"/>
      <c r="D1943" s="54"/>
      <c r="E1943" s="55"/>
      <c r="F1943" s="55"/>
      <c r="G1943" s="55"/>
      <c r="H1943" s="55"/>
      <c r="I1943" s="55"/>
      <c r="J1943" s="55"/>
      <c r="K1943" s="56"/>
      <c r="L1943" s="55"/>
      <c r="M1943" s="55"/>
      <c r="N1943" s="55"/>
      <c r="O1943" s="55"/>
      <c r="P1943" s="55"/>
      <c r="Q1943" s="55"/>
      <c r="R1943" s="57"/>
      <c r="S1943" s="58"/>
    </row>
    <row r="1944" spans="1:19" x14ac:dyDescent="0.25">
      <c r="A1944" s="51" t="str">
        <f>(COUNTIF($K$2:K1944,K1944))&amp;K1944</f>
        <v>1</v>
      </c>
      <c r="B1944" s="52"/>
      <c r="C1944" s="53"/>
      <c r="D1944" s="54"/>
      <c r="E1944" s="55"/>
      <c r="F1944" s="55"/>
      <c r="G1944" s="55"/>
      <c r="H1944" s="55"/>
      <c r="I1944" s="55"/>
      <c r="J1944" s="55"/>
      <c r="K1944" s="56"/>
      <c r="L1944" s="55"/>
      <c r="M1944" s="55"/>
      <c r="N1944" s="55"/>
      <c r="O1944" s="55"/>
      <c r="P1944" s="55"/>
      <c r="Q1944" s="55"/>
      <c r="R1944" s="57"/>
      <c r="S1944" s="58"/>
    </row>
    <row r="1945" spans="1:19" x14ac:dyDescent="0.25">
      <c r="A1945" s="51" t="str">
        <f>(COUNTIF($K$2:K1945,K1945))&amp;K1945</f>
        <v>1</v>
      </c>
      <c r="B1945" s="52"/>
      <c r="C1945" s="53"/>
      <c r="D1945" s="54"/>
      <c r="E1945" s="55"/>
      <c r="F1945" s="55"/>
      <c r="G1945" s="55"/>
      <c r="H1945" s="55"/>
      <c r="I1945" s="55"/>
      <c r="J1945" s="55"/>
      <c r="K1945" s="56"/>
      <c r="L1945" s="55"/>
      <c r="M1945" s="55"/>
      <c r="N1945" s="55"/>
      <c r="O1945" s="55"/>
      <c r="P1945" s="55"/>
      <c r="Q1945" s="55"/>
      <c r="R1945" s="57"/>
      <c r="S1945" s="58"/>
    </row>
    <row r="1946" spans="1:19" x14ac:dyDescent="0.25">
      <c r="A1946" s="51" t="str">
        <f>(COUNTIF($K$2:K1946,K1946))&amp;K1946</f>
        <v>1</v>
      </c>
      <c r="B1946" s="52"/>
      <c r="C1946" s="53"/>
      <c r="D1946" s="54"/>
      <c r="E1946" s="55"/>
      <c r="F1946" s="55"/>
      <c r="G1946" s="55"/>
      <c r="H1946" s="55"/>
      <c r="I1946" s="55"/>
      <c r="J1946" s="55"/>
      <c r="K1946" s="56"/>
      <c r="L1946" s="55"/>
      <c r="M1946" s="55"/>
      <c r="N1946" s="55"/>
      <c r="O1946" s="55"/>
      <c r="P1946" s="55"/>
      <c r="Q1946" s="55"/>
      <c r="R1946" s="57"/>
      <c r="S1946" s="58"/>
    </row>
    <row r="1947" spans="1:19" x14ac:dyDescent="0.25">
      <c r="A1947" s="51" t="str">
        <f>(COUNTIF($K$2:K1947,K1947))&amp;K1947</f>
        <v>1</v>
      </c>
      <c r="B1947" s="52"/>
      <c r="C1947" s="53"/>
      <c r="D1947" s="54"/>
      <c r="E1947" s="55"/>
      <c r="F1947" s="55"/>
      <c r="G1947" s="55"/>
      <c r="H1947" s="55"/>
      <c r="I1947" s="55"/>
      <c r="J1947" s="55"/>
      <c r="K1947" s="56"/>
      <c r="L1947" s="55"/>
      <c r="M1947" s="55"/>
      <c r="N1947" s="55"/>
      <c r="O1947" s="55"/>
      <c r="P1947" s="55"/>
      <c r="Q1947" s="55"/>
      <c r="R1947" s="57"/>
      <c r="S1947" s="58"/>
    </row>
    <row r="1948" spans="1:19" ht="15.75" x14ac:dyDescent="0.25">
      <c r="A1948" s="51" t="str">
        <f>(COUNTIF($K$2:K1948,K1948))&amp;K1948</f>
        <v>1</v>
      </c>
      <c r="B1948" s="52"/>
      <c r="C1948" s="53"/>
      <c r="D1948" s="54"/>
      <c r="E1948" s="55"/>
      <c r="F1948" s="55"/>
      <c r="G1948" s="55"/>
      <c r="H1948" s="55"/>
      <c r="I1948" s="55"/>
      <c r="J1948" s="55"/>
      <c r="K1948" s="59"/>
      <c r="L1948" s="55"/>
      <c r="M1948" s="55"/>
      <c r="N1948" s="55"/>
      <c r="O1948" s="55"/>
      <c r="P1948" s="55"/>
      <c r="Q1948" s="55"/>
      <c r="R1948" s="57"/>
      <c r="S1948" s="58"/>
    </row>
    <row r="1949" spans="1:19" x14ac:dyDescent="0.25">
      <c r="A1949" s="51" t="str">
        <f>(COUNTIF($K$2:K1949,K1949))&amp;K1949</f>
        <v>1</v>
      </c>
      <c r="B1949" s="52"/>
      <c r="C1949" s="53"/>
      <c r="D1949" s="54"/>
      <c r="E1949" s="55"/>
      <c r="F1949" s="55"/>
      <c r="G1949" s="55"/>
      <c r="H1949" s="55"/>
      <c r="I1949" s="55"/>
      <c r="J1949" s="55"/>
      <c r="K1949" s="56"/>
      <c r="L1949" s="55"/>
      <c r="M1949" s="55"/>
      <c r="N1949" s="55"/>
      <c r="O1949" s="55"/>
      <c r="P1949" s="55"/>
      <c r="Q1949" s="55"/>
      <c r="R1949" s="57"/>
      <c r="S1949" s="58"/>
    </row>
    <row r="1950" spans="1:19" x14ac:dyDescent="0.25">
      <c r="A1950" s="51" t="str">
        <f>(COUNTIF($K$2:K1950,K1950))&amp;K1950</f>
        <v>1</v>
      </c>
      <c r="B1950" s="52"/>
      <c r="C1950" s="53"/>
      <c r="D1950" s="54"/>
      <c r="E1950" s="55"/>
      <c r="F1950" s="55"/>
      <c r="G1950" s="55"/>
      <c r="H1950" s="55"/>
      <c r="I1950" s="55"/>
      <c r="J1950" s="55"/>
      <c r="K1950" s="56"/>
      <c r="L1950" s="55"/>
      <c r="M1950" s="55"/>
      <c r="N1950" s="55"/>
      <c r="O1950" s="55"/>
      <c r="P1950" s="55"/>
      <c r="Q1950" s="55"/>
      <c r="R1950" s="57"/>
      <c r="S1950" s="58"/>
    </row>
    <row r="1951" spans="1:19" x14ac:dyDescent="0.25">
      <c r="A1951" s="51" t="str">
        <f>(COUNTIF($K$2:K1951,K1951))&amp;K1951</f>
        <v>1</v>
      </c>
      <c r="B1951" s="52"/>
      <c r="C1951" s="53"/>
      <c r="D1951" s="54"/>
      <c r="E1951" s="55"/>
      <c r="F1951" s="55"/>
      <c r="G1951" s="55"/>
      <c r="H1951" s="55"/>
      <c r="I1951" s="55"/>
      <c r="J1951" s="55"/>
      <c r="K1951" s="56"/>
      <c r="L1951" s="55"/>
      <c r="M1951" s="55"/>
      <c r="N1951" s="55"/>
      <c r="O1951" s="55"/>
      <c r="P1951" s="55"/>
      <c r="Q1951" s="55"/>
      <c r="R1951" s="57"/>
      <c r="S1951" s="58"/>
    </row>
    <row r="1952" spans="1:19" x14ac:dyDescent="0.25">
      <c r="A1952" s="51" t="str">
        <f>(COUNTIF($K$2:K1952,K1952))&amp;K1952</f>
        <v>1</v>
      </c>
      <c r="B1952" s="52"/>
      <c r="C1952" s="53"/>
      <c r="D1952" s="54"/>
      <c r="E1952" s="55"/>
      <c r="F1952" s="55"/>
      <c r="G1952" s="55"/>
      <c r="H1952" s="55"/>
      <c r="I1952" s="55"/>
      <c r="J1952" s="55"/>
      <c r="K1952" s="56"/>
      <c r="L1952" s="55"/>
      <c r="M1952" s="55"/>
      <c r="N1952" s="55"/>
      <c r="O1952" s="55"/>
      <c r="P1952" s="55"/>
      <c r="Q1952" s="55"/>
      <c r="R1952" s="57"/>
      <c r="S1952" s="58"/>
    </row>
    <row r="1953" spans="1:19" x14ac:dyDescent="0.25">
      <c r="A1953" s="51" t="str">
        <f>(COUNTIF($K$2:K1953,K1953))&amp;K1953</f>
        <v>1</v>
      </c>
      <c r="B1953" s="52"/>
      <c r="C1953" s="53"/>
      <c r="D1953" s="54"/>
      <c r="E1953" s="55"/>
      <c r="F1953" s="55"/>
      <c r="G1953" s="55"/>
      <c r="H1953" s="55"/>
      <c r="I1953" s="55"/>
      <c r="J1953" s="55"/>
      <c r="K1953" s="56"/>
      <c r="L1953" s="55"/>
      <c r="M1953" s="55"/>
      <c r="N1953" s="55"/>
      <c r="O1953" s="55"/>
      <c r="P1953" s="55"/>
      <c r="Q1953" s="55"/>
      <c r="R1953" s="57"/>
      <c r="S1953" s="58"/>
    </row>
    <row r="1954" spans="1:19" x14ac:dyDescent="0.25">
      <c r="A1954" s="51" t="str">
        <f>(COUNTIF($K$2:K1954,K1954))&amp;K1954</f>
        <v>1</v>
      </c>
      <c r="B1954" s="52"/>
      <c r="C1954" s="53"/>
      <c r="D1954" s="54"/>
      <c r="E1954" s="55"/>
      <c r="F1954" s="55"/>
      <c r="G1954" s="55"/>
      <c r="H1954" s="55"/>
      <c r="I1954" s="55"/>
      <c r="J1954" s="55"/>
      <c r="K1954" s="56"/>
      <c r="L1954" s="55"/>
      <c r="M1954" s="55"/>
      <c r="N1954" s="55"/>
      <c r="O1954" s="55"/>
      <c r="P1954" s="55"/>
      <c r="Q1954" s="55"/>
      <c r="R1954" s="57"/>
      <c r="S1954" s="58"/>
    </row>
    <row r="1955" spans="1:19" x14ac:dyDescent="0.25">
      <c r="A1955" s="51" t="str">
        <f>(COUNTIF($K$2:K1955,K1955))&amp;K1955</f>
        <v>1</v>
      </c>
      <c r="B1955" s="52"/>
      <c r="C1955" s="53"/>
      <c r="D1955" s="54"/>
      <c r="E1955" s="55"/>
      <c r="F1955" s="55"/>
      <c r="G1955" s="55"/>
      <c r="H1955" s="55"/>
      <c r="I1955" s="55"/>
      <c r="J1955" s="55"/>
      <c r="K1955" s="56"/>
      <c r="L1955" s="55"/>
      <c r="M1955" s="55"/>
      <c r="N1955" s="55"/>
      <c r="O1955" s="55"/>
      <c r="P1955" s="55"/>
      <c r="Q1955" s="55"/>
      <c r="R1955" s="57"/>
      <c r="S1955" s="58"/>
    </row>
    <row r="1956" spans="1:19" x14ac:dyDescent="0.25">
      <c r="A1956" s="51" t="str">
        <f>(COUNTIF($K$2:K1956,K1956))&amp;K1956</f>
        <v>1</v>
      </c>
      <c r="B1956" s="52"/>
      <c r="C1956" s="60"/>
      <c r="E1956" s="61"/>
      <c r="F1956" s="62"/>
      <c r="G1956" s="63"/>
      <c r="H1956" s="64"/>
      <c r="I1956" s="64"/>
      <c r="J1956" s="64"/>
      <c r="K1956" s="65"/>
      <c r="L1956" s="64"/>
      <c r="M1956" s="64"/>
      <c r="N1956" s="64"/>
      <c r="P1956" s="63"/>
      <c r="Q1956" s="61"/>
      <c r="R1956" s="64"/>
      <c r="S1956" s="64"/>
    </row>
    <row r="1957" spans="1:19" x14ac:dyDescent="0.25">
      <c r="A1957" s="51" t="str">
        <f>(COUNTIF($K$2:K1957,K1957))&amp;K1957</f>
        <v>1</v>
      </c>
      <c r="B1957" s="52"/>
      <c r="C1957" s="53"/>
      <c r="D1957" s="54"/>
      <c r="E1957" s="55"/>
      <c r="F1957" s="55"/>
      <c r="G1957" s="55"/>
      <c r="H1957" s="55"/>
      <c r="I1957" s="55"/>
      <c r="J1957" s="55"/>
      <c r="K1957" s="56"/>
      <c r="L1957" s="55"/>
      <c r="M1957" s="55"/>
      <c r="N1957" s="55"/>
      <c r="O1957" s="55"/>
      <c r="P1957" s="55"/>
      <c r="Q1957" s="55"/>
      <c r="R1957" s="57"/>
      <c r="S1957" s="58"/>
    </row>
    <row r="1958" spans="1:19" x14ac:dyDescent="0.25">
      <c r="A1958" s="51" t="str">
        <f>(COUNTIF($K$2:K1958,K1958))&amp;K1958</f>
        <v>1</v>
      </c>
      <c r="B1958" s="52"/>
      <c r="C1958" s="53"/>
      <c r="D1958" s="54"/>
      <c r="E1958" s="55"/>
      <c r="F1958" s="55"/>
      <c r="G1958" s="55"/>
      <c r="H1958" s="55"/>
      <c r="I1958" s="55"/>
      <c r="J1958" s="55"/>
      <c r="K1958" s="56"/>
      <c r="L1958" s="55"/>
      <c r="M1958" s="55"/>
      <c r="N1958" s="55"/>
      <c r="O1958" s="55"/>
      <c r="P1958" s="55"/>
      <c r="Q1958" s="55"/>
      <c r="R1958" s="57"/>
      <c r="S1958" s="58"/>
    </row>
    <row r="1959" spans="1:19" x14ac:dyDescent="0.25">
      <c r="A1959" s="51" t="str">
        <f>(COUNTIF($K$2:K1959,K1959))&amp;K1959</f>
        <v>1</v>
      </c>
      <c r="B1959" s="52"/>
      <c r="C1959" s="53"/>
      <c r="D1959" s="54"/>
      <c r="E1959" s="55"/>
      <c r="F1959" s="55"/>
      <c r="G1959" s="55"/>
      <c r="H1959" s="55"/>
      <c r="I1959" s="55"/>
      <c r="J1959" s="55"/>
      <c r="K1959" s="56"/>
      <c r="L1959" s="55"/>
      <c r="M1959" s="55"/>
      <c r="N1959" s="55"/>
      <c r="O1959" s="55"/>
      <c r="P1959" s="55"/>
      <c r="Q1959" s="55"/>
      <c r="R1959" s="57"/>
      <c r="S1959" s="58"/>
    </row>
    <row r="1960" spans="1:19" x14ac:dyDescent="0.25">
      <c r="A1960" s="51" t="str">
        <f>(COUNTIF($K$2:K1960,K1960))&amp;K1960</f>
        <v>1</v>
      </c>
      <c r="B1960" s="52"/>
      <c r="C1960" s="53"/>
      <c r="D1960" s="54"/>
      <c r="E1960" s="55"/>
      <c r="F1960" s="55"/>
      <c r="G1960" s="55"/>
      <c r="H1960" s="55"/>
      <c r="I1960" s="55"/>
      <c r="J1960" s="55"/>
      <c r="K1960" s="56"/>
      <c r="L1960" s="55"/>
      <c r="M1960" s="55"/>
      <c r="N1960" s="55"/>
      <c r="O1960" s="55"/>
      <c r="P1960" s="55"/>
      <c r="Q1960" s="55"/>
      <c r="R1960" s="57"/>
      <c r="S1960" s="58"/>
    </row>
    <row r="1961" spans="1:19" x14ac:dyDescent="0.25">
      <c r="A1961" s="51" t="str">
        <f>(COUNTIF($K$2:K1961,K1961))&amp;K1961</f>
        <v>1</v>
      </c>
      <c r="B1961" s="52"/>
      <c r="C1961" s="53"/>
      <c r="D1961" s="54"/>
      <c r="E1961" s="55"/>
      <c r="F1961" s="55"/>
      <c r="G1961" s="55"/>
      <c r="H1961" s="55"/>
      <c r="I1961" s="55"/>
      <c r="J1961" s="55"/>
      <c r="K1961" s="56"/>
      <c r="L1961" s="55"/>
      <c r="M1961" s="55"/>
      <c r="N1961" s="55"/>
      <c r="O1961" s="55"/>
      <c r="P1961" s="55"/>
      <c r="Q1961" s="55"/>
      <c r="R1961" s="57"/>
      <c r="S1961" s="58"/>
    </row>
    <row r="1962" spans="1:19" x14ac:dyDescent="0.25">
      <c r="A1962" s="51" t="str">
        <f>(COUNTIF($K$2:K1962,K1962))&amp;K1962</f>
        <v>1</v>
      </c>
      <c r="B1962" s="52"/>
      <c r="C1962" s="53"/>
      <c r="D1962" s="54"/>
      <c r="E1962" s="55"/>
      <c r="F1962" s="55"/>
      <c r="G1962" s="55"/>
      <c r="H1962" s="55"/>
      <c r="I1962" s="55"/>
      <c r="J1962" s="55"/>
      <c r="K1962" s="56"/>
      <c r="L1962" s="55"/>
      <c r="M1962" s="55"/>
      <c r="N1962" s="55"/>
      <c r="O1962" s="55"/>
      <c r="P1962" s="55"/>
      <c r="Q1962" s="55"/>
      <c r="R1962" s="57"/>
      <c r="S1962" s="58"/>
    </row>
    <row r="1963" spans="1:19" x14ac:dyDescent="0.25">
      <c r="A1963" s="51" t="str">
        <f>(COUNTIF($K$2:K1963,K1963))&amp;K1963</f>
        <v>1</v>
      </c>
      <c r="B1963" s="52"/>
      <c r="C1963" s="53"/>
      <c r="D1963" s="54"/>
      <c r="E1963" s="55"/>
      <c r="F1963" s="55"/>
      <c r="G1963" s="55"/>
      <c r="H1963" s="55"/>
      <c r="I1963" s="55"/>
      <c r="J1963" s="55"/>
      <c r="K1963" s="56"/>
      <c r="L1963" s="55"/>
      <c r="M1963" s="55"/>
      <c r="N1963" s="55"/>
      <c r="O1963" s="55"/>
      <c r="P1963" s="55"/>
      <c r="Q1963" s="55"/>
      <c r="R1963" s="57"/>
      <c r="S1963" s="58"/>
    </row>
    <row r="1964" spans="1:19" x14ac:dyDescent="0.25">
      <c r="A1964" s="51" t="str">
        <f>(COUNTIF($K$2:K1964,K1964))&amp;K1964</f>
        <v>1</v>
      </c>
      <c r="B1964" s="52"/>
      <c r="C1964" s="53"/>
      <c r="D1964" s="54"/>
      <c r="E1964" s="55"/>
      <c r="F1964" s="55"/>
      <c r="G1964" s="55"/>
      <c r="H1964" s="55"/>
      <c r="I1964" s="55"/>
      <c r="J1964" s="55"/>
      <c r="K1964" s="56"/>
      <c r="L1964" s="55"/>
      <c r="M1964" s="55"/>
      <c r="N1964" s="55"/>
      <c r="O1964" s="55"/>
      <c r="P1964" s="55"/>
      <c r="Q1964" s="55"/>
      <c r="R1964" s="57"/>
      <c r="S1964" s="58"/>
    </row>
    <row r="1965" spans="1:19" ht="15.75" x14ac:dyDescent="0.25">
      <c r="A1965" s="51" t="str">
        <f>(COUNTIF($K$2:K1965,K1965))&amp;K1965</f>
        <v>1</v>
      </c>
      <c r="B1965" s="52"/>
      <c r="C1965" s="53"/>
      <c r="D1965" s="54"/>
      <c r="E1965" s="55"/>
      <c r="F1965" s="55"/>
      <c r="G1965" s="55"/>
      <c r="H1965" s="55"/>
      <c r="I1965" s="55"/>
      <c r="J1965" s="55"/>
      <c r="K1965" s="59"/>
      <c r="L1965" s="55"/>
      <c r="M1965" s="55"/>
      <c r="N1965" s="55"/>
      <c r="O1965" s="55"/>
      <c r="P1965" s="55"/>
      <c r="Q1965" s="55"/>
      <c r="R1965" s="57"/>
      <c r="S1965" s="58"/>
    </row>
    <row r="1966" spans="1:19" x14ac:dyDescent="0.25">
      <c r="A1966" s="51" t="str">
        <f>(COUNTIF($K$2:K1966,K1966))&amp;K1966</f>
        <v>1</v>
      </c>
      <c r="B1966" s="52"/>
      <c r="C1966" s="53"/>
      <c r="D1966" s="54"/>
      <c r="E1966" s="55"/>
      <c r="F1966" s="55"/>
      <c r="G1966" s="55"/>
      <c r="H1966" s="55"/>
      <c r="I1966" s="55"/>
      <c r="J1966" s="55"/>
      <c r="K1966" s="56"/>
      <c r="L1966" s="55"/>
      <c r="M1966" s="55"/>
      <c r="N1966" s="55"/>
      <c r="O1966" s="55"/>
      <c r="P1966" s="55"/>
      <c r="Q1966" s="55"/>
      <c r="R1966" s="57"/>
      <c r="S1966" s="58"/>
    </row>
    <row r="1967" spans="1:19" x14ac:dyDescent="0.25">
      <c r="A1967" s="51" t="str">
        <f>(COUNTIF($K$2:K1967,K1967))&amp;K1967</f>
        <v>1</v>
      </c>
      <c r="B1967" s="52"/>
      <c r="C1967" s="53"/>
      <c r="D1967" s="54"/>
      <c r="E1967" s="55"/>
      <c r="F1967" s="55"/>
      <c r="G1967" s="55"/>
      <c r="H1967" s="55"/>
      <c r="I1967" s="55"/>
      <c r="J1967" s="55"/>
      <c r="K1967" s="56"/>
      <c r="L1967" s="55"/>
      <c r="M1967" s="55"/>
      <c r="N1967" s="55"/>
      <c r="O1967" s="55"/>
      <c r="P1967" s="55"/>
      <c r="Q1967" s="55"/>
      <c r="R1967" s="57"/>
      <c r="S1967" s="58"/>
    </row>
    <row r="1968" spans="1:19" x14ac:dyDescent="0.25">
      <c r="A1968" s="51" t="str">
        <f>(COUNTIF($K$2:K1968,K1968))&amp;K1968</f>
        <v>1</v>
      </c>
      <c r="B1968" s="52"/>
      <c r="C1968" s="53"/>
      <c r="D1968" s="54"/>
      <c r="E1968" s="55"/>
      <c r="F1968" s="55"/>
      <c r="G1968" s="55"/>
      <c r="H1968" s="55"/>
      <c r="I1968" s="55"/>
      <c r="J1968" s="55"/>
      <c r="K1968" s="56"/>
      <c r="L1968" s="55"/>
      <c r="M1968" s="55"/>
      <c r="N1968" s="55"/>
      <c r="O1968" s="55"/>
      <c r="P1968" s="55"/>
      <c r="Q1968" s="55"/>
      <c r="R1968" s="57"/>
      <c r="S1968" s="58"/>
    </row>
    <row r="1969" spans="1:19" x14ac:dyDescent="0.25">
      <c r="A1969" s="51" t="str">
        <f>(COUNTIF($K$2:K1969,K1969))&amp;K1969</f>
        <v>1</v>
      </c>
      <c r="B1969" s="52"/>
      <c r="C1969" s="53"/>
      <c r="D1969" s="54"/>
      <c r="E1969" s="55"/>
      <c r="F1969" s="55"/>
      <c r="G1969" s="55"/>
      <c r="H1969" s="55"/>
      <c r="I1969" s="55"/>
      <c r="J1969" s="55"/>
      <c r="K1969" s="56"/>
      <c r="L1969" s="55"/>
      <c r="M1969" s="55"/>
      <c r="N1969" s="55"/>
      <c r="O1969" s="55"/>
      <c r="P1969" s="55"/>
      <c r="Q1969" s="55"/>
      <c r="R1969" s="57"/>
      <c r="S1969" s="58"/>
    </row>
    <row r="1970" spans="1:19" x14ac:dyDescent="0.25">
      <c r="A1970" s="51" t="str">
        <f>(COUNTIF($K$2:K1970,K1970))&amp;K1970</f>
        <v>1</v>
      </c>
      <c r="B1970" s="52"/>
      <c r="C1970" s="53"/>
      <c r="D1970" s="54"/>
      <c r="E1970" s="55"/>
      <c r="F1970" s="55"/>
      <c r="G1970" s="55"/>
      <c r="H1970" s="55"/>
      <c r="I1970" s="55"/>
      <c r="J1970" s="55"/>
      <c r="K1970" s="56"/>
      <c r="L1970" s="55"/>
      <c r="M1970" s="55"/>
      <c r="N1970" s="55"/>
      <c r="O1970" s="55"/>
      <c r="P1970" s="55"/>
      <c r="Q1970" s="55"/>
      <c r="R1970" s="57"/>
      <c r="S1970" s="58"/>
    </row>
    <row r="1971" spans="1:19" x14ac:dyDescent="0.25">
      <c r="A1971" s="51" t="str">
        <f>(COUNTIF($K$2:K1971,K1971))&amp;K1971</f>
        <v>1</v>
      </c>
      <c r="B1971" s="52"/>
      <c r="C1971" s="53"/>
      <c r="D1971" s="54"/>
      <c r="E1971" s="55"/>
      <c r="F1971" s="55"/>
      <c r="G1971" s="55"/>
      <c r="H1971" s="55"/>
      <c r="I1971" s="55"/>
      <c r="J1971" s="55"/>
      <c r="K1971" s="56"/>
      <c r="L1971" s="55"/>
      <c r="M1971" s="55"/>
      <c r="N1971" s="55"/>
      <c r="O1971" s="55"/>
      <c r="P1971" s="55"/>
      <c r="Q1971" s="55"/>
      <c r="R1971" s="57"/>
      <c r="S1971" s="58"/>
    </row>
    <row r="1972" spans="1:19" x14ac:dyDescent="0.25">
      <c r="A1972" s="51" t="str">
        <f>(COUNTIF($K$2:K1972,K1972))&amp;K1972</f>
        <v>1</v>
      </c>
      <c r="B1972" s="52"/>
      <c r="C1972" s="53"/>
      <c r="D1972" s="54"/>
      <c r="E1972" s="55"/>
      <c r="F1972" s="55"/>
      <c r="G1972" s="55"/>
      <c r="H1972" s="55"/>
      <c r="I1972" s="55"/>
      <c r="J1972" s="55"/>
      <c r="K1972" s="56"/>
      <c r="L1972" s="55"/>
      <c r="M1972" s="55"/>
      <c r="N1972" s="55"/>
      <c r="O1972" s="55"/>
      <c r="P1972" s="55"/>
      <c r="Q1972" s="55"/>
      <c r="R1972" s="57"/>
      <c r="S1972" s="58"/>
    </row>
    <row r="1973" spans="1:19" x14ac:dyDescent="0.25">
      <c r="A1973" s="51" t="str">
        <f>(COUNTIF($K$2:K1973,K1973))&amp;K1973</f>
        <v>1</v>
      </c>
      <c r="B1973" s="52"/>
      <c r="C1973" s="60"/>
      <c r="E1973" s="61"/>
      <c r="F1973" s="62"/>
      <c r="G1973" s="63"/>
      <c r="H1973" s="64"/>
      <c r="I1973" s="64"/>
      <c r="J1973" s="64"/>
      <c r="K1973" s="65"/>
      <c r="L1973" s="64"/>
      <c r="M1973" s="64"/>
      <c r="N1973" s="64"/>
      <c r="P1973" s="63"/>
      <c r="Q1973" s="61"/>
      <c r="R1973" s="64"/>
      <c r="S1973" s="64"/>
    </row>
    <row r="1974" spans="1:19" x14ac:dyDescent="0.25">
      <c r="A1974" s="51" t="str">
        <f>(COUNTIF($K$2:K1974,K1974))&amp;K1974</f>
        <v>1</v>
      </c>
      <c r="B1974" s="52"/>
      <c r="C1974" s="53"/>
      <c r="D1974" s="54"/>
      <c r="E1974" s="55"/>
      <c r="F1974" s="55"/>
      <c r="G1974" s="55"/>
      <c r="H1974" s="55"/>
      <c r="I1974" s="55"/>
      <c r="J1974" s="55"/>
      <c r="K1974" s="56"/>
      <c r="L1974" s="55"/>
      <c r="M1974" s="55"/>
      <c r="N1974" s="55"/>
      <c r="O1974" s="55"/>
      <c r="P1974" s="55"/>
      <c r="Q1974" s="55"/>
      <c r="R1974" s="57"/>
      <c r="S1974" s="58"/>
    </row>
    <row r="1975" spans="1:19" x14ac:dyDescent="0.25">
      <c r="A1975" s="51" t="str">
        <f>(COUNTIF($K$2:K1975,K1975))&amp;K1975</f>
        <v>1</v>
      </c>
      <c r="B1975" s="52"/>
      <c r="C1975" s="53"/>
      <c r="D1975" s="54"/>
      <c r="E1975" s="55"/>
      <c r="F1975" s="55"/>
      <c r="G1975" s="55"/>
      <c r="H1975" s="55"/>
      <c r="I1975" s="55"/>
      <c r="J1975" s="55"/>
      <c r="K1975" s="56"/>
      <c r="L1975" s="55"/>
      <c r="M1975" s="55"/>
      <c r="N1975" s="55"/>
      <c r="O1975" s="55"/>
      <c r="P1975" s="55"/>
      <c r="Q1975" s="55"/>
      <c r="R1975" s="57"/>
      <c r="S1975" s="58"/>
    </row>
    <row r="1976" spans="1:19" x14ac:dyDescent="0.25">
      <c r="A1976" s="51" t="str">
        <f>(COUNTIF($K$2:K1976,K1976))&amp;K1976</f>
        <v>1</v>
      </c>
      <c r="B1976" s="52"/>
      <c r="C1976" s="53"/>
      <c r="D1976" s="54"/>
      <c r="E1976" s="55"/>
      <c r="F1976" s="55"/>
      <c r="G1976" s="55"/>
      <c r="H1976" s="55"/>
      <c r="I1976" s="55"/>
      <c r="J1976" s="55"/>
      <c r="K1976" s="56"/>
      <c r="L1976" s="55"/>
      <c r="M1976" s="55"/>
      <c r="N1976" s="55"/>
      <c r="O1976" s="55"/>
      <c r="P1976" s="55"/>
      <c r="Q1976" s="55"/>
      <c r="R1976" s="57"/>
      <c r="S1976" s="58"/>
    </row>
    <row r="1977" spans="1:19" x14ac:dyDescent="0.25">
      <c r="A1977" s="51" t="str">
        <f>(COUNTIF($K$2:K1977,K1977))&amp;K1977</f>
        <v>1</v>
      </c>
      <c r="B1977" s="52"/>
      <c r="C1977" s="53"/>
      <c r="D1977" s="54"/>
      <c r="E1977" s="55"/>
      <c r="F1977" s="55"/>
      <c r="G1977" s="55"/>
      <c r="H1977" s="55"/>
      <c r="I1977" s="55"/>
      <c r="J1977" s="55"/>
      <c r="K1977" s="56"/>
      <c r="L1977" s="55"/>
      <c r="M1977" s="55"/>
      <c r="N1977" s="55"/>
      <c r="O1977" s="55"/>
      <c r="P1977" s="55"/>
      <c r="Q1977" s="55"/>
      <c r="R1977" s="57"/>
      <c r="S1977" s="58"/>
    </row>
    <row r="1978" spans="1:19" x14ac:dyDescent="0.25">
      <c r="A1978" s="51" t="str">
        <f>(COUNTIF($K$2:K1978,K1978))&amp;K1978</f>
        <v>1</v>
      </c>
      <c r="B1978" s="52"/>
      <c r="C1978" s="53"/>
      <c r="D1978" s="54"/>
      <c r="E1978" s="55"/>
      <c r="F1978" s="55"/>
      <c r="G1978" s="55"/>
      <c r="H1978" s="55"/>
      <c r="I1978" s="55"/>
      <c r="J1978" s="55"/>
      <c r="K1978" s="56"/>
      <c r="L1978" s="55"/>
      <c r="M1978" s="55"/>
      <c r="N1978" s="55"/>
      <c r="O1978" s="55"/>
      <c r="P1978" s="55"/>
      <c r="Q1978" s="55"/>
      <c r="R1978" s="57"/>
      <c r="S1978" s="58"/>
    </row>
    <row r="1979" spans="1:19" x14ac:dyDescent="0.25">
      <c r="A1979" s="51" t="str">
        <f>(COUNTIF($K$2:K1979,K1979))&amp;K1979</f>
        <v>1</v>
      </c>
      <c r="B1979" s="52"/>
      <c r="C1979" s="53"/>
      <c r="D1979" s="54"/>
      <c r="E1979" s="55"/>
      <c r="F1979" s="55"/>
      <c r="G1979" s="55"/>
      <c r="H1979" s="55"/>
      <c r="I1979" s="55"/>
      <c r="J1979" s="55"/>
      <c r="K1979" s="56"/>
      <c r="L1979" s="55"/>
      <c r="M1979" s="55"/>
      <c r="N1979" s="55"/>
      <c r="O1979" s="55"/>
      <c r="P1979" s="55"/>
      <c r="Q1979" s="55"/>
      <c r="R1979" s="57"/>
      <c r="S1979" s="58"/>
    </row>
    <row r="1980" spans="1:19" x14ac:dyDescent="0.25">
      <c r="A1980" s="51" t="str">
        <f>(COUNTIF($K$2:K1980,K1980))&amp;K1980</f>
        <v>1</v>
      </c>
      <c r="B1980" s="52"/>
      <c r="C1980" s="53"/>
      <c r="D1980" s="54"/>
      <c r="E1980" s="55"/>
      <c r="F1980" s="55"/>
      <c r="G1980" s="55"/>
      <c r="H1980" s="55"/>
      <c r="I1980" s="55"/>
      <c r="J1980" s="55"/>
      <c r="K1980" s="56"/>
      <c r="L1980" s="55"/>
      <c r="M1980" s="55"/>
      <c r="N1980" s="55"/>
      <c r="O1980" s="55"/>
      <c r="P1980" s="55"/>
      <c r="Q1980" s="55"/>
      <c r="R1980" s="57"/>
      <c r="S1980" s="58"/>
    </row>
    <row r="1981" spans="1:19" x14ac:dyDescent="0.25">
      <c r="A1981" s="51" t="str">
        <f>(COUNTIF($K$2:K1981,K1981))&amp;K1981</f>
        <v>1</v>
      </c>
      <c r="B1981" s="52"/>
      <c r="C1981" s="53"/>
      <c r="D1981" s="54"/>
      <c r="E1981" s="55"/>
      <c r="F1981" s="55"/>
      <c r="G1981" s="55"/>
      <c r="H1981" s="55"/>
      <c r="I1981" s="55"/>
      <c r="J1981" s="55"/>
      <c r="K1981" s="56"/>
      <c r="L1981" s="55"/>
      <c r="M1981" s="55"/>
      <c r="N1981" s="55"/>
      <c r="O1981" s="55"/>
      <c r="P1981" s="55"/>
      <c r="Q1981" s="55"/>
      <c r="R1981" s="57"/>
      <c r="S1981" s="58"/>
    </row>
    <row r="1982" spans="1:19" ht="15.75" x14ac:dyDescent="0.25">
      <c r="A1982" s="51" t="str">
        <f>(COUNTIF($K$2:K1982,K1982))&amp;K1982</f>
        <v>1</v>
      </c>
      <c r="B1982" s="52"/>
      <c r="C1982" s="53"/>
      <c r="D1982" s="54"/>
      <c r="E1982" s="55"/>
      <c r="F1982" s="55"/>
      <c r="G1982" s="55"/>
      <c r="H1982" s="55"/>
      <c r="I1982" s="55"/>
      <c r="J1982" s="55"/>
      <c r="K1982" s="59"/>
      <c r="L1982" s="55"/>
      <c r="M1982" s="55"/>
      <c r="N1982" s="55"/>
      <c r="O1982" s="55"/>
      <c r="P1982" s="55"/>
      <c r="Q1982" s="55"/>
      <c r="R1982" s="57"/>
      <c r="S1982" s="58"/>
    </row>
    <row r="1983" spans="1:19" x14ac:dyDescent="0.25">
      <c r="A1983" s="51" t="str">
        <f>(COUNTIF($K$2:K1983,K1983))&amp;K1983</f>
        <v>1</v>
      </c>
      <c r="B1983" s="52"/>
      <c r="C1983" s="53"/>
      <c r="D1983" s="54"/>
      <c r="E1983" s="55"/>
      <c r="F1983" s="55"/>
      <c r="G1983" s="55"/>
      <c r="H1983" s="55"/>
      <c r="I1983" s="55"/>
      <c r="J1983" s="55"/>
      <c r="K1983" s="56"/>
      <c r="L1983" s="55"/>
      <c r="M1983" s="55"/>
      <c r="N1983" s="55"/>
      <c r="O1983" s="55"/>
      <c r="P1983" s="55"/>
      <c r="Q1983" s="55"/>
      <c r="R1983" s="57"/>
      <c r="S1983" s="58"/>
    </row>
    <row r="1984" spans="1:19" x14ac:dyDescent="0.25">
      <c r="A1984" s="51" t="str">
        <f>(COUNTIF($K$2:K1984,K1984))&amp;K1984</f>
        <v>1</v>
      </c>
      <c r="B1984" s="52"/>
      <c r="C1984" s="53"/>
      <c r="D1984" s="54"/>
      <c r="E1984" s="55"/>
      <c r="F1984" s="55"/>
      <c r="G1984" s="55"/>
      <c r="H1984" s="55"/>
      <c r="I1984" s="55"/>
      <c r="J1984" s="55"/>
      <c r="K1984" s="56"/>
      <c r="L1984" s="55"/>
      <c r="M1984" s="55"/>
      <c r="N1984" s="55"/>
      <c r="O1984" s="55"/>
      <c r="P1984" s="55"/>
      <c r="Q1984" s="55"/>
      <c r="R1984" s="57"/>
      <c r="S1984" s="58"/>
    </row>
    <row r="1985" spans="1:19" x14ac:dyDescent="0.25">
      <c r="A1985" s="51" t="str">
        <f>(COUNTIF($K$2:K1985,K1985))&amp;K1985</f>
        <v>1</v>
      </c>
      <c r="B1985" s="52"/>
      <c r="C1985" s="53"/>
      <c r="D1985" s="54"/>
      <c r="E1985" s="55"/>
      <c r="F1985" s="55"/>
      <c r="G1985" s="55"/>
      <c r="H1985" s="55"/>
      <c r="I1985" s="55"/>
      <c r="J1985" s="55"/>
      <c r="K1985" s="56"/>
      <c r="L1985" s="55"/>
      <c r="M1985" s="55"/>
      <c r="N1985" s="55"/>
      <c r="O1985" s="55"/>
      <c r="P1985" s="55"/>
      <c r="Q1985" s="55"/>
      <c r="R1985" s="57"/>
      <c r="S1985" s="58"/>
    </row>
    <row r="1986" spans="1:19" x14ac:dyDescent="0.25">
      <c r="A1986" s="51" t="str">
        <f>(COUNTIF($K$2:K1986,K1986))&amp;K1986</f>
        <v>1</v>
      </c>
      <c r="B1986" s="52"/>
      <c r="C1986" s="53"/>
      <c r="D1986" s="54"/>
      <c r="E1986" s="55"/>
      <c r="F1986" s="55"/>
      <c r="G1986" s="55"/>
      <c r="H1986" s="55"/>
      <c r="I1986" s="55"/>
      <c r="J1986" s="55"/>
      <c r="K1986" s="56"/>
      <c r="L1986" s="55"/>
      <c r="M1986" s="55"/>
      <c r="N1986" s="55"/>
      <c r="O1986" s="55"/>
      <c r="P1986" s="55"/>
      <c r="Q1986" s="55"/>
      <c r="R1986" s="57"/>
      <c r="S1986" s="58"/>
    </row>
    <row r="1987" spans="1:19" x14ac:dyDescent="0.25">
      <c r="A1987" s="51" t="str">
        <f>(COUNTIF($K$2:K1987,K1987))&amp;K1987</f>
        <v>1</v>
      </c>
      <c r="B1987" s="52"/>
      <c r="C1987" s="53"/>
      <c r="D1987" s="54"/>
      <c r="E1987" s="55"/>
      <c r="F1987" s="55"/>
      <c r="G1987" s="55"/>
      <c r="H1987" s="55"/>
      <c r="I1987" s="55"/>
      <c r="J1987" s="55"/>
      <c r="K1987" s="56"/>
      <c r="L1987" s="55"/>
      <c r="M1987" s="55"/>
      <c r="N1987" s="55"/>
      <c r="O1987" s="55"/>
      <c r="P1987" s="55"/>
      <c r="Q1987" s="55"/>
      <c r="R1987" s="57"/>
      <c r="S1987" s="58"/>
    </row>
    <row r="1988" spans="1:19" x14ac:dyDescent="0.25">
      <c r="A1988" s="51" t="str">
        <f>(COUNTIF($K$2:K1988,K1988))&amp;K1988</f>
        <v>1</v>
      </c>
      <c r="B1988" s="52"/>
      <c r="C1988" s="53"/>
      <c r="D1988" s="54"/>
      <c r="E1988" s="55"/>
      <c r="F1988" s="55"/>
      <c r="G1988" s="55"/>
      <c r="H1988" s="55"/>
      <c r="I1988" s="55"/>
      <c r="J1988" s="55"/>
      <c r="K1988" s="56"/>
      <c r="L1988" s="55"/>
      <c r="M1988" s="55"/>
      <c r="N1988" s="55"/>
      <c r="O1988" s="55"/>
      <c r="P1988" s="55"/>
      <c r="Q1988" s="55"/>
      <c r="R1988" s="57"/>
      <c r="S1988" s="58"/>
    </row>
    <row r="1989" spans="1:19" x14ac:dyDescent="0.25">
      <c r="A1989" s="51" t="str">
        <f>(COUNTIF($K$2:K1989,K1989))&amp;K1989</f>
        <v>1</v>
      </c>
      <c r="B1989" s="52"/>
      <c r="C1989" s="53"/>
      <c r="D1989" s="54"/>
      <c r="E1989" s="55"/>
      <c r="F1989" s="55"/>
      <c r="G1989" s="55"/>
      <c r="H1989" s="55"/>
      <c r="I1989" s="55"/>
      <c r="J1989" s="55"/>
      <c r="K1989" s="56"/>
      <c r="L1989" s="55"/>
      <c r="M1989" s="55"/>
      <c r="N1989" s="55"/>
      <c r="O1989" s="55"/>
      <c r="P1989" s="55"/>
      <c r="Q1989" s="55"/>
      <c r="R1989" s="57"/>
      <c r="S1989" s="58"/>
    </row>
    <row r="1990" spans="1:19" x14ac:dyDescent="0.25">
      <c r="A1990" s="51" t="str">
        <f>(COUNTIF($K$2:K1990,K1990))&amp;K1990</f>
        <v>1</v>
      </c>
      <c r="B1990" s="52"/>
      <c r="C1990" s="60"/>
      <c r="E1990" s="61"/>
      <c r="F1990" s="62"/>
      <c r="G1990" s="63"/>
      <c r="H1990" s="64"/>
      <c r="I1990" s="64"/>
      <c r="J1990" s="64"/>
      <c r="K1990" s="65"/>
      <c r="L1990" s="64"/>
      <c r="M1990" s="64"/>
      <c r="N1990" s="64"/>
      <c r="P1990" s="63"/>
      <c r="Q1990" s="61"/>
      <c r="R1990" s="64"/>
      <c r="S1990" s="64"/>
    </row>
    <row r="1991" spans="1:19" x14ac:dyDescent="0.25">
      <c r="A1991" s="51" t="str">
        <f>(COUNTIF($K$2:K1991,K1991))&amp;K1991</f>
        <v>1</v>
      </c>
      <c r="B1991" s="52"/>
      <c r="C1991" s="53"/>
      <c r="D1991" s="54"/>
      <c r="E1991" s="55"/>
      <c r="F1991" s="55"/>
      <c r="G1991" s="55"/>
      <c r="H1991" s="55"/>
      <c r="I1991" s="55"/>
      <c r="J1991" s="55"/>
      <c r="K1991" s="56"/>
      <c r="L1991" s="55"/>
      <c r="M1991" s="55"/>
      <c r="N1991" s="55"/>
      <c r="O1991" s="55"/>
      <c r="P1991" s="55"/>
      <c r="Q1991" s="55"/>
      <c r="R1991" s="57"/>
      <c r="S1991" s="58"/>
    </row>
    <row r="1992" spans="1:19" x14ac:dyDescent="0.25">
      <c r="A1992" s="51" t="str">
        <f>(COUNTIF($K$2:K1992,K1992))&amp;K1992</f>
        <v>1</v>
      </c>
      <c r="B1992" s="52"/>
      <c r="C1992" s="53"/>
      <c r="D1992" s="54"/>
      <c r="E1992" s="55"/>
      <c r="F1992" s="55"/>
      <c r="G1992" s="55"/>
      <c r="H1992" s="55"/>
      <c r="I1992" s="55"/>
      <c r="J1992" s="55"/>
      <c r="K1992" s="56"/>
      <c r="L1992" s="55"/>
      <c r="M1992" s="55"/>
      <c r="N1992" s="55"/>
      <c r="O1992" s="55"/>
      <c r="P1992" s="55"/>
      <c r="Q1992" s="55"/>
      <c r="R1992" s="57"/>
      <c r="S1992" s="58"/>
    </row>
    <row r="1993" spans="1:19" x14ac:dyDescent="0.25">
      <c r="A1993" s="51" t="str">
        <f>(COUNTIF($K$2:K1993,K1993))&amp;K1993</f>
        <v>1</v>
      </c>
      <c r="B1993" s="52"/>
      <c r="C1993" s="53"/>
      <c r="D1993" s="54"/>
      <c r="E1993" s="55"/>
      <c r="F1993" s="55"/>
      <c r="G1993" s="55"/>
      <c r="H1993" s="55"/>
      <c r="I1993" s="55"/>
      <c r="J1993" s="55"/>
      <c r="K1993" s="56"/>
      <c r="L1993" s="55"/>
      <c r="M1993" s="55"/>
      <c r="N1993" s="55"/>
      <c r="O1993" s="55"/>
      <c r="P1993" s="55"/>
      <c r="Q1993" s="55"/>
      <c r="R1993" s="57"/>
      <c r="S1993" s="58"/>
    </row>
    <row r="1994" spans="1:19" x14ac:dyDescent="0.25">
      <c r="A1994" s="51" t="str">
        <f>(COUNTIF($K$2:K1994,K1994))&amp;K1994</f>
        <v>1</v>
      </c>
      <c r="B1994" s="52"/>
      <c r="C1994" s="53"/>
      <c r="D1994" s="54"/>
      <c r="E1994" s="55"/>
      <c r="F1994" s="55"/>
      <c r="G1994" s="55"/>
      <c r="H1994" s="55"/>
      <c r="I1994" s="55"/>
      <c r="J1994" s="55"/>
      <c r="K1994" s="56"/>
      <c r="L1994" s="55"/>
      <c r="M1994" s="55"/>
      <c r="N1994" s="55"/>
      <c r="O1994" s="55"/>
      <c r="P1994" s="55"/>
      <c r="Q1994" s="55"/>
      <c r="R1994" s="57"/>
      <c r="S1994" s="58"/>
    </row>
    <row r="1995" spans="1:19" x14ac:dyDescent="0.25">
      <c r="A1995" s="51" t="str">
        <f>(COUNTIF($K$2:K1995,K1995))&amp;K1995</f>
        <v>1</v>
      </c>
      <c r="B1995" s="52"/>
      <c r="C1995" s="53"/>
      <c r="D1995" s="54"/>
      <c r="E1995" s="55"/>
      <c r="F1995" s="55"/>
      <c r="G1995" s="55"/>
      <c r="H1995" s="55"/>
      <c r="I1995" s="55"/>
      <c r="J1995" s="55"/>
      <c r="K1995" s="56"/>
      <c r="L1995" s="55"/>
      <c r="M1995" s="55"/>
      <c r="N1995" s="55"/>
      <c r="O1995" s="55"/>
      <c r="P1995" s="55"/>
      <c r="Q1995" s="55"/>
      <c r="R1995" s="57"/>
      <c r="S1995" s="58"/>
    </row>
    <row r="1996" spans="1:19" x14ac:dyDescent="0.25">
      <c r="A1996" s="51" t="str">
        <f>(COUNTIF($K$2:K1996,K1996))&amp;K1996</f>
        <v>1</v>
      </c>
      <c r="B1996" s="52"/>
      <c r="C1996" s="53"/>
      <c r="D1996" s="54"/>
      <c r="E1996" s="55"/>
      <c r="F1996" s="55"/>
      <c r="G1996" s="55"/>
      <c r="H1996" s="55"/>
      <c r="I1996" s="55"/>
      <c r="J1996" s="55"/>
      <c r="K1996" s="56"/>
      <c r="L1996" s="55"/>
      <c r="M1996" s="55"/>
      <c r="N1996" s="55"/>
      <c r="O1996" s="55"/>
      <c r="P1996" s="55"/>
      <c r="Q1996" s="55"/>
      <c r="R1996" s="57"/>
      <c r="S1996" s="58"/>
    </row>
    <row r="1997" spans="1:19" x14ac:dyDescent="0.25">
      <c r="A1997" s="51" t="str">
        <f>(COUNTIF($K$2:K1997,K1997))&amp;K1997</f>
        <v>1</v>
      </c>
      <c r="B1997" s="52"/>
      <c r="C1997" s="53"/>
      <c r="D1997" s="54"/>
      <c r="E1997" s="55"/>
      <c r="F1997" s="55"/>
      <c r="G1997" s="55"/>
      <c r="H1997" s="55"/>
      <c r="I1997" s="55"/>
      <c r="J1997" s="55"/>
      <c r="K1997" s="56"/>
      <c r="L1997" s="55"/>
      <c r="M1997" s="55"/>
      <c r="N1997" s="55"/>
      <c r="O1997" s="55"/>
      <c r="P1997" s="55"/>
      <c r="Q1997" s="55"/>
      <c r="R1997" s="57"/>
      <c r="S1997" s="58"/>
    </row>
    <row r="1998" spans="1:19" x14ac:dyDescent="0.25">
      <c r="A1998" s="51" t="str">
        <f>(COUNTIF($K$2:K1998,K1998))&amp;K1998</f>
        <v>1</v>
      </c>
      <c r="B1998" s="52"/>
      <c r="C1998" s="53"/>
      <c r="D1998" s="54"/>
      <c r="E1998" s="55"/>
      <c r="F1998" s="55"/>
      <c r="G1998" s="55"/>
      <c r="H1998" s="55"/>
      <c r="I1998" s="55"/>
      <c r="J1998" s="55"/>
      <c r="K1998" s="56"/>
      <c r="L1998" s="55"/>
      <c r="M1998" s="55"/>
      <c r="N1998" s="55"/>
      <c r="O1998" s="55"/>
      <c r="P1998" s="55"/>
      <c r="Q1998" s="55"/>
      <c r="R1998" s="57"/>
      <c r="S1998" s="58"/>
    </row>
    <row r="1999" spans="1:19" ht="15.75" x14ac:dyDescent="0.25">
      <c r="A1999" s="51" t="str">
        <f>(COUNTIF($K$2:K1999,K1999))&amp;K1999</f>
        <v>1</v>
      </c>
      <c r="B1999" s="52"/>
      <c r="C1999" s="53"/>
      <c r="D1999" s="54"/>
      <c r="E1999" s="55"/>
      <c r="F1999" s="55"/>
      <c r="G1999" s="55"/>
      <c r="H1999" s="55"/>
      <c r="I1999" s="55"/>
      <c r="J1999" s="55"/>
      <c r="K1999" s="59"/>
      <c r="L1999" s="55"/>
      <c r="M1999" s="55"/>
      <c r="N1999" s="55"/>
      <c r="O1999" s="55"/>
      <c r="P1999" s="55"/>
      <c r="Q1999" s="55"/>
      <c r="R1999" s="57"/>
      <c r="S1999" s="58"/>
    </row>
    <row r="2000" spans="1:19" x14ac:dyDescent="0.25">
      <c r="A2000" s="51" t="str">
        <f>(COUNTIF($K$2:K2000,K2000))&amp;K2000</f>
        <v>1</v>
      </c>
      <c r="B2000" s="52"/>
      <c r="C2000" s="53"/>
      <c r="D2000" s="54"/>
      <c r="E2000" s="55"/>
      <c r="F2000" s="55"/>
      <c r="G2000" s="55"/>
      <c r="H2000" s="55"/>
      <c r="I2000" s="55"/>
      <c r="J2000" s="55"/>
      <c r="K2000" s="56"/>
      <c r="L2000" s="55"/>
      <c r="M2000" s="55"/>
      <c r="N2000" s="55"/>
      <c r="O2000" s="55"/>
      <c r="P2000" s="55"/>
      <c r="Q2000" s="55"/>
      <c r="R2000" s="57"/>
      <c r="S2000" s="58"/>
    </row>
    <row r="2001" spans="1:19" x14ac:dyDescent="0.25">
      <c r="A2001" s="51" t="str">
        <f>(COUNTIF($K$2:K2001,K2001))&amp;K2001</f>
        <v>1</v>
      </c>
      <c r="B2001" s="52"/>
      <c r="C2001" s="53"/>
      <c r="D2001" s="54"/>
      <c r="E2001" s="55"/>
      <c r="F2001" s="55"/>
      <c r="G2001" s="55"/>
      <c r="H2001" s="55"/>
      <c r="I2001" s="55"/>
      <c r="J2001" s="55"/>
      <c r="K2001" s="56"/>
      <c r="L2001" s="55"/>
      <c r="M2001" s="55"/>
      <c r="N2001" s="55"/>
      <c r="O2001" s="55"/>
      <c r="P2001" s="55"/>
      <c r="Q2001" s="55"/>
      <c r="R2001" s="57"/>
      <c r="S2001" s="58"/>
    </row>
    <row r="2002" spans="1:19" x14ac:dyDescent="0.25">
      <c r="A2002" s="51" t="str">
        <f>(COUNTIF($K$2:K2002,K2002))&amp;K2002</f>
        <v>1</v>
      </c>
      <c r="B2002" s="52"/>
      <c r="C2002" s="53"/>
      <c r="D2002" s="54"/>
      <c r="E2002" s="55"/>
      <c r="F2002" s="55"/>
      <c r="G2002" s="55"/>
      <c r="H2002" s="55"/>
      <c r="I2002" s="55"/>
      <c r="J2002" s="55"/>
      <c r="K2002" s="56"/>
      <c r="L2002" s="55"/>
      <c r="M2002" s="55"/>
      <c r="N2002" s="55"/>
      <c r="O2002" s="55"/>
      <c r="P2002" s="55"/>
      <c r="Q2002" s="55"/>
      <c r="R2002" s="57"/>
      <c r="S2002" s="58"/>
    </row>
    <row r="2003" spans="1:19" x14ac:dyDescent="0.25">
      <c r="A2003" s="51" t="str">
        <f>(COUNTIF($K$2:K2003,K2003))&amp;K2003</f>
        <v>1</v>
      </c>
      <c r="B2003" s="52"/>
      <c r="C2003" s="53"/>
      <c r="D2003" s="54"/>
      <c r="E2003" s="55"/>
      <c r="F2003" s="55"/>
      <c r="G2003" s="55"/>
      <c r="H2003" s="55"/>
      <c r="I2003" s="55"/>
      <c r="J2003" s="55"/>
      <c r="K2003" s="56"/>
      <c r="L2003" s="55"/>
      <c r="M2003" s="55"/>
      <c r="N2003" s="55"/>
      <c r="O2003" s="55"/>
      <c r="P2003" s="55"/>
      <c r="Q2003" s="55"/>
      <c r="R2003" s="57"/>
      <c r="S2003" s="58"/>
    </row>
    <row r="2004" spans="1:19" x14ac:dyDescent="0.25">
      <c r="A2004" s="51" t="str">
        <f>(COUNTIF($K$2:K2004,K2004))&amp;K2004</f>
        <v>1</v>
      </c>
      <c r="B2004" s="52"/>
      <c r="C2004" s="53"/>
      <c r="D2004" s="54"/>
      <c r="E2004" s="55"/>
      <c r="F2004" s="55"/>
      <c r="G2004" s="55"/>
      <c r="H2004" s="55"/>
      <c r="I2004" s="55"/>
      <c r="J2004" s="55"/>
      <c r="K2004" s="56"/>
      <c r="L2004" s="55"/>
      <c r="M2004" s="55"/>
      <c r="N2004" s="55"/>
      <c r="O2004" s="55"/>
      <c r="P2004" s="55"/>
      <c r="Q2004" s="55"/>
      <c r="R2004" s="57"/>
      <c r="S2004" s="58"/>
    </row>
    <row r="2005" spans="1:19" x14ac:dyDescent="0.25">
      <c r="A2005" s="51" t="str">
        <f>(COUNTIF($K$2:K2005,K2005))&amp;K2005</f>
        <v>1</v>
      </c>
      <c r="B2005" s="52"/>
      <c r="C2005" s="53"/>
      <c r="D2005" s="54"/>
      <c r="E2005" s="55"/>
      <c r="F2005" s="55"/>
      <c r="G2005" s="55"/>
      <c r="H2005" s="55"/>
      <c r="I2005" s="55"/>
      <c r="J2005" s="55"/>
      <c r="K2005" s="56"/>
      <c r="L2005" s="55"/>
      <c r="M2005" s="55"/>
      <c r="N2005" s="55"/>
      <c r="O2005" s="55"/>
      <c r="P2005" s="55"/>
      <c r="Q2005" s="55"/>
      <c r="R2005" s="57"/>
      <c r="S2005" s="58"/>
    </row>
    <row r="2006" spans="1:19" x14ac:dyDescent="0.25">
      <c r="A2006" s="51" t="str">
        <f>(COUNTIF($K$2:K2006,K2006))&amp;K2006</f>
        <v>1</v>
      </c>
      <c r="B2006" s="52"/>
      <c r="C2006" s="53"/>
      <c r="D2006" s="54"/>
      <c r="E2006" s="55"/>
      <c r="F2006" s="55"/>
      <c r="G2006" s="55"/>
      <c r="H2006" s="55"/>
      <c r="I2006" s="55"/>
      <c r="J2006" s="55"/>
      <c r="K2006" s="56"/>
      <c r="L2006" s="55"/>
      <c r="M2006" s="55"/>
      <c r="N2006" s="55"/>
      <c r="O2006" s="55"/>
      <c r="P2006" s="55"/>
      <c r="Q2006" s="55"/>
      <c r="R2006" s="57"/>
      <c r="S2006" s="58"/>
    </row>
    <row r="2007" spans="1:19" x14ac:dyDescent="0.25">
      <c r="A2007" s="51" t="str">
        <f>(COUNTIF($K$2:K2007,K2007))&amp;K2007</f>
        <v>1</v>
      </c>
      <c r="B2007" s="52"/>
      <c r="C2007" s="60"/>
      <c r="E2007" s="61"/>
      <c r="F2007" s="62"/>
      <c r="G2007" s="63"/>
      <c r="H2007" s="64"/>
      <c r="I2007" s="64"/>
      <c r="J2007" s="64"/>
      <c r="K2007" s="65"/>
      <c r="L2007" s="64"/>
      <c r="M2007" s="64"/>
      <c r="N2007" s="64"/>
      <c r="P2007" s="63"/>
      <c r="Q2007" s="61"/>
      <c r="R2007" s="64"/>
      <c r="S2007" s="64"/>
    </row>
    <row r="2008" spans="1:19" x14ac:dyDescent="0.25">
      <c r="A2008" s="51" t="str">
        <f>(COUNTIF($K$2:K2008,K2008))&amp;K2008</f>
        <v>1</v>
      </c>
      <c r="B2008" s="52"/>
      <c r="C2008" s="53"/>
      <c r="D2008" s="54"/>
      <c r="E2008" s="55"/>
      <c r="F2008" s="55"/>
      <c r="G2008" s="55"/>
      <c r="H2008" s="55"/>
      <c r="I2008" s="55"/>
      <c r="J2008" s="55"/>
      <c r="K2008" s="56"/>
      <c r="L2008" s="55"/>
      <c r="M2008" s="55"/>
      <c r="N2008" s="55"/>
      <c r="O2008" s="55"/>
      <c r="P2008" s="55"/>
      <c r="Q2008" s="55"/>
      <c r="R2008" s="57"/>
      <c r="S2008" s="58"/>
    </row>
    <row r="2009" spans="1:19" x14ac:dyDescent="0.25">
      <c r="A2009" s="51" t="str">
        <f>(COUNTIF($K$2:K2009,K2009))&amp;K2009</f>
        <v>1</v>
      </c>
      <c r="B2009" s="52"/>
      <c r="C2009" s="53"/>
      <c r="D2009" s="54"/>
      <c r="E2009" s="55"/>
      <c r="F2009" s="55"/>
      <c r="G2009" s="55"/>
      <c r="H2009" s="55"/>
      <c r="I2009" s="55"/>
      <c r="J2009" s="55"/>
      <c r="K2009" s="56"/>
      <c r="L2009" s="55"/>
      <c r="M2009" s="55"/>
      <c r="N2009" s="55"/>
      <c r="O2009" s="55"/>
      <c r="P2009" s="55"/>
      <c r="Q2009" s="55"/>
      <c r="R2009" s="57"/>
      <c r="S2009" s="58"/>
    </row>
    <row r="2010" spans="1:19" x14ac:dyDescent="0.25">
      <c r="A2010" s="51" t="str">
        <f>(COUNTIF($K$2:K2010,K2010))&amp;K2010</f>
        <v>1</v>
      </c>
      <c r="B2010" s="52"/>
      <c r="C2010" s="53"/>
      <c r="D2010" s="54"/>
      <c r="E2010" s="55"/>
      <c r="F2010" s="55"/>
      <c r="G2010" s="55"/>
      <c r="H2010" s="55"/>
      <c r="I2010" s="55"/>
      <c r="J2010" s="55"/>
      <c r="K2010" s="56"/>
      <c r="L2010" s="55"/>
      <c r="M2010" s="55"/>
      <c r="N2010" s="55"/>
      <c r="O2010" s="55"/>
      <c r="P2010" s="55"/>
      <c r="Q2010" s="55"/>
      <c r="R2010" s="57"/>
      <c r="S2010" s="58"/>
    </row>
    <row r="2011" spans="1:19" x14ac:dyDescent="0.25">
      <c r="A2011" s="51" t="str">
        <f>(COUNTIF($K$2:K2011,K2011))&amp;K2011</f>
        <v>1</v>
      </c>
      <c r="B2011" s="52"/>
      <c r="C2011" s="53"/>
      <c r="D2011" s="54"/>
      <c r="E2011" s="55"/>
      <c r="F2011" s="55"/>
      <c r="G2011" s="55"/>
      <c r="H2011" s="55"/>
      <c r="I2011" s="55"/>
      <c r="J2011" s="55"/>
      <c r="K2011" s="56"/>
      <c r="L2011" s="55"/>
      <c r="M2011" s="55"/>
      <c r="N2011" s="55"/>
      <c r="O2011" s="55"/>
      <c r="P2011" s="55"/>
      <c r="Q2011" s="55"/>
      <c r="R2011" s="57"/>
      <c r="S2011" s="58"/>
    </row>
    <row r="2012" spans="1:19" x14ac:dyDescent="0.25">
      <c r="A2012" s="51" t="str">
        <f>(COUNTIF($K$2:K2012,K2012))&amp;K2012</f>
        <v>1</v>
      </c>
      <c r="B2012" s="52"/>
      <c r="C2012" s="53"/>
      <c r="D2012" s="54"/>
      <c r="E2012" s="55"/>
      <c r="F2012" s="55"/>
      <c r="G2012" s="55"/>
      <c r="H2012" s="55"/>
      <c r="I2012" s="55"/>
      <c r="J2012" s="55"/>
      <c r="K2012" s="56"/>
      <c r="L2012" s="55"/>
      <c r="M2012" s="55"/>
      <c r="N2012" s="55"/>
      <c r="O2012" s="55"/>
      <c r="P2012" s="55"/>
      <c r="Q2012" s="55"/>
      <c r="R2012" s="57"/>
      <c r="S2012" s="58"/>
    </row>
    <row r="2013" spans="1:19" x14ac:dyDescent="0.25">
      <c r="A2013" s="51" t="str">
        <f>(COUNTIF($K$2:K2013,K2013))&amp;K2013</f>
        <v>1</v>
      </c>
      <c r="B2013" s="52"/>
      <c r="C2013" s="53"/>
      <c r="D2013" s="54"/>
      <c r="E2013" s="55"/>
      <c r="F2013" s="55"/>
      <c r="G2013" s="55"/>
      <c r="H2013" s="55"/>
      <c r="I2013" s="55"/>
      <c r="J2013" s="55"/>
      <c r="K2013" s="56"/>
      <c r="L2013" s="55"/>
      <c r="M2013" s="55"/>
      <c r="N2013" s="55"/>
      <c r="O2013" s="55"/>
      <c r="P2013" s="55"/>
      <c r="Q2013" s="55"/>
      <c r="R2013" s="57"/>
      <c r="S2013" s="58"/>
    </row>
    <row r="2014" spans="1:19" x14ac:dyDescent="0.25">
      <c r="A2014" s="51" t="str">
        <f>(COUNTIF($K$2:K2014,K2014))&amp;K2014</f>
        <v>1</v>
      </c>
      <c r="B2014" s="52"/>
      <c r="C2014" s="53"/>
      <c r="D2014" s="54"/>
      <c r="E2014" s="55"/>
      <c r="F2014" s="55"/>
      <c r="G2014" s="55"/>
      <c r="H2014" s="55"/>
      <c r="I2014" s="55"/>
      <c r="J2014" s="55"/>
      <c r="K2014" s="56"/>
      <c r="L2014" s="55"/>
      <c r="M2014" s="55"/>
      <c r="N2014" s="55"/>
      <c r="O2014" s="55"/>
      <c r="P2014" s="55"/>
      <c r="Q2014" s="55"/>
      <c r="R2014" s="57"/>
      <c r="S2014" s="58"/>
    </row>
    <row r="2015" spans="1:19" x14ac:dyDescent="0.25">
      <c r="A2015" s="51" t="str">
        <f>(COUNTIF($K$2:K2015,K2015))&amp;K2015</f>
        <v>1</v>
      </c>
      <c r="B2015" s="52"/>
      <c r="C2015" s="53"/>
      <c r="D2015" s="54"/>
      <c r="E2015" s="55"/>
      <c r="F2015" s="55"/>
      <c r="G2015" s="55"/>
      <c r="H2015" s="55"/>
      <c r="I2015" s="55"/>
      <c r="J2015" s="55"/>
      <c r="K2015" s="56"/>
      <c r="L2015" s="55"/>
      <c r="M2015" s="55"/>
      <c r="N2015" s="55"/>
      <c r="O2015" s="55"/>
      <c r="P2015" s="55"/>
      <c r="Q2015" s="55"/>
      <c r="R2015" s="57"/>
      <c r="S2015" s="58"/>
    </row>
    <row r="2016" spans="1:19" ht="15.75" x14ac:dyDescent="0.25">
      <c r="A2016" s="51" t="str">
        <f>(COUNTIF($K$2:K2016,K2016))&amp;K2016</f>
        <v>1</v>
      </c>
      <c r="B2016" s="52"/>
      <c r="C2016" s="53"/>
      <c r="D2016" s="54"/>
      <c r="E2016" s="55"/>
      <c r="F2016" s="55"/>
      <c r="G2016" s="55"/>
      <c r="H2016" s="55"/>
      <c r="I2016" s="55"/>
      <c r="J2016" s="55"/>
      <c r="K2016" s="59"/>
      <c r="L2016" s="55"/>
      <c r="M2016" s="55"/>
      <c r="N2016" s="55"/>
      <c r="O2016" s="55"/>
      <c r="P2016" s="55"/>
      <c r="Q2016" s="55"/>
      <c r="R2016" s="57"/>
      <c r="S2016" s="58"/>
    </row>
    <row r="2017" spans="1:19" x14ac:dyDescent="0.25">
      <c r="A2017" s="51" t="str">
        <f>(COUNTIF($K$2:K2017,K2017))&amp;K2017</f>
        <v>1</v>
      </c>
      <c r="B2017" s="52"/>
      <c r="C2017" s="53"/>
      <c r="D2017" s="54"/>
      <c r="E2017" s="55"/>
      <c r="F2017" s="55"/>
      <c r="G2017" s="55"/>
      <c r="H2017" s="55"/>
      <c r="I2017" s="55"/>
      <c r="J2017" s="55"/>
      <c r="K2017" s="56"/>
      <c r="L2017" s="55"/>
      <c r="M2017" s="55"/>
      <c r="N2017" s="55"/>
      <c r="O2017" s="55"/>
      <c r="P2017" s="55"/>
      <c r="Q2017" s="55"/>
      <c r="R2017" s="57"/>
      <c r="S2017" s="58"/>
    </row>
    <row r="2018" spans="1:19" x14ac:dyDescent="0.25">
      <c r="A2018" s="51" t="str">
        <f>(COUNTIF($K$2:K2018,K2018))&amp;K2018</f>
        <v>1</v>
      </c>
      <c r="B2018" s="52"/>
      <c r="C2018" s="53"/>
      <c r="D2018" s="54"/>
      <c r="E2018" s="55"/>
      <c r="F2018" s="55"/>
      <c r="G2018" s="55"/>
      <c r="H2018" s="55"/>
      <c r="I2018" s="55"/>
      <c r="J2018" s="55"/>
      <c r="K2018" s="56"/>
      <c r="L2018" s="55"/>
      <c r="M2018" s="55"/>
      <c r="N2018" s="55"/>
      <c r="O2018" s="55"/>
      <c r="P2018" s="55"/>
      <c r="Q2018" s="55"/>
      <c r="R2018" s="57"/>
      <c r="S2018" s="58"/>
    </row>
    <row r="2019" spans="1:19" x14ac:dyDescent="0.25">
      <c r="A2019" s="51" t="str">
        <f>(COUNTIF($K$2:K2019,K2019))&amp;K2019</f>
        <v>1</v>
      </c>
      <c r="B2019" s="52"/>
      <c r="C2019" s="53"/>
      <c r="D2019" s="54"/>
      <c r="E2019" s="55"/>
      <c r="F2019" s="55"/>
      <c r="G2019" s="55"/>
      <c r="H2019" s="55"/>
      <c r="I2019" s="55"/>
      <c r="J2019" s="55"/>
      <c r="K2019" s="56"/>
      <c r="L2019" s="55"/>
      <c r="M2019" s="55"/>
      <c r="N2019" s="55"/>
      <c r="O2019" s="55"/>
      <c r="P2019" s="55"/>
      <c r="Q2019" s="55"/>
      <c r="R2019" s="57"/>
      <c r="S2019" s="58"/>
    </row>
    <row r="2020" spans="1:19" x14ac:dyDescent="0.25">
      <c r="A2020" s="51" t="str">
        <f>(COUNTIF($K$2:K2020,K2020))&amp;K2020</f>
        <v>1</v>
      </c>
      <c r="B2020" s="52"/>
      <c r="C2020" s="53"/>
      <c r="D2020" s="54"/>
      <c r="E2020" s="55"/>
      <c r="F2020" s="55"/>
      <c r="G2020" s="55"/>
      <c r="H2020" s="55"/>
      <c r="I2020" s="55"/>
      <c r="J2020" s="55"/>
      <c r="K2020" s="56"/>
      <c r="L2020" s="55"/>
      <c r="M2020" s="55"/>
      <c r="N2020" s="55"/>
      <c r="O2020" s="55"/>
      <c r="P2020" s="55"/>
      <c r="Q2020" s="55"/>
      <c r="R2020" s="57"/>
      <c r="S2020" s="58"/>
    </row>
    <row r="2021" spans="1:19" x14ac:dyDescent="0.25">
      <c r="A2021" s="51" t="str">
        <f>(COUNTIF($K$2:K2021,K2021))&amp;K2021</f>
        <v>1</v>
      </c>
      <c r="B2021" s="52"/>
      <c r="C2021" s="53"/>
      <c r="D2021" s="54"/>
      <c r="E2021" s="55"/>
      <c r="F2021" s="55"/>
      <c r="G2021" s="55"/>
      <c r="H2021" s="55"/>
      <c r="I2021" s="55"/>
      <c r="J2021" s="55"/>
      <c r="K2021" s="56"/>
      <c r="L2021" s="55"/>
      <c r="M2021" s="55"/>
      <c r="N2021" s="55"/>
      <c r="O2021" s="55"/>
      <c r="P2021" s="55"/>
      <c r="Q2021" s="55"/>
      <c r="R2021" s="57"/>
      <c r="S2021" s="58"/>
    </row>
    <row r="2022" spans="1:19" x14ac:dyDescent="0.25">
      <c r="A2022" s="51" t="str">
        <f>(COUNTIF($K$2:K2022,K2022))&amp;K2022</f>
        <v>1</v>
      </c>
      <c r="B2022" s="52"/>
      <c r="C2022" s="53"/>
      <c r="D2022" s="54"/>
      <c r="E2022" s="55"/>
      <c r="F2022" s="55"/>
      <c r="G2022" s="55"/>
      <c r="H2022" s="55"/>
      <c r="I2022" s="55"/>
      <c r="J2022" s="55"/>
      <c r="K2022" s="56"/>
      <c r="L2022" s="55"/>
      <c r="M2022" s="55"/>
      <c r="N2022" s="55"/>
      <c r="O2022" s="55"/>
      <c r="P2022" s="55"/>
      <c r="Q2022" s="55"/>
      <c r="R2022" s="57"/>
      <c r="S2022" s="58"/>
    </row>
    <row r="2023" spans="1:19" x14ac:dyDescent="0.25">
      <c r="A2023" s="51" t="str">
        <f>(COUNTIF($K$2:K2023,K2023))&amp;K2023</f>
        <v>1</v>
      </c>
      <c r="B2023" s="52"/>
      <c r="C2023" s="53"/>
      <c r="D2023" s="54"/>
      <c r="E2023" s="55"/>
      <c r="F2023" s="55"/>
      <c r="G2023" s="55"/>
      <c r="H2023" s="55"/>
      <c r="I2023" s="55"/>
      <c r="J2023" s="55"/>
      <c r="K2023" s="56"/>
      <c r="L2023" s="55"/>
      <c r="M2023" s="55"/>
      <c r="N2023" s="55"/>
      <c r="O2023" s="55"/>
      <c r="P2023" s="55"/>
      <c r="Q2023" s="55"/>
      <c r="R2023" s="57"/>
      <c r="S2023" s="58"/>
    </row>
    <row r="2024" spans="1:19" x14ac:dyDescent="0.25">
      <c r="A2024" s="51" t="str">
        <f>(COUNTIF($K$2:K2024,K2024))&amp;K2024</f>
        <v>1</v>
      </c>
      <c r="B2024" s="52"/>
      <c r="C2024" s="60"/>
      <c r="E2024" s="61"/>
      <c r="F2024" s="62"/>
      <c r="G2024" s="63"/>
      <c r="H2024" s="64"/>
      <c r="I2024" s="64"/>
      <c r="J2024" s="64"/>
      <c r="K2024" s="65"/>
      <c r="L2024" s="64"/>
      <c r="M2024" s="64"/>
      <c r="N2024" s="64"/>
      <c r="P2024" s="63"/>
      <c r="Q2024" s="61"/>
      <c r="R2024" s="64"/>
      <c r="S2024" s="64"/>
    </row>
    <row r="2025" spans="1:19" x14ac:dyDescent="0.25">
      <c r="A2025" s="51" t="str">
        <f>(COUNTIF($K$2:K2025,K2025))&amp;K2025</f>
        <v>1</v>
      </c>
      <c r="B2025" s="52"/>
      <c r="C2025" s="53"/>
      <c r="D2025" s="54"/>
      <c r="E2025" s="55"/>
      <c r="F2025" s="55"/>
      <c r="G2025" s="55"/>
      <c r="H2025" s="55"/>
      <c r="I2025" s="55"/>
      <c r="J2025" s="55"/>
      <c r="K2025" s="56"/>
      <c r="L2025" s="55"/>
      <c r="M2025" s="55"/>
      <c r="N2025" s="55"/>
      <c r="O2025" s="55"/>
      <c r="P2025" s="55"/>
      <c r="Q2025" s="55"/>
      <c r="R2025" s="57"/>
      <c r="S2025" s="58"/>
    </row>
    <row r="2026" spans="1:19" x14ac:dyDescent="0.25">
      <c r="A2026" s="51" t="str">
        <f>(COUNTIF($K$2:K2026,K2026))&amp;K2026</f>
        <v>1</v>
      </c>
      <c r="B2026" s="52"/>
      <c r="C2026" s="53"/>
      <c r="D2026" s="54"/>
      <c r="E2026" s="55"/>
      <c r="F2026" s="55"/>
      <c r="G2026" s="55"/>
      <c r="H2026" s="55"/>
      <c r="I2026" s="55"/>
      <c r="J2026" s="55"/>
      <c r="K2026" s="56"/>
      <c r="L2026" s="55"/>
      <c r="M2026" s="55"/>
      <c r="N2026" s="55"/>
      <c r="O2026" s="55"/>
      <c r="P2026" s="55"/>
      <c r="Q2026" s="55"/>
      <c r="R2026" s="57"/>
      <c r="S2026" s="58"/>
    </row>
    <row r="2027" spans="1:19" x14ac:dyDescent="0.25">
      <c r="A2027" s="51" t="str">
        <f>(COUNTIF($K$2:K2027,K2027))&amp;K2027</f>
        <v>1</v>
      </c>
      <c r="B2027" s="52"/>
      <c r="C2027" s="53"/>
      <c r="D2027" s="54"/>
      <c r="E2027" s="55"/>
      <c r="F2027" s="55"/>
      <c r="G2027" s="55"/>
      <c r="H2027" s="55"/>
      <c r="I2027" s="55"/>
      <c r="J2027" s="55"/>
      <c r="K2027" s="56"/>
      <c r="L2027" s="55"/>
      <c r="M2027" s="55"/>
      <c r="N2027" s="55"/>
      <c r="O2027" s="55"/>
      <c r="P2027" s="55"/>
      <c r="Q2027" s="55"/>
      <c r="R2027" s="57"/>
      <c r="S2027" s="58"/>
    </row>
    <row r="2028" spans="1:19" x14ac:dyDescent="0.25">
      <c r="A2028" s="51" t="str">
        <f>(COUNTIF($K$2:K2028,K2028))&amp;K2028</f>
        <v>1</v>
      </c>
      <c r="B2028" s="52"/>
      <c r="C2028" s="53"/>
      <c r="D2028" s="54"/>
      <c r="E2028" s="55"/>
      <c r="F2028" s="55"/>
      <c r="G2028" s="55"/>
      <c r="H2028" s="55"/>
      <c r="I2028" s="55"/>
      <c r="J2028" s="55"/>
      <c r="K2028" s="56"/>
      <c r="L2028" s="55"/>
      <c r="M2028" s="55"/>
      <c r="N2028" s="55"/>
      <c r="O2028" s="55"/>
      <c r="P2028" s="55"/>
      <c r="Q2028" s="55"/>
      <c r="R2028" s="57"/>
      <c r="S2028" s="58"/>
    </row>
    <row r="2029" spans="1:19" x14ac:dyDescent="0.25">
      <c r="A2029" s="51" t="str">
        <f>(COUNTIF($K$2:K2029,K2029))&amp;K2029</f>
        <v>1</v>
      </c>
      <c r="B2029" s="52"/>
      <c r="C2029" s="53"/>
      <c r="D2029" s="54"/>
      <c r="E2029" s="55"/>
      <c r="F2029" s="55"/>
      <c r="G2029" s="55"/>
      <c r="H2029" s="55"/>
      <c r="I2029" s="55"/>
      <c r="J2029" s="55"/>
      <c r="K2029" s="56"/>
      <c r="L2029" s="55"/>
      <c r="M2029" s="55"/>
      <c r="N2029" s="55"/>
      <c r="O2029" s="55"/>
      <c r="P2029" s="55"/>
      <c r="Q2029" s="55"/>
      <c r="R2029" s="57"/>
      <c r="S2029" s="58"/>
    </row>
    <row r="2030" spans="1:19" x14ac:dyDescent="0.25">
      <c r="A2030" s="51" t="str">
        <f>(COUNTIF($K$2:K2030,K2030))&amp;K2030</f>
        <v>1</v>
      </c>
      <c r="B2030" s="52"/>
      <c r="C2030" s="53"/>
      <c r="D2030" s="54"/>
      <c r="E2030" s="55"/>
      <c r="F2030" s="55"/>
      <c r="G2030" s="55"/>
      <c r="H2030" s="55"/>
      <c r="I2030" s="55"/>
      <c r="J2030" s="55"/>
      <c r="K2030" s="56"/>
      <c r="L2030" s="55"/>
      <c r="M2030" s="55"/>
      <c r="N2030" s="55"/>
      <c r="O2030" s="55"/>
      <c r="P2030" s="55"/>
      <c r="Q2030" s="55"/>
      <c r="R2030" s="57"/>
      <c r="S2030" s="58"/>
    </row>
    <row r="2031" spans="1:19" x14ac:dyDescent="0.25">
      <c r="A2031" s="51" t="str">
        <f>(COUNTIF($K$2:K2031,K2031))&amp;K2031</f>
        <v>1</v>
      </c>
      <c r="B2031" s="52"/>
      <c r="C2031" s="53"/>
      <c r="D2031" s="54"/>
      <c r="E2031" s="55"/>
      <c r="F2031" s="55"/>
      <c r="G2031" s="55"/>
      <c r="H2031" s="55"/>
      <c r="I2031" s="55"/>
      <c r="J2031" s="55"/>
      <c r="K2031" s="56"/>
      <c r="L2031" s="55"/>
      <c r="M2031" s="55"/>
      <c r="N2031" s="55"/>
      <c r="O2031" s="55"/>
      <c r="P2031" s="55"/>
      <c r="Q2031" s="55"/>
      <c r="R2031" s="57"/>
      <c r="S2031" s="58"/>
    </row>
    <row r="2032" spans="1:19" x14ac:dyDescent="0.25">
      <c r="A2032" s="51" t="str">
        <f>(COUNTIF($K$2:K2032,K2032))&amp;K2032</f>
        <v>1</v>
      </c>
      <c r="B2032" s="52"/>
      <c r="C2032" s="53"/>
      <c r="D2032" s="54"/>
      <c r="E2032" s="55"/>
      <c r="F2032" s="55"/>
      <c r="G2032" s="55"/>
      <c r="H2032" s="55"/>
      <c r="I2032" s="55"/>
      <c r="J2032" s="55"/>
      <c r="K2032" s="56"/>
      <c r="L2032" s="55"/>
      <c r="M2032" s="55"/>
      <c r="N2032" s="55"/>
      <c r="O2032" s="55"/>
      <c r="P2032" s="55"/>
      <c r="Q2032" s="55"/>
      <c r="R2032" s="57"/>
      <c r="S2032" s="58"/>
    </row>
    <row r="2033" spans="1:19" ht="15.75" x14ac:dyDescent="0.25">
      <c r="A2033" s="51" t="str">
        <f>(COUNTIF($K$2:K2033,K2033))&amp;K2033</f>
        <v>1</v>
      </c>
      <c r="B2033" s="52"/>
      <c r="C2033" s="53"/>
      <c r="D2033" s="54"/>
      <c r="E2033" s="55"/>
      <c r="F2033" s="55"/>
      <c r="G2033" s="55"/>
      <c r="H2033" s="55"/>
      <c r="I2033" s="55"/>
      <c r="J2033" s="55"/>
      <c r="K2033" s="59"/>
      <c r="L2033" s="55"/>
      <c r="M2033" s="55"/>
      <c r="N2033" s="55"/>
      <c r="O2033" s="55"/>
      <c r="P2033" s="55"/>
      <c r="Q2033" s="55"/>
      <c r="R2033" s="57"/>
      <c r="S2033" s="58"/>
    </row>
    <row r="2034" spans="1:19" x14ac:dyDescent="0.25">
      <c r="A2034" s="51" t="str">
        <f>(COUNTIF($K$2:K2034,K2034))&amp;K2034</f>
        <v>1</v>
      </c>
      <c r="B2034" s="52"/>
      <c r="C2034" s="53"/>
      <c r="D2034" s="54"/>
      <c r="E2034" s="55"/>
      <c r="F2034" s="55"/>
      <c r="G2034" s="55"/>
      <c r="H2034" s="55"/>
      <c r="I2034" s="55"/>
      <c r="J2034" s="55"/>
      <c r="K2034" s="56"/>
      <c r="L2034" s="55"/>
      <c r="M2034" s="55"/>
      <c r="N2034" s="55"/>
      <c r="O2034" s="55"/>
      <c r="P2034" s="55"/>
      <c r="Q2034" s="55"/>
      <c r="R2034" s="57"/>
      <c r="S2034" s="58"/>
    </row>
    <row r="2035" spans="1:19" x14ac:dyDescent="0.25">
      <c r="A2035" s="51" t="str">
        <f>(COUNTIF($K$2:K2035,K2035))&amp;K2035</f>
        <v>1</v>
      </c>
      <c r="B2035" s="52"/>
      <c r="C2035" s="53"/>
      <c r="D2035" s="54"/>
      <c r="E2035" s="55"/>
      <c r="F2035" s="55"/>
      <c r="G2035" s="55"/>
      <c r="H2035" s="55"/>
      <c r="I2035" s="55"/>
      <c r="J2035" s="55"/>
      <c r="K2035" s="56"/>
      <c r="L2035" s="55"/>
      <c r="M2035" s="55"/>
      <c r="N2035" s="55"/>
      <c r="O2035" s="55"/>
      <c r="P2035" s="55"/>
      <c r="Q2035" s="55"/>
      <c r="R2035" s="57"/>
      <c r="S2035" s="58"/>
    </row>
    <row r="2036" spans="1:19" x14ac:dyDescent="0.25">
      <c r="A2036" s="51" t="str">
        <f>(COUNTIF($K$2:K2036,K2036))&amp;K2036</f>
        <v>1</v>
      </c>
      <c r="B2036" s="52"/>
      <c r="C2036" s="53"/>
      <c r="D2036" s="54"/>
      <c r="E2036" s="55"/>
      <c r="F2036" s="55"/>
      <c r="G2036" s="55"/>
      <c r="H2036" s="55"/>
      <c r="I2036" s="55"/>
      <c r="J2036" s="55"/>
      <c r="K2036" s="56"/>
      <c r="L2036" s="55"/>
      <c r="M2036" s="55"/>
      <c r="N2036" s="55"/>
      <c r="O2036" s="55"/>
      <c r="P2036" s="55"/>
      <c r="Q2036" s="55"/>
      <c r="R2036" s="57"/>
      <c r="S2036" s="58"/>
    </row>
    <row r="2037" spans="1:19" x14ac:dyDescent="0.25">
      <c r="A2037" s="51" t="str">
        <f>(COUNTIF($K$2:K2037,K2037))&amp;K2037</f>
        <v>1</v>
      </c>
      <c r="B2037" s="52"/>
      <c r="C2037" s="53"/>
      <c r="D2037" s="54"/>
      <c r="E2037" s="55"/>
      <c r="F2037" s="55"/>
      <c r="G2037" s="55"/>
      <c r="H2037" s="55"/>
      <c r="I2037" s="55"/>
      <c r="J2037" s="55"/>
      <c r="K2037" s="56"/>
      <c r="L2037" s="55"/>
      <c r="M2037" s="55"/>
      <c r="N2037" s="55"/>
      <c r="O2037" s="55"/>
      <c r="P2037" s="55"/>
      <c r="Q2037" s="55"/>
      <c r="R2037" s="57"/>
      <c r="S2037" s="58"/>
    </row>
    <row r="2038" spans="1:19" x14ac:dyDescent="0.25">
      <c r="A2038" s="51" t="str">
        <f>(COUNTIF($K$2:K2038,K2038))&amp;K2038</f>
        <v>1</v>
      </c>
      <c r="B2038" s="52"/>
      <c r="C2038" s="53"/>
      <c r="D2038" s="54"/>
      <c r="E2038" s="55"/>
      <c r="F2038" s="55"/>
      <c r="G2038" s="55"/>
      <c r="H2038" s="55"/>
      <c r="I2038" s="55"/>
      <c r="J2038" s="55"/>
      <c r="K2038" s="56"/>
      <c r="L2038" s="55"/>
      <c r="M2038" s="55"/>
      <c r="N2038" s="55"/>
      <c r="O2038" s="55"/>
      <c r="P2038" s="55"/>
      <c r="Q2038" s="55"/>
      <c r="R2038" s="57"/>
      <c r="S2038" s="58"/>
    </row>
    <row r="2039" spans="1:19" x14ac:dyDescent="0.25">
      <c r="A2039" s="51" t="str">
        <f>(COUNTIF($K$2:K2039,K2039))&amp;K2039</f>
        <v>1</v>
      </c>
      <c r="B2039" s="52"/>
      <c r="C2039" s="53"/>
      <c r="D2039" s="54"/>
      <c r="E2039" s="55"/>
      <c r="F2039" s="55"/>
      <c r="G2039" s="55"/>
      <c r="H2039" s="55"/>
      <c r="I2039" s="55"/>
      <c r="J2039" s="55"/>
      <c r="K2039" s="56"/>
      <c r="L2039" s="55"/>
      <c r="M2039" s="55"/>
      <c r="N2039" s="55"/>
      <c r="O2039" s="55"/>
      <c r="P2039" s="55"/>
      <c r="Q2039" s="55"/>
      <c r="R2039" s="57"/>
      <c r="S2039" s="58"/>
    </row>
    <row r="2040" spans="1:19" x14ac:dyDescent="0.25">
      <c r="A2040" s="51" t="str">
        <f>(COUNTIF($K$2:K2040,K2040))&amp;K2040</f>
        <v>1</v>
      </c>
      <c r="B2040" s="52"/>
      <c r="C2040" s="53"/>
      <c r="D2040" s="54"/>
      <c r="E2040" s="55"/>
      <c r="F2040" s="55"/>
      <c r="G2040" s="55"/>
      <c r="H2040" s="55"/>
      <c r="I2040" s="55"/>
      <c r="J2040" s="55"/>
      <c r="K2040" s="56"/>
      <c r="L2040" s="55"/>
      <c r="M2040" s="55"/>
      <c r="N2040" s="55"/>
      <c r="O2040" s="55"/>
      <c r="P2040" s="55"/>
      <c r="Q2040" s="55"/>
      <c r="R2040" s="57"/>
      <c r="S2040" s="58"/>
    </row>
    <row r="2041" spans="1:19" x14ac:dyDescent="0.25">
      <c r="A2041" s="51" t="str">
        <f>(COUNTIF($K$2:K2041,K2041))&amp;K2041</f>
        <v>1</v>
      </c>
      <c r="B2041" s="52"/>
      <c r="C2041" s="60"/>
      <c r="E2041" s="61"/>
      <c r="F2041" s="62"/>
      <c r="G2041" s="63"/>
      <c r="H2041" s="64"/>
      <c r="I2041" s="64"/>
      <c r="J2041" s="64"/>
      <c r="K2041" s="65"/>
      <c r="L2041" s="64"/>
      <c r="M2041" s="64"/>
      <c r="N2041" s="64"/>
      <c r="P2041" s="63"/>
      <c r="Q2041" s="61"/>
      <c r="R2041" s="64"/>
      <c r="S2041" s="64"/>
    </row>
    <row r="2042" spans="1:19" x14ac:dyDescent="0.25">
      <c r="A2042" s="51" t="str">
        <f>(COUNTIF($K$2:K2042,K2042))&amp;K2042</f>
        <v>1</v>
      </c>
      <c r="B2042" s="52"/>
      <c r="C2042" s="53"/>
      <c r="D2042" s="54"/>
      <c r="E2042" s="55"/>
      <c r="F2042" s="55"/>
      <c r="G2042" s="55"/>
      <c r="H2042" s="55"/>
      <c r="I2042" s="55"/>
      <c r="J2042" s="55"/>
      <c r="K2042" s="56"/>
      <c r="L2042" s="55"/>
      <c r="M2042" s="55"/>
      <c r="N2042" s="55"/>
      <c r="O2042" s="55"/>
      <c r="P2042" s="55"/>
      <c r="Q2042" s="55"/>
      <c r="R2042" s="57"/>
      <c r="S2042" s="58"/>
    </row>
    <row r="2043" spans="1:19" x14ac:dyDescent="0.25">
      <c r="A2043" s="51" t="str">
        <f>(COUNTIF($K$2:K2043,K2043))&amp;K2043</f>
        <v>1</v>
      </c>
      <c r="B2043" s="52"/>
      <c r="C2043" s="53"/>
      <c r="D2043" s="54"/>
      <c r="E2043" s="55"/>
      <c r="F2043" s="55"/>
      <c r="G2043" s="55"/>
      <c r="H2043" s="55"/>
      <c r="I2043" s="55"/>
      <c r="J2043" s="55"/>
      <c r="K2043" s="56"/>
      <c r="L2043" s="55"/>
      <c r="M2043" s="55"/>
      <c r="N2043" s="55"/>
      <c r="O2043" s="55"/>
      <c r="P2043" s="55"/>
      <c r="Q2043" s="55"/>
      <c r="R2043" s="57"/>
      <c r="S2043" s="58"/>
    </row>
    <row r="2044" spans="1:19" x14ac:dyDescent="0.25">
      <c r="A2044" s="51" t="str">
        <f>(COUNTIF($K$2:K2044,K2044))&amp;K2044</f>
        <v>1</v>
      </c>
      <c r="B2044" s="52"/>
      <c r="C2044" s="53"/>
      <c r="D2044" s="54"/>
      <c r="E2044" s="55"/>
      <c r="F2044" s="55"/>
      <c r="G2044" s="55"/>
      <c r="H2044" s="55"/>
      <c r="I2044" s="55"/>
      <c r="J2044" s="55"/>
      <c r="K2044" s="56"/>
      <c r="L2044" s="55"/>
      <c r="M2044" s="55"/>
      <c r="N2044" s="55"/>
      <c r="O2044" s="55"/>
      <c r="P2044" s="55"/>
      <c r="Q2044" s="55"/>
      <c r="R2044" s="57"/>
      <c r="S2044" s="58"/>
    </row>
    <row r="2045" spans="1:19" x14ac:dyDescent="0.25">
      <c r="A2045" s="51" t="str">
        <f>(COUNTIF($K$2:K2045,K2045))&amp;K2045</f>
        <v>1</v>
      </c>
      <c r="B2045" s="52"/>
      <c r="C2045" s="53"/>
      <c r="D2045" s="54"/>
      <c r="E2045" s="55"/>
      <c r="F2045" s="55"/>
      <c r="G2045" s="55"/>
      <c r="H2045" s="55"/>
      <c r="I2045" s="55"/>
      <c r="J2045" s="55"/>
      <c r="K2045" s="56"/>
      <c r="L2045" s="55"/>
      <c r="M2045" s="55"/>
      <c r="N2045" s="55"/>
      <c r="O2045" s="55"/>
      <c r="P2045" s="55"/>
      <c r="Q2045" s="55"/>
      <c r="R2045" s="57"/>
      <c r="S2045" s="58"/>
    </row>
    <row r="2046" spans="1:19" x14ac:dyDescent="0.25">
      <c r="A2046" s="51" t="str">
        <f>(COUNTIF($K$2:K2046,K2046))&amp;K2046</f>
        <v>1</v>
      </c>
      <c r="B2046" s="52"/>
      <c r="C2046" s="53"/>
      <c r="D2046" s="54"/>
      <c r="E2046" s="55"/>
      <c r="F2046" s="55"/>
      <c r="G2046" s="55"/>
      <c r="H2046" s="55"/>
      <c r="I2046" s="55"/>
      <c r="J2046" s="55"/>
      <c r="K2046" s="56"/>
      <c r="L2046" s="55"/>
      <c r="M2046" s="55"/>
      <c r="N2046" s="55"/>
      <c r="O2046" s="55"/>
      <c r="P2046" s="55"/>
      <c r="Q2046" s="55"/>
      <c r="R2046" s="57"/>
      <c r="S2046" s="58"/>
    </row>
    <row r="2047" spans="1:19" x14ac:dyDescent="0.25">
      <c r="A2047" s="51" t="str">
        <f>(COUNTIF($K$2:K2047,K2047))&amp;K2047</f>
        <v>1</v>
      </c>
      <c r="B2047" s="52"/>
      <c r="C2047" s="53"/>
      <c r="D2047" s="54"/>
      <c r="E2047" s="55"/>
      <c r="F2047" s="55"/>
      <c r="G2047" s="55"/>
      <c r="H2047" s="55"/>
      <c r="I2047" s="55"/>
      <c r="J2047" s="55"/>
      <c r="K2047" s="56"/>
      <c r="L2047" s="55"/>
      <c r="M2047" s="55"/>
      <c r="N2047" s="55"/>
      <c r="O2047" s="55"/>
      <c r="P2047" s="55"/>
      <c r="Q2047" s="55"/>
      <c r="R2047" s="57"/>
      <c r="S2047" s="58"/>
    </row>
    <row r="2048" spans="1:19" x14ac:dyDescent="0.25">
      <c r="A2048" s="51" t="str">
        <f>(COUNTIF($K$2:K2048,K2048))&amp;K2048</f>
        <v>1</v>
      </c>
      <c r="B2048" s="52"/>
      <c r="C2048" s="53"/>
      <c r="D2048" s="54"/>
      <c r="E2048" s="55"/>
      <c r="F2048" s="55"/>
      <c r="G2048" s="55"/>
      <c r="H2048" s="55"/>
      <c r="I2048" s="55"/>
      <c r="J2048" s="55"/>
      <c r="K2048" s="56"/>
      <c r="L2048" s="55"/>
      <c r="M2048" s="55"/>
      <c r="N2048" s="55"/>
      <c r="O2048" s="55"/>
      <c r="P2048" s="55"/>
      <c r="Q2048" s="55"/>
      <c r="R2048" s="57"/>
      <c r="S2048" s="58"/>
    </row>
    <row r="2049" spans="1:19" x14ac:dyDescent="0.25">
      <c r="A2049" s="51" t="str">
        <f>(COUNTIF($K$2:K2049,K2049))&amp;K2049</f>
        <v>1</v>
      </c>
      <c r="B2049" s="52"/>
      <c r="C2049" s="53"/>
      <c r="D2049" s="54"/>
      <c r="E2049" s="55"/>
      <c r="F2049" s="55"/>
      <c r="G2049" s="55"/>
      <c r="H2049" s="55"/>
      <c r="I2049" s="55"/>
      <c r="J2049" s="55"/>
      <c r="K2049" s="56"/>
      <c r="L2049" s="55"/>
      <c r="M2049" s="55"/>
      <c r="N2049" s="55"/>
      <c r="O2049" s="55"/>
      <c r="P2049" s="55"/>
      <c r="Q2049" s="55"/>
      <c r="R2049" s="57"/>
      <c r="S2049" s="58"/>
    </row>
    <row r="2050" spans="1:19" ht="15.75" x14ac:dyDescent="0.25">
      <c r="A2050" s="51" t="str">
        <f>(COUNTIF($K$2:K2050,K2050))&amp;K2050</f>
        <v>1</v>
      </c>
      <c r="B2050" s="52"/>
      <c r="C2050" s="53"/>
      <c r="D2050" s="54"/>
      <c r="E2050" s="55"/>
      <c r="F2050" s="55"/>
      <c r="G2050" s="55"/>
      <c r="H2050" s="55"/>
      <c r="I2050" s="55"/>
      <c r="J2050" s="55"/>
      <c r="K2050" s="59"/>
      <c r="L2050" s="55"/>
      <c r="M2050" s="55"/>
      <c r="N2050" s="55"/>
      <c r="O2050" s="55"/>
      <c r="P2050" s="55"/>
      <c r="Q2050" s="55"/>
      <c r="R2050" s="57"/>
      <c r="S2050" s="58"/>
    </row>
    <row r="2051" spans="1:19" x14ac:dyDescent="0.25">
      <c r="A2051" s="51" t="str">
        <f>(COUNTIF($K$2:K2051,K2051))&amp;K2051</f>
        <v>1</v>
      </c>
      <c r="B2051" s="52"/>
      <c r="C2051" s="53"/>
      <c r="D2051" s="54"/>
      <c r="E2051" s="55"/>
      <c r="F2051" s="55"/>
      <c r="G2051" s="55"/>
      <c r="H2051" s="55"/>
      <c r="I2051" s="55"/>
      <c r="J2051" s="55"/>
      <c r="K2051" s="56"/>
      <c r="L2051" s="55"/>
      <c r="M2051" s="55"/>
      <c r="N2051" s="55"/>
      <c r="O2051" s="55"/>
      <c r="P2051" s="55"/>
      <c r="Q2051" s="55"/>
      <c r="R2051" s="57"/>
      <c r="S2051" s="58"/>
    </row>
    <row r="2052" spans="1:19" x14ac:dyDescent="0.25">
      <c r="A2052" s="51" t="str">
        <f>(COUNTIF($K$2:K2052,K2052))&amp;K2052</f>
        <v>1</v>
      </c>
      <c r="B2052" s="52"/>
      <c r="C2052" s="53"/>
      <c r="D2052" s="54"/>
      <c r="E2052" s="55"/>
      <c r="F2052" s="55"/>
      <c r="G2052" s="55"/>
      <c r="H2052" s="55"/>
      <c r="I2052" s="55"/>
      <c r="J2052" s="55"/>
      <c r="K2052" s="56"/>
      <c r="L2052" s="55"/>
      <c r="M2052" s="55"/>
      <c r="N2052" s="55"/>
      <c r="O2052" s="55"/>
      <c r="P2052" s="55"/>
      <c r="Q2052" s="55"/>
      <c r="R2052" s="57"/>
      <c r="S2052" s="58"/>
    </row>
    <row r="2053" spans="1:19" x14ac:dyDescent="0.25">
      <c r="A2053" s="51" t="str">
        <f>(COUNTIF($K$2:K2053,K2053))&amp;K2053</f>
        <v>1</v>
      </c>
      <c r="B2053" s="52"/>
      <c r="C2053" s="53"/>
      <c r="D2053" s="54"/>
      <c r="E2053" s="55"/>
      <c r="F2053" s="55"/>
      <c r="G2053" s="55"/>
      <c r="H2053" s="55"/>
      <c r="I2053" s="55"/>
      <c r="J2053" s="55"/>
      <c r="K2053" s="56"/>
      <c r="L2053" s="55"/>
      <c r="M2053" s="55"/>
      <c r="N2053" s="55"/>
      <c r="O2053" s="55"/>
      <c r="P2053" s="55"/>
      <c r="Q2053" s="55"/>
      <c r="R2053" s="57"/>
      <c r="S2053" s="58"/>
    </row>
    <row r="2054" spans="1:19" x14ac:dyDescent="0.25">
      <c r="A2054" s="51" t="str">
        <f>(COUNTIF($K$2:K2054,K2054))&amp;K2054</f>
        <v>1</v>
      </c>
      <c r="B2054" s="52"/>
      <c r="C2054" s="53"/>
      <c r="D2054" s="54"/>
      <c r="E2054" s="55"/>
      <c r="F2054" s="55"/>
      <c r="G2054" s="55"/>
      <c r="H2054" s="55"/>
      <c r="I2054" s="55"/>
      <c r="J2054" s="55"/>
      <c r="K2054" s="56"/>
      <c r="L2054" s="55"/>
      <c r="M2054" s="55"/>
      <c r="N2054" s="55"/>
      <c r="O2054" s="55"/>
      <c r="P2054" s="55"/>
      <c r="Q2054" s="55"/>
      <c r="R2054" s="57"/>
      <c r="S2054" s="58"/>
    </row>
    <row r="2055" spans="1:19" x14ac:dyDescent="0.25">
      <c r="A2055" s="51" t="str">
        <f>(COUNTIF($K$2:K2055,K2055))&amp;K2055</f>
        <v>1</v>
      </c>
      <c r="B2055" s="52"/>
      <c r="C2055" s="53"/>
      <c r="D2055" s="54"/>
      <c r="E2055" s="55"/>
      <c r="F2055" s="55"/>
      <c r="G2055" s="55"/>
      <c r="H2055" s="55"/>
      <c r="I2055" s="55"/>
      <c r="J2055" s="55"/>
      <c r="K2055" s="56"/>
      <c r="L2055" s="55"/>
      <c r="M2055" s="55"/>
      <c r="N2055" s="55"/>
      <c r="O2055" s="55"/>
      <c r="P2055" s="55"/>
      <c r="Q2055" s="55"/>
      <c r="R2055" s="57"/>
      <c r="S2055" s="58"/>
    </row>
    <row r="2056" spans="1:19" x14ac:dyDescent="0.25">
      <c r="A2056" s="51" t="str">
        <f>(COUNTIF($K$2:K2056,K2056))&amp;K2056</f>
        <v>1</v>
      </c>
      <c r="B2056" s="52"/>
      <c r="C2056" s="53"/>
      <c r="D2056" s="54"/>
      <c r="E2056" s="55"/>
      <c r="F2056" s="55"/>
      <c r="G2056" s="55"/>
      <c r="H2056" s="55"/>
      <c r="I2056" s="55"/>
      <c r="J2056" s="55"/>
      <c r="K2056" s="56"/>
      <c r="L2056" s="55"/>
      <c r="M2056" s="55"/>
      <c r="N2056" s="55"/>
      <c r="O2056" s="55"/>
      <c r="P2056" s="55"/>
      <c r="Q2056" s="55"/>
      <c r="R2056" s="57"/>
      <c r="S2056" s="58"/>
    </row>
    <row r="2057" spans="1:19" x14ac:dyDescent="0.25">
      <c r="A2057" s="51" t="str">
        <f>(COUNTIF($K$2:K2057,K2057))&amp;K2057</f>
        <v>1</v>
      </c>
      <c r="B2057" s="52"/>
      <c r="C2057" s="53"/>
      <c r="D2057" s="54"/>
      <c r="E2057" s="55"/>
      <c r="F2057" s="55"/>
      <c r="G2057" s="55"/>
      <c r="H2057" s="55"/>
      <c r="I2057" s="55"/>
      <c r="J2057" s="55"/>
      <c r="K2057" s="56"/>
      <c r="L2057" s="55"/>
      <c r="M2057" s="55"/>
      <c r="N2057" s="55"/>
      <c r="O2057" s="55"/>
      <c r="P2057" s="55"/>
      <c r="Q2057" s="55"/>
      <c r="R2057" s="57"/>
      <c r="S2057" s="58"/>
    </row>
    <row r="2058" spans="1:19" x14ac:dyDescent="0.25">
      <c r="A2058" s="51" t="str">
        <f>(COUNTIF($K$2:K2058,K2058))&amp;K2058</f>
        <v>1</v>
      </c>
      <c r="B2058" s="52"/>
      <c r="C2058" s="60"/>
      <c r="E2058" s="61"/>
      <c r="F2058" s="62"/>
      <c r="G2058" s="63"/>
      <c r="H2058" s="64"/>
      <c r="I2058" s="64"/>
      <c r="J2058" s="64"/>
      <c r="K2058" s="65"/>
      <c r="L2058" s="64"/>
      <c r="M2058" s="64"/>
      <c r="N2058" s="64"/>
      <c r="P2058" s="63"/>
      <c r="Q2058" s="61"/>
      <c r="R2058" s="64"/>
      <c r="S2058" s="64"/>
    </row>
    <row r="2059" spans="1:19" x14ac:dyDescent="0.25">
      <c r="A2059" s="51" t="str">
        <f>(COUNTIF($K$2:K2059,K2059))&amp;K2059</f>
        <v>1</v>
      </c>
      <c r="B2059" s="52"/>
      <c r="C2059" s="53"/>
      <c r="D2059" s="54"/>
      <c r="E2059" s="55"/>
      <c r="F2059" s="55"/>
      <c r="G2059" s="55"/>
      <c r="H2059" s="55"/>
      <c r="I2059" s="55"/>
      <c r="J2059" s="55"/>
      <c r="K2059" s="56"/>
      <c r="L2059" s="55"/>
      <c r="M2059" s="55"/>
      <c r="N2059" s="55"/>
      <c r="O2059" s="55"/>
      <c r="P2059" s="55"/>
      <c r="Q2059" s="55"/>
      <c r="R2059" s="57"/>
      <c r="S2059" s="58"/>
    </row>
    <row r="2060" spans="1:19" x14ac:dyDescent="0.25">
      <c r="A2060" s="51" t="str">
        <f>(COUNTIF($K$2:K2060,K2060))&amp;K2060</f>
        <v>1</v>
      </c>
      <c r="B2060" s="52"/>
      <c r="C2060" s="53"/>
      <c r="D2060" s="54"/>
      <c r="E2060" s="55"/>
      <c r="F2060" s="55"/>
      <c r="G2060" s="55"/>
      <c r="H2060" s="55"/>
      <c r="I2060" s="55"/>
      <c r="J2060" s="55"/>
      <c r="K2060" s="56"/>
      <c r="L2060" s="55"/>
      <c r="M2060" s="55"/>
      <c r="N2060" s="55"/>
      <c r="O2060" s="55"/>
      <c r="P2060" s="55"/>
      <c r="Q2060" s="55"/>
      <c r="R2060" s="57"/>
      <c r="S2060" s="58"/>
    </row>
    <row r="2061" spans="1:19" x14ac:dyDescent="0.25">
      <c r="A2061" s="51" t="str">
        <f>(COUNTIF($K$2:K2061,K2061))&amp;K2061</f>
        <v>1</v>
      </c>
      <c r="B2061" s="52"/>
      <c r="C2061" s="53"/>
      <c r="D2061" s="54"/>
      <c r="E2061" s="55"/>
      <c r="F2061" s="55"/>
      <c r="G2061" s="55"/>
      <c r="H2061" s="55"/>
      <c r="I2061" s="55"/>
      <c r="J2061" s="55"/>
      <c r="K2061" s="56"/>
      <c r="L2061" s="55"/>
      <c r="M2061" s="55"/>
      <c r="N2061" s="55"/>
      <c r="O2061" s="55"/>
      <c r="P2061" s="55"/>
      <c r="Q2061" s="55"/>
      <c r="R2061" s="57"/>
      <c r="S2061" s="58"/>
    </row>
    <row r="2062" spans="1:19" x14ac:dyDescent="0.25">
      <c r="A2062" s="51" t="str">
        <f>(COUNTIF($K$2:K2062,K2062))&amp;K2062</f>
        <v>1</v>
      </c>
      <c r="B2062" s="52"/>
      <c r="C2062" s="53"/>
      <c r="D2062" s="54"/>
      <c r="E2062" s="55"/>
      <c r="F2062" s="55"/>
      <c r="G2062" s="55"/>
      <c r="H2062" s="55"/>
      <c r="I2062" s="55"/>
      <c r="J2062" s="55"/>
      <c r="K2062" s="56"/>
      <c r="L2062" s="55"/>
      <c r="M2062" s="55"/>
      <c r="N2062" s="55"/>
      <c r="O2062" s="55"/>
      <c r="P2062" s="55"/>
      <c r="Q2062" s="55"/>
      <c r="R2062" s="57"/>
      <c r="S2062" s="58"/>
    </row>
    <row r="2063" spans="1:19" x14ac:dyDescent="0.25">
      <c r="A2063" s="51" t="str">
        <f>(COUNTIF($K$2:K2063,K2063))&amp;K2063</f>
        <v>1</v>
      </c>
      <c r="B2063" s="52"/>
      <c r="C2063" s="53"/>
      <c r="D2063" s="54"/>
      <c r="E2063" s="55"/>
      <c r="F2063" s="55"/>
      <c r="G2063" s="55"/>
      <c r="H2063" s="55"/>
      <c r="I2063" s="55"/>
      <c r="J2063" s="55"/>
      <c r="K2063" s="56"/>
      <c r="L2063" s="55"/>
      <c r="M2063" s="55"/>
      <c r="N2063" s="55"/>
      <c r="O2063" s="55"/>
      <c r="P2063" s="55"/>
      <c r="Q2063" s="55"/>
      <c r="R2063" s="57"/>
      <c r="S2063" s="58"/>
    </row>
    <row r="2064" spans="1:19" x14ac:dyDescent="0.25">
      <c r="A2064" s="51" t="str">
        <f>(COUNTIF($K$2:K2064,K2064))&amp;K2064</f>
        <v>1</v>
      </c>
      <c r="B2064" s="52"/>
      <c r="C2064" s="53"/>
      <c r="D2064" s="54"/>
      <c r="E2064" s="55"/>
      <c r="F2064" s="55"/>
      <c r="G2064" s="55"/>
      <c r="H2064" s="55"/>
      <c r="I2064" s="55"/>
      <c r="J2064" s="55"/>
      <c r="K2064" s="56"/>
      <c r="L2064" s="55"/>
      <c r="M2064" s="55"/>
      <c r="N2064" s="55"/>
      <c r="O2064" s="55"/>
      <c r="P2064" s="55"/>
      <c r="Q2064" s="55"/>
      <c r="R2064" s="57"/>
      <c r="S2064" s="58"/>
    </row>
    <row r="2065" spans="1:19" x14ac:dyDescent="0.25">
      <c r="A2065" s="51" t="str">
        <f>(COUNTIF($K$2:K2065,K2065))&amp;K2065</f>
        <v>1</v>
      </c>
      <c r="B2065" s="52"/>
      <c r="C2065" s="53"/>
      <c r="D2065" s="54"/>
      <c r="E2065" s="55"/>
      <c r="F2065" s="55"/>
      <c r="G2065" s="55"/>
      <c r="H2065" s="55"/>
      <c r="I2065" s="55"/>
      <c r="J2065" s="55"/>
      <c r="K2065" s="56"/>
      <c r="L2065" s="55"/>
      <c r="M2065" s="55"/>
      <c r="N2065" s="55"/>
      <c r="O2065" s="55"/>
      <c r="P2065" s="55"/>
      <c r="Q2065" s="55"/>
      <c r="R2065" s="57"/>
      <c r="S2065" s="58"/>
    </row>
    <row r="2066" spans="1:19" x14ac:dyDescent="0.25">
      <c r="A2066" s="51" t="str">
        <f>(COUNTIF($K$2:K2066,K2066))&amp;K2066</f>
        <v>1</v>
      </c>
      <c r="B2066" s="52"/>
      <c r="C2066" s="53"/>
      <c r="D2066" s="54"/>
      <c r="E2066" s="55"/>
      <c r="F2066" s="55"/>
      <c r="G2066" s="55"/>
      <c r="H2066" s="55"/>
      <c r="I2066" s="55"/>
      <c r="J2066" s="55"/>
      <c r="K2066" s="56"/>
      <c r="L2066" s="55"/>
      <c r="M2066" s="55"/>
      <c r="N2066" s="55"/>
      <c r="O2066" s="55"/>
      <c r="P2066" s="55"/>
      <c r="Q2066" s="55"/>
      <c r="R2066" s="57"/>
      <c r="S2066" s="58"/>
    </row>
    <row r="2067" spans="1:19" ht="15.75" x14ac:dyDescent="0.25">
      <c r="A2067" s="51" t="str">
        <f>(COUNTIF($K$2:K2067,K2067))&amp;K2067</f>
        <v>1</v>
      </c>
      <c r="B2067" s="52"/>
      <c r="C2067" s="53"/>
      <c r="D2067" s="54"/>
      <c r="E2067" s="55"/>
      <c r="F2067" s="55"/>
      <c r="G2067" s="55"/>
      <c r="H2067" s="55"/>
      <c r="I2067" s="55"/>
      <c r="J2067" s="55"/>
      <c r="K2067" s="59"/>
      <c r="L2067" s="55"/>
      <c r="M2067" s="55"/>
      <c r="N2067" s="55"/>
      <c r="O2067" s="55"/>
      <c r="P2067" s="55"/>
      <c r="Q2067" s="55"/>
      <c r="R2067" s="57"/>
      <c r="S2067" s="58"/>
    </row>
    <row r="2068" spans="1:19" x14ac:dyDescent="0.25">
      <c r="A2068" s="51" t="str">
        <f>(COUNTIF($K$2:K2068,K2068))&amp;K2068</f>
        <v>1</v>
      </c>
      <c r="B2068" s="52"/>
      <c r="C2068" s="53"/>
      <c r="D2068" s="54"/>
      <c r="E2068" s="55"/>
      <c r="F2068" s="55"/>
      <c r="G2068" s="55"/>
      <c r="H2068" s="55"/>
      <c r="I2068" s="55"/>
      <c r="J2068" s="55"/>
      <c r="K2068" s="56"/>
      <c r="L2068" s="55"/>
      <c r="M2068" s="55"/>
      <c r="N2068" s="55"/>
      <c r="O2068" s="55"/>
      <c r="P2068" s="55"/>
      <c r="Q2068" s="55"/>
      <c r="R2068" s="57"/>
      <c r="S2068" s="58"/>
    </row>
    <row r="2069" spans="1:19" x14ac:dyDescent="0.25">
      <c r="A2069" s="51" t="str">
        <f>(COUNTIF($K$2:K2069,K2069))&amp;K2069</f>
        <v>1</v>
      </c>
      <c r="B2069" s="52"/>
      <c r="C2069" s="53"/>
      <c r="D2069" s="54"/>
      <c r="E2069" s="55"/>
      <c r="F2069" s="55"/>
      <c r="G2069" s="55"/>
      <c r="H2069" s="55"/>
      <c r="I2069" s="55"/>
      <c r="J2069" s="55"/>
      <c r="K2069" s="56"/>
      <c r="L2069" s="55"/>
      <c r="M2069" s="55"/>
      <c r="N2069" s="55"/>
      <c r="O2069" s="55"/>
      <c r="P2069" s="55"/>
      <c r="Q2069" s="55"/>
      <c r="R2069" s="57"/>
      <c r="S2069" s="58"/>
    </row>
    <row r="2070" spans="1:19" x14ac:dyDescent="0.25">
      <c r="A2070" s="51" t="str">
        <f>(COUNTIF($K$2:K2070,K2070))&amp;K2070</f>
        <v>1</v>
      </c>
      <c r="B2070" s="52"/>
      <c r="C2070" s="53"/>
      <c r="D2070" s="54"/>
      <c r="E2070" s="55"/>
      <c r="F2070" s="55"/>
      <c r="G2070" s="55"/>
      <c r="H2070" s="55"/>
      <c r="I2070" s="55"/>
      <c r="J2070" s="55"/>
      <c r="K2070" s="56"/>
      <c r="L2070" s="55"/>
      <c r="M2070" s="55"/>
      <c r="N2070" s="55"/>
      <c r="O2070" s="55"/>
      <c r="P2070" s="55"/>
      <c r="Q2070" s="55"/>
      <c r="R2070" s="57"/>
      <c r="S2070" s="58"/>
    </row>
    <row r="2071" spans="1:19" x14ac:dyDescent="0.25">
      <c r="A2071" s="51" t="str">
        <f>(COUNTIF($K$2:K2071,K2071))&amp;K2071</f>
        <v>1</v>
      </c>
      <c r="B2071" s="52"/>
      <c r="C2071" s="53"/>
      <c r="D2071" s="54"/>
      <c r="E2071" s="55"/>
      <c r="F2071" s="55"/>
      <c r="G2071" s="55"/>
      <c r="H2071" s="55"/>
      <c r="I2071" s="55"/>
      <c r="J2071" s="55"/>
      <c r="K2071" s="56"/>
      <c r="L2071" s="55"/>
      <c r="M2071" s="55"/>
      <c r="N2071" s="55"/>
      <c r="O2071" s="55"/>
      <c r="P2071" s="55"/>
      <c r="Q2071" s="55"/>
      <c r="R2071" s="57"/>
      <c r="S2071" s="58"/>
    </row>
    <row r="2072" spans="1:19" x14ac:dyDescent="0.25">
      <c r="A2072" s="51" t="str">
        <f>(COUNTIF($K$2:K2072,K2072))&amp;K2072</f>
        <v>1</v>
      </c>
      <c r="B2072" s="52"/>
      <c r="C2072" s="53"/>
      <c r="D2072" s="54"/>
      <c r="E2072" s="55"/>
      <c r="F2072" s="55"/>
      <c r="G2072" s="55"/>
      <c r="H2072" s="55"/>
      <c r="I2072" s="55"/>
      <c r="J2072" s="55"/>
      <c r="K2072" s="56"/>
      <c r="L2072" s="55"/>
      <c r="M2072" s="55"/>
      <c r="N2072" s="55"/>
      <c r="O2072" s="55"/>
      <c r="P2072" s="55"/>
      <c r="Q2072" s="55"/>
      <c r="R2072" s="57"/>
      <c r="S2072" s="58"/>
    </row>
    <row r="2073" spans="1:19" x14ac:dyDescent="0.25">
      <c r="A2073" s="51" t="str">
        <f>(COUNTIF($K$2:K2073,K2073))&amp;K2073</f>
        <v>1</v>
      </c>
      <c r="B2073" s="52"/>
      <c r="C2073" s="53"/>
      <c r="D2073" s="54"/>
      <c r="E2073" s="55"/>
      <c r="F2073" s="55"/>
      <c r="G2073" s="55"/>
      <c r="H2073" s="55"/>
      <c r="I2073" s="55"/>
      <c r="J2073" s="55"/>
      <c r="K2073" s="56"/>
      <c r="L2073" s="55"/>
      <c r="M2073" s="55"/>
      <c r="N2073" s="55"/>
      <c r="O2073" s="55"/>
      <c r="P2073" s="55"/>
      <c r="Q2073" s="55"/>
      <c r="R2073" s="57"/>
      <c r="S2073" s="58"/>
    </row>
    <row r="2074" spans="1:19" x14ac:dyDescent="0.25">
      <c r="A2074" s="51" t="str">
        <f>(COUNTIF($K$2:K2074,K2074))&amp;K2074</f>
        <v>1</v>
      </c>
      <c r="B2074" s="52"/>
      <c r="C2074" s="53"/>
      <c r="D2074" s="54"/>
      <c r="E2074" s="55"/>
      <c r="F2074" s="55"/>
      <c r="G2074" s="55"/>
      <c r="H2074" s="55"/>
      <c r="I2074" s="55"/>
      <c r="J2074" s="55"/>
      <c r="K2074" s="56"/>
      <c r="L2074" s="55"/>
      <c r="M2074" s="55"/>
      <c r="N2074" s="55"/>
      <c r="O2074" s="55"/>
      <c r="P2074" s="55"/>
      <c r="Q2074" s="55"/>
      <c r="R2074" s="57"/>
      <c r="S2074" s="58"/>
    </row>
    <row r="2075" spans="1:19" x14ac:dyDescent="0.25">
      <c r="A2075" s="51" t="str">
        <f>(COUNTIF($K$2:K2075,K2075))&amp;K2075</f>
        <v>1</v>
      </c>
      <c r="B2075" s="52"/>
      <c r="C2075" s="60"/>
      <c r="E2075" s="61"/>
      <c r="F2075" s="62"/>
      <c r="G2075" s="63"/>
      <c r="H2075" s="64"/>
      <c r="I2075" s="64"/>
      <c r="J2075" s="64"/>
      <c r="K2075" s="65"/>
      <c r="L2075" s="64"/>
      <c r="M2075" s="64"/>
      <c r="N2075" s="64"/>
      <c r="P2075" s="63"/>
      <c r="Q2075" s="61"/>
      <c r="R2075" s="64"/>
      <c r="S2075" s="64"/>
    </row>
    <row r="2076" spans="1:19" x14ac:dyDescent="0.25">
      <c r="A2076" s="51" t="str">
        <f>(COUNTIF($K$2:K2076,K2076))&amp;K2076</f>
        <v>1</v>
      </c>
      <c r="B2076" s="52"/>
      <c r="C2076" s="53"/>
      <c r="D2076" s="54"/>
      <c r="E2076" s="55"/>
      <c r="F2076" s="55"/>
      <c r="G2076" s="55"/>
      <c r="H2076" s="55"/>
      <c r="I2076" s="55"/>
      <c r="J2076" s="55"/>
      <c r="K2076" s="56"/>
      <c r="L2076" s="55"/>
      <c r="M2076" s="55"/>
      <c r="N2076" s="55"/>
      <c r="O2076" s="55"/>
      <c r="P2076" s="55"/>
      <c r="Q2076" s="55"/>
      <c r="R2076" s="57"/>
      <c r="S2076" s="58"/>
    </row>
    <row r="2077" spans="1:19" x14ac:dyDescent="0.25">
      <c r="A2077" s="51" t="str">
        <f>(COUNTIF($K$2:K2077,K2077))&amp;K2077</f>
        <v>1</v>
      </c>
      <c r="B2077" s="52"/>
      <c r="C2077" s="53"/>
      <c r="D2077" s="54"/>
      <c r="E2077" s="55"/>
      <c r="F2077" s="55"/>
      <c r="G2077" s="55"/>
      <c r="H2077" s="55"/>
      <c r="I2077" s="55"/>
      <c r="J2077" s="55"/>
      <c r="K2077" s="56"/>
      <c r="L2077" s="55"/>
      <c r="M2077" s="55"/>
      <c r="N2077" s="55"/>
      <c r="O2077" s="55"/>
      <c r="P2077" s="55"/>
      <c r="Q2077" s="55"/>
      <c r="R2077" s="57"/>
      <c r="S2077" s="58"/>
    </row>
    <row r="2078" spans="1:19" x14ac:dyDescent="0.25">
      <c r="A2078" s="51" t="str">
        <f>(COUNTIF($K$2:K2078,K2078))&amp;K2078</f>
        <v>1</v>
      </c>
      <c r="B2078" s="52"/>
      <c r="C2078" s="53"/>
      <c r="D2078" s="54"/>
      <c r="E2078" s="55"/>
      <c r="F2078" s="55"/>
      <c r="G2078" s="55"/>
      <c r="H2078" s="55"/>
      <c r="I2078" s="55"/>
      <c r="J2078" s="55"/>
      <c r="K2078" s="56"/>
      <c r="L2078" s="55"/>
      <c r="M2078" s="55"/>
      <c r="N2078" s="55"/>
      <c r="O2078" s="55"/>
      <c r="P2078" s="55"/>
      <c r="Q2078" s="55"/>
      <c r="R2078" s="57"/>
      <c r="S2078" s="58"/>
    </row>
    <row r="2079" spans="1:19" x14ac:dyDescent="0.25">
      <c r="A2079" s="51" t="str">
        <f>(COUNTIF($K$2:K2079,K2079))&amp;K2079</f>
        <v>1</v>
      </c>
      <c r="B2079" s="52"/>
      <c r="C2079" s="53"/>
      <c r="D2079" s="54"/>
      <c r="E2079" s="55"/>
      <c r="F2079" s="55"/>
      <c r="G2079" s="55"/>
      <c r="H2079" s="55"/>
      <c r="I2079" s="55"/>
      <c r="J2079" s="55"/>
      <c r="K2079" s="56"/>
      <c r="L2079" s="55"/>
      <c r="M2079" s="55"/>
      <c r="N2079" s="55"/>
      <c r="O2079" s="55"/>
      <c r="P2079" s="55"/>
      <c r="Q2079" s="55"/>
      <c r="R2079" s="57"/>
      <c r="S2079" s="58"/>
    </row>
    <row r="2080" spans="1:19" x14ac:dyDescent="0.25">
      <c r="A2080" s="51" t="str">
        <f>(COUNTIF($K$2:K2080,K2080))&amp;K2080</f>
        <v>1</v>
      </c>
      <c r="B2080" s="52"/>
      <c r="C2080" s="53"/>
      <c r="D2080" s="54"/>
      <c r="E2080" s="55"/>
      <c r="F2080" s="55"/>
      <c r="G2080" s="55"/>
      <c r="H2080" s="55"/>
      <c r="I2080" s="55"/>
      <c r="J2080" s="55"/>
      <c r="K2080" s="56"/>
      <c r="L2080" s="55"/>
      <c r="M2080" s="55"/>
      <c r="N2080" s="55"/>
      <c r="O2080" s="55"/>
      <c r="P2080" s="55"/>
      <c r="Q2080" s="55"/>
      <c r="R2080" s="57"/>
      <c r="S2080" s="58"/>
    </row>
    <row r="2081" spans="1:19" x14ac:dyDescent="0.25">
      <c r="A2081" s="51" t="str">
        <f>(COUNTIF($K$2:K2081,K2081))&amp;K2081</f>
        <v>1</v>
      </c>
      <c r="B2081" s="52"/>
      <c r="C2081" s="53"/>
      <c r="D2081" s="54"/>
      <c r="E2081" s="55"/>
      <c r="F2081" s="55"/>
      <c r="G2081" s="55"/>
      <c r="H2081" s="55"/>
      <c r="I2081" s="55"/>
      <c r="J2081" s="55"/>
      <c r="K2081" s="56"/>
      <c r="L2081" s="55"/>
      <c r="M2081" s="55"/>
      <c r="N2081" s="55"/>
      <c r="O2081" s="55"/>
      <c r="P2081" s="55"/>
      <c r="Q2081" s="55"/>
      <c r="R2081" s="57"/>
      <c r="S2081" s="58"/>
    </row>
    <row r="2082" spans="1:19" x14ac:dyDescent="0.25">
      <c r="A2082" s="51" t="str">
        <f>(COUNTIF($K$2:K2082,K2082))&amp;K2082</f>
        <v>1</v>
      </c>
      <c r="B2082" s="52"/>
      <c r="C2082" s="53"/>
      <c r="D2082" s="54"/>
      <c r="E2082" s="55"/>
      <c r="F2082" s="55"/>
      <c r="G2082" s="55"/>
      <c r="H2082" s="55"/>
      <c r="I2082" s="55"/>
      <c r="J2082" s="55"/>
      <c r="K2082" s="56"/>
      <c r="L2082" s="55"/>
      <c r="M2082" s="55"/>
      <c r="N2082" s="55"/>
      <c r="O2082" s="55"/>
      <c r="P2082" s="55"/>
      <c r="Q2082" s="55"/>
      <c r="R2082" s="57"/>
      <c r="S2082" s="58"/>
    </row>
    <row r="2083" spans="1:19" x14ac:dyDescent="0.25">
      <c r="A2083" s="51" t="str">
        <f>(COUNTIF($K$2:K2083,K2083))&amp;K2083</f>
        <v>1</v>
      </c>
      <c r="B2083" s="52"/>
      <c r="C2083" s="53"/>
      <c r="D2083" s="54"/>
      <c r="E2083" s="55"/>
      <c r="F2083" s="55"/>
      <c r="G2083" s="55"/>
      <c r="H2083" s="55"/>
      <c r="I2083" s="55"/>
      <c r="J2083" s="55"/>
      <c r="K2083" s="56"/>
      <c r="L2083" s="55"/>
      <c r="M2083" s="55"/>
      <c r="N2083" s="55"/>
      <c r="O2083" s="55"/>
      <c r="P2083" s="55"/>
      <c r="Q2083" s="55"/>
      <c r="R2083" s="57"/>
      <c r="S2083" s="58"/>
    </row>
    <row r="2084" spans="1:19" ht="15.75" x14ac:dyDescent="0.25">
      <c r="A2084" s="51" t="str">
        <f>(COUNTIF($K$2:K2084,K2084))&amp;K2084</f>
        <v>1</v>
      </c>
      <c r="B2084" s="52"/>
      <c r="C2084" s="53"/>
      <c r="D2084" s="54"/>
      <c r="E2084" s="55"/>
      <c r="F2084" s="55"/>
      <c r="G2084" s="55"/>
      <c r="H2084" s="55"/>
      <c r="I2084" s="55"/>
      <c r="J2084" s="55"/>
      <c r="K2084" s="59"/>
      <c r="L2084" s="55"/>
      <c r="M2084" s="55"/>
      <c r="N2084" s="55"/>
      <c r="O2084" s="55"/>
      <c r="P2084" s="55"/>
      <c r="Q2084" s="55"/>
      <c r="R2084" s="57"/>
      <c r="S2084" s="58"/>
    </row>
    <row r="2085" spans="1:19" x14ac:dyDescent="0.25">
      <c r="A2085" s="51" t="str">
        <f>(COUNTIF($K$2:K2085,K2085))&amp;K2085</f>
        <v>1</v>
      </c>
      <c r="B2085" s="52"/>
      <c r="C2085" s="53"/>
      <c r="D2085" s="54"/>
      <c r="E2085" s="55"/>
      <c r="F2085" s="55"/>
      <c r="G2085" s="55"/>
      <c r="H2085" s="55"/>
      <c r="I2085" s="55"/>
      <c r="J2085" s="55"/>
      <c r="K2085" s="56"/>
      <c r="L2085" s="55"/>
      <c r="M2085" s="55"/>
      <c r="N2085" s="55"/>
      <c r="O2085" s="55"/>
      <c r="P2085" s="55"/>
      <c r="Q2085" s="55"/>
      <c r="R2085" s="57"/>
      <c r="S2085" s="58"/>
    </row>
    <row r="2086" spans="1:19" x14ac:dyDescent="0.25">
      <c r="A2086" s="51" t="str">
        <f>(COUNTIF($K$2:K2086,K2086))&amp;K2086</f>
        <v>1</v>
      </c>
      <c r="B2086" s="52"/>
      <c r="C2086" s="53"/>
      <c r="D2086" s="54"/>
      <c r="E2086" s="55"/>
      <c r="F2086" s="55"/>
      <c r="G2086" s="55"/>
      <c r="H2086" s="55"/>
      <c r="I2086" s="55"/>
      <c r="J2086" s="55"/>
      <c r="K2086" s="56"/>
      <c r="L2086" s="55"/>
      <c r="M2086" s="55"/>
      <c r="N2086" s="55"/>
      <c r="O2086" s="55"/>
      <c r="P2086" s="55"/>
      <c r="Q2086" s="55"/>
      <c r="R2086" s="57"/>
      <c r="S2086" s="58"/>
    </row>
    <row r="2087" spans="1:19" x14ac:dyDescent="0.25">
      <c r="A2087" s="51" t="str">
        <f>(COUNTIF($K$2:K2087,K2087))&amp;K2087</f>
        <v>1</v>
      </c>
      <c r="B2087" s="52"/>
      <c r="C2087" s="53"/>
      <c r="D2087" s="54"/>
      <c r="E2087" s="55"/>
      <c r="F2087" s="55"/>
      <c r="G2087" s="55"/>
      <c r="H2087" s="55"/>
      <c r="I2087" s="55"/>
      <c r="J2087" s="55"/>
      <c r="K2087" s="56"/>
      <c r="L2087" s="55"/>
      <c r="M2087" s="55"/>
      <c r="N2087" s="55"/>
      <c r="O2087" s="55"/>
      <c r="P2087" s="55"/>
      <c r="Q2087" s="55"/>
      <c r="R2087" s="57"/>
      <c r="S2087" s="58"/>
    </row>
    <row r="2088" spans="1:19" x14ac:dyDescent="0.25">
      <c r="A2088" s="51" t="str">
        <f>(COUNTIF($K$2:K2088,K2088))&amp;K2088</f>
        <v>1</v>
      </c>
      <c r="B2088" s="52"/>
      <c r="C2088" s="53"/>
      <c r="D2088" s="54"/>
      <c r="E2088" s="55"/>
      <c r="F2088" s="55"/>
      <c r="G2088" s="55"/>
      <c r="H2088" s="55"/>
      <c r="I2088" s="55"/>
      <c r="J2088" s="55"/>
      <c r="K2088" s="56"/>
      <c r="L2088" s="55"/>
      <c r="M2088" s="55"/>
      <c r="N2088" s="55"/>
      <c r="O2088" s="55"/>
      <c r="P2088" s="55"/>
      <c r="Q2088" s="55"/>
      <c r="R2088" s="57"/>
      <c r="S2088" s="58"/>
    </row>
    <row r="2089" spans="1:19" x14ac:dyDescent="0.25">
      <c r="A2089" s="51" t="str">
        <f>(COUNTIF($K$2:K2089,K2089))&amp;K2089</f>
        <v>1</v>
      </c>
      <c r="B2089" s="52"/>
      <c r="C2089" s="53"/>
      <c r="D2089" s="54"/>
      <c r="E2089" s="55"/>
      <c r="F2089" s="55"/>
      <c r="G2089" s="55"/>
      <c r="H2089" s="55"/>
      <c r="I2089" s="55"/>
      <c r="J2089" s="55"/>
      <c r="K2089" s="56"/>
      <c r="L2089" s="55"/>
      <c r="M2089" s="55"/>
      <c r="N2089" s="55"/>
      <c r="O2089" s="55"/>
      <c r="P2089" s="55"/>
      <c r="Q2089" s="55"/>
      <c r="R2089" s="57"/>
      <c r="S2089" s="58"/>
    </row>
    <row r="2090" spans="1:19" x14ac:dyDescent="0.25">
      <c r="A2090" s="51" t="str">
        <f>(COUNTIF($K$2:K2090,K2090))&amp;K2090</f>
        <v>1</v>
      </c>
      <c r="B2090" s="52"/>
      <c r="C2090" s="53"/>
      <c r="D2090" s="54"/>
      <c r="E2090" s="55"/>
      <c r="F2090" s="55"/>
      <c r="G2090" s="55"/>
      <c r="H2090" s="55"/>
      <c r="I2090" s="55"/>
      <c r="J2090" s="55"/>
      <c r="K2090" s="56"/>
      <c r="L2090" s="55"/>
      <c r="M2090" s="55"/>
      <c r="N2090" s="55"/>
      <c r="O2090" s="55"/>
      <c r="P2090" s="55"/>
      <c r="Q2090" s="55"/>
      <c r="R2090" s="57"/>
      <c r="S2090" s="58"/>
    </row>
    <row r="2091" spans="1:19" x14ac:dyDescent="0.25">
      <c r="A2091" s="51" t="str">
        <f>(COUNTIF($K$2:K2091,K2091))&amp;K2091</f>
        <v>1</v>
      </c>
      <c r="B2091" s="52"/>
      <c r="C2091" s="53"/>
      <c r="D2091" s="54"/>
      <c r="E2091" s="55"/>
      <c r="F2091" s="55"/>
      <c r="G2091" s="55"/>
      <c r="H2091" s="55"/>
      <c r="I2091" s="55"/>
      <c r="J2091" s="55"/>
      <c r="K2091" s="56"/>
      <c r="L2091" s="55"/>
      <c r="M2091" s="55"/>
      <c r="N2091" s="55"/>
      <c r="O2091" s="55"/>
      <c r="P2091" s="55"/>
      <c r="Q2091" s="55"/>
      <c r="R2091" s="57"/>
      <c r="S2091" s="58"/>
    </row>
    <row r="2092" spans="1:19" x14ac:dyDescent="0.25">
      <c r="A2092" s="51" t="str">
        <f>(COUNTIF($K$2:K2092,K2092))&amp;K2092</f>
        <v>1</v>
      </c>
      <c r="B2092" s="52"/>
      <c r="C2092" s="60"/>
      <c r="E2092" s="61"/>
      <c r="F2092" s="62"/>
      <c r="G2092" s="63"/>
      <c r="H2092" s="64"/>
      <c r="I2092" s="64"/>
      <c r="J2092" s="64"/>
      <c r="K2092" s="65"/>
      <c r="L2092" s="64"/>
      <c r="M2092" s="64"/>
      <c r="N2092" s="64"/>
      <c r="P2092" s="63"/>
      <c r="Q2092" s="61"/>
      <c r="R2092" s="64"/>
      <c r="S2092" s="64"/>
    </row>
    <row r="2093" spans="1:19" x14ac:dyDescent="0.25">
      <c r="A2093" s="51" t="str">
        <f>(COUNTIF($K$2:K2093,K2093))&amp;K2093</f>
        <v>1</v>
      </c>
      <c r="B2093" s="52"/>
      <c r="C2093" s="53"/>
      <c r="D2093" s="54"/>
      <c r="E2093" s="55"/>
      <c r="F2093" s="55"/>
      <c r="G2093" s="55"/>
      <c r="H2093" s="55"/>
      <c r="I2093" s="55"/>
      <c r="J2093" s="55"/>
      <c r="K2093" s="56"/>
      <c r="L2093" s="55"/>
      <c r="M2093" s="55"/>
      <c r="N2093" s="55"/>
      <c r="O2093" s="55"/>
      <c r="P2093" s="55"/>
      <c r="Q2093" s="55"/>
      <c r="R2093" s="57"/>
      <c r="S2093" s="58"/>
    </row>
    <row r="2094" spans="1:19" x14ac:dyDescent="0.25">
      <c r="A2094" s="51" t="str">
        <f>(COUNTIF($K$2:K2094,K2094))&amp;K2094</f>
        <v>1</v>
      </c>
      <c r="B2094" s="52"/>
      <c r="C2094" s="53"/>
      <c r="D2094" s="54"/>
      <c r="E2094" s="55"/>
      <c r="F2094" s="55"/>
      <c r="G2094" s="55"/>
      <c r="H2094" s="55"/>
      <c r="I2094" s="55"/>
      <c r="J2094" s="55"/>
      <c r="K2094" s="56"/>
      <c r="L2094" s="55"/>
      <c r="M2094" s="55"/>
      <c r="N2094" s="55"/>
      <c r="O2094" s="55"/>
      <c r="P2094" s="55"/>
      <c r="Q2094" s="55"/>
      <c r="R2094" s="57"/>
      <c r="S2094" s="58"/>
    </row>
    <row r="2095" spans="1:19" x14ac:dyDescent="0.25">
      <c r="A2095" s="51" t="str">
        <f>(COUNTIF($K$2:K2095,K2095))&amp;K2095</f>
        <v>1</v>
      </c>
      <c r="B2095" s="52"/>
      <c r="C2095" s="53"/>
      <c r="D2095" s="54"/>
      <c r="E2095" s="55"/>
      <c r="F2095" s="55"/>
      <c r="G2095" s="55"/>
      <c r="H2095" s="55"/>
      <c r="I2095" s="55"/>
      <c r="J2095" s="55"/>
      <c r="K2095" s="56"/>
      <c r="L2095" s="55"/>
      <c r="M2095" s="55"/>
      <c r="N2095" s="55"/>
      <c r="O2095" s="55"/>
      <c r="P2095" s="55"/>
      <c r="Q2095" s="55"/>
      <c r="R2095" s="57"/>
      <c r="S2095" s="58"/>
    </row>
    <row r="2096" spans="1:19" x14ac:dyDescent="0.25">
      <c r="A2096" s="51" t="str">
        <f>(COUNTIF($K$2:K2096,K2096))&amp;K2096</f>
        <v>1</v>
      </c>
      <c r="B2096" s="52"/>
      <c r="C2096" s="53"/>
      <c r="D2096" s="54"/>
      <c r="E2096" s="55"/>
      <c r="F2096" s="55"/>
      <c r="G2096" s="55"/>
      <c r="H2096" s="55"/>
      <c r="I2096" s="55"/>
      <c r="J2096" s="55"/>
      <c r="K2096" s="56"/>
      <c r="L2096" s="55"/>
      <c r="M2096" s="55"/>
      <c r="N2096" s="55"/>
      <c r="O2096" s="55"/>
      <c r="P2096" s="55"/>
      <c r="Q2096" s="55"/>
      <c r="R2096" s="57"/>
      <c r="S2096" s="58"/>
    </row>
    <row r="2097" spans="1:19" x14ac:dyDescent="0.25">
      <c r="A2097" s="51" t="str">
        <f>(COUNTIF($K$2:K2097,K2097))&amp;K2097</f>
        <v>1</v>
      </c>
      <c r="B2097" s="52"/>
      <c r="C2097" s="53"/>
      <c r="D2097" s="54"/>
      <c r="E2097" s="55"/>
      <c r="F2097" s="55"/>
      <c r="G2097" s="55"/>
      <c r="H2097" s="55"/>
      <c r="I2097" s="55"/>
      <c r="J2097" s="55"/>
      <c r="K2097" s="56"/>
      <c r="L2097" s="55"/>
      <c r="M2097" s="55"/>
      <c r="N2097" s="55"/>
      <c r="O2097" s="55"/>
      <c r="P2097" s="55"/>
      <c r="Q2097" s="55"/>
      <c r="R2097" s="57"/>
      <c r="S2097" s="58"/>
    </row>
    <row r="2098" spans="1:19" x14ac:dyDescent="0.25">
      <c r="A2098" s="51" t="str">
        <f>(COUNTIF($K$2:K2098,K2098))&amp;K2098</f>
        <v>1</v>
      </c>
      <c r="B2098" s="52"/>
      <c r="C2098" s="53"/>
      <c r="D2098" s="54"/>
      <c r="E2098" s="55"/>
      <c r="F2098" s="55"/>
      <c r="G2098" s="55"/>
      <c r="H2098" s="55"/>
      <c r="I2098" s="55"/>
      <c r="J2098" s="55"/>
      <c r="K2098" s="56"/>
      <c r="L2098" s="55"/>
      <c r="M2098" s="55"/>
      <c r="N2098" s="55"/>
      <c r="O2098" s="55"/>
      <c r="P2098" s="55"/>
      <c r="Q2098" s="55"/>
      <c r="R2098" s="57"/>
      <c r="S2098" s="58"/>
    </row>
    <row r="2099" spans="1:19" x14ac:dyDescent="0.25">
      <c r="A2099" s="51" t="str">
        <f>(COUNTIF($K$2:K2099,K2099))&amp;K2099</f>
        <v>1</v>
      </c>
      <c r="B2099" s="52"/>
      <c r="C2099" s="53"/>
      <c r="D2099" s="54"/>
      <c r="E2099" s="55"/>
      <c r="F2099" s="55"/>
      <c r="G2099" s="55"/>
      <c r="H2099" s="55"/>
      <c r="I2099" s="55"/>
      <c r="J2099" s="55"/>
      <c r="K2099" s="56"/>
      <c r="L2099" s="55"/>
      <c r="M2099" s="55"/>
      <c r="N2099" s="55"/>
      <c r="O2099" s="55"/>
      <c r="P2099" s="55"/>
      <c r="Q2099" s="55"/>
      <c r="R2099" s="57"/>
      <c r="S2099" s="58"/>
    </row>
    <row r="2100" spans="1:19" x14ac:dyDescent="0.25">
      <c r="A2100" s="51" t="str">
        <f>(COUNTIF($K$2:K2100,K2100))&amp;K2100</f>
        <v>1</v>
      </c>
      <c r="B2100" s="52"/>
      <c r="C2100" s="53"/>
      <c r="D2100" s="54"/>
      <c r="E2100" s="55"/>
      <c r="F2100" s="55"/>
      <c r="G2100" s="55"/>
      <c r="H2100" s="55"/>
      <c r="I2100" s="55"/>
      <c r="J2100" s="55"/>
      <c r="K2100" s="56"/>
      <c r="L2100" s="55"/>
      <c r="M2100" s="55"/>
      <c r="N2100" s="55"/>
      <c r="O2100" s="55"/>
      <c r="P2100" s="55"/>
      <c r="Q2100" s="55"/>
      <c r="R2100" s="57"/>
      <c r="S2100" s="58"/>
    </row>
    <row r="2101" spans="1:19" ht="15.75" x14ac:dyDescent="0.25">
      <c r="A2101" s="51" t="str">
        <f>(COUNTIF($K$2:K2101,K2101))&amp;K2101</f>
        <v>1</v>
      </c>
      <c r="B2101" s="52"/>
      <c r="C2101" s="53"/>
      <c r="D2101" s="54"/>
      <c r="E2101" s="55"/>
      <c r="F2101" s="55"/>
      <c r="G2101" s="55"/>
      <c r="H2101" s="55"/>
      <c r="I2101" s="55"/>
      <c r="J2101" s="55"/>
      <c r="K2101" s="59"/>
      <c r="L2101" s="55"/>
      <c r="M2101" s="55"/>
      <c r="N2101" s="55"/>
      <c r="O2101" s="55"/>
      <c r="P2101" s="55"/>
      <c r="Q2101" s="55"/>
      <c r="R2101" s="57"/>
      <c r="S2101" s="58"/>
    </row>
    <row r="2102" spans="1:19" x14ac:dyDescent="0.25">
      <c r="A2102" s="51" t="str">
        <f>(COUNTIF($K$2:K2102,K2102))&amp;K2102</f>
        <v>1</v>
      </c>
      <c r="B2102" s="52"/>
      <c r="C2102" s="53"/>
      <c r="D2102" s="54"/>
      <c r="E2102" s="55"/>
      <c r="F2102" s="55"/>
      <c r="G2102" s="55"/>
      <c r="H2102" s="55"/>
      <c r="I2102" s="55"/>
      <c r="J2102" s="55"/>
      <c r="K2102" s="56"/>
      <c r="L2102" s="55"/>
      <c r="M2102" s="55"/>
      <c r="N2102" s="55"/>
      <c r="O2102" s="55"/>
      <c r="P2102" s="55"/>
      <c r="Q2102" s="55"/>
      <c r="R2102" s="57"/>
      <c r="S2102" s="58"/>
    </row>
    <row r="2103" spans="1:19" x14ac:dyDescent="0.25">
      <c r="A2103" s="51" t="str">
        <f>(COUNTIF($K$2:K2103,K2103))&amp;K2103</f>
        <v>1</v>
      </c>
      <c r="B2103" s="52"/>
      <c r="C2103" s="53"/>
      <c r="D2103" s="54"/>
      <c r="E2103" s="55"/>
      <c r="F2103" s="55"/>
      <c r="G2103" s="55"/>
      <c r="H2103" s="55"/>
      <c r="I2103" s="55"/>
      <c r="J2103" s="55"/>
      <c r="K2103" s="56"/>
      <c r="L2103" s="55"/>
      <c r="M2103" s="55"/>
      <c r="N2103" s="55"/>
      <c r="O2103" s="55"/>
      <c r="P2103" s="55"/>
      <c r="Q2103" s="55"/>
      <c r="R2103" s="57"/>
      <c r="S2103" s="58"/>
    </row>
    <row r="2104" spans="1:19" x14ac:dyDescent="0.25">
      <c r="A2104" s="51" t="str">
        <f>(COUNTIF($K$2:K2104,K2104))&amp;K2104</f>
        <v>1</v>
      </c>
      <c r="B2104" s="52"/>
      <c r="C2104" s="53"/>
      <c r="D2104" s="54"/>
      <c r="E2104" s="55"/>
      <c r="F2104" s="55"/>
      <c r="G2104" s="55"/>
      <c r="H2104" s="55"/>
      <c r="I2104" s="55"/>
      <c r="J2104" s="55"/>
      <c r="K2104" s="56"/>
      <c r="L2104" s="55"/>
      <c r="M2104" s="55"/>
      <c r="N2104" s="55"/>
      <c r="O2104" s="55"/>
      <c r="P2104" s="55"/>
      <c r="Q2104" s="55"/>
      <c r="R2104" s="57"/>
      <c r="S2104" s="58"/>
    </row>
    <row r="2105" spans="1:19" x14ac:dyDescent="0.25">
      <c r="A2105" s="51" t="str">
        <f>(COUNTIF($K$2:K2105,K2105))&amp;K2105</f>
        <v>1</v>
      </c>
      <c r="B2105" s="52"/>
      <c r="C2105" s="53"/>
      <c r="D2105" s="54"/>
      <c r="E2105" s="55"/>
      <c r="F2105" s="55"/>
      <c r="G2105" s="55"/>
      <c r="H2105" s="55"/>
      <c r="I2105" s="55"/>
      <c r="J2105" s="55"/>
      <c r="K2105" s="56"/>
      <c r="L2105" s="55"/>
      <c r="M2105" s="55"/>
      <c r="N2105" s="55"/>
      <c r="O2105" s="55"/>
      <c r="P2105" s="55"/>
      <c r="Q2105" s="55"/>
      <c r="R2105" s="57"/>
      <c r="S2105" s="58"/>
    </row>
    <row r="2106" spans="1:19" x14ac:dyDescent="0.25">
      <c r="A2106" s="51" t="str">
        <f>(COUNTIF($K$2:K2106,K2106))&amp;K2106</f>
        <v>1</v>
      </c>
      <c r="B2106" s="52"/>
      <c r="C2106" s="53"/>
      <c r="D2106" s="54"/>
      <c r="E2106" s="55"/>
      <c r="F2106" s="55"/>
      <c r="G2106" s="55"/>
      <c r="H2106" s="55"/>
      <c r="I2106" s="55"/>
      <c r="J2106" s="55"/>
      <c r="K2106" s="56"/>
      <c r="L2106" s="55"/>
      <c r="M2106" s="55"/>
      <c r="N2106" s="55"/>
      <c r="O2106" s="55"/>
      <c r="P2106" s="55"/>
      <c r="Q2106" s="55"/>
      <c r="R2106" s="57"/>
      <c r="S2106" s="58"/>
    </row>
    <row r="2107" spans="1:19" x14ac:dyDescent="0.25">
      <c r="A2107" s="51" t="str">
        <f>(COUNTIF($K$2:K2107,K2107))&amp;K2107</f>
        <v>1</v>
      </c>
      <c r="B2107" s="52"/>
      <c r="C2107" s="53"/>
      <c r="D2107" s="54"/>
      <c r="E2107" s="55"/>
      <c r="F2107" s="55"/>
      <c r="G2107" s="55"/>
      <c r="H2107" s="55"/>
      <c r="I2107" s="55"/>
      <c r="J2107" s="55"/>
      <c r="K2107" s="56"/>
      <c r="L2107" s="55"/>
      <c r="M2107" s="55"/>
      <c r="N2107" s="55"/>
      <c r="O2107" s="55"/>
      <c r="P2107" s="55"/>
      <c r="Q2107" s="55"/>
      <c r="R2107" s="57"/>
      <c r="S2107" s="58"/>
    </row>
    <row r="2108" spans="1:19" x14ac:dyDescent="0.25">
      <c r="A2108" s="51" t="str">
        <f>(COUNTIF($K$2:K2108,K2108))&amp;K2108</f>
        <v>1</v>
      </c>
      <c r="B2108" s="52"/>
      <c r="C2108" s="53"/>
      <c r="D2108" s="54"/>
      <c r="E2108" s="55"/>
      <c r="F2108" s="55"/>
      <c r="G2108" s="55"/>
      <c r="H2108" s="55"/>
      <c r="I2108" s="55"/>
      <c r="J2108" s="55"/>
      <c r="K2108" s="56"/>
      <c r="L2108" s="55"/>
      <c r="M2108" s="55"/>
      <c r="N2108" s="55"/>
      <c r="O2108" s="55"/>
      <c r="P2108" s="55"/>
      <c r="Q2108" s="55"/>
      <c r="R2108" s="57"/>
      <c r="S2108" s="58"/>
    </row>
    <row r="2109" spans="1:19" x14ac:dyDescent="0.25">
      <c r="A2109" s="51" t="str">
        <f>(COUNTIF($K$2:K2109,K2109))&amp;K2109</f>
        <v>1</v>
      </c>
      <c r="B2109" s="52"/>
      <c r="C2109" s="60"/>
      <c r="E2109" s="61"/>
      <c r="F2109" s="62"/>
      <c r="G2109" s="63"/>
      <c r="H2109" s="64"/>
      <c r="I2109" s="64"/>
      <c r="J2109" s="64"/>
      <c r="K2109" s="65"/>
      <c r="L2109" s="64"/>
      <c r="M2109" s="64"/>
      <c r="N2109" s="64"/>
      <c r="P2109" s="63"/>
      <c r="Q2109" s="61"/>
      <c r="R2109" s="64"/>
      <c r="S2109" s="64"/>
    </row>
    <row r="2110" spans="1:19" x14ac:dyDescent="0.25">
      <c r="A2110" s="51" t="str">
        <f>(COUNTIF($K$2:K2110,K2110))&amp;K2110</f>
        <v>1</v>
      </c>
      <c r="B2110" s="52"/>
      <c r="C2110" s="53"/>
      <c r="D2110" s="54"/>
      <c r="E2110" s="55"/>
      <c r="F2110" s="55"/>
      <c r="G2110" s="55"/>
      <c r="H2110" s="55"/>
      <c r="I2110" s="55"/>
      <c r="J2110" s="55"/>
      <c r="K2110" s="56"/>
      <c r="L2110" s="55"/>
      <c r="M2110" s="55"/>
      <c r="N2110" s="55"/>
      <c r="O2110" s="55"/>
      <c r="P2110" s="55"/>
      <c r="Q2110" s="55"/>
      <c r="R2110" s="57"/>
      <c r="S2110" s="58"/>
    </row>
    <row r="2111" spans="1:19" x14ac:dyDescent="0.25">
      <c r="A2111" s="51" t="str">
        <f>(COUNTIF($K$2:K2111,K2111))&amp;K2111</f>
        <v>1</v>
      </c>
      <c r="B2111" s="52"/>
      <c r="C2111" s="53"/>
      <c r="D2111" s="54"/>
      <c r="E2111" s="55"/>
      <c r="F2111" s="55"/>
      <c r="G2111" s="55"/>
      <c r="H2111" s="55"/>
      <c r="I2111" s="55"/>
      <c r="J2111" s="55"/>
      <c r="K2111" s="56"/>
      <c r="L2111" s="55"/>
      <c r="M2111" s="55"/>
      <c r="N2111" s="55"/>
      <c r="O2111" s="55"/>
      <c r="P2111" s="55"/>
      <c r="Q2111" s="55"/>
      <c r="R2111" s="57"/>
      <c r="S2111" s="58"/>
    </row>
    <row r="2112" spans="1:19" x14ac:dyDescent="0.25">
      <c r="A2112" s="51" t="str">
        <f>(COUNTIF($K$2:K2112,K2112))&amp;K2112</f>
        <v>1</v>
      </c>
      <c r="B2112" s="52"/>
      <c r="C2112" s="53"/>
      <c r="D2112" s="54"/>
      <c r="E2112" s="55"/>
      <c r="F2112" s="55"/>
      <c r="G2112" s="55"/>
      <c r="H2112" s="55"/>
      <c r="I2112" s="55"/>
      <c r="J2112" s="55"/>
      <c r="K2112" s="56"/>
      <c r="L2112" s="55"/>
      <c r="M2112" s="55"/>
      <c r="N2112" s="55"/>
      <c r="O2112" s="55"/>
      <c r="P2112" s="55"/>
      <c r="Q2112" s="55"/>
      <c r="R2112" s="57"/>
      <c r="S2112" s="58"/>
    </row>
    <row r="2113" spans="1:19" x14ac:dyDescent="0.25">
      <c r="A2113" s="51" t="str">
        <f>(COUNTIF($K$2:K2113,K2113))&amp;K2113</f>
        <v>1</v>
      </c>
      <c r="B2113" s="52"/>
      <c r="C2113" s="53"/>
      <c r="D2113" s="54"/>
      <c r="E2113" s="55"/>
      <c r="F2113" s="55"/>
      <c r="G2113" s="55"/>
      <c r="H2113" s="55"/>
      <c r="I2113" s="55"/>
      <c r="J2113" s="55"/>
      <c r="K2113" s="56"/>
      <c r="L2113" s="55"/>
      <c r="M2113" s="55"/>
      <c r="N2113" s="55"/>
      <c r="O2113" s="55"/>
      <c r="P2113" s="55"/>
      <c r="Q2113" s="55"/>
      <c r="R2113" s="57"/>
      <c r="S2113" s="58"/>
    </row>
    <row r="2114" spans="1:19" x14ac:dyDescent="0.25">
      <c r="A2114" s="51" t="str">
        <f>(COUNTIF($K$2:K2114,K2114))&amp;K2114</f>
        <v>1</v>
      </c>
      <c r="B2114" s="52"/>
      <c r="C2114" s="53"/>
      <c r="D2114" s="54"/>
      <c r="E2114" s="55"/>
      <c r="F2114" s="55"/>
      <c r="G2114" s="55"/>
      <c r="H2114" s="55"/>
      <c r="I2114" s="55"/>
      <c r="J2114" s="55"/>
      <c r="K2114" s="56"/>
      <c r="L2114" s="55"/>
      <c r="M2114" s="55"/>
      <c r="N2114" s="55"/>
      <c r="O2114" s="55"/>
      <c r="P2114" s="55"/>
      <c r="Q2114" s="55"/>
      <c r="R2114" s="57"/>
      <c r="S2114" s="58"/>
    </row>
    <row r="2115" spans="1:19" x14ac:dyDescent="0.25">
      <c r="A2115" s="51" t="str">
        <f>(COUNTIF($K$2:K2115,K2115))&amp;K2115</f>
        <v>1</v>
      </c>
      <c r="B2115" s="52"/>
      <c r="C2115" s="53"/>
      <c r="D2115" s="54"/>
      <c r="E2115" s="55"/>
      <c r="F2115" s="55"/>
      <c r="G2115" s="55"/>
      <c r="H2115" s="55"/>
      <c r="I2115" s="55"/>
      <c r="J2115" s="55"/>
      <c r="K2115" s="56"/>
      <c r="L2115" s="55"/>
      <c r="M2115" s="55"/>
      <c r="N2115" s="55"/>
      <c r="O2115" s="55"/>
      <c r="P2115" s="55"/>
      <c r="Q2115" s="55"/>
      <c r="R2115" s="57"/>
      <c r="S2115" s="58"/>
    </row>
    <row r="2116" spans="1:19" x14ac:dyDescent="0.25">
      <c r="A2116" s="51" t="str">
        <f>(COUNTIF($K$2:K2116,K2116))&amp;K2116</f>
        <v>1</v>
      </c>
      <c r="B2116" s="52"/>
      <c r="C2116" s="53"/>
      <c r="D2116" s="54"/>
      <c r="E2116" s="55"/>
      <c r="F2116" s="55"/>
      <c r="G2116" s="55"/>
      <c r="H2116" s="55"/>
      <c r="I2116" s="55"/>
      <c r="J2116" s="55"/>
      <c r="K2116" s="56"/>
      <c r="L2116" s="55"/>
      <c r="M2116" s="55"/>
      <c r="N2116" s="55"/>
      <c r="O2116" s="55"/>
      <c r="P2116" s="55"/>
      <c r="Q2116" s="55"/>
      <c r="R2116" s="57"/>
      <c r="S2116" s="58"/>
    </row>
    <row r="2117" spans="1:19" x14ac:dyDescent="0.25">
      <c r="A2117" s="51" t="str">
        <f>(COUNTIF($K$2:K2117,K2117))&amp;K2117</f>
        <v>1</v>
      </c>
      <c r="B2117" s="52"/>
      <c r="C2117" s="53"/>
      <c r="D2117" s="54"/>
      <c r="E2117" s="55"/>
      <c r="F2117" s="55"/>
      <c r="G2117" s="55"/>
      <c r="H2117" s="55"/>
      <c r="I2117" s="55"/>
      <c r="J2117" s="55"/>
      <c r="K2117" s="56"/>
      <c r="L2117" s="55"/>
      <c r="M2117" s="55"/>
      <c r="N2117" s="55"/>
      <c r="O2117" s="55"/>
      <c r="P2117" s="55"/>
      <c r="Q2117" s="55"/>
      <c r="R2117" s="57"/>
      <c r="S2117" s="58"/>
    </row>
    <row r="2118" spans="1:19" ht="15.75" x14ac:dyDescent="0.25">
      <c r="A2118" s="51" t="str">
        <f>(COUNTIF($K$2:K2118,K2118))&amp;K2118</f>
        <v>1</v>
      </c>
      <c r="B2118" s="52"/>
      <c r="C2118" s="53"/>
      <c r="D2118" s="54"/>
      <c r="E2118" s="55"/>
      <c r="F2118" s="55"/>
      <c r="G2118" s="55"/>
      <c r="H2118" s="55"/>
      <c r="I2118" s="55"/>
      <c r="J2118" s="55"/>
      <c r="K2118" s="59"/>
      <c r="L2118" s="55"/>
      <c r="M2118" s="55"/>
      <c r="N2118" s="55"/>
      <c r="O2118" s="55"/>
      <c r="P2118" s="55"/>
      <c r="Q2118" s="55"/>
      <c r="R2118" s="57"/>
      <c r="S2118" s="58"/>
    </row>
    <row r="2119" spans="1:19" x14ac:dyDescent="0.25">
      <c r="A2119" s="51" t="str">
        <f>(COUNTIF($K$2:K2119,K2119))&amp;K2119</f>
        <v>1</v>
      </c>
      <c r="B2119" s="52"/>
      <c r="C2119" s="53"/>
      <c r="D2119" s="54"/>
      <c r="E2119" s="55"/>
      <c r="F2119" s="55"/>
      <c r="G2119" s="55"/>
      <c r="H2119" s="55"/>
      <c r="I2119" s="55"/>
      <c r="J2119" s="55"/>
      <c r="K2119" s="56"/>
      <c r="L2119" s="55"/>
      <c r="M2119" s="55"/>
      <c r="N2119" s="55"/>
      <c r="O2119" s="55"/>
      <c r="P2119" s="55"/>
      <c r="Q2119" s="55"/>
      <c r="R2119" s="57"/>
      <c r="S2119" s="58"/>
    </row>
    <row r="2120" spans="1:19" x14ac:dyDescent="0.25">
      <c r="A2120" s="51" t="str">
        <f>(COUNTIF($K$2:K2120,K2120))&amp;K2120</f>
        <v>1</v>
      </c>
      <c r="B2120" s="52"/>
      <c r="C2120" s="53"/>
      <c r="D2120" s="54"/>
      <c r="E2120" s="55"/>
      <c r="F2120" s="55"/>
      <c r="G2120" s="55"/>
      <c r="H2120" s="55"/>
      <c r="I2120" s="55"/>
      <c r="J2120" s="55"/>
      <c r="K2120" s="56"/>
      <c r="L2120" s="55"/>
      <c r="M2120" s="55"/>
      <c r="N2120" s="55"/>
      <c r="O2120" s="55"/>
      <c r="P2120" s="55"/>
      <c r="Q2120" s="55"/>
      <c r="R2120" s="57"/>
      <c r="S2120" s="58"/>
    </row>
    <row r="2121" spans="1:19" x14ac:dyDescent="0.25">
      <c r="A2121" s="51" t="str">
        <f>(COUNTIF($K$2:K2121,K2121))&amp;K2121</f>
        <v>1</v>
      </c>
      <c r="B2121" s="52"/>
      <c r="C2121" s="53"/>
      <c r="D2121" s="54"/>
      <c r="E2121" s="55"/>
      <c r="F2121" s="55"/>
      <c r="G2121" s="55"/>
      <c r="H2121" s="55"/>
      <c r="I2121" s="55"/>
      <c r="J2121" s="55"/>
      <c r="K2121" s="56"/>
      <c r="L2121" s="55"/>
      <c r="M2121" s="55"/>
      <c r="N2121" s="55"/>
      <c r="O2121" s="55"/>
      <c r="P2121" s="55"/>
      <c r="Q2121" s="55"/>
      <c r="R2121" s="57"/>
      <c r="S2121" s="58"/>
    </row>
    <row r="2122" spans="1:19" x14ac:dyDescent="0.25">
      <c r="A2122" s="51" t="str">
        <f>(COUNTIF($K$2:K2122,K2122))&amp;K2122</f>
        <v>1</v>
      </c>
      <c r="B2122" s="52"/>
      <c r="C2122" s="53"/>
      <c r="D2122" s="54"/>
      <c r="E2122" s="55"/>
      <c r="F2122" s="55"/>
      <c r="G2122" s="55"/>
      <c r="H2122" s="55"/>
      <c r="I2122" s="55"/>
      <c r="J2122" s="55"/>
      <c r="K2122" s="56"/>
      <c r="L2122" s="55"/>
      <c r="M2122" s="55"/>
      <c r="N2122" s="55"/>
      <c r="O2122" s="55"/>
      <c r="P2122" s="55"/>
      <c r="Q2122" s="55"/>
      <c r="R2122" s="57"/>
      <c r="S2122" s="58"/>
    </row>
    <row r="2123" spans="1:19" x14ac:dyDescent="0.25">
      <c r="A2123" s="51" t="str">
        <f>(COUNTIF($K$2:K2123,K2123))&amp;K2123</f>
        <v>1</v>
      </c>
      <c r="B2123" s="52"/>
      <c r="C2123" s="53"/>
      <c r="D2123" s="54"/>
      <c r="E2123" s="55"/>
      <c r="F2123" s="55"/>
      <c r="G2123" s="55"/>
      <c r="H2123" s="55"/>
      <c r="I2123" s="55"/>
      <c r="J2123" s="55"/>
      <c r="K2123" s="56"/>
      <c r="L2123" s="55"/>
      <c r="M2123" s="55"/>
      <c r="N2123" s="55"/>
      <c r="O2123" s="55"/>
      <c r="P2123" s="55"/>
      <c r="Q2123" s="55"/>
      <c r="R2123" s="57"/>
      <c r="S2123" s="58"/>
    </row>
    <row r="2124" spans="1:19" x14ac:dyDescent="0.25">
      <c r="A2124" s="51" t="str">
        <f>(COUNTIF($K$2:K2124,K2124))&amp;K2124</f>
        <v>1</v>
      </c>
      <c r="B2124" s="52"/>
      <c r="C2124" s="53"/>
      <c r="D2124" s="54"/>
      <c r="E2124" s="55"/>
      <c r="F2124" s="55"/>
      <c r="G2124" s="55"/>
      <c r="H2124" s="55"/>
      <c r="I2124" s="55"/>
      <c r="J2124" s="55"/>
      <c r="K2124" s="56"/>
      <c r="L2124" s="55"/>
      <c r="M2124" s="55"/>
      <c r="N2124" s="55"/>
      <c r="O2124" s="55"/>
      <c r="P2124" s="55"/>
      <c r="Q2124" s="55"/>
      <c r="R2124" s="57"/>
      <c r="S2124" s="58"/>
    </row>
    <row r="2125" spans="1:19" x14ac:dyDescent="0.25">
      <c r="A2125" s="51" t="str">
        <f>(COUNTIF($K$2:K2125,K2125))&amp;K2125</f>
        <v>1</v>
      </c>
      <c r="B2125" s="52"/>
      <c r="C2125" s="53"/>
      <c r="D2125" s="54"/>
      <c r="E2125" s="55"/>
      <c r="F2125" s="55"/>
      <c r="G2125" s="55"/>
      <c r="H2125" s="55"/>
      <c r="I2125" s="55"/>
      <c r="J2125" s="55"/>
      <c r="K2125" s="56"/>
      <c r="L2125" s="55"/>
      <c r="M2125" s="55"/>
      <c r="N2125" s="55"/>
      <c r="O2125" s="55"/>
      <c r="P2125" s="55"/>
      <c r="Q2125" s="55"/>
      <c r="R2125" s="57"/>
      <c r="S2125" s="58"/>
    </row>
    <row r="2126" spans="1:19" x14ac:dyDescent="0.25">
      <c r="A2126" s="51" t="str">
        <f>(COUNTIF($K$2:K2126,K2126))&amp;K2126</f>
        <v>1</v>
      </c>
      <c r="B2126" s="52"/>
      <c r="C2126" s="60"/>
      <c r="E2126" s="61"/>
      <c r="F2126" s="62"/>
      <c r="G2126" s="63"/>
      <c r="H2126" s="64"/>
      <c r="I2126" s="64"/>
      <c r="J2126" s="64"/>
      <c r="K2126" s="65"/>
      <c r="L2126" s="64"/>
      <c r="M2126" s="64"/>
      <c r="N2126" s="64"/>
      <c r="P2126" s="63"/>
      <c r="Q2126" s="61"/>
      <c r="R2126" s="64"/>
      <c r="S2126" s="64"/>
    </row>
    <row r="2127" spans="1:19" x14ac:dyDescent="0.25">
      <c r="A2127" s="51" t="str">
        <f>(COUNTIF($K$2:K2127,K2127))&amp;K2127</f>
        <v>1</v>
      </c>
      <c r="B2127" s="52"/>
      <c r="C2127" s="53"/>
      <c r="D2127" s="54"/>
      <c r="E2127" s="55"/>
      <c r="F2127" s="55"/>
      <c r="G2127" s="55"/>
      <c r="H2127" s="55"/>
      <c r="I2127" s="55"/>
      <c r="J2127" s="55"/>
      <c r="K2127" s="56"/>
      <c r="L2127" s="55"/>
      <c r="M2127" s="55"/>
      <c r="N2127" s="55"/>
      <c r="O2127" s="55"/>
      <c r="P2127" s="55"/>
      <c r="Q2127" s="55"/>
      <c r="R2127" s="57"/>
      <c r="S2127" s="58"/>
    </row>
    <row r="2128" spans="1:19" x14ac:dyDescent="0.25">
      <c r="A2128" s="51" t="str">
        <f>(COUNTIF($K$2:K2128,K2128))&amp;K2128</f>
        <v>1</v>
      </c>
      <c r="B2128" s="52"/>
      <c r="C2128" s="53"/>
      <c r="D2128" s="54"/>
      <c r="E2128" s="55"/>
      <c r="F2128" s="55"/>
      <c r="G2128" s="55"/>
      <c r="H2128" s="55"/>
      <c r="I2128" s="55"/>
      <c r="J2128" s="55"/>
      <c r="K2128" s="56"/>
      <c r="L2128" s="55"/>
      <c r="M2128" s="55"/>
      <c r="N2128" s="55"/>
      <c r="O2128" s="55"/>
      <c r="P2128" s="55"/>
      <c r="Q2128" s="55"/>
      <c r="R2128" s="57"/>
      <c r="S2128" s="58"/>
    </row>
    <row r="2129" spans="1:19" x14ac:dyDescent="0.25">
      <c r="A2129" s="51" t="str">
        <f>(COUNTIF($K$2:K2129,K2129))&amp;K2129</f>
        <v>1</v>
      </c>
      <c r="B2129" s="52"/>
      <c r="C2129" s="53"/>
      <c r="D2129" s="54"/>
      <c r="E2129" s="55"/>
      <c r="F2129" s="55"/>
      <c r="G2129" s="55"/>
      <c r="H2129" s="55"/>
      <c r="I2129" s="55"/>
      <c r="J2129" s="55"/>
      <c r="K2129" s="56"/>
      <c r="L2129" s="55"/>
      <c r="M2129" s="55"/>
      <c r="N2129" s="55"/>
      <c r="O2129" s="55"/>
      <c r="P2129" s="55"/>
      <c r="Q2129" s="55"/>
      <c r="R2129" s="57"/>
      <c r="S2129" s="58"/>
    </row>
    <row r="2130" spans="1:19" x14ac:dyDescent="0.25">
      <c r="A2130" s="51" t="str">
        <f>(COUNTIF($K$2:K2130,K2130))&amp;K2130</f>
        <v>1</v>
      </c>
      <c r="B2130" s="52"/>
      <c r="C2130" s="53"/>
      <c r="D2130" s="54"/>
      <c r="E2130" s="55"/>
      <c r="F2130" s="55"/>
      <c r="G2130" s="55"/>
      <c r="H2130" s="55"/>
      <c r="I2130" s="55"/>
      <c r="J2130" s="55"/>
      <c r="K2130" s="56"/>
      <c r="L2130" s="55"/>
      <c r="M2130" s="55"/>
      <c r="N2130" s="55"/>
      <c r="O2130" s="55"/>
      <c r="P2130" s="55"/>
      <c r="Q2130" s="55"/>
      <c r="R2130" s="57"/>
      <c r="S2130" s="58"/>
    </row>
    <row r="2131" spans="1:19" x14ac:dyDescent="0.25">
      <c r="A2131" s="51" t="str">
        <f>(COUNTIF($K$2:K2131,K2131))&amp;K2131</f>
        <v>1</v>
      </c>
      <c r="B2131" s="52"/>
      <c r="C2131" s="53"/>
      <c r="D2131" s="54"/>
      <c r="E2131" s="55"/>
      <c r="F2131" s="55"/>
      <c r="G2131" s="55"/>
      <c r="H2131" s="55"/>
      <c r="I2131" s="55"/>
      <c r="J2131" s="55"/>
      <c r="K2131" s="56"/>
      <c r="L2131" s="55"/>
      <c r="M2131" s="55"/>
      <c r="N2131" s="55"/>
      <c r="O2131" s="55"/>
      <c r="P2131" s="55"/>
      <c r="Q2131" s="55"/>
      <c r="R2131" s="57"/>
      <c r="S2131" s="58"/>
    </row>
    <row r="2132" spans="1:19" x14ac:dyDescent="0.25">
      <c r="A2132" s="51" t="str">
        <f>(COUNTIF($K$2:K2132,K2132))&amp;K2132</f>
        <v>1</v>
      </c>
      <c r="B2132" s="52"/>
      <c r="C2132" s="53"/>
      <c r="D2132" s="54"/>
      <c r="E2132" s="55"/>
      <c r="F2132" s="55"/>
      <c r="G2132" s="55"/>
      <c r="H2132" s="55"/>
      <c r="I2132" s="55"/>
      <c r="J2132" s="55"/>
      <c r="K2132" s="56"/>
      <c r="L2132" s="55"/>
      <c r="M2132" s="55"/>
      <c r="N2132" s="55"/>
      <c r="O2132" s="55"/>
      <c r="P2132" s="55"/>
      <c r="Q2132" s="55"/>
      <c r="R2132" s="57"/>
      <c r="S2132" s="58"/>
    </row>
    <row r="2133" spans="1:19" x14ac:dyDescent="0.25">
      <c r="A2133" s="51" t="str">
        <f>(COUNTIF($K$2:K2133,K2133))&amp;K2133</f>
        <v>1</v>
      </c>
      <c r="B2133" s="52"/>
      <c r="C2133" s="53"/>
      <c r="D2133" s="54"/>
      <c r="E2133" s="55"/>
      <c r="F2133" s="55"/>
      <c r="G2133" s="55"/>
      <c r="H2133" s="55"/>
      <c r="I2133" s="55"/>
      <c r="J2133" s="55"/>
      <c r="K2133" s="56"/>
      <c r="L2133" s="55"/>
      <c r="M2133" s="55"/>
      <c r="N2133" s="55"/>
      <c r="O2133" s="55"/>
      <c r="P2133" s="55"/>
      <c r="Q2133" s="55"/>
      <c r="R2133" s="57"/>
      <c r="S2133" s="58"/>
    </row>
    <row r="2134" spans="1:19" x14ac:dyDescent="0.25">
      <c r="A2134" s="51" t="str">
        <f>(COUNTIF($K$2:K2134,K2134))&amp;K2134</f>
        <v>1</v>
      </c>
      <c r="B2134" s="52"/>
      <c r="C2134" s="53"/>
      <c r="D2134" s="54"/>
      <c r="E2134" s="55"/>
      <c r="F2134" s="55"/>
      <c r="G2134" s="55"/>
      <c r="H2134" s="55"/>
      <c r="I2134" s="55"/>
      <c r="J2134" s="55"/>
      <c r="K2134" s="56"/>
      <c r="L2134" s="55"/>
      <c r="M2134" s="55"/>
      <c r="N2134" s="55"/>
      <c r="O2134" s="55"/>
      <c r="P2134" s="55"/>
      <c r="Q2134" s="55"/>
      <c r="R2134" s="57"/>
      <c r="S2134" s="58"/>
    </row>
    <row r="2135" spans="1:19" ht="15.75" x14ac:dyDescent="0.25">
      <c r="A2135" s="51" t="str">
        <f>(COUNTIF($K$2:K2135,K2135))&amp;K2135</f>
        <v>1</v>
      </c>
      <c r="B2135" s="52"/>
      <c r="C2135" s="53"/>
      <c r="D2135" s="54"/>
      <c r="E2135" s="55"/>
      <c r="F2135" s="55"/>
      <c r="G2135" s="55"/>
      <c r="H2135" s="55"/>
      <c r="I2135" s="55"/>
      <c r="J2135" s="55"/>
      <c r="K2135" s="59"/>
      <c r="L2135" s="55"/>
      <c r="M2135" s="55"/>
      <c r="N2135" s="55"/>
      <c r="O2135" s="55"/>
      <c r="P2135" s="55"/>
      <c r="Q2135" s="55"/>
      <c r="R2135" s="57"/>
      <c r="S2135" s="58"/>
    </row>
    <row r="2136" spans="1:19" x14ac:dyDescent="0.25">
      <c r="A2136" s="51" t="str">
        <f>(COUNTIF($K$2:K2136,K2136))&amp;K2136</f>
        <v>1</v>
      </c>
      <c r="B2136" s="52"/>
      <c r="C2136" s="53"/>
      <c r="D2136" s="54"/>
      <c r="E2136" s="55"/>
      <c r="F2136" s="55"/>
      <c r="G2136" s="55"/>
      <c r="H2136" s="55"/>
      <c r="I2136" s="55"/>
      <c r="J2136" s="55"/>
      <c r="K2136" s="56"/>
      <c r="L2136" s="55"/>
      <c r="M2136" s="55"/>
      <c r="N2136" s="55"/>
      <c r="O2136" s="55"/>
      <c r="P2136" s="55"/>
      <c r="Q2136" s="55"/>
      <c r="R2136" s="57"/>
      <c r="S2136" s="58"/>
    </row>
    <row r="2137" spans="1:19" x14ac:dyDescent="0.25">
      <c r="A2137" s="51" t="str">
        <f>(COUNTIF($K$2:K2137,K2137))&amp;K2137</f>
        <v>1</v>
      </c>
      <c r="B2137" s="52"/>
      <c r="C2137" s="53"/>
      <c r="D2137" s="54"/>
      <c r="E2137" s="55"/>
      <c r="F2137" s="55"/>
      <c r="G2137" s="55"/>
      <c r="H2137" s="55"/>
      <c r="I2137" s="55"/>
      <c r="J2137" s="55"/>
      <c r="K2137" s="56"/>
      <c r="L2137" s="55"/>
      <c r="M2137" s="55"/>
      <c r="N2137" s="55"/>
      <c r="O2137" s="55"/>
      <c r="P2137" s="55"/>
      <c r="Q2137" s="55"/>
      <c r="R2137" s="57"/>
      <c r="S2137" s="58"/>
    </row>
    <row r="2138" spans="1:19" x14ac:dyDescent="0.25">
      <c r="A2138" s="51" t="str">
        <f>(COUNTIF($K$2:K2138,K2138))&amp;K2138</f>
        <v>1</v>
      </c>
      <c r="B2138" s="52"/>
      <c r="C2138" s="53"/>
      <c r="D2138" s="54"/>
      <c r="E2138" s="55"/>
      <c r="F2138" s="55"/>
      <c r="G2138" s="55"/>
      <c r="H2138" s="55"/>
      <c r="I2138" s="55"/>
      <c r="J2138" s="55"/>
      <c r="K2138" s="56"/>
      <c r="L2138" s="55"/>
      <c r="M2138" s="55"/>
      <c r="N2138" s="55"/>
      <c r="O2138" s="55"/>
      <c r="P2138" s="55"/>
      <c r="Q2138" s="55"/>
      <c r="R2138" s="57"/>
      <c r="S2138" s="58"/>
    </row>
    <row r="2139" spans="1:19" x14ac:dyDescent="0.25">
      <c r="A2139" s="51" t="str">
        <f>(COUNTIF($K$2:K2139,K2139))&amp;K2139</f>
        <v>1</v>
      </c>
      <c r="B2139" s="52"/>
      <c r="C2139" s="53"/>
      <c r="D2139" s="54"/>
      <c r="E2139" s="55"/>
      <c r="F2139" s="55"/>
      <c r="G2139" s="55"/>
      <c r="H2139" s="55"/>
      <c r="I2139" s="55"/>
      <c r="J2139" s="55"/>
      <c r="K2139" s="56"/>
      <c r="L2139" s="55"/>
      <c r="M2139" s="55"/>
      <c r="N2139" s="55"/>
      <c r="O2139" s="55"/>
      <c r="P2139" s="55"/>
      <c r="Q2139" s="55"/>
      <c r="R2139" s="57"/>
      <c r="S2139" s="58"/>
    </row>
    <row r="2140" spans="1:19" x14ac:dyDescent="0.25">
      <c r="A2140" s="51" t="str">
        <f>(COUNTIF($K$2:K2140,K2140))&amp;K2140</f>
        <v>1</v>
      </c>
      <c r="B2140" s="52"/>
      <c r="C2140" s="53"/>
      <c r="D2140" s="54"/>
      <c r="E2140" s="55"/>
      <c r="F2140" s="55"/>
      <c r="G2140" s="55"/>
      <c r="H2140" s="55"/>
      <c r="I2140" s="55"/>
      <c r="J2140" s="55"/>
      <c r="K2140" s="56"/>
      <c r="L2140" s="55"/>
      <c r="M2140" s="55"/>
      <c r="N2140" s="55"/>
      <c r="O2140" s="55"/>
      <c r="P2140" s="55"/>
      <c r="Q2140" s="55"/>
      <c r="R2140" s="57"/>
      <c r="S2140" s="58"/>
    </row>
    <row r="2141" spans="1:19" x14ac:dyDescent="0.25">
      <c r="A2141" s="51" t="str">
        <f>(COUNTIF($K$2:K2141,K2141))&amp;K2141</f>
        <v>1</v>
      </c>
      <c r="B2141" s="52"/>
      <c r="C2141" s="53"/>
      <c r="D2141" s="54"/>
      <c r="E2141" s="55"/>
      <c r="F2141" s="55"/>
      <c r="G2141" s="55"/>
      <c r="H2141" s="55"/>
      <c r="I2141" s="55"/>
      <c r="J2141" s="55"/>
      <c r="K2141" s="56"/>
      <c r="L2141" s="55"/>
      <c r="M2141" s="55"/>
      <c r="N2141" s="55"/>
      <c r="O2141" s="55"/>
      <c r="P2141" s="55"/>
      <c r="Q2141" s="55"/>
      <c r="R2141" s="57"/>
      <c r="S2141" s="58"/>
    </row>
    <row r="2142" spans="1:19" x14ac:dyDescent="0.25">
      <c r="A2142" s="51" t="str">
        <f>(COUNTIF($K$2:K2142,K2142))&amp;K2142</f>
        <v>1</v>
      </c>
      <c r="B2142" s="52"/>
      <c r="C2142" s="53"/>
      <c r="D2142" s="54"/>
      <c r="E2142" s="55"/>
      <c r="F2142" s="55"/>
      <c r="G2142" s="55"/>
      <c r="H2142" s="55"/>
      <c r="I2142" s="55"/>
      <c r="J2142" s="55"/>
      <c r="K2142" s="56"/>
      <c r="L2142" s="55"/>
      <c r="M2142" s="55"/>
      <c r="N2142" s="55"/>
      <c r="O2142" s="55"/>
      <c r="P2142" s="55"/>
      <c r="Q2142" s="55"/>
      <c r="R2142" s="57"/>
      <c r="S2142" s="58"/>
    </row>
    <row r="2143" spans="1:19" x14ac:dyDescent="0.25">
      <c r="A2143" s="51" t="str">
        <f>(COUNTIF($K$2:K2143,K2143))&amp;K2143</f>
        <v>1</v>
      </c>
      <c r="B2143" s="52"/>
      <c r="C2143" s="60"/>
      <c r="E2143" s="61"/>
      <c r="F2143" s="62"/>
      <c r="G2143" s="63"/>
      <c r="H2143" s="64"/>
      <c r="I2143" s="64"/>
      <c r="J2143" s="64"/>
      <c r="K2143" s="65"/>
      <c r="L2143" s="64"/>
      <c r="M2143" s="64"/>
      <c r="N2143" s="64"/>
      <c r="P2143" s="63"/>
      <c r="Q2143" s="61"/>
      <c r="R2143" s="64"/>
      <c r="S2143" s="64"/>
    </row>
    <row r="2144" spans="1:19" x14ac:dyDescent="0.25">
      <c r="A2144" s="51" t="str">
        <f>(COUNTIF($K$2:K2144,K2144))&amp;K2144</f>
        <v>1</v>
      </c>
      <c r="B2144" s="52"/>
      <c r="C2144" s="53"/>
      <c r="D2144" s="54"/>
      <c r="E2144" s="55"/>
      <c r="F2144" s="55"/>
      <c r="G2144" s="55"/>
      <c r="H2144" s="55"/>
      <c r="I2144" s="55"/>
      <c r="J2144" s="55"/>
      <c r="K2144" s="56"/>
      <c r="L2144" s="55"/>
      <c r="M2144" s="55"/>
      <c r="N2144" s="55"/>
      <c r="O2144" s="55"/>
      <c r="P2144" s="55"/>
      <c r="Q2144" s="55"/>
      <c r="R2144" s="57"/>
      <c r="S2144" s="58"/>
    </row>
    <row r="2145" spans="1:19" x14ac:dyDescent="0.25">
      <c r="A2145" s="51" t="str">
        <f>(COUNTIF($K$2:K2145,K2145))&amp;K2145</f>
        <v>1</v>
      </c>
      <c r="B2145" s="52"/>
      <c r="C2145" s="53"/>
      <c r="D2145" s="54"/>
      <c r="E2145" s="55"/>
      <c r="F2145" s="55"/>
      <c r="G2145" s="55"/>
      <c r="H2145" s="55"/>
      <c r="I2145" s="55"/>
      <c r="J2145" s="55"/>
      <c r="K2145" s="56"/>
      <c r="L2145" s="55"/>
      <c r="M2145" s="55"/>
      <c r="N2145" s="55"/>
      <c r="O2145" s="55"/>
      <c r="P2145" s="55"/>
      <c r="Q2145" s="55"/>
      <c r="R2145" s="57"/>
      <c r="S2145" s="58"/>
    </row>
    <row r="2146" spans="1:19" x14ac:dyDescent="0.25">
      <c r="A2146" s="51" t="str">
        <f>(COUNTIF($K$2:K2146,K2146))&amp;K2146</f>
        <v>1</v>
      </c>
      <c r="B2146" s="52"/>
      <c r="C2146" s="53"/>
      <c r="D2146" s="54"/>
      <c r="E2146" s="55"/>
      <c r="F2146" s="55"/>
      <c r="G2146" s="55"/>
      <c r="H2146" s="55"/>
      <c r="I2146" s="55"/>
      <c r="J2146" s="55"/>
      <c r="K2146" s="56"/>
      <c r="L2146" s="55"/>
      <c r="M2146" s="55"/>
      <c r="N2146" s="55"/>
      <c r="O2146" s="55"/>
      <c r="P2146" s="55"/>
      <c r="Q2146" s="55"/>
      <c r="R2146" s="57"/>
      <c r="S2146" s="58"/>
    </row>
    <row r="2147" spans="1:19" x14ac:dyDescent="0.25">
      <c r="A2147" s="51" t="str">
        <f>(COUNTIF($K$2:K2147,K2147))&amp;K2147</f>
        <v>1</v>
      </c>
      <c r="B2147" s="52"/>
      <c r="C2147" s="53"/>
      <c r="D2147" s="54"/>
      <c r="E2147" s="55"/>
      <c r="F2147" s="55"/>
      <c r="G2147" s="55"/>
      <c r="H2147" s="55"/>
      <c r="I2147" s="55"/>
      <c r="J2147" s="55"/>
      <c r="K2147" s="56"/>
      <c r="L2147" s="55"/>
      <c r="M2147" s="55"/>
      <c r="N2147" s="55"/>
      <c r="O2147" s="55"/>
      <c r="P2147" s="55"/>
      <c r="Q2147" s="55"/>
      <c r="R2147" s="57"/>
      <c r="S2147" s="58"/>
    </row>
    <row r="2148" spans="1:19" x14ac:dyDescent="0.25">
      <c r="A2148" s="51" t="str">
        <f>(COUNTIF($K$2:K2148,K2148))&amp;K2148</f>
        <v>1</v>
      </c>
      <c r="B2148" s="52"/>
      <c r="C2148" s="53"/>
      <c r="D2148" s="54"/>
      <c r="E2148" s="55"/>
      <c r="F2148" s="55"/>
      <c r="G2148" s="55"/>
      <c r="H2148" s="55"/>
      <c r="I2148" s="55"/>
      <c r="J2148" s="55"/>
      <c r="K2148" s="56"/>
      <c r="L2148" s="55"/>
      <c r="M2148" s="55"/>
      <c r="N2148" s="55"/>
      <c r="O2148" s="55"/>
      <c r="P2148" s="55"/>
      <c r="Q2148" s="55"/>
      <c r="R2148" s="57"/>
      <c r="S2148" s="58"/>
    </row>
    <row r="2149" spans="1:19" x14ac:dyDescent="0.25">
      <c r="A2149" s="51" t="str">
        <f>(COUNTIF($K$2:K2149,K2149))&amp;K2149</f>
        <v>1</v>
      </c>
      <c r="B2149" s="52"/>
      <c r="C2149" s="53"/>
      <c r="D2149" s="54"/>
      <c r="E2149" s="55"/>
      <c r="F2149" s="55"/>
      <c r="G2149" s="55"/>
      <c r="H2149" s="55"/>
      <c r="I2149" s="55"/>
      <c r="J2149" s="55"/>
      <c r="K2149" s="56"/>
      <c r="L2149" s="55"/>
      <c r="M2149" s="55"/>
      <c r="N2149" s="55"/>
      <c r="O2149" s="55"/>
      <c r="P2149" s="55"/>
      <c r="Q2149" s="55"/>
      <c r="R2149" s="57"/>
      <c r="S2149" s="58"/>
    </row>
    <row r="2150" spans="1:19" x14ac:dyDescent="0.25">
      <c r="A2150" s="51" t="str">
        <f>(COUNTIF($K$2:K2150,K2150))&amp;K2150</f>
        <v>1</v>
      </c>
      <c r="B2150" s="52"/>
      <c r="C2150" s="53"/>
      <c r="D2150" s="54"/>
      <c r="E2150" s="55"/>
      <c r="F2150" s="55"/>
      <c r="G2150" s="55"/>
      <c r="H2150" s="55"/>
      <c r="I2150" s="55"/>
      <c r="J2150" s="55"/>
      <c r="K2150" s="56"/>
      <c r="L2150" s="55"/>
      <c r="M2150" s="55"/>
      <c r="N2150" s="55"/>
      <c r="O2150" s="55"/>
      <c r="P2150" s="55"/>
      <c r="Q2150" s="55"/>
      <c r="R2150" s="57"/>
      <c r="S2150" s="58"/>
    </row>
    <row r="2151" spans="1:19" x14ac:dyDescent="0.25">
      <c r="A2151" s="51" t="str">
        <f>(COUNTIF($K$2:K2151,K2151))&amp;K2151</f>
        <v>1</v>
      </c>
      <c r="B2151" s="52"/>
      <c r="C2151" s="53"/>
      <c r="D2151" s="54"/>
      <c r="E2151" s="55"/>
      <c r="F2151" s="55"/>
      <c r="G2151" s="55"/>
      <c r="H2151" s="55"/>
      <c r="I2151" s="55"/>
      <c r="J2151" s="55"/>
      <c r="K2151" s="56"/>
      <c r="L2151" s="55"/>
      <c r="M2151" s="55"/>
      <c r="N2151" s="55"/>
      <c r="O2151" s="55"/>
      <c r="P2151" s="55"/>
      <c r="Q2151" s="55"/>
      <c r="R2151" s="57"/>
      <c r="S2151" s="58"/>
    </row>
    <row r="2152" spans="1:19" ht="15.75" x14ac:dyDescent="0.25">
      <c r="A2152" s="51" t="str">
        <f>(COUNTIF($K$2:K2152,K2152))&amp;K2152</f>
        <v>1</v>
      </c>
      <c r="B2152" s="52"/>
      <c r="C2152" s="53"/>
      <c r="D2152" s="54"/>
      <c r="E2152" s="55"/>
      <c r="F2152" s="55"/>
      <c r="G2152" s="55"/>
      <c r="H2152" s="55"/>
      <c r="I2152" s="55"/>
      <c r="J2152" s="55"/>
      <c r="K2152" s="59"/>
      <c r="L2152" s="55"/>
      <c r="M2152" s="55"/>
      <c r="N2152" s="55"/>
      <c r="O2152" s="55"/>
      <c r="P2152" s="55"/>
      <c r="Q2152" s="55"/>
      <c r="R2152" s="57"/>
      <c r="S2152" s="58"/>
    </row>
    <row r="2153" spans="1:19" x14ac:dyDescent="0.25">
      <c r="A2153" s="51" t="str">
        <f>(COUNTIF($K$2:K2153,K2153))&amp;K2153</f>
        <v>1</v>
      </c>
      <c r="B2153" s="52"/>
      <c r="C2153" s="53"/>
      <c r="D2153" s="54"/>
      <c r="E2153" s="55"/>
      <c r="F2153" s="55"/>
      <c r="G2153" s="55"/>
      <c r="H2153" s="55"/>
      <c r="I2153" s="55"/>
      <c r="J2153" s="55"/>
      <c r="K2153" s="56"/>
      <c r="L2153" s="55"/>
      <c r="M2153" s="55"/>
      <c r="N2153" s="55"/>
      <c r="O2153" s="55"/>
      <c r="P2153" s="55"/>
      <c r="Q2153" s="55"/>
      <c r="R2153" s="57"/>
      <c r="S2153" s="58"/>
    </row>
    <row r="2154" spans="1:19" x14ac:dyDescent="0.25">
      <c r="A2154" s="51" t="str">
        <f>(COUNTIF($K$2:K2154,K2154))&amp;K2154</f>
        <v>1</v>
      </c>
      <c r="B2154" s="52"/>
      <c r="C2154" s="53"/>
      <c r="D2154" s="54"/>
      <c r="E2154" s="55"/>
      <c r="F2154" s="55"/>
      <c r="G2154" s="55"/>
      <c r="H2154" s="55"/>
      <c r="I2154" s="55"/>
      <c r="J2154" s="55"/>
      <c r="K2154" s="56"/>
      <c r="L2154" s="55"/>
      <c r="M2154" s="55"/>
      <c r="N2154" s="55"/>
      <c r="O2154" s="55"/>
      <c r="P2154" s="55"/>
      <c r="Q2154" s="55"/>
      <c r="R2154" s="57"/>
      <c r="S2154" s="58"/>
    </row>
    <row r="2155" spans="1:19" x14ac:dyDescent="0.25">
      <c r="A2155" s="51" t="str">
        <f>(COUNTIF($K$2:K2155,K2155))&amp;K2155</f>
        <v>1</v>
      </c>
      <c r="B2155" s="52"/>
      <c r="C2155" s="53"/>
      <c r="D2155" s="54"/>
      <c r="E2155" s="55"/>
      <c r="F2155" s="55"/>
      <c r="G2155" s="55"/>
      <c r="H2155" s="55"/>
      <c r="I2155" s="55"/>
      <c r="J2155" s="55"/>
      <c r="K2155" s="56"/>
      <c r="L2155" s="55"/>
      <c r="M2155" s="55"/>
      <c r="N2155" s="55"/>
      <c r="O2155" s="55"/>
      <c r="P2155" s="55"/>
      <c r="Q2155" s="55"/>
      <c r="R2155" s="57"/>
      <c r="S2155" s="58"/>
    </row>
    <row r="2156" spans="1:19" x14ac:dyDescent="0.25">
      <c r="A2156" s="51" t="str">
        <f>(COUNTIF($K$2:K2156,K2156))&amp;K2156</f>
        <v>1</v>
      </c>
      <c r="B2156" s="52"/>
      <c r="C2156" s="53"/>
      <c r="D2156" s="54"/>
      <c r="E2156" s="55"/>
      <c r="F2156" s="55"/>
      <c r="G2156" s="55"/>
      <c r="H2156" s="55"/>
      <c r="I2156" s="55"/>
      <c r="J2156" s="55"/>
      <c r="K2156" s="56"/>
      <c r="L2156" s="55"/>
      <c r="M2156" s="55"/>
      <c r="N2156" s="55"/>
      <c r="O2156" s="55"/>
      <c r="P2156" s="55"/>
      <c r="Q2156" s="55"/>
      <c r="R2156" s="57"/>
      <c r="S2156" s="58"/>
    </row>
    <row r="2157" spans="1:19" x14ac:dyDescent="0.25">
      <c r="A2157" s="51" t="str">
        <f>(COUNTIF($K$2:K2157,K2157))&amp;K2157</f>
        <v>1</v>
      </c>
      <c r="B2157" s="52"/>
      <c r="C2157" s="53"/>
      <c r="D2157" s="54"/>
      <c r="E2157" s="55"/>
      <c r="F2157" s="55"/>
      <c r="G2157" s="55"/>
      <c r="H2157" s="55"/>
      <c r="I2157" s="55"/>
      <c r="J2157" s="55"/>
      <c r="K2157" s="56"/>
      <c r="L2157" s="55"/>
      <c r="M2157" s="55"/>
      <c r="N2157" s="55"/>
      <c r="O2157" s="55"/>
      <c r="P2157" s="55"/>
      <c r="Q2157" s="55"/>
      <c r="R2157" s="57"/>
      <c r="S2157" s="58"/>
    </row>
    <row r="2158" spans="1:19" x14ac:dyDescent="0.25">
      <c r="A2158" s="51" t="str">
        <f>(COUNTIF($K$2:K2158,K2158))&amp;K2158</f>
        <v>1</v>
      </c>
      <c r="B2158" s="52"/>
      <c r="C2158" s="53"/>
      <c r="D2158" s="54"/>
      <c r="E2158" s="55"/>
      <c r="F2158" s="55"/>
      <c r="G2158" s="55"/>
      <c r="H2158" s="55"/>
      <c r="I2158" s="55"/>
      <c r="J2158" s="55"/>
      <c r="K2158" s="56"/>
      <c r="L2158" s="55"/>
      <c r="M2158" s="55"/>
      <c r="N2158" s="55"/>
      <c r="O2158" s="55"/>
      <c r="P2158" s="55"/>
      <c r="Q2158" s="55"/>
      <c r="R2158" s="57"/>
      <c r="S2158" s="58"/>
    </row>
    <row r="2159" spans="1:19" x14ac:dyDescent="0.25">
      <c r="A2159" s="51" t="str">
        <f>(COUNTIF($K$2:K2159,K2159))&amp;K2159</f>
        <v>1</v>
      </c>
      <c r="B2159" s="52"/>
      <c r="C2159" s="53"/>
      <c r="D2159" s="54"/>
      <c r="E2159" s="55"/>
      <c r="F2159" s="55"/>
      <c r="G2159" s="55"/>
      <c r="H2159" s="55"/>
      <c r="I2159" s="55"/>
      <c r="J2159" s="55"/>
      <c r="K2159" s="56"/>
      <c r="L2159" s="55"/>
      <c r="M2159" s="55"/>
      <c r="N2159" s="55"/>
      <c r="O2159" s="55"/>
      <c r="P2159" s="55"/>
      <c r="Q2159" s="55"/>
      <c r="R2159" s="57"/>
      <c r="S2159" s="58"/>
    </row>
    <row r="2160" spans="1:19" x14ac:dyDescent="0.25">
      <c r="A2160" s="51" t="str">
        <f>(COUNTIF($K$2:K2160,K2160))&amp;K2160</f>
        <v>1</v>
      </c>
      <c r="B2160" s="52"/>
      <c r="C2160" s="60"/>
      <c r="E2160" s="61"/>
      <c r="F2160" s="62"/>
      <c r="G2160" s="63"/>
      <c r="H2160" s="64"/>
      <c r="I2160" s="64"/>
      <c r="J2160" s="64"/>
      <c r="K2160" s="65"/>
      <c r="L2160" s="64"/>
      <c r="M2160" s="64"/>
      <c r="N2160" s="64"/>
      <c r="P2160" s="63"/>
      <c r="Q2160" s="61"/>
      <c r="R2160" s="64"/>
      <c r="S2160" s="64"/>
    </row>
    <row r="2161" spans="1:19" x14ac:dyDescent="0.25">
      <c r="A2161" s="51" t="str">
        <f>(COUNTIF($K$2:K2161,K2161))&amp;K2161</f>
        <v>1</v>
      </c>
      <c r="B2161" s="52"/>
      <c r="C2161" s="53"/>
      <c r="D2161" s="54"/>
      <c r="E2161" s="55"/>
      <c r="F2161" s="55"/>
      <c r="G2161" s="55"/>
      <c r="H2161" s="55"/>
      <c r="I2161" s="55"/>
      <c r="J2161" s="55"/>
      <c r="K2161" s="56"/>
      <c r="L2161" s="55"/>
      <c r="M2161" s="55"/>
      <c r="N2161" s="55"/>
      <c r="O2161" s="55"/>
      <c r="P2161" s="55"/>
      <c r="Q2161" s="55"/>
      <c r="R2161" s="57"/>
      <c r="S2161" s="58"/>
    </row>
    <row r="2162" spans="1:19" x14ac:dyDescent="0.25">
      <c r="A2162" s="51" t="str">
        <f>(COUNTIF($K$2:K2162,K2162))&amp;K2162</f>
        <v>1</v>
      </c>
      <c r="B2162" s="52"/>
      <c r="C2162" s="53"/>
      <c r="D2162" s="54"/>
      <c r="E2162" s="55"/>
      <c r="F2162" s="55"/>
      <c r="G2162" s="55"/>
      <c r="H2162" s="55"/>
      <c r="I2162" s="55"/>
      <c r="J2162" s="55"/>
      <c r="K2162" s="56"/>
      <c r="L2162" s="55"/>
      <c r="M2162" s="55"/>
      <c r="N2162" s="55"/>
      <c r="O2162" s="55"/>
      <c r="P2162" s="55"/>
      <c r="Q2162" s="55"/>
      <c r="R2162" s="57"/>
      <c r="S2162" s="58"/>
    </row>
    <row r="2163" spans="1:19" x14ac:dyDescent="0.25">
      <c r="A2163" s="51" t="str">
        <f>(COUNTIF($K$2:K2163,K2163))&amp;K2163</f>
        <v>1</v>
      </c>
      <c r="B2163" s="52"/>
      <c r="C2163" s="53"/>
      <c r="D2163" s="54"/>
      <c r="E2163" s="55"/>
      <c r="F2163" s="55"/>
      <c r="G2163" s="55"/>
      <c r="H2163" s="55"/>
      <c r="I2163" s="55"/>
      <c r="J2163" s="55"/>
      <c r="K2163" s="56"/>
      <c r="L2163" s="55"/>
      <c r="M2163" s="55"/>
      <c r="N2163" s="55"/>
      <c r="O2163" s="55"/>
      <c r="P2163" s="55"/>
      <c r="Q2163" s="55"/>
      <c r="R2163" s="57"/>
      <c r="S2163" s="58"/>
    </row>
    <row r="2164" spans="1:19" x14ac:dyDescent="0.25">
      <c r="A2164" s="51" t="str">
        <f>(COUNTIF($K$2:K2164,K2164))&amp;K2164</f>
        <v>1</v>
      </c>
      <c r="B2164" s="52"/>
      <c r="C2164" s="53"/>
      <c r="D2164" s="54"/>
      <c r="E2164" s="55"/>
      <c r="F2164" s="55"/>
      <c r="G2164" s="55"/>
      <c r="H2164" s="55"/>
      <c r="I2164" s="55"/>
      <c r="J2164" s="55"/>
      <c r="K2164" s="56"/>
      <c r="L2164" s="55"/>
      <c r="M2164" s="55"/>
      <c r="N2164" s="55"/>
      <c r="O2164" s="55"/>
      <c r="P2164" s="55"/>
      <c r="Q2164" s="55"/>
      <c r="R2164" s="57"/>
      <c r="S2164" s="58"/>
    </row>
    <row r="2165" spans="1:19" x14ac:dyDescent="0.25">
      <c r="A2165" s="51" t="str">
        <f>(COUNTIF($K$2:K2165,K2165))&amp;K2165</f>
        <v>1</v>
      </c>
      <c r="B2165" s="52"/>
      <c r="C2165" s="53"/>
      <c r="D2165" s="54"/>
      <c r="E2165" s="55"/>
      <c r="F2165" s="55"/>
      <c r="G2165" s="55"/>
      <c r="H2165" s="55"/>
      <c r="I2165" s="55"/>
      <c r="J2165" s="55"/>
      <c r="K2165" s="56"/>
      <c r="L2165" s="55"/>
      <c r="M2165" s="55"/>
      <c r="N2165" s="55"/>
      <c r="O2165" s="55"/>
      <c r="P2165" s="55"/>
      <c r="Q2165" s="55"/>
      <c r="R2165" s="57"/>
      <c r="S2165" s="58"/>
    </row>
    <row r="2166" spans="1:19" x14ac:dyDescent="0.25">
      <c r="A2166" s="51" t="str">
        <f>(COUNTIF($K$2:K2166,K2166))&amp;K2166</f>
        <v>1</v>
      </c>
      <c r="B2166" s="52"/>
      <c r="C2166" s="53"/>
      <c r="D2166" s="54"/>
      <c r="E2166" s="55"/>
      <c r="F2166" s="55"/>
      <c r="G2166" s="55"/>
      <c r="H2166" s="55"/>
      <c r="I2166" s="55"/>
      <c r="J2166" s="55"/>
      <c r="K2166" s="56"/>
      <c r="L2166" s="55"/>
      <c r="M2166" s="55"/>
      <c r="N2166" s="55"/>
      <c r="O2166" s="55"/>
      <c r="P2166" s="55"/>
      <c r="Q2166" s="55"/>
      <c r="R2166" s="57"/>
      <c r="S2166" s="58"/>
    </row>
    <row r="2167" spans="1:19" x14ac:dyDescent="0.25">
      <c r="A2167" s="51" t="str">
        <f>(COUNTIF($K$2:K2167,K2167))&amp;K2167</f>
        <v>1</v>
      </c>
      <c r="B2167" s="52"/>
      <c r="C2167" s="53"/>
      <c r="D2167" s="54"/>
      <c r="E2167" s="55"/>
      <c r="F2167" s="55"/>
      <c r="G2167" s="55"/>
      <c r="H2167" s="55"/>
      <c r="I2167" s="55"/>
      <c r="J2167" s="55"/>
      <c r="K2167" s="56"/>
      <c r="L2167" s="55"/>
      <c r="M2167" s="55"/>
      <c r="N2167" s="55"/>
      <c r="O2167" s="55"/>
      <c r="P2167" s="55"/>
      <c r="Q2167" s="55"/>
      <c r="R2167" s="57"/>
      <c r="S2167" s="58"/>
    </row>
    <row r="2168" spans="1:19" x14ac:dyDescent="0.25">
      <c r="A2168" s="51" t="str">
        <f>(COUNTIF($K$2:K2168,K2168))&amp;K2168</f>
        <v>1</v>
      </c>
      <c r="B2168" s="52"/>
      <c r="C2168" s="53"/>
      <c r="D2168" s="54"/>
      <c r="E2168" s="55"/>
      <c r="F2168" s="55"/>
      <c r="G2168" s="55"/>
      <c r="H2168" s="55"/>
      <c r="I2168" s="55"/>
      <c r="J2168" s="55"/>
      <c r="K2168" s="56"/>
      <c r="L2168" s="55"/>
      <c r="M2168" s="55"/>
      <c r="N2168" s="55"/>
      <c r="O2168" s="55"/>
      <c r="P2168" s="55"/>
      <c r="Q2168" s="55"/>
      <c r="R2168" s="57"/>
      <c r="S2168" s="58"/>
    </row>
    <row r="2169" spans="1:19" ht="15.75" x14ac:dyDescent="0.25">
      <c r="A2169" s="51" t="str">
        <f>(COUNTIF($K$2:K2169,K2169))&amp;K2169</f>
        <v>1</v>
      </c>
      <c r="B2169" s="52"/>
      <c r="C2169" s="53"/>
      <c r="D2169" s="54"/>
      <c r="E2169" s="55"/>
      <c r="F2169" s="55"/>
      <c r="G2169" s="55"/>
      <c r="H2169" s="55"/>
      <c r="I2169" s="55"/>
      <c r="J2169" s="55"/>
      <c r="K2169" s="59"/>
      <c r="L2169" s="55"/>
      <c r="M2169" s="55"/>
      <c r="N2169" s="55"/>
      <c r="O2169" s="55"/>
      <c r="P2169" s="55"/>
      <c r="Q2169" s="55"/>
      <c r="R2169" s="57"/>
      <c r="S2169" s="58"/>
    </row>
    <row r="2170" spans="1:19" x14ac:dyDescent="0.25">
      <c r="A2170" s="51" t="str">
        <f>(COUNTIF($K$2:K2170,K2170))&amp;K2170</f>
        <v>1</v>
      </c>
      <c r="B2170" s="52"/>
      <c r="C2170" s="53"/>
      <c r="D2170" s="54"/>
      <c r="E2170" s="55"/>
      <c r="F2170" s="55"/>
      <c r="G2170" s="55"/>
      <c r="H2170" s="55"/>
      <c r="I2170" s="55"/>
      <c r="J2170" s="55"/>
      <c r="K2170" s="56"/>
      <c r="L2170" s="55"/>
      <c r="M2170" s="55"/>
      <c r="N2170" s="55"/>
      <c r="O2170" s="55"/>
      <c r="P2170" s="55"/>
      <c r="Q2170" s="55"/>
      <c r="R2170" s="57"/>
      <c r="S2170" s="58"/>
    </row>
    <row r="2171" spans="1:19" x14ac:dyDescent="0.25">
      <c r="A2171" s="51" t="str">
        <f>(COUNTIF($K$2:K2171,K2171))&amp;K2171</f>
        <v>1</v>
      </c>
      <c r="B2171" s="52"/>
      <c r="C2171" s="53"/>
      <c r="D2171" s="54"/>
      <c r="E2171" s="55"/>
      <c r="F2171" s="55"/>
      <c r="G2171" s="55"/>
      <c r="H2171" s="55"/>
      <c r="I2171" s="55"/>
      <c r="J2171" s="55"/>
      <c r="K2171" s="56"/>
      <c r="L2171" s="55"/>
      <c r="M2171" s="55"/>
      <c r="N2171" s="55"/>
      <c r="O2171" s="55"/>
      <c r="P2171" s="55"/>
      <c r="Q2171" s="55"/>
      <c r="R2171" s="57"/>
      <c r="S2171" s="58"/>
    </row>
    <row r="2172" spans="1:19" x14ac:dyDescent="0.25">
      <c r="A2172" s="51" t="str">
        <f>(COUNTIF($K$2:K2172,K2172))&amp;K2172</f>
        <v>1</v>
      </c>
      <c r="B2172" s="52"/>
      <c r="C2172" s="53"/>
      <c r="D2172" s="54"/>
      <c r="E2172" s="55"/>
      <c r="F2172" s="55"/>
      <c r="G2172" s="55"/>
      <c r="H2172" s="55"/>
      <c r="I2172" s="55"/>
      <c r="J2172" s="55"/>
      <c r="K2172" s="56"/>
      <c r="L2172" s="55"/>
      <c r="M2172" s="55"/>
      <c r="N2172" s="55"/>
      <c r="O2172" s="55"/>
      <c r="P2172" s="55"/>
      <c r="Q2172" s="55"/>
      <c r="R2172" s="57"/>
      <c r="S2172" s="58"/>
    </row>
    <row r="2173" spans="1:19" x14ac:dyDescent="0.25">
      <c r="A2173" s="51" t="str">
        <f>(COUNTIF($K$2:K2173,K2173))&amp;K2173</f>
        <v>1</v>
      </c>
      <c r="B2173" s="52"/>
      <c r="C2173" s="53"/>
      <c r="D2173" s="54"/>
      <c r="E2173" s="55"/>
      <c r="F2173" s="55"/>
      <c r="G2173" s="55"/>
      <c r="H2173" s="55"/>
      <c r="I2173" s="55"/>
      <c r="J2173" s="55"/>
      <c r="K2173" s="56"/>
      <c r="L2173" s="55"/>
      <c r="M2173" s="55"/>
      <c r="N2173" s="55"/>
      <c r="O2173" s="55"/>
      <c r="P2173" s="55"/>
      <c r="Q2173" s="55"/>
      <c r="R2173" s="57"/>
      <c r="S2173" s="58"/>
    </row>
    <row r="2174" spans="1:19" x14ac:dyDescent="0.25">
      <c r="A2174" s="51" t="str">
        <f>(COUNTIF($K$2:K2174,K2174))&amp;K2174</f>
        <v>1</v>
      </c>
      <c r="B2174" s="52"/>
      <c r="C2174" s="53"/>
      <c r="D2174" s="54"/>
      <c r="E2174" s="55"/>
      <c r="F2174" s="55"/>
      <c r="G2174" s="55"/>
      <c r="H2174" s="55"/>
      <c r="I2174" s="55"/>
      <c r="J2174" s="55"/>
      <c r="K2174" s="56"/>
      <c r="L2174" s="55"/>
      <c r="M2174" s="55"/>
      <c r="N2174" s="55"/>
      <c r="O2174" s="55"/>
      <c r="P2174" s="55"/>
      <c r="Q2174" s="55"/>
      <c r="R2174" s="57"/>
      <c r="S2174" s="58"/>
    </row>
    <row r="2175" spans="1:19" x14ac:dyDescent="0.25">
      <c r="A2175" s="51" t="str">
        <f>(COUNTIF($K$2:K2175,K2175))&amp;K2175</f>
        <v>1</v>
      </c>
      <c r="B2175" s="52"/>
      <c r="C2175" s="53"/>
      <c r="D2175" s="54"/>
      <c r="E2175" s="55"/>
      <c r="F2175" s="55"/>
      <c r="G2175" s="55"/>
      <c r="H2175" s="55"/>
      <c r="I2175" s="55"/>
      <c r="J2175" s="55"/>
      <c r="K2175" s="56"/>
      <c r="L2175" s="55"/>
      <c r="M2175" s="55"/>
      <c r="N2175" s="55"/>
      <c r="O2175" s="55"/>
      <c r="P2175" s="55"/>
      <c r="Q2175" s="55"/>
      <c r="R2175" s="57"/>
      <c r="S2175" s="58"/>
    </row>
    <row r="2176" spans="1:19" x14ac:dyDescent="0.25">
      <c r="A2176" s="51" t="str">
        <f>(COUNTIF($K$2:K2176,K2176))&amp;K2176</f>
        <v>1</v>
      </c>
      <c r="B2176" s="52"/>
      <c r="C2176" s="53"/>
      <c r="D2176" s="54"/>
      <c r="E2176" s="55"/>
      <c r="F2176" s="55"/>
      <c r="G2176" s="55"/>
      <c r="H2176" s="55"/>
      <c r="I2176" s="55"/>
      <c r="J2176" s="55"/>
      <c r="K2176" s="56"/>
      <c r="L2176" s="55"/>
      <c r="M2176" s="55"/>
      <c r="N2176" s="55"/>
      <c r="O2176" s="55"/>
      <c r="P2176" s="55"/>
      <c r="Q2176" s="55"/>
      <c r="R2176" s="57"/>
      <c r="S2176" s="58"/>
    </row>
    <row r="2177" spans="1:19" x14ac:dyDescent="0.25">
      <c r="A2177" s="51" t="str">
        <f>(COUNTIF($K$2:K2177,K2177))&amp;K2177</f>
        <v>1</v>
      </c>
      <c r="B2177" s="52"/>
      <c r="C2177" s="60"/>
      <c r="E2177" s="61"/>
      <c r="F2177" s="62"/>
      <c r="G2177" s="63"/>
      <c r="H2177" s="64"/>
      <c r="I2177" s="64"/>
      <c r="J2177" s="64"/>
      <c r="K2177" s="65"/>
      <c r="L2177" s="64"/>
      <c r="M2177" s="64"/>
      <c r="N2177" s="64"/>
      <c r="P2177" s="63"/>
      <c r="Q2177" s="61"/>
      <c r="R2177" s="64"/>
      <c r="S2177" s="64"/>
    </row>
    <row r="2178" spans="1:19" x14ac:dyDescent="0.25">
      <c r="A2178" s="51" t="str">
        <f>(COUNTIF($K$2:K2178,K2178))&amp;K2178</f>
        <v>1</v>
      </c>
      <c r="B2178" s="52"/>
      <c r="C2178" s="53"/>
      <c r="D2178" s="54"/>
      <c r="E2178" s="55"/>
      <c r="F2178" s="55"/>
      <c r="G2178" s="55"/>
      <c r="H2178" s="55"/>
      <c r="I2178" s="55"/>
      <c r="J2178" s="55"/>
      <c r="K2178" s="56"/>
      <c r="L2178" s="55"/>
      <c r="M2178" s="55"/>
      <c r="N2178" s="55"/>
      <c r="O2178" s="55"/>
      <c r="P2178" s="55"/>
      <c r="Q2178" s="55"/>
      <c r="R2178" s="57"/>
      <c r="S2178" s="58"/>
    </row>
    <row r="2179" spans="1:19" x14ac:dyDescent="0.25">
      <c r="A2179" s="51" t="str">
        <f>(COUNTIF($K$2:K2179,K2179))&amp;K2179</f>
        <v>1</v>
      </c>
      <c r="B2179" s="52"/>
      <c r="C2179" s="53"/>
      <c r="D2179" s="54"/>
      <c r="E2179" s="55"/>
      <c r="F2179" s="55"/>
      <c r="G2179" s="55"/>
      <c r="H2179" s="55"/>
      <c r="I2179" s="55"/>
      <c r="J2179" s="55"/>
      <c r="K2179" s="56"/>
      <c r="L2179" s="55"/>
      <c r="M2179" s="55"/>
      <c r="N2179" s="55"/>
      <c r="O2179" s="55"/>
      <c r="P2179" s="55"/>
      <c r="Q2179" s="55"/>
      <c r="R2179" s="57"/>
      <c r="S2179" s="58"/>
    </row>
    <row r="2180" spans="1:19" x14ac:dyDescent="0.25">
      <c r="A2180" s="51" t="str">
        <f>(COUNTIF($K$2:K2180,K2180))&amp;K2180</f>
        <v>1</v>
      </c>
      <c r="B2180" s="52"/>
      <c r="C2180" s="53"/>
      <c r="D2180" s="54"/>
      <c r="E2180" s="55"/>
      <c r="F2180" s="55"/>
      <c r="G2180" s="55"/>
      <c r="H2180" s="55"/>
      <c r="I2180" s="55"/>
      <c r="J2180" s="55"/>
      <c r="K2180" s="56"/>
      <c r="L2180" s="55"/>
      <c r="M2180" s="55"/>
      <c r="N2180" s="55"/>
      <c r="O2180" s="55"/>
      <c r="P2180" s="55"/>
      <c r="Q2180" s="55"/>
      <c r="R2180" s="57"/>
      <c r="S2180" s="58"/>
    </row>
    <row r="2181" spans="1:19" x14ac:dyDescent="0.25">
      <c r="A2181" s="51" t="str">
        <f>(COUNTIF($K$2:K2181,K2181))&amp;K2181</f>
        <v>1</v>
      </c>
      <c r="B2181" s="52"/>
      <c r="C2181" s="53"/>
      <c r="D2181" s="54"/>
      <c r="E2181" s="55"/>
      <c r="F2181" s="55"/>
      <c r="G2181" s="55"/>
      <c r="H2181" s="55"/>
      <c r="I2181" s="55"/>
      <c r="J2181" s="55"/>
      <c r="K2181" s="56"/>
      <c r="L2181" s="55"/>
      <c r="M2181" s="55"/>
      <c r="N2181" s="55"/>
      <c r="O2181" s="55"/>
      <c r="P2181" s="55"/>
      <c r="Q2181" s="55"/>
      <c r="R2181" s="57"/>
      <c r="S2181" s="58"/>
    </row>
    <row r="2182" spans="1:19" x14ac:dyDescent="0.25">
      <c r="A2182" s="51" t="str">
        <f>(COUNTIF($K$2:K2182,K2182))&amp;K2182</f>
        <v>1</v>
      </c>
      <c r="B2182" s="52"/>
      <c r="C2182" s="53"/>
      <c r="D2182" s="54"/>
      <c r="E2182" s="55"/>
      <c r="F2182" s="55"/>
      <c r="G2182" s="55"/>
      <c r="H2182" s="55"/>
      <c r="I2182" s="55"/>
      <c r="J2182" s="55"/>
      <c r="K2182" s="56"/>
      <c r="L2182" s="55"/>
      <c r="M2182" s="55"/>
      <c r="N2182" s="55"/>
      <c r="O2182" s="55"/>
      <c r="P2182" s="55"/>
      <c r="Q2182" s="55"/>
      <c r="R2182" s="57"/>
      <c r="S2182" s="58"/>
    </row>
    <row r="2183" spans="1:19" x14ac:dyDescent="0.25">
      <c r="A2183" s="51" t="str">
        <f>(COUNTIF($K$2:K2183,K2183))&amp;K2183</f>
        <v>1</v>
      </c>
      <c r="B2183" s="52"/>
      <c r="C2183" s="53"/>
      <c r="D2183" s="54"/>
      <c r="E2183" s="55"/>
      <c r="F2183" s="55"/>
      <c r="G2183" s="55"/>
      <c r="H2183" s="55"/>
      <c r="I2183" s="55"/>
      <c r="J2183" s="55"/>
      <c r="K2183" s="56"/>
      <c r="L2183" s="55"/>
      <c r="M2183" s="55"/>
      <c r="N2183" s="55"/>
      <c r="O2183" s="55"/>
      <c r="P2183" s="55"/>
      <c r="Q2183" s="55"/>
      <c r="R2183" s="57"/>
      <c r="S2183" s="58"/>
    </row>
    <row r="2184" spans="1:19" x14ac:dyDescent="0.25">
      <c r="A2184" s="51" t="str">
        <f>(COUNTIF($K$2:K2184,K2184))&amp;K2184</f>
        <v>1</v>
      </c>
      <c r="B2184" s="52"/>
      <c r="C2184" s="53"/>
      <c r="D2184" s="54"/>
      <c r="E2184" s="55"/>
      <c r="F2184" s="55"/>
      <c r="G2184" s="55"/>
      <c r="H2184" s="55"/>
      <c r="I2184" s="55"/>
      <c r="J2184" s="55"/>
      <c r="K2184" s="56"/>
      <c r="L2184" s="55"/>
      <c r="M2184" s="55"/>
      <c r="N2184" s="55"/>
      <c r="O2184" s="55"/>
      <c r="P2184" s="55"/>
      <c r="Q2184" s="55"/>
      <c r="R2184" s="57"/>
      <c r="S2184" s="58"/>
    </row>
    <row r="2185" spans="1:19" x14ac:dyDescent="0.25">
      <c r="A2185" s="51" t="str">
        <f>(COUNTIF($K$2:K2185,K2185))&amp;K2185</f>
        <v>1</v>
      </c>
      <c r="B2185" s="52"/>
      <c r="C2185" s="53"/>
      <c r="D2185" s="54"/>
      <c r="E2185" s="55"/>
      <c r="F2185" s="55"/>
      <c r="G2185" s="55"/>
      <c r="H2185" s="55"/>
      <c r="I2185" s="55"/>
      <c r="J2185" s="55"/>
      <c r="K2185" s="56"/>
      <c r="L2185" s="55"/>
      <c r="M2185" s="55"/>
      <c r="N2185" s="55"/>
      <c r="O2185" s="55"/>
      <c r="P2185" s="55"/>
      <c r="Q2185" s="55"/>
      <c r="R2185" s="57"/>
      <c r="S2185" s="58"/>
    </row>
    <row r="2186" spans="1:19" ht="15.75" x14ac:dyDescent="0.25">
      <c r="A2186" s="51" t="str">
        <f>(COUNTIF($K$2:K2186,K2186))&amp;K2186</f>
        <v>1</v>
      </c>
      <c r="B2186" s="52"/>
      <c r="C2186" s="53"/>
      <c r="D2186" s="54"/>
      <c r="E2186" s="55"/>
      <c r="F2186" s="55"/>
      <c r="G2186" s="55"/>
      <c r="H2186" s="55"/>
      <c r="I2186" s="55"/>
      <c r="J2186" s="55"/>
      <c r="K2186" s="59"/>
      <c r="L2186" s="55"/>
      <c r="M2186" s="55"/>
      <c r="N2186" s="55"/>
      <c r="O2186" s="55"/>
      <c r="P2186" s="55"/>
      <c r="Q2186" s="55"/>
      <c r="R2186" s="57"/>
      <c r="S2186" s="58"/>
    </row>
    <row r="2187" spans="1:19" x14ac:dyDescent="0.25">
      <c r="A2187" s="51" t="str">
        <f>(COUNTIF($K$2:K2187,K2187))&amp;K2187</f>
        <v>1</v>
      </c>
      <c r="B2187" s="52"/>
      <c r="C2187" s="53"/>
      <c r="D2187" s="54"/>
      <c r="E2187" s="55"/>
      <c r="F2187" s="55"/>
      <c r="G2187" s="55"/>
      <c r="H2187" s="55"/>
      <c r="I2187" s="55"/>
      <c r="J2187" s="55"/>
      <c r="K2187" s="56"/>
      <c r="L2187" s="55"/>
      <c r="M2187" s="55"/>
      <c r="N2187" s="55"/>
      <c r="O2187" s="55"/>
      <c r="P2187" s="55"/>
      <c r="Q2187" s="55"/>
      <c r="R2187" s="57"/>
      <c r="S2187" s="58"/>
    </row>
    <row r="2188" spans="1:19" x14ac:dyDescent="0.25">
      <c r="A2188" s="51" t="str">
        <f>(COUNTIF($K$2:K2188,K2188))&amp;K2188</f>
        <v>1</v>
      </c>
      <c r="B2188" s="52"/>
      <c r="C2188" s="53"/>
      <c r="D2188" s="54"/>
      <c r="E2188" s="55"/>
      <c r="F2188" s="55"/>
      <c r="G2188" s="55"/>
      <c r="H2188" s="55"/>
      <c r="I2188" s="55"/>
      <c r="J2188" s="55"/>
      <c r="K2188" s="56"/>
      <c r="L2188" s="55"/>
      <c r="M2188" s="55"/>
      <c r="N2188" s="55"/>
      <c r="O2188" s="55"/>
      <c r="P2188" s="55"/>
      <c r="Q2188" s="55"/>
      <c r="R2188" s="57"/>
      <c r="S2188" s="58"/>
    </row>
    <row r="2189" spans="1:19" x14ac:dyDescent="0.25">
      <c r="A2189" s="51" t="str">
        <f>(COUNTIF($K$2:K2189,K2189))&amp;K2189</f>
        <v>1</v>
      </c>
      <c r="B2189" s="52"/>
      <c r="C2189" s="53"/>
      <c r="D2189" s="54"/>
      <c r="E2189" s="55"/>
      <c r="F2189" s="55"/>
      <c r="G2189" s="55"/>
      <c r="H2189" s="55"/>
      <c r="I2189" s="55"/>
      <c r="J2189" s="55"/>
      <c r="K2189" s="56"/>
      <c r="L2189" s="55"/>
      <c r="M2189" s="55"/>
      <c r="N2189" s="55"/>
      <c r="O2189" s="55"/>
      <c r="P2189" s="55"/>
      <c r="Q2189" s="55"/>
      <c r="R2189" s="57"/>
      <c r="S2189" s="58"/>
    </row>
    <row r="2190" spans="1:19" x14ac:dyDescent="0.25">
      <c r="A2190" s="51" t="str">
        <f>(COUNTIF($K$2:K2190,K2190))&amp;K2190</f>
        <v>1</v>
      </c>
      <c r="B2190" s="52"/>
      <c r="C2190" s="53"/>
      <c r="D2190" s="54"/>
      <c r="E2190" s="55"/>
      <c r="F2190" s="55"/>
      <c r="G2190" s="55"/>
      <c r="H2190" s="55"/>
      <c r="I2190" s="55"/>
      <c r="J2190" s="55"/>
      <c r="K2190" s="56"/>
      <c r="L2190" s="55"/>
      <c r="M2190" s="55"/>
      <c r="N2190" s="55"/>
      <c r="O2190" s="55"/>
      <c r="P2190" s="55"/>
      <c r="Q2190" s="55"/>
      <c r="R2190" s="57"/>
      <c r="S2190" s="58"/>
    </row>
    <row r="2191" spans="1:19" x14ac:dyDescent="0.25">
      <c r="A2191" s="51" t="str">
        <f>(COUNTIF($K$2:K2191,K2191))&amp;K2191</f>
        <v>1</v>
      </c>
      <c r="B2191" s="52"/>
      <c r="C2191" s="53"/>
      <c r="D2191" s="54"/>
      <c r="E2191" s="55"/>
      <c r="F2191" s="55"/>
      <c r="G2191" s="55"/>
      <c r="H2191" s="55"/>
      <c r="I2191" s="55"/>
      <c r="J2191" s="55"/>
      <c r="K2191" s="56"/>
      <c r="L2191" s="55"/>
      <c r="M2191" s="55"/>
      <c r="N2191" s="55"/>
      <c r="O2191" s="55"/>
      <c r="P2191" s="55"/>
      <c r="Q2191" s="55"/>
      <c r="R2191" s="57"/>
      <c r="S2191" s="58"/>
    </row>
    <row r="2192" spans="1:19" x14ac:dyDescent="0.25">
      <c r="A2192" s="51" t="str">
        <f>(COUNTIF($K$2:K2192,K2192))&amp;K2192</f>
        <v>1</v>
      </c>
      <c r="B2192" s="52"/>
      <c r="C2192" s="53"/>
      <c r="D2192" s="54"/>
      <c r="E2192" s="55"/>
      <c r="F2192" s="55"/>
      <c r="G2192" s="55"/>
      <c r="H2192" s="55"/>
      <c r="I2192" s="55"/>
      <c r="J2192" s="55"/>
      <c r="K2192" s="56"/>
      <c r="L2192" s="55"/>
      <c r="M2192" s="55"/>
      <c r="N2192" s="55"/>
      <c r="O2192" s="55"/>
      <c r="P2192" s="55"/>
      <c r="Q2192" s="55"/>
      <c r="R2192" s="57"/>
      <c r="S2192" s="58"/>
    </row>
    <row r="2193" spans="1:19" x14ac:dyDescent="0.25">
      <c r="A2193" s="51" t="str">
        <f>(COUNTIF($K$2:K2193,K2193))&amp;K2193</f>
        <v>1</v>
      </c>
      <c r="B2193" s="52"/>
      <c r="C2193" s="53"/>
      <c r="D2193" s="54"/>
      <c r="E2193" s="55"/>
      <c r="F2193" s="55"/>
      <c r="G2193" s="55"/>
      <c r="H2193" s="55"/>
      <c r="I2193" s="55"/>
      <c r="J2193" s="55"/>
      <c r="K2193" s="56"/>
      <c r="L2193" s="55"/>
      <c r="M2193" s="55"/>
      <c r="N2193" s="55"/>
      <c r="O2193" s="55"/>
      <c r="P2193" s="55"/>
      <c r="Q2193" s="55"/>
      <c r="R2193" s="57"/>
      <c r="S2193" s="58"/>
    </row>
    <row r="2194" spans="1:19" x14ac:dyDescent="0.25">
      <c r="A2194" s="51" t="str">
        <f>(COUNTIF($K$2:K2194,K2194))&amp;K2194</f>
        <v>1</v>
      </c>
      <c r="B2194" s="52"/>
      <c r="C2194" s="60"/>
      <c r="E2194" s="61"/>
      <c r="F2194" s="62"/>
      <c r="G2194" s="63"/>
      <c r="H2194" s="64"/>
      <c r="I2194" s="64"/>
      <c r="J2194" s="64"/>
      <c r="K2194" s="65"/>
      <c r="L2194" s="64"/>
      <c r="M2194" s="64"/>
      <c r="N2194" s="64"/>
      <c r="P2194" s="63"/>
      <c r="Q2194" s="61"/>
      <c r="R2194" s="64"/>
      <c r="S2194" s="64"/>
    </row>
    <row r="2195" spans="1:19" x14ac:dyDescent="0.25">
      <c r="A2195" s="51" t="str">
        <f>(COUNTIF($K$2:K2195,K2195))&amp;K2195</f>
        <v>1</v>
      </c>
      <c r="B2195" s="52"/>
      <c r="C2195" s="53"/>
      <c r="D2195" s="54"/>
      <c r="E2195" s="55"/>
      <c r="F2195" s="55"/>
      <c r="G2195" s="55"/>
      <c r="H2195" s="55"/>
      <c r="I2195" s="55"/>
      <c r="J2195" s="55"/>
      <c r="K2195" s="56"/>
      <c r="L2195" s="55"/>
      <c r="M2195" s="55"/>
      <c r="N2195" s="55"/>
      <c r="O2195" s="55"/>
      <c r="P2195" s="55"/>
      <c r="Q2195" s="55"/>
      <c r="R2195" s="57"/>
      <c r="S2195" s="58"/>
    </row>
    <row r="2196" spans="1:19" x14ac:dyDescent="0.25">
      <c r="A2196" s="51" t="str">
        <f>(COUNTIF($K$2:K2196,K2196))&amp;K2196</f>
        <v>1</v>
      </c>
      <c r="B2196" s="52"/>
      <c r="C2196" s="53"/>
      <c r="D2196" s="54"/>
      <c r="E2196" s="55"/>
      <c r="F2196" s="55"/>
      <c r="G2196" s="55"/>
      <c r="H2196" s="55"/>
      <c r="I2196" s="55"/>
      <c r="J2196" s="55"/>
      <c r="K2196" s="56"/>
      <c r="L2196" s="55"/>
      <c r="M2196" s="55"/>
      <c r="N2196" s="55"/>
      <c r="O2196" s="55"/>
      <c r="P2196" s="55"/>
      <c r="Q2196" s="55"/>
      <c r="R2196" s="57"/>
      <c r="S2196" s="58"/>
    </row>
    <row r="2197" spans="1:19" x14ac:dyDescent="0.25">
      <c r="A2197" s="51" t="str">
        <f>(COUNTIF($K$2:K2197,K2197))&amp;K2197</f>
        <v>1</v>
      </c>
      <c r="B2197" s="52"/>
      <c r="C2197" s="53"/>
      <c r="D2197" s="54"/>
      <c r="E2197" s="55"/>
      <c r="F2197" s="55"/>
      <c r="G2197" s="55"/>
      <c r="H2197" s="55"/>
      <c r="I2197" s="55"/>
      <c r="J2197" s="55"/>
      <c r="K2197" s="56"/>
      <c r="L2197" s="55"/>
      <c r="M2197" s="55"/>
      <c r="N2197" s="55"/>
      <c r="O2197" s="55"/>
      <c r="P2197" s="55"/>
      <c r="Q2197" s="55"/>
      <c r="R2197" s="57"/>
      <c r="S2197" s="58"/>
    </row>
    <row r="2198" spans="1:19" x14ac:dyDescent="0.25">
      <c r="A2198" s="51" t="str">
        <f>(COUNTIF($K$2:K2198,K2198))&amp;K2198</f>
        <v>1</v>
      </c>
      <c r="B2198" s="52"/>
      <c r="C2198" s="53"/>
      <c r="D2198" s="54"/>
      <c r="E2198" s="55"/>
      <c r="F2198" s="55"/>
      <c r="G2198" s="55"/>
      <c r="H2198" s="55"/>
      <c r="I2198" s="55"/>
      <c r="J2198" s="55"/>
      <c r="K2198" s="56"/>
      <c r="L2198" s="55"/>
      <c r="M2198" s="55"/>
      <c r="N2198" s="55"/>
      <c r="O2198" s="55"/>
      <c r="P2198" s="55"/>
      <c r="Q2198" s="55"/>
      <c r="R2198" s="57"/>
      <c r="S2198" s="58"/>
    </row>
    <row r="2199" spans="1:19" x14ac:dyDescent="0.25">
      <c r="A2199" s="51" t="str">
        <f>(COUNTIF($K$2:K2199,K2199))&amp;K2199</f>
        <v>1</v>
      </c>
      <c r="B2199" s="52"/>
      <c r="C2199" s="53"/>
      <c r="D2199" s="54"/>
      <c r="E2199" s="55"/>
      <c r="F2199" s="55"/>
      <c r="G2199" s="55"/>
      <c r="H2199" s="55"/>
      <c r="I2199" s="55"/>
      <c r="J2199" s="55"/>
      <c r="K2199" s="56"/>
      <c r="L2199" s="55"/>
      <c r="M2199" s="55"/>
      <c r="N2199" s="55"/>
      <c r="O2199" s="55"/>
      <c r="P2199" s="55"/>
      <c r="Q2199" s="55"/>
      <c r="R2199" s="57"/>
      <c r="S2199" s="58"/>
    </row>
    <row r="2200" spans="1:19" x14ac:dyDescent="0.25">
      <c r="A2200" s="51" t="str">
        <f>(COUNTIF($K$2:K2200,K2200))&amp;K2200</f>
        <v>1</v>
      </c>
      <c r="B2200" s="52"/>
      <c r="C2200" s="53"/>
      <c r="D2200" s="54"/>
      <c r="E2200" s="55"/>
      <c r="F2200" s="55"/>
      <c r="G2200" s="55"/>
      <c r="H2200" s="55"/>
      <c r="I2200" s="55"/>
      <c r="J2200" s="55"/>
      <c r="K2200" s="56"/>
      <c r="L2200" s="55"/>
      <c r="M2200" s="55"/>
      <c r="N2200" s="55"/>
      <c r="O2200" s="55"/>
      <c r="P2200" s="55"/>
      <c r="Q2200" s="55"/>
      <c r="R2200" s="57"/>
      <c r="S2200" s="58"/>
    </row>
    <row r="2201" spans="1:19" x14ac:dyDescent="0.25">
      <c r="A2201" s="51" t="str">
        <f>(COUNTIF($K$2:K2201,K2201))&amp;K2201</f>
        <v>1</v>
      </c>
      <c r="B2201" s="52"/>
      <c r="C2201" s="53"/>
      <c r="D2201" s="54"/>
      <c r="E2201" s="55"/>
      <c r="F2201" s="55"/>
      <c r="G2201" s="55"/>
      <c r="H2201" s="55"/>
      <c r="I2201" s="55"/>
      <c r="J2201" s="55"/>
      <c r="K2201" s="56"/>
      <c r="L2201" s="55"/>
      <c r="M2201" s="55"/>
      <c r="N2201" s="55"/>
      <c r="O2201" s="55"/>
      <c r="P2201" s="55"/>
      <c r="Q2201" s="55"/>
      <c r="R2201" s="57"/>
      <c r="S2201" s="58"/>
    </row>
    <row r="2202" spans="1:19" x14ac:dyDescent="0.25">
      <c r="A2202" s="51" t="str">
        <f>(COUNTIF($K$2:K2202,K2202))&amp;K2202</f>
        <v>1</v>
      </c>
      <c r="B2202" s="52"/>
      <c r="C2202" s="53"/>
      <c r="D2202" s="54"/>
      <c r="E2202" s="55"/>
      <c r="F2202" s="55"/>
      <c r="G2202" s="55"/>
      <c r="H2202" s="55"/>
      <c r="I2202" s="55"/>
      <c r="J2202" s="55"/>
      <c r="K2202" s="56"/>
      <c r="L2202" s="55"/>
      <c r="M2202" s="55"/>
      <c r="N2202" s="55"/>
      <c r="O2202" s="55"/>
      <c r="P2202" s="55"/>
      <c r="Q2202" s="55"/>
      <c r="R2202" s="57"/>
      <c r="S2202" s="58"/>
    </row>
    <row r="2203" spans="1:19" ht="15.75" x14ac:dyDescent="0.25">
      <c r="A2203" s="51" t="str">
        <f>(COUNTIF($K$2:K2203,K2203))&amp;K2203</f>
        <v>1</v>
      </c>
      <c r="B2203" s="52"/>
      <c r="C2203" s="53"/>
      <c r="D2203" s="54"/>
      <c r="E2203" s="55"/>
      <c r="F2203" s="55"/>
      <c r="G2203" s="55"/>
      <c r="H2203" s="55"/>
      <c r="I2203" s="55"/>
      <c r="J2203" s="55"/>
      <c r="K2203" s="59"/>
      <c r="L2203" s="55"/>
      <c r="M2203" s="55"/>
      <c r="N2203" s="55"/>
      <c r="O2203" s="55"/>
      <c r="P2203" s="55"/>
      <c r="Q2203" s="55"/>
      <c r="R2203" s="57"/>
      <c r="S2203" s="58"/>
    </row>
    <row r="2204" spans="1:19" x14ac:dyDescent="0.25">
      <c r="A2204" s="51" t="str">
        <f>(COUNTIF($K$2:K2204,K2204))&amp;K2204</f>
        <v>1</v>
      </c>
      <c r="B2204" s="52"/>
      <c r="C2204" s="53"/>
      <c r="D2204" s="54"/>
      <c r="E2204" s="55"/>
      <c r="F2204" s="55"/>
      <c r="G2204" s="55"/>
      <c r="H2204" s="55"/>
      <c r="I2204" s="55"/>
      <c r="J2204" s="55"/>
      <c r="K2204" s="56"/>
      <c r="L2204" s="55"/>
      <c r="M2204" s="55"/>
      <c r="N2204" s="55"/>
      <c r="O2204" s="55"/>
      <c r="P2204" s="55"/>
      <c r="Q2204" s="55"/>
      <c r="R2204" s="57"/>
      <c r="S2204" s="58"/>
    </row>
    <row r="2205" spans="1:19" x14ac:dyDescent="0.25">
      <c r="A2205" s="51" t="str">
        <f>(COUNTIF($K$2:K2205,K2205))&amp;K2205</f>
        <v>1</v>
      </c>
      <c r="B2205" s="52"/>
      <c r="C2205" s="53"/>
      <c r="D2205" s="54"/>
      <c r="E2205" s="55"/>
      <c r="F2205" s="55"/>
      <c r="G2205" s="55"/>
      <c r="H2205" s="55"/>
      <c r="I2205" s="55"/>
      <c r="J2205" s="55"/>
      <c r="K2205" s="56"/>
      <c r="L2205" s="55"/>
      <c r="M2205" s="55"/>
      <c r="N2205" s="55"/>
      <c r="O2205" s="55"/>
      <c r="P2205" s="55"/>
      <c r="Q2205" s="55"/>
      <c r="R2205" s="57"/>
      <c r="S2205" s="58"/>
    </row>
    <row r="2206" spans="1:19" x14ac:dyDescent="0.25">
      <c r="A2206" s="51" t="str">
        <f>(COUNTIF($K$2:K2206,K2206))&amp;K2206</f>
        <v>1</v>
      </c>
      <c r="B2206" s="52"/>
      <c r="C2206" s="53"/>
      <c r="D2206" s="54"/>
      <c r="E2206" s="55"/>
      <c r="F2206" s="55"/>
      <c r="G2206" s="55"/>
      <c r="H2206" s="55"/>
      <c r="I2206" s="55"/>
      <c r="J2206" s="55"/>
      <c r="K2206" s="56"/>
      <c r="L2206" s="55"/>
      <c r="M2206" s="55"/>
      <c r="N2206" s="55"/>
      <c r="O2206" s="55"/>
      <c r="P2206" s="55"/>
      <c r="Q2206" s="55"/>
      <c r="R2206" s="57"/>
      <c r="S2206" s="58"/>
    </row>
    <row r="2207" spans="1:19" x14ac:dyDescent="0.25">
      <c r="A2207" s="51" t="str">
        <f>(COUNTIF($K$2:K2207,K2207))&amp;K2207</f>
        <v>1</v>
      </c>
      <c r="B2207" s="52"/>
      <c r="C2207" s="53"/>
      <c r="D2207" s="54"/>
      <c r="E2207" s="55"/>
      <c r="F2207" s="55"/>
      <c r="G2207" s="55"/>
      <c r="H2207" s="55"/>
      <c r="I2207" s="55"/>
      <c r="J2207" s="55"/>
      <c r="K2207" s="56"/>
      <c r="L2207" s="55"/>
      <c r="M2207" s="55"/>
      <c r="N2207" s="55"/>
      <c r="O2207" s="55"/>
      <c r="P2207" s="55"/>
      <c r="Q2207" s="55"/>
      <c r="R2207" s="57"/>
      <c r="S2207" s="58"/>
    </row>
    <row r="2208" spans="1:19" x14ac:dyDescent="0.25">
      <c r="A2208" s="51" t="str">
        <f>(COUNTIF($K$2:K2208,K2208))&amp;K2208</f>
        <v>1</v>
      </c>
      <c r="B2208" s="52"/>
      <c r="C2208" s="53"/>
      <c r="D2208" s="54"/>
      <c r="E2208" s="55"/>
      <c r="F2208" s="55"/>
      <c r="G2208" s="55"/>
      <c r="H2208" s="55"/>
      <c r="I2208" s="55"/>
      <c r="J2208" s="55"/>
      <c r="K2208" s="56"/>
      <c r="L2208" s="55"/>
      <c r="M2208" s="55"/>
      <c r="N2208" s="55"/>
      <c r="O2208" s="55"/>
      <c r="P2208" s="55"/>
      <c r="Q2208" s="55"/>
      <c r="R2208" s="57"/>
      <c r="S2208" s="58"/>
    </row>
    <row r="2209" spans="1:19" x14ac:dyDescent="0.25">
      <c r="A2209" s="51" t="str">
        <f>(COUNTIF($K$2:K2209,K2209))&amp;K2209</f>
        <v>1</v>
      </c>
      <c r="B2209" s="52"/>
      <c r="C2209" s="53"/>
      <c r="D2209" s="54"/>
      <c r="E2209" s="55"/>
      <c r="F2209" s="55"/>
      <c r="G2209" s="55"/>
      <c r="H2209" s="55"/>
      <c r="I2209" s="55"/>
      <c r="J2209" s="55"/>
      <c r="K2209" s="56"/>
      <c r="L2209" s="55"/>
      <c r="M2209" s="55"/>
      <c r="N2209" s="55"/>
      <c r="O2209" s="55"/>
      <c r="P2209" s="55"/>
      <c r="Q2209" s="55"/>
      <c r="R2209" s="57"/>
      <c r="S2209" s="58"/>
    </row>
    <row r="2210" spans="1:19" x14ac:dyDescent="0.25">
      <c r="A2210" s="51" t="str">
        <f>(COUNTIF($K$2:K2210,K2210))&amp;K2210</f>
        <v>1</v>
      </c>
      <c r="B2210" s="52"/>
      <c r="C2210" s="53"/>
      <c r="D2210" s="54"/>
      <c r="E2210" s="55"/>
      <c r="F2210" s="55"/>
      <c r="G2210" s="55"/>
      <c r="H2210" s="55"/>
      <c r="I2210" s="55"/>
      <c r="J2210" s="55"/>
      <c r="K2210" s="56"/>
      <c r="L2210" s="55"/>
      <c r="M2210" s="55"/>
      <c r="N2210" s="55"/>
      <c r="O2210" s="55"/>
      <c r="P2210" s="55"/>
      <c r="Q2210" s="55"/>
      <c r="R2210" s="57"/>
      <c r="S2210" s="58"/>
    </row>
    <row r="2211" spans="1:19" x14ac:dyDescent="0.25">
      <c r="A2211" s="51" t="str">
        <f>(COUNTIF($K$2:K2211,K2211))&amp;K2211</f>
        <v>1</v>
      </c>
      <c r="B2211" s="52"/>
      <c r="C2211" s="60"/>
      <c r="E2211" s="61"/>
      <c r="F2211" s="62"/>
      <c r="G2211" s="63"/>
      <c r="H2211" s="64"/>
      <c r="I2211" s="64"/>
      <c r="J2211" s="64"/>
      <c r="K2211" s="65"/>
      <c r="L2211" s="64"/>
      <c r="M2211" s="64"/>
      <c r="N2211" s="64"/>
      <c r="P2211" s="63"/>
      <c r="Q2211" s="61"/>
      <c r="R2211" s="64"/>
      <c r="S2211" s="64"/>
    </row>
    <row r="2212" spans="1:19" x14ac:dyDescent="0.25">
      <c r="A2212" s="51" t="str">
        <f>(COUNTIF($K$2:K2212,K2212))&amp;K2212</f>
        <v>1</v>
      </c>
      <c r="B2212" s="52"/>
      <c r="C2212" s="53"/>
      <c r="D2212" s="54"/>
      <c r="E2212" s="55"/>
      <c r="F2212" s="55"/>
      <c r="G2212" s="55"/>
      <c r="H2212" s="55"/>
      <c r="I2212" s="55"/>
      <c r="J2212" s="55"/>
      <c r="K2212" s="56"/>
      <c r="L2212" s="55"/>
      <c r="M2212" s="55"/>
      <c r="N2212" s="55"/>
      <c r="O2212" s="55"/>
      <c r="P2212" s="55"/>
      <c r="Q2212" s="55"/>
      <c r="R2212" s="57"/>
      <c r="S2212" s="58"/>
    </row>
    <row r="2213" spans="1:19" x14ac:dyDescent="0.25">
      <c r="A2213" s="51" t="str">
        <f>(COUNTIF($K$2:K2213,K2213))&amp;K2213</f>
        <v>1</v>
      </c>
      <c r="B2213" s="52"/>
      <c r="C2213" s="53"/>
      <c r="D2213" s="54"/>
      <c r="E2213" s="55"/>
      <c r="F2213" s="55"/>
      <c r="G2213" s="55"/>
      <c r="H2213" s="55"/>
      <c r="I2213" s="55"/>
      <c r="J2213" s="55"/>
      <c r="K2213" s="56"/>
      <c r="L2213" s="55"/>
      <c r="M2213" s="55"/>
      <c r="N2213" s="55"/>
      <c r="O2213" s="55"/>
      <c r="P2213" s="55"/>
      <c r="Q2213" s="55"/>
      <c r="R2213" s="57"/>
      <c r="S2213" s="58"/>
    </row>
    <row r="2214" spans="1:19" x14ac:dyDescent="0.25">
      <c r="A2214" s="51" t="str">
        <f>(COUNTIF($K$2:K2214,K2214))&amp;K2214</f>
        <v>1</v>
      </c>
      <c r="B2214" s="52"/>
      <c r="C2214" s="53"/>
      <c r="D2214" s="54"/>
      <c r="E2214" s="55"/>
      <c r="F2214" s="55"/>
      <c r="G2214" s="55"/>
      <c r="H2214" s="55"/>
      <c r="I2214" s="55"/>
      <c r="J2214" s="55"/>
      <c r="K2214" s="56"/>
      <c r="L2214" s="55"/>
      <c r="M2214" s="55"/>
      <c r="N2214" s="55"/>
      <c r="O2214" s="55"/>
      <c r="P2214" s="55"/>
      <c r="Q2214" s="55"/>
      <c r="R2214" s="57"/>
      <c r="S2214" s="58"/>
    </row>
    <row r="2215" spans="1:19" x14ac:dyDescent="0.25">
      <c r="A2215" s="51" t="str">
        <f>(COUNTIF($K$2:K2215,K2215))&amp;K2215</f>
        <v>1</v>
      </c>
      <c r="B2215" s="52"/>
      <c r="C2215" s="53"/>
      <c r="D2215" s="54"/>
      <c r="E2215" s="55"/>
      <c r="F2215" s="55"/>
      <c r="G2215" s="55"/>
      <c r="H2215" s="55"/>
      <c r="I2215" s="55"/>
      <c r="J2215" s="55"/>
      <c r="K2215" s="56"/>
      <c r="L2215" s="55"/>
      <c r="M2215" s="55"/>
      <c r="N2215" s="55"/>
      <c r="O2215" s="55"/>
      <c r="P2215" s="55"/>
      <c r="Q2215" s="55"/>
      <c r="R2215" s="57"/>
      <c r="S2215" s="58"/>
    </row>
    <row r="2216" spans="1:19" x14ac:dyDescent="0.25">
      <c r="A2216" s="51" t="str">
        <f>(COUNTIF($K$2:K2216,K2216))&amp;K2216</f>
        <v>1</v>
      </c>
      <c r="B2216" s="52"/>
      <c r="C2216" s="53"/>
      <c r="D2216" s="54"/>
      <c r="E2216" s="55"/>
      <c r="F2216" s="55"/>
      <c r="G2216" s="55"/>
      <c r="H2216" s="55"/>
      <c r="I2216" s="55"/>
      <c r="J2216" s="55"/>
      <c r="K2216" s="56"/>
      <c r="L2216" s="55"/>
      <c r="M2216" s="55"/>
      <c r="N2216" s="55"/>
      <c r="O2216" s="55"/>
      <c r="P2216" s="55"/>
      <c r="Q2216" s="55"/>
      <c r="R2216" s="57"/>
      <c r="S2216" s="58"/>
    </row>
    <row r="2217" spans="1:19" x14ac:dyDescent="0.25">
      <c r="A2217" s="51" t="str">
        <f>(COUNTIF($K$2:K2217,K2217))&amp;K2217</f>
        <v>1</v>
      </c>
      <c r="B2217" s="52"/>
      <c r="C2217" s="53"/>
      <c r="D2217" s="54"/>
      <c r="E2217" s="55"/>
      <c r="F2217" s="55"/>
      <c r="G2217" s="55"/>
      <c r="H2217" s="55"/>
      <c r="I2217" s="55"/>
      <c r="J2217" s="55"/>
      <c r="K2217" s="56"/>
      <c r="L2217" s="55"/>
      <c r="M2217" s="55"/>
      <c r="N2217" s="55"/>
      <c r="O2217" s="55"/>
      <c r="P2217" s="55"/>
      <c r="Q2217" s="55"/>
      <c r="R2217" s="57"/>
      <c r="S2217" s="58"/>
    </row>
    <row r="2218" spans="1:19" x14ac:dyDescent="0.25">
      <c r="A2218" s="51" t="str">
        <f>(COUNTIF($K$2:K2218,K2218))&amp;K2218</f>
        <v>1</v>
      </c>
      <c r="B2218" s="52"/>
      <c r="C2218" s="53"/>
      <c r="D2218" s="54"/>
      <c r="E2218" s="55"/>
      <c r="F2218" s="55"/>
      <c r="G2218" s="55"/>
      <c r="H2218" s="55"/>
      <c r="I2218" s="55"/>
      <c r="J2218" s="55"/>
      <c r="K2218" s="56"/>
      <c r="L2218" s="55"/>
      <c r="M2218" s="55"/>
      <c r="N2218" s="55"/>
      <c r="O2218" s="55"/>
      <c r="P2218" s="55"/>
      <c r="Q2218" s="55"/>
      <c r="R2218" s="57"/>
      <c r="S2218" s="58"/>
    </row>
    <row r="2219" spans="1:19" x14ac:dyDescent="0.25">
      <c r="A2219" s="51" t="str">
        <f>(COUNTIF($K$2:K2219,K2219))&amp;K2219</f>
        <v>1</v>
      </c>
      <c r="B2219" s="52"/>
      <c r="C2219" s="53"/>
      <c r="D2219" s="54"/>
      <c r="E2219" s="55"/>
      <c r="F2219" s="55"/>
      <c r="G2219" s="55"/>
      <c r="H2219" s="55"/>
      <c r="I2219" s="55"/>
      <c r="J2219" s="55"/>
      <c r="K2219" s="56"/>
      <c r="L2219" s="55"/>
      <c r="M2219" s="55"/>
      <c r="N2219" s="55"/>
      <c r="O2219" s="55"/>
      <c r="P2219" s="55"/>
      <c r="Q2219" s="55"/>
      <c r="R2219" s="57"/>
      <c r="S2219" s="58"/>
    </row>
    <row r="2220" spans="1:19" ht="15.75" x14ac:dyDescent="0.25">
      <c r="A2220" s="51" t="str">
        <f>(COUNTIF($K$2:K2220,K2220))&amp;K2220</f>
        <v>1</v>
      </c>
      <c r="B2220" s="52"/>
      <c r="C2220" s="53"/>
      <c r="D2220" s="54"/>
      <c r="E2220" s="55"/>
      <c r="F2220" s="55"/>
      <c r="G2220" s="55"/>
      <c r="H2220" s="55"/>
      <c r="I2220" s="55"/>
      <c r="J2220" s="55"/>
      <c r="K2220" s="59"/>
      <c r="L2220" s="55"/>
      <c r="M2220" s="55"/>
      <c r="N2220" s="55"/>
      <c r="O2220" s="55"/>
      <c r="P2220" s="55"/>
      <c r="Q2220" s="55"/>
      <c r="R2220" s="57"/>
      <c r="S2220" s="58"/>
    </row>
    <row r="2221" spans="1:19" x14ac:dyDescent="0.25">
      <c r="A2221" s="51" t="str">
        <f>(COUNTIF($K$2:K2221,K2221))&amp;K2221</f>
        <v>1</v>
      </c>
      <c r="B2221" s="52"/>
      <c r="C2221" s="53"/>
      <c r="D2221" s="54"/>
      <c r="E2221" s="55"/>
      <c r="F2221" s="55"/>
      <c r="G2221" s="55"/>
      <c r="H2221" s="55"/>
      <c r="I2221" s="55"/>
      <c r="J2221" s="55"/>
      <c r="K2221" s="56"/>
      <c r="L2221" s="55"/>
      <c r="M2221" s="55"/>
      <c r="N2221" s="55"/>
      <c r="O2221" s="55"/>
      <c r="P2221" s="55"/>
      <c r="Q2221" s="55"/>
      <c r="R2221" s="57"/>
      <c r="S2221" s="58"/>
    </row>
    <row r="2222" spans="1:19" x14ac:dyDescent="0.25">
      <c r="A2222" s="51" t="str">
        <f>(COUNTIF($K$2:K2222,K2222))&amp;K2222</f>
        <v>1</v>
      </c>
      <c r="B2222" s="52"/>
      <c r="C2222" s="53"/>
      <c r="D2222" s="54"/>
      <c r="E2222" s="55"/>
      <c r="F2222" s="55"/>
      <c r="G2222" s="55"/>
      <c r="H2222" s="55"/>
      <c r="I2222" s="55"/>
      <c r="J2222" s="55"/>
      <c r="K2222" s="56"/>
      <c r="L2222" s="55"/>
      <c r="M2222" s="55"/>
      <c r="N2222" s="55"/>
      <c r="O2222" s="55"/>
      <c r="P2222" s="55"/>
      <c r="Q2222" s="55"/>
      <c r="R2222" s="57"/>
      <c r="S2222" s="58"/>
    </row>
    <row r="2223" spans="1:19" x14ac:dyDescent="0.25">
      <c r="A2223" s="51" t="str">
        <f>(COUNTIF($K$2:K2223,K2223))&amp;K2223</f>
        <v>1</v>
      </c>
      <c r="B2223" s="52"/>
      <c r="C2223" s="53"/>
      <c r="D2223" s="54"/>
      <c r="E2223" s="55"/>
      <c r="F2223" s="55"/>
      <c r="G2223" s="55"/>
      <c r="H2223" s="55"/>
      <c r="I2223" s="55"/>
      <c r="J2223" s="55"/>
      <c r="K2223" s="56"/>
      <c r="L2223" s="55"/>
      <c r="M2223" s="55"/>
      <c r="N2223" s="55"/>
      <c r="O2223" s="55"/>
      <c r="P2223" s="55"/>
      <c r="Q2223" s="55"/>
      <c r="R2223" s="57"/>
      <c r="S2223" s="58"/>
    </row>
    <row r="2224" spans="1:19" x14ac:dyDescent="0.25">
      <c r="A2224" s="51" t="str">
        <f>(COUNTIF($K$2:K2224,K2224))&amp;K2224</f>
        <v>1</v>
      </c>
      <c r="B2224" s="52"/>
      <c r="C2224" s="53"/>
      <c r="D2224" s="54"/>
      <c r="E2224" s="55"/>
      <c r="F2224" s="55"/>
      <c r="G2224" s="55"/>
      <c r="H2224" s="55"/>
      <c r="I2224" s="55"/>
      <c r="J2224" s="55"/>
      <c r="K2224" s="56"/>
      <c r="L2224" s="55"/>
      <c r="M2224" s="55"/>
      <c r="N2224" s="55"/>
      <c r="O2224" s="55"/>
      <c r="P2224" s="55"/>
      <c r="Q2224" s="55"/>
      <c r="R2224" s="57"/>
      <c r="S2224" s="58"/>
    </row>
    <row r="2225" spans="1:19" x14ac:dyDescent="0.25">
      <c r="A2225" s="51" t="str">
        <f>(COUNTIF($K$2:K2225,K2225))&amp;K2225</f>
        <v>1</v>
      </c>
      <c r="B2225" s="52"/>
      <c r="C2225" s="53"/>
      <c r="D2225" s="54"/>
      <c r="E2225" s="55"/>
      <c r="F2225" s="55"/>
      <c r="G2225" s="55"/>
      <c r="H2225" s="55"/>
      <c r="I2225" s="55"/>
      <c r="J2225" s="55"/>
      <c r="K2225" s="56"/>
      <c r="L2225" s="55"/>
      <c r="M2225" s="55"/>
      <c r="N2225" s="55"/>
      <c r="O2225" s="55"/>
      <c r="P2225" s="55"/>
      <c r="Q2225" s="55"/>
      <c r="R2225" s="57"/>
      <c r="S2225" s="58"/>
    </row>
    <row r="2226" spans="1:19" x14ac:dyDescent="0.25">
      <c r="A2226" s="51" t="str">
        <f>(COUNTIF($K$2:K2226,K2226))&amp;K2226</f>
        <v>1</v>
      </c>
      <c r="B2226" s="52"/>
      <c r="C2226" s="53"/>
      <c r="D2226" s="54"/>
      <c r="E2226" s="55"/>
      <c r="F2226" s="55"/>
      <c r="G2226" s="55"/>
      <c r="H2226" s="55"/>
      <c r="I2226" s="55"/>
      <c r="J2226" s="55"/>
      <c r="K2226" s="56"/>
      <c r="L2226" s="55"/>
      <c r="M2226" s="55"/>
      <c r="N2226" s="55"/>
      <c r="O2226" s="55"/>
      <c r="P2226" s="55"/>
      <c r="Q2226" s="55"/>
      <c r="R2226" s="57"/>
      <c r="S2226" s="58"/>
    </row>
    <row r="2227" spans="1:19" x14ac:dyDescent="0.25">
      <c r="A2227" s="51" t="str">
        <f>(COUNTIF($K$2:K2227,K2227))&amp;K2227</f>
        <v>1</v>
      </c>
      <c r="B2227" s="52"/>
      <c r="C2227" s="53"/>
      <c r="D2227" s="54"/>
      <c r="E2227" s="55"/>
      <c r="F2227" s="55"/>
      <c r="G2227" s="55"/>
      <c r="H2227" s="55"/>
      <c r="I2227" s="55"/>
      <c r="J2227" s="55"/>
      <c r="K2227" s="56"/>
      <c r="L2227" s="55"/>
      <c r="M2227" s="55"/>
      <c r="N2227" s="55"/>
      <c r="O2227" s="55"/>
      <c r="P2227" s="55"/>
      <c r="Q2227" s="55"/>
      <c r="R2227" s="57"/>
      <c r="S2227" s="58"/>
    </row>
    <row r="2228" spans="1:19" x14ac:dyDescent="0.25">
      <c r="A2228" s="51" t="str">
        <f>(COUNTIF($K$2:K2228,K2228))&amp;K2228</f>
        <v>1</v>
      </c>
      <c r="B2228" s="52"/>
      <c r="C2228" s="60"/>
      <c r="E2228" s="61"/>
      <c r="F2228" s="62"/>
      <c r="G2228" s="63"/>
      <c r="H2228" s="64"/>
      <c r="I2228" s="64"/>
      <c r="J2228" s="64"/>
      <c r="K2228" s="65"/>
      <c r="L2228" s="64"/>
      <c r="M2228" s="64"/>
      <c r="N2228" s="64"/>
      <c r="P2228" s="63"/>
      <c r="Q2228" s="61"/>
      <c r="R2228" s="64"/>
      <c r="S2228" s="64"/>
    </row>
    <row r="2229" spans="1:19" x14ac:dyDescent="0.25">
      <c r="A2229" s="51" t="str">
        <f>(COUNTIF($K$2:K2229,K2229))&amp;K2229</f>
        <v>1</v>
      </c>
      <c r="B2229" s="52"/>
      <c r="C2229" s="53"/>
      <c r="D2229" s="54"/>
      <c r="E2229" s="55"/>
      <c r="F2229" s="55"/>
      <c r="G2229" s="55"/>
      <c r="H2229" s="55"/>
      <c r="I2229" s="55"/>
      <c r="J2229" s="55"/>
      <c r="K2229" s="56"/>
      <c r="L2229" s="55"/>
      <c r="M2229" s="55"/>
      <c r="N2229" s="55"/>
      <c r="O2229" s="55"/>
      <c r="P2229" s="55"/>
      <c r="Q2229" s="55"/>
      <c r="R2229" s="57"/>
      <c r="S2229" s="58"/>
    </row>
    <row r="2230" spans="1:19" x14ac:dyDescent="0.25">
      <c r="A2230" s="51" t="str">
        <f>(COUNTIF($K$2:K2230,K2230))&amp;K2230</f>
        <v>1</v>
      </c>
      <c r="B2230" s="52"/>
      <c r="C2230" s="53"/>
      <c r="D2230" s="54"/>
      <c r="E2230" s="55"/>
      <c r="F2230" s="55"/>
      <c r="G2230" s="55"/>
      <c r="H2230" s="55"/>
      <c r="I2230" s="55"/>
      <c r="J2230" s="55"/>
      <c r="K2230" s="56"/>
      <c r="L2230" s="55"/>
      <c r="M2230" s="55"/>
      <c r="N2230" s="55"/>
      <c r="O2230" s="55"/>
      <c r="P2230" s="55"/>
      <c r="Q2230" s="55"/>
      <c r="R2230" s="57"/>
      <c r="S2230" s="58"/>
    </row>
    <row r="2231" spans="1:19" x14ac:dyDescent="0.25">
      <c r="A2231" s="51" t="str">
        <f>(COUNTIF($K$2:K2231,K2231))&amp;K2231</f>
        <v>1</v>
      </c>
      <c r="B2231" s="52"/>
      <c r="C2231" s="53"/>
      <c r="D2231" s="54"/>
      <c r="E2231" s="55"/>
      <c r="F2231" s="55"/>
      <c r="G2231" s="55"/>
      <c r="H2231" s="55"/>
      <c r="I2231" s="55"/>
      <c r="J2231" s="55"/>
      <c r="K2231" s="56"/>
      <c r="L2231" s="55"/>
      <c r="M2231" s="55"/>
      <c r="N2231" s="55"/>
      <c r="O2231" s="55"/>
      <c r="P2231" s="55"/>
      <c r="Q2231" s="55"/>
      <c r="R2231" s="57"/>
      <c r="S2231" s="58"/>
    </row>
    <row r="2232" spans="1:19" x14ac:dyDescent="0.25">
      <c r="A2232" s="51" t="str">
        <f>(COUNTIF($K$2:K2232,K2232))&amp;K2232</f>
        <v>1</v>
      </c>
      <c r="B2232" s="52"/>
      <c r="C2232" s="53"/>
      <c r="D2232" s="54"/>
      <c r="E2232" s="55"/>
      <c r="F2232" s="55"/>
      <c r="G2232" s="55"/>
      <c r="H2232" s="55"/>
      <c r="I2232" s="55"/>
      <c r="J2232" s="55"/>
      <c r="K2232" s="56"/>
      <c r="L2232" s="55"/>
      <c r="M2232" s="55"/>
      <c r="N2232" s="55"/>
      <c r="O2232" s="55"/>
      <c r="P2232" s="55"/>
      <c r="Q2232" s="55"/>
      <c r="R2232" s="57"/>
      <c r="S2232" s="58"/>
    </row>
    <row r="2233" spans="1:19" x14ac:dyDescent="0.25">
      <c r="A2233" s="51" t="str">
        <f>(COUNTIF($K$2:K2233,K2233))&amp;K2233</f>
        <v>1</v>
      </c>
      <c r="B2233" s="52"/>
      <c r="C2233" s="53"/>
      <c r="D2233" s="54"/>
      <c r="E2233" s="55"/>
      <c r="F2233" s="55"/>
      <c r="G2233" s="55"/>
      <c r="H2233" s="55"/>
      <c r="I2233" s="55"/>
      <c r="J2233" s="55"/>
      <c r="K2233" s="56"/>
      <c r="L2233" s="55"/>
      <c r="M2233" s="55"/>
      <c r="N2233" s="55"/>
      <c r="O2233" s="55"/>
      <c r="P2233" s="55"/>
      <c r="Q2233" s="55"/>
      <c r="R2233" s="57"/>
      <c r="S2233" s="58"/>
    </row>
    <row r="2234" spans="1:19" x14ac:dyDescent="0.25">
      <c r="A2234" s="51" t="str">
        <f>(COUNTIF($K$2:K2234,K2234))&amp;K2234</f>
        <v>1</v>
      </c>
      <c r="B2234" s="52"/>
      <c r="C2234" s="53"/>
      <c r="D2234" s="54"/>
      <c r="E2234" s="55"/>
      <c r="F2234" s="55"/>
      <c r="G2234" s="55"/>
      <c r="H2234" s="55"/>
      <c r="I2234" s="55"/>
      <c r="J2234" s="55"/>
      <c r="K2234" s="56"/>
      <c r="L2234" s="55"/>
      <c r="M2234" s="55"/>
      <c r="N2234" s="55"/>
      <c r="O2234" s="55"/>
      <c r="P2234" s="55"/>
      <c r="Q2234" s="55"/>
      <c r="R2234" s="57"/>
      <c r="S2234" s="58"/>
    </row>
    <row r="2235" spans="1:19" x14ac:dyDescent="0.25">
      <c r="A2235" s="51" t="str">
        <f>(COUNTIF($K$2:K2235,K2235))&amp;K2235</f>
        <v>1</v>
      </c>
      <c r="B2235" s="52"/>
      <c r="C2235" s="53"/>
      <c r="D2235" s="54"/>
      <c r="E2235" s="55"/>
      <c r="F2235" s="55"/>
      <c r="G2235" s="55"/>
      <c r="H2235" s="55"/>
      <c r="I2235" s="55"/>
      <c r="J2235" s="55"/>
      <c r="K2235" s="56"/>
      <c r="L2235" s="55"/>
      <c r="M2235" s="55"/>
      <c r="N2235" s="55"/>
      <c r="O2235" s="55"/>
      <c r="P2235" s="55"/>
      <c r="Q2235" s="55"/>
      <c r="R2235" s="57"/>
      <c r="S2235" s="58"/>
    </row>
    <row r="2236" spans="1:19" x14ac:dyDescent="0.25">
      <c r="A2236" s="51" t="str">
        <f>(COUNTIF($K$2:K2236,K2236))&amp;K2236</f>
        <v>1</v>
      </c>
      <c r="B2236" s="52"/>
      <c r="C2236" s="53"/>
      <c r="D2236" s="54"/>
      <c r="E2236" s="55"/>
      <c r="F2236" s="55"/>
      <c r="G2236" s="55"/>
      <c r="H2236" s="55"/>
      <c r="I2236" s="55"/>
      <c r="J2236" s="55"/>
      <c r="K2236" s="56"/>
      <c r="L2236" s="55"/>
      <c r="M2236" s="55"/>
      <c r="N2236" s="55"/>
      <c r="O2236" s="55"/>
      <c r="P2236" s="55"/>
      <c r="Q2236" s="55"/>
      <c r="R2236" s="57"/>
      <c r="S2236" s="58"/>
    </row>
    <row r="2237" spans="1:19" ht="15.75" x14ac:dyDescent="0.25">
      <c r="A2237" s="51" t="str">
        <f>(COUNTIF($K$2:K2237,K2237))&amp;K2237</f>
        <v>1</v>
      </c>
      <c r="B2237" s="52"/>
      <c r="C2237" s="53"/>
      <c r="D2237" s="54"/>
      <c r="E2237" s="55"/>
      <c r="F2237" s="55"/>
      <c r="G2237" s="55"/>
      <c r="H2237" s="55"/>
      <c r="I2237" s="55"/>
      <c r="J2237" s="55"/>
      <c r="K2237" s="59"/>
      <c r="L2237" s="55"/>
      <c r="M2237" s="55"/>
      <c r="N2237" s="55"/>
      <c r="O2237" s="55"/>
      <c r="P2237" s="55"/>
      <c r="Q2237" s="55"/>
      <c r="R2237" s="57"/>
      <c r="S2237" s="58"/>
    </row>
    <row r="2238" spans="1:19" x14ac:dyDescent="0.25">
      <c r="A2238" s="51" t="str">
        <f>(COUNTIF($K$2:K2238,K2238))&amp;K2238</f>
        <v>1</v>
      </c>
      <c r="B2238" s="52"/>
      <c r="C2238" s="53"/>
      <c r="D2238" s="54"/>
      <c r="E2238" s="55"/>
      <c r="F2238" s="55"/>
      <c r="G2238" s="55"/>
      <c r="H2238" s="55"/>
      <c r="I2238" s="55"/>
      <c r="J2238" s="55"/>
      <c r="K2238" s="56"/>
      <c r="L2238" s="55"/>
      <c r="M2238" s="55"/>
      <c r="N2238" s="55"/>
      <c r="O2238" s="55"/>
      <c r="P2238" s="55"/>
      <c r="Q2238" s="55"/>
      <c r="R2238" s="57"/>
      <c r="S2238" s="58"/>
    </row>
    <row r="2239" spans="1:19" x14ac:dyDescent="0.25">
      <c r="A2239" s="51" t="str">
        <f>(COUNTIF($K$2:K2239,K2239))&amp;K2239</f>
        <v>1</v>
      </c>
      <c r="B2239" s="52"/>
      <c r="C2239" s="53"/>
      <c r="D2239" s="54"/>
      <c r="E2239" s="55"/>
      <c r="F2239" s="55"/>
      <c r="G2239" s="55"/>
      <c r="H2239" s="55"/>
      <c r="I2239" s="55"/>
      <c r="J2239" s="55"/>
      <c r="K2239" s="56"/>
      <c r="L2239" s="55"/>
      <c r="M2239" s="55"/>
      <c r="N2239" s="55"/>
      <c r="O2239" s="55"/>
      <c r="P2239" s="55"/>
      <c r="Q2239" s="55"/>
      <c r="R2239" s="57"/>
      <c r="S2239" s="58"/>
    </row>
    <row r="2240" spans="1:19" x14ac:dyDescent="0.25">
      <c r="A2240" s="51" t="str">
        <f>(COUNTIF($K$2:K2240,K2240))&amp;K2240</f>
        <v>1</v>
      </c>
      <c r="B2240" s="52"/>
      <c r="C2240" s="53"/>
      <c r="D2240" s="54"/>
      <c r="E2240" s="55"/>
      <c r="F2240" s="55"/>
      <c r="G2240" s="55"/>
      <c r="H2240" s="55"/>
      <c r="I2240" s="55"/>
      <c r="J2240" s="55"/>
      <c r="K2240" s="56"/>
      <c r="L2240" s="55"/>
      <c r="M2240" s="55"/>
      <c r="N2240" s="55"/>
      <c r="O2240" s="55"/>
      <c r="P2240" s="55"/>
      <c r="Q2240" s="55"/>
      <c r="R2240" s="57"/>
      <c r="S2240" s="58"/>
    </row>
    <row r="2241" spans="1:19" x14ac:dyDescent="0.25">
      <c r="A2241" s="51" t="str">
        <f>(COUNTIF($K$2:K2241,K2241))&amp;K2241</f>
        <v>1</v>
      </c>
      <c r="B2241" s="52"/>
      <c r="C2241" s="53"/>
      <c r="D2241" s="54"/>
      <c r="E2241" s="55"/>
      <c r="F2241" s="55"/>
      <c r="G2241" s="55"/>
      <c r="H2241" s="55"/>
      <c r="I2241" s="55"/>
      <c r="J2241" s="55"/>
      <c r="K2241" s="56"/>
      <c r="L2241" s="55"/>
      <c r="M2241" s="55"/>
      <c r="N2241" s="55"/>
      <c r="O2241" s="55"/>
      <c r="P2241" s="55"/>
      <c r="Q2241" s="55"/>
      <c r="R2241" s="57"/>
      <c r="S2241" s="58"/>
    </row>
    <row r="2242" spans="1:19" x14ac:dyDescent="0.25">
      <c r="A2242" s="51" t="str">
        <f>(COUNTIF($K$2:K2242,K2242))&amp;K2242</f>
        <v>1</v>
      </c>
      <c r="B2242" s="52"/>
      <c r="C2242" s="53"/>
      <c r="D2242" s="54"/>
      <c r="E2242" s="55"/>
      <c r="F2242" s="55"/>
      <c r="G2242" s="55"/>
      <c r="H2242" s="55"/>
      <c r="I2242" s="55"/>
      <c r="J2242" s="55"/>
      <c r="K2242" s="56"/>
      <c r="L2242" s="55"/>
      <c r="M2242" s="55"/>
      <c r="N2242" s="55"/>
      <c r="O2242" s="55"/>
      <c r="P2242" s="55"/>
      <c r="Q2242" s="55"/>
      <c r="R2242" s="57"/>
      <c r="S2242" s="58"/>
    </row>
    <row r="2243" spans="1:19" x14ac:dyDescent="0.25">
      <c r="A2243" s="51" t="str">
        <f>(COUNTIF($K$2:K2243,K2243))&amp;K2243</f>
        <v>1</v>
      </c>
      <c r="B2243" s="52"/>
      <c r="C2243" s="53"/>
      <c r="D2243" s="54"/>
      <c r="E2243" s="55"/>
      <c r="F2243" s="55"/>
      <c r="G2243" s="55"/>
      <c r="H2243" s="55"/>
      <c r="I2243" s="55"/>
      <c r="J2243" s="55"/>
      <c r="K2243" s="56"/>
      <c r="L2243" s="55"/>
      <c r="M2243" s="55"/>
      <c r="N2243" s="55"/>
      <c r="O2243" s="55"/>
      <c r="P2243" s="55"/>
      <c r="Q2243" s="55"/>
      <c r="R2243" s="57"/>
      <c r="S2243" s="58"/>
    </row>
    <row r="2244" spans="1:19" x14ac:dyDescent="0.25">
      <c r="A2244" s="51" t="str">
        <f>(COUNTIF($K$2:K2244,K2244))&amp;K2244</f>
        <v>1</v>
      </c>
      <c r="B2244" s="52"/>
      <c r="C2244" s="53"/>
      <c r="D2244" s="54"/>
      <c r="E2244" s="55"/>
      <c r="F2244" s="55"/>
      <c r="G2244" s="55"/>
      <c r="H2244" s="55"/>
      <c r="I2244" s="55"/>
      <c r="J2244" s="55"/>
      <c r="K2244" s="56"/>
      <c r="L2244" s="55"/>
      <c r="M2244" s="55"/>
      <c r="N2244" s="55"/>
      <c r="O2244" s="55"/>
      <c r="P2244" s="55"/>
      <c r="Q2244" s="55"/>
      <c r="R2244" s="57"/>
      <c r="S2244" s="58"/>
    </row>
    <row r="2245" spans="1:19" x14ac:dyDescent="0.25">
      <c r="A2245" s="51" t="str">
        <f>(COUNTIF($K$2:K2245,K2245))&amp;K2245</f>
        <v>1</v>
      </c>
      <c r="B2245" s="52"/>
      <c r="C2245" s="60"/>
      <c r="E2245" s="61"/>
      <c r="F2245" s="62"/>
      <c r="G2245" s="63"/>
      <c r="H2245" s="64"/>
      <c r="I2245" s="64"/>
      <c r="J2245" s="64"/>
      <c r="K2245" s="65"/>
      <c r="L2245" s="64"/>
      <c r="M2245" s="64"/>
      <c r="N2245" s="64"/>
      <c r="P2245" s="63"/>
      <c r="Q2245" s="61"/>
      <c r="R2245" s="64"/>
      <c r="S2245" s="64"/>
    </row>
    <row r="2246" spans="1:19" x14ac:dyDescent="0.25">
      <c r="A2246" s="51" t="str">
        <f>(COUNTIF($K$2:K2246,K2246))&amp;K2246</f>
        <v>1</v>
      </c>
      <c r="B2246" s="52"/>
      <c r="C2246" s="53"/>
      <c r="D2246" s="54"/>
      <c r="E2246" s="55"/>
      <c r="F2246" s="55"/>
      <c r="G2246" s="55"/>
      <c r="H2246" s="55"/>
      <c r="I2246" s="55"/>
      <c r="J2246" s="55"/>
      <c r="K2246" s="56"/>
      <c r="L2246" s="55"/>
      <c r="M2246" s="55"/>
      <c r="N2246" s="55"/>
      <c r="O2246" s="55"/>
      <c r="P2246" s="55"/>
      <c r="Q2246" s="55"/>
      <c r="R2246" s="57"/>
      <c r="S2246" s="58"/>
    </row>
    <row r="2247" spans="1:19" x14ac:dyDescent="0.25">
      <c r="A2247" s="51" t="str">
        <f>(COUNTIF($K$2:K2247,K2247))&amp;K2247</f>
        <v>1</v>
      </c>
      <c r="B2247" s="52"/>
      <c r="C2247" s="53"/>
      <c r="D2247" s="54"/>
      <c r="E2247" s="55"/>
      <c r="F2247" s="55"/>
      <c r="G2247" s="55"/>
      <c r="H2247" s="55"/>
      <c r="I2247" s="55"/>
      <c r="J2247" s="55"/>
      <c r="K2247" s="56"/>
      <c r="L2247" s="55"/>
      <c r="M2247" s="55"/>
      <c r="N2247" s="55"/>
      <c r="O2247" s="55"/>
      <c r="P2247" s="55"/>
      <c r="Q2247" s="55"/>
      <c r="R2247" s="57"/>
      <c r="S2247" s="58"/>
    </row>
    <row r="2248" spans="1:19" x14ac:dyDescent="0.25">
      <c r="A2248" s="51" t="str">
        <f>(COUNTIF($K$2:K2248,K2248))&amp;K2248</f>
        <v>1</v>
      </c>
      <c r="B2248" s="52"/>
      <c r="C2248" s="53"/>
      <c r="D2248" s="54"/>
      <c r="E2248" s="55"/>
      <c r="F2248" s="55"/>
      <c r="G2248" s="55"/>
      <c r="H2248" s="55"/>
      <c r="I2248" s="55"/>
      <c r="J2248" s="55"/>
      <c r="K2248" s="56"/>
      <c r="L2248" s="55"/>
      <c r="M2248" s="55"/>
      <c r="N2248" s="55"/>
      <c r="O2248" s="55"/>
      <c r="P2248" s="55"/>
      <c r="Q2248" s="55"/>
      <c r="R2248" s="57"/>
      <c r="S2248" s="58"/>
    </row>
    <row r="2249" spans="1:19" x14ac:dyDescent="0.25">
      <c r="A2249" s="51" t="str">
        <f>(COUNTIF($K$2:K2249,K2249))&amp;K2249</f>
        <v>1</v>
      </c>
      <c r="B2249" s="52"/>
      <c r="C2249" s="53"/>
      <c r="D2249" s="54"/>
      <c r="E2249" s="55"/>
      <c r="F2249" s="55"/>
      <c r="G2249" s="55"/>
      <c r="H2249" s="55"/>
      <c r="I2249" s="55"/>
      <c r="J2249" s="55"/>
      <c r="K2249" s="56"/>
      <c r="L2249" s="55"/>
      <c r="M2249" s="55"/>
      <c r="N2249" s="55"/>
      <c r="O2249" s="55"/>
      <c r="P2249" s="55"/>
      <c r="Q2249" s="55"/>
      <c r="R2249" s="57"/>
      <c r="S2249" s="58"/>
    </row>
    <row r="2250" spans="1:19" x14ac:dyDescent="0.25">
      <c r="A2250" s="51" t="str">
        <f>(COUNTIF($K$2:K2250,K2250))&amp;K2250</f>
        <v>1</v>
      </c>
      <c r="B2250" s="52"/>
      <c r="C2250" s="53"/>
      <c r="D2250" s="54"/>
      <c r="E2250" s="55"/>
      <c r="F2250" s="55"/>
      <c r="G2250" s="55"/>
      <c r="H2250" s="55"/>
      <c r="I2250" s="55"/>
      <c r="J2250" s="55"/>
      <c r="K2250" s="56"/>
      <c r="L2250" s="55"/>
      <c r="M2250" s="55"/>
      <c r="N2250" s="55"/>
      <c r="O2250" s="55"/>
      <c r="P2250" s="55"/>
      <c r="Q2250" s="55"/>
      <c r="R2250" s="57"/>
      <c r="S2250" s="58"/>
    </row>
    <row r="2251" spans="1:19" x14ac:dyDescent="0.25">
      <c r="A2251" s="51" t="str">
        <f>(COUNTIF($K$2:K2251,K2251))&amp;K2251</f>
        <v>1</v>
      </c>
      <c r="B2251" s="52"/>
      <c r="C2251" s="53"/>
      <c r="D2251" s="54"/>
      <c r="E2251" s="55"/>
      <c r="F2251" s="55"/>
      <c r="G2251" s="55"/>
      <c r="H2251" s="55"/>
      <c r="I2251" s="55"/>
      <c r="J2251" s="55"/>
      <c r="K2251" s="56"/>
      <c r="L2251" s="55"/>
      <c r="M2251" s="55"/>
      <c r="N2251" s="55"/>
      <c r="O2251" s="55"/>
      <c r="P2251" s="55"/>
      <c r="Q2251" s="55"/>
      <c r="R2251" s="57"/>
      <c r="S2251" s="58"/>
    </row>
    <row r="2252" spans="1:19" x14ac:dyDescent="0.25">
      <c r="A2252" s="51" t="str">
        <f>(COUNTIF($K$2:K2252,K2252))&amp;K2252</f>
        <v>1</v>
      </c>
      <c r="B2252" s="52"/>
      <c r="C2252" s="53"/>
      <c r="D2252" s="54"/>
      <c r="E2252" s="55"/>
      <c r="F2252" s="55"/>
      <c r="G2252" s="55"/>
      <c r="H2252" s="55"/>
      <c r="I2252" s="55"/>
      <c r="J2252" s="55"/>
      <c r="K2252" s="56"/>
      <c r="L2252" s="55"/>
      <c r="M2252" s="55"/>
      <c r="N2252" s="55"/>
      <c r="O2252" s="55"/>
      <c r="P2252" s="55"/>
      <c r="Q2252" s="55"/>
      <c r="R2252" s="57"/>
      <c r="S2252" s="58"/>
    </row>
    <row r="2253" spans="1:19" x14ac:dyDescent="0.25">
      <c r="A2253" s="51" t="str">
        <f>(COUNTIF($K$2:K2253,K2253))&amp;K2253</f>
        <v>1</v>
      </c>
      <c r="B2253" s="52"/>
      <c r="C2253" s="53"/>
      <c r="D2253" s="54"/>
      <c r="E2253" s="55"/>
      <c r="F2253" s="55"/>
      <c r="G2253" s="55"/>
      <c r="H2253" s="55"/>
      <c r="I2253" s="55"/>
      <c r="J2253" s="55"/>
      <c r="K2253" s="56"/>
      <c r="L2253" s="55"/>
      <c r="M2253" s="55"/>
      <c r="N2253" s="55"/>
      <c r="O2253" s="55"/>
      <c r="P2253" s="55"/>
      <c r="Q2253" s="55"/>
      <c r="R2253" s="57"/>
      <c r="S2253" s="58"/>
    </row>
    <row r="2254" spans="1:19" ht="15.75" x14ac:dyDescent="0.25">
      <c r="A2254" s="51" t="str">
        <f>(COUNTIF($K$2:K2254,K2254))&amp;K2254</f>
        <v>1</v>
      </c>
      <c r="B2254" s="52"/>
      <c r="C2254" s="53"/>
      <c r="D2254" s="54"/>
      <c r="E2254" s="55"/>
      <c r="F2254" s="55"/>
      <c r="G2254" s="55"/>
      <c r="H2254" s="55"/>
      <c r="I2254" s="55"/>
      <c r="J2254" s="55"/>
      <c r="K2254" s="59"/>
      <c r="L2254" s="55"/>
      <c r="M2254" s="55"/>
      <c r="N2254" s="55"/>
      <c r="O2254" s="55"/>
      <c r="P2254" s="55"/>
      <c r="Q2254" s="55"/>
      <c r="R2254" s="57"/>
      <c r="S2254" s="58"/>
    </row>
    <row r="2255" spans="1:19" x14ac:dyDescent="0.25">
      <c r="A2255" s="51" t="str">
        <f>(COUNTIF($K$2:K2255,K2255))&amp;K2255</f>
        <v>1</v>
      </c>
      <c r="B2255" s="52"/>
      <c r="C2255" s="53"/>
      <c r="D2255" s="54"/>
      <c r="E2255" s="55"/>
      <c r="F2255" s="55"/>
      <c r="G2255" s="55"/>
      <c r="H2255" s="55"/>
      <c r="I2255" s="55"/>
      <c r="J2255" s="55"/>
      <c r="K2255" s="56"/>
      <c r="L2255" s="55"/>
      <c r="M2255" s="55"/>
      <c r="N2255" s="55"/>
      <c r="O2255" s="55"/>
      <c r="P2255" s="55"/>
      <c r="Q2255" s="55"/>
      <c r="R2255" s="57"/>
      <c r="S2255" s="58"/>
    </row>
    <row r="2256" spans="1:19" x14ac:dyDescent="0.25">
      <c r="A2256" s="51" t="str">
        <f>(COUNTIF($K$2:K2256,K2256))&amp;K2256</f>
        <v>1</v>
      </c>
      <c r="B2256" s="52"/>
      <c r="C2256" s="53"/>
      <c r="D2256" s="54"/>
      <c r="E2256" s="55"/>
      <c r="F2256" s="55"/>
      <c r="G2256" s="55"/>
      <c r="H2256" s="55"/>
      <c r="I2256" s="55"/>
      <c r="J2256" s="55"/>
      <c r="K2256" s="56"/>
      <c r="L2256" s="55"/>
      <c r="M2256" s="55"/>
      <c r="N2256" s="55"/>
      <c r="O2256" s="55"/>
      <c r="P2256" s="55"/>
      <c r="Q2256" s="55"/>
      <c r="R2256" s="57"/>
      <c r="S2256" s="58"/>
    </row>
    <row r="2257" spans="1:19" x14ac:dyDescent="0.25">
      <c r="A2257" s="51" t="str">
        <f>(COUNTIF($K$2:K2257,K2257))&amp;K2257</f>
        <v>1</v>
      </c>
      <c r="B2257" s="52"/>
      <c r="C2257" s="53"/>
      <c r="D2257" s="54"/>
      <c r="E2257" s="55"/>
      <c r="F2257" s="55"/>
      <c r="G2257" s="55"/>
      <c r="H2257" s="55"/>
      <c r="I2257" s="55"/>
      <c r="J2257" s="55"/>
      <c r="K2257" s="56"/>
      <c r="L2257" s="55"/>
      <c r="M2257" s="55"/>
      <c r="N2257" s="55"/>
      <c r="O2257" s="55"/>
      <c r="P2257" s="55"/>
      <c r="Q2257" s="55"/>
      <c r="R2257" s="57"/>
      <c r="S2257" s="58"/>
    </row>
    <row r="2258" spans="1:19" x14ac:dyDescent="0.25">
      <c r="A2258" s="51" t="str">
        <f>(COUNTIF($K$2:K2258,K2258))&amp;K2258</f>
        <v>1</v>
      </c>
      <c r="B2258" s="52"/>
      <c r="C2258" s="53"/>
      <c r="D2258" s="54"/>
      <c r="E2258" s="55"/>
      <c r="F2258" s="55"/>
      <c r="G2258" s="55"/>
      <c r="H2258" s="55"/>
      <c r="I2258" s="55"/>
      <c r="J2258" s="55"/>
      <c r="K2258" s="56"/>
      <c r="L2258" s="55"/>
      <c r="M2258" s="55"/>
      <c r="N2258" s="55"/>
      <c r="O2258" s="55"/>
      <c r="P2258" s="55"/>
      <c r="Q2258" s="55"/>
      <c r="R2258" s="57"/>
      <c r="S2258" s="58"/>
    </row>
    <row r="2259" spans="1:19" x14ac:dyDescent="0.25">
      <c r="A2259" s="51" t="str">
        <f>(COUNTIF($K$2:K2259,K2259))&amp;K2259</f>
        <v>1</v>
      </c>
      <c r="B2259" s="52"/>
      <c r="C2259" s="53"/>
      <c r="D2259" s="54"/>
      <c r="E2259" s="55"/>
      <c r="F2259" s="55"/>
      <c r="G2259" s="55"/>
      <c r="H2259" s="55"/>
      <c r="I2259" s="55"/>
      <c r="J2259" s="55"/>
      <c r="K2259" s="56"/>
      <c r="L2259" s="55"/>
      <c r="M2259" s="55"/>
      <c r="N2259" s="55"/>
      <c r="O2259" s="55"/>
      <c r="P2259" s="55"/>
      <c r="Q2259" s="55"/>
      <c r="R2259" s="57"/>
      <c r="S2259" s="58"/>
    </row>
    <row r="2260" spans="1:19" x14ac:dyDescent="0.25">
      <c r="A2260" s="51" t="str">
        <f>(COUNTIF($K$2:K2260,K2260))&amp;K2260</f>
        <v>1</v>
      </c>
      <c r="B2260" s="52"/>
      <c r="C2260" s="53"/>
      <c r="D2260" s="54"/>
      <c r="E2260" s="55"/>
      <c r="F2260" s="55"/>
      <c r="G2260" s="55"/>
      <c r="H2260" s="55"/>
      <c r="I2260" s="55"/>
      <c r="J2260" s="55"/>
      <c r="K2260" s="56"/>
      <c r="L2260" s="55"/>
      <c r="M2260" s="55"/>
      <c r="N2260" s="55"/>
      <c r="O2260" s="55"/>
      <c r="P2260" s="55"/>
      <c r="Q2260" s="55"/>
      <c r="R2260" s="57"/>
      <c r="S2260" s="58"/>
    </row>
    <row r="2261" spans="1:19" x14ac:dyDescent="0.25">
      <c r="A2261" s="51" t="str">
        <f>(COUNTIF($K$2:K2261,K2261))&amp;K2261</f>
        <v>1</v>
      </c>
      <c r="B2261" s="52"/>
      <c r="C2261" s="53"/>
      <c r="D2261" s="54"/>
      <c r="E2261" s="55"/>
      <c r="F2261" s="55"/>
      <c r="G2261" s="55"/>
      <c r="H2261" s="55"/>
      <c r="I2261" s="55"/>
      <c r="J2261" s="55"/>
      <c r="K2261" s="56"/>
      <c r="L2261" s="55"/>
      <c r="M2261" s="55"/>
      <c r="N2261" s="55"/>
      <c r="O2261" s="55"/>
      <c r="P2261" s="55"/>
      <c r="Q2261" s="55"/>
      <c r="R2261" s="57"/>
      <c r="S2261" s="58"/>
    </row>
    <row r="2262" spans="1:19" x14ac:dyDescent="0.25">
      <c r="A2262" s="51" t="str">
        <f>(COUNTIF($K$2:K2262,K2262))&amp;K2262</f>
        <v>1</v>
      </c>
      <c r="B2262" s="52"/>
      <c r="C2262" s="60"/>
      <c r="E2262" s="61"/>
      <c r="F2262" s="62"/>
      <c r="G2262" s="63"/>
      <c r="H2262" s="64"/>
      <c r="I2262" s="64"/>
      <c r="J2262" s="64"/>
      <c r="K2262" s="65"/>
      <c r="L2262" s="64"/>
      <c r="M2262" s="64"/>
      <c r="N2262" s="64"/>
      <c r="P2262" s="63"/>
      <c r="Q2262" s="61"/>
      <c r="R2262" s="64"/>
      <c r="S2262" s="64"/>
    </row>
    <row r="2263" spans="1:19" x14ac:dyDescent="0.25">
      <c r="A2263" s="51" t="str">
        <f>(COUNTIF($K$2:K2263,K2263))&amp;K2263</f>
        <v>1</v>
      </c>
      <c r="B2263" s="52"/>
      <c r="C2263" s="53"/>
      <c r="D2263" s="54"/>
      <c r="E2263" s="55"/>
      <c r="F2263" s="55"/>
      <c r="G2263" s="55"/>
      <c r="H2263" s="55"/>
      <c r="I2263" s="55"/>
      <c r="J2263" s="55"/>
      <c r="K2263" s="56"/>
      <c r="L2263" s="55"/>
      <c r="M2263" s="55"/>
      <c r="N2263" s="55"/>
      <c r="O2263" s="55"/>
      <c r="P2263" s="55"/>
      <c r="Q2263" s="55"/>
      <c r="R2263" s="57"/>
      <c r="S2263" s="58"/>
    </row>
    <row r="2264" spans="1:19" x14ac:dyDescent="0.25">
      <c r="A2264" s="51" t="str">
        <f>(COUNTIF($K$2:K2264,K2264))&amp;K2264</f>
        <v>1</v>
      </c>
      <c r="B2264" s="52"/>
      <c r="C2264" s="53"/>
      <c r="D2264" s="54"/>
      <c r="E2264" s="55"/>
      <c r="F2264" s="55"/>
      <c r="G2264" s="55"/>
      <c r="H2264" s="55"/>
      <c r="I2264" s="55"/>
      <c r="J2264" s="55"/>
      <c r="K2264" s="56"/>
      <c r="L2264" s="55"/>
      <c r="M2264" s="55"/>
      <c r="N2264" s="55"/>
      <c r="O2264" s="55"/>
      <c r="P2264" s="55"/>
      <c r="Q2264" s="55"/>
      <c r="R2264" s="57"/>
      <c r="S2264" s="58"/>
    </row>
    <row r="2265" spans="1:19" x14ac:dyDescent="0.25">
      <c r="A2265" s="51" t="str">
        <f>(COUNTIF($K$2:K2265,K2265))&amp;K2265</f>
        <v>1</v>
      </c>
      <c r="B2265" s="52"/>
      <c r="C2265" s="53"/>
      <c r="D2265" s="54"/>
      <c r="E2265" s="55"/>
      <c r="F2265" s="55"/>
      <c r="G2265" s="55"/>
      <c r="H2265" s="55"/>
      <c r="I2265" s="55"/>
      <c r="J2265" s="55"/>
      <c r="K2265" s="56"/>
      <c r="L2265" s="55"/>
      <c r="M2265" s="55"/>
      <c r="N2265" s="55"/>
      <c r="O2265" s="55"/>
      <c r="P2265" s="55"/>
      <c r="Q2265" s="55"/>
      <c r="R2265" s="57"/>
      <c r="S2265" s="58"/>
    </row>
    <row r="2266" spans="1:19" x14ac:dyDescent="0.25">
      <c r="A2266" s="51" t="str">
        <f>(COUNTIF($K$2:K2266,K2266))&amp;K2266</f>
        <v>1</v>
      </c>
      <c r="B2266" s="52"/>
      <c r="C2266" s="53"/>
      <c r="D2266" s="54"/>
      <c r="E2266" s="55"/>
      <c r="F2266" s="55"/>
      <c r="G2266" s="55"/>
      <c r="H2266" s="55"/>
      <c r="I2266" s="55"/>
      <c r="J2266" s="55"/>
      <c r="K2266" s="56"/>
      <c r="L2266" s="55"/>
      <c r="M2266" s="55"/>
      <c r="N2266" s="55"/>
      <c r="O2266" s="55"/>
      <c r="P2266" s="55"/>
      <c r="Q2266" s="55"/>
      <c r="R2266" s="57"/>
      <c r="S2266" s="58"/>
    </row>
    <row r="2267" spans="1:19" x14ac:dyDescent="0.25">
      <c r="A2267" s="51" t="str">
        <f>(COUNTIF($K$2:K2267,K2267))&amp;K2267</f>
        <v>1</v>
      </c>
      <c r="B2267" s="52"/>
      <c r="C2267" s="53"/>
      <c r="D2267" s="54"/>
      <c r="E2267" s="55"/>
      <c r="F2267" s="55"/>
      <c r="G2267" s="55"/>
      <c r="H2267" s="55"/>
      <c r="I2267" s="55"/>
      <c r="J2267" s="55"/>
      <c r="K2267" s="56"/>
      <c r="L2267" s="55"/>
      <c r="M2267" s="55"/>
      <c r="N2267" s="55"/>
      <c r="O2267" s="55"/>
      <c r="P2267" s="55"/>
      <c r="Q2267" s="55"/>
      <c r="R2267" s="57"/>
      <c r="S2267" s="58"/>
    </row>
    <row r="2268" spans="1:19" x14ac:dyDescent="0.25">
      <c r="A2268" s="51" t="str">
        <f>(COUNTIF($K$2:K2268,K2268))&amp;K2268</f>
        <v>1</v>
      </c>
      <c r="B2268" s="52"/>
      <c r="C2268" s="53"/>
      <c r="D2268" s="54"/>
      <c r="E2268" s="55"/>
      <c r="F2268" s="55"/>
      <c r="G2268" s="55"/>
      <c r="H2268" s="55"/>
      <c r="I2268" s="55"/>
      <c r="J2268" s="55"/>
      <c r="K2268" s="56"/>
      <c r="L2268" s="55"/>
      <c r="M2268" s="55"/>
      <c r="N2268" s="55"/>
      <c r="O2268" s="55"/>
      <c r="P2268" s="55"/>
      <c r="Q2268" s="55"/>
      <c r="R2268" s="57"/>
      <c r="S2268" s="58"/>
    </row>
    <row r="2269" spans="1:19" x14ac:dyDescent="0.25">
      <c r="A2269" s="51" t="str">
        <f>(COUNTIF($K$2:K2269,K2269))&amp;K2269</f>
        <v>1</v>
      </c>
      <c r="B2269" s="52"/>
      <c r="C2269" s="53"/>
      <c r="D2269" s="54"/>
      <c r="E2269" s="55"/>
      <c r="F2269" s="55"/>
      <c r="G2269" s="55"/>
      <c r="H2269" s="55"/>
      <c r="I2269" s="55"/>
      <c r="J2269" s="55"/>
      <c r="K2269" s="56"/>
      <c r="L2269" s="55"/>
      <c r="M2269" s="55"/>
      <c r="N2269" s="55"/>
      <c r="O2269" s="55"/>
      <c r="P2269" s="55"/>
      <c r="Q2269" s="55"/>
      <c r="R2269" s="57"/>
      <c r="S2269" s="58"/>
    </row>
    <row r="2270" spans="1:19" x14ac:dyDescent="0.25">
      <c r="A2270" s="51" t="str">
        <f>(COUNTIF($K$2:K2270,K2270))&amp;K2270</f>
        <v>1</v>
      </c>
      <c r="B2270" s="52"/>
      <c r="C2270" s="53"/>
      <c r="D2270" s="54"/>
      <c r="E2270" s="55"/>
      <c r="F2270" s="55"/>
      <c r="G2270" s="55"/>
      <c r="H2270" s="55"/>
      <c r="I2270" s="55"/>
      <c r="J2270" s="55"/>
      <c r="K2270" s="56"/>
      <c r="L2270" s="55"/>
      <c r="M2270" s="55"/>
      <c r="N2270" s="55"/>
      <c r="O2270" s="55"/>
      <c r="P2270" s="55"/>
      <c r="Q2270" s="55"/>
      <c r="R2270" s="57"/>
      <c r="S2270" s="58"/>
    </row>
    <row r="2271" spans="1:19" ht="15.75" x14ac:dyDescent="0.25">
      <c r="A2271" s="51" t="str">
        <f>(COUNTIF($K$2:K2271,K2271))&amp;K2271</f>
        <v>1</v>
      </c>
      <c r="B2271" s="52"/>
      <c r="C2271" s="53"/>
      <c r="D2271" s="54"/>
      <c r="E2271" s="55"/>
      <c r="F2271" s="55"/>
      <c r="G2271" s="55"/>
      <c r="H2271" s="55"/>
      <c r="I2271" s="55"/>
      <c r="J2271" s="55"/>
      <c r="K2271" s="59"/>
      <c r="L2271" s="55"/>
      <c r="M2271" s="55"/>
      <c r="N2271" s="55"/>
      <c r="O2271" s="55"/>
      <c r="P2271" s="55"/>
      <c r="Q2271" s="55"/>
      <c r="R2271" s="57"/>
      <c r="S2271" s="58"/>
    </row>
    <row r="2272" spans="1:19" x14ac:dyDescent="0.25">
      <c r="A2272" s="51" t="str">
        <f>(COUNTIF($K$2:K2272,K2272))&amp;K2272</f>
        <v>1</v>
      </c>
      <c r="B2272" s="52"/>
      <c r="C2272" s="53"/>
      <c r="D2272" s="54"/>
      <c r="E2272" s="55"/>
      <c r="F2272" s="55"/>
      <c r="G2272" s="55"/>
      <c r="H2272" s="55"/>
      <c r="I2272" s="55"/>
      <c r="J2272" s="55"/>
      <c r="K2272" s="56"/>
      <c r="L2272" s="55"/>
      <c r="M2272" s="55"/>
      <c r="N2272" s="55"/>
      <c r="O2272" s="55"/>
      <c r="P2272" s="55"/>
      <c r="Q2272" s="55"/>
      <c r="R2272" s="57"/>
      <c r="S2272" s="58"/>
    </row>
    <row r="2273" spans="1:19" x14ac:dyDescent="0.25">
      <c r="A2273" s="51" t="str">
        <f>(COUNTIF($K$2:K2273,K2273))&amp;K2273</f>
        <v>1</v>
      </c>
      <c r="B2273" s="52"/>
      <c r="C2273" s="53"/>
      <c r="D2273" s="54"/>
      <c r="E2273" s="55"/>
      <c r="F2273" s="55"/>
      <c r="G2273" s="55"/>
      <c r="H2273" s="55"/>
      <c r="I2273" s="55"/>
      <c r="J2273" s="55"/>
      <c r="K2273" s="56"/>
      <c r="L2273" s="55"/>
      <c r="M2273" s="55"/>
      <c r="N2273" s="55"/>
      <c r="O2273" s="55"/>
      <c r="P2273" s="55"/>
      <c r="Q2273" s="55"/>
      <c r="R2273" s="57"/>
      <c r="S2273" s="58"/>
    </row>
    <row r="2274" spans="1:19" x14ac:dyDescent="0.25">
      <c r="A2274" s="51" t="str">
        <f>(COUNTIF($K$2:K2274,K2274))&amp;K2274</f>
        <v>1</v>
      </c>
      <c r="B2274" s="52"/>
      <c r="C2274" s="53"/>
      <c r="D2274" s="54"/>
      <c r="E2274" s="55"/>
      <c r="F2274" s="55"/>
      <c r="G2274" s="55"/>
      <c r="H2274" s="55"/>
      <c r="I2274" s="55"/>
      <c r="J2274" s="55"/>
      <c r="K2274" s="56"/>
      <c r="L2274" s="55"/>
      <c r="M2274" s="55"/>
      <c r="N2274" s="55"/>
      <c r="O2274" s="55"/>
      <c r="P2274" s="55"/>
      <c r="Q2274" s="55"/>
      <c r="R2274" s="57"/>
      <c r="S2274" s="58"/>
    </row>
    <row r="2275" spans="1:19" x14ac:dyDescent="0.25">
      <c r="A2275" s="51" t="str">
        <f>(COUNTIF($K$2:K2275,K2275))&amp;K2275</f>
        <v>1</v>
      </c>
      <c r="B2275" s="52"/>
      <c r="C2275" s="53"/>
      <c r="D2275" s="54"/>
      <c r="E2275" s="55"/>
      <c r="F2275" s="55"/>
      <c r="G2275" s="55"/>
      <c r="H2275" s="55"/>
      <c r="I2275" s="55"/>
      <c r="J2275" s="55"/>
      <c r="K2275" s="56"/>
      <c r="L2275" s="55"/>
      <c r="M2275" s="55"/>
      <c r="N2275" s="55"/>
      <c r="O2275" s="55"/>
      <c r="P2275" s="55"/>
      <c r="Q2275" s="55"/>
      <c r="R2275" s="57"/>
      <c r="S2275" s="58"/>
    </row>
    <row r="2276" spans="1:19" x14ac:dyDescent="0.25">
      <c r="A2276" s="51" t="str">
        <f>(COUNTIF($K$2:K2276,K2276))&amp;K2276</f>
        <v>1</v>
      </c>
      <c r="B2276" s="52"/>
      <c r="C2276" s="53"/>
      <c r="D2276" s="54"/>
      <c r="E2276" s="55"/>
      <c r="F2276" s="55"/>
      <c r="G2276" s="55"/>
      <c r="H2276" s="55"/>
      <c r="I2276" s="55"/>
      <c r="J2276" s="55"/>
      <c r="K2276" s="56"/>
      <c r="L2276" s="55"/>
      <c r="M2276" s="55"/>
      <c r="N2276" s="55"/>
      <c r="O2276" s="55"/>
      <c r="P2276" s="55"/>
      <c r="Q2276" s="55"/>
      <c r="R2276" s="57"/>
      <c r="S2276" s="58"/>
    </row>
    <row r="2277" spans="1:19" x14ac:dyDescent="0.25">
      <c r="A2277" s="51" t="str">
        <f>(COUNTIF($K$2:K2277,K2277))&amp;K2277</f>
        <v>1</v>
      </c>
      <c r="B2277" s="52"/>
      <c r="C2277" s="53"/>
      <c r="D2277" s="54"/>
      <c r="E2277" s="55"/>
      <c r="F2277" s="55"/>
      <c r="G2277" s="55"/>
      <c r="H2277" s="55"/>
      <c r="I2277" s="55"/>
      <c r="J2277" s="55"/>
      <c r="K2277" s="56"/>
      <c r="L2277" s="55"/>
      <c r="M2277" s="55"/>
      <c r="N2277" s="55"/>
      <c r="O2277" s="55"/>
      <c r="P2277" s="55"/>
      <c r="Q2277" s="55"/>
      <c r="R2277" s="57"/>
      <c r="S2277" s="58"/>
    </row>
    <row r="2278" spans="1:19" x14ac:dyDescent="0.25">
      <c r="A2278" s="51" t="str">
        <f>(COUNTIF($K$2:K2278,K2278))&amp;K2278</f>
        <v>1</v>
      </c>
      <c r="B2278" s="52"/>
      <c r="C2278" s="53"/>
      <c r="D2278" s="54"/>
      <c r="E2278" s="55"/>
      <c r="F2278" s="55"/>
      <c r="G2278" s="55"/>
      <c r="H2278" s="55"/>
      <c r="I2278" s="55"/>
      <c r="J2278" s="55"/>
      <c r="K2278" s="56"/>
      <c r="L2278" s="55"/>
      <c r="M2278" s="55"/>
      <c r="N2278" s="55"/>
      <c r="O2278" s="55"/>
      <c r="P2278" s="55"/>
      <c r="Q2278" s="55"/>
      <c r="R2278" s="57"/>
      <c r="S2278" s="58"/>
    </row>
    <row r="2279" spans="1:19" x14ac:dyDescent="0.25">
      <c r="A2279" s="51" t="str">
        <f>(COUNTIF($K$2:K2279,K2279))&amp;K2279</f>
        <v>1</v>
      </c>
      <c r="B2279" s="52"/>
      <c r="C2279" s="60"/>
      <c r="E2279" s="61"/>
      <c r="F2279" s="62"/>
      <c r="G2279" s="63"/>
      <c r="H2279" s="64"/>
      <c r="I2279" s="64"/>
      <c r="J2279" s="64"/>
      <c r="K2279" s="65"/>
      <c r="L2279" s="64"/>
      <c r="M2279" s="64"/>
      <c r="N2279" s="64"/>
      <c r="P2279" s="63"/>
      <c r="Q2279" s="61"/>
      <c r="R2279" s="64"/>
      <c r="S2279" s="64"/>
    </row>
    <row r="2280" spans="1:19" x14ac:dyDescent="0.25">
      <c r="A2280" s="51" t="str">
        <f>(COUNTIF($K$2:K2280,K2280))&amp;K2280</f>
        <v>1</v>
      </c>
      <c r="B2280" s="52"/>
      <c r="C2280" s="53"/>
      <c r="D2280" s="54"/>
      <c r="E2280" s="55"/>
      <c r="F2280" s="55"/>
      <c r="G2280" s="55"/>
      <c r="H2280" s="55"/>
      <c r="I2280" s="55"/>
      <c r="J2280" s="55"/>
      <c r="K2280" s="56"/>
      <c r="L2280" s="55"/>
      <c r="M2280" s="55"/>
      <c r="N2280" s="55"/>
      <c r="O2280" s="55"/>
      <c r="P2280" s="55"/>
      <c r="Q2280" s="55"/>
      <c r="R2280" s="57"/>
      <c r="S2280" s="58"/>
    </row>
    <row r="2281" spans="1:19" x14ac:dyDescent="0.25">
      <c r="A2281" s="51" t="str">
        <f>(COUNTIF($K$2:K2281,K2281))&amp;K2281</f>
        <v>1</v>
      </c>
      <c r="B2281" s="52"/>
      <c r="C2281" s="53"/>
      <c r="D2281" s="54"/>
      <c r="E2281" s="55"/>
      <c r="F2281" s="55"/>
      <c r="G2281" s="55"/>
      <c r="H2281" s="55"/>
      <c r="I2281" s="55"/>
      <c r="J2281" s="55"/>
      <c r="K2281" s="56"/>
      <c r="L2281" s="55"/>
      <c r="M2281" s="55"/>
      <c r="N2281" s="55"/>
      <c r="O2281" s="55"/>
      <c r="P2281" s="55"/>
      <c r="Q2281" s="55"/>
      <c r="R2281" s="57"/>
      <c r="S2281" s="58"/>
    </row>
    <row r="2282" spans="1:19" x14ac:dyDescent="0.25">
      <c r="A2282" s="51" t="str">
        <f>(COUNTIF($K$2:K2282,K2282))&amp;K2282</f>
        <v>1</v>
      </c>
      <c r="B2282" s="52"/>
      <c r="C2282" s="53"/>
      <c r="D2282" s="54"/>
      <c r="E2282" s="55"/>
      <c r="F2282" s="55"/>
      <c r="G2282" s="55"/>
      <c r="H2282" s="55"/>
      <c r="I2282" s="55"/>
      <c r="J2282" s="55"/>
      <c r="K2282" s="56"/>
      <c r="L2282" s="55"/>
      <c r="M2282" s="55"/>
      <c r="N2282" s="55"/>
      <c r="O2282" s="55"/>
      <c r="P2282" s="55"/>
      <c r="Q2282" s="55"/>
      <c r="R2282" s="57"/>
      <c r="S2282" s="58"/>
    </row>
    <row r="2283" spans="1:19" x14ac:dyDescent="0.25">
      <c r="A2283" s="51" t="str">
        <f>(COUNTIF($K$2:K2283,K2283))&amp;K2283</f>
        <v>1</v>
      </c>
      <c r="B2283" s="52"/>
      <c r="C2283" s="53"/>
      <c r="D2283" s="54"/>
      <c r="E2283" s="55"/>
      <c r="F2283" s="55"/>
      <c r="G2283" s="55"/>
      <c r="H2283" s="55"/>
      <c r="I2283" s="55"/>
      <c r="J2283" s="55"/>
      <c r="K2283" s="56"/>
      <c r="L2283" s="55"/>
      <c r="M2283" s="55"/>
      <c r="N2283" s="55"/>
      <c r="O2283" s="55"/>
      <c r="P2283" s="55"/>
      <c r="Q2283" s="55"/>
      <c r="R2283" s="57"/>
      <c r="S2283" s="58"/>
    </row>
    <row r="2284" spans="1:19" x14ac:dyDescent="0.25">
      <c r="A2284" s="51" t="str">
        <f>(COUNTIF($K$2:K2284,K2284))&amp;K2284</f>
        <v>1</v>
      </c>
      <c r="B2284" s="52"/>
      <c r="C2284" s="53"/>
      <c r="D2284" s="54"/>
      <c r="E2284" s="55"/>
      <c r="F2284" s="55"/>
      <c r="G2284" s="55"/>
      <c r="H2284" s="55"/>
      <c r="I2284" s="55"/>
      <c r="J2284" s="55"/>
      <c r="K2284" s="56"/>
      <c r="L2284" s="55"/>
      <c r="M2284" s="55"/>
      <c r="N2284" s="55"/>
      <c r="O2284" s="55"/>
      <c r="P2284" s="55"/>
      <c r="Q2284" s="55"/>
      <c r="R2284" s="57"/>
      <c r="S2284" s="58"/>
    </row>
    <row r="2285" spans="1:19" x14ac:dyDescent="0.25">
      <c r="A2285" s="51" t="str">
        <f>(COUNTIF($K$2:K2285,K2285))&amp;K2285</f>
        <v>1</v>
      </c>
      <c r="B2285" s="52"/>
      <c r="C2285" s="53"/>
      <c r="D2285" s="54"/>
      <c r="E2285" s="55"/>
      <c r="F2285" s="55"/>
      <c r="G2285" s="55"/>
      <c r="H2285" s="55"/>
      <c r="I2285" s="55"/>
      <c r="J2285" s="55"/>
      <c r="K2285" s="56"/>
      <c r="L2285" s="55"/>
      <c r="M2285" s="55"/>
      <c r="N2285" s="55"/>
      <c r="O2285" s="55"/>
      <c r="P2285" s="55"/>
      <c r="Q2285" s="55"/>
      <c r="R2285" s="57"/>
      <c r="S2285" s="58"/>
    </row>
    <row r="2286" spans="1:19" x14ac:dyDescent="0.25">
      <c r="A2286" s="51" t="str">
        <f>(COUNTIF($K$2:K2286,K2286))&amp;K2286</f>
        <v>1</v>
      </c>
      <c r="B2286" s="52"/>
      <c r="C2286" s="53"/>
      <c r="D2286" s="54"/>
      <c r="E2286" s="55"/>
      <c r="F2286" s="55"/>
      <c r="G2286" s="55"/>
      <c r="H2286" s="55"/>
      <c r="I2286" s="55"/>
      <c r="J2286" s="55"/>
      <c r="K2286" s="56"/>
      <c r="L2286" s="55"/>
      <c r="M2286" s="55"/>
      <c r="N2286" s="55"/>
      <c r="O2286" s="55"/>
      <c r="P2286" s="55"/>
      <c r="Q2286" s="55"/>
      <c r="R2286" s="57"/>
      <c r="S2286" s="58"/>
    </row>
    <row r="2287" spans="1:19" x14ac:dyDescent="0.25">
      <c r="A2287" s="51" t="str">
        <f>(COUNTIF($K$2:K2287,K2287))&amp;K2287</f>
        <v>1</v>
      </c>
      <c r="B2287" s="52"/>
      <c r="C2287" s="53"/>
      <c r="D2287" s="54"/>
      <c r="E2287" s="55"/>
      <c r="F2287" s="55"/>
      <c r="G2287" s="55"/>
      <c r="H2287" s="55"/>
      <c r="I2287" s="55"/>
      <c r="J2287" s="55"/>
      <c r="K2287" s="56"/>
      <c r="L2287" s="55"/>
      <c r="M2287" s="55"/>
      <c r="N2287" s="55"/>
      <c r="O2287" s="55"/>
      <c r="P2287" s="55"/>
      <c r="Q2287" s="55"/>
      <c r="R2287" s="57"/>
      <c r="S2287" s="58"/>
    </row>
    <row r="2288" spans="1:19" ht="15.75" x14ac:dyDescent="0.25">
      <c r="A2288" s="51" t="str">
        <f>(COUNTIF($K$2:K2288,K2288))&amp;K2288</f>
        <v>1</v>
      </c>
      <c r="B2288" s="52"/>
      <c r="C2288" s="53"/>
      <c r="D2288" s="54"/>
      <c r="E2288" s="55"/>
      <c r="F2288" s="55"/>
      <c r="G2288" s="55"/>
      <c r="H2288" s="55"/>
      <c r="I2288" s="55"/>
      <c r="J2288" s="55"/>
      <c r="K2288" s="59"/>
      <c r="L2288" s="55"/>
      <c r="M2288" s="55"/>
      <c r="N2288" s="55"/>
      <c r="O2288" s="55"/>
      <c r="P2288" s="55"/>
      <c r="Q2288" s="55"/>
      <c r="R2288" s="57"/>
      <c r="S2288" s="58"/>
    </row>
    <row r="2289" spans="1:19" x14ac:dyDescent="0.25">
      <c r="A2289" s="51" t="str">
        <f>(COUNTIF($K$2:K2289,K2289))&amp;K2289</f>
        <v>1</v>
      </c>
      <c r="B2289" s="52"/>
      <c r="C2289" s="53"/>
      <c r="D2289" s="54"/>
      <c r="E2289" s="55"/>
      <c r="F2289" s="55"/>
      <c r="G2289" s="55"/>
      <c r="H2289" s="55"/>
      <c r="I2289" s="55"/>
      <c r="J2289" s="55"/>
      <c r="K2289" s="56"/>
      <c r="L2289" s="55"/>
      <c r="M2289" s="55"/>
      <c r="N2289" s="55"/>
      <c r="O2289" s="55"/>
      <c r="P2289" s="55"/>
      <c r="Q2289" s="55"/>
      <c r="R2289" s="57"/>
      <c r="S2289" s="58"/>
    </row>
    <row r="2290" spans="1:19" x14ac:dyDescent="0.25">
      <c r="A2290" s="51" t="str">
        <f>(COUNTIF($K$2:K2290,K2290))&amp;K2290</f>
        <v>1</v>
      </c>
      <c r="B2290" s="52"/>
      <c r="C2290" s="53"/>
      <c r="D2290" s="54"/>
      <c r="E2290" s="55"/>
      <c r="F2290" s="55"/>
      <c r="G2290" s="55"/>
      <c r="H2290" s="55"/>
      <c r="I2290" s="55"/>
      <c r="J2290" s="55"/>
      <c r="K2290" s="56"/>
      <c r="L2290" s="55"/>
      <c r="M2290" s="55"/>
      <c r="N2290" s="55"/>
      <c r="O2290" s="55"/>
      <c r="P2290" s="55"/>
      <c r="Q2290" s="55"/>
      <c r="R2290" s="57"/>
      <c r="S2290" s="58"/>
    </row>
    <row r="2291" spans="1:19" x14ac:dyDescent="0.25">
      <c r="A2291" s="51" t="str">
        <f>(COUNTIF($K$2:K2291,K2291))&amp;K2291</f>
        <v>1</v>
      </c>
      <c r="B2291" s="52"/>
      <c r="C2291" s="53"/>
      <c r="D2291" s="54"/>
      <c r="E2291" s="55"/>
      <c r="F2291" s="55"/>
      <c r="G2291" s="55"/>
      <c r="H2291" s="55"/>
      <c r="I2291" s="55"/>
      <c r="J2291" s="55"/>
      <c r="K2291" s="56"/>
      <c r="L2291" s="55"/>
      <c r="M2291" s="55"/>
      <c r="N2291" s="55"/>
      <c r="O2291" s="55"/>
      <c r="P2291" s="55"/>
      <c r="Q2291" s="55"/>
      <c r="R2291" s="57"/>
      <c r="S2291" s="58"/>
    </row>
    <row r="2292" spans="1:19" x14ac:dyDescent="0.25">
      <c r="A2292" s="51" t="str">
        <f>(COUNTIF($K$2:K2292,K2292))&amp;K2292</f>
        <v>1</v>
      </c>
      <c r="B2292" s="52"/>
      <c r="C2292" s="53"/>
      <c r="D2292" s="54"/>
      <c r="E2292" s="55"/>
      <c r="F2292" s="55"/>
      <c r="G2292" s="55"/>
      <c r="H2292" s="55"/>
      <c r="I2292" s="55"/>
      <c r="J2292" s="55"/>
      <c r="K2292" s="56"/>
      <c r="L2292" s="55"/>
      <c r="M2292" s="55"/>
      <c r="N2292" s="55"/>
      <c r="O2292" s="55"/>
      <c r="P2292" s="55"/>
      <c r="Q2292" s="55"/>
      <c r="R2292" s="57"/>
      <c r="S2292" s="58"/>
    </row>
    <row r="2293" spans="1:19" x14ac:dyDescent="0.25">
      <c r="A2293" s="51" t="str">
        <f>(COUNTIF($K$2:K2293,K2293))&amp;K2293</f>
        <v>1</v>
      </c>
      <c r="B2293" s="52"/>
      <c r="C2293" s="53"/>
      <c r="D2293" s="54"/>
      <c r="E2293" s="55"/>
      <c r="F2293" s="55"/>
      <c r="G2293" s="55"/>
      <c r="H2293" s="55"/>
      <c r="I2293" s="55"/>
      <c r="J2293" s="55"/>
      <c r="K2293" s="56"/>
      <c r="L2293" s="55"/>
      <c r="M2293" s="55"/>
      <c r="N2293" s="55"/>
      <c r="O2293" s="55"/>
      <c r="P2293" s="55"/>
      <c r="Q2293" s="55"/>
      <c r="R2293" s="57"/>
      <c r="S2293" s="58"/>
    </row>
    <row r="2294" spans="1:19" x14ac:dyDescent="0.25">
      <c r="A2294" s="51" t="str">
        <f>(COUNTIF($K$2:K2294,K2294))&amp;K2294</f>
        <v>1</v>
      </c>
      <c r="B2294" s="52"/>
      <c r="C2294" s="53"/>
      <c r="D2294" s="54"/>
      <c r="E2294" s="55"/>
      <c r="F2294" s="55"/>
      <c r="G2294" s="55"/>
      <c r="H2294" s="55"/>
      <c r="I2294" s="55"/>
      <c r="J2294" s="55"/>
      <c r="K2294" s="56"/>
      <c r="L2294" s="55"/>
      <c r="M2294" s="55"/>
      <c r="N2294" s="55"/>
      <c r="O2294" s="55"/>
      <c r="P2294" s="55"/>
      <c r="Q2294" s="55"/>
      <c r="R2294" s="57"/>
      <c r="S2294" s="58"/>
    </row>
    <row r="2295" spans="1:19" x14ac:dyDescent="0.25">
      <c r="A2295" s="51" t="str">
        <f>(COUNTIF($K$2:K2295,K2295))&amp;K2295</f>
        <v>1</v>
      </c>
      <c r="B2295" s="52"/>
      <c r="C2295" s="53"/>
      <c r="D2295" s="54"/>
      <c r="E2295" s="55"/>
      <c r="F2295" s="55"/>
      <c r="G2295" s="55"/>
      <c r="H2295" s="55"/>
      <c r="I2295" s="55"/>
      <c r="J2295" s="55"/>
      <c r="K2295" s="56"/>
      <c r="L2295" s="55"/>
      <c r="M2295" s="55"/>
      <c r="N2295" s="55"/>
      <c r="O2295" s="55"/>
      <c r="P2295" s="55"/>
      <c r="Q2295" s="55"/>
      <c r="R2295" s="57"/>
      <c r="S2295" s="58"/>
    </row>
    <row r="2296" spans="1:19" x14ac:dyDescent="0.25">
      <c r="A2296" s="51" t="str">
        <f>(COUNTIF($K$2:K2296,K2296))&amp;K2296</f>
        <v>1</v>
      </c>
      <c r="B2296" s="52"/>
      <c r="C2296" s="60"/>
      <c r="E2296" s="61"/>
      <c r="F2296" s="62"/>
      <c r="G2296" s="63"/>
      <c r="H2296" s="64"/>
      <c r="I2296" s="64"/>
      <c r="J2296" s="64"/>
      <c r="K2296" s="65"/>
      <c r="L2296" s="64"/>
      <c r="M2296" s="64"/>
      <c r="N2296" s="64"/>
      <c r="P2296" s="63"/>
      <c r="Q2296" s="61"/>
      <c r="R2296" s="64"/>
      <c r="S2296" s="64"/>
    </row>
    <row r="2297" spans="1:19" x14ac:dyDescent="0.25">
      <c r="A2297" s="51" t="str">
        <f>(COUNTIF($K$2:K2297,K2297))&amp;K2297</f>
        <v>1</v>
      </c>
      <c r="B2297" s="52"/>
      <c r="C2297" s="53"/>
      <c r="D2297" s="54"/>
      <c r="E2297" s="55"/>
      <c r="F2297" s="55"/>
      <c r="G2297" s="55"/>
      <c r="H2297" s="55"/>
      <c r="I2297" s="55"/>
      <c r="J2297" s="55"/>
      <c r="K2297" s="56"/>
      <c r="L2297" s="55"/>
      <c r="M2297" s="55"/>
      <c r="N2297" s="55"/>
      <c r="O2297" s="55"/>
      <c r="P2297" s="55"/>
      <c r="Q2297" s="55"/>
      <c r="R2297" s="57"/>
      <c r="S2297" s="58"/>
    </row>
    <row r="2298" spans="1:19" x14ac:dyDescent="0.25">
      <c r="A2298" s="51" t="str">
        <f>(COUNTIF($K$2:K2298,K2298))&amp;K2298</f>
        <v>1</v>
      </c>
      <c r="B2298" s="52"/>
      <c r="C2298" s="53"/>
      <c r="D2298" s="54"/>
      <c r="E2298" s="55"/>
      <c r="F2298" s="55"/>
      <c r="G2298" s="55"/>
      <c r="H2298" s="55"/>
      <c r="I2298" s="55"/>
      <c r="J2298" s="55"/>
      <c r="K2298" s="56"/>
      <c r="L2298" s="55"/>
      <c r="M2298" s="55"/>
      <c r="N2298" s="55"/>
      <c r="O2298" s="55"/>
      <c r="P2298" s="55"/>
      <c r="Q2298" s="55"/>
      <c r="R2298" s="57"/>
      <c r="S2298" s="58"/>
    </row>
    <row r="2299" spans="1:19" x14ac:dyDescent="0.25">
      <c r="A2299" s="51" t="str">
        <f>(COUNTIF($K$2:K2299,K2299))&amp;K2299</f>
        <v>1</v>
      </c>
      <c r="B2299" s="52"/>
      <c r="C2299" s="53"/>
      <c r="D2299" s="54"/>
      <c r="E2299" s="55"/>
      <c r="F2299" s="55"/>
      <c r="G2299" s="55"/>
      <c r="H2299" s="55"/>
      <c r="I2299" s="55"/>
      <c r="J2299" s="55"/>
      <c r="K2299" s="56"/>
      <c r="L2299" s="55"/>
      <c r="M2299" s="55"/>
      <c r="N2299" s="55"/>
      <c r="O2299" s="55"/>
      <c r="P2299" s="55"/>
      <c r="Q2299" s="55"/>
      <c r="R2299" s="57"/>
      <c r="S2299" s="58"/>
    </row>
    <row r="2300" spans="1:19" x14ac:dyDescent="0.25">
      <c r="A2300" s="51" t="str">
        <f>(COUNTIF($K$2:K2300,K2300))&amp;K2300</f>
        <v>1</v>
      </c>
      <c r="B2300" s="52"/>
      <c r="C2300" s="53"/>
      <c r="D2300" s="54"/>
      <c r="E2300" s="55"/>
      <c r="F2300" s="55"/>
      <c r="G2300" s="55"/>
      <c r="H2300" s="55"/>
      <c r="I2300" s="55"/>
      <c r="J2300" s="55"/>
      <c r="K2300" s="56"/>
      <c r="L2300" s="55"/>
      <c r="M2300" s="55"/>
      <c r="N2300" s="55"/>
      <c r="O2300" s="55"/>
      <c r="P2300" s="55"/>
      <c r="Q2300" s="55"/>
      <c r="R2300" s="57"/>
      <c r="S2300" s="58"/>
    </row>
    <row r="2301" spans="1:19" x14ac:dyDescent="0.25">
      <c r="A2301" s="51" t="str">
        <f>(COUNTIF($K$2:K2301,K2301))&amp;K2301</f>
        <v>1</v>
      </c>
      <c r="B2301" s="52"/>
      <c r="C2301" s="53"/>
      <c r="D2301" s="54"/>
      <c r="E2301" s="55"/>
      <c r="F2301" s="55"/>
      <c r="G2301" s="55"/>
      <c r="H2301" s="55"/>
      <c r="I2301" s="55"/>
      <c r="J2301" s="55"/>
      <c r="K2301" s="56"/>
      <c r="L2301" s="55"/>
      <c r="M2301" s="55"/>
      <c r="N2301" s="55"/>
      <c r="O2301" s="55"/>
      <c r="P2301" s="55"/>
      <c r="Q2301" s="55"/>
      <c r="R2301" s="57"/>
      <c r="S2301" s="58"/>
    </row>
    <row r="2302" spans="1:19" x14ac:dyDescent="0.25">
      <c r="A2302" s="51" t="str">
        <f>(COUNTIF($K$2:K2302,K2302))&amp;K2302</f>
        <v>1</v>
      </c>
      <c r="B2302" s="52"/>
      <c r="C2302" s="53"/>
      <c r="D2302" s="54"/>
      <c r="E2302" s="55"/>
      <c r="F2302" s="55"/>
      <c r="G2302" s="55"/>
      <c r="H2302" s="55"/>
      <c r="I2302" s="55"/>
      <c r="J2302" s="55"/>
      <c r="K2302" s="56"/>
      <c r="L2302" s="55"/>
      <c r="M2302" s="55"/>
      <c r="N2302" s="55"/>
      <c r="O2302" s="55"/>
      <c r="P2302" s="55"/>
      <c r="Q2302" s="55"/>
      <c r="R2302" s="57"/>
      <c r="S2302" s="58"/>
    </row>
    <row r="2303" spans="1:19" x14ac:dyDescent="0.25">
      <c r="A2303" s="51" t="str">
        <f>(COUNTIF($K$2:K2303,K2303))&amp;K2303</f>
        <v>1</v>
      </c>
      <c r="B2303" s="52"/>
      <c r="C2303" s="53"/>
      <c r="D2303" s="54"/>
      <c r="E2303" s="55"/>
      <c r="F2303" s="55"/>
      <c r="G2303" s="55"/>
      <c r="H2303" s="55"/>
      <c r="I2303" s="55"/>
      <c r="J2303" s="55"/>
      <c r="K2303" s="56"/>
      <c r="L2303" s="55"/>
      <c r="M2303" s="55"/>
      <c r="N2303" s="55"/>
      <c r="O2303" s="55"/>
      <c r="P2303" s="55"/>
      <c r="Q2303" s="55"/>
      <c r="R2303" s="57"/>
      <c r="S2303" s="58"/>
    </row>
    <row r="2304" spans="1:19" x14ac:dyDescent="0.25">
      <c r="A2304" s="51" t="str">
        <f>(COUNTIF($K$2:K2304,K2304))&amp;K2304</f>
        <v>1</v>
      </c>
      <c r="B2304" s="52"/>
      <c r="C2304" s="53"/>
      <c r="D2304" s="54"/>
      <c r="E2304" s="55"/>
      <c r="F2304" s="55"/>
      <c r="G2304" s="55"/>
      <c r="H2304" s="55"/>
      <c r="I2304" s="55"/>
      <c r="J2304" s="55"/>
      <c r="K2304" s="56"/>
      <c r="L2304" s="55"/>
      <c r="M2304" s="55"/>
      <c r="N2304" s="55"/>
      <c r="O2304" s="55"/>
      <c r="P2304" s="55"/>
      <c r="Q2304" s="55"/>
      <c r="R2304" s="57"/>
      <c r="S2304" s="58"/>
    </row>
    <row r="2305" spans="1:19" ht="15.75" x14ac:dyDescent="0.25">
      <c r="A2305" s="51" t="str">
        <f>(COUNTIF($K$2:K2305,K2305))&amp;K2305</f>
        <v>1</v>
      </c>
      <c r="B2305" s="52"/>
      <c r="C2305" s="53"/>
      <c r="D2305" s="54"/>
      <c r="E2305" s="55"/>
      <c r="F2305" s="55"/>
      <c r="G2305" s="55"/>
      <c r="H2305" s="55"/>
      <c r="I2305" s="55"/>
      <c r="J2305" s="55"/>
      <c r="K2305" s="59"/>
      <c r="L2305" s="55"/>
      <c r="M2305" s="55"/>
      <c r="N2305" s="55"/>
      <c r="O2305" s="55"/>
      <c r="P2305" s="55"/>
      <c r="Q2305" s="55"/>
      <c r="R2305" s="57"/>
      <c r="S2305" s="58"/>
    </row>
    <row r="2306" spans="1:19" x14ac:dyDescent="0.25">
      <c r="A2306" s="51" t="str">
        <f>(COUNTIF($K$2:K2306,K2306))&amp;K2306</f>
        <v>1</v>
      </c>
      <c r="B2306" s="52"/>
      <c r="C2306" s="53"/>
      <c r="D2306" s="54"/>
      <c r="E2306" s="55"/>
      <c r="F2306" s="55"/>
      <c r="G2306" s="55"/>
      <c r="H2306" s="55"/>
      <c r="I2306" s="55"/>
      <c r="J2306" s="55"/>
      <c r="K2306" s="56"/>
      <c r="L2306" s="55"/>
      <c r="M2306" s="55"/>
      <c r="N2306" s="55"/>
      <c r="O2306" s="55"/>
      <c r="P2306" s="55"/>
      <c r="Q2306" s="55"/>
      <c r="R2306" s="57"/>
      <c r="S2306" s="58"/>
    </row>
    <row r="2307" spans="1:19" x14ac:dyDescent="0.25">
      <c r="A2307" s="51" t="str">
        <f>(COUNTIF($K$2:K2307,K2307))&amp;K2307</f>
        <v>1</v>
      </c>
      <c r="B2307" s="52"/>
      <c r="C2307" s="53"/>
      <c r="D2307" s="54"/>
      <c r="E2307" s="55"/>
      <c r="F2307" s="55"/>
      <c r="G2307" s="55"/>
      <c r="H2307" s="55"/>
      <c r="I2307" s="55"/>
      <c r="J2307" s="55"/>
      <c r="K2307" s="56"/>
      <c r="L2307" s="55"/>
      <c r="M2307" s="55"/>
      <c r="N2307" s="55"/>
      <c r="O2307" s="55"/>
      <c r="P2307" s="55"/>
      <c r="Q2307" s="55"/>
      <c r="R2307" s="57"/>
      <c r="S2307" s="58"/>
    </row>
    <row r="2308" spans="1:19" x14ac:dyDescent="0.25">
      <c r="A2308" s="51" t="str">
        <f>(COUNTIF($K$2:K2308,K2308))&amp;K2308</f>
        <v>1</v>
      </c>
      <c r="B2308" s="52"/>
      <c r="C2308" s="53"/>
      <c r="D2308" s="54"/>
      <c r="E2308" s="55"/>
      <c r="F2308" s="55"/>
      <c r="G2308" s="55"/>
      <c r="H2308" s="55"/>
      <c r="I2308" s="55"/>
      <c r="J2308" s="55"/>
      <c r="K2308" s="56"/>
      <c r="L2308" s="55"/>
      <c r="M2308" s="55"/>
      <c r="N2308" s="55"/>
      <c r="O2308" s="55"/>
      <c r="P2308" s="55"/>
      <c r="Q2308" s="55"/>
      <c r="R2308" s="57"/>
      <c r="S2308" s="58"/>
    </row>
    <row r="2309" spans="1:19" x14ac:dyDescent="0.25">
      <c r="A2309" s="51" t="str">
        <f>(COUNTIF($K$2:K2309,K2309))&amp;K2309</f>
        <v>1</v>
      </c>
      <c r="B2309" s="52"/>
      <c r="C2309" s="53"/>
      <c r="D2309" s="54"/>
      <c r="E2309" s="55"/>
      <c r="F2309" s="55"/>
      <c r="G2309" s="55"/>
      <c r="H2309" s="55"/>
      <c r="I2309" s="55"/>
      <c r="J2309" s="55"/>
      <c r="K2309" s="56"/>
      <c r="L2309" s="55"/>
      <c r="M2309" s="55"/>
      <c r="N2309" s="55"/>
      <c r="O2309" s="55"/>
      <c r="P2309" s="55"/>
      <c r="Q2309" s="55"/>
      <c r="R2309" s="57"/>
      <c r="S2309" s="58"/>
    </row>
    <row r="2310" spans="1:19" x14ac:dyDescent="0.25">
      <c r="A2310" s="51" t="str">
        <f>(COUNTIF($K$2:K2310,K2310))&amp;K2310</f>
        <v>1</v>
      </c>
      <c r="B2310" s="52"/>
      <c r="C2310" s="53"/>
      <c r="D2310" s="54"/>
      <c r="E2310" s="55"/>
      <c r="F2310" s="55"/>
      <c r="G2310" s="55"/>
      <c r="H2310" s="55"/>
      <c r="I2310" s="55"/>
      <c r="J2310" s="55"/>
      <c r="K2310" s="56"/>
      <c r="L2310" s="55"/>
      <c r="M2310" s="55"/>
      <c r="N2310" s="55"/>
      <c r="O2310" s="55"/>
      <c r="P2310" s="55"/>
      <c r="Q2310" s="55"/>
      <c r="R2310" s="57"/>
      <c r="S2310" s="58"/>
    </row>
    <row r="2311" spans="1:19" x14ac:dyDescent="0.25">
      <c r="A2311" s="51" t="str">
        <f>(COUNTIF($K$2:K2311,K2311))&amp;K2311</f>
        <v>1</v>
      </c>
      <c r="B2311" s="52"/>
      <c r="C2311" s="53"/>
      <c r="D2311" s="54"/>
      <c r="E2311" s="55"/>
      <c r="F2311" s="55"/>
      <c r="G2311" s="55"/>
      <c r="H2311" s="55"/>
      <c r="I2311" s="55"/>
      <c r="J2311" s="55"/>
      <c r="K2311" s="56"/>
      <c r="L2311" s="55"/>
      <c r="M2311" s="55"/>
      <c r="N2311" s="55"/>
      <c r="O2311" s="55"/>
      <c r="P2311" s="55"/>
      <c r="Q2311" s="55"/>
      <c r="R2311" s="57"/>
      <c r="S2311" s="58"/>
    </row>
    <row r="2312" spans="1:19" x14ac:dyDescent="0.25">
      <c r="A2312" s="51" t="str">
        <f>(COUNTIF($K$2:K2312,K2312))&amp;K2312</f>
        <v>1</v>
      </c>
      <c r="B2312" s="52"/>
      <c r="C2312" s="53"/>
      <c r="D2312" s="54"/>
      <c r="E2312" s="55"/>
      <c r="F2312" s="55"/>
      <c r="G2312" s="55"/>
      <c r="H2312" s="55"/>
      <c r="I2312" s="55"/>
      <c r="J2312" s="55"/>
      <c r="K2312" s="56"/>
      <c r="L2312" s="55"/>
      <c r="M2312" s="55"/>
      <c r="N2312" s="55"/>
      <c r="O2312" s="55"/>
      <c r="P2312" s="55"/>
      <c r="Q2312" s="55"/>
      <c r="R2312" s="57"/>
      <c r="S2312" s="58"/>
    </row>
    <row r="2313" spans="1:19" x14ac:dyDescent="0.25">
      <c r="A2313" s="51" t="str">
        <f>(COUNTIF($K$2:K2313,K2313))&amp;K2313</f>
        <v>1</v>
      </c>
      <c r="B2313" s="52"/>
      <c r="C2313" s="60"/>
      <c r="E2313" s="61"/>
      <c r="F2313" s="62"/>
      <c r="G2313" s="63"/>
      <c r="H2313" s="64"/>
      <c r="I2313" s="64"/>
      <c r="J2313" s="64"/>
      <c r="K2313" s="65"/>
      <c r="L2313" s="64"/>
      <c r="M2313" s="64"/>
      <c r="N2313" s="64"/>
      <c r="P2313" s="63"/>
      <c r="Q2313" s="61"/>
      <c r="R2313" s="64"/>
      <c r="S2313" s="64"/>
    </row>
    <row r="2314" spans="1:19" x14ac:dyDescent="0.25">
      <c r="A2314" s="51" t="str">
        <f>(COUNTIF($K$2:K2314,K2314))&amp;K2314</f>
        <v>1</v>
      </c>
      <c r="B2314" s="52"/>
      <c r="C2314" s="53"/>
      <c r="D2314" s="54"/>
      <c r="E2314" s="55"/>
      <c r="F2314" s="55"/>
      <c r="G2314" s="55"/>
      <c r="H2314" s="55"/>
      <c r="I2314" s="55"/>
      <c r="J2314" s="55"/>
      <c r="K2314" s="56"/>
      <c r="L2314" s="55"/>
      <c r="M2314" s="55"/>
      <c r="N2314" s="55"/>
      <c r="O2314" s="55"/>
      <c r="P2314" s="55"/>
      <c r="Q2314" s="55"/>
      <c r="R2314" s="57"/>
      <c r="S2314" s="58"/>
    </row>
    <row r="2315" spans="1:19" x14ac:dyDescent="0.25">
      <c r="A2315" s="51" t="str">
        <f>(COUNTIF($K$2:K2315,K2315))&amp;K2315</f>
        <v>1</v>
      </c>
      <c r="B2315" s="52"/>
      <c r="C2315" s="53"/>
      <c r="D2315" s="54"/>
      <c r="E2315" s="55"/>
      <c r="F2315" s="55"/>
      <c r="G2315" s="55"/>
      <c r="H2315" s="55"/>
      <c r="I2315" s="55"/>
      <c r="J2315" s="55"/>
      <c r="K2315" s="56"/>
      <c r="L2315" s="55"/>
      <c r="M2315" s="55"/>
      <c r="N2315" s="55"/>
      <c r="O2315" s="55"/>
      <c r="P2315" s="55"/>
      <c r="Q2315" s="55"/>
      <c r="R2315" s="57"/>
      <c r="S2315" s="58"/>
    </row>
    <row r="2316" spans="1:19" x14ac:dyDescent="0.25">
      <c r="A2316" s="51" t="str">
        <f>(COUNTIF($K$2:K2316,K2316))&amp;K2316</f>
        <v>1</v>
      </c>
      <c r="B2316" s="52"/>
      <c r="C2316" s="53"/>
      <c r="D2316" s="54"/>
      <c r="E2316" s="55"/>
      <c r="F2316" s="55"/>
      <c r="G2316" s="55"/>
      <c r="H2316" s="55"/>
      <c r="I2316" s="55"/>
      <c r="J2316" s="55"/>
      <c r="K2316" s="56"/>
      <c r="L2316" s="55"/>
      <c r="M2316" s="55"/>
      <c r="N2316" s="55"/>
      <c r="O2316" s="55"/>
      <c r="P2316" s="55"/>
      <c r="Q2316" s="55"/>
      <c r="R2316" s="57"/>
      <c r="S2316" s="58"/>
    </row>
    <row r="2317" spans="1:19" x14ac:dyDescent="0.25">
      <c r="A2317" s="51" t="str">
        <f>(COUNTIF($K$2:K2317,K2317))&amp;K2317</f>
        <v>1</v>
      </c>
      <c r="B2317" s="52"/>
      <c r="C2317" s="53"/>
      <c r="D2317" s="54"/>
      <c r="E2317" s="55"/>
      <c r="F2317" s="55"/>
      <c r="G2317" s="55"/>
      <c r="H2317" s="55"/>
      <c r="I2317" s="55"/>
      <c r="J2317" s="55"/>
      <c r="K2317" s="56"/>
      <c r="L2317" s="55"/>
      <c r="M2317" s="55"/>
      <c r="N2317" s="55"/>
      <c r="O2317" s="55"/>
      <c r="P2317" s="55"/>
      <c r="Q2317" s="55"/>
      <c r="R2317" s="57"/>
      <c r="S2317" s="58"/>
    </row>
    <row r="2318" spans="1:19" x14ac:dyDescent="0.25">
      <c r="A2318" s="51" t="str">
        <f>(COUNTIF($K$2:K2318,K2318))&amp;K2318</f>
        <v>1</v>
      </c>
      <c r="B2318" s="52"/>
      <c r="C2318" s="53"/>
      <c r="D2318" s="54"/>
      <c r="E2318" s="55"/>
      <c r="F2318" s="55"/>
      <c r="G2318" s="55"/>
      <c r="H2318" s="55"/>
      <c r="I2318" s="55"/>
      <c r="J2318" s="55"/>
      <c r="K2318" s="56"/>
      <c r="L2318" s="55"/>
      <c r="M2318" s="55"/>
      <c r="N2318" s="55"/>
      <c r="O2318" s="55"/>
      <c r="P2318" s="55"/>
      <c r="Q2318" s="55"/>
      <c r="R2318" s="57"/>
      <c r="S2318" s="58"/>
    </row>
    <row r="2319" spans="1:19" x14ac:dyDescent="0.25">
      <c r="A2319" s="51" t="str">
        <f>(COUNTIF($K$2:K2319,K2319))&amp;K2319</f>
        <v>1</v>
      </c>
      <c r="B2319" s="52"/>
      <c r="C2319" s="53"/>
      <c r="D2319" s="54"/>
      <c r="E2319" s="55"/>
      <c r="F2319" s="55"/>
      <c r="G2319" s="55"/>
      <c r="H2319" s="55"/>
      <c r="I2319" s="55"/>
      <c r="J2319" s="55"/>
      <c r="K2319" s="56"/>
      <c r="L2319" s="55"/>
      <c r="M2319" s="55"/>
      <c r="N2319" s="55"/>
      <c r="O2319" s="55"/>
      <c r="P2319" s="55"/>
      <c r="Q2319" s="55"/>
      <c r="R2319" s="57"/>
      <c r="S2319" s="58"/>
    </row>
    <row r="2320" spans="1:19" x14ac:dyDescent="0.25">
      <c r="A2320" s="51" t="str">
        <f>(COUNTIF($K$2:K2320,K2320))&amp;K2320</f>
        <v>1</v>
      </c>
      <c r="B2320" s="52"/>
      <c r="C2320" s="53"/>
      <c r="D2320" s="54"/>
      <c r="E2320" s="55"/>
      <c r="F2320" s="55"/>
      <c r="G2320" s="55"/>
      <c r="H2320" s="55"/>
      <c r="I2320" s="55"/>
      <c r="J2320" s="55"/>
      <c r="K2320" s="56"/>
      <c r="L2320" s="55"/>
      <c r="M2320" s="55"/>
      <c r="N2320" s="55"/>
      <c r="O2320" s="55"/>
      <c r="P2320" s="55"/>
      <c r="Q2320" s="55"/>
      <c r="R2320" s="57"/>
      <c r="S2320" s="58"/>
    </row>
    <row r="2321" spans="1:19" x14ac:dyDescent="0.25">
      <c r="A2321" s="51" t="str">
        <f>(COUNTIF($K$2:K2321,K2321))&amp;K2321</f>
        <v>1</v>
      </c>
      <c r="B2321" s="52"/>
      <c r="C2321" s="53"/>
      <c r="D2321" s="54"/>
      <c r="E2321" s="55"/>
      <c r="F2321" s="55"/>
      <c r="G2321" s="55"/>
      <c r="H2321" s="55"/>
      <c r="I2321" s="55"/>
      <c r="J2321" s="55"/>
      <c r="K2321" s="56"/>
      <c r="L2321" s="55"/>
      <c r="M2321" s="55"/>
      <c r="N2321" s="55"/>
      <c r="O2321" s="55"/>
      <c r="P2321" s="55"/>
      <c r="Q2321" s="55"/>
      <c r="R2321" s="57"/>
      <c r="S2321" s="58"/>
    </row>
    <row r="2322" spans="1:19" ht="15.75" x14ac:dyDescent="0.25">
      <c r="A2322" s="51" t="str">
        <f>(COUNTIF($K$2:K2322,K2322))&amp;K2322</f>
        <v>1</v>
      </c>
      <c r="B2322" s="52"/>
      <c r="C2322" s="53"/>
      <c r="D2322" s="54"/>
      <c r="E2322" s="55"/>
      <c r="F2322" s="55"/>
      <c r="G2322" s="55"/>
      <c r="H2322" s="55"/>
      <c r="I2322" s="55"/>
      <c r="J2322" s="55"/>
      <c r="K2322" s="59"/>
      <c r="L2322" s="55"/>
      <c r="M2322" s="55"/>
      <c r="N2322" s="55"/>
      <c r="O2322" s="55"/>
      <c r="P2322" s="55"/>
      <c r="Q2322" s="55"/>
      <c r="R2322" s="57"/>
      <c r="S2322" s="58"/>
    </row>
    <row r="2323" spans="1:19" x14ac:dyDescent="0.25">
      <c r="A2323" s="51" t="str">
        <f>(COUNTIF($K$2:K2323,K2323))&amp;K2323</f>
        <v>1</v>
      </c>
      <c r="B2323" s="52"/>
      <c r="C2323" s="53"/>
      <c r="D2323" s="54"/>
      <c r="E2323" s="55"/>
      <c r="F2323" s="55"/>
      <c r="G2323" s="55"/>
      <c r="H2323" s="55"/>
      <c r="I2323" s="55"/>
      <c r="J2323" s="55"/>
      <c r="K2323" s="56"/>
      <c r="L2323" s="55"/>
      <c r="M2323" s="55"/>
      <c r="N2323" s="55"/>
      <c r="O2323" s="55"/>
      <c r="P2323" s="55"/>
      <c r="Q2323" s="55"/>
      <c r="R2323" s="57"/>
      <c r="S2323" s="58"/>
    </row>
    <row r="2324" spans="1:19" x14ac:dyDescent="0.25">
      <c r="A2324" s="51" t="str">
        <f>(COUNTIF($K$2:K2324,K2324))&amp;K2324</f>
        <v>1</v>
      </c>
      <c r="B2324" s="52"/>
      <c r="C2324" s="53"/>
      <c r="D2324" s="54"/>
      <c r="E2324" s="55"/>
      <c r="F2324" s="55"/>
      <c r="G2324" s="55"/>
      <c r="H2324" s="55"/>
      <c r="I2324" s="55"/>
      <c r="J2324" s="55"/>
      <c r="K2324" s="56"/>
      <c r="L2324" s="55"/>
      <c r="M2324" s="55"/>
      <c r="N2324" s="55"/>
      <c r="O2324" s="55"/>
      <c r="P2324" s="55"/>
      <c r="Q2324" s="55"/>
      <c r="R2324" s="57"/>
      <c r="S2324" s="58"/>
    </row>
    <row r="2325" spans="1:19" x14ac:dyDescent="0.25">
      <c r="A2325" s="51" t="str">
        <f>(COUNTIF($K$2:K2325,K2325))&amp;K2325</f>
        <v>1</v>
      </c>
      <c r="B2325" s="52"/>
      <c r="C2325" s="53"/>
      <c r="D2325" s="54"/>
      <c r="E2325" s="55"/>
      <c r="F2325" s="55"/>
      <c r="G2325" s="55"/>
      <c r="H2325" s="55"/>
      <c r="I2325" s="55"/>
      <c r="J2325" s="55"/>
      <c r="K2325" s="56"/>
      <c r="L2325" s="55"/>
      <c r="M2325" s="55"/>
      <c r="N2325" s="55"/>
      <c r="O2325" s="55"/>
      <c r="P2325" s="55"/>
      <c r="Q2325" s="55"/>
      <c r="R2325" s="57"/>
      <c r="S2325" s="58"/>
    </row>
    <row r="2326" spans="1:19" x14ac:dyDescent="0.25">
      <c r="A2326" s="51" t="str">
        <f>(COUNTIF($K$2:K2326,K2326))&amp;K2326</f>
        <v>1</v>
      </c>
      <c r="B2326" s="52"/>
      <c r="C2326" s="53"/>
      <c r="D2326" s="54"/>
      <c r="E2326" s="55"/>
      <c r="F2326" s="55"/>
      <c r="G2326" s="55"/>
      <c r="H2326" s="55"/>
      <c r="I2326" s="55"/>
      <c r="J2326" s="55"/>
      <c r="K2326" s="56"/>
      <c r="L2326" s="55"/>
      <c r="M2326" s="55"/>
      <c r="N2326" s="55"/>
      <c r="O2326" s="55"/>
      <c r="P2326" s="55"/>
      <c r="Q2326" s="55"/>
      <c r="R2326" s="57"/>
      <c r="S2326" s="58"/>
    </row>
    <row r="2327" spans="1:19" x14ac:dyDescent="0.25">
      <c r="A2327" s="51" t="str">
        <f>(COUNTIF($K$2:K2327,K2327))&amp;K2327</f>
        <v>1</v>
      </c>
      <c r="B2327" s="52"/>
      <c r="C2327" s="53"/>
      <c r="D2327" s="54"/>
      <c r="E2327" s="55"/>
      <c r="F2327" s="55"/>
      <c r="G2327" s="55"/>
      <c r="H2327" s="55"/>
      <c r="I2327" s="55"/>
      <c r="J2327" s="55"/>
      <c r="K2327" s="56"/>
      <c r="L2327" s="55"/>
      <c r="M2327" s="55"/>
      <c r="N2327" s="55"/>
      <c r="O2327" s="55"/>
      <c r="P2327" s="55"/>
      <c r="Q2327" s="55"/>
      <c r="R2327" s="57"/>
      <c r="S2327" s="58"/>
    </row>
    <row r="2328" spans="1:19" x14ac:dyDescent="0.25">
      <c r="A2328" s="51" t="str">
        <f>(COUNTIF($K$2:K2328,K2328))&amp;K2328</f>
        <v>1</v>
      </c>
      <c r="B2328" s="52"/>
      <c r="C2328" s="53"/>
      <c r="D2328" s="54"/>
      <c r="E2328" s="55"/>
      <c r="F2328" s="55"/>
      <c r="G2328" s="55"/>
      <c r="H2328" s="55"/>
      <c r="I2328" s="55"/>
      <c r="J2328" s="55"/>
      <c r="K2328" s="56"/>
      <c r="L2328" s="55"/>
      <c r="M2328" s="55"/>
      <c r="N2328" s="55"/>
      <c r="O2328" s="55"/>
      <c r="P2328" s="55"/>
      <c r="Q2328" s="55"/>
      <c r="R2328" s="57"/>
      <c r="S2328" s="58"/>
    </row>
    <row r="2329" spans="1:19" x14ac:dyDescent="0.25">
      <c r="A2329" s="51" t="str">
        <f>(COUNTIF($K$2:K2329,K2329))&amp;K2329</f>
        <v>1</v>
      </c>
      <c r="B2329" s="52"/>
      <c r="C2329" s="53"/>
      <c r="D2329" s="54"/>
      <c r="E2329" s="55"/>
      <c r="F2329" s="55"/>
      <c r="G2329" s="55"/>
      <c r="H2329" s="55"/>
      <c r="I2329" s="55"/>
      <c r="J2329" s="55"/>
      <c r="K2329" s="56"/>
      <c r="L2329" s="55"/>
      <c r="M2329" s="55"/>
      <c r="N2329" s="55"/>
      <c r="O2329" s="55"/>
      <c r="P2329" s="55"/>
      <c r="Q2329" s="55"/>
      <c r="R2329" s="57"/>
      <c r="S2329" s="58"/>
    </row>
    <row r="2330" spans="1:19" x14ac:dyDescent="0.25">
      <c r="A2330" s="51" t="str">
        <f>(COUNTIF($K$2:K2330,K2330))&amp;K2330</f>
        <v>1</v>
      </c>
      <c r="B2330" s="52"/>
      <c r="C2330" s="60"/>
      <c r="E2330" s="61"/>
      <c r="F2330" s="62"/>
      <c r="G2330" s="63"/>
      <c r="H2330" s="64"/>
      <c r="I2330" s="64"/>
      <c r="J2330" s="64"/>
      <c r="K2330" s="65"/>
      <c r="L2330" s="64"/>
      <c r="M2330" s="64"/>
      <c r="N2330" s="64"/>
      <c r="P2330" s="63"/>
      <c r="Q2330" s="61"/>
      <c r="R2330" s="64"/>
      <c r="S2330" s="64"/>
    </row>
    <row r="2331" spans="1:19" x14ac:dyDescent="0.25">
      <c r="A2331" s="51" t="str">
        <f>(COUNTIF($K$2:K2331,K2331))&amp;K2331</f>
        <v>1</v>
      </c>
      <c r="B2331" s="52"/>
      <c r="C2331" s="53"/>
      <c r="D2331" s="54"/>
      <c r="E2331" s="55"/>
      <c r="F2331" s="55"/>
      <c r="G2331" s="55"/>
      <c r="H2331" s="55"/>
      <c r="I2331" s="55"/>
      <c r="J2331" s="55"/>
      <c r="K2331" s="56"/>
      <c r="L2331" s="55"/>
      <c r="M2331" s="55"/>
      <c r="N2331" s="55"/>
      <c r="O2331" s="55"/>
      <c r="P2331" s="55"/>
      <c r="Q2331" s="55"/>
      <c r="R2331" s="57"/>
      <c r="S2331" s="58"/>
    </row>
    <row r="2332" spans="1:19" x14ac:dyDescent="0.25">
      <c r="A2332" s="51" t="str">
        <f>(COUNTIF($K$2:K2332,K2332))&amp;K2332</f>
        <v>1</v>
      </c>
      <c r="B2332" s="52"/>
      <c r="C2332" s="53"/>
      <c r="D2332" s="54"/>
      <c r="E2332" s="55"/>
      <c r="F2332" s="55"/>
      <c r="G2332" s="55"/>
      <c r="H2332" s="55"/>
      <c r="I2332" s="55"/>
      <c r="J2332" s="55"/>
      <c r="K2332" s="56"/>
      <c r="L2332" s="55"/>
      <c r="M2332" s="55"/>
      <c r="N2332" s="55"/>
      <c r="O2332" s="55"/>
      <c r="P2332" s="55"/>
      <c r="Q2332" s="55"/>
      <c r="R2332" s="57"/>
      <c r="S2332" s="58"/>
    </row>
    <row r="2333" spans="1:19" x14ac:dyDescent="0.25">
      <c r="A2333" s="51" t="str">
        <f>(COUNTIF($K$2:K2333,K2333))&amp;K2333</f>
        <v>1</v>
      </c>
      <c r="B2333" s="52"/>
      <c r="C2333" s="53"/>
      <c r="D2333" s="54"/>
      <c r="E2333" s="55"/>
      <c r="F2333" s="55"/>
      <c r="G2333" s="55"/>
      <c r="H2333" s="55"/>
      <c r="I2333" s="55"/>
      <c r="J2333" s="55"/>
      <c r="K2333" s="56"/>
      <c r="L2333" s="55"/>
      <c r="M2333" s="55"/>
      <c r="N2333" s="55"/>
      <c r="O2333" s="55"/>
      <c r="P2333" s="55"/>
      <c r="Q2333" s="55"/>
      <c r="R2333" s="57"/>
      <c r="S2333" s="58"/>
    </row>
    <row r="2334" spans="1:19" x14ac:dyDescent="0.25">
      <c r="A2334" s="51" t="str">
        <f>(COUNTIF($K$2:K2334,K2334))&amp;K2334</f>
        <v>1</v>
      </c>
      <c r="B2334" s="52"/>
      <c r="C2334" s="53"/>
      <c r="D2334" s="54"/>
      <c r="E2334" s="55"/>
      <c r="F2334" s="55"/>
      <c r="G2334" s="55"/>
      <c r="H2334" s="55"/>
      <c r="I2334" s="55"/>
      <c r="J2334" s="55"/>
      <c r="K2334" s="56"/>
      <c r="L2334" s="55"/>
      <c r="M2334" s="55"/>
      <c r="N2334" s="55"/>
      <c r="O2334" s="55"/>
      <c r="P2334" s="55"/>
      <c r="Q2334" s="55"/>
      <c r="R2334" s="57"/>
      <c r="S2334" s="58"/>
    </row>
    <row r="2335" spans="1:19" x14ac:dyDescent="0.25">
      <c r="A2335" s="51" t="str">
        <f>(COUNTIF($K$2:K2335,K2335))&amp;K2335</f>
        <v>1</v>
      </c>
      <c r="B2335" s="52"/>
      <c r="C2335" s="53"/>
      <c r="D2335" s="54"/>
      <c r="E2335" s="55"/>
      <c r="F2335" s="55"/>
      <c r="G2335" s="55"/>
      <c r="H2335" s="55"/>
      <c r="I2335" s="55"/>
      <c r="J2335" s="55"/>
      <c r="K2335" s="56"/>
      <c r="L2335" s="55"/>
      <c r="M2335" s="55"/>
      <c r="N2335" s="55"/>
      <c r="O2335" s="55"/>
      <c r="P2335" s="55"/>
      <c r="Q2335" s="55"/>
      <c r="R2335" s="57"/>
      <c r="S2335" s="58"/>
    </row>
    <row r="2336" spans="1:19" x14ac:dyDescent="0.25">
      <c r="A2336" s="51" t="str">
        <f>(COUNTIF($K$2:K2336,K2336))&amp;K2336</f>
        <v>1</v>
      </c>
      <c r="B2336" s="52"/>
      <c r="C2336" s="53"/>
      <c r="D2336" s="54"/>
      <c r="E2336" s="55"/>
      <c r="F2336" s="55"/>
      <c r="G2336" s="55"/>
      <c r="H2336" s="55"/>
      <c r="I2336" s="55"/>
      <c r="J2336" s="55"/>
      <c r="K2336" s="56"/>
      <c r="L2336" s="55"/>
      <c r="M2336" s="55"/>
      <c r="N2336" s="55"/>
      <c r="O2336" s="55"/>
      <c r="P2336" s="55"/>
      <c r="Q2336" s="55"/>
      <c r="R2336" s="57"/>
      <c r="S2336" s="58"/>
    </row>
    <row r="2337" spans="1:19" x14ac:dyDescent="0.25">
      <c r="A2337" s="51" t="str">
        <f>(COUNTIF($K$2:K2337,K2337))&amp;K2337</f>
        <v>1</v>
      </c>
      <c r="B2337" s="52"/>
      <c r="C2337" s="53"/>
      <c r="D2337" s="54"/>
      <c r="E2337" s="55"/>
      <c r="F2337" s="55"/>
      <c r="G2337" s="55"/>
      <c r="H2337" s="55"/>
      <c r="I2337" s="55"/>
      <c r="J2337" s="55"/>
      <c r="K2337" s="56"/>
      <c r="L2337" s="55"/>
      <c r="M2337" s="55"/>
      <c r="N2337" s="55"/>
      <c r="O2337" s="55"/>
      <c r="P2337" s="55"/>
      <c r="Q2337" s="55"/>
      <c r="R2337" s="57"/>
      <c r="S2337" s="58"/>
    </row>
    <row r="2338" spans="1:19" x14ac:dyDescent="0.25">
      <c r="A2338" s="51" t="str">
        <f>(COUNTIF($K$2:K2338,K2338))&amp;K2338</f>
        <v>1</v>
      </c>
      <c r="B2338" s="52"/>
      <c r="C2338" s="53"/>
      <c r="D2338" s="54"/>
      <c r="E2338" s="55"/>
      <c r="F2338" s="55"/>
      <c r="G2338" s="55"/>
      <c r="H2338" s="55"/>
      <c r="I2338" s="55"/>
      <c r="J2338" s="55"/>
      <c r="K2338" s="56"/>
      <c r="L2338" s="55"/>
      <c r="M2338" s="55"/>
      <c r="N2338" s="55"/>
      <c r="O2338" s="55"/>
      <c r="P2338" s="55"/>
      <c r="Q2338" s="55"/>
      <c r="R2338" s="57"/>
      <c r="S2338" s="58"/>
    </row>
    <row r="2339" spans="1:19" ht="15.75" x14ac:dyDescent="0.25">
      <c r="A2339" s="51" t="str">
        <f>(COUNTIF($K$2:K2339,K2339))&amp;K2339</f>
        <v>1</v>
      </c>
      <c r="B2339" s="52"/>
      <c r="C2339" s="53"/>
      <c r="D2339" s="54"/>
      <c r="E2339" s="55"/>
      <c r="F2339" s="55"/>
      <c r="G2339" s="55"/>
      <c r="H2339" s="55"/>
      <c r="I2339" s="55"/>
      <c r="J2339" s="55"/>
      <c r="K2339" s="59"/>
      <c r="L2339" s="55"/>
      <c r="M2339" s="55"/>
      <c r="N2339" s="55"/>
      <c r="O2339" s="55"/>
      <c r="P2339" s="55"/>
      <c r="Q2339" s="55"/>
      <c r="R2339" s="57"/>
      <c r="S2339" s="58"/>
    </row>
    <row r="2340" spans="1:19" x14ac:dyDescent="0.25">
      <c r="A2340" s="51" t="str">
        <f>(COUNTIF($K$2:K2340,K2340))&amp;K2340</f>
        <v>1</v>
      </c>
      <c r="B2340" s="52"/>
      <c r="C2340" s="53"/>
      <c r="D2340" s="54"/>
      <c r="E2340" s="55"/>
      <c r="F2340" s="55"/>
      <c r="G2340" s="55"/>
      <c r="H2340" s="55"/>
      <c r="I2340" s="55"/>
      <c r="J2340" s="55"/>
      <c r="K2340" s="56"/>
      <c r="L2340" s="55"/>
      <c r="M2340" s="55"/>
      <c r="N2340" s="55"/>
      <c r="O2340" s="55"/>
      <c r="P2340" s="55"/>
      <c r="Q2340" s="55"/>
      <c r="R2340" s="57"/>
      <c r="S2340" s="58"/>
    </row>
    <row r="2341" spans="1:19" x14ac:dyDescent="0.25">
      <c r="A2341" s="51" t="str">
        <f>(COUNTIF($K$2:K2341,K2341))&amp;K2341</f>
        <v>1</v>
      </c>
      <c r="B2341" s="52"/>
      <c r="C2341" s="53"/>
      <c r="D2341" s="54"/>
      <c r="E2341" s="55"/>
      <c r="F2341" s="55"/>
      <c r="G2341" s="55"/>
      <c r="H2341" s="55"/>
      <c r="I2341" s="55"/>
      <c r="J2341" s="55"/>
      <c r="K2341" s="56"/>
      <c r="L2341" s="55"/>
      <c r="M2341" s="55"/>
      <c r="N2341" s="55"/>
      <c r="O2341" s="55"/>
      <c r="P2341" s="55"/>
      <c r="Q2341" s="55"/>
      <c r="R2341" s="57"/>
      <c r="S2341" s="58"/>
    </row>
    <row r="2342" spans="1:19" x14ac:dyDescent="0.25">
      <c r="A2342" s="51" t="str">
        <f>(COUNTIF($K$2:K2342,K2342))&amp;K2342</f>
        <v>1</v>
      </c>
      <c r="B2342" s="52"/>
      <c r="C2342" s="53"/>
      <c r="D2342" s="54"/>
      <c r="E2342" s="55"/>
      <c r="F2342" s="55"/>
      <c r="G2342" s="55"/>
      <c r="H2342" s="55"/>
      <c r="I2342" s="55"/>
      <c r="J2342" s="55"/>
      <c r="K2342" s="56"/>
      <c r="L2342" s="55"/>
      <c r="M2342" s="55"/>
      <c r="N2342" s="55"/>
      <c r="O2342" s="55"/>
      <c r="P2342" s="55"/>
      <c r="Q2342" s="55"/>
      <c r="R2342" s="57"/>
      <c r="S2342" s="58"/>
    </row>
    <row r="2343" spans="1:19" x14ac:dyDescent="0.25">
      <c r="A2343" s="51" t="str">
        <f>(COUNTIF($K$2:K2343,K2343))&amp;K2343</f>
        <v>1</v>
      </c>
      <c r="B2343" s="52"/>
      <c r="C2343" s="53"/>
      <c r="D2343" s="54"/>
      <c r="E2343" s="55"/>
      <c r="F2343" s="55"/>
      <c r="G2343" s="55"/>
      <c r="H2343" s="55"/>
      <c r="I2343" s="55"/>
      <c r="J2343" s="55"/>
      <c r="K2343" s="56"/>
      <c r="L2343" s="55"/>
      <c r="M2343" s="55"/>
      <c r="N2343" s="55"/>
      <c r="O2343" s="55"/>
      <c r="P2343" s="55"/>
      <c r="Q2343" s="55"/>
      <c r="R2343" s="57"/>
      <c r="S2343" s="58"/>
    </row>
    <row r="2344" spans="1:19" x14ac:dyDescent="0.25">
      <c r="A2344" s="51" t="str">
        <f>(COUNTIF($K$2:K2344,K2344))&amp;K2344</f>
        <v>1</v>
      </c>
      <c r="B2344" s="52"/>
      <c r="C2344" s="53"/>
      <c r="D2344" s="54"/>
      <c r="E2344" s="55"/>
      <c r="F2344" s="55"/>
      <c r="G2344" s="55"/>
      <c r="H2344" s="55"/>
      <c r="I2344" s="55"/>
      <c r="J2344" s="55"/>
      <c r="K2344" s="56"/>
      <c r="L2344" s="55"/>
      <c r="M2344" s="55"/>
      <c r="N2344" s="55"/>
      <c r="O2344" s="55"/>
      <c r="P2344" s="55"/>
      <c r="Q2344" s="55"/>
      <c r="R2344" s="57"/>
      <c r="S2344" s="58"/>
    </row>
    <row r="2345" spans="1:19" x14ac:dyDescent="0.25">
      <c r="A2345" s="51" t="str">
        <f>(COUNTIF($K$2:K2345,K2345))&amp;K2345</f>
        <v>1</v>
      </c>
      <c r="B2345" s="52"/>
      <c r="C2345" s="53"/>
      <c r="D2345" s="54"/>
      <c r="E2345" s="55"/>
      <c r="F2345" s="55"/>
      <c r="G2345" s="55"/>
      <c r="H2345" s="55"/>
      <c r="I2345" s="55"/>
      <c r="J2345" s="55"/>
      <c r="K2345" s="56"/>
      <c r="L2345" s="55"/>
      <c r="M2345" s="55"/>
      <c r="N2345" s="55"/>
      <c r="O2345" s="55"/>
      <c r="P2345" s="55"/>
      <c r="Q2345" s="55"/>
      <c r="R2345" s="57"/>
      <c r="S2345" s="58"/>
    </row>
    <row r="2346" spans="1:19" x14ac:dyDescent="0.25">
      <c r="A2346" s="51" t="str">
        <f>(COUNTIF($K$2:K2346,K2346))&amp;K2346</f>
        <v>1</v>
      </c>
      <c r="B2346" s="52"/>
      <c r="C2346" s="53"/>
      <c r="D2346" s="54"/>
      <c r="E2346" s="55"/>
      <c r="F2346" s="55"/>
      <c r="G2346" s="55"/>
      <c r="H2346" s="55"/>
      <c r="I2346" s="55"/>
      <c r="J2346" s="55"/>
      <c r="K2346" s="56"/>
      <c r="L2346" s="55"/>
      <c r="M2346" s="55"/>
      <c r="N2346" s="55"/>
      <c r="O2346" s="55"/>
      <c r="P2346" s="55"/>
      <c r="Q2346" s="55"/>
      <c r="R2346" s="57"/>
      <c r="S2346" s="58"/>
    </row>
    <row r="2347" spans="1:19" x14ac:dyDescent="0.25">
      <c r="A2347" s="51" t="str">
        <f>(COUNTIF($K$2:K2347,K2347))&amp;K2347</f>
        <v>1</v>
      </c>
      <c r="B2347" s="52"/>
      <c r="C2347" s="60"/>
      <c r="E2347" s="61"/>
      <c r="F2347" s="62"/>
      <c r="G2347" s="63"/>
      <c r="H2347" s="64"/>
      <c r="I2347" s="64"/>
      <c r="J2347" s="64"/>
      <c r="K2347" s="65"/>
      <c r="L2347" s="64"/>
      <c r="M2347" s="64"/>
      <c r="N2347" s="64"/>
      <c r="P2347" s="63"/>
      <c r="Q2347" s="61"/>
      <c r="R2347" s="64"/>
      <c r="S2347" s="64"/>
    </row>
    <row r="2348" spans="1:19" x14ac:dyDescent="0.25">
      <c r="A2348" s="51" t="str">
        <f>(COUNTIF($K$2:K2348,K2348))&amp;K2348</f>
        <v>1</v>
      </c>
      <c r="B2348" s="52"/>
      <c r="C2348" s="53"/>
      <c r="D2348" s="54"/>
      <c r="E2348" s="55"/>
      <c r="F2348" s="55"/>
      <c r="G2348" s="55"/>
      <c r="H2348" s="55"/>
      <c r="I2348" s="55"/>
      <c r="J2348" s="55"/>
      <c r="K2348" s="56"/>
      <c r="L2348" s="55"/>
      <c r="M2348" s="55"/>
      <c r="N2348" s="55"/>
      <c r="O2348" s="55"/>
      <c r="P2348" s="55"/>
      <c r="Q2348" s="55"/>
      <c r="R2348" s="57"/>
      <c r="S2348" s="58"/>
    </row>
    <row r="2349" spans="1:19" x14ac:dyDescent="0.25">
      <c r="A2349" s="51" t="str">
        <f>(COUNTIF($K$2:K2349,K2349))&amp;K2349</f>
        <v>1</v>
      </c>
      <c r="B2349" s="52"/>
      <c r="C2349" s="53"/>
      <c r="D2349" s="54"/>
      <c r="E2349" s="55"/>
      <c r="F2349" s="55"/>
      <c r="G2349" s="55"/>
      <c r="H2349" s="55"/>
      <c r="I2349" s="55"/>
      <c r="J2349" s="55"/>
      <c r="K2349" s="56"/>
      <c r="L2349" s="55"/>
      <c r="M2349" s="55"/>
      <c r="N2349" s="55"/>
      <c r="O2349" s="55"/>
      <c r="P2349" s="55"/>
      <c r="Q2349" s="55"/>
      <c r="R2349" s="57"/>
      <c r="S2349" s="58"/>
    </row>
    <row r="2350" spans="1:19" x14ac:dyDescent="0.25">
      <c r="A2350" s="51" t="str">
        <f>(COUNTIF($K$2:K2350,K2350))&amp;K2350</f>
        <v>1</v>
      </c>
      <c r="B2350" s="52"/>
      <c r="C2350" s="53"/>
      <c r="D2350" s="54"/>
      <c r="E2350" s="55"/>
      <c r="F2350" s="55"/>
      <c r="G2350" s="55"/>
      <c r="H2350" s="55"/>
      <c r="I2350" s="55"/>
      <c r="J2350" s="55"/>
      <c r="K2350" s="56"/>
      <c r="L2350" s="55"/>
      <c r="M2350" s="55"/>
      <c r="N2350" s="55"/>
      <c r="O2350" s="55"/>
      <c r="P2350" s="55"/>
      <c r="Q2350" s="55"/>
      <c r="R2350" s="57"/>
      <c r="S2350" s="58"/>
    </row>
    <row r="2351" spans="1:19" x14ac:dyDescent="0.25">
      <c r="A2351" s="51" t="str">
        <f>(COUNTIF($K$2:K2351,K2351))&amp;K2351</f>
        <v>1</v>
      </c>
      <c r="B2351" s="52"/>
      <c r="C2351" s="53"/>
      <c r="D2351" s="54"/>
      <c r="E2351" s="55"/>
      <c r="F2351" s="55"/>
      <c r="G2351" s="55"/>
      <c r="H2351" s="55"/>
      <c r="I2351" s="55"/>
      <c r="J2351" s="55"/>
      <c r="K2351" s="56"/>
      <c r="L2351" s="55"/>
      <c r="M2351" s="55"/>
      <c r="N2351" s="55"/>
      <c r="O2351" s="55"/>
      <c r="P2351" s="55"/>
      <c r="Q2351" s="55"/>
      <c r="R2351" s="57"/>
      <c r="S2351" s="58"/>
    </row>
    <row r="2352" spans="1:19" x14ac:dyDescent="0.25">
      <c r="A2352" s="51" t="str">
        <f>(COUNTIF($K$2:K2352,K2352))&amp;K2352</f>
        <v>1</v>
      </c>
      <c r="B2352" s="52"/>
      <c r="C2352" s="53"/>
      <c r="D2352" s="54"/>
      <c r="E2352" s="55"/>
      <c r="F2352" s="55"/>
      <c r="G2352" s="55"/>
      <c r="H2352" s="55"/>
      <c r="I2352" s="55"/>
      <c r="J2352" s="55"/>
      <c r="K2352" s="56"/>
      <c r="L2352" s="55"/>
      <c r="M2352" s="55"/>
      <c r="N2352" s="55"/>
      <c r="O2352" s="55"/>
      <c r="P2352" s="55"/>
      <c r="Q2352" s="55"/>
      <c r="R2352" s="57"/>
      <c r="S2352" s="58"/>
    </row>
    <row r="2353" spans="1:19" x14ac:dyDescent="0.25">
      <c r="A2353" s="51" t="str">
        <f>(COUNTIF($K$2:K2353,K2353))&amp;K2353</f>
        <v>1</v>
      </c>
      <c r="B2353" s="52"/>
      <c r="C2353" s="53"/>
      <c r="D2353" s="54"/>
      <c r="E2353" s="55"/>
      <c r="F2353" s="55"/>
      <c r="G2353" s="55"/>
      <c r="H2353" s="55"/>
      <c r="I2353" s="55"/>
      <c r="J2353" s="55"/>
      <c r="K2353" s="56"/>
      <c r="L2353" s="55"/>
      <c r="M2353" s="55"/>
      <c r="N2353" s="55"/>
      <c r="O2353" s="55"/>
      <c r="P2353" s="55"/>
      <c r="Q2353" s="55"/>
      <c r="R2353" s="57"/>
      <c r="S2353" s="58"/>
    </row>
    <row r="2354" spans="1:19" x14ac:dyDescent="0.25">
      <c r="A2354" s="51" t="str">
        <f>(COUNTIF($K$2:K2354,K2354))&amp;K2354</f>
        <v>1</v>
      </c>
      <c r="B2354" s="52"/>
      <c r="C2354" s="53"/>
      <c r="D2354" s="54"/>
      <c r="E2354" s="55"/>
      <c r="F2354" s="55"/>
      <c r="G2354" s="55"/>
      <c r="H2354" s="55"/>
      <c r="I2354" s="55"/>
      <c r="J2354" s="55"/>
      <c r="K2354" s="56"/>
      <c r="L2354" s="55"/>
      <c r="M2354" s="55"/>
      <c r="N2354" s="55"/>
      <c r="O2354" s="55"/>
      <c r="P2354" s="55"/>
      <c r="Q2354" s="55"/>
      <c r="R2354" s="57"/>
      <c r="S2354" s="58"/>
    </row>
    <row r="2355" spans="1:19" x14ac:dyDescent="0.25">
      <c r="A2355" s="51" t="str">
        <f>(COUNTIF($K$2:K2355,K2355))&amp;K2355</f>
        <v>1</v>
      </c>
      <c r="B2355" s="52"/>
      <c r="C2355" s="53"/>
      <c r="D2355" s="54"/>
      <c r="E2355" s="55"/>
      <c r="F2355" s="55"/>
      <c r="G2355" s="55"/>
      <c r="H2355" s="55"/>
      <c r="I2355" s="55"/>
      <c r="J2355" s="55"/>
      <c r="K2355" s="56"/>
      <c r="L2355" s="55"/>
      <c r="M2355" s="55"/>
      <c r="N2355" s="55"/>
      <c r="O2355" s="55"/>
      <c r="P2355" s="55"/>
      <c r="Q2355" s="55"/>
      <c r="R2355" s="57"/>
      <c r="S2355" s="58"/>
    </row>
    <row r="2356" spans="1:19" ht="15.75" x14ac:dyDescent="0.25">
      <c r="A2356" s="51" t="str">
        <f>(COUNTIF($K$2:K2356,K2356))&amp;K2356</f>
        <v>1</v>
      </c>
      <c r="B2356" s="52"/>
      <c r="C2356" s="53"/>
      <c r="D2356" s="54"/>
      <c r="E2356" s="55"/>
      <c r="F2356" s="55"/>
      <c r="G2356" s="55"/>
      <c r="H2356" s="55"/>
      <c r="I2356" s="55"/>
      <c r="J2356" s="55"/>
      <c r="K2356" s="59"/>
      <c r="L2356" s="55"/>
      <c r="M2356" s="55"/>
      <c r="N2356" s="55"/>
      <c r="O2356" s="55"/>
      <c r="P2356" s="55"/>
      <c r="Q2356" s="55"/>
      <c r="R2356" s="57"/>
      <c r="S2356" s="58"/>
    </row>
    <row r="2357" spans="1:19" x14ac:dyDescent="0.25">
      <c r="A2357" s="51" t="str">
        <f>(COUNTIF($K$2:K2357,K2357))&amp;K2357</f>
        <v>1</v>
      </c>
      <c r="B2357" s="52"/>
      <c r="C2357" s="53"/>
      <c r="D2357" s="54"/>
      <c r="E2357" s="55"/>
      <c r="F2357" s="55"/>
      <c r="G2357" s="55"/>
      <c r="H2357" s="55"/>
      <c r="I2357" s="55"/>
      <c r="J2357" s="55"/>
      <c r="K2357" s="56"/>
      <c r="L2357" s="55"/>
      <c r="M2357" s="55"/>
      <c r="N2357" s="55"/>
      <c r="O2357" s="55"/>
      <c r="P2357" s="55"/>
      <c r="Q2357" s="55"/>
      <c r="R2357" s="57"/>
      <c r="S2357" s="58"/>
    </row>
    <row r="2358" spans="1:19" x14ac:dyDescent="0.25">
      <c r="A2358" s="51" t="str">
        <f>(COUNTIF($K$2:K2358,K2358))&amp;K2358</f>
        <v>1</v>
      </c>
      <c r="B2358" s="52"/>
      <c r="C2358" s="53"/>
      <c r="D2358" s="54"/>
      <c r="E2358" s="55"/>
      <c r="F2358" s="55"/>
      <c r="G2358" s="55"/>
      <c r="H2358" s="55"/>
      <c r="I2358" s="55"/>
      <c r="J2358" s="55"/>
      <c r="K2358" s="56"/>
      <c r="L2358" s="55"/>
      <c r="M2358" s="55"/>
      <c r="N2358" s="55"/>
      <c r="O2358" s="55"/>
      <c r="P2358" s="55"/>
      <c r="Q2358" s="55"/>
      <c r="R2358" s="57"/>
      <c r="S2358" s="58"/>
    </row>
    <row r="2359" spans="1:19" x14ac:dyDescent="0.25">
      <c r="A2359" s="51" t="str">
        <f>(COUNTIF($K$2:K2359,K2359))&amp;K2359</f>
        <v>1</v>
      </c>
      <c r="B2359" s="52"/>
      <c r="C2359" s="53"/>
      <c r="D2359" s="54"/>
      <c r="E2359" s="55"/>
      <c r="F2359" s="55"/>
      <c r="G2359" s="55"/>
      <c r="H2359" s="55"/>
      <c r="I2359" s="55"/>
      <c r="J2359" s="55"/>
      <c r="K2359" s="56"/>
      <c r="L2359" s="55"/>
      <c r="M2359" s="55"/>
      <c r="N2359" s="55"/>
      <c r="O2359" s="55"/>
      <c r="P2359" s="55"/>
      <c r="Q2359" s="55"/>
      <c r="R2359" s="57"/>
      <c r="S2359" s="58"/>
    </row>
    <row r="2360" spans="1:19" x14ac:dyDescent="0.25">
      <c r="A2360" s="51" t="str">
        <f>(COUNTIF($K$2:K2360,K2360))&amp;K2360</f>
        <v>1</v>
      </c>
      <c r="B2360" s="52"/>
      <c r="C2360" s="53"/>
      <c r="D2360" s="54"/>
      <c r="E2360" s="55"/>
      <c r="F2360" s="55"/>
      <c r="G2360" s="55"/>
      <c r="H2360" s="55"/>
      <c r="I2360" s="55"/>
      <c r="J2360" s="55"/>
      <c r="K2360" s="56"/>
      <c r="L2360" s="55"/>
      <c r="M2360" s="55"/>
      <c r="N2360" s="55"/>
      <c r="O2360" s="55"/>
      <c r="P2360" s="55"/>
      <c r="Q2360" s="55"/>
      <c r="R2360" s="57"/>
      <c r="S2360" s="58"/>
    </row>
    <row r="2361" spans="1:19" x14ac:dyDescent="0.25">
      <c r="A2361" s="51" t="str">
        <f>(COUNTIF($K$2:K2361,K2361))&amp;K2361</f>
        <v>1</v>
      </c>
      <c r="B2361" s="52"/>
      <c r="C2361" s="53"/>
      <c r="D2361" s="54"/>
      <c r="E2361" s="55"/>
      <c r="F2361" s="55"/>
      <c r="G2361" s="55"/>
      <c r="H2361" s="55"/>
      <c r="I2361" s="55"/>
      <c r="J2361" s="55"/>
      <c r="K2361" s="56"/>
      <c r="L2361" s="55"/>
      <c r="M2361" s="55"/>
      <c r="N2361" s="55"/>
      <c r="O2361" s="55"/>
      <c r="P2361" s="55"/>
      <c r="Q2361" s="55"/>
      <c r="R2361" s="57"/>
      <c r="S2361" s="58"/>
    </row>
    <row r="2362" spans="1:19" x14ac:dyDescent="0.25">
      <c r="A2362" s="51" t="str">
        <f>(COUNTIF($K$2:K2362,K2362))&amp;K2362</f>
        <v>1</v>
      </c>
      <c r="B2362" s="52"/>
      <c r="C2362" s="53"/>
      <c r="D2362" s="54"/>
      <c r="E2362" s="55"/>
      <c r="F2362" s="55"/>
      <c r="G2362" s="55"/>
      <c r="H2362" s="55"/>
      <c r="I2362" s="55"/>
      <c r="J2362" s="55"/>
      <c r="K2362" s="56"/>
      <c r="L2362" s="55"/>
      <c r="M2362" s="55"/>
      <c r="N2362" s="55"/>
      <c r="O2362" s="55"/>
      <c r="P2362" s="55"/>
      <c r="Q2362" s="55"/>
      <c r="R2362" s="57"/>
      <c r="S2362" s="58"/>
    </row>
    <row r="2363" spans="1:19" x14ac:dyDescent="0.25">
      <c r="A2363" s="51" t="str">
        <f>(COUNTIF($K$2:K2363,K2363))&amp;K2363</f>
        <v>1</v>
      </c>
      <c r="B2363" s="52"/>
      <c r="C2363" s="53"/>
      <c r="D2363" s="54"/>
      <c r="E2363" s="55"/>
      <c r="F2363" s="55"/>
      <c r="G2363" s="55"/>
      <c r="H2363" s="55"/>
      <c r="I2363" s="55"/>
      <c r="J2363" s="55"/>
      <c r="K2363" s="56"/>
      <c r="L2363" s="55"/>
      <c r="M2363" s="55"/>
      <c r="N2363" s="55"/>
      <c r="O2363" s="55"/>
      <c r="P2363" s="55"/>
      <c r="Q2363" s="55"/>
      <c r="R2363" s="57"/>
      <c r="S2363" s="58"/>
    </row>
    <row r="2364" spans="1:19" x14ac:dyDescent="0.25">
      <c r="A2364" s="51" t="str">
        <f>(COUNTIF($K$2:K2364,K2364))&amp;K2364</f>
        <v>1</v>
      </c>
      <c r="B2364" s="52"/>
      <c r="C2364" s="60"/>
      <c r="E2364" s="61"/>
      <c r="F2364" s="62"/>
      <c r="G2364" s="63"/>
      <c r="H2364" s="64"/>
      <c r="I2364" s="64"/>
      <c r="J2364" s="64"/>
      <c r="K2364" s="65"/>
      <c r="L2364" s="64"/>
      <c r="M2364" s="64"/>
      <c r="N2364" s="64"/>
      <c r="P2364" s="63"/>
      <c r="Q2364" s="61"/>
      <c r="R2364" s="64"/>
      <c r="S2364" s="64"/>
    </row>
    <row r="2365" spans="1:19" x14ac:dyDescent="0.25">
      <c r="A2365" s="51" t="str">
        <f>(COUNTIF($K$2:K2365,K2365))&amp;K2365</f>
        <v>1</v>
      </c>
      <c r="B2365" s="52"/>
      <c r="C2365" s="53"/>
      <c r="D2365" s="54"/>
      <c r="E2365" s="55"/>
      <c r="F2365" s="55"/>
      <c r="G2365" s="55"/>
      <c r="H2365" s="55"/>
      <c r="I2365" s="55"/>
      <c r="J2365" s="55"/>
      <c r="K2365" s="56"/>
      <c r="L2365" s="55"/>
      <c r="M2365" s="55"/>
      <c r="N2365" s="55"/>
      <c r="O2365" s="55"/>
      <c r="P2365" s="55"/>
      <c r="Q2365" s="55"/>
      <c r="R2365" s="57"/>
      <c r="S2365" s="58"/>
    </row>
    <row r="2366" spans="1:19" x14ac:dyDescent="0.25">
      <c r="A2366" s="51" t="str">
        <f>(COUNTIF($K$2:K2366,K2366))&amp;K2366</f>
        <v>1</v>
      </c>
      <c r="B2366" s="52"/>
      <c r="C2366" s="53"/>
      <c r="D2366" s="54"/>
      <c r="E2366" s="55"/>
      <c r="F2366" s="55"/>
      <c r="G2366" s="55"/>
      <c r="H2366" s="55"/>
      <c r="I2366" s="55"/>
      <c r="J2366" s="55"/>
      <c r="K2366" s="56"/>
      <c r="L2366" s="55"/>
      <c r="M2366" s="55"/>
      <c r="N2366" s="55"/>
      <c r="O2366" s="55"/>
      <c r="P2366" s="55"/>
      <c r="Q2366" s="55"/>
      <c r="R2366" s="57"/>
      <c r="S2366" s="58"/>
    </row>
    <row r="2367" spans="1:19" x14ac:dyDescent="0.25">
      <c r="A2367" s="51" t="str">
        <f>(COUNTIF($K$2:K2367,K2367))&amp;K2367</f>
        <v>1</v>
      </c>
      <c r="B2367" s="52"/>
      <c r="C2367" s="53"/>
      <c r="D2367" s="54"/>
      <c r="E2367" s="55"/>
      <c r="F2367" s="55"/>
      <c r="G2367" s="55"/>
      <c r="H2367" s="55"/>
      <c r="I2367" s="55"/>
      <c r="J2367" s="55"/>
      <c r="K2367" s="56"/>
      <c r="L2367" s="55"/>
      <c r="M2367" s="55"/>
      <c r="N2367" s="55"/>
      <c r="O2367" s="55"/>
      <c r="P2367" s="55"/>
      <c r="Q2367" s="55"/>
      <c r="R2367" s="57"/>
      <c r="S2367" s="58"/>
    </row>
    <row r="2368" spans="1:19" x14ac:dyDescent="0.25">
      <c r="A2368" s="51" t="str">
        <f>(COUNTIF($K$2:K2368,K2368))&amp;K2368</f>
        <v>1</v>
      </c>
      <c r="B2368" s="52"/>
      <c r="C2368" s="53"/>
      <c r="D2368" s="54"/>
      <c r="E2368" s="55"/>
      <c r="F2368" s="55"/>
      <c r="G2368" s="55"/>
      <c r="H2368" s="55"/>
      <c r="I2368" s="55"/>
      <c r="J2368" s="55"/>
      <c r="K2368" s="56"/>
      <c r="L2368" s="55"/>
      <c r="M2368" s="55"/>
      <c r="N2368" s="55"/>
      <c r="O2368" s="55"/>
      <c r="P2368" s="55"/>
      <c r="Q2368" s="55"/>
      <c r="R2368" s="57"/>
      <c r="S2368" s="58"/>
    </row>
    <row r="2369" spans="1:19" x14ac:dyDescent="0.25">
      <c r="A2369" s="51" t="str">
        <f>(COUNTIF($K$2:K2369,K2369))&amp;K2369</f>
        <v>1</v>
      </c>
      <c r="B2369" s="52"/>
      <c r="C2369" s="53"/>
      <c r="D2369" s="54"/>
      <c r="E2369" s="55"/>
      <c r="F2369" s="55"/>
      <c r="G2369" s="55"/>
      <c r="H2369" s="55"/>
      <c r="I2369" s="55"/>
      <c r="J2369" s="55"/>
      <c r="K2369" s="56"/>
      <c r="L2369" s="55"/>
      <c r="M2369" s="55"/>
      <c r="N2369" s="55"/>
      <c r="O2369" s="55"/>
      <c r="P2369" s="55"/>
      <c r="Q2369" s="55"/>
      <c r="R2369" s="57"/>
      <c r="S2369" s="58"/>
    </row>
    <row r="2370" spans="1:19" x14ac:dyDescent="0.25">
      <c r="A2370" s="51" t="str">
        <f>(COUNTIF($K$2:K2370,K2370))&amp;K2370</f>
        <v>1</v>
      </c>
      <c r="B2370" s="52"/>
      <c r="C2370" s="53"/>
      <c r="D2370" s="54"/>
      <c r="E2370" s="55"/>
      <c r="F2370" s="55"/>
      <c r="G2370" s="55"/>
      <c r="H2370" s="55"/>
      <c r="I2370" s="55"/>
      <c r="J2370" s="55"/>
      <c r="K2370" s="56"/>
      <c r="L2370" s="55"/>
      <c r="M2370" s="55"/>
      <c r="N2370" s="55"/>
      <c r="O2370" s="55"/>
      <c r="P2370" s="55"/>
      <c r="Q2370" s="55"/>
      <c r="R2370" s="57"/>
      <c r="S2370" s="58"/>
    </row>
    <row r="2371" spans="1:19" x14ac:dyDescent="0.25">
      <c r="A2371" s="51" t="str">
        <f>(COUNTIF($K$2:K2371,K2371))&amp;K2371</f>
        <v>1</v>
      </c>
      <c r="B2371" s="52"/>
      <c r="C2371" s="53"/>
      <c r="D2371" s="54"/>
      <c r="E2371" s="55"/>
      <c r="F2371" s="55"/>
      <c r="G2371" s="55"/>
      <c r="H2371" s="55"/>
      <c r="I2371" s="55"/>
      <c r="J2371" s="55"/>
      <c r="K2371" s="56"/>
      <c r="L2371" s="55"/>
      <c r="M2371" s="55"/>
      <c r="N2371" s="55"/>
      <c r="O2371" s="55"/>
      <c r="P2371" s="55"/>
      <c r="Q2371" s="55"/>
      <c r="R2371" s="57"/>
      <c r="S2371" s="58"/>
    </row>
    <row r="2372" spans="1:19" x14ac:dyDescent="0.25">
      <c r="A2372" s="51" t="str">
        <f>(COUNTIF($K$2:K2372,K2372))&amp;K2372</f>
        <v>1</v>
      </c>
      <c r="B2372" s="52"/>
      <c r="C2372" s="53"/>
      <c r="D2372" s="54"/>
      <c r="E2372" s="55"/>
      <c r="F2372" s="55"/>
      <c r="G2372" s="55"/>
      <c r="H2372" s="55"/>
      <c r="I2372" s="55"/>
      <c r="J2372" s="55"/>
      <c r="K2372" s="56"/>
      <c r="L2372" s="55"/>
      <c r="M2372" s="55"/>
      <c r="N2372" s="55"/>
      <c r="O2372" s="55"/>
      <c r="P2372" s="55"/>
      <c r="Q2372" s="55"/>
      <c r="R2372" s="57"/>
      <c r="S2372" s="58"/>
    </row>
    <row r="2373" spans="1:19" ht="15.75" x14ac:dyDescent="0.25">
      <c r="A2373" s="51" t="str">
        <f>(COUNTIF($K$2:K2373,K2373))&amp;K2373</f>
        <v>1</v>
      </c>
      <c r="B2373" s="52"/>
      <c r="C2373" s="53"/>
      <c r="D2373" s="54"/>
      <c r="E2373" s="55"/>
      <c r="F2373" s="55"/>
      <c r="G2373" s="55"/>
      <c r="H2373" s="55"/>
      <c r="I2373" s="55"/>
      <c r="J2373" s="55"/>
      <c r="K2373" s="59"/>
      <c r="L2373" s="55"/>
      <c r="M2373" s="55"/>
      <c r="N2373" s="55"/>
      <c r="O2373" s="55"/>
      <c r="P2373" s="55"/>
      <c r="Q2373" s="55"/>
      <c r="R2373" s="57"/>
      <c r="S2373" s="58"/>
    </row>
    <row r="2374" spans="1:19" x14ac:dyDescent="0.25">
      <c r="A2374" s="51" t="str">
        <f>(COUNTIF($K$2:K2374,K2374))&amp;K2374</f>
        <v>1</v>
      </c>
      <c r="B2374" s="52"/>
      <c r="C2374" s="53"/>
      <c r="D2374" s="54"/>
      <c r="E2374" s="55"/>
      <c r="F2374" s="55"/>
      <c r="G2374" s="55"/>
      <c r="H2374" s="55"/>
      <c r="I2374" s="55"/>
      <c r="J2374" s="55"/>
      <c r="K2374" s="56"/>
      <c r="L2374" s="55"/>
      <c r="M2374" s="55"/>
      <c r="N2374" s="55"/>
      <c r="O2374" s="55"/>
      <c r="P2374" s="55"/>
      <c r="Q2374" s="55"/>
      <c r="R2374" s="57"/>
      <c r="S2374" s="58"/>
    </row>
    <row r="2375" spans="1:19" x14ac:dyDescent="0.25">
      <c r="A2375" s="51" t="str">
        <f>(COUNTIF($K$2:K2375,K2375))&amp;K2375</f>
        <v>1</v>
      </c>
      <c r="B2375" s="52"/>
      <c r="C2375" s="53"/>
      <c r="D2375" s="54"/>
      <c r="E2375" s="55"/>
      <c r="F2375" s="55"/>
      <c r="G2375" s="55"/>
      <c r="H2375" s="55"/>
      <c r="I2375" s="55"/>
      <c r="J2375" s="55"/>
      <c r="K2375" s="56"/>
      <c r="L2375" s="55"/>
      <c r="M2375" s="55"/>
      <c r="N2375" s="55"/>
      <c r="O2375" s="55"/>
      <c r="P2375" s="55"/>
      <c r="Q2375" s="55"/>
      <c r="R2375" s="57"/>
      <c r="S2375" s="58"/>
    </row>
    <row r="2376" spans="1:19" x14ac:dyDescent="0.25">
      <c r="A2376" s="51" t="str">
        <f>(COUNTIF($K$2:K2376,K2376))&amp;K2376</f>
        <v>1</v>
      </c>
      <c r="B2376" s="52"/>
      <c r="C2376" s="53"/>
      <c r="D2376" s="54"/>
      <c r="E2376" s="55"/>
      <c r="F2376" s="55"/>
      <c r="G2376" s="55"/>
      <c r="H2376" s="55"/>
      <c r="I2376" s="55"/>
      <c r="J2376" s="55"/>
      <c r="K2376" s="56"/>
      <c r="L2376" s="55"/>
      <c r="M2376" s="55"/>
      <c r="N2376" s="55"/>
      <c r="O2376" s="55"/>
      <c r="P2376" s="55"/>
      <c r="Q2376" s="55"/>
      <c r="R2376" s="57"/>
      <c r="S2376" s="58"/>
    </row>
    <row r="2377" spans="1:19" x14ac:dyDescent="0.25">
      <c r="A2377" s="51" t="str">
        <f>(COUNTIF($K$2:K2377,K2377))&amp;K2377</f>
        <v>1</v>
      </c>
      <c r="B2377" s="52"/>
      <c r="C2377" s="53"/>
      <c r="D2377" s="54"/>
      <c r="E2377" s="55"/>
      <c r="F2377" s="55"/>
      <c r="G2377" s="55"/>
      <c r="H2377" s="55"/>
      <c r="I2377" s="55"/>
      <c r="J2377" s="55"/>
      <c r="K2377" s="56"/>
      <c r="L2377" s="55"/>
      <c r="M2377" s="55"/>
      <c r="N2377" s="55"/>
      <c r="O2377" s="55"/>
      <c r="P2377" s="55"/>
      <c r="Q2377" s="55"/>
      <c r="R2377" s="57"/>
      <c r="S2377" s="58"/>
    </row>
    <row r="2378" spans="1:19" x14ac:dyDescent="0.25">
      <c r="A2378" s="51" t="str">
        <f>(COUNTIF($K$2:K2378,K2378))&amp;K2378</f>
        <v>1</v>
      </c>
      <c r="B2378" s="52"/>
      <c r="C2378" s="53"/>
      <c r="D2378" s="54"/>
      <c r="E2378" s="55"/>
      <c r="F2378" s="55"/>
      <c r="G2378" s="55"/>
      <c r="H2378" s="55"/>
      <c r="I2378" s="55"/>
      <c r="J2378" s="55"/>
      <c r="K2378" s="56"/>
      <c r="L2378" s="55"/>
      <c r="M2378" s="55"/>
      <c r="N2378" s="55"/>
      <c r="O2378" s="55"/>
      <c r="P2378" s="55"/>
      <c r="Q2378" s="55"/>
      <c r="R2378" s="57"/>
      <c r="S2378" s="58"/>
    </row>
    <row r="2379" spans="1:19" x14ac:dyDescent="0.25">
      <c r="A2379" s="51" t="str">
        <f>(COUNTIF($K$2:K2379,K2379))&amp;K2379</f>
        <v>1</v>
      </c>
      <c r="B2379" s="52"/>
      <c r="C2379" s="53"/>
      <c r="D2379" s="54"/>
      <c r="E2379" s="55"/>
      <c r="F2379" s="55"/>
      <c r="G2379" s="55"/>
      <c r="H2379" s="55"/>
      <c r="I2379" s="55"/>
      <c r="J2379" s="55"/>
      <c r="K2379" s="56"/>
      <c r="L2379" s="55"/>
      <c r="M2379" s="55"/>
      <c r="N2379" s="55"/>
      <c r="O2379" s="55"/>
      <c r="P2379" s="55"/>
      <c r="Q2379" s="55"/>
      <c r="R2379" s="57"/>
      <c r="S2379" s="58"/>
    </row>
    <row r="2380" spans="1:19" x14ac:dyDescent="0.25">
      <c r="A2380" s="51" t="str">
        <f>(COUNTIF($K$2:K2380,K2380))&amp;K2380</f>
        <v>1</v>
      </c>
      <c r="B2380" s="52"/>
      <c r="C2380" s="53"/>
      <c r="D2380" s="54"/>
      <c r="E2380" s="55"/>
      <c r="F2380" s="55"/>
      <c r="G2380" s="55"/>
      <c r="H2380" s="55"/>
      <c r="I2380" s="55"/>
      <c r="J2380" s="55"/>
      <c r="K2380" s="56"/>
      <c r="L2380" s="55"/>
      <c r="M2380" s="55"/>
      <c r="N2380" s="55"/>
      <c r="O2380" s="55"/>
      <c r="P2380" s="55"/>
      <c r="Q2380" s="55"/>
      <c r="R2380" s="57"/>
      <c r="S2380" s="58"/>
    </row>
    <row r="2381" spans="1:19" x14ac:dyDescent="0.25">
      <c r="A2381" s="51" t="str">
        <f>(COUNTIF($K$2:K2381,K2381))&amp;K2381</f>
        <v>1</v>
      </c>
      <c r="B2381" s="52"/>
      <c r="C2381" s="60"/>
      <c r="E2381" s="61"/>
      <c r="F2381" s="62"/>
      <c r="G2381" s="63"/>
      <c r="H2381" s="64"/>
      <c r="I2381" s="64"/>
      <c r="J2381" s="64"/>
      <c r="K2381" s="65"/>
      <c r="L2381" s="64"/>
      <c r="M2381" s="64"/>
      <c r="N2381" s="64"/>
      <c r="P2381" s="63"/>
      <c r="Q2381" s="61"/>
      <c r="R2381" s="64"/>
      <c r="S2381" s="64"/>
    </row>
    <row r="2382" spans="1:19" x14ac:dyDescent="0.25">
      <c r="A2382" s="51" t="str">
        <f>(COUNTIF($K$2:K2382,K2382))&amp;K2382</f>
        <v>1</v>
      </c>
      <c r="B2382" s="52"/>
      <c r="C2382" s="53"/>
      <c r="D2382" s="54"/>
      <c r="E2382" s="55"/>
      <c r="F2382" s="55"/>
      <c r="G2382" s="55"/>
      <c r="H2382" s="55"/>
      <c r="I2382" s="55"/>
      <c r="J2382" s="55"/>
      <c r="K2382" s="56"/>
      <c r="L2382" s="55"/>
      <c r="M2382" s="55"/>
      <c r="N2382" s="55"/>
      <c r="O2382" s="55"/>
      <c r="P2382" s="55"/>
      <c r="Q2382" s="55"/>
      <c r="R2382" s="57"/>
      <c r="S2382" s="58"/>
    </row>
    <row r="2383" spans="1:19" x14ac:dyDescent="0.25">
      <c r="A2383" s="51" t="str">
        <f>(COUNTIF($K$2:K2383,K2383))&amp;K2383</f>
        <v>1</v>
      </c>
      <c r="B2383" s="52"/>
      <c r="C2383" s="53"/>
      <c r="D2383" s="54"/>
      <c r="E2383" s="55"/>
      <c r="F2383" s="55"/>
      <c r="G2383" s="55"/>
      <c r="H2383" s="55"/>
      <c r="I2383" s="55"/>
      <c r="J2383" s="55"/>
      <c r="K2383" s="56"/>
      <c r="L2383" s="55"/>
      <c r="M2383" s="55"/>
      <c r="N2383" s="55"/>
      <c r="O2383" s="55"/>
      <c r="P2383" s="55"/>
      <c r="Q2383" s="55"/>
      <c r="R2383" s="57"/>
      <c r="S2383" s="58"/>
    </row>
    <row r="2384" spans="1:19" x14ac:dyDescent="0.25">
      <c r="A2384" s="51" t="str">
        <f>(COUNTIF($K$2:K2384,K2384))&amp;K2384</f>
        <v>1</v>
      </c>
      <c r="B2384" s="52"/>
      <c r="C2384" s="53"/>
      <c r="D2384" s="54"/>
      <c r="E2384" s="55"/>
      <c r="F2384" s="55"/>
      <c r="G2384" s="55"/>
      <c r="H2384" s="55"/>
      <c r="I2384" s="55"/>
      <c r="J2384" s="55"/>
      <c r="K2384" s="56"/>
      <c r="L2384" s="55"/>
      <c r="M2384" s="55"/>
      <c r="N2384" s="55"/>
      <c r="O2384" s="55"/>
      <c r="P2384" s="55"/>
      <c r="Q2384" s="55"/>
      <c r="R2384" s="57"/>
      <c r="S2384" s="58"/>
    </row>
    <row r="2385" spans="1:19" x14ac:dyDescent="0.25">
      <c r="A2385" s="51" t="str">
        <f>(COUNTIF($K$2:K2385,K2385))&amp;K2385</f>
        <v>1</v>
      </c>
      <c r="B2385" s="52"/>
      <c r="C2385" s="53"/>
      <c r="D2385" s="54"/>
      <c r="E2385" s="55"/>
      <c r="F2385" s="55"/>
      <c r="G2385" s="55"/>
      <c r="H2385" s="55"/>
      <c r="I2385" s="55"/>
      <c r="J2385" s="55"/>
      <c r="K2385" s="56"/>
      <c r="L2385" s="55"/>
      <c r="M2385" s="55"/>
      <c r="N2385" s="55"/>
      <c r="O2385" s="55"/>
      <c r="P2385" s="55"/>
      <c r="Q2385" s="55"/>
      <c r="R2385" s="57"/>
      <c r="S2385" s="58"/>
    </row>
    <row r="2386" spans="1:19" x14ac:dyDescent="0.25">
      <c r="A2386" s="51" t="str">
        <f>(COUNTIF($K$2:K2386,K2386))&amp;K2386</f>
        <v>1</v>
      </c>
      <c r="B2386" s="52"/>
      <c r="C2386" s="53"/>
      <c r="D2386" s="54"/>
      <c r="E2386" s="55"/>
      <c r="F2386" s="55"/>
      <c r="G2386" s="55"/>
      <c r="H2386" s="55"/>
      <c r="I2386" s="55"/>
      <c r="J2386" s="55"/>
      <c r="K2386" s="56"/>
      <c r="L2386" s="55"/>
      <c r="M2386" s="55"/>
      <c r="N2386" s="55"/>
      <c r="O2386" s="55"/>
      <c r="P2386" s="55"/>
      <c r="Q2386" s="55"/>
      <c r="R2386" s="57"/>
      <c r="S2386" s="58"/>
    </row>
    <row r="2387" spans="1:19" x14ac:dyDescent="0.25">
      <c r="A2387" s="51" t="str">
        <f>(COUNTIF($K$2:K2387,K2387))&amp;K2387</f>
        <v>1</v>
      </c>
      <c r="B2387" s="52"/>
      <c r="C2387" s="53"/>
      <c r="D2387" s="54"/>
      <c r="E2387" s="55"/>
      <c r="F2387" s="55"/>
      <c r="G2387" s="55"/>
      <c r="H2387" s="55"/>
      <c r="I2387" s="55"/>
      <c r="J2387" s="55"/>
      <c r="K2387" s="56"/>
      <c r="L2387" s="55"/>
      <c r="M2387" s="55"/>
      <c r="N2387" s="55"/>
      <c r="O2387" s="55"/>
      <c r="P2387" s="55"/>
      <c r="Q2387" s="55"/>
      <c r="R2387" s="57"/>
      <c r="S2387" s="58"/>
    </row>
    <row r="2388" spans="1:19" x14ac:dyDescent="0.25">
      <c r="A2388" s="51" t="str">
        <f>(COUNTIF($K$2:K2388,K2388))&amp;K2388</f>
        <v>1</v>
      </c>
      <c r="B2388" s="52"/>
      <c r="C2388" s="53"/>
      <c r="D2388" s="54"/>
      <c r="E2388" s="55"/>
      <c r="F2388" s="55"/>
      <c r="G2388" s="55"/>
      <c r="H2388" s="55"/>
      <c r="I2388" s="55"/>
      <c r="J2388" s="55"/>
      <c r="K2388" s="56"/>
      <c r="L2388" s="55"/>
      <c r="M2388" s="55"/>
      <c r="N2388" s="55"/>
      <c r="O2388" s="55"/>
      <c r="P2388" s="55"/>
      <c r="Q2388" s="55"/>
      <c r="R2388" s="57"/>
      <c r="S2388" s="58"/>
    </row>
    <row r="2389" spans="1:19" x14ac:dyDescent="0.25">
      <c r="A2389" s="51" t="str">
        <f>(COUNTIF($K$2:K2389,K2389))&amp;K2389</f>
        <v>1</v>
      </c>
      <c r="B2389" s="52"/>
      <c r="C2389" s="53"/>
      <c r="D2389" s="54"/>
      <c r="E2389" s="55"/>
      <c r="F2389" s="55"/>
      <c r="G2389" s="55"/>
      <c r="H2389" s="55"/>
      <c r="I2389" s="55"/>
      <c r="J2389" s="55"/>
      <c r="K2389" s="56"/>
      <c r="L2389" s="55"/>
      <c r="M2389" s="55"/>
      <c r="N2389" s="55"/>
      <c r="O2389" s="55"/>
      <c r="P2389" s="55"/>
      <c r="Q2389" s="55"/>
      <c r="R2389" s="57"/>
      <c r="S2389" s="58"/>
    </row>
    <row r="2390" spans="1:19" ht="15.75" x14ac:dyDescent="0.25">
      <c r="A2390" s="51" t="str">
        <f>(COUNTIF($K$2:K2390,K2390))&amp;K2390</f>
        <v>1</v>
      </c>
      <c r="B2390" s="52"/>
      <c r="C2390" s="53"/>
      <c r="D2390" s="54"/>
      <c r="E2390" s="55"/>
      <c r="F2390" s="55"/>
      <c r="G2390" s="55"/>
      <c r="H2390" s="55"/>
      <c r="I2390" s="55"/>
      <c r="J2390" s="55"/>
      <c r="K2390" s="59"/>
      <c r="L2390" s="55"/>
      <c r="M2390" s="55"/>
      <c r="N2390" s="55"/>
      <c r="O2390" s="55"/>
      <c r="P2390" s="55"/>
      <c r="Q2390" s="55"/>
      <c r="R2390" s="57"/>
      <c r="S2390" s="58"/>
    </row>
    <row r="2391" spans="1:19" x14ac:dyDescent="0.25">
      <c r="A2391" s="51" t="str">
        <f>(COUNTIF($K$2:K2391,K2391))&amp;K2391</f>
        <v>1</v>
      </c>
      <c r="B2391" s="52"/>
      <c r="C2391" s="53"/>
      <c r="D2391" s="54"/>
      <c r="E2391" s="55"/>
      <c r="F2391" s="55"/>
      <c r="G2391" s="55"/>
      <c r="H2391" s="55"/>
      <c r="I2391" s="55"/>
      <c r="J2391" s="55"/>
      <c r="K2391" s="56"/>
      <c r="L2391" s="55"/>
      <c r="M2391" s="55"/>
      <c r="N2391" s="55"/>
      <c r="O2391" s="55"/>
      <c r="P2391" s="55"/>
      <c r="Q2391" s="55"/>
      <c r="R2391" s="57"/>
      <c r="S2391" s="58"/>
    </row>
    <row r="2392" spans="1:19" x14ac:dyDescent="0.25">
      <c r="A2392" s="51" t="str">
        <f>(COUNTIF($K$2:K2392,K2392))&amp;K2392</f>
        <v>1</v>
      </c>
      <c r="B2392" s="52"/>
      <c r="C2392" s="53"/>
      <c r="D2392" s="54"/>
      <c r="E2392" s="55"/>
      <c r="F2392" s="55"/>
      <c r="G2392" s="55"/>
      <c r="H2392" s="55"/>
      <c r="I2392" s="55"/>
      <c r="J2392" s="55"/>
      <c r="K2392" s="56"/>
      <c r="L2392" s="55"/>
      <c r="M2392" s="55"/>
      <c r="N2392" s="55"/>
      <c r="O2392" s="55"/>
      <c r="P2392" s="55"/>
      <c r="Q2392" s="55"/>
      <c r="R2392" s="57"/>
      <c r="S2392" s="58"/>
    </row>
    <row r="2393" spans="1:19" x14ac:dyDescent="0.25">
      <c r="A2393" s="51" t="str">
        <f>(COUNTIF($K$2:K2393,K2393))&amp;K2393</f>
        <v>1</v>
      </c>
      <c r="B2393" s="52"/>
      <c r="C2393" s="53"/>
      <c r="D2393" s="54"/>
      <c r="E2393" s="55"/>
      <c r="F2393" s="55"/>
      <c r="G2393" s="55"/>
      <c r="H2393" s="55"/>
      <c r="I2393" s="55"/>
      <c r="J2393" s="55"/>
      <c r="K2393" s="56"/>
      <c r="L2393" s="55"/>
      <c r="M2393" s="55"/>
      <c r="N2393" s="55"/>
      <c r="O2393" s="55"/>
      <c r="P2393" s="55"/>
      <c r="Q2393" s="55"/>
      <c r="R2393" s="57"/>
      <c r="S2393" s="58"/>
    </row>
    <row r="2394" spans="1:19" x14ac:dyDescent="0.25">
      <c r="A2394" s="51" t="str">
        <f>(COUNTIF($K$2:K2394,K2394))&amp;K2394</f>
        <v>1</v>
      </c>
      <c r="B2394" s="52"/>
      <c r="C2394" s="53"/>
      <c r="D2394" s="54"/>
      <c r="E2394" s="55"/>
      <c r="F2394" s="55"/>
      <c r="G2394" s="55"/>
      <c r="H2394" s="55"/>
      <c r="I2394" s="55"/>
      <c r="J2394" s="55"/>
      <c r="K2394" s="56"/>
      <c r="L2394" s="55"/>
      <c r="M2394" s="55"/>
      <c r="N2394" s="55"/>
      <c r="O2394" s="55"/>
      <c r="P2394" s="55"/>
      <c r="Q2394" s="55"/>
      <c r="R2394" s="57"/>
      <c r="S2394" s="58"/>
    </row>
    <row r="2395" spans="1:19" x14ac:dyDescent="0.25">
      <c r="A2395" s="51" t="str">
        <f>(COUNTIF($K$2:K2395,K2395))&amp;K2395</f>
        <v>1</v>
      </c>
      <c r="B2395" s="52"/>
      <c r="C2395" s="53"/>
      <c r="D2395" s="54"/>
      <c r="E2395" s="55"/>
      <c r="F2395" s="55"/>
      <c r="G2395" s="55"/>
      <c r="H2395" s="55"/>
      <c r="I2395" s="55"/>
      <c r="J2395" s="55"/>
      <c r="K2395" s="56"/>
      <c r="L2395" s="55"/>
      <c r="M2395" s="55"/>
      <c r="N2395" s="55"/>
      <c r="O2395" s="55"/>
      <c r="P2395" s="55"/>
      <c r="Q2395" s="55"/>
      <c r="R2395" s="57"/>
      <c r="S2395" s="58"/>
    </row>
    <row r="2396" spans="1:19" x14ac:dyDescent="0.25">
      <c r="A2396" s="51" t="str">
        <f>(COUNTIF($K$2:K2396,K2396))&amp;K2396</f>
        <v>1</v>
      </c>
      <c r="B2396" s="52"/>
      <c r="C2396" s="53"/>
      <c r="D2396" s="54"/>
      <c r="E2396" s="55"/>
      <c r="F2396" s="55"/>
      <c r="G2396" s="55"/>
      <c r="H2396" s="55"/>
      <c r="I2396" s="55"/>
      <c r="J2396" s="55"/>
      <c r="K2396" s="56"/>
      <c r="L2396" s="55"/>
      <c r="M2396" s="55"/>
      <c r="N2396" s="55"/>
      <c r="O2396" s="55"/>
      <c r="P2396" s="55"/>
      <c r="Q2396" s="55"/>
      <c r="R2396" s="57"/>
      <c r="S2396" s="58"/>
    </row>
    <row r="2397" spans="1:19" x14ac:dyDescent="0.25">
      <c r="A2397" s="51" t="str">
        <f>(COUNTIF($K$2:K2397,K2397))&amp;K2397</f>
        <v>1</v>
      </c>
      <c r="B2397" s="52"/>
      <c r="C2397" s="53"/>
      <c r="D2397" s="54"/>
      <c r="E2397" s="55"/>
      <c r="F2397" s="55"/>
      <c r="G2397" s="55"/>
      <c r="H2397" s="55"/>
      <c r="I2397" s="55"/>
      <c r="J2397" s="55"/>
      <c r="K2397" s="56"/>
      <c r="L2397" s="55"/>
      <c r="M2397" s="55"/>
      <c r="N2397" s="55"/>
      <c r="O2397" s="55"/>
      <c r="P2397" s="55"/>
      <c r="Q2397" s="55"/>
      <c r="R2397" s="57"/>
      <c r="S2397" s="58"/>
    </row>
    <row r="2398" spans="1:19" x14ac:dyDescent="0.25">
      <c r="A2398" s="51" t="str">
        <f>(COUNTIF($K$2:K2398,K2398))&amp;K2398</f>
        <v>1</v>
      </c>
      <c r="B2398" s="52"/>
      <c r="C2398" s="60"/>
      <c r="E2398" s="61"/>
      <c r="F2398" s="62"/>
      <c r="G2398" s="63"/>
      <c r="H2398" s="64"/>
      <c r="I2398" s="64"/>
      <c r="J2398" s="64"/>
      <c r="K2398" s="65"/>
      <c r="L2398" s="64"/>
      <c r="M2398" s="64"/>
      <c r="N2398" s="64"/>
      <c r="P2398" s="63"/>
      <c r="Q2398" s="61"/>
      <c r="R2398" s="64"/>
      <c r="S2398" s="64"/>
    </row>
    <row r="2399" spans="1:19" x14ac:dyDescent="0.25">
      <c r="A2399" s="51" t="str">
        <f>(COUNTIF($K$2:K2399,K2399))&amp;K2399</f>
        <v>1</v>
      </c>
      <c r="B2399" s="52"/>
      <c r="C2399" s="53"/>
      <c r="D2399" s="54"/>
      <c r="E2399" s="55"/>
      <c r="F2399" s="55"/>
      <c r="G2399" s="55"/>
      <c r="H2399" s="55"/>
      <c r="I2399" s="55"/>
      <c r="J2399" s="55"/>
      <c r="K2399" s="56"/>
      <c r="L2399" s="55"/>
      <c r="M2399" s="55"/>
      <c r="N2399" s="55"/>
      <c r="O2399" s="55"/>
      <c r="P2399" s="55"/>
      <c r="Q2399" s="55"/>
      <c r="R2399" s="57"/>
      <c r="S2399" s="58"/>
    </row>
    <row r="2400" spans="1:19" x14ac:dyDescent="0.25">
      <c r="A2400" s="51" t="str">
        <f>(COUNTIF($K$2:K2400,K2400))&amp;K2400</f>
        <v>1</v>
      </c>
      <c r="B2400" s="52"/>
      <c r="C2400" s="53"/>
      <c r="D2400" s="54"/>
      <c r="E2400" s="55"/>
      <c r="F2400" s="55"/>
      <c r="G2400" s="55"/>
      <c r="H2400" s="55"/>
      <c r="I2400" s="55"/>
      <c r="J2400" s="55"/>
      <c r="K2400" s="56"/>
      <c r="L2400" s="55"/>
      <c r="M2400" s="55"/>
      <c r="N2400" s="55"/>
      <c r="O2400" s="55"/>
      <c r="P2400" s="55"/>
      <c r="Q2400" s="55"/>
      <c r="R2400" s="57"/>
      <c r="S2400" s="58"/>
    </row>
    <row r="2401" spans="1:19" x14ac:dyDescent="0.25">
      <c r="A2401" s="51" t="str">
        <f>(COUNTIF($K$2:K2401,K2401))&amp;K2401</f>
        <v>1</v>
      </c>
      <c r="B2401" s="52"/>
      <c r="C2401" s="53"/>
      <c r="D2401" s="54"/>
      <c r="E2401" s="55"/>
      <c r="F2401" s="55"/>
      <c r="G2401" s="55"/>
      <c r="H2401" s="55"/>
      <c r="I2401" s="55"/>
      <c r="J2401" s="55"/>
      <c r="K2401" s="56"/>
      <c r="L2401" s="55"/>
      <c r="M2401" s="55"/>
      <c r="N2401" s="55"/>
      <c r="O2401" s="55"/>
      <c r="P2401" s="55"/>
      <c r="Q2401" s="55"/>
      <c r="R2401" s="57"/>
      <c r="S2401" s="58"/>
    </row>
    <row r="2402" spans="1:19" x14ac:dyDescent="0.25">
      <c r="A2402" s="51" t="str">
        <f>(COUNTIF($K$2:K2402,K2402))&amp;K2402</f>
        <v>1</v>
      </c>
      <c r="B2402" s="52"/>
      <c r="C2402" s="53"/>
      <c r="D2402" s="54"/>
      <c r="E2402" s="55"/>
      <c r="F2402" s="55"/>
      <c r="G2402" s="55"/>
      <c r="H2402" s="55"/>
      <c r="I2402" s="55"/>
      <c r="J2402" s="55"/>
      <c r="K2402" s="56"/>
      <c r="L2402" s="55"/>
      <c r="M2402" s="55"/>
      <c r="N2402" s="55"/>
      <c r="O2402" s="55"/>
      <c r="P2402" s="55"/>
      <c r="Q2402" s="55"/>
      <c r="R2402" s="57"/>
      <c r="S2402" s="58"/>
    </row>
    <row r="2403" spans="1:19" x14ac:dyDescent="0.25">
      <c r="A2403" s="51" t="str">
        <f>(COUNTIF($K$2:K2403,K2403))&amp;K2403</f>
        <v>1</v>
      </c>
      <c r="B2403" s="52"/>
      <c r="C2403" s="53"/>
      <c r="D2403" s="54"/>
      <c r="E2403" s="55"/>
      <c r="F2403" s="55"/>
      <c r="G2403" s="55"/>
      <c r="H2403" s="55"/>
      <c r="I2403" s="55"/>
      <c r="J2403" s="55"/>
      <c r="K2403" s="56"/>
      <c r="L2403" s="55"/>
      <c r="M2403" s="55"/>
      <c r="N2403" s="55"/>
      <c r="O2403" s="55"/>
      <c r="P2403" s="55"/>
      <c r="Q2403" s="55"/>
      <c r="R2403" s="57"/>
      <c r="S2403" s="58"/>
    </row>
    <row r="2404" spans="1:19" x14ac:dyDescent="0.25">
      <c r="A2404" s="51" t="str">
        <f>(COUNTIF($K$2:K2404,K2404))&amp;K2404</f>
        <v>1</v>
      </c>
      <c r="B2404" s="52"/>
      <c r="C2404" s="53"/>
      <c r="D2404" s="54"/>
      <c r="E2404" s="55"/>
      <c r="F2404" s="55"/>
      <c r="G2404" s="55"/>
      <c r="H2404" s="55"/>
      <c r="I2404" s="55"/>
      <c r="J2404" s="55"/>
      <c r="K2404" s="56"/>
      <c r="L2404" s="55"/>
      <c r="M2404" s="55"/>
      <c r="N2404" s="55"/>
      <c r="O2404" s="55"/>
      <c r="P2404" s="55"/>
      <c r="Q2404" s="55"/>
      <c r="R2404" s="57"/>
      <c r="S2404" s="58"/>
    </row>
    <row r="2405" spans="1:19" x14ac:dyDescent="0.25">
      <c r="A2405" s="51" t="str">
        <f>(COUNTIF($K$2:K2405,K2405))&amp;K2405</f>
        <v>1</v>
      </c>
      <c r="B2405" s="52"/>
      <c r="C2405" s="53"/>
      <c r="D2405" s="54"/>
      <c r="E2405" s="55"/>
      <c r="F2405" s="55"/>
      <c r="G2405" s="55"/>
      <c r="H2405" s="55"/>
      <c r="I2405" s="55"/>
      <c r="J2405" s="55"/>
      <c r="K2405" s="56"/>
      <c r="L2405" s="55"/>
      <c r="M2405" s="55"/>
      <c r="N2405" s="55"/>
      <c r="O2405" s="55"/>
      <c r="P2405" s="55"/>
      <c r="Q2405" s="55"/>
      <c r="R2405" s="57"/>
      <c r="S2405" s="58"/>
    </row>
    <row r="2406" spans="1:19" x14ac:dyDescent="0.25">
      <c r="A2406" s="51" t="str">
        <f>(COUNTIF($K$2:K2406,K2406))&amp;K2406</f>
        <v>1</v>
      </c>
      <c r="B2406" s="52"/>
      <c r="C2406" s="53"/>
      <c r="D2406" s="54"/>
      <c r="E2406" s="55"/>
      <c r="F2406" s="55"/>
      <c r="G2406" s="55"/>
      <c r="H2406" s="55"/>
      <c r="I2406" s="55"/>
      <c r="J2406" s="55"/>
      <c r="K2406" s="56"/>
      <c r="L2406" s="55"/>
      <c r="M2406" s="55"/>
      <c r="N2406" s="55"/>
      <c r="O2406" s="55"/>
      <c r="P2406" s="55"/>
      <c r="Q2406" s="55"/>
      <c r="R2406" s="57"/>
      <c r="S2406" s="58"/>
    </row>
    <row r="2407" spans="1:19" ht="15.75" x14ac:dyDescent="0.25">
      <c r="A2407" s="51" t="str">
        <f>(COUNTIF($K$2:K2407,K2407))&amp;K2407</f>
        <v>1</v>
      </c>
      <c r="B2407" s="52"/>
      <c r="C2407" s="53"/>
      <c r="D2407" s="54"/>
      <c r="E2407" s="55"/>
      <c r="F2407" s="55"/>
      <c r="G2407" s="55"/>
      <c r="H2407" s="55"/>
      <c r="I2407" s="55"/>
      <c r="J2407" s="55"/>
      <c r="K2407" s="59"/>
      <c r="L2407" s="55"/>
      <c r="M2407" s="55"/>
      <c r="N2407" s="55"/>
      <c r="O2407" s="55"/>
      <c r="P2407" s="55"/>
      <c r="Q2407" s="55"/>
      <c r="R2407" s="57"/>
      <c r="S2407" s="58"/>
    </row>
    <row r="2408" spans="1:19" x14ac:dyDescent="0.25">
      <c r="A2408" s="51" t="str">
        <f>(COUNTIF($K$2:K2408,K2408))&amp;K2408</f>
        <v>1</v>
      </c>
      <c r="B2408" s="52"/>
      <c r="C2408" s="53"/>
      <c r="D2408" s="54"/>
      <c r="E2408" s="55"/>
      <c r="F2408" s="55"/>
      <c r="G2408" s="55"/>
      <c r="H2408" s="55"/>
      <c r="I2408" s="55"/>
      <c r="J2408" s="55"/>
      <c r="K2408" s="56"/>
      <c r="L2408" s="55"/>
      <c r="M2408" s="55"/>
      <c r="N2408" s="55"/>
      <c r="O2408" s="55"/>
      <c r="P2408" s="55"/>
      <c r="Q2408" s="55"/>
      <c r="R2408" s="57"/>
      <c r="S2408" s="58"/>
    </row>
    <row r="2409" spans="1:19" x14ac:dyDescent="0.25">
      <c r="A2409" s="51" t="str">
        <f>(COUNTIF($K$2:K2409,K2409))&amp;K2409</f>
        <v>1</v>
      </c>
      <c r="B2409" s="52"/>
      <c r="C2409" s="53"/>
      <c r="D2409" s="54"/>
      <c r="E2409" s="55"/>
      <c r="F2409" s="55"/>
      <c r="G2409" s="55"/>
      <c r="H2409" s="55"/>
      <c r="I2409" s="55"/>
      <c r="J2409" s="55"/>
      <c r="K2409" s="56"/>
      <c r="L2409" s="55"/>
      <c r="M2409" s="55"/>
      <c r="N2409" s="55"/>
      <c r="O2409" s="55"/>
      <c r="P2409" s="55"/>
      <c r="Q2409" s="55"/>
      <c r="R2409" s="57"/>
      <c r="S2409" s="58"/>
    </row>
    <row r="2410" spans="1:19" x14ac:dyDescent="0.25">
      <c r="A2410" s="51" t="str">
        <f>(COUNTIF($K$2:K2410,K2410))&amp;K2410</f>
        <v>1</v>
      </c>
      <c r="B2410" s="52"/>
      <c r="C2410" s="53"/>
      <c r="D2410" s="54"/>
      <c r="E2410" s="55"/>
      <c r="F2410" s="55"/>
      <c r="G2410" s="55"/>
      <c r="H2410" s="55"/>
      <c r="I2410" s="55"/>
      <c r="J2410" s="55"/>
      <c r="K2410" s="56"/>
      <c r="L2410" s="55"/>
      <c r="M2410" s="55"/>
      <c r="N2410" s="55"/>
      <c r="O2410" s="55"/>
      <c r="P2410" s="55"/>
      <c r="Q2410" s="55"/>
      <c r="R2410" s="57"/>
      <c r="S2410" s="58"/>
    </row>
    <row r="2411" spans="1:19" x14ac:dyDescent="0.25">
      <c r="A2411" s="51" t="str">
        <f>(COUNTIF($K$2:K2411,K2411))&amp;K2411</f>
        <v>1</v>
      </c>
      <c r="B2411" s="52"/>
      <c r="C2411" s="53"/>
      <c r="D2411" s="54"/>
      <c r="E2411" s="55"/>
      <c r="F2411" s="55"/>
      <c r="G2411" s="55"/>
      <c r="H2411" s="55"/>
      <c r="I2411" s="55"/>
      <c r="J2411" s="55"/>
      <c r="K2411" s="56"/>
      <c r="L2411" s="55"/>
      <c r="M2411" s="55"/>
      <c r="N2411" s="55"/>
      <c r="O2411" s="55"/>
      <c r="P2411" s="55"/>
      <c r="Q2411" s="55"/>
      <c r="R2411" s="57"/>
      <c r="S2411" s="58"/>
    </row>
    <row r="2412" spans="1:19" x14ac:dyDescent="0.25">
      <c r="A2412" s="51" t="str">
        <f>(COUNTIF($K$2:K2412,K2412))&amp;K2412</f>
        <v>1</v>
      </c>
      <c r="B2412" s="52"/>
      <c r="C2412" s="53"/>
      <c r="D2412" s="54"/>
      <c r="E2412" s="55"/>
      <c r="F2412" s="55"/>
      <c r="G2412" s="55"/>
      <c r="H2412" s="55"/>
      <c r="I2412" s="55"/>
      <c r="J2412" s="55"/>
      <c r="K2412" s="56"/>
      <c r="L2412" s="55"/>
      <c r="M2412" s="55"/>
      <c r="N2412" s="55"/>
      <c r="O2412" s="55"/>
      <c r="P2412" s="55"/>
      <c r="Q2412" s="55"/>
      <c r="R2412" s="57"/>
      <c r="S2412" s="58"/>
    </row>
    <row r="2413" spans="1:19" x14ac:dyDescent="0.25">
      <c r="A2413" s="51" t="str">
        <f>(COUNTIF($K$2:K2413,K2413))&amp;K2413</f>
        <v>1</v>
      </c>
      <c r="B2413" s="52"/>
      <c r="C2413" s="53"/>
      <c r="D2413" s="54"/>
      <c r="E2413" s="55"/>
      <c r="F2413" s="55"/>
      <c r="G2413" s="55"/>
      <c r="H2413" s="55"/>
      <c r="I2413" s="55"/>
      <c r="J2413" s="55"/>
      <c r="K2413" s="56"/>
      <c r="L2413" s="55"/>
      <c r="M2413" s="55"/>
      <c r="N2413" s="55"/>
      <c r="O2413" s="55"/>
      <c r="P2413" s="55"/>
      <c r="Q2413" s="55"/>
      <c r="R2413" s="57"/>
      <c r="S2413" s="58"/>
    </row>
    <row r="2414" spans="1:19" x14ac:dyDescent="0.25">
      <c r="A2414" s="51" t="str">
        <f>(COUNTIF($K$2:K2414,K2414))&amp;K2414</f>
        <v>1</v>
      </c>
      <c r="B2414" s="52"/>
      <c r="C2414" s="53"/>
      <c r="D2414" s="54"/>
      <c r="E2414" s="55"/>
      <c r="F2414" s="55"/>
      <c r="G2414" s="55"/>
      <c r="H2414" s="55"/>
      <c r="I2414" s="55"/>
      <c r="J2414" s="55"/>
      <c r="K2414" s="56"/>
      <c r="L2414" s="55"/>
      <c r="M2414" s="55"/>
      <c r="N2414" s="55"/>
      <c r="O2414" s="55"/>
      <c r="P2414" s="55"/>
      <c r="Q2414" s="55"/>
      <c r="R2414" s="57"/>
      <c r="S2414" s="58"/>
    </row>
    <row r="2415" spans="1:19" x14ac:dyDescent="0.25">
      <c r="A2415" s="51" t="str">
        <f>(COUNTIF($K$2:K2415,K2415))&amp;K2415</f>
        <v>1</v>
      </c>
      <c r="B2415" s="52"/>
      <c r="C2415" s="60"/>
      <c r="E2415" s="61"/>
      <c r="F2415" s="62"/>
      <c r="G2415" s="63"/>
      <c r="H2415" s="64"/>
      <c r="I2415" s="64"/>
      <c r="J2415" s="64"/>
      <c r="K2415" s="65"/>
      <c r="L2415" s="64"/>
      <c r="M2415" s="64"/>
      <c r="N2415" s="64"/>
      <c r="P2415" s="63"/>
      <c r="Q2415" s="61"/>
      <c r="R2415" s="64"/>
      <c r="S2415" s="64"/>
    </row>
    <row r="2416" spans="1:19" x14ac:dyDescent="0.25">
      <c r="A2416" s="51" t="str">
        <f>(COUNTIF($K$2:K2416,K2416))&amp;K2416</f>
        <v>1</v>
      </c>
      <c r="B2416" s="52"/>
      <c r="C2416" s="53"/>
      <c r="D2416" s="54"/>
      <c r="E2416" s="55"/>
      <c r="F2416" s="55"/>
      <c r="G2416" s="55"/>
      <c r="H2416" s="55"/>
      <c r="I2416" s="55"/>
      <c r="J2416" s="55"/>
      <c r="K2416" s="56"/>
      <c r="L2416" s="55"/>
      <c r="M2416" s="55"/>
      <c r="N2416" s="55"/>
      <c r="O2416" s="55"/>
      <c r="P2416" s="55"/>
      <c r="Q2416" s="55"/>
      <c r="R2416" s="57"/>
      <c r="S2416" s="58"/>
    </row>
    <row r="2417" spans="1:19" x14ac:dyDescent="0.25">
      <c r="A2417" s="51" t="str">
        <f>(COUNTIF($K$2:K2417,K2417))&amp;K2417</f>
        <v>1</v>
      </c>
      <c r="B2417" s="52"/>
      <c r="C2417" s="53"/>
      <c r="D2417" s="54"/>
      <c r="E2417" s="55"/>
      <c r="F2417" s="55"/>
      <c r="G2417" s="55"/>
      <c r="H2417" s="55"/>
      <c r="I2417" s="55"/>
      <c r="J2417" s="55"/>
      <c r="K2417" s="56"/>
      <c r="L2417" s="55"/>
      <c r="M2417" s="55"/>
      <c r="N2417" s="55"/>
      <c r="O2417" s="55"/>
      <c r="P2417" s="55"/>
      <c r="Q2417" s="55"/>
      <c r="R2417" s="57"/>
      <c r="S2417" s="58"/>
    </row>
    <row r="2418" spans="1:19" x14ac:dyDescent="0.25">
      <c r="A2418" s="51" t="str">
        <f>(COUNTIF($K$2:K2418,K2418))&amp;K2418</f>
        <v>1</v>
      </c>
      <c r="B2418" s="52"/>
      <c r="C2418" s="53"/>
      <c r="D2418" s="54"/>
      <c r="E2418" s="55"/>
      <c r="F2418" s="55"/>
      <c r="G2418" s="55"/>
      <c r="H2418" s="55"/>
      <c r="I2418" s="55"/>
      <c r="J2418" s="55"/>
      <c r="K2418" s="56"/>
      <c r="L2418" s="55"/>
      <c r="M2418" s="55"/>
      <c r="N2418" s="55"/>
      <c r="O2418" s="55"/>
      <c r="P2418" s="55"/>
      <c r="Q2418" s="55"/>
      <c r="R2418" s="57"/>
      <c r="S2418" s="58"/>
    </row>
    <row r="2419" spans="1:19" x14ac:dyDescent="0.25">
      <c r="A2419" s="51" t="str">
        <f>(COUNTIF($K$2:K2419,K2419))&amp;K2419</f>
        <v>1</v>
      </c>
      <c r="B2419" s="52"/>
      <c r="C2419" s="53"/>
      <c r="D2419" s="54"/>
      <c r="E2419" s="55"/>
      <c r="F2419" s="55"/>
      <c r="G2419" s="55"/>
      <c r="H2419" s="55"/>
      <c r="I2419" s="55"/>
      <c r="J2419" s="55"/>
      <c r="K2419" s="56"/>
      <c r="L2419" s="55"/>
      <c r="M2419" s="55"/>
      <c r="N2419" s="55"/>
      <c r="O2419" s="55"/>
      <c r="P2419" s="55"/>
      <c r="Q2419" s="55"/>
      <c r="R2419" s="57"/>
      <c r="S2419" s="58"/>
    </row>
    <row r="2420" spans="1:19" x14ac:dyDescent="0.25">
      <c r="A2420" s="51" t="str">
        <f>(COUNTIF($K$2:K2420,K2420))&amp;K2420</f>
        <v>1</v>
      </c>
      <c r="B2420" s="52"/>
      <c r="C2420" s="53"/>
      <c r="D2420" s="54"/>
      <c r="E2420" s="55"/>
      <c r="F2420" s="55"/>
      <c r="G2420" s="55"/>
      <c r="H2420" s="55"/>
      <c r="I2420" s="55"/>
      <c r="J2420" s="55"/>
      <c r="K2420" s="56"/>
      <c r="L2420" s="55"/>
      <c r="M2420" s="55"/>
      <c r="N2420" s="55"/>
      <c r="O2420" s="55"/>
      <c r="P2420" s="55"/>
      <c r="Q2420" s="55"/>
      <c r="R2420" s="57"/>
      <c r="S2420" s="58"/>
    </row>
    <row r="2421" spans="1:19" x14ac:dyDescent="0.25">
      <c r="A2421" s="51" t="str">
        <f>(COUNTIF($K$2:K2421,K2421))&amp;K2421</f>
        <v>1</v>
      </c>
      <c r="B2421" s="52"/>
      <c r="C2421" s="53"/>
      <c r="D2421" s="54"/>
      <c r="E2421" s="55"/>
      <c r="F2421" s="55"/>
      <c r="G2421" s="55"/>
      <c r="H2421" s="55"/>
      <c r="I2421" s="55"/>
      <c r="J2421" s="55"/>
      <c r="K2421" s="56"/>
      <c r="L2421" s="55"/>
      <c r="M2421" s="55"/>
      <c r="N2421" s="55"/>
      <c r="O2421" s="55"/>
      <c r="P2421" s="55"/>
      <c r="Q2421" s="55"/>
      <c r="R2421" s="57"/>
      <c r="S2421" s="58"/>
    </row>
    <row r="2422" spans="1:19" x14ac:dyDescent="0.25">
      <c r="A2422" s="51" t="str">
        <f>(COUNTIF($K$2:K2422,K2422))&amp;K2422</f>
        <v>1</v>
      </c>
      <c r="B2422" s="52"/>
      <c r="C2422" s="53"/>
      <c r="D2422" s="54"/>
      <c r="E2422" s="55"/>
      <c r="F2422" s="55"/>
      <c r="G2422" s="55"/>
      <c r="H2422" s="55"/>
      <c r="I2422" s="55"/>
      <c r="J2422" s="55"/>
      <c r="K2422" s="56"/>
      <c r="L2422" s="55"/>
      <c r="M2422" s="55"/>
      <c r="N2422" s="55"/>
      <c r="O2422" s="55"/>
      <c r="P2422" s="55"/>
      <c r="Q2422" s="55"/>
      <c r="R2422" s="57"/>
      <c r="S2422" s="58"/>
    </row>
    <row r="2423" spans="1:19" x14ac:dyDescent="0.25">
      <c r="A2423" s="51" t="str">
        <f>(COUNTIF($K$2:K2423,K2423))&amp;K2423</f>
        <v>1</v>
      </c>
      <c r="B2423" s="52"/>
      <c r="C2423" s="53"/>
      <c r="D2423" s="54"/>
      <c r="E2423" s="55"/>
      <c r="F2423" s="55"/>
      <c r="G2423" s="55"/>
      <c r="H2423" s="55"/>
      <c r="I2423" s="55"/>
      <c r="J2423" s="55"/>
      <c r="K2423" s="56"/>
      <c r="L2423" s="55"/>
      <c r="M2423" s="55"/>
      <c r="N2423" s="55"/>
      <c r="O2423" s="55"/>
      <c r="P2423" s="55"/>
      <c r="Q2423" s="55"/>
      <c r="R2423" s="57"/>
      <c r="S2423" s="58"/>
    </row>
    <row r="2424" spans="1:19" ht="15.75" x14ac:dyDescent="0.25">
      <c r="A2424" s="51" t="str">
        <f>(COUNTIF($K$2:K2424,K2424))&amp;K2424</f>
        <v>1</v>
      </c>
      <c r="B2424" s="52"/>
      <c r="C2424" s="53"/>
      <c r="D2424" s="54"/>
      <c r="E2424" s="55"/>
      <c r="F2424" s="55"/>
      <c r="G2424" s="55"/>
      <c r="H2424" s="55"/>
      <c r="I2424" s="55"/>
      <c r="J2424" s="55"/>
      <c r="K2424" s="59"/>
      <c r="L2424" s="55"/>
      <c r="M2424" s="55"/>
      <c r="N2424" s="55"/>
      <c r="O2424" s="55"/>
      <c r="P2424" s="55"/>
      <c r="Q2424" s="55"/>
      <c r="R2424" s="57"/>
      <c r="S2424" s="58"/>
    </row>
    <row r="2425" spans="1:19" x14ac:dyDescent="0.25">
      <c r="A2425" s="51" t="str">
        <f>(COUNTIF($K$2:K2425,K2425))&amp;K2425</f>
        <v>1</v>
      </c>
      <c r="B2425" s="52"/>
      <c r="C2425" s="53"/>
      <c r="D2425" s="54"/>
      <c r="E2425" s="55"/>
      <c r="F2425" s="55"/>
      <c r="G2425" s="55"/>
      <c r="H2425" s="55"/>
      <c r="I2425" s="55"/>
      <c r="J2425" s="55"/>
      <c r="K2425" s="56"/>
      <c r="L2425" s="55"/>
      <c r="M2425" s="55"/>
      <c r="N2425" s="55"/>
      <c r="O2425" s="55"/>
      <c r="P2425" s="55"/>
      <c r="Q2425" s="55"/>
      <c r="R2425" s="57"/>
      <c r="S2425" s="58"/>
    </row>
    <row r="2426" spans="1:19" x14ac:dyDescent="0.25">
      <c r="A2426" s="51" t="str">
        <f>(COUNTIF($K$2:K2426,K2426))&amp;K2426</f>
        <v>1</v>
      </c>
      <c r="B2426" s="52"/>
      <c r="C2426" s="53"/>
      <c r="D2426" s="54"/>
      <c r="E2426" s="55"/>
      <c r="F2426" s="55"/>
      <c r="G2426" s="55"/>
      <c r="H2426" s="55"/>
      <c r="I2426" s="55"/>
      <c r="J2426" s="55"/>
      <c r="K2426" s="56"/>
      <c r="L2426" s="55"/>
      <c r="M2426" s="55"/>
      <c r="N2426" s="55"/>
      <c r="O2426" s="55"/>
      <c r="P2426" s="55"/>
      <c r="Q2426" s="55"/>
      <c r="R2426" s="57"/>
      <c r="S2426" s="58"/>
    </row>
    <row r="2427" spans="1:19" x14ac:dyDescent="0.25">
      <c r="A2427" s="51" t="str">
        <f>(COUNTIF($K$2:K2427,K2427))&amp;K2427</f>
        <v>1</v>
      </c>
      <c r="B2427" s="52"/>
      <c r="C2427" s="53"/>
      <c r="D2427" s="54"/>
      <c r="E2427" s="55"/>
      <c r="F2427" s="55"/>
      <c r="G2427" s="55"/>
      <c r="H2427" s="55"/>
      <c r="I2427" s="55"/>
      <c r="J2427" s="55"/>
      <c r="K2427" s="56"/>
      <c r="L2427" s="55"/>
      <c r="M2427" s="55"/>
      <c r="N2427" s="55"/>
      <c r="O2427" s="55"/>
      <c r="P2427" s="55"/>
      <c r="Q2427" s="55"/>
      <c r="R2427" s="57"/>
      <c r="S2427" s="58"/>
    </row>
    <row r="2428" spans="1:19" x14ac:dyDescent="0.25">
      <c r="A2428" s="51" t="str">
        <f>(COUNTIF($K$2:K2428,K2428))&amp;K2428</f>
        <v>1</v>
      </c>
      <c r="B2428" s="52"/>
      <c r="C2428" s="53"/>
      <c r="D2428" s="54"/>
      <c r="E2428" s="55"/>
      <c r="F2428" s="55"/>
      <c r="G2428" s="55"/>
      <c r="H2428" s="55"/>
      <c r="I2428" s="55"/>
      <c r="J2428" s="55"/>
      <c r="K2428" s="56"/>
      <c r="L2428" s="55"/>
      <c r="M2428" s="55"/>
      <c r="N2428" s="55"/>
      <c r="O2428" s="55"/>
      <c r="P2428" s="55"/>
      <c r="Q2428" s="55"/>
      <c r="R2428" s="57"/>
      <c r="S2428" s="58"/>
    </row>
    <row r="2429" spans="1:19" x14ac:dyDescent="0.25">
      <c r="A2429" s="51" t="str">
        <f>(COUNTIF($K$2:K2429,K2429))&amp;K2429</f>
        <v>1</v>
      </c>
      <c r="B2429" s="52"/>
      <c r="C2429" s="53"/>
      <c r="D2429" s="54"/>
      <c r="E2429" s="55"/>
      <c r="F2429" s="55"/>
      <c r="G2429" s="55"/>
      <c r="H2429" s="55"/>
      <c r="I2429" s="55"/>
      <c r="J2429" s="55"/>
      <c r="K2429" s="56"/>
      <c r="L2429" s="55"/>
      <c r="M2429" s="55"/>
      <c r="N2429" s="55"/>
      <c r="O2429" s="55"/>
      <c r="P2429" s="55"/>
      <c r="Q2429" s="55"/>
      <c r="R2429" s="57"/>
      <c r="S2429" s="58"/>
    </row>
    <row r="2430" spans="1:19" x14ac:dyDescent="0.25">
      <c r="A2430" s="51" t="str">
        <f>(COUNTIF($K$2:K2430,K2430))&amp;K2430</f>
        <v>1</v>
      </c>
      <c r="B2430" s="52"/>
      <c r="C2430" s="53"/>
      <c r="D2430" s="54"/>
      <c r="E2430" s="55"/>
      <c r="F2430" s="55"/>
      <c r="G2430" s="55"/>
      <c r="H2430" s="55"/>
      <c r="I2430" s="55"/>
      <c r="J2430" s="55"/>
      <c r="K2430" s="56"/>
      <c r="L2430" s="55"/>
      <c r="M2430" s="55"/>
      <c r="N2430" s="55"/>
      <c r="O2430" s="55"/>
      <c r="P2430" s="55"/>
      <c r="Q2430" s="55"/>
      <c r="R2430" s="57"/>
      <c r="S2430" s="58"/>
    </row>
    <row r="2431" spans="1:19" x14ac:dyDescent="0.25">
      <c r="A2431" s="51" t="str">
        <f>(COUNTIF($K$2:K2431,K2431))&amp;K2431</f>
        <v>1</v>
      </c>
      <c r="B2431" s="52"/>
      <c r="C2431" s="53"/>
      <c r="D2431" s="54"/>
      <c r="E2431" s="55"/>
      <c r="F2431" s="55"/>
      <c r="G2431" s="55"/>
      <c r="H2431" s="55"/>
      <c r="I2431" s="55"/>
      <c r="J2431" s="55"/>
      <c r="K2431" s="56"/>
      <c r="L2431" s="55"/>
      <c r="M2431" s="55"/>
      <c r="N2431" s="55"/>
      <c r="O2431" s="55"/>
      <c r="P2431" s="55"/>
      <c r="Q2431" s="55"/>
      <c r="R2431" s="57"/>
      <c r="S2431" s="58"/>
    </row>
    <row r="2432" spans="1:19" x14ac:dyDescent="0.25">
      <c r="A2432" s="51" t="str">
        <f>(COUNTIF($K$2:K2432,K2432))&amp;K2432</f>
        <v>1</v>
      </c>
      <c r="B2432" s="52"/>
      <c r="C2432" s="60"/>
      <c r="E2432" s="61"/>
      <c r="F2432" s="62"/>
      <c r="G2432" s="63"/>
      <c r="H2432" s="64"/>
      <c r="I2432" s="64"/>
      <c r="J2432" s="64"/>
      <c r="K2432" s="65"/>
      <c r="L2432" s="64"/>
      <c r="M2432" s="64"/>
      <c r="N2432" s="64"/>
      <c r="P2432" s="63"/>
      <c r="Q2432" s="61"/>
      <c r="R2432" s="64"/>
      <c r="S2432" s="64"/>
    </row>
    <row r="2433" spans="1:19" x14ac:dyDescent="0.25">
      <c r="A2433" s="51" t="str">
        <f>(COUNTIF($K$2:K2433,K2433))&amp;K2433</f>
        <v>1</v>
      </c>
      <c r="B2433" s="52"/>
      <c r="C2433" s="53"/>
      <c r="D2433" s="54"/>
      <c r="E2433" s="55"/>
      <c r="F2433" s="55"/>
      <c r="G2433" s="55"/>
      <c r="H2433" s="55"/>
      <c r="I2433" s="55"/>
      <c r="J2433" s="55"/>
      <c r="K2433" s="56"/>
      <c r="L2433" s="55"/>
      <c r="M2433" s="55"/>
      <c r="N2433" s="55"/>
      <c r="O2433" s="55"/>
      <c r="P2433" s="55"/>
      <c r="Q2433" s="55"/>
      <c r="R2433" s="57"/>
      <c r="S2433" s="58"/>
    </row>
    <row r="2434" spans="1:19" x14ac:dyDescent="0.25">
      <c r="A2434" s="51" t="str">
        <f>(COUNTIF($K$2:K2434,K2434))&amp;K2434</f>
        <v>1</v>
      </c>
      <c r="B2434" s="52"/>
      <c r="C2434" s="53"/>
      <c r="D2434" s="54"/>
      <c r="E2434" s="55"/>
      <c r="F2434" s="55"/>
      <c r="G2434" s="55"/>
      <c r="H2434" s="55"/>
      <c r="I2434" s="55"/>
      <c r="J2434" s="55"/>
      <c r="K2434" s="56"/>
      <c r="L2434" s="55"/>
      <c r="M2434" s="55"/>
      <c r="N2434" s="55"/>
      <c r="O2434" s="55"/>
      <c r="P2434" s="55"/>
      <c r="Q2434" s="55"/>
      <c r="R2434" s="57"/>
      <c r="S2434" s="58"/>
    </row>
    <row r="2435" spans="1:19" x14ac:dyDescent="0.25">
      <c r="A2435" s="51" t="str">
        <f>(COUNTIF($K$2:K2435,K2435))&amp;K2435</f>
        <v>1</v>
      </c>
      <c r="B2435" s="52"/>
      <c r="C2435" s="53"/>
      <c r="D2435" s="54"/>
      <c r="E2435" s="55"/>
      <c r="F2435" s="55"/>
      <c r="G2435" s="55"/>
      <c r="H2435" s="55"/>
      <c r="I2435" s="55"/>
      <c r="J2435" s="55"/>
      <c r="K2435" s="56"/>
      <c r="L2435" s="55"/>
      <c r="M2435" s="55"/>
      <c r="N2435" s="55"/>
      <c r="O2435" s="55"/>
      <c r="P2435" s="55"/>
      <c r="Q2435" s="55"/>
      <c r="R2435" s="57"/>
      <c r="S2435" s="58"/>
    </row>
    <row r="2436" spans="1:19" x14ac:dyDescent="0.25">
      <c r="A2436" s="51" t="str">
        <f>(COUNTIF($K$2:K2436,K2436))&amp;K2436</f>
        <v>1</v>
      </c>
      <c r="B2436" s="52"/>
      <c r="C2436" s="53"/>
      <c r="D2436" s="54"/>
      <c r="E2436" s="55"/>
      <c r="F2436" s="55"/>
      <c r="G2436" s="55"/>
      <c r="H2436" s="55"/>
      <c r="I2436" s="55"/>
      <c r="J2436" s="55"/>
      <c r="K2436" s="56"/>
      <c r="L2436" s="55"/>
      <c r="M2436" s="55"/>
      <c r="N2436" s="55"/>
      <c r="O2436" s="55"/>
      <c r="P2436" s="55"/>
      <c r="Q2436" s="55"/>
      <c r="R2436" s="57"/>
      <c r="S2436" s="58"/>
    </row>
    <row r="2437" spans="1:19" x14ac:dyDescent="0.25">
      <c r="A2437" s="51" t="str">
        <f>(COUNTIF($K$2:K2437,K2437))&amp;K2437</f>
        <v>1</v>
      </c>
      <c r="B2437" s="52"/>
      <c r="C2437" s="53"/>
      <c r="D2437" s="54"/>
      <c r="E2437" s="55"/>
      <c r="F2437" s="55"/>
      <c r="G2437" s="55"/>
      <c r="H2437" s="55"/>
      <c r="I2437" s="55"/>
      <c r="J2437" s="55"/>
      <c r="K2437" s="56"/>
      <c r="L2437" s="55"/>
      <c r="M2437" s="55"/>
      <c r="N2437" s="55"/>
      <c r="O2437" s="55"/>
      <c r="P2437" s="55"/>
      <c r="Q2437" s="55"/>
      <c r="R2437" s="57"/>
      <c r="S2437" s="58"/>
    </row>
    <row r="2438" spans="1:19" x14ac:dyDescent="0.25">
      <c r="A2438" s="51" t="str">
        <f>(COUNTIF($K$2:K2438,K2438))&amp;K2438</f>
        <v>1</v>
      </c>
      <c r="B2438" s="52"/>
      <c r="C2438" s="53"/>
      <c r="D2438" s="54"/>
      <c r="E2438" s="55"/>
      <c r="F2438" s="55"/>
      <c r="G2438" s="55"/>
      <c r="H2438" s="55"/>
      <c r="I2438" s="55"/>
      <c r="J2438" s="55"/>
      <c r="K2438" s="56"/>
      <c r="L2438" s="55"/>
      <c r="M2438" s="55"/>
      <c r="N2438" s="55"/>
      <c r="O2438" s="55"/>
      <c r="P2438" s="55"/>
      <c r="Q2438" s="55"/>
      <c r="R2438" s="57"/>
      <c r="S2438" s="58"/>
    </row>
    <row r="2439" spans="1:19" x14ac:dyDescent="0.25">
      <c r="A2439" s="51" t="str">
        <f>(COUNTIF($K$2:K2439,K2439))&amp;K2439</f>
        <v>1</v>
      </c>
      <c r="B2439" s="52"/>
      <c r="C2439" s="53"/>
      <c r="D2439" s="54"/>
      <c r="E2439" s="55"/>
      <c r="F2439" s="55"/>
      <c r="G2439" s="55"/>
      <c r="H2439" s="55"/>
      <c r="I2439" s="55"/>
      <c r="J2439" s="55"/>
      <c r="K2439" s="56"/>
      <c r="L2439" s="55"/>
      <c r="M2439" s="55"/>
      <c r="N2439" s="55"/>
      <c r="O2439" s="55"/>
      <c r="P2439" s="55"/>
      <c r="Q2439" s="55"/>
      <c r="R2439" s="57"/>
      <c r="S2439" s="58"/>
    </row>
    <row r="2440" spans="1:19" x14ac:dyDescent="0.25">
      <c r="A2440" s="51" t="str">
        <f>(COUNTIF($K$2:K2440,K2440))&amp;K2440</f>
        <v>1</v>
      </c>
      <c r="B2440" s="52"/>
      <c r="C2440" s="53"/>
      <c r="D2440" s="54"/>
      <c r="E2440" s="55"/>
      <c r="F2440" s="55"/>
      <c r="G2440" s="55"/>
      <c r="H2440" s="55"/>
      <c r="I2440" s="55"/>
      <c r="J2440" s="55"/>
      <c r="K2440" s="56"/>
      <c r="L2440" s="55"/>
      <c r="M2440" s="55"/>
      <c r="N2440" s="55"/>
      <c r="O2440" s="55"/>
      <c r="P2440" s="55"/>
      <c r="Q2440" s="55"/>
      <c r="R2440" s="57"/>
      <c r="S2440" s="58"/>
    </row>
    <row r="2441" spans="1:19" ht="15.75" x14ac:dyDescent="0.25">
      <c r="A2441" s="51" t="str">
        <f>(COUNTIF($K$2:K2441,K2441))&amp;K2441</f>
        <v>1</v>
      </c>
      <c r="B2441" s="52"/>
      <c r="C2441" s="53"/>
      <c r="D2441" s="54"/>
      <c r="E2441" s="55"/>
      <c r="F2441" s="55"/>
      <c r="G2441" s="55"/>
      <c r="H2441" s="55"/>
      <c r="I2441" s="55"/>
      <c r="J2441" s="55"/>
      <c r="K2441" s="59"/>
      <c r="L2441" s="55"/>
      <c r="M2441" s="55"/>
      <c r="N2441" s="55"/>
      <c r="O2441" s="55"/>
      <c r="P2441" s="55"/>
      <c r="Q2441" s="55"/>
      <c r="R2441" s="57"/>
      <c r="S2441" s="58"/>
    </row>
    <row r="2442" spans="1:19" x14ac:dyDescent="0.25">
      <c r="A2442" s="51" t="str">
        <f>(COUNTIF($K$2:K2442,K2442))&amp;K2442</f>
        <v>1</v>
      </c>
      <c r="B2442" s="52"/>
      <c r="C2442" s="53"/>
      <c r="D2442" s="54"/>
      <c r="E2442" s="55"/>
      <c r="F2442" s="55"/>
      <c r="G2442" s="55"/>
      <c r="H2442" s="55"/>
      <c r="I2442" s="55"/>
      <c r="J2442" s="55"/>
      <c r="K2442" s="56"/>
      <c r="L2442" s="55"/>
      <c r="M2442" s="55"/>
      <c r="N2442" s="55"/>
      <c r="O2442" s="55"/>
      <c r="P2442" s="55"/>
      <c r="Q2442" s="55"/>
      <c r="R2442" s="57"/>
      <c r="S2442" s="58"/>
    </row>
    <row r="2443" spans="1:19" x14ac:dyDescent="0.25">
      <c r="A2443" s="51" t="str">
        <f>(COUNTIF($K$2:K2443,K2443))&amp;K2443</f>
        <v>1</v>
      </c>
      <c r="B2443" s="52"/>
      <c r="C2443" s="53"/>
      <c r="D2443" s="54"/>
      <c r="E2443" s="55"/>
      <c r="F2443" s="55"/>
      <c r="G2443" s="55"/>
      <c r="H2443" s="55"/>
      <c r="I2443" s="55"/>
      <c r="J2443" s="55"/>
      <c r="K2443" s="56"/>
      <c r="L2443" s="55"/>
      <c r="M2443" s="55"/>
      <c r="N2443" s="55"/>
      <c r="O2443" s="55"/>
      <c r="P2443" s="55"/>
      <c r="Q2443" s="55"/>
      <c r="R2443" s="57"/>
      <c r="S2443" s="58"/>
    </row>
    <row r="2444" spans="1:19" x14ac:dyDescent="0.25">
      <c r="A2444" s="51" t="str">
        <f>(COUNTIF($K$2:K2444,K2444))&amp;K2444</f>
        <v>1</v>
      </c>
      <c r="B2444" s="52"/>
      <c r="C2444" s="53"/>
      <c r="D2444" s="54"/>
      <c r="E2444" s="55"/>
      <c r="F2444" s="55"/>
      <c r="G2444" s="55"/>
      <c r="H2444" s="55"/>
      <c r="I2444" s="55"/>
      <c r="J2444" s="55"/>
      <c r="K2444" s="56"/>
      <c r="L2444" s="55"/>
      <c r="M2444" s="55"/>
      <c r="N2444" s="55"/>
      <c r="O2444" s="55"/>
      <c r="P2444" s="55"/>
      <c r="Q2444" s="55"/>
      <c r="R2444" s="57"/>
      <c r="S2444" s="58"/>
    </row>
    <row r="2445" spans="1:19" x14ac:dyDescent="0.25">
      <c r="A2445" s="51" t="str">
        <f>(COUNTIF($K$2:K2445,K2445))&amp;K2445</f>
        <v>1</v>
      </c>
      <c r="B2445" s="52"/>
      <c r="C2445" s="53"/>
      <c r="D2445" s="54"/>
      <c r="E2445" s="55"/>
      <c r="F2445" s="55"/>
      <c r="G2445" s="55"/>
      <c r="H2445" s="55"/>
      <c r="I2445" s="55"/>
      <c r="J2445" s="55"/>
      <c r="K2445" s="56"/>
      <c r="L2445" s="55"/>
      <c r="M2445" s="55"/>
      <c r="N2445" s="55"/>
      <c r="O2445" s="55"/>
      <c r="P2445" s="55"/>
      <c r="Q2445" s="55"/>
      <c r="R2445" s="57"/>
      <c r="S2445" s="58"/>
    </row>
    <row r="2446" spans="1:19" x14ac:dyDescent="0.25">
      <c r="A2446" s="51" t="str">
        <f>(COUNTIF($K$2:K2446,K2446))&amp;K2446</f>
        <v>1</v>
      </c>
      <c r="B2446" s="52"/>
      <c r="C2446" s="53"/>
      <c r="D2446" s="54"/>
      <c r="E2446" s="55"/>
      <c r="F2446" s="55"/>
      <c r="G2446" s="55"/>
      <c r="H2446" s="55"/>
      <c r="I2446" s="55"/>
      <c r="J2446" s="55"/>
      <c r="K2446" s="56"/>
      <c r="L2446" s="55"/>
      <c r="M2446" s="55"/>
      <c r="N2446" s="55"/>
      <c r="O2446" s="55"/>
      <c r="P2446" s="55"/>
      <c r="Q2446" s="55"/>
      <c r="R2446" s="57"/>
      <c r="S2446" s="58"/>
    </row>
    <row r="2447" spans="1:19" x14ac:dyDescent="0.25">
      <c r="A2447" s="51" t="str">
        <f>(COUNTIF($K$2:K2447,K2447))&amp;K2447</f>
        <v>1</v>
      </c>
      <c r="B2447" s="52"/>
      <c r="C2447" s="53"/>
      <c r="D2447" s="54"/>
      <c r="E2447" s="55"/>
      <c r="F2447" s="55"/>
      <c r="G2447" s="55"/>
      <c r="H2447" s="55"/>
      <c r="I2447" s="55"/>
      <c r="J2447" s="55"/>
      <c r="K2447" s="56"/>
      <c r="L2447" s="55"/>
      <c r="M2447" s="55"/>
      <c r="N2447" s="55"/>
      <c r="O2447" s="55"/>
      <c r="P2447" s="55"/>
      <c r="Q2447" s="55"/>
      <c r="R2447" s="57"/>
      <c r="S2447" s="58"/>
    </row>
    <row r="2448" spans="1:19" x14ac:dyDescent="0.25">
      <c r="A2448" s="51" t="str">
        <f>(COUNTIF($K$2:K2448,K2448))&amp;K2448</f>
        <v>1</v>
      </c>
      <c r="B2448" s="52"/>
      <c r="C2448" s="53"/>
      <c r="D2448" s="54"/>
      <c r="E2448" s="55"/>
      <c r="F2448" s="55"/>
      <c r="G2448" s="55"/>
      <c r="H2448" s="55"/>
      <c r="I2448" s="55"/>
      <c r="J2448" s="55"/>
      <c r="K2448" s="56"/>
      <c r="L2448" s="55"/>
      <c r="M2448" s="55"/>
      <c r="N2448" s="55"/>
      <c r="O2448" s="55"/>
      <c r="P2448" s="55"/>
      <c r="Q2448" s="55"/>
      <c r="R2448" s="57"/>
      <c r="S2448" s="58"/>
    </row>
    <row r="2449" spans="1:19" x14ac:dyDescent="0.25">
      <c r="A2449" s="51" t="str">
        <f>(COUNTIF($K$2:K2449,K2449))&amp;K2449</f>
        <v>1</v>
      </c>
      <c r="B2449" s="52"/>
      <c r="C2449" s="60"/>
      <c r="E2449" s="61"/>
      <c r="F2449" s="62"/>
      <c r="G2449" s="63"/>
      <c r="H2449" s="64"/>
      <c r="I2449" s="64"/>
      <c r="J2449" s="64"/>
      <c r="K2449" s="65"/>
      <c r="L2449" s="64"/>
      <c r="M2449" s="64"/>
      <c r="N2449" s="64"/>
      <c r="P2449" s="63"/>
      <c r="Q2449" s="61"/>
      <c r="R2449" s="64"/>
      <c r="S2449" s="64"/>
    </row>
    <row r="2450" spans="1:19" x14ac:dyDescent="0.25">
      <c r="A2450" s="51" t="str">
        <f>(COUNTIF($K$2:K2450,K2450))&amp;K2450</f>
        <v>1</v>
      </c>
      <c r="B2450" s="52"/>
      <c r="C2450" s="53"/>
      <c r="D2450" s="54"/>
      <c r="E2450" s="55"/>
      <c r="F2450" s="55"/>
      <c r="G2450" s="55"/>
      <c r="H2450" s="55"/>
      <c r="I2450" s="55"/>
      <c r="J2450" s="55"/>
      <c r="K2450" s="56"/>
      <c r="L2450" s="55"/>
      <c r="M2450" s="55"/>
      <c r="N2450" s="55"/>
      <c r="O2450" s="55"/>
      <c r="P2450" s="55"/>
      <c r="Q2450" s="55"/>
      <c r="R2450" s="57"/>
      <c r="S2450" s="58"/>
    </row>
    <row r="2451" spans="1:19" x14ac:dyDescent="0.25">
      <c r="A2451" s="51" t="str">
        <f>(COUNTIF($K$2:K2451,K2451))&amp;K2451</f>
        <v>1</v>
      </c>
      <c r="B2451" s="52"/>
      <c r="C2451" s="53"/>
      <c r="D2451" s="54"/>
      <c r="E2451" s="55"/>
      <c r="F2451" s="55"/>
      <c r="G2451" s="55"/>
      <c r="H2451" s="55"/>
      <c r="I2451" s="55"/>
      <c r="J2451" s="55"/>
      <c r="K2451" s="56"/>
      <c r="L2451" s="55"/>
      <c r="M2451" s="55"/>
      <c r="N2451" s="55"/>
      <c r="O2451" s="55"/>
      <c r="P2451" s="55"/>
      <c r="Q2451" s="55"/>
      <c r="R2451" s="57"/>
      <c r="S2451" s="58"/>
    </row>
    <row r="2452" spans="1:19" x14ac:dyDescent="0.25">
      <c r="A2452" s="51" t="str">
        <f>(COUNTIF($K$2:K2452,K2452))&amp;K2452</f>
        <v>1</v>
      </c>
      <c r="B2452" s="52"/>
      <c r="C2452" s="53"/>
      <c r="D2452" s="54"/>
      <c r="E2452" s="55"/>
      <c r="F2452" s="55"/>
      <c r="G2452" s="55"/>
      <c r="H2452" s="55"/>
      <c r="I2452" s="55"/>
      <c r="J2452" s="55"/>
      <c r="K2452" s="56"/>
      <c r="L2452" s="55"/>
      <c r="M2452" s="55"/>
      <c r="N2452" s="55"/>
      <c r="O2452" s="55"/>
      <c r="P2452" s="55"/>
      <c r="Q2452" s="55"/>
      <c r="R2452" s="57"/>
      <c r="S2452" s="58"/>
    </row>
    <row r="2453" spans="1:19" x14ac:dyDescent="0.25">
      <c r="A2453" s="51" t="str">
        <f>(COUNTIF($K$2:K2453,K2453))&amp;K2453</f>
        <v>1</v>
      </c>
      <c r="B2453" s="52"/>
      <c r="C2453" s="53"/>
      <c r="D2453" s="54"/>
      <c r="E2453" s="55"/>
      <c r="F2453" s="55"/>
      <c r="G2453" s="55"/>
      <c r="H2453" s="55"/>
      <c r="I2453" s="55"/>
      <c r="J2453" s="55"/>
      <c r="K2453" s="56"/>
      <c r="L2453" s="55"/>
      <c r="M2453" s="55"/>
      <c r="N2453" s="55"/>
      <c r="O2453" s="55"/>
      <c r="P2453" s="55"/>
      <c r="Q2453" s="55"/>
      <c r="R2453" s="57"/>
      <c r="S2453" s="58"/>
    </row>
    <row r="2454" spans="1:19" x14ac:dyDescent="0.25">
      <c r="A2454" s="51" t="str">
        <f>(COUNTIF($K$2:K2454,K2454))&amp;K2454</f>
        <v>1</v>
      </c>
      <c r="B2454" s="52"/>
      <c r="C2454" s="53"/>
      <c r="D2454" s="54"/>
      <c r="E2454" s="55"/>
      <c r="F2454" s="55"/>
      <c r="G2454" s="55"/>
      <c r="H2454" s="55"/>
      <c r="I2454" s="55"/>
      <c r="J2454" s="55"/>
      <c r="K2454" s="56"/>
      <c r="L2454" s="55"/>
      <c r="M2454" s="55"/>
      <c r="N2454" s="55"/>
      <c r="O2454" s="55"/>
      <c r="P2454" s="55"/>
      <c r="Q2454" s="55"/>
      <c r="R2454" s="57"/>
      <c r="S2454" s="58"/>
    </row>
    <row r="2455" spans="1:19" x14ac:dyDescent="0.25">
      <c r="A2455" s="51" t="str">
        <f>(COUNTIF($K$2:K2455,K2455))&amp;K2455</f>
        <v>1</v>
      </c>
      <c r="B2455" s="52"/>
      <c r="C2455" s="53"/>
      <c r="D2455" s="54"/>
      <c r="E2455" s="55"/>
      <c r="F2455" s="55"/>
      <c r="G2455" s="55"/>
      <c r="H2455" s="55"/>
      <c r="I2455" s="55"/>
      <c r="J2455" s="55"/>
      <c r="K2455" s="56"/>
      <c r="L2455" s="55"/>
      <c r="M2455" s="55"/>
      <c r="N2455" s="55"/>
      <c r="O2455" s="55"/>
      <c r="P2455" s="55"/>
      <c r="Q2455" s="55"/>
      <c r="R2455" s="57"/>
      <c r="S2455" s="58"/>
    </row>
    <row r="2456" spans="1:19" x14ac:dyDescent="0.25">
      <c r="A2456" s="51" t="str">
        <f>(COUNTIF($K$2:K2456,K2456))&amp;K2456</f>
        <v>1</v>
      </c>
      <c r="B2456" s="52"/>
      <c r="C2456" s="53"/>
      <c r="D2456" s="54"/>
      <c r="E2456" s="55"/>
      <c r="F2456" s="55"/>
      <c r="G2456" s="55"/>
      <c r="H2456" s="55"/>
      <c r="I2456" s="55"/>
      <c r="J2456" s="55"/>
      <c r="K2456" s="56"/>
      <c r="L2456" s="55"/>
      <c r="M2456" s="55"/>
      <c r="N2456" s="55"/>
      <c r="O2456" s="55"/>
      <c r="P2456" s="55"/>
      <c r="Q2456" s="55"/>
      <c r="R2456" s="57"/>
      <c r="S2456" s="58"/>
    </row>
    <row r="2457" spans="1:19" x14ac:dyDescent="0.25">
      <c r="A2457" s="51" t="str">
        <f>(COUNTIF($K$2:K2457,K2457))&amp;K2457</f>
        <v>1</v>
      </c>
      <c r="B2457" s="52"/>
      <c r="C2457" s="53"/>
      <c r="D2457" s="54"/>
      <c r="E2457" s="55"/>
      <c r="F2457" s="55"/>
      <c r="G2457" s="55"/>
      <c r="H2457" s="55"/>
      <c r="I2457" s="55"/>
      <c r="J2457" s="55"/>
      <c r="K2457" s="56"/>
      <c r="L2457" s="55"/>
      <c r="M2457" s="55"/>
      <c r="N2457" s="55"/>
      <c r="O2457" s="55"/>
      <c r="P2457" s="55"/>
      <c r="Q2457" s="55"/>
      <c r="R2457" s="57"/>
      <c r="S2457" s="58"/>
    </row>
    <row r="2458" spans="1:19" ht="15.75" x14ac:dyDescent="0.25">
      <c r="A2458" s="51" t="str">
        <f>(COUNTIF($K$2:K2458,K2458))&amp;K2458</f>
        <v>1</v>
      </c>
      <c r="B2458" s="52"/>
      <c r="C2458" s="53"/>
      <c r="D2458" s="54"/>
      <c r="E2458" s="55"/>
      <c r="F2458" s="55"/>
      <c r="G2458" s="55"/>
      <c r="H2458" s="55"/>
      <c r="I2458" s="55"/>
      <c r="J2458" s="55"/>
      <c r="K2458" s="59"/>
      <c r="L2458" s="55"/>
      <c r="M2458" s="55"/>
      <c r="N2458" s="55"/>
      <c r="O2458" s="55"/>
      <c r="P2458" s="55"/>
      <c r="Q2458" s="55"/>
      <c r="R2458" s="57"/>
      <c r="S2458" s="58"/>
    </row>
    <row r="2459" spans="1:19" x14ac:dyDescent="0.25">
      <c r="A2459" s="51" t="str">
        <f>(COUNTIF($K$2:K2459,K2459))&amp;K2459</f>
        <v>1</v>
      </c>
      <c r="B2459" s="52"/>
      <c r="C2459" s="53"/>
      <c r="D2459" s="54"/>
      <c r="E2459" s="55"/>
      <c r="F2459" s="55"/>
      <c r="G2459" s="55"/>
      <c r="H2459" s="55"/>
      <c r="I2459" s="55"/>
      <c r="J2459" s="55"/>
      <c r="K2459" s="56"/>
      <c r="L2459" s="55"/>
      <c r="M2459" s="55"/>
      <c r="N2459" s="55"/>
      <c r="O2459" s="55"/>
      <c r="P2459" s="55"/>
      <c r="Q2459" s="55"/>
      <c r="R2459" s="57"/>
      <c r="S2459" s="58"/>
    </row>
    <row r="2460" spans="1:19" x14ac:dyDescent="0.25">
      <c r="A2460" s="51" t="str">
        <f>(COUNTIF($K$2:K2460,K2460))&amp;K2460</f>
        <v>1</v>
      </c>
      <c r="B2460" s="52"/>
      <c r="C2460" s="53"/>
      <c r="D2460" s="54"/>
      <c r="E2460" s="55"/>
      <c r="F2460" s="55"/>
      <c r="G2460" s="55"/>
      <c r="H2460" s="55"/>
      <c r="I2460" s="55"/>
      <c r="J2460" s="55"/>
      <c r="K2460" s="56"/>
      <c r="L2460" s="55"/>
      <c r="M2460" s="55"/>
      <c r="N2460" s="55"/>
      <c r="O2460" s="55"/>
      <c r="P2460" s="55"/>
      <c r="Q2460" s="55"/>
      <c r="R2460" s="57"/>
      <c r="S2460" s="58"/>
    </row>
    <row r="2461" spans="1:19" x14ac:dyDescent="0.25">
      <c r="A2461" s="51" t="str">
        <f>(COUNTIF($K$2:K2461,K2461))&amp;K2461</f>
        <v>1</v>
      </c>
      <c r="B2461" s="52"/>
      <c r="C2461" s="53"/>
      <c r="D2461" s="54"/>
      <c r="E2461" s="55"/>
      <c r="F2461" s="55"/>
      <c r="G2461" s="55"/>
      <c r="H2461" s="55"/>
      <c r="I2461" s="55"/>
      <c r="J2461" s="55"/>
      <c r="K2461" s="56"/>
      <c r="L2461" s="55"/>
      <c r="M2461" s="55"/>
      <c r="N2461" s="55"/>
      <c r="O2461" s="55"/>
      <c r="P2461" s="55"/>
      <c r="Q2461" s="55"/>
      <c r="R2461" s="57"/>
      <c r="S2461" s="58"/>
    </row>
    <row r="2462" spans="1:19" x14ac:dyDescent="0.25">
      <c r="A2462" s="51" t="str">
        <f>(COUNTIF($K$2:K2462,K2462))&amp;K2462</f>
        <v>1</v>
      </c>
      <c r="B2462" s="52"/>
      <c r="C2462" s="53"/>
      <c r="D2462" s="54"/>
      <c r="E2462" s="55"/>
      <c r="F2462" s="55"/>
      <c r="G2462" s="55"/>
      <c r="H2462" s="55"/>
      <c r="I2462" s="55"/>
      <c r="J2462" s="55"/>
      <c r="K2462" s="56"/>
      <c r="L2462" s="55"/>
      <c r="M2462" s="55"/>
      <c r="N2462" s="55"/>
      <c r="O2462" s="55"/>
      <c r="P2462" s="55"/>
      <c r="Q2462" s="55"/>
      <c r="R2462" s="57"/>
      <c r="S2462" s="58"/>
    </row>
    <row r="2463" spans="1:19" x14ac:dyDescent="0.25">
      <c r="A2463" s="51" t="str">
        <f>(COUNTIF($K$2:K2463,K2463))&amp;K2463</f>
        <v>1</v>
      </c>
      <c r="B2463" s="52"/>
      <c r="C2463" s="53"/>
      <c r="D2463" s="54"/>
      <c r="E2463" s="55"/>
      <c r="F2463" s="55"/>
      <c r="G2463" s="55"/>
      <c r="H2463" s="55"/>
      <c r="I2463" s="55"/>
      <c r="J2463" s="55"/>
      <c r="K2463" s="56"/>
      <c r="L2463" s="55"/>
      <c r="M2463" s="55"/>
      <c r="N2463" s="55"/>
      <c r="O2463" s="55"/>
      <c r="P2463" s="55"/>
      <c r="Q2463" s="55"/>
      <c r="R2463" s="57"/>
      <c r="S2463" s="58"/>
    </row>
    <row r="2464" spans="1:19" x14ac:dyDescent="0.25">
      <c r="A2464" s="51" t="str">
        <f>(COUNTIF($K$2:K2464,K2464))&amp;K2464</f>
        <v>1</v>
      </c>
      <c r="B2464" s="52"/>
      <c r="C2464" s="53"/>
      <c r="D2464" s="54"/>
      <c r="E2464" s="55"/>
      <c r="F2464" s="55"/>
      <c r="G2464" s="55"/>
      <c r="H2464" s="55"/>
      <c r="I2464" s="55"/>
      <c r="J2464" s="55"/>
      <c r="K2464" s="56"/>
      <c r="L2464" s="55"/>
      <c r="M2464" s="55"/>
      <c r="N2464" s="55"/>
      <c r="O2464" s="55"/>
      <c r="P2464" s="55"/>
      <c r="Q2464" s="55"/>
      <c r="R2464" s="57"/>
      <c r="S2464" s="58"/>
    </row>
    <row r="2465" spans="1:19" x14ac:dyDescent="0.25">
      <c r="A2465" s="51" t="str">
        <f>(COUNTIF($K$2:K2465,K2465))&amp;K2465</f>
        <v>1</v>
      </c>
      <c r="B2465" s="52"/>
      <c r="C2465" s="53"/>
      <c r="D2465" s="54"/>
      <c r="E2465" s="55"/>
      <c r="F2465" s="55"/>
      <c r="G2465" s="55"/>
      <c r="H2465" s="55"/>
      <c r="I2465" s="55"/>
      <c r="J2465" s="55"/>
      <c r="K2465" s="56"/>
      <c r="L2465" s="55"/>
      <c r="M2465" s="55"/>
      <c r="N2465" s="55"/>
      <c r="O2465" s="55"/>
      <c r="P2465" s="55"/>
      <c r="Q2465" s="55"/>
      <c r="R2465" s="57"/>
      <c r="S2465" s="58"/>
    </row>
    <row r="2466" spans="1:19" x14ac:dyDescent="0.25">
      <c r="A2466" s="51" t="str">
        <f>(COUNTIF($K$2:K2466,K2466))&amp;K2466</f>
        <v>1</v>
      </c>
      <c r="B2466" s="52"/>
      <c r="C2466" s="60"/>
      <c r="E2466" s="61"/>
      <c r="F2466" s="62"/>
      <c r="G2466" s="63"/>
      <c r="H2466" s="64"/>
      <c r="I2466" s="64"/>
      <c r="J2466" s="64"/>
      <c r="K2466" s="65"/>
      <c r="L2466" s="64"/>
      <c r="M2466" s="64"/>
      <c r="N2466" s="64"/>
      <c r="P2466" s="63"/>
      <c r="Q2466" s="61"/>
      <c r="R2466" s="64"/>
      <c r="S2466" s="64"/>
    </row>
    <row r="2467" spans="1:19" x14ac:dyDescent="0.25">
      <c r="A2467" s="51" t="str">
        <f>(COUNTIF($K$2:K2467,K2467))&amp;K2467</f>
        <v>1</v>
      </c>
      <c r="B2467" s="52"/>
      <c r="C2467" s="53"/>
      <c r="D2467" s="54"/>
      <c r="E2467" s="55"/>
      <c r="F2467" s="55"/>
      <c r="G2467" s="55"/>
      <c r="H2467" s="55"/>
      <c r="I2467" s="55"/>
      <c r="J2467" s="55"/>
      <c r="K2467" s="56"/>
      <c r="L2467" s="55"/>
      <c r="M2467" s="55"/>
      <c r="N2467" s="55"/>
      <c r="O2467" s="55"/>
      <c r="P2467" s="55"/>
      <c r="Q2467" s="55"/>
      <c r="R2467" s="57"/>
      <c r="S2467" s="58"/>
    </row>
    <row r="2468" spans="1:19" x14ac:dyDescent="0.25">
      <c r="A2468" s="51" t="str">
        <f>(COUNTIF($K$2:K2468,K2468))&amp;K2468</f>
        <v>1</v>
      </c>
      <c r="B2468" s="52"/>
      <c r="C2468" s="53"/>
      <c r="D2468" s="54"/>
      <c r="E2468" s="55"/>
      <c r="F2468" s="55"/>
      <c r="G2468" s="55"/>
      <c r="H2468" s="55"/>
      <c r="I2468" s="55"/>
      <c r="J2468" s="55"/>
      <c r="K2468" s="56"/>
      <c r="L2468" s="55"/>
      <c r="M2468" s="55"/>
      <c r="N2468" s="55"/>
      <c r="O2468" s="55"/>
      <c r="P2468" s="55"/>
      <c r="Q2468" s="55"/>
      <c r="R2468" s="57"/>
      <c r="S2468" s="58"/>
    </row>
    <row r="2469" spans="1:19" x14ac:dyDescent="0.25">
      <c r="A2469" s="51" t="str">
        <f>(COUNTIF($K$2:K2469,K2469))&amp;K2469</f>
        <v>1</v>
      </c>
      <c r="B2469" s="52"/>
      <c r="C2469" s="53"/>
      <c r="D2469" s="54"/>
      <c r="E2469" s="55"/>
      <c r="F2469" s="55"/>
      <c r="G2469" s="55"/>
      <c r="H2469" s="55"/>
      <c r="I2469" s="55"/>
      <c r="J2469" s="55"/>
      <c r="K2469" s="56"/>
      <c r="L2469" s="55"/>
      <c r="M2469" s="55"/>
      <c r="N2469" s="55"/>
      <c r="O2469" s="55"/>
      <c r="P2469" s="55"/>
      <c r="Q2469" s="55"/>
      <c r="R2469" s="57"/>
      <c r="S2469" s="58"/>
    </row>
    <row r="2470" spans="1:19" x14ac:dyDescent="0.25">
      <c r="A2470" s="51" t="str">
        <f>(COUNTIF($K$2:K2470,K2470))&amp;K2470</f>
        <v>1</v>
      </c>
      <c r="B2470" s="52"/>
      <c r="C2470" s="53"/>
      <c r="D2470" s="54"/>
      <c r="E2470" s="55"/>
      <c r="F2470" s="55"/>
      <c r="G2470" s="55"/>
      <c r="H2470" s="55"/>
      <c r="I2470" s="55"/>
      <c r="J2470" s="55"/>
      <c r="K2470" s="56"/>
      <c r="L2470" s="55"/>
      <c r="M2470" s="55"/>
      <c r="N2470" s="55"/>
      <c r="O2470" s="55"/>
      <c r="P2470" s="55"/>
      <c r="Q2470" s="55"/>
      <c r="R2470" s="57"/>
      <c r="S2470" s="58"/>
    </row>
    <row r="2471" spans="1:19" x14ac:dyDescent="0.25">
      <c r="A2471" s="51" t="str">
        <f>(COUNTIF($K$2:K2471,K2471))&amp;K2471</f>
        <v>1</v>
      </c>
      <c r="B2471" s="52"/>
      <c r="C2471" s="53"/>
      <c r="D2471" s="54"/>
      <c r="E2471" s="55"/>
      <c r="F2471" s="55"/>
      <c r="G2471" s="55"/>
      <c r="H2471" s="55"/>
      <c r="I2471" s="55"/>
      <c r="J2471" s="55"/>
      <c r="K2471" s="56"/>
      <c r="L2471" s="55"/>
      <c r="M2471" s="55"/>
      <c r="N2471" s="55"/>
      <c r="O2471" s="55"/>
      <c r="P2471" s="55"/>
      <c r="Q2471" s="55"/>
      <c r="R2471" s="57"/>
      <c r="S2471" s="58"/>
    </row>
    <row r="2472" spans="1:19" x14ac:dyDescent="0.25">
      <c r="A2472" s="51" t="str">
        <f>(COUNTIF($K$2:K2472,K2472))&amp;K2472</f>
        <v>1</v>
      </c>
      <c r="B2472" s="52"/>
      <c r="C2472" s="53"/>
      <c r="D2472" s="54"/>
      <c r="E2472" s="55"/>
      <c r="F2472" s="55"/>
      <c r="G2472" s="55"/>
      <c r="H2472" s="55"/>
      <c r="I2472" s="55"/>
      <c r="J2472" s="55"/>
      <c r="K2472" s="56"/>
      <c r="L2472" s="55"/>
      <c r="M2472" s="55"/>
      <c r="N2472" s="55"/>
      <c r="O2472" s="55"/>
      <c r="P2472" s="55"/>
      <c r="Q2472" s="55"/>
      <c r="R2472" s="57"/>
      <c r="S2472" s="58"/>
    </row>
    <row r="2473" spans="1:19" x14ac:dyDescent="0.25">
      <c r="A2473" s="51" t="str">
        <f>(COUNTIF($K$2:K2473,K2473))&amp;K2473</f>
        <v>1</v>
      </c>
      <c r="B2473" s="52"/>
      <c r="C2473" s="53"/>
      <c r="D2473" s="54"/>
      <c r="E2473" s="55"/>
      <c r="F2473" s="55"/>
      <c r="G2473" s="55"/>
      <c r="H2473" s="55"/>
      <c r="I2473" s="55"/>
      <c r="J2473" s="55"/>
      <c r="K2473" s="56"/>
      <c r="L2473" s="55"/>
      <c r="M2473" s="55"/>
      <c r="N2473" s="55"/>
      <c r="O2473" s="55"/>
      <c r="P2473" s="55"/>
      <c r="Q2473" s="55"/>
      <c r="R2473" s="57"/>
      <c r="S2473" s="58"/>
    </row>
    <row r="2474" spans="1:19" x14ac:dyDescent="0.25">
      <c r="A2474" s="51" t="str">
        <f>(COUNTIF($K$2:K2474,K2474))&amp;K2474</f>
        <v>1</v>
      </c>
      <c r="B2474" s="52"/>
      <c r="C2474" s="53"/>
      <c r="D2474" s="54"/>
      <c r="E2474" s="55"/>
      <c r="F2474" s="55"/>
      <c r="G2474" s="55"/>
      <c r="H2474" s="55"/>
      <c r="I2474" s="55"/>
      <c r="J2474" s="55"/>
      <c r="K2474" s="56"/>
      <c r="L2474" s="55"/>
      <c r="M2474" s="55"/>
      <c r="N2474" s="55"/>
      <c r="O2474" s="55"/>
      <c r="P2474" s="55"/>
      <c r="Q2474" s="55"/>
      <c r="R2474" s="57"/>
      <c r="S2474" s="58"/>
    </row>
    <row r="2475" spans="1:19" ht="15.75" x14ac:dyDescent="0.25">
      <c r="A2475" s="51" t="str">
        <f>(COUNTIF($K$2:K2475,K2475))&amp;K2475</f>
        <v>1</v>
      </c>
      <c r="B2475" s="52"/>
      <c r="C2475" s="53"/>
      <c r="D2475" s="54"/>
      <c r="E2475" s="55"/>
      <c r="F2475" s="55"/>
      <c r="G2475" s="55"/>
      <c r="H2475" s="55"/>
      <c r="I2475" s="55"/>
      <c r="J2475" s="55"/>
      <c r="K2475" s="59"/>
      <c r="L2475" s="55"/>
      <c r="M2475" s="55"/>
      <c r="N2475" s="55"/>
      <c r="O2475" s="55"/>
      <c r="P2475" s="55"/>
      <c r="Q2475" s="55"/>
      <c r="R2475" s="57"/>
      <c r="S2475" s="58"/>
    </row>
    <row r="2476" spans="1:19" x14ac:dyDescent="0.25">
      <c r="A2476" s="51" t="str">
        <f>(COUNTIF($K$2:K2476,K2476))&amp;K2476</f>
        <v>1</v>
      </c>
      <c r="B2476" s="52"/>
      <c r="C2476" s="53"/>
      <c r="D2476" s="54"/>
      <c r="E2476" s="55"/>
      <c r="F2476" s="55"/>
      <c r="G2476" s="55"/>
      <c r="H2476" s="55"/>
      <c r="I2476" s="55"/>
      <c r="J2476" s="55"/>
      <c r="K2476" s="56"/>
      <c r="L2476" s="55"/>
      <c r="M2476" s="55"/>
      <c r="N2476" s="55"/>
      <c r="O2476" s="55"/>
      <c r="P2476" s="55"/>
      <c r="Q2476" s="55"/>
      <c r="R2476" s="57"/>
      <c r="S2476" s="58"/>
    </row>
    <row r="2477" spans="1:19" x14ac:dyDescent="0.25">
      <c r="A2477" s="51" t="str">
        <f>(COUNTIF($K$2:K2477,K2477))&amp;K2477</f>
        <v>1</v>
      </c>
      <c r="B2477" s="52"/>
      <c r="C2477" s="53"/>
      <c r="D2477" s="54"/>
      <c r="E2477" s="55"/>
      <c r="F2477" s="55"/>
      <c r="G2477" s="55"/>
      <c r="H2477" s="55"/>
      <c r="I2477" s="55"/>
      <c r="J2477" s="55"/>
      <c r="K2477" s="56"/>
      <c r="L2477" s="55"/>
      <c r="M2477" s="55"/>
      <c r="N2477" s="55"/>
      <c r="O2477" s="55"/>
      <c r="P2477" s="55"/>
      <c r="Q2477" s="55"/>
      <c r="R2477" s="57"/>
      <c r="S2477" s="58"/>
    </row>
    <row r="2478" spans="1:19" x14ac:dyDescent="0.25">
      <c r="A2478" s="51" t="str">
        <f>(COUNTIF($K$2:K2478,K2478))&amp;K2478</f>
        <v>1</v>
      </c>
      <c r="B2478" s="52"/>
      <c r="C2478" s="53"/>
      <c r="D2478" s="54"/>
      <c r="E2478" s="55"/>
      <c r="F2478" s="55"/>
      <c r="G2478" s="55"/>
      <c r="H2478" s="55"/>
      <c r="I2478" s="55"/>
      <c r="J2478" s="55"/>
      <c r="K2478" s="56"/>
      <c r="L2478" s="55"/>
      <c r="M2478" s="55"/>
      <c r="N2478" s="55"/>
      <c r="O2478" s="55"/>
      <c r="P2478" s="55"/>
      <c r="Q2478" s="55"/>
      <c r="R2478" s="57"/>
      <c r="S2478" s="58"/>
    </row>
    <row r="2479" spans="1:19" x14ac:dyDescent="0.25">
      <c r="A2479" s="51" t="str">
        <f>(COUNTIF($K$2:K2479,K2479))&amp;K2479</f>
        <v>1</v>
      </c>
      <c r="B2479" s="52"/>
      <c r="C2479" s="53"/>
      <c r="D2479" s="54"/>
      <c r="E2479" s="55"/>
      <c r="F2479" s="55"/>
      <c r="G2479" s="55"/>
      <c r="H2479" s="55"/>
      <c r="I2479" s="55"/>
      <c r="J2479" s="55"/>
      <c r="K2479" s="56"/>
      <c r="L2479" s="55"/>
      <c r="M2479" s="55"/>
      <c r="N2479" s="55"/>
      <c r="O2479" s="55"/>
      <c r="P2479" s="55"/>
      <c r="Q2479" s="55"/>
      <c r="R2479" s="57"/>
      <c r="S2479" s="58"/>
    </row>
    <row r="2480" spans="1:19" x14ac:dyDescent="0.25">
      <c r="A2480" s="51" t="str">
        <f>(COUNTIF($K$2:K2480,K2480))&amp;K2480</f>
        <v>1</v>
      </c>
      <c r="B2480" s="52"/>
      <c r="C2480" s="53"/>
      <c r="D2480" s="54"/>
      <c r="E2480" s="55"/>
      <c r="F2480" s="55"/>
      <c r="G2480" s="55"/>
      <c r="H2480" s="55"/>
      <c r="I2480" s="55"/>
      <c r="J2480" s="55"/>
      <c r="K2480" s="56"/>
      <c r="L2480" s="55"/>
      <c r="M2480" s="55"/>
      <c r="N2480" s="55"/>
      <c r="O2480" s="55"/>
      <c r="P2480" s="55"/>
      <c r="Q2480" s="55"/>
      <c r="R2480" s="57"/>
      <c r="S2480" s="58"/>
    </row>
    <row r="2481" spans="1:19" x14ac:dyDescent="0.25">
      <c r="A2481" s="51" t="str">
        <f>(COUNTIF($K$2:K2481,K2481))&amp;K2481</f>
        <v>1</v>
      </c>
      <c r="B2481" s="52"/>
      <c r="C2481" s="53"/>
      <c r="D2481" s="54"/>
      <c r="E2481" s="55"/>
      <c r="F2481" s="55"/>
      <c r="G2481" s="55"/>
      <c r="H2481" s="55"/>
      <c r="I2481" s="55"/>
      <c r="J2481" s="55"/>
      <c r="K2481" s="56"/>
      <c r="L2481" s="55"/>
      <c r="M2481" s="55"/>
      <c r="N2481" s="55"/>
      <c r="O2481" s="55"/>
      <c r="P2481" s="55"/>
      <c r="Q2481" s="55"/>
      <c r="R2481" s="57"/>
      <c r="S2481" s="58"/>
    </row>
    <row r="2482" spans="1:19" x14ac:dyDescent="0.25">
      <c r="A2482" s="51" t="str">
        <f>(COUNTIF($K$2:K2482,K2482))&amp;K2482</f>
        <v>1</v>
      </c>
      <c r="B2482" s="52"/>
      <c r="C2482" s="53"/>
      <c r="D2482" s="54"/>
      <c r="E2482" s="55"/>
      <c r="F2482" s="55"/>
      <c r="G2482" s="55"/>
      <c r="H2482" s="55"/>
      <c r="I2482" s="55"/>
      <c r="J2482" s="55"/>
      <c r="K2482" s="56"/>
      <c r="L2482" s="55"/>
      <c r="M2482" s="55"/>
      <c r="N2482" s="55"/>
      <c r="O2482" s="55"/>
      <c r="P2482" s="55"/>
      <c r="Q2482" s="55"/>
      <c r="R2482" s="57"/>
      <c r="S2482" s="58"/>
    </row>
    <row r="2483" spans="1:19" x14ac:dyDescent="0.25">
      <c r="A2483" s="51" t="str">
        <f>(COUNTIF($K$2:K2483,K2483))&amp;K2483</f>
        <v>1</v>
      </c>
      <c r="B2483" s="52"/>
      <c r="C2483" s="60"/>
      <c r="E2483" s="61"/>
      <c r="F2483" s="62"/>
      <c r="G2483" s="63"/>
      <c r="H2483" s="64"/>
      <c r="I2483" s="64"/>
      <c r="J2483" s="64"/>
      <c r="K2483" s="65"/>
      <c r="L2483" s="64"/>
      <c r="M2483" s="64"/>
      <c r="N2483" s="64"/>
      <c r="P2483" s="63"/>
      <c r="Q2483" s="61"/>
      <c r="R2483" s="64"/>
      <c r="S2483" s="64"/>
    </row>
    <row r="2484" spans="1:19" x14ac:dyDescent="0.25">
      <c r="A2484" s="51" t="str">
        <f>(COUNTIF($K$2:K2484,K2484))&amp;K2484</f>
        <v>1</v>
      </c>
      <c r="B2484" s="52"/>
      <c r="C2484" s="53"/>
      <c r="D2484" s="54"/>
      <c r="E2484" s="55"/>
      <c r="F2484" s="55"/>
      <c r="G2484" s="55"/>
      <c r="H2484" s="55"/>
      <c r="I2484" s="55"/>
      <c r="J2484" s="55"/>
      <c r="K2484" s="56"/>
      <c r="L2484" s="55"/>
      <c r="M2484" s="55"/>
      <c r="N2484" s="55"/>
      <c r="O2484" s="55"/>
      <c r="P2484" s="55"/>
      <c r="Q2484" s="55"/>
      <c r="R2484" s="57"/>
      <c r="S2484" s="58"/>
    </row>
    <row r="2485" spans="1:19" x14ac:dyDescent="0.25">
      <c r="A2485" s="51" t="str">
        <f>(COUNTIF($K$2:K2485,K2485))&amp;K2485</f>
        <v>1</v>
      </c>
      <c r="B2485" s="52"/>
      <c r="C2485" s="53"/>
      <c r="D2485" s="54"/>
      <c r="E2485" s="55"/>
      <c r="F2485" s="55"/>
      <c r="G2485" s="55"/>
      <c r="H2485" s="55"/>
      <c r="I2485" s="55"/>
      <c r="J2485" s="55"/>
      <c r="K2485" s="56"/>
      <c r="L2485" s="55"/>
      <c r="M2485" s="55"/>
      <c r="N2485" s="55"/>
      <c r="O2485" s="55"/>
      <c r="P2485" s="55"/>
      <c r="Q2485" s="55"/>
      <c r="R2485" s="57"/>
      <c r="S2485" s="58"/>
    </row>
    <row r="2486" spans="1:19" x14ac:dyDescent="0.25">
      <c r="A2486" s="51" t="str">
        <f>(COUNTIF($K$2:K2486,K2486))&amp;K2486</f>
        <v>1</v>
      </c>
      <c r="B2486" s="52"/>
      <c r="C2486" s="53"/>
      <c r="D2486" s="54"/>
      <c r="E2486" s="55"/>
      <c r="F2486" s="55"/>
      <c r="G2486" s="55"/>
      <c r="H2486" s="55"/>
      <c r="I2486" s="55"/>
      <c r="J2486" s="55"/>
      <c r="K2486" s="56"/>
      <c r="L2486" s="55"/>
      <c r="M2486" s="55"/>
      <c r="N2486" s="55"/>
      <c r="O2486" s="55"/>
      <c r="P2486" s="55"/>
      <c r="Q2486" s="55"/>
      <c r="R2486" s="57"/>
      <c r="S2486" s="58"/>
    </row>
    <row r="2487" spans="1:19" x14ac:dyDescent="0.25">
      <c r="A2487" s="51" t="str">
        <f>(COUNTIF($K$2:K2487,K2487))&amp;K2487</f>
        <v>1</v>
      </c>
      <c r="B2487" s="52"/>
      <c r="C2487" s="53"/>
      <c r="D2487" s="54"/>
      <c r="E2487" s="55"/>
      <c r="F2487" s="55"/>
      <c r="G2487" s="55"/>
      <c r="H2487" s="55"/>
      <c r="I2487" s="55"/>
      <c r="J2487" s="55"/>
      <c r="K2487" s="56"/>
      <c r="L2487" s="55"/>
      <c r="M2487" s="55"/>
      <c r="N2487" s="55"/>
      <c r="O2487" s="55"/>
      <c r="P2487" s="55"/>
      <c r="Q2487" s="55"/>
      <c r="R2487" s="57"/>
      <c r="S2487" s="58"/>
    </row>
    <row r="2488" spans="1:19" x14ac:dyDescent="0.25">
      <c r="A2488" s="51" t="str">
        <f>(COUNTIF($K$2:K2488,K2488))&amp;K2488</f>
        <v>1</v>
      </c>
      <c r="B2488" s="52"/>
      <c r="C2488" s="53"/>
      <c r="D2488" s="54"/>
      <c r="E2488" s="55"/>
      <c r="F2488" s="55"/>
      <c r="G2488" s="55"/>
      <c r="H2488" s="55"/>
      <c r="I2488" s="55"/>
      <c r="J2488" s="55"/>
      <c r="K2488" s="56"/>
      <c r="L2488" s="55"/>
      <c r="M2488" s="55"/>
      <c r="N2488" s="55"/>
      <c r="O2488" s="55"/>
      <c r="P2488" s="55"/>
      <c r="Q2488" s="55"/>
      <c r="R2488" s="57"/>
      <c r="S2488" s="58"/>
    </row>
    <row r="2489" spans="1:19" x14ac:dyDescent="0.25">
      <c r="A2489" s="51" t="str">
        <f>(COUNTIF($K$2:K2489,K2489))&amp;K2489</f>
        <v>1</v>
      </c>
      <c r="B2489" s="52"/>
      <c r="C2489" s="53"/>
      <c r="D2489" s="54"/>
      <c r="E2489" s="55"/>
      <c r="F2489" s="55"/>
      <c r="G2489" s="55"/>
      <c r="H2489" s="55"/>
      <c r="I2489" s="55"/>
      <c r="J2489" s="55"/>
      <c r="K2489" s="56"/>
      <c r="L2489" s="55"/>
      <c r="M2489" s="55"/>
      <c r="N2489" s="55"/>
      <c r="O2489" s="55"/>
      <c r="P2489" s="55"/>
      <c r="Q2489" s="55"/>
      <c r="R2489" s="57"/>
      <c r="S2489" s="58"/>
    </row>
    <row r="2490" spans="1:19" x14ac:dyDescent="0.25">
      <c r="A2490" s="51" t="str">
        <f>(COUNTIF($K$2:K2490,K2490))&amp;K2490</f>
        <v>1</v>
      </c>
      <c r="B2490" s="52"/>
      <c r="C2490" s="53"/>
      <c r="D2490" s="54"/>
      <c r="E2490" s="55"/>
      <c r="F2490" s="55"/>
      <c r="G2490" s="55"/>
      <c r="H2490" s="55"/>
      <c r="I2490" s="55"/>
      <c r="J2490" s="55"/>
      <c r="K2490" s="56"/>
      <c r="L2490" s="55"/>
      <c r="M2490" s="55"/>
      <c r="N2490" s="55"/>
      <c r="O2490" s="55"/>
      <c r="P2490" s="55"/>
      <c r="Q2490" s="55"/>
      <c r="R2490" s="57"/>
      <c r="S2490" s="58"/>
    </row>
    <row r="2491" spans="1:19" x14ac:dyDescent="0.25">
      <c r="A2491" s="51" t="str">
        <f>(COUNTIF($K$2:K2491,K2491))&amp;K2491</f>
        <v>1</v>
      </c>
      <c r="B2491" s="52"/>
      <c r="C2491" s="53"/>
      <c r="D2491" s="54"/>
      <c r="E2491" s="55"/>
      <c r="F2491" s="55"/>
      <c r="G2491" s="55"/>
      <c r="H2491" s="55"/>
      <c r="I2491" s="55"/>
      <c r="J2491" s="55"/>
      <c r="K2491" s="56"/>
      <c r="L2491" s="55"/>
      <c r="M2491" s="55"/>
      <c r="N2491" s="55"/>
      <c r="O2491" s="55"/>
      <c r="P2491" s="55"/>
      <c r="Q2491" s="55"/>
      <c r="R2491" s="57"/>
      <c r="S2491" s="58"/>
    </row>
    <row r="2492" spans="1:19" ht="15.75" x14ac:dyDescent="0.25">
      <c r="A2492" s="51" t="str">
        <f>(COUNTIF($K$2:K2492,K2492))&amp;K2492</f>
        <v>1</v>
      </c>
      <c r="B2492" s="52"/>
      <c r="C2492" s="53"/>
      <c r="D2492" s="54"/>
      <c r="E2492" s="55"/>
      <c r="F2492" s="55"/>
      <c r="G2492" s="55"/>
      <c r="H2492" s="55"/>
      <c r="I2492" s="55"/>
      <c r="J2492" s="55"/>
      <c r="K2492" s="59"/>
      <c r="L2492" s="55"/>
      <c r="M2492" s="55"/>
      <c r="N2492" s="55"/>
      <c r="O2492" s="55"/>
      <c r="P2492" s="55"/>
      <c r="Q2492" s="55"/>
      <c r="R2492" s="57"/>
      <c r="S2492" s="58"/>
    </row>
    <row r="2493" spans="1:19" x14ac:dyDescent="0.25">
      <c r="A2493" s="51" t="str">
        <f>(COUNTIF($K$2:K2493,K2493))&amp;K2493</f>
        <v>1</v>
      </c>
      <c r="B2493" s="52"/>
      <c r="C2493" s="53"/>
      <c r="D2493" s="54"/>
      <c r="E2493" s="55"/>
      <c r="F2493" s="55"/>
      <c r="G2493" s="55"/>
      <c r="H2493" s="55"/>
      <c r="I2493" s="55"/>
      <c r="J2493" s="55"/>
      <c r="K2493" s="56"/>
      <c r="L2493" s="55"/>
      <c r="M2493" s="55"/>
      <c r="N2493" s="55"/>
      <c r="O2493" s="55"/>
      <c r="P2493" s="55"/>
      <c r="Q2493" s="55"/>
      <c r="R2493" s="57"/>
      <c r="S2493" s="58"/>
    </row>
    <row r="2494" spans="1:19" x14ac:dyDescent="0.25">
      <c r="A2494" s="51" t="str">
        <f>(COUNTIF($K$2:K2494,K2494))&amp;K2494</f>
        <v>1</v>
      </c>
      <c r="B2494" s="52"/>
      <c r="C2494" s="53"/>
      <c r="D2494" s="54"/>
      <c r="E2494" s="55"/>
      <c r="F2494" s="55"/>
      <c r="G2494" s="55"/>
      <c r="H2494" s="55"/>
      <c r="I2494" s="55"/>
      <c r="J2494" s="55"/>
      <c r="K2494" s="56"/>
      <c r="L2494" s="55"/>
      <c r="M2494" s="55"/>
      <c r="N2494" s="55"/>
      <c r="O2494" s="55"/>
      <c r="P2494" s="55"/>
      <c r="Q2494" s="55"/>
      <c r="R2494" s="57"/>
      <c r="S2494" s="58"/>
    </row>
    <row r="2495" spans="1:19" x14ac:dyDescent="0.25">
      <c r="A2495" s="51" t="str">
        <f>(COUNTIF($K$2:K2495,K2495))&amp;K2495</f>
        <v>1</v>
      </c>
      <c r="B2495" s="52"/>
      <c r="C2495" s="53"/>
      <c r="D2495" s="54"/>
      <c r="E2495" s="55"/>
      <c r="F2495" s="55"/>
      <c r="G2495" s="55"/>
      <c r="H2495" s="55"/>
      <c r="I2495" s="55"/>
      <c r="J2495" s="55"/>
      <c r="K2495" s="56"/>
      <c r="L2495" s="55"/>
      <c r="M2495" s="55"/>
      <c r="N2495" s="55"/>
      <c r="O2495" s="55"/>
      <c r="P2495" s="55"/>
      <c r="Q2495" s="55"/>
      <c r="R2495" s="57"/>
      <c r="S2495" s="58"/>
    </row>
    <row r="2496" spans="1:19" x14ac:dyDescent="0.25">
      <c r="A2496" s="51" t="str">
        <f>(COUNTIF($K$2:K2496,K2496))&amp;K2496</f>
        <v>1</v>
      </c>
      <c r="B2496" s="52"/>
      <c r="C2496" s="53"/>
      <c r="D2496" s="54"/>
      <c r="E2496" s="55"/>
      <c r="F2496" s="55"/>
      <c r="G2496" s="55"/>
      <c r="H2496" s="55"/>
      <c r="I2496" s="55"/>
      <c r="J2496" s="55"/>
      <c r="K2496" s="56"/>
      <c r="L2496" s="55"/>
      <c r="M2496" s="55"/>
      <c r="N2496" s="55"/>
      <c r="O2496" s="55"/>
      <c r="P2496" s="55"/>
      <c r="Q2496" s="55"/>
      <c r="R2496" s="57"/>
      <c r="S2496" s="58"/>
    </row>
    <row r="2497" spans="1:19" x14ac:dyDescent="0.25">
      <c r="A2497" s="51" t="str">
        <f>(COUNTIF($K$2:K2497,K2497))&amp;K2497</f>
        <v>1</v>
      </c>
      <c r="B2497" s="52"/>
      <c r="C2497" s="53"/>
      <c r="D2497" s="54"/>
      <c r="E2497" s="55"/>
      <c r="F2497" s="55"/>
      <c r="G2497" s="55"/>
      <c r="H2497" s="55"/>
      <c r="I2497" s="55"/>
      <c r="J2497" s="55"/>
      <c r="K2497" s="56"/>
      <c r="L2497" s="55"/>
      <c r="M2497" s="55"/>
      <c r="N2497" s="55"/>
      <c r="O2497" s="55"/>
      <c r="P2497" s="55"/>
      <c r="Q2497" s="55"/>
      <c r="R2497" s="57"/>
      <c r="S2497" s="58"/>
    </row>
    <row r="2498" spans="1:19" x14ac:dyDescent="0.25">
      <c r="A2498" s="51" t="str">
        <f>(COUNTIF($K$2:K2498,K2498))&amp;K2498</f>
        <v>1</v>
      </c>
      <c r="B2498" s="52"/>
      <c r="C2498" s="53"/>
      <c r="D2498" s="54"/>
      <c r="E2498" s="55"/>
      <c r="F2498" s="55"/>
      <c r="G2498" s="55"/>
      <c r="H2498" s="55"/>
      <c r="I2498" s="55"/>
      <c r="J2498" s="55"/>
      <c r="K2498" s="56"/>
      <c r="L2498" s="55"/>
      <c r="M2498" s="55"/>
      <c r="N2498" s="55"/>
      <c r="O2498" s="55"/>
      <c r="P2498" s="55"/>
      <c r="Q2498" s="55"/>
      <c r="R2498" s="57"/>
      <c r="S2498" s="58"/>
    </row>
    <row r="2499" spans="1:19" x14ac:dyDescent="0.25">
      <c r="A2499" s="51" t="str">
        <f>(COUNTIF($K$2:K2499,K2499))&amp;K2499</f>
        <v>1</v>
      </c>
      <c r="B2499" s="52"/>
      <c r="C2499" s="53"/>
      <c r="D2499" s="54"/>
      <c r="E2499" s="55"/>
      <c r="F2499" s="55"/>
      <c r="G2499" s="55"/>
      <c r="H2499" s="55"/>
      <c r="I2499" s="55"/>
      <c r="J2499" s="55"/>
      <c r="K2499" s="56"/>
      <c r="L2499" s="55"/>
      <c r="M2499" s="55"/>
      <c r="N2499" s="55"/>
      <c r="O2499" s="55"/>
      <c r="P2499" s="55"/>
      <c r="Q2499" s="55"/>
      <c r="R2499" s="57"/>
      <c r="S2499" s="58"/>
    </row>
    <row r="2500" spans="1:19" x14ac:dyDescent="0.25">
      <c r="A2500" s="51" t="str">
        <f>(COUNTIF($K$2:K2500,K2500))&amp;K2500</f>
        <v>1</v>
      </c>
      <c r="B2500" s="52"/>
      <c r="C2500" s="60"/>
      <c r="E2500" s="61"/>
      <c r="F2500" s="62"/>
      <c r="G2500" s="63"/>
      <c r="H2500" s="64"/>
      <c r="I2500" s="64"/>
      <c r="J2500" s="64"/>
      <c r="K2500" s="65"/>
      <c r="L2500" s="64"/>
      <c r="M2500" s="64"/>
      <c r="N2500" s="64"/>
      <c r="P2500" s="63"/>
      <c r="Q2500" s="61"/>
      <c r="R2500" s="64"/>
      <c r="S2500" s="64"/>
    </row>
    <row r="2501" spans="1:19" x14ac:dyDescent="0.25">
      <c r="A2501" s="51" t="str">
        <f>(COUNTIF($K$2:K2501,K2501))&amp;K2501</f>
        <v>1</v>
      </c>
      <c r="B2501" s="52"/>
      <c r="C2501" s="53"/>
      <c r="D2501" s="54"/>
      <c r="E2501" s="55"/>
      <c r="F2501" s="55"/>
      <c r="G2501" s="55"/>
      <c r="H2501" s="55"/>
      <c r="I2501" s="55"/>
      <c r="J2501" s="55"/>
      <c r="K2501" s="56"/>
      <c r="L2501" s="55"/>
      <c r="M2501" s="55"/>
      <c r="N2501" s="55"/>
      <c r="O2501" s="55"/>
      <c r="P2501" s="55"/>
      <c r="Q2501" s="55"/>
      <c r="R2501" s="57"/>
      <c r="S2501" s="58"/>
    </row>
    <row r="2502" spans="1:19" x14ac:dyDescent="0.25">
      <c r="A2502" s="51" t="str">
        <f>(COUNTIF($K$2:K2502,K2502))&amp;K2502</f>
        <v>1</v>
      </c>
      <c r="B2502" s="52"/>
      <c r="C2502" s="53"/>
      <c r="D2502" s="54"/>
      <c r="E2502" s="55"/>
      <c r="F2502" s="55"/>
      <c r="G2502" s="55"/>
      <c r="H2502" s="55"/>
      <c r="I2502" s="55"/>
      <c r="J2502" s="55"/>
      <c r="K2502" s="56"/>
      <c r="L2502" s="55"/>
      <c r="M2502" s="55"/>
      <c r="N2502" s="55"/>
      <c r="O2502" s="55"/>
      <c r="P2502" s="55"/>
      <c r="Q2502" s="55"/>
      <c r="R2502" s="57"/>
      <c r="S2502" s="58"/>
    </row>
    <row r="2503" spans="1:19" x14ac:dyDescent="0.25">
      <c r="A2503" s="51" t="str">
        <f>(COUNTIF($K$2:K2503,K2503))&amp;K2503</f>
        <v>1</v>
      </c>
      <c r="B2503" s="52"/>
      <c r="C2503" s="53"/>
      <c r="D2503" s="54"/>
      <c r="E2503" s="55"/>
      <c r="F2503" s="55"/>
      <c r="G2503" s="55"/>
      <c r="H2503" s="55"/>
      <c r="I2503" s="55"/>
      <c r="J2503" s="55"/>
      <c r="K2503" s="56"/>
      <c r="L2503" s="55"/>
      <c r="M2503" s="55"/>
      <c r="N2503" s="55"/>
      <c r="O2503" s="55"/>
      <c r="P2503" s="55"/>
      <c r="Q2503" s="55"/>
      <c r="R2503" s="57"/>
      <c r="S2503" s="58"/>
    </row>
    <row r="2504" spans="1:19" x14ac:dyDescent="0.25">
      <c r="A2504" s="51" t="str">
        <f>(COUNTIF($K$2:K2504,K2504))&amp;K2504</f>
        <v>1</v>
      </c>
      <c r="B2504" s="52"/>
      <c r="C2504" s="53"/>
      <c r="D2504" s="54"/>
      <c r="E2504" s="55"/>
      <c r="F2504" s="55"/>
      <c r="G2504" s="55"/>
      <c r="H2504" s="55"/>
      <c r="I2504" s="55"/>
      <c r="J2504" s="55"/>
      <c r="K2504" s="56"/>
      <c r="L2504" s="55"/>
      <c r="M2504" s="55"/>
      <c r="N2504" s="55"/>
      <c r="O2504" s="55"/>
      <c r="P2504" s="55"/>
      <c r="Q2504" s="55"/>
      <c r="R2504" s="57"/>
      <c r="S2504" s="58"/>
    </row>
    <row r="2505" spans="1:19" x14ac:dyDescent="0.25">
      <c r="A2505" s="51" t="str">
        <f>(COUNTIF($K$2:K2505,K2505))&amp;K2505</f>
        <v>1</v>
      </c>
      <c r="B2505" s="52"/>
      <c r="C2505" s="53"/>
      <c r="D2505" s="54"/>
      <c r="E2505" s="55"/>
      <c r="F2505" s="55"/>
      <c r="G2505" s="55"/>
      <c r="H2505" s="55"/>
      <c r="I2505" s="55"/>
      <c r="J2505" s="55"/>
      <c r="K2505" s="56"/>
      <c r="L2505" s="55"/>
      <c r="M2505" s="55"/>
      <c r="N2505" s="55"/>
      <c r="O2505" s="55"/>
      <c r="P2505" s="55"/>
      <c r="Q2505" s="55"/>
      <c r="R2505" s="57"/>
      <c r="S2505" s="58"/>
    </row>
    <row r="2506" spans="1:19" x14ac:dyDescent="0.25">
      <c r="A2506" s="51" t="str">
        <f>(COUNTIF($K$2:K2506,K2506))&amp;K2506</f>
        <v>1</v>
      </c>
      <c r="B2506" s="52"/>
      <c r="C2506" s="53"/>
      <c r="D2506" s="54"/>
      <c r="E2506" s="55"/>
      <c r="F2506" s="55"/>
      <c r="G2506" s="55"/>
      <c r="H2506" s="55"/>
      <c r="I2506" s="55"/>
      <c r="J2506" s="55"/>
      <c r="K2506" s="56"/>
      <c r="L2506" s="55"/>
      <c r="M2506" s="55"/>
      <c r="N2506" s="55"/>
      <c r="O2506" s="55"/>
      <c r="P2506" s="55"/>
      <c r="Q2506" s="55"/>
      <c r="R2506" s="57"/>
      <c r="S2506" s="58"/>
    </row>
    <row r="2507" spans="1:19" x14ac:dyDescent="0.25">
      <c r="A2507" s="51" t="str">
        <f>(COUNTIF($K$2:K2507,K2507))&amp;K2507</f>
        <v>1</v>
      </c>
      <c r="B2507" s="52"/>
      <c r="C2507" s="53"/>
      <c r="D2507" s="54"/>
      <c r="E2507" s="55"/>
      <c r="F2507" s="55"/>
      <c r="G2507" s="55"/>
      <c r="H2507" s="55"/>
      <c r="I2507" s="55"/>
      <c r="J2507" s="55"/>
      <c r="K2507" s="56"/>
      <c r="L2507" s="55"/>
      <c r="M2507" s="55"/>
      <c r="N2507" s="55"/>
      <c r="O2507" s="55"/>
      <c r="P2507" s="55"/>
      <c r="Q2507" s="55"/>
      <c r="R2507" s="57"/>
      <c r="S2507" s="58"/>
    </row>
    <row r="2508" spans="1:19" x14ac:dyDescent="0.25">
      <c r="A2508" s="51" t="str">
        <f>(COUNTIF($K$2:K2508,K2508))&amp;K2508</f>
        <v>1</v>
      </c>
      <c r="B2508" s="52"/>
      <c r="C2508" s="53"/>
      <c r="D2508" s="54"/>
      <c r="E2508" s="55"/>
      <c r="F2508" s="55"/>
      <c r="G2508" s="55"/>
      <c r="H2508" s="55"/>
      <c r="I2508" s="55"/>
      <c r="J2508" s="55"/>
      <c r="K2508" s="56"/>
      <c r="L2508" s="55"/>
      <c r="M2508" s="55"/>
      <c r="N2508" s="55"/>
      <c r="O2508" s="55"/>
      <c r="P2508" s="55"/>
      <c r="Q2508" s="55"/>
      <c r="R2508" s="57"/>
      <c r="S2508" s="58"/>
    </row>
    <row r="2509" spans="1:19" ht="15.75" x14ac:dyDescent="0.25">
      <c r="A2509" s="51" t="str">
        <f>(COUNTIF($K$2:K2509,K2509))&amp;K2509</f>
        <v>1</v>
      </c>
      <c r="B2509" s="52"/>
      <c r="C2509" s="53"/>
      <c r="D2509" s="54"/>
      <c r="E2509" s="55"/>
      <c r="F2509" s="55"/>
      <c r="G2509" s="55"/>
      <c r="H2509" s="55"/>
      <c r="I2509" s="55"/>
      <c r="J2509" s="55"/>
      <c r="K2509" s="59"/>
      <c r="L2509" s="55"/>
      <c r="M2509" s="55"/>
      <c r="N2509" s="55"/>
      <c r="O2509" s="55"/>
      <c r="P2509" s="55"/>
      <c r="Q2509" s="55"/>
      <c r="R2509" s="57"/>
      <c r="S2509" s="58"/>
    </row>
    <row r="2510" spans="1:19" x14ac:dyDescent="0.25">
      <c r="A2510" s="51" t="str">
        <f>(COUNTIF($K$2:K2510,K2510))&amp;K2510</f>
        <v>1</v>
      </c>
      <c r="B2510" s="52"/>
      <c r="C2510" s="53"/>
      <c r="D2510" s="54"/>
      <c r="E2510" s="55"/>
      <c r="F2510" s="55"/>
      <c r="G2510" s="55"/>
      <c r="H2510" s="55"/>
      <c r="I2510" s="55"/>
      <c r="J2510" s="55"/>
      <c r="K2510" s="56"/>
      <c r="L2510" s="55"/>
      <c r="M2510" s="55"/>
      <c r="N2510" s="55"/>
      <c r="O2510" s="55"/>
      <c r="P2510" s="55"/>
      <c r="Q2510" s="55"/>
      <c r="R2510" s="57"/>
      <c r="S2510" s="58"/>
    </row>
    <row r="2511" spans="1:19" x14ac:dyDescent="0.25">
      <c r="A2511" s="51" t="str">
        <f>(COUNTIF($K$2:K2511,K2511))&amp;K2511</f>
        <v>1</v>
      </c>
      <c r="B2511" s="52"/>
      <c r="C2511" s="53"/>
      <c r="D2511" s="54"/>
      <c r="E2511" s="55"/>
      <c r="F2511" s="55"/>
      <c r="G2511" s="55"/>
      <c r="H2511" s="55"/>
      <c r="I2511" s="55"/>
      <c r="J2511" s="55"/>
      <c r="K2511" s="56"/>
      <c r="L2511" s="55"/>
      <c r="M2511" s="55"/>
      <c r="N2511" s="55"/>
      <c r="O2511" s="55"/>
      <c r="P2511" s="55"/>
      <c r="Q2511" s="55"/>
      <c r="R2511" s="57"/>
      <c r="S2511" s="58"/>
    </row>
    <row r="2512" spans="1:19" x14ac:dyDescent="0.25">
      <c r="A2512" s="51" t="str">
        <f>(COUNTIF($K$2:K2512,K2512))&amp;K2512</f>
        <v>1</v>
      </c>
      <c r="B2512" s="52"/>
      <c r="C2512" s="53"/>
      <c r="D2512" s="54"/>
      <c r="E2512" s="55"/>
      <c r="F2512" s="55"/>
      <c r="G2512" s="55"/>
      <c r="H2512" s="55"/>
      <c r="I2512" s="55"/>
      <c r="J2512" s="55"/>
      <c r="K2512" s="56"/>
      <c r="L2512" s="55"/>
      <c r="M2512" s="55"/>
      <c r="N2512" s="55"/>
      <c r="O2512" s="55"/>
      <c r="P2512" s="55"/>
      <c r="Q2512" s="55"/>
      <c r="R2512" s="57"/>
      <c r="S2512" s="58"/>
    </row>
    <row r="2513" spans="1:19" x14ac:dyDescent="0.25">
      <c r="A2513" s="51" t="str">
        <f>(COUNTIF($K$2:K2513,K2513))&amp;K2513</f>
        <v>1</v>
      </c>
      <c r="B2513" s="52"/>
      <c r="C2513" s="53"/>
      <c r="D2513" s="54"/>
      <c r="E2513" s="55"/>
      <c r="F2513" s="55"/>
      <c r="G2513" s="55"/>
      <c r="H2513" s="55"/>
      <c r="I2513" s="55"/>
      <c r="J2513" s="55"/>
      <c r="K2513" s="56"/>
      <c r="L2513" s="55"/>
      <c r="M2513" s="55"/>
      <c r="N2513" s="55"/>
      <c r="O2513" s="55"/>
      <c r="P2513" s="55"/>
      <c r="Q2513" s="55"/>
      <c r="R2513" s="57"/>
      <c r="S2513" s="58"/>
    </row>
    <row r="2514" spans="1:19" x14ac:dyDescent="0.25">
      <c r="A2514" s="51" t="str">
        <f>(COUNTIF($K$2:K2514,K2514))&amp;K2514</f>
        <v>1</v>
      </c>
      <c r="B2514" s="52"/>
      <c r="C2514" s="53"/>
      <c r="D2514" s="54"/>
      <c r="E2514" s="55"/>
      <c r="F2514" s="55"/>
      <c r="G2514" s="55"/>
      <c r="H2514" s="55"/>
      <c r="I2514" s="55"/>
      <c r="J2514" s="55"/>
      <c r="K2514" s="56"/>
      <c r="L2514" s="55"/>
      <c r="M2514" s="55"/>
      <c r="N2514" s="55"/>
      <c r="O2514" s="55"/>
      <c r="P2514" s="55"/>
      <c r="Q2514" s="55"/>
      <c r="R2514" s="57"/>
      <c r="S2514" s="58"/>
    </row>
    <row r="2515" spans="1:19" x14ac:dyDescent="0.25">
      <c r="A2515" s="51" t="str">
        <f>(COUNTIF($K$2:K2515,K2515))&amp;K2515</f>
        <v>1</v>
      </c>
      <c r="B2515" s="52"/>
      <c r="C2515" s="53"/>
      <c r="D2515" s="54"/>
      <c r="E2515" s="55"/>
      <c r="F2515" s="55"/>
      <c r="G2515" s="55"/>
      <c r="H2515" s="55"/>
      <c r="I2515" s="55"/>
      <c r="J2515" s="55"/>
      <c r="K2515" s="56"/>
      <c r="L2515" s="55"/>
      <c r="M2515" s="55"/>
      <c r="N2515" s="55"/>
      <c r="O2515" s="55"/>
      <c r="P2515" s="55"/>
      <c r="Q2515" s="55"/>
      <c r="R2515" s="57"/>
      <c r="S2515" s="58"/>
    </row>
    <row r="2516" spans="1:19" x14ac:dyDescent="0.25">
      <c r="A2516" s="51" t="str">
        <f>(COUNTIF($K$2:K2516,K2516))&amp;K2516</f>
        <v>1</v>
      </c>
      <c r="B2516" s="52"/>
      <c r="C2516" s="53"/>
      <c r="D2516" s="54"/>
      <c r="E2516" s="55"/>
      <c r="F2516" s="55"/>
      <c r="G2516" s="55"/>
      <c r="H2516" s="55"/>
      <c r="I2516" s="55"/>
      <c r="J2516" s="55"/>
      <c r="K2516" s="56"/>
      <c r="L2516" s="55"/>
      <c r="M2516" s="55"/>
      <c r="N2516" s="55"/>
      <c r="O2516" s="55"/>
      <c r="P2516" s="55"/>
      <c r="Q2516" s="55"/>
      <c r="R2516" s="57"/>
      <c r="S2516" s="58"/>
    </row>
    <row r="2517" spans="1:19" x14ac:dyDescent="0.25">
      <c r="A2517" s="51" t="str">
        <f>(COUNTIF($K$2:K2517,K2517))&amp;K2517</f>
        <v>1</v>
      </c>
      <c r="B2517" s="52"/>
      <c r="C2517" s="60"/>
      <c r="E2517" s="61"/>
      <c r="F2517" s="62"/>
      <c r="G2517" s="63"/>
      <c r="H2517" s="64"/>
      <c r="I2517" s="64"/>
      <c r="J2517" s="64"/>
      <c r="K2517" s="65"/>
      <c r="L2517" s="64"/>
      <c r="M2517" s="64"/>
      <c r="N2517" s="64"/>
      <c r="P2517" s="63"/>
      <c r="Q2517" s="61"/>
      <c r="R2517" s="64"/>
      <c r="S2517" s="64"/>
    </row>
    <row r="2518" spans="1:19" x14ac:dyDescent="0.25">
      <c r="A2518" s="51" t="str">
        <f>(COUNTIF($K$2:K2518,K2518))&amp;K2518</f>
        <v>1</v>
      </c>
      <c r="B2518" s="52"/>
      <c r="C2518" s="53"/>
      <c r="D2518" s="54"/>
      <c r="E2518" s="55"/>
      <c r="F2518" s="55"/>
      <c r="G2518" s="55"/>
      <c r="H2518" s="55"/>
      <c r="I2518" s="55"/>
      <c r="J2518" s="55"/>
      <c r="K2518" s="56"/>
      <c r="L2518" s="55"/>
      <c r="M2518" s="55"/>
      <c r="N2518" s="55"/>
      <c r="O2518" s="55"/>
      <c r="P2518" s="55"/>
      <c r="Q2518" s="55"/>
      <c r="R2518" s="57"/>
      <c r="S2518" s="58"/>
    </row>
    <row r="2519" spans="1:19" x14ac:dyDescent="0.25">
      <c r="A2519" s="51" t="str">
        <f>(COUNTIF($K$2:K2519,K2519))&amp;K2519</f>
        <v>1</v>
      </c>
      <c r="B2519" s="52"/>
      <c r="C2519" s="53"/>
      <c r="D2519" s="54"/>
      <c r="E2519" s="55"/>
      <c r="F2519" s="55"/>
      <c r="G2519" s="55"/>
      <c r="H2519" s="55"/>
      <c r="I2519" s="55"/>
      <c r="J2519" s="55"/>
      <c r="K2519" s="56"/>
      <c r="L2519" s="55"/>
      <c r="M2519" s="55"/>
      <c r="N2519" s="55"/>
      <c r="O2519" s="55"/>
      <c r="P2519" s="55"/>
      <c r="Q2519" s="55"/>
      <c r="R2519" s="57"/>
      <c r="S2519" s="58"/>
    </row>
    <row r="2520" spans="1:19" x14ac:dyDescent="0.25">
      <c r="A2520" s="51" t="str">
        <f>(COUNTIF($K$2:K2520,K2520))&amp;K2520</f>
        <v>1</v>
      </c>
      <c r="B2520" s="52"/>
      <c r="C2520" s="53"/>
      <c r="D2520" s="54"/>
      <c r="E2520" s="55"/>
      <c r="F2520" s="55"/>
      <c r="G2520" s="55"/>
      <c r="H2520" s="55"/>
      <c r="I2520" s="55"/>
      <c r="J2520" s="55"/>
      <c r="K2520" s="56"/>
      <c r="L2520" s="55"/>
      <c r="M2520" s="55"/>
      <c r="N2520" s="55"/>
      <c r="O2520" s="55"/>
      <c r="P2520" s="55"/>
      <c r="Q2520" s="55"/>
      <c r="R2520" s="57"/>
      <c r="S2520" s="58"/>
    </row>
    <row r="2521" spans="1:19" x14ac:dyDescent="0.25">
      <c r="A2521" s="51" t="str">
        <f>(COUNTIF($K$2:K2521,K2521))&amp;K2521</f>
        <v>1</v>
      </c>
      <c r="B2521" s="52"/>
      <c r="C2521" s="53"/>
      <c r="D2521" s="54"/>
      <c r="E2521" s="55"/>
      <c r="F2521" s="55"/>
      <c r="G2521" s="55"/>
      <c r="H2521" s="55"/>
      <c r="I2521" s="55"/>
      <c r="J2521" s="55"/>
      <c r="K2521" s="56"/>
      <c r="L2521" s="55"/>
      <c r="M2521" s="55"/>
      <c r="N2521" s="55"/>
      <c r="O2521" s="55"/>
      <c r="P2521" s="55"/>
      <c r="Q2521" s="55"/>
      <c r="R2521" s="57"/>
      <c r="S2521" s="58"/>
    </row>
    <row r="2522" spans="1:19" x14ac:dyDescent="0.25">
      <c r="A2522" s="51" t="str">
        <f>(COUNTIF($K$2:K2522,K2522))&amp;K2522</f>
        <v>1</v>
      </c>
      <c r="B2522" s="52"/>
      <c r="C2522" s="53"/>
      <c r="D2522" s="54"/>
      <c r="E2522" s="55"/>
      <c r="F2522" s="55"/>
      <c r="G2522" s="55"/>
      <c r="H2522" s="55"/>
      <c r="I2522" s="55"/>
      <c r="J2522" s="55"/>
      <c r="K2522" s="56"/>
      <c r="L2522" s="55"/>
      <c r="M2522" s="55"/>
      <c r="N2522" s="55"/>
      <c r="O2522" s="55"/>
      <c r="P2522" s="55"/>
      <c r="Q2522" s="55"/>
      <c r="R2522" s="57"/>
      <c r="S2522" s="58"/>
    </row>
    <row r="2523" spans="1:19" x14ac:dyDescent="0.25">
      <c r="A2523" s="51" t="str">
        <f>(COUNTIF($K$2:K2523,K2523))&amp;K2523</f>
        <v>1</v>
      </c>
      <c r="B2523" s="52"/>
      <c r="C2523" s="53"/>
      <c r="D2523" s="54"/>
      <c r="E2523" s="55"/>
      <c r="F2523" s="55"/>
      <c r="G2523" s="55"/>
      <c r="H2523" s="55"/>
      <c r="I2523" s="55"/>
      <c r="J2523" s="55"/>
      <c r="K2523" s="56"/>
      <c r="L2523" s="55"/>
      <c r="M2523" s="55"/>
      <c r="N2523" s="55"/>
      <c r="O2523" s="55"/>
      <c r="P2523" s="55"/>
      <c r="Q2523" s="55"/>
      <c r="R2523" s="57"/>
      <c r="S2523" s="58"/>
    </row>
    <row r="2524" spans="1:19" x14ac:dyDescent="0.25">
      <c r="A2524" s="51" t="str">
        <f>(COUNTIF($K$2:K2524,K2524))&amp;K2524</f>
        <v>1</v>
      </c>
      <c r="B2524" s="52"/>
      <c r="C2524" s="53"/>
      <c r="D2524" s="54"/>
      <c r="E2524" s="55"/>
      <c r="F2524" s="55"/>
      <c r="G2524" s="55"/>
      <c r="H2524" s="55"/>
      <c r="I2524" s="55"/>
      <c r="J2524" s="55"/>
      <c r="K2524" s="56"/>
      <c r="L2524" s="55"/>
      <c r="M2524" s="55"/>
      <c r="N2524" s="55"/>
      <c r="O2524" s="55"/>
      <c r="P2524" s="55"/>
      <c r="Q2524" s="55"/>
      <c r="R2524" s="57"/>
      <c r="S2524" s="58"/>
    </row>
    <row r="2525" spans="1:19" x14ac:dyDescent="0.25">
      <c r="A2525" s="51" t="str">
        <f>(COUNTIF($K$2:K2525,K2525))&amp;K2525</f>
        <v>1</v>
      </c>
      <c r="B2525" s="52"/>
      <c r="C2525" s="53"/>
      <c r="D2525" s="54"/>
      <c r="E2525" s="55"/>
      <c r="F2525" s="55"/>
      <c r="G2525" s="55"/>
      <c r="H2525" s="55"/>
      <c r="I2525" s="55"/>
      <c r="J2525" s="55"/>
      <c r="K2525" s="56"/>
      <c r="L2525" s="55"/>
      <c r="M2525" s="55"/>
      <c r="N2525" s="55"/>
      <c r="O2525" s="55"/>
      <c r="P2525" s="55"/>
      <c r="Q2525" s="55"/>
      <c r="R2525" s="57"/>
      <c r="S2525" s="58"/>
    </row>
    <row r="2526" spans="1:19" ht="15.75" x14ac:dyDescent="0.25">
      <c r="A2526" s="51" t="str">
        <f>(COUNTIF($K$2:K2526,K2526))&amp;K2526</f>
        <v>1</v>
      </c>
      <c r="B2526" s="52"/>
      <c r="C2526" s="53"/>
      <c r="D2526" s="54"/>
      <c r="E2526" s="55"/>
      <c r="F2526" s="55"/>
      <c r="G2526" s="55"/>
      <c r="H2526" s="55"/>
      <c r="I2526" s="55"/>
      <c r="J2526" s="55"/>
      <c r="K2526" s="59"/>
      <c r="L2526" s="55"/>
      <c r="M2526" s="55"/>
      <c r="N2526" s="55"/>
      <c r="O2526" s="55"/>
      <c r="P2526" s="55"/>
      <c r="Q2526" s="55"/>
      <c r="R2526" s="57"/>
      <c r="S2526" s="58"/>
    </row>
    <row r="2527" spans="1:19" x14ac:dyDescent="0.25">
      <c r="A2527" s="51" t="str">
        <f>(COUNTIF($K$2:K2527,K2527))&amp;K2527</f>
        <v>1</v>
      </c>
      <c r="B2527" s="52"/>
      <c r="C2527" s="53"/>
      <c r="D2527" s="54"/>
      <c r="E2527" s="55"/>
      <c r="F2527" s="55"/>
      <c r="G2527" s="55"/>
      <c r="H2527" s="55"/>
      <c r="I2527" s="55"/>
      <c r="J2527" s="55"/>
      <c r="K2527" s="56"/>
      <c r="L2527" s="55"/>
      <c r="M2527" s="55"/>
      <c r="N2527" s="55"/>
      <c r="O2527" s="55"/>
      <c r="P2527" s="55"/>
      <c r="Q2527" s="55"/>
      <c r="R2527" s="57"/>
      <c r="S2527" s="58"/>
    </row>
    <row r="2528" spans="1:19" x14ac:dyDescent="0.25">
      <c r="A2528" s="51" t="str">
        <f>(COUNTIF($K$2:K2528,K2528))&amp;K2528</f>
        <v>1</v>
      </c>
      <c r="B2528" s="52"/>
      <c r="C2528" s="53"/>
      <c r="D2528" s="54"/>
      <c r="E2528" s="55"/>
      <c r="F2528" s="55"/>
      <c r="G2528" s="55"/>
      <c r="H2528" s="55"/>
      <c r="I2528" s="55"/>
      <c r="J2528" s="55"/>
      <c r="K2528" s="56"/>
      <c r="L2528" s="55"/>
      <c r="M2528" s="55"/>
      <c r="N2528" s="55"/>
      <c r="O2528" s="55"/>
      <c r="P2528" s="55"/>
      <c r="Q2528" s="55"/>
      <c r="R2528" s="57"/>
      <c r="S2528" s="58"/>
    </row>
    <row r="2529" spans="1:19" x14ac:dyDescent="0.25">
      <c r="A2529" s="51" t="str">
        <f>(COUNTIF($K$2:K2529,K2529))&amp;K2529</f>
        <v>1</v>
      </c>
      <c r="B2529" s="52"/>
      <c r="C2529" s="53"/>
      <c r="D2529" s="54"/>
      <c r="E2529" s="55"/>
      <c r="F2529" s="55"/>
      <c r="G2529" s="55"/>
      <c r="H2529" s="55"/>
      <c r="I2529" s="55"/>
      <c r="J2529" s="55"/>
      <c r="K2529" s="56"/>
      <c r="L2529" s="55"/>
      <c r="M2529" s="55"/>
      <c r="N2529" s="55"/>
      <c r="O2529" s="55"/>
      <c r="P2529" s="55"/>
      <c r="Q2529" s="55"/>
      <c r="R2529" s="57"/>
      <c r="S2529" s="58"/>
    </row>
    <row r="2530" spans="1:19" x14ac:dyDescent="0.25">
      <c r="A2530" s="51" t="str">
        <f>(COUNTIF($K$2:K2530,K2530))&amp;K2530</f>
        <v>1</v>
      </c>
      <c r="B2530" s="52"/>
      <c r="C2530" s="53"/>
      <c r="D2530" s="54"/>
      <c r="E2530" s="55"/>
      <c r="F2530" s="55"/>
      <c r="G2530" s="55"/>
      <c r="H2530" s="55"/>
      <c r="I2530" s="55"/>
      <c r="J2530" s="55"/>
      <c r="K2530" s="56"/>
      <c r="L2530" s="55"/>
      <c r="M2530" s="55"/>
      <c r="N2530" s="55"/>
      <c r="O2530" s="55"/>
      <c r="P2530" s="55"/>
      <c r="Q2530" s="55"/>
      <c r="R2530" s="57"/>
      <c r="S2530" s="58"/>
    </row>
    <row r="2531" spans="1:19" x14ac:dyDescent="0.25">
      <c r="A2531" s="51" t="str">
        <f>(COUNTIF($K$2:K2531,K2531))&amp;K2531</f>
        <v>1</v>
      </c>
      <c r="B2531" s="52"/>
      <c r="C2531" s="53"/>
      <c r="D2531" s="54"/>
      <c r="E2531" s="55"/>
      <c r="F2531" s="55"/>
      <c r="G2531" s="55"/>
      <c r="H2531" s="55"/>
      <c r="I2531" s="55"/>
      <c r="J2531" s="55"/>
      <c r="K2531" s="56"/>
      <c r="L2531" s="55"/>
      <c r="M2531" s="55"/>
      <c r="N2531" s="55"/>
      <c r="O2531" s="55"/>
      <c r="P2531" s="55"/>
      <c r="Q2531" s="55"/>
      <c r="R2531" s="57"/>
      <c r="S2531" s="58"/>
    </row>
    <row r="2532" spans="1:19" x14ac:dyDescent="0.25">
      <c r="A2532" s="51" t="str">
        <f>(COUNTIF($K$2:K2532,K2532))&amp;K2532</f>
        <v>1</v>
      </c>
      <c r="B2532" s="52"/>
      <c r="C2532" s="53"/>
      <c r="D2532" s="54"/>
      <c r="E2532" s="55"/>
      <c r="F2532" s="55"/>
      <c r="G2532" s="55"/>
      <c r="H2532" s="55"/>
      <c r="I2532" s="55"/>
      <c r="J2532" s="55"/>
      <c r="K2532" s="56"/>
      <c r="L2532" s="55"/>
      <c r="M2532" s="55"/>
      <c r="N2532" s="55"/>
      <c r="O2532" s="55"/>
      <c r="P2532" s="55"/>
      <c r="Q2532" s="55"/>
      <c r="R2532" s="57"/>
      <c r="S2532" s="58"/>
    </row>
    <row r="2533" spans="1:19" x14ac:dyDescent="0.25">
      <c r="A2533" s="51" t="str">
        <f>(COUNTIF($K$2:K2533,K2533))&amp;K2533</f>
        <v>1</v>
      </c>
      <c r="B2533" s="52"/>
      <c r="C2533" s="53"/>
      <c r="D2533" s="54"/>
      <c r="E2533" s="55"/>
      <c r="F2533" s="55"/>
      <c r="G2533" s="55"/>
      <c r="H2533" s="55"/>
      <c r="I2533" s="55"/>
      <c r="J2533" s="55"/>
      <c r="K2533" s="56"/>
      <c r="L2533" s="55"/>
      <c r="M2533" s="55"/>
      <c r="N2533" s="55"/>
      <c r="O2533" s="55"/>
      <c r="P2533" s="55"/>
      <c r="Q2533" s="55"/>
      <c r="R2533" s="57"/>
      <c r="S2533" s="58"/>
    </row>
    <row r="2534" spans="1:19" x14ac:dyDescent="0.25">
      <c r="A2534" s="51" t="str">
        <f>(COUNTIF($K$2:K2534,K2534))&amp;K2534</f>
        <v>1</v>
      </c>
      <c r="B2534" s="52"/>
      <c r="C2534" s="60"/>
      <c r="E2534" s="61"/>
      <c r="F2534" s="62"/>
      <c r="G2534" s="63"/>
      <c r="H2534" s="64"/>
      <c r="I2534" s="64"/>
      <c r="J2534" s="64"/>
      <c r="K2534" s="65"/>
      <c r="L2534" s="64"/>
      <c r="M2534" s="64"/>
      <c r="N2534" s="64"/>
      <c r="P2534" s="63"/>
      <c r="Q2534" s="61"/>
      <c r="R2534" s="64"/>
      <c r="S2534" s="64"/>
    </row>
    <row r="2535" spans="1:19" x14ac:dyDescent="0.25">
      <c r="A2535" s="51" t="str">
        <f>(COUNTIF($K$2:K2535,K2535))&amp;K2535</f>
        <v>1</v>
      </c>
      <c r="B2535" s="52"/>
      <c r="C2535" s="53"/>
      <c r="D2535" s="54"/>
      <c r="E2535" s="55"/>
      <c r="F2535" s="55"/>
      <c r="G2535" s="55"/>
      <c r="H2535" s="55"/>
      <c r="I2535" s="55"/>
      <c r="J2535" s="55"/>
      <c r="K2535" s="56"/>
      <c r="L2535" s="55"/>
      <c r="M2535" s="55"/>
      <c r="N2535" s="55"/>
      <c r="O2535" s="55"/>
      <c r="P2535" s="55"/>
      <c r="Q2535" s="55"/>
      <c r="R2535" s="57"/>
      <c r="S2535" s="58"/>
    </row>
    <row r="2536" spans="1:19" x14ac:dyDescent="0.25">
      <c r="A2536" s="51" t="str">
        <f>(COUNTIF($K$2:K2536,K2536))&amp;K2536</f>
        <v>1</v>
      </c>
      <c r="B2536" s="52"/>
      <c r="C2536" s="53"/>
      <c r="D2536" s="54"/>
      <c r="E2536" s="55"/>
      <c r="F2536" s="55"/>
      <c r="G2536" s="55"/>
      <c r="H2536" s="55"/>
      <c r="I2536" s="55"/>
      <c r="J2536" s="55"/>
      <c r="K2536" s="56"/>
      <c r="L2536" s="55"/>
      <c r="M2536" s="55"/>
      <c r="N2536" s="55"/>
      <c r="O2536" s="55"/>
      <c r="P2536" s="55"/>
      <c r="Q2536" s="55"/>
      <c r="R2536" s="57"/>
      <c r="S2536" s="58"/>
    </row>
    <row r="2537" spans="1:19" x14ac:dyDescent="0.25">
      <c r="A2537" s="51" t="str">
        <f>(COUNTIF($K$2:K2537,K2537))&amp;K2537</f>
        <v>1</v>
      </c>
      <c r="B2537" s="52"/>
      <c r="C2537" s="53"/>
      <c r="D2537" s="54"/>
      <c r="E2537" s="55"/>
      <c r="F2537" s="55"/>
      <c r="G2537" s="55"/>
      <c r="H2537" s="55"/>
      <c r="I2537" s="55"/>
      <c r="J2537" s="55"/>
      <c r="K2537" s="56"/>
      <c r="L2537" s="55"/>
      <c r="M2537" s="55"/>
      <c r="N2537" s="55"/>
      <c r="O2537" s="55"/>
      <c r="P2537" s="55"/>
      <c r="Q2537" s="55"/>
      <c r="R2537" s="57"/>
      <c r="S2537" s="58"/>
    </row>
    <row r="2538" spans="1:19" x14ac:dyDescent="0.25">
      <c r="A2538" s="51" t="str">
        <f>(COUNTIF($K$2:K2538,K2538))&amp;K2538</f>
        <v>1</v>
      </c>
      <c r="B2538" s="52"/>
      <c r="C2538" s="53"/>
      <c r="D2538" s="54"/>
      <c r="E2538" s="55"/>
      <c r="F2538" s="55"/>
      <c r="G2538" s="55"/>
      <c r="H2538" s="55"/>
      <c r="I2538" s="55"/>
      <c r="J2538" s="55"/>
      <c r="K2538" s="56"/>
      <c r="L2538" s="55"/>
      <c r="M2538" s="55"/>
      <c r="N2538" s="55"/>
      <c r="O2538" s="55"/>
      <c r="P2538" s="55"/>
      <c r="Q2538" s="55"/>
      <c r="R2538" s="57"/>
      <c r="S2538" s="58"/>
    </row>
    <row r="2539" spans="1:19" x14ac:dyDescent="0.25">
      <c r="A2539" s="51" t="str">
        <f>(COUNTIF($K$2:K2539,K2539))&amp;K2539</f>
        <v>1</v>
      </c>
      <c r="B2539" s="52"/>
      <c r="C2539" s="53"/>
      <c r="D2539" s="54"/>
      <c r="E2539" s="55"/>
      <c r="F2539" s="55"/>
      <c r="G2539" s="55"/>
      <c r="H2539" s="55"/>
      <c r="I2539" s="55"/>
      <c r="J2539" s="55"/>
      <c r="K2539" s="56"/>
      <c r="L2539" s="55"/>
      <c r="M2539" s="55"/>
      <c r="N2539" s="55"/>
      <c r="O2539" s="55"/>
      <c r="P2539" s="55"/>
      <c r="Q2539" s="55"/>
      <c r="R2539" s="57"/>
      <c r="S2539" s="58"/>
    </row>
    <row r="2540" spans="1:19" x14ac:dyDescent="0.25">
      <c r="A2540" s="51" t="str">
        <f>(COUNTIF($K$2:K2540,K2540))&amp;K2540</f>
        <v>1</v>
      </c>
      <c r="B2540" s="52"/>
      <c r="C2540" s="53"/>
      <c r="D2540" s="54"/>
      <c r="E2540" s="55"/>
      <c r="F2540" s="55"/>
      <c r="G2540" s="55"/>
      <c r="H2540" s="55"/>
      <c r="I2540" s="55"/>
      <c r="J2540" s="55"/>
      <c r="K2540" s="56"/>
      <c r="L2540" s="55"/>
      <c r="M2540" s="55"/>
      <c r="N2540" s="55"/>
      <c r="O2540" s="55"/>
      <c r="P2540" s="55"/>
      <c r="Q2540" s="55"/>
      <c r="R2540" s="57"/>
      <c r="S2540" s="58"/>
    </row>
    <row r="2541" spans="1:19" x14ac:dyDescent="0.25">
      <c r="A2541" s="51" t="str">
        <f>(COUNTIF($K$2:K2541,K2541))&amp;K2541</f>
        <v>1</v>
      </c>
      <c r="B2541" s="52"/>
      <c r="C2541" s="53"/>
      <c r="D2541" s="54"/>
      <c r="E2541" s="55"/>
      <c r="F2541" s="55"/>
      <c r="G2541" s="55"/>
      <c r="H2541" s="55"/>
      <c r="I2541" s="55"/>
      <c r="J2541" s="55"/>
      <c r="K2541" s="56"/>
      <c r="L2541" s="55"/>
      <c r="M2541" s="55"/>
      <c r="N2541" s="55"/>
      <c r="O2541" s="55"/>
      <c r="P2541" s="55"/>
      <c r="Q2541" s="55"/>
      <c r="R2541" s="57"/>
      <c r="S2541" s="58"/>
    </row>
    <row r="2542" spans="1:19" x14ac:dyDescent="0.25">
      <c r="A2542" s="51" t="str">
        <f>(COUNTIF($K$2:K2542,K2542))&amp;K2542</f>
        <v>1</v>
      </c>
      <c r="B2542" s="52"/>
      <c r="C2542" s="53"/>
      <c r="D2542" s="54"/>
      <c r="E2542" s="55"/>
      <c r="F2542" s="55"/>
      <c r="G2542" s="55"/>
      <c r="H2542" s="55"/>
      <c r="I2542" s="55"/>
      <c r="J2542" s="55"/>
      <c r="K2542" s="56"/>
      <c r="L2542" s="55"/>
      <c r="M2542" s="55"/>
      <c r="N2542" s="55"/>
      <c r="O2542" s="55"/>
      <c r="P2542" s="55"/>
      <c r="Q2542" s="55"/>
      <c r="R2542" s="57"/>
      <c r="S2542" s="58"/>
    </row>
    <row r="2543" spans="1:19" ht="15.75" x14ac:dyDescent="0.25">
      <c r="A2543" s="51" t="str">
        <f>(COUNTIF($K$2:K2543,K2543))&amp;K2543</f>
        <v>1</v>
      </c>
      <c r="B2543" s="52"/>
      <c r="C2543" s="53"/>
      <c r="D2543" s="54"/>
      <c r="E2543" s="55"/>
      <c r="F2543" s="55"/>
      <c r="G2543" s="55"/>
      <c r="H2543" s="55"/>
      <c r="I2543" s="55"/>
      <c r="J2543" s="55"/>
      <c r="K2543" s="59"/>
      <c r="L2543" s="55"/>
      <c r="M2543" s="55"/>
      <c r="N2543" s="55"/>
      <c r="O2543" s="55"/>
      <c r="P2543" s="55"/>
      <c r="Q2543" s="55"/>
      <c r="R2543" s="57"/>
      <c r="S2543" s="58"/>
    </row>
    <row r="2544" spans="1:19" x14ac:dyDescent="0.25">
      <c r="A2544" s="51" t="str">
        <f>(COUNTIF($K$2:K2544,K2544))&amp;K2544</f>
        <v>1</v>
      </c>
      <c r="B2544" s="52"/>
      <c r="C2544" s="53"/>
      <c r="D2544" s="54"/>
      <c r="E2544" s="55"/>
      <c r="F2544" s="55"/>
      <c r="G2544" s="55"/>
      <c r="H2544" s="55"/>
      <c r="I2544" s="55"/>
      <c r="J2544" s="55"/>
      <c r="K2544" s="56"/>
      <c r="L2544" s="55"/>
      <c r="M2544" s="55"/>
      <c r="N2544" s="55"/>
      <c r="O2544" s="55"/>
      <c r="P2544" s="55"/>
      <c r="Q2544" s="55"/>
      <c r="R2544" s="57"/>
      <c r="S2544" s="58"/>
    </row>
    <row r="2545" spans="1:19" x14ac:dyDescent="0.25">
      <c r="A2545" s="51" t="str">
        <f>(COUNTIF($K$2:K2545,K2545))&amp;K2545</f>
        <v>1</v>
      </c>
      <c r="B2545" s="52"/>
      <c r="C2545" s="53"/>
      <c r="D2545" s="54"/>
      <c r="E2545" s="55"/>
      <c r="F2545" s="55"/>
      <c r="G2545" s="55"/>
      <c r="H2545" s="55"/>
      <c r="I2545" s="55"/>
      <c r="J2545" s="55"/>
      <c r="K2545" s="56"/>
      <c r="L2545" s="55"/>
      <c r="M2545" s="55"/>
      <c r="N2545" s="55"/>
      <c r="O2545" s="55"/>
      <c r="P2545" s="55"/>
      <c r="Q2545" s="55"/>
      <c r="R2545" s="57"/>
      <c r="S2545" s="58"/>
    </row>
    <row r="2546" spans="1:19" x14ac:dyDescent="0.25">
      <c r="A2546" s="51" t="str">
        <f>(COUNTIF($K$2:K2546,K2546))&amp;K2546</f>
        <v>1</v>
      </c>
      <c r="B2546" s="52"/>
      <c r="C2546" s="53"/>
      <c r="D2546" s="54"/>
      <c r="E2546" s="55"/>
      <c r="F2546" s="55"/>
      <c r="G2546" s="55"/>
      <c r="H2546" s="55"/>
      <c r="I2546" s="55"/>
      <c r="J2546" s="55"/>
      <c r="K2546" s="56"/>
      <c r="L2546" s="55"/>
      <c r="M2546" s="55"/>
      <c r="N2546" s="55"/>
      <c r="O2546" s="55"/>
      <c r="P2546" s="55"/>
      <c r="Q2546" s="55"/>
      <c r="R2546" s="57"/>
      <c r="S2546" s="58"/>
    </row>
    <row r="2547" spans="1:19" x14ac:dyDescent="0.25">
      <c r="A2547" s="51" t="str">
        <f>(COUNTIF($K$2:K2547,K2547))&amp;K2547</f>
        <v>1</v>
      </c>
      <c r="B2547" s="52"/>
      <c r="C2547" s="53"/>
      <c r="D2547" s="54"/>
      <c r="E2547" s="55"/>
      <c r="F2547" s="55"/>
      <c r="G2547" s="55"/>
      <c r="H2547" s="55"/>
      <c r="I2547" s="55"/>
      <c r="J2547" s="55"/>
      <c r="K2547" s="56"/>
      <c r="L2547" s="55"/>
      <c r="M2547" s="55"/>
      <c r="N2547" s="55"/>
      <c r="O2547" s="55"/>
      <c r="P2547" s="55"/>
      <c r="Q2547" s="55"/>
      <c r="R2547" s="57"/>
      <c r="S2547" s="58"/>
    </row>
    <row r="2548" spans="1:19" x14ac:dyDescent="0.25">
      <c r="A2548" s="51" t="str">
        <f>(COUNTIF($K$2:K2548,K2548))&amp;K2548</f>
        <v>1</v>
      </c>
      <c r="B2548" s="52"/>
      <c r="C2548" s="53"/>
      <c r="D2548" s="54"/>
      <c r="E2548" s="55"/>
      <c r="F2548" s="55"/>
      <c r="G2548" s="55"/>
      <c r="H2548" s="55"/>
      <c r="I2548" s="55"/>
      <c r="J2548" s="55"/>
      <c r="K2548" s="56"/>
      <c r="L2548" s="55"/>
      <c r="M2548" s="55"/>
      <c r="N2548" s="55"/>
      <c r="O2548" s="55"/>
      <c r="P2548" s="55"/>
      <c r="Q2548" s="55"/>
      <c r="R2548" s="57"/>
      <c r="S2548" s="58"/>
    </row>
    <row r="2549" spans="1:19" x14ac:dyDescent="0.25">
      <c r="A2549" s="51" t="str">
        <f>(COUNTIF($K$2:K2549,K2549))&amp;K2549</f>
        <v>1</v>
      </c>
      <c r="B2549" s="52"/>
      <c r="C2549" s="53"/>
      <c r="D2549" s="54"/>
      <c r="E2549" s="55"/>
      <c r="F2549" s="55"/>
      <c r="G2549" s="55"/>
      <c r="H2549" s="55"/>
      <c r="I2549" s="55"/>
      <c r="J2549" s="55"/>
      <c r="K2549" s="56"/>
      <c r="L2549" s="55"/>
      <c r="M2549" s="55"/>
      <c r="N2549" s="55"/>
      <c r="O2549" s="55"/>
      <c r="P2549" s="55"/>
      <c r="Q2549" s="55"/>
      <c r="R2549" s="57"/>
      <c r="S2549" s="58"/>
    </row>
    <row r="2550" spans="1:19" x14ac:dyDescent="0.25">
      <c r="A2550" s="51" t="str">
        <f>(COUNTIF($K$2:K2550,K2550))&amp;K2550</f>
        <v>1</v>
      </c>
      <c r="B2550" s="52"/>
      <c r="C2550" s="53"/>
      <c r="D2550" s="54"/>
      <c r="E2550" s="55"/>
      <c r="F2550" s="55"/>
      <c r="G2550" s="55"/>
      <c r="H2550" s="55"/>
      <c r="I2550" s="55"/>
      <c r="J2550" s="55"/>
      <c r="K2550" s="56"/>
      <c r="L2550" s="55"/>
      <c r="M2550" s="55"/>
      <c r="N2550" s="55"/>
      <c r="O2550" s="55"/>
      <c r="P2550" s="55"/>
      <c r="Q2550" s="55"/>
      <c r="R2550" s="57"/>
      <c r="S2550" s="58"/>
    </row>
    <row r="2551" spans="1:19" x14ac:dyDescent="0.25">
      <c r="A2551" s="51" t="str">
        <f>(COUNTIF($K$2:K2551,K2551))&amp;K2551</f>
        <v>1</v>
      </c>
      <c r="B2551" s="52"/>
      <c r="C2551" s="60"/>
      <c r="E2551" s="61"/>
      <c r="F2551" s="62"/>
      <c r="G2551" s="63"/>
      <c r="H2551" s="64"/>
      <c r="I2551" s="64"/>
      <c r="J2551" s="64"/>
      <c r="K2551" s="65"/>
      <c r="L2551" s="64"/>
      <c r="M2551" s="64"/>
      <c r="N2551" s="64"/>
      <c r="P2551" s="63"/>
      <c r="Q2551" s="61"/>
      <c r="R2551" s="64"/>
      <c r="S2551" s="64"/>
    </row>
    <row r="2552" spans="1:19" x14ac:dyDescent="0.25">
      <c r="A2552" s="51" t="str">
        <f>(COUNTIF($K$2:K2552,K2552))&amp;K2552</f>
        <v>1</v>
      </c>
      <c r="B2552" s="52"/>
      <c r="C2552" s="53"/>
      <c r="D2552" s="54"/>
      <c r="E2552" s="55"/>
      <c r="F2552" s="55"/>
      <c r="G2552" s="55"/>
      <c r="H2552" s="55"/>
      <c r="I2552" s="55"/>
      <c r="J2552" s="55"/>
      <c r="K2552" s="56"/>
      <c r="L2552" s="55"/>
      <c r="M2552" s="55"/>
      <c r="N2552" s="55"/>
      <c r="O2552" s="55"/>
      <c r="P2552" s="55"/>
      <c r="Q2552" s="55"/>
      <c r="R2552" s="57"/>
      <c r="S2552" s="58"/>
    </row>
    <row r="2553" spans="1:19" x14ac:dyDescent="0.25">
      <c r="A2553" s="51" t="str">
        <f>(COUNTIF($K$2:K2553,K2553))&amp;K2553</f>
        <v>1</v>
      </c>
      <c r="B2553" s="52"/>
      <c r="C2553" s="53"/>
      <c r="D2553" s="54"/>
      <c r="E2553" s="55"/>
      <c r="F2553" s="55"/>
      <c r="G2553" s="55"/>
      <c r="H2553" s="55"/>
      <c r="I2553" s="55"/>
      <c r="J2553" s="55"/>
      <c r="K2553" s="56"/>
      <c r="L2553" s="55"/>
      <c r="M2553" s="55"/>
      <c r="N2553" s="55"/>
      <c r="O2553" s="55"/>
      <c r="P2553" s="55"/>
      <c r="Q2553" s="55"/>
      <c r="R2553" s="57"/>
      <c r="S2553" s="58"/>
    </row>
    <row r="2554" spans="1:19" x14ac:dyDescent="0.25">
      <c r="A2554" s="51" t="str">
        <f>(COUNTIF($K$2:K2554,K2554))&amp;K2554</f>
        <v>1</v>
      </c>
      <c r="B2554" s="52"/>
      <c r="C2554" s="53"/>
      <c r="D2554" s="54"/>
      <c r="E2554" s="55"/>
      <c r="F2554" s="55"/>
      <c r="G2554" s="55"/>
      <c r="H2554" s="55"/>
      <c r="I2554" s="55"/>
      <c r="J2554" s="55"/>
      <c r="K2554" s="56"/>
      <c r="L2554" s="55"/>
      <c r="M2554" s="55"/>
      <c r="N2554" s="55"/>
      <c r="O2554" s="55"/>
      <c r="P2554" s="55"/>
      <c r="Q2554" s="55"/>
      <c r="R2554" s="57"/>
      <c r="S2554" s="58"/>
    </row>
    <row r="2555" spans="1:19" x14ac:dyDescent="0.25">
      <c r="A2555" s="51" t="str">
        <f>(COUNTIF($K$2:K2555,K2555))&amp;K2555</f>
        <v>1</v>
      </c>
      <c r="B2555" s="52"/>
      <c r="C2555" s="53"/>
      <c r="D2555" s="54"/>
      <c r="E2555" s="55"/>
      <c r="F2555" s="55"/>
      <c r="G2555" s="55"/>
      <c r="H2555" s="55"/>
      <c r="I2555" s="55"/>
      <c r="J2555" s="55"/>
      <c r="K2555" s="56"/>
      <c r="L2555" s="55"/>
      <c r="M2555" s="55"/>
      <c r="N2555" s="55"/>
      <c r="O2555" s="55"/>
      <c r="P2555" s="55"/>
      <c r="Q2555" s="55"/>
      <c r="R2555" s="57"/>
      <c r="S2555" s="58"/>
    </row>
    <row r="2556" spans="1:19" x14ac:dyDescent="0.25">
      <c r="A2556" s="51" t="str">
        <f>(COUNTIF($K$2:K2556,K2556))&amp;K2556</f>
        <v>1</v>
      </c>
      <c r="B2556" s="52"/>
      <c r="C2556" s="53"/>
      <c r="D2556" s="54"/>
      <c r="E2556" s="55"/>
      <c r="F2556" s="55"/>
      <c r="G2556" s="55"/>
      <c r="H2556" s="55"/>
      <c r="I2556" s="55"/>
      <c r="J2556" s="55"/>
      <c r="K2556" s="56"/>
      <c r="L2556" s="55"/>
      <c r="M2556" s="55"/>
      <c r="N2556" s="55"/>
      <c r="O2556" s="55"/>
      <c r="P2556" s="55"/>
      <c r="Q2556" s="55"/>
      <c r="R2556" s="57"/>
      <c r="S2556" s="58"/>
    </row>
    <row r="2557" spans="1:19" x14ac:dyDescent="0.25">
      <c r="A2557" s="51" t="str">
        <f>(COUNTIF($K$2:K2557,K2557))&amp;K2557</f>
        <v>1</v>
      </c>
      <c r="B2557" s="52"/>
      <c r="C2557" s="53"/>
      <c r="D2557" s="54"/>
      <c r="E2557" s="55"/>
      <c r="F2557" s="55"/>
      <c r="G2557" s="55"/>
      <c r="H2557" s="55"/>
      <c r="I2557" s="55"/>
      <c r="J2557" s="55"/>
      <c r="K2557" s="56"/>
      <c r="L2557" s="55"/>
      <c r="M2557" s="55"/>
      <c r="N2557" s="55"/>
      <c r="O2557" s="55"/>
      <c r="P2557" s="55"/>
      <c r="Q2557" s="55"/>
      <c r="R2557" s="57"/>
      <c r="S2557" s="58"/>
    </row>
    <row r="2558" spans="1:19" x14ac:dyDescent="0.25">
      <c r="A2558" s="51" t="str">
        <f>(COUNTIF($K$2:K2558,K2558))&amp;K2558</f>
        <v>1</v>
      </c>
      <c r="B2558" s="52"/>
      <c r="C2558" s="53"/>
      <c r="D2558" s="54"/>
      <c r="E2558" s="55"/>
      <c r="F2558" s="55"/>
      <c r="G2558" s="55"/>
      <c r="H2558" s="55"/>
      <c r="I2558" s="55"/>
      <c r="J2558" s="55"/>
      <c r="K2558" s="56"/>
      <c r="L2558" s="55"/>
      <c r="M2558" s="55"/>
      <c r="N2558" s="55"/>
      <c r="O2558" s="55"/>
      <c r="P2558" s="55"/>
      <c r="Q2558" s="55"/>
      <c r="R2558" s="57"/>
      <c r="S2558" s="58"/>
    </row>
    <row r="2559" spans="1:19" x14ac:dyDescent="0.25">
      <c r="A2559" s="51" t="str">
        <f>(COUNTIF($K$2:K2559,K2559))&amp;K2559</f>
        <v>1</v>
      </c>
      <c r="B2559" s="52"/>
      <c r="C2559" s="53"/>
      <c r="D2559" s="54"/>
      <c r="E2559" s="55"/>
      <c r="F2559" s="55"/>
      <c r="G2559" s="55"/>
      <c r="H2559" s="55"/>
      <c r="I2559" s="55"/>
      <c r="J2559" s="55"/>
      <c r="K2559" s="56"/>
      <c r="L2559" s="55"/>
      <c r="M2559" s="55"/>
      <c r="N2559" s="55"/>
      <c r="O2559" s="55"/>
      <c r="P2559" s="55"/>
      <c r="Q2559" s="55"/>
      <c r="R2559" s="57"/>
      <c r="S2559" s="58"/>
    </row>
    <row r="2560" spans="1:19" ht="15.75" x14ac:dyDescent="0.25">
      <c r="A2560" s="51" t="str">
        <f>(COUNTIF($K$2:K2560,K2560))&amp;K2560</f>
        <v>1</v>
      </c>
      <c r="B2560" s="52"/>
      <c r="C2560" s="53"/>
      <c r="D2560" s="54"/>
      <c r="E2560" s="55"/>
      <c r="F2560" s="55"/>
      <c r="G2560" s="55"/>
      <c r="H2560" s="55"/>
      <c r="I2560" s="55"/>
      <c r="J2560" s="55"/>
      <c r="K2560" s="59"/>
      <c r="L2560" s="55"/>
      <c r="M2560" s="55"/>
      <c r="N2560" s="55"/>
      <c r="O2560" s="55"/>
      <c r="P2560" s="55"/>
      <c r="Q2560" s="55"/>
      <c r="R2560" s="57"/>
      <c r="S2560" s="58"/>
    </row>
    <row r="2561" spans="1:19" x14ac:dyDescent="0.25">
      <c r="A2561" s="51" t="str">
        <f>(COUNTIF($K$2:K2561,K2561))&amp;K2561</f>
        <v>1</v>
      </c>
      <c r="B2561" s="52"/>
      <c r="C2561" s="53"/>
      <c r="D2561" s="54"/>
      <c r="E2561" s="55"/>
      <c r="F2561" s="55"/>
      <c r="G2561" s="55"/>
      <c r="H2561" s="55"/>
      <c r="I2561" s="55"/>
      <c r="J2561" s="55"/>
      <c r="K2561" s="56"/>
      <c r="L2561" s="55"/>
      <c r="M2561" s="55"/>
      <c r="N2561" s="55"/>
      <c r="O2561" s="55"/>
      <c r="P2561" s="55"/>
      <c r="Q2561" s="55"/>
      <c r="R2561" s="57"/>
      <c r="S2561" s="58"/>
    </row>
    <row r="2562" spans="1:19" x14ac:dyDescent="0.25">
      <c r="A2562" s="51" t="str">
        <f>(COUNTIF($K$2:K2562,K2562))&amp;K2562</f>
        <v>1</v>
      </c>
      <c r="B2562" s="52"/>
      <c r="C2562" s="53"/>
      <c r="D2562" s="54"/>
      <c r="E2562" s="55"/>
      <c r="F2562" s="55"/>
      <c r="G2562" s="55"/>
      <c r="H2562" s="55"/>
      <c r="I2562" s="55"/>
      <c r="J2562" s="55"/>
      <c r="K2562" s="56"/>
      <c r="L2562" s="55"/>
      <c r="M2562" s="55"/>
      <c r="N2562" s="55"/>
      <c r="O2562" s="55"/>
      <c r="P2562" s="55"/>
      <c r="Q2562" s="55"/>
      <c r="R2562" s="57"/>
      <c r="S2562" s="58"/>
    </row>
    <row r="2563" spans="1:19" x14ac:dyDescent="0.25">
      <c r="A2563" s="51" t="str">
        <f>(COUNTIF($K$2:K2563,K2563))&amp;K2563</f>
        <v>1</v>
      </c>
      <c r="B2563" s="52"/>
      <c r="C2563" s="53"/>
      <c r="D2563" s="54"/>
      <c r="E2563" s="55"/>
      <c r="F2563" s="55"/>
      <c r="G2563" s="55"/>
      <c r="H2563" s="55"/>
      <c r="I2563" s="55"/>
      <c r="J2563" s="55"/>
      <c r="K2563" s="56"/>
      <c r="L2563" s="55"/>
      <c r="M2563" s="55"/>
      <c r="N2563" s="55"/>
      <c r="O2563" s="55"/>
      <c r="P2563" s="55"/>
      <c r="Q2563" s="55"/>
      <c r="R2563" s="57"/>
      <c r="S2563" s="58"/>
    </row>
    <row r="2564" spans="1:19" x14ac:dyDescent="0.25">
      <c r="A2564" s="51" t="str">
        <f>(COUNTIF($K$2:K2564,K2564))&amp;K2564</f>
        <v>1</v>
      </c>
      <c r="B2564" s="52"/>
      <c r="C2564" s="53"/>
      <c r="D2564" s="54"/>
      <c r="E2564" s="55"/>
      <c r="F2564" s="55"/>
      <c r="G2564" s="55"/>
      <c r="H2564" s="55"/>
      <c r="I2564" s="55"/>
      <c r="J2564" s="55"/>
      <c r="K2564" s="56"/>
      <c r="L2564" s="55"/>
      <c r="M2564" s="55"/>
      <c r="N2564" s="55"/>
      <c r="O2564" s="55"/>
      <c r="P2564" s="55"/>
      <c r="Q2564" s="55"/>
      <c r="R2564" s="57"/>
      <c r="S2564" s="58"/>
    </row>
    <row r="2565" spans="1:19" x14ac:dyDescent="0.25">
      <c r="A2565" s="51" t="str">
        <f>(COUNTIF($K$2:K2565,K2565))&amp;K2565</f>
        <v>1</v>
      </c>
      <c r="B2565" s="52"/>
      <c r="C2565" s="53"/>
      <c r="D2565" s="54"/>
      <c r="E2565" s="55"/>
      <c r="F2565" s="55"/>
      <c r="G2565" s="55"/>
      <c r="H2565" s="55"/>
      <c r="I2565" s="55"/>
      <c r="J2565" s="55"/>
      <c r="K2565" s="56"/>
      <c r="L2565" s="55"/>
      <c r="M2565" s="55"/>
      <c r="N2565" s="55"/>
      <c r="O2565" s="55"/>
      <c r="P2565" s="55"/>
      <c r="Q2565" s="55"/>
      <c r="R2565" s="57"/>
      <c r="S2565" s="58"/>
    </row>
    <row r="2566" spans="1:19" x14ac:dyDescent="0.25">
      <c r="A2566" s="51" t="str">
        <f>(COUNTIF($K$2:K2566,K2566))&amp;K2566</f>
        <v>1</v>
      </c>
      <c r="B2566" s="52"/>
      <c r="C2566" s="53"/>
      <c r="D2566" s="54"/>
      <c r="E2566" s="55"/>
      <c r="F2566" s="55"/>
      <c r="G2566" s="55"/>
      <c r="H2566" s="55"/>
      <c r="I2566" s="55"/>
      <c r="J2566" s="55"/>
      <c r="K2566" s="56"/>
      <c r="L2566" s="55"/>
      <c r="M2566" s="55"/>
      <c r="N2566" s="55"/>
      <c r="O2566" s="55"/>
      <c r="P2566" s="55"/>
      <c r="Q2566" s="55"/>
      <c r="R2566" s="57"/>
      <c r="S2566" s="58"/>
    </row>
    <row r="2567" spans="1:19" x14ac:dyDescent="0.25">
      <c r="A2567" s="51" t="str">
        <f>(COUNTIF($K$2:K2567,K2567))&amp;K2567</f>
        <v>1</v>
      </c>
      <c r="B2567" s="52"/>
      <c r="C2567" s="53"/>
      <c r="D2567" s="54"/>
      <c r="E2567" s="55"/>
      <c r="F2567" s="55"/>
      <c r="G2567" s="55"/>
      <c r="H2567" s="55"/>
      <c r="I2567" s="55"/>
      <c r="J2567" s="55"/>
      <c r="K2567" s="56"/>
      <c r="L2567" s="55"/>
      <c r="M2567" s="55"/>
      <c r="N2567" s="55"/>
      <c r="O2567" s="55"/>
      <c r="P2567" s="55"/>
      <c r="Q2567" s="55"/>
      <c r="R2567" s="57"/>
      <c r="S2567" s="58"/>
    </row>
    <row r="2568" spans="1:19" x14ac:dyDescent="0.25">
      <c r="A2568" s="51" t="str">
        <f>(COUNTIF($K$2:K2568,K2568))&amp;K2568</f>
        <v>1</v>
      </c>
      <c r="B2568" s="52"/>
      <c r="C2568" s="60"/>
      <c r="E2568" s="61"/>
      <c r="F2568" s="62"/>
      <c r="G2568" s="63"/>
      <c r="H2568" s="64"/>
      <c r="I2568" s="64"/>
      <c r="J2568" s="64"/>
      <c r="K2568" s="65"/>
      <c r="L2568" s="64"/>
      <c r="M2568" s="64"/>
      <c r="N2568" s="64"/>
      <c r="P2568" s="63"/>
      <c r="Q2568" s="61"/>
      <c r="R2568" s="64"/>
      <c r="S2568" s="64"/>
    </row>
    <row r="2569" spans="1:19" x14ac:dyDescent="0.25">
      <c r="A2569" s="51" t="str">
        <f>(COUNTIF($K$2:K2569,K2569))&amp;K2569</f>
        <v>1</v>
      </c>
      <c r="B2569" s="52"/>
      <c r="C2569" s="53"/>
      <c r="D2569" s="54"/>
      <c r="E2569" s="55"/>
      <c r="F2569" s="55"/>
      <c r="G2569" s="55"/>
      <c r="H2569" s="55"/>
      <c r="I2569" s="55"/>
      <c r="J2569" s="55"/>
      <c r="K2569" s="56"/>
      <c r="L2569" s="55"/>
      <c r="M2569" s="55"/>
      <c r="N2569" s="55"/>
      <c r="O2569" s="55"/>
      <c r="P2569" s="55"/>
      <c r="Q2569" s="55"/>
      <c r="R2569" s="57"/>
      <c r="S2569" s="58"/>
    </row>
    <row r="2570" spans="1:19" x14ac:dyDescent="0.25">
      <c r="A2570" s="51" t="str">
        <f>(COUNTIF($K$2:K2570,K2570))&amp;K2570</f>
        <v>1</v>
      </c>
      <c r="B2570" s="52"/>
      <c r="C2570" s="53"/>
      <c r="D2570" s="54"/>
      <c r="E2570" s="55"/>
      <c r="F2570" s="55"/>
      <c r="G2570" s="55"/>
      <c r="H2570" s="55"/>
      <c r="I2570" s="55"/>
      <c r="J2570" s="55"/>
      <c r="K2570" s="56"/>
      <c r="L2570" s="55"/>
      <c r="M2570" s="55"/>
      <c r="N2570" s="55"/>
      <c r="O2570" s="55"/>
      <c r="P2570" s="55"/>
      <c r="Q2570" s="55"/>
      <c r="R2570" s="57"/>
      <c r="S2570" s="58"/>
    </row>
    <row r="2571" spans="1:19" x14ac:dyDescent="0.25">
      <c r="A2571" s="51" t="str">
        <f>(COUNTIF($K$2:K2571,K2571))&amp;K2571</f>
        <v>1</v>
      </c>
      <c r="B2571" s="52"/>
      <c r="C2571" s="53"/>
      <c r="D2571" s="54"/>
      <c r="E2571" s="55"/>
      <c r="F2571" s="55"/>
      <c r="G2571" s="55"/>
      <c r="H2571" s="55"/>
      <c r="I2571" s="55"/>
      <c r="J2571" s="55"/>
      <c r="K2571" s="56"/>
      <c r="L2571" s="55"/>
      <c r="M2571" s="55"/>
      <c r="N2571" s="55"/>
      <c r="O2571" s="55"/>
      <c r="P2571" s="55"/>
      <c r="Q2571" s="55"/>
      <c r="R2571" s="57"/>
      <c r="S2571" s="58"/>
    </row>
    <row r="2572" spans="1:19" x14ac:dyDescent="0.25">
      <c r="A2572" s="51" t="str">
        <f>(COUNTIF($K$2:K2572,K2572))&amp;K2572</f>
        <v>1</v>
      </c>
      <c r="B2572" s="52"/>
      <c r="C2572" s="53"/>
      <c r="D2572" s="54"/>
      <c r="E2572" s="55"/>
      <c r="F2572" s="55"/>
      <c r="G2572" s="55"/>
      <c r="H2572" s="55"/>
      <c r="I2572" s="55"/>
      <c r="J2572" s="55"/>
      <c r="K2572" s="56"/>
      <c r="L2572" s="55"/>
      <c r="M2572" s="55"/>
      <c r="N2572" s="55"/>
      <c r="O2572" s="55"/>
      <c r="P2572" s="55"/>
      <c r="Q2572" s="55"/>
      <c r="R2572" s="57"/>
      <c r="S2572" s="58"/>
    </row>
    <row r="2573" spans="1:19" x14ac:dyDescent="0.25">
      <c r="A2573" s="51" t="str">
        <f>(COUNTIF($K$2:K2573,K2573))&amp;K2573</f>
        <v>1</v>
      </c>
      <c r="B2573" s="52"/>
      <c r="C2573" s="53"/>
      <c r="D2573" s="54"/>
      <c r="E2573" s="55"/>
      <c r="F2573" s="55"/>
      <c r="G2573" s="55"/>
      <c r="H2573" s="55"/>
      <c r="I2573" s="55"/>
      <c r="J2573" s="55"/>
      <c r="K2573" s="56"/>
      <c r="L2573" s="55"/>
      <c r="M2573" s="55"/>
      <c r="N2573" s="55"/>
      <c r="O2573" s="55"/>
      <c r="P2573" s="55"/>
      <c r="Q2573" s="55"/>
      <c r="R2573" s="57"/>
      <c r="S2573" s="58"/>
    </row>
    <row r="2574" spans="1:19" x14ac:dyDescent="0.25">
      <c r="A2574" s="51" t="str">
        <f>(COUNTIF($K$2:K2574,K2574))&amp;K2574</f>
        <v>1</v>
      </c>
      <c r="B2574" s="52"/>
      <c r="C2574" s="53"/>
      <c r="D2574" s="54"/>
      <c r="E2574" s="55"/>
      <c r="F2574" s="55"/>
      <c r="G2574" s="55"/>
      <c r="H2574" s="55"/>
      <c r="I2574" s="55"/>
      <c r="J2574" s="55"/>
      <c r="K2574" s="56"/>
      <c r="L2574" s="55"/>
      <c r="M2574" s="55"/>
      <c r="N2574" s="55"/>
      <c r="O2574" s="55"/>
      <c r="P2574" s="55"/>
      <c r="Q2574" s="55"/>
      <c r="R2574" s="57"/>
      <c r="S2574" s="58"/>
    </row>
    <row r="2575" spans="1:19" x14ac:dyDescent="0.25">
      <c r="A2575" s="51" t="str">
        <f>(COUNTIF($K$2:K2575,K2575))&amp;K2575</f>
        <v>1</v>
      </c>
      <c r="B2575" s="52"/>
      <c r="C2575" s="53"/>
      <c r="D2575" s="54"/>
      <c r="E2575" s="55"/>
      <c r="F2575" s="55"/>
      <c r="G2575" s="55"/>
      <c r="H2575" s="55"/>
      <c r="I2575" s="55"/>
      <c r="J2575" s="55"/>
      <c r="K2575" s="56"/>
      <c r="L2575" s="55"/>
      <c r="M2575" s="55"/>
      <c r="N2575" s="55"/>
      <c r="O2575" s="55"/>
      <c r="P2575" s="55"/>
      <c r="Q2575" s="55"/>
      <c r="R2575" s="57"/>
      <c r="S2575" s="58"/>
    </row>
    <row r="2576" spans="1:19" x14ac:dyDescent="0.25">
      <c r="A2576" s="51" t="str">
        <f>(COUNTIF($K$2:K2576,K2576))&amp;K2576</f>
        <v>1</v>
      </c>
      <c r="B2576" s="52"/>
      <c r="C2576" s="53"/>
      <c r="D2576" s="54"/>
      <c r="E2576" s="55"/>
      <c r="F2576" s="55"/>
      <c r="G2576" s="55"/>
      <c r="H2576" s="55"/>
      <c r="I2576" s="55"/>
      <c r="J2576" s="55"/>
      <c r="K2576" s="56"/>
      <c r="L2576" s="55"/>
      <c r="M2576" s="55"/>
      <c r="N2576" s="55"/>
      <c r="O2576" s="55"/>
      <c r="P2576" s="55"/>
      <c r="Q2576" s="55"/>
      <c r="R2576" s="57"/>
      <c r="S2576" s="58"/>
    </row>
    <row r="2577" spans="1:19" ht="15.75" x14ac:dyDescent="0.25">
      <c r="A2577" s="51" t="str">
        <f>(COUNTIF($K$2:K2577,K2577))&amp;K2577</f>
        <v>1</v>
      </c>
      <c r="B2577" s="52"/>
      <c r="C2577" s="53"/>
      <c r="D2577" s="54"/>
      <c r="E2577" s="55"/>
      <c r="F2577" s="55"/>
      <c r="G2577" s="55"/>
      <c r="H2577" s="55"/>
      <c r="I2577" s="55"/>
      <c r="J2577" s="55"/>
      <c r="K2577" s="59"/>
      <c r="L2577" s="55"/>
      <c r="M2577" s="55"/>
      <c r="N2577" s="55"/>
      <c r="O2577" s="55"/>
      <c r="P2577" s="55"/>
      <c r="Q2577" s="55"/>
      <c r="R2577" s="57"/>
      <c r="S2577" s="58"/>
    </row>
    <row r="2578" spans="1:19" x14ac:dyDescent="0.25">
      <c r="A2578" s="51" t="str">
        <f>(COUNTIF($K$2:K2578,K2578))&amp;K2578</f>
        <v>1</v>
      </c>
      <c r="B2578" s="52"/>
      <c r="C2578" s="53"/>
      <c r="D2578" s="54"/>
      <c r="E2578" s="55"/>
      <c r="F2578" s="55"/>
      <c r="G2578" s="55"/>
      <c r="H2578" s="55"/>
      <c r="I2578" s="55"/>
      <c r="J2578" s="55"/>
      <c r="K2578" s="56"/>
      <c r="L2578" s="55"/>
      <c r="M2578" s="55"/>
      <c r="N2578" s="55"/>
      <c r="O2578" s="55"/>
      <c r="P2578" s="55"/>
      <c r="Q2578" s="55"/>
      <c r="R2578" s="57"/>
      <c r="S2578" s="58"/>
    </row>
    <row r="2579" spans="1:19" x14ac:dyDescent="0.25">
      <c r="A2579" s="51" t="str">
        <f>(COUNTIF($K$2:K2579,K2579))&amp;K2579</f>
        <v>1</v>
      </c>
      <c r="B2579" s="52"/>
      <c r="C2579" s="53"/>
      <c r="D2579" s="54"/>
      <c r="E2579" s="55"/>
      <c r="F2579" s="55"/>
      <c r="G2579" s="55"/>
      <c r="H2579" s="55"/>
      <c r="I2579" s="55"/>
      <c r="J2579" s="55"/>
      <c r="K2579" s="56"/>
      <c r="L2579" s="55"/>
      <c r="M2579" s="55"/>
      <c r="N2579" s="55"/>
      <c r="O2579" s="55"/>
      <c r="P2579" s="55"/>
      <c r="Q2579" s="55"/>
      <c r="R2579" s="57"/>
      <c r="S2579" s="58"/>
    </row>
    <row r="2580" spans="1:19" x14ac:dyDescent="0.25">
      <c r="A2580" s="51" t="str">
        <f>(COUNTIF($K$2:K2580,K2580))&amp;K2580</f>
        <v>1</v>
      </c>
      <c r="B2580" s="52"/>
      <c r="C2580" s="53"/>
      <c r="D2580" s="54"/>
      <c r="E2580" s="55"/>
      <c r="F2580" s="55"/>
      <c r="G2580" s="55"/>
      <c r="H2580" s="55"/>
      <c r="I2580" s="55"/>
      <c r="J2580" s="55"/>
      <c r="K2580" s="56"/>
      <c r="L2580" s="55"/>
      <c r="M2580" s="55"/>
      <c r="N2580" s="55"/>
      <c r="O2580" s="55"/>
      <c r="P2580" s="55"/>
      <c r="Q2580" s="55"/>
      <c r="R2580" s="57"/>
      <c r="S2580" s="58"/>
    </row>
    <row r="2581" spans="1:19" x14ac:dyDescent="0.25">
      <c r="A2581" s="51" t="str">
        <f>(COUNTIF($K$2:K2581,K2581))&amp;K2581</f>
        <v>1</v>
      </c>
      <c r="B2581" s="52"/>
      <c r="C2581" s="53"/>
      <c r="D2581" s="54"/>
      <c r="E2581" s="55"/>
      <c r="F2581" s="55"/>
      <c r="G2581" s="55"/>
      <c r="H2581" s="55"/>
      <c r="I2581" s="55"/>
      <c r="J2581" s="55"/>
      <c r="K2581" s="56"/>
      <c r="L2581" s="55"/>
      <c r="M2581" s="55"/>
      <c r="N2581" s="55"/>
      <c r="O2581" s="55"/>
      <c r="P2581" s="55"/>
      <c r="Q2581" s="55"/>
      <c r="R2581" s="57"/>
      <c r="S2581" s="58"/>
    </row>
    <row r="2582" spans="1:19" x14ac:dyDescent="0.25">
      <c r="A2582" s="51" t="str">
        <f>(COUNTIF($K$2:K2582,K2582))&amp;K2582</f>
        <v>1</v>
      </c>
      <c r="B2582" s="52"/>
      <c r="C2582" s="53"/>
      <c r="D2582" s="54"/>
      <c r="E2582" s="55"/>
      <c r="F2582" s="55"/>
      <c r="G2582" s="55"/>
      <c r="H2582" s="55"/>
      <c r="I2582" s="55"/>
      <c r="J2582" s="55"/>
      <c r="K2582" s="56"/>
      <c r="L2582" s="55"/>
      <c r="M2582" s="55"/>
      <c r="N2582" s="55"/>
      <c r="O2582" s="55"/>
      <c r="P2582" s="55"/>
      <c r="Q2582" s="55"/>
      <c r="R2582" s="57"/>
      <c r="S2582" s="58"/>
    </row>
    <row r="2583" spans="1:19" x14ac:dyDescent="0.25">
      <c r="A2583" s="51" t="str">
        <f>(COUNTIF($K$2:K2583,K2583))&amp;K2583</f>
        <v>1</v>
      </c>
      <c r="B2583" s="52"/>
      <c r="C2583" s="53"/>
      <c r="D2583" s="54"/>
      <c r="E2583" s="55"/>
      <c r="F2583" s="55"/>
      <c r="G2583" s="55"/>
      <c r="H2583" s="55"/>
      <c r="I2583" s="55"/>
      <c r="J2583" s="55"/>
      <c r="K2583" s="56"/>
      <c r="L2583" s="55"/>
      <c r="M2583" s="55"/>
      <c r="N2583" s="55"/>
      <c r="O2583" s="55"/>
      <c r="P2583" s="55"/>
      <c r="Q2583" s="55"/>
      <c r="R2583" s="57"/>
      <c r="S2583" s="58"/>
    </row>
    <row r="2584" spans="1:19" x14ac:dyDescent="0.25">
      <c r="A2584" s="51" t="str">
        <f>(COUNTIF($K$2:K2584,K2584))&amp;K2584</f>
        <v>1</v>
      </c>
      <c r="B2584" s="52"/>
      <c r="C2584" s="53"/>
      <c r="D2584" s="54"/>
      <c r="E2584" s="55"/>
      <c r="F2584" s="55"/>
      <c r="G2584" s="55"/>
      <c r="H2584" s="55"/>
      <c r="I2584" s="55"/>
      <c r="J2584" s="55"/>
      <c r="K2584" s="56"/>
      <c r="L2584" s="55"/>
      <c r="M2584" s="55"/>
      <c r="N2584" s="55"/>
      <c r="O2584" s="55"/>
      <c r="P2584" s="55"/>
      <c r="Q2584" s="55"/>
      <c r="R2584" s="57"/>
      <c r="S2584" s="58"/>
    </row>
    <row r="2585" spans="1:19" x14ac:dyDescent="0.25">
      <c r="A2585" s="51" t="str">
        <f>(COUNTIF($K$2:K2585,K2585))&amp;K2585</f>
        <v>1</v>
      </c>
      <c r="B2585" s="52"/>
      <c r="C2585" s="60"/>
      <c r="E2585" s="61"/>
      <c r="F2585" s="62"/>
      <c r="G2585" s="63"/>
      <c r="H2585" s="64"/>
      <c r="I2585" s="64"/>
      <c r="J2585" s="64"/>
      <c r="K2585" s="65"/>
      <c r="L2585" s="64"/>
      <c r="M2585" s="64"/>
      <c r="N2585" s="64"/>
      <c r="P2585" s="63"/>
      <c r="Q2585" s="61"/>
      <c r="R2585" s="64"/>
      <c r="S2585" s="64"/>
    </row>
    <row r="2586" spans="1:19" x14ac:dyDescent="0.25">
      <c r="A2586" s="51" t="str">
        <f>(COUNTIF($K$2:K2586,K2586))&amp;K2586</f>
        <v>1</v>
      </c>
      <c r="B2586" s="52"/>
      <c r="C2586" s="53"/>
      <c r="D2586" s="54"/>
      <c r="E2586" s="55"/>
      <c r="F2586" s="55"/>
      <c r="G2586" s="55"/>
      <c r="H2586" s="55"/>
      <c r="I2586" s="55"/>
      <c r="J2586" s="55"/>
      <c r="K2586" s="56"/>
      <c r="L2586" s="55"/>
      <c r="M2586" s="55"/>
      <c r="N2586" s="55"/>
      <c r="O2586" s="55"/>
      <c r="P2586" s="55"/>
      <c r="Q2586" s="55"/>
      <c r="R2586" s="57"/>
      <c r="S2586" s="58"/>
    </row>
    <row r="2587" spans="1:19" x14ac:dyDescent="0.25">
      <c r="A2587" s="51" t="str">
        <f>(COUNTIF($K$2:K2587,K2587))&amp;K2587</f>
        <v>1</v>
      </c>
      <c r="B2587" s="52"/>
      <c r="C2587" s="53"/>
      <c r="D2587" s="54"/>
      <c r="E2587" s="55"/>
      <c r="F2587" s="55"/>
      <c r="G2587" s="55"/>
      <c r="H2587" s="55"/>
      <c r="I2587" s="55"/>
      <c r="J2587" s="55"/>
      <c r="K2587" s="56"/>
      <c r="L2587" s="55"/>
      <c r="M2587" s="55"/>
      <c r="N2587" s="55"/>
      <c r="O2587" s="55"/>
      <c r="P2587" s="55"/>
      <c r="Q2587" s="55"/>
      <c r="R2587" s="57"/>
      <c r="S2587" s="58"/>
    </row>
    <row r="2588" spans="1:19" x14ac:dyDescent="0.25">
      <c r="A2588" s="51" t="str">
        <f>(COUNTIF($K$2:K2588,K2588))&amp;K2588</f>
        <v>1</v>
      </c>
      <c r="B2588" s="52"/>
      <c r="C2588" s="53"/>
      <c r="D2588" s="54"/>
      <c r="E2588" s="55"/>
      <c r="F2588" s="55"/>
      <c r="G2588" s="55"/>
      <c r="H2588" s="55"/>
      <c r="I2588" s="55"/>
      <c r="J2588" s="55"/>
      <c r="K2588" s="56"/>
      <c r="L2588" s="55"/>
      <c r="M2588" s="55"/>
      <c r="N2588" s="55"/>
      <c r="O2588" s="55"/>
      <c r="P2588" s="55"/>
      <c r="Q2588" s="55"/>
      <c r="R2588" s="57"/>
      <c r="S2588" s="58"/>
    </row>
    <row r="2589" spans="1:19" x14ac:dyDescent="0.25">
      <c r="A2589" s="51" t="str">
        <f>(COUNTIF($K$2:K2589,K2589))&amp;K2589</f>
        <v>1</v>
      </c>
      <c r="B2589" s="52"/>
      <c r="C2589" s="53"/>
      <c r="D2589" s="54"/>
      <c r="E2589" s="55"/>
      <c r="F2589" s="55"/>
      <c r="G2589" s="55"/>
      <c r="H2589" s="55"/>
      <c r="I2589" s="55"/>
      <c r="J2589" s="55"/>
      <c r="K2589" s="56"/>
      <c r="L2589" s="55"/>
      <c r="M2589" s="55"/>
      <c r="N2589" s="55"/>
      <c r="O2589" s="55"/>
      <c r="P2589" s="55"/>
      <c r="Q2589" s="55"/>
      <c r="R2589" s="57"/>
      <c r="S2589" s="58"/>
    </row>
    <row r="2590" spans="1:19" x14ac:dyDescent="0.25">
      <c r="A2590" s="51" t="str">
        <f>(COUNTIF($K$2:K2590,K2590))&amp;K2590</f>
        <v>1</v>
      </c>
      <c r="B2590" s="52"/>
      <c r="C2590" s="53"/>
      <c r="D2590" s="54"/>
      <c r="E2590" s="55"/>
      <c r="F2590" s="55"/>
      <c r="G2590" s="55"/>
      <c r="H2590" s="55"/>
      <c r="I2590" s="55"/>
      <c r="J2590" s="55"/>
      <c r="K2590" s="56"/>
      <c r="L2590" s="55"/>
      <c r="M2590" s="55"/>
      <c r="N2590" s="55"/>
      <c r="O2590" s="55"/>
      <c r="P2590" s="55"/>
      <c r="Q2590" s="55"/>
      <c r="R2590" s="57"/>
      <c r="S2590" s="58"/>
    </row>
    <row r="2591" spans="1:19" x14ac:dyDescent="0.25">
      <c r="A2591" s="51" t="str">
        <f>(COUNTIF($K$2:K2591,K2591))&amp;K2591</f>
        <v>1</v>
      </c>
      <c r="B2591" s="52"/>
      <c r="C2591" s="53"/>
      <c r="D2591" s="54"/>
      <c r="E2591" s="55"/>
      <c r="F2591" s="55"/>
      <c r="G2591" s="55"/>
      <c r="H2591" s="55"/>
      <c r="I2591" s="55"/>
      <c r="J2591" s="55"/>
      <c r="K2591" s="56"/>
      <c r="L2591" s="55"/>
      <c r="M2591" s="55"/>
      <c r="N2591" s="55"/>
      <c r="O2591" s="55"/>
      <c r="P2591" s="55"/>
      <c r="Q2591" s="55"/>
      <c r="R2591" s="57"/>
      <c r="S2591" s="58"/>
    </row>
    <row r="2592" spans="1:19" x14ac:dyDescent="0.25">
      <c r="A2592" s="51" t="str">
        <f>(COUNTIF($K$2:K2592,K2592))&amp;K2592</f>
        <v>1</v>
      </c>
      <c r="B2592" s="52"/>
      <c r="C2592" s="53"/>
      <c r="D2592" s="54"/>
      <c r="E2592" s="55"/>
      <c r="F2592" s="55"/>
      <c r="G2592" s="55"/>
      <c r="H2592" s="55"/>
      <c r="I2592" s="55"/>
      <c r="J2592" s="55"/>
      <c r="K2592" s="56"/>
      <c r="L2592" s="55"/>
      <c r="M2592" s="55"/>
      <c r="N2592" s="55"/>
      <c r="O2592" s="55"/>
      <c r="P2592" s="55"/>
      <c r="Q2592" s="55"/>
      <c r="R2592" s="57"/>
      <c r="S2592" s="58"/>
    </row>
    <row r="2593" spans="1:19" x14ac:dyDescent="0.25">
      <c r="A2593" s="51" t="str">
        <f>(COUNTIF($K$2:K2593,K2593))&amp;K2593</f>
        <v>1</v>
      </c>
      <c r="B2593" s="52"/>
      <c r="C2593" s="53"/>
      <c r="D2593" s="54"/>
      <c r="E2593" s="55"/>
      <c r="F2593" s="55"/>
      <c r="G2593" s="55"/>
      <c r="H2593" s="55"/>
      <c r="I2593" s="55"/>
      <c r="J2593" s="55"/>
      <c r="K2593" s="56"/>
      <c r="L2593" s="55"/>
      <c r="M2593" s="55"/>
      <c r="N2593" s="55"/>
      <c r="O2593" s="55"/>
      <c r="P2593" s="55"/>
      <c r="Q2593" s="55"/>
      <c r="R2593" s="57"/>
      <c r="S2593" s="58"/>
    </row>
    <row r="2594" spans="1:19" ht="15.75" x14ac:dyDescent="0.25">
      <c r="A2594" s="51" t="str">
        <f>(COUNTIF($K$2:K2594,K2594))&amp;K2594</f>
        <v>1</v>
      </c>
      <c r="B2594" s="52"/>
      <c r="C2594" s="53"/>
      <c r="D2594" s="54"/>
      <c r="E2594" s="55"/>
      <c r="F2594" s="55"/>
      <c r="G2594" s="55"/>
      <c r="H2594" s="55"/>
      <c r="I2594" s="55"/>
      <c r="J2594" s="55"/>
      <c r="K2594" s="59"/>
      <c r="L2594" s="55"/>
      <c r="M2594" s="55"/>
      <c r="N2594" s="55"/>
      <c r="O2594" s="55"/>
      <c r="P2594" s="55"/>
      <c r="Q2594" s="55"/>
      <c r="R2594" s="57"/>
      <c r="S2594" s="58"/>
    </row>
    <row r="2595" spans="1:19" x14ac:dyDescent="0.25">
      <c r="A2595" s="51" t="str">
        <f>(COUNTIF($K$2:K2595,K2595))&amp;K2595</f>
        <v>1</v>
      </c>
      <c r="B2595" s="52"/>
      <c r="C2595" s="53"/>
      <c r="D2595" s="54"/>
      <c r="E2595" s="55"/>
      <c r="F2595" s="55"/>
      <c r="G2595" s="55"/>
      <c r="H2595" s="55"/>
      <c r="I2595" s="55"/>
      <c r="J2595" s="55"/>
      <c r="K2595" s="56"/>
      <c r="L2595" s="55"/>
      <c r="M2595" s="55"/>
      <c r="N2595" s="55"/>
      <c r="O2595" s="55"/>
      <c r="P2595" s="55"/>
      <c r="Q2595" s="55"/>
      <c r="R2595" s="57"/>
      <c r="S2595" s="58"/>
    </row>
    <row r="2596" spans="1:19" x14ac:dyDescent="0.25">
      <c r="A2596" s="51" t="str">
        <f>(COUNTIF($K$2:K2596,K2596))&amp;K2596</f>
        <v>1</v>
      </c>
      <c r="B2596" s="52"/>
      <c r="C2596" s="53"/>
      <c r="D2596" s="54"/>
      <c r="E2596" s="55"/>
      <c r="F2596" s="55"/>
      <c r="G2596" s="55"/>
      <c r="H2596" s="55"/>
      <c r="I2596" s="55"/>
      <c r="J2596" s="55"/>
      <c r="K2596" s="56"/>
      <c r="L2596" s="55"/>
      <c r="M2596" s="55"/>
      <c r="N2596" s="55"/>
      <c r="O2596" s="55"/>
      <c r="P2596" s="55"/>
      <c r="Q2596" s="55"/>
      <c r="R2596" s="57"/>
      <c r="S2596" s="58"/>
    </row>
    <row r="2597" spans="1:19" x14ac:dyDescent="0.25">
      <c r="A2597" s="51" t="str">
        <f>(COUNTIF($K$2:K2597,K2597))&amp;K2597</f>
        <v>1</v>
      </c>
      <c r="B2597" s="52"/>
      <c r="C2597" s="53"/>
      <c r="D2597" s="54"/>
      <c r="E2597" s="55"/>
      <c r="F2597" s="55"/>
      <c r="G2597" s="55"/>
      <c r="H2597" s="55"/>
      <c r="I2597" s="55"/>
      <c r="J2597" s="55"/>
      <c r="K2597" s="56"/>
      <c r="L2597" s="55"/>
      <c r="M2597" s="55"/>
      <c r="N2597" s="55"/>
      <c r="O2597" s="55"/>
      <c r="P2597" s="55"/>
      <c r="Q2597" s="55"/>
      <c r="R2597" s="57"/>
      <c r="S2597" s="58"/>
    </row>
    <row r="2598" spans="1:19" x14ac:dyDescent="0.25">
      <c r="A2598" s="51" t="str">
        <f>(COUNTIF($K$2:K2598,K2598))&amp;K2598</f>
        <v>1</v>
      </c>
      <c r="B2598" s="52"/>
      <c r="C2598" s="53"/>
      <c r="D2598" s="54"/>
      <c r="E2598" s="55"/>
      <c r="F2598" s="55"/>
      <c r="G2598" s="55"/>
      <c r="H2598" s="55"/>
      <c r="I2598" s="55"/>
      <c r="J2598" s="55"/>
      <c r="K2598" s="56"/>
      <c r="L2598" s="55"/>
      <c r="M2598" s="55"/>
      <c r="N2598" s="55"/>
      <c r="O2598" s="55"/>
      <c r="P2598" s="55"/>
      <c r="Q2598" s="55"/>
      <c r="R2598" s="57"/>
      <c r="S2598" s="58"/>
    </row>
    <row r="2599" spans="1:19" x14ac:dyDescent="0.25">
      <c r="A2599" s="51" t="str">
        <f>(COUNTIF($K$2:K2599,K2599))&amp;K2599</f>
        <v>1</v>
      </c>
      <c r="B2599" s="52"/>
      <c r="C2599" s="53"/>
      <c r="D2599" s="54"/>
      <c r="E2599" s="55"/>
      <c r="F2599" s="55"/>
      <c r="G2599" s="55"/>
      <c r="H2599" s="55"/>
      <c r="I2599" s="55"/>
      <c r="J2599" s="55"/>
      <c r="K2599" s="56"/>
      <c r="L2599" s="55"/>
      <c r="M2599" s="55"/>
      <c r="N2599" s="55"/>
      <c r="O2599" s="55"/>
      <c r="P2599" s="55"/>
      <c r="Q2599" s="55"/>
      <c r="R2599" s="57"/>
      <c r="S2599" s="58"/>
    </row>
    <row r="2600" spans="1:19" x14ac:dyDescent="0.25">
      <c r="A2600" s="51" t="str">
        <f>(COUNTIF($K$2:K2600,K2600))&amp;K2600</f>
        <v>1</v>
      </c>
      <c r="B2600" s="52"/>
      <c r="C2600" s="53"/>
      <c r="D2600" s="54"/>
      <c r="E2600" s="55"/>
      <c r="F2600" s="55"/>
      <c r="G2600" s="55"/>
      <c r="H2600" s="55"/>
      <c r="I2600" s="55"/>
      <c r="J2600" s="55"/>
      <c r="K2600" s="56"/>
      <c r="L2600" s="55"/>
      <c r="M2600" s="55"/>
      <c r="N2600" s="55"/>
      <c r="O2600" s="55"/>
      <c r="P2600" s="55"/>
      <c r="Q2600" s="55"/>
      <c r="R2600" s="57"/>
      <c r="S2600" s="58"/>
    </row>
    <row r="2601" spans="1:19" x14ac:dyDescent="0.25">
      <c r="A2601" s="51" t="str">
        <f>(COUNTIF($K$2:K2601,K2601))&amp;K2601</f>
        <v>1</v>
      </c>
      <c r="B2601" s="52"/>
      <c r="C2601" s="53"/>
      <c r="D2601" s="54"/>
      <c r="E2601" s="55"/>
      <c r="F2601" s="55"/>
      <c r="G2601" s="55"/>
      <c r="H2601" s="55"/>
      <c r="I2601" s="55"/>
      <c r="J2601" s="55"/>
      <c r="K2601" s="56"/>
      <c r="L2601" s="55"/>
      <c r="M2601" s="55"/>
      <c r="N2601" s="55"/>
      <c r="O2601" s="55"/>
      <c r="P2601" s="55"/>
      <c r="Q2601" s="55"/>
      <c r="R2601" s="57"/>
      <c r="S2601" s="58"/>
    </row>
    <row r="2602" spans="1:19" x14ac:dyDescent="0.25">
      <c r="A2602" s="51" t="str">
        <f>(COUNTIF($K$2:K2602,K2602))&amp;K2602</f>
        <v>1</v>
      </c>
      <c r="B2602" s="52"/>
      <c r="C2602" s="60"/>
      <c r="E2602" s="61"/>
      <c r="F2602" s="62"/>
      <c r="G2602" s="63"/>
      <c r="H2602" s="64"/>
      <c r="I2602" s="64"/>
      <c r="J2602" s="64"/>
      <c r="K2602" s="65"/>
      <c r="L2602" s="64"/>
      <c r="M2602" s="64"/>
      <c r="N2602" s="64"/>
      <c r="P2602" s="63"/>
      <c r="Q2602" s="61"/>
      <c r="R2602" s="64"/>
      <c r="S2602" s="64"/>
    </row>
    <row r="2603" spans="1:19" x14ac:dyDescent="0.25">
      <c r="A2603" s="51" t="str">
        <f>(COUNTIF($K$2:K2603,K2603))&amp;K2603</f>
        <v>1</v>
      </c>
      <c r="B2603" s="52"/>
      <c r="C2603" s="53"/>
      <c r="D2603" s="54"/>
      <c r="E2603" s="55"/>
      <c r="F2603" s="55"/>
      <c r="G2603" s="55"/>
      <c r="H2603" s="55"/>
      <c r="I2603" s="55"/>
      <c r="J2603" s="55"/>
      <c r="K2603" s="56"/>
      <c r="L2603" s="55"/>
      <c r="M2603" s="55"/>
      <c r="N2603" s="55"/>
      <c r="O2603" s="55"/>
      <c r="P2603" s="55"/>
      <c r="Q2603" s="55"/>
      <c r="R2603" s="57"/>
      <c r="S2603" s="58"/>
    </row>
    <row r="2604" spans="1:19" x14ac:dyDescent="0.25">
      <c r="A2604" s="51" t="str">
        <f>(COUNTIF($K$2:K2604,K2604))&amp;K2604</f>
        <v>1</v>
      </c>
      <c r="B2604" s="52"/>
      <c r="C2604" s="53"/>
      <c r="D2604" s="54"/>
      <c r="E2604" s="55"/>
      <c r="F2604" s="55"/>
      <c r="G2604" s="55"/>
      <c r="H2604" s="55"/>
      <c r="I2604" s="55"/>
      <c r="J2604" s="55"/>
      <c r="K2604" s="56"/>
      <c r="L2604" s="55"/>
      <c r="M2604" s="55"/>
      <c r="N2604" s="55"/>
      <c r="O2604" s="55"/>
      <c r="P2604" s="55"/>
      <c r="Q2604" s="55"/>
      <c r="R2604" s="57"/>
      <c r="S2604" s="58"/>
    </row>
    <row r="2605" spans="1:19" x14ac:dyDescent="0.25">
      <c r="A2605" s="51" t="str">
        <f>(COUNTIF($K$2:K2605,K2605))&amp;K2605</f>
        <v>1</v>
      </c>
      <c r="B2605" s="52"/>
      <c r="C2605" s="53"/>
      <c r="D2605" s="54"/>
      <c r="E2605" s="55"/>
      <c r="F2605" s="55"/>
      <c r="G2605" s="55"/>
      <c r="H2605" s="55"/>
      <c r="I2605" s="55"/>
      <c r="J2605" s="55"/>
      <c r="K2605" s="56"/>
      <c r="L2605" s="55"/>
      <c r="M2605" s="55"/>
      <c r="N2605" s="55"/>
      <c r="O2605" s="55"/>
      <c r="P2605" s="55"/>
      <c r="Q2605" s="55"/>
      <c r="R2605" s="57"/>
      <c r="S2605" s="58"/>
    </row>
    <row r="2606" spans="1:19" x14ac:dyDescent="0.25">
      <c r="A2606" s="51" t="str">
        <f>(COUNTIF($K$2:K2606,K2606))&amp;K2606</f>
        <v>1</v>
      </c>
      <c r="B2606" s="52"/>
      <c r="C2606" s="53"/>
      <c r="D2606" s="54"/>
      <c r="E2606" s="55"/>
      <c r="F2606" s="55"/>
      <c r="G2606" s="55"/>
      <c r="H2606" s="55"/>
      <c r="I2606" s="55"/>
      <c r="J2606" s="55"/>
      <c r="K2606" s="56"/>
      <c r="L2606" s="55"/>
      <c r="M2606" s="55"/>
      <c r="N2606" s="55"/>
      <c r="O2606" s="55"/>
      <c r="P2606" s="55"/>
      <c r="Q2606" s="55"/>
      <c r="R2606" s="57"/>
      <c r="S2606" s="58"/>
    </row>
    <row r="2607" spans="1:19" x14ac:dyDescent="0.25">
      <c r="A2607" s="51" t="str">
        <f>(COUNTIF($K$2:K2607,K2607))&amp;K2607</f>
        <v>1</v>
      </c>
      <c r="B2607" s="52"/>
      <c r="C2607" s="53"/>
      <c r="D2607" s="54"/>
      <c r="E2607" s="55"/>
      <c r="F2607" s="55"/>
      <c r="G2607" s="55"/>
      <c r="H2607" s="55"/>
      <c r="I2607" s="55"/>
      <c r="J2607" s="55"/>
      <c r="K2607" s="56"/>
      <c r="L2607" s="55"/>
      <c r="M2607" s="55"/>
      <c r="N2607" s="55"/>
      <c r="O2607" s="55"/>
      <c r="P2607" s="55"/>
      <c r="Q2607" s="55"/>
      <c r="R2607" s="57"/>
      <c r="S2607" s="58"/>
    </row>
    <row r="2608" spans="1:19" x14ac:dyDescent="0.25">
      <c r="A2608" s="51" t="str">
        <f>(COUNTIF($K$2:K2608,K2608))&amp;K2608</f>
        <v>1</v>
      </c>
      <c r="B2608" s="52"/>
      <c r="C2608" s="53"/>
      <c r="D2608" s="54"/>
      <c r="E2608" s="55"/>
      <c r="F2608" s="55"/>
      <c r="G2608" s="55"/>
      <c r="H2608" s="55"/>
      <c r="I2608" s="55"/>
      <c r="J2608" s="55"/>
      <c r="K2608" s="56"/>
      <c r="L2608" s="55"/>
      <c r="M2608" s="55"/>
      <c r="N2608" s="55"/>
      <c r="O2608" s="55"/>
      <c r="P2608" s="55"/>
      <c r="Q2608" s="55"/>
      <c r="R2608" s="57"/>
      <c r="S2608" s="58"/>
    </row>
    <row r="2609" spans="1:19" x14ac:dyDescent="0.25">
      <c r="A2609" s="51" t="str">
        <f>(COUNTIF($K$2:K2609,K2609))&amp;K2609</f>
        <v>1</v>
      </c>
      <c r="B2609" s="52"/>
      <c r="C2609" s="53"/>
      <c r="D2609" s="54"/>
      <c r="E2609" s="55"/>
      <c r="F2609" s="55"/>
      <c r="G2609" s="55"/>
      <c r="H2609" s="55"/>
      <c r="I2609" s="55"/>
      <c r="J2609" s="55"/>
      <c r="K2609" s="56"/>
      <c r="L2609" s="55"/>
      <c r="M2609" s="55"/>
      <c r="N2609" s="55"/>
      <c r="O2609" s="55"/>
      <c r="P2609" s="55"/>
      <c r="Q2609" s="55"/>
      <c r="R2609" s="57"/>
      <c r="S2609" s="58"/>
    </row>
    <row r="2610" spans="1:19" x14ac:dyDescent="0.25">
      <c r="A2610" s="51" t="str">
        <f>(COUNTIF($K$2:K2610,K2610))&amp;K2610</f>
        <v>1</v>
      </c>
      <c r="B2610" s="52"/>
      <c r="C2610" s="53"/>
      <c r="D2610" s="54"/>
      <c r="E2610" s="55"/>
      <c r="F2610" s="55"/>
      <c r="G2610" s="55"/>
      <c r="H2610" s="55"/>
      <c r="I2610" s="55"/>
      <c r="J2610" s="55"/>
      <c r="K2610" s="56"/>
      <c r="L2610" s="55"/>
      <c r="M2610" s="55"/>
      <c r="N2610" s="55"/>
      <c r="O2610" s="55"/>
      <c r="P2610" s="55"/>
      <c r="Q2610" s="55"/>
      <c r="R2610" s="57"/>
      <c r="S2610" s="58"/>
    </row>
    <row r="2611" spans="1:19" ht="15.75" x14ac:dyDescent="0.25">
      <c r="A2611" s="51" t="str">
        <f>(COUNTIF($K$2:K2611,K2611))&amp;K2611</f>
        <v>1</v>
      </c>
      <c r="B2611" s="52"/>
      <c r="C2611" s="53"/>
      <c r="D2611" s="54"/>
      <c r="E2611" s="55"/>
      <c r="F2611" s="55"/>
      <c r="G2611" s="55"/>
      <c r="H2611" s="55"/>
      <c r="I2611" s="55"/>
      <c r="J2611" s="55"/>
      <c r="K2611" s="59"/>
      <c r="L2611" s="55"/>
      <c r="M2611" s="55"/>
      <c r="N2611" s="55"/>
      <c r="O2611" s="55"/>
      <c r="P2611" s="55"/>
      <c r="Q2611" s="55"/>
      <c r="R2611" s="57"/>
      <c r="S2611" s="58"/>
    </row>
    <row r="2612" spans="1:19" x14ac:dyDescent="0.25">
      <c r="A2612" s="51" t="str">
        <f>(COUNTIF($K$2:K2612,K2612))&amp;K2612</f>
        <v>1</v>
      </c>
      <c r="B2612" s="52"/>
      <c r="C2612" s="53"/>
      <c r="D2612" s="54"/>
      <c r="E2612" s="55"/>
      <c r="F2612" s="55"/>
      <c r="G2612" s="55"/>
      <c r="H2612" s="55"/>
      <c r="I2612" s="55"/>
      <c r="J2612" s="55"/>
      <c r="K2612" s="56"/>
      <c r="L2612" s="55"/>
      <c r="M2612" s="55"/>
      <c r="N2612" s="55"/>
      <c r="O2612" s="55"/>
      <c r="P2612" s="55"/>
      <c r="Q2612" s="55"/>
      <c r="R2612" s="57"/>
      <c r="S2612" s="58"/>
    </row>
    <row r="2613" spans="1:19" x14ac:dyDescent="0.25">
      <c r="A2613" s="51" t="str">
        <f>(COUNTIF($K$2:K2613,K2613))&amp;K2613</f>
        <v>1</v>
      </c>
      <c r="B2613" s="52"/>
      <c r="C2613" s="53"/>
      <c r="D2613" s="54"/>
      <c r="E2613" s="55"/>
      <c r="F2613" s="55"/>
      <c r="G2613" s="55"/>
      <c r="H2613" s="55"/>
      <c r="I2613" s="55"/>
      <c r="J2613" s="55"/>
      <c r="K2613" s="56"/>
      <c r="L2613" s="55"/>
      <c r="M2613" s="55"/>
      <c r="N2613" s="55"/>
      <c r="O2613" s="55"/>
      <c r="P2613" s="55"/>
      <c r="Q2613" s="55"/>
      <c r="R2613" s="57"/>
      <c r="S2613" s="58"/>
    </row>
    <row r="2614" spans="1:19" x14ac:dyDescent="0.25">
      <c r="A2614" s="51" t="str">
        <f>(COUNTIF($K$2:K2614,K2614))&amp;K2614</f>
        <v>1</v>
      </c>
      <c r="B2614" s="52"/>
      <c r="C2614" s="53"/>
      <c r="D2614" s="54"/>
      <c r="E2614" s="55"/>
      <c r="F2614" s="55"/>
      <c r="G2614" s="55"/>
      <c r="H2614" s="55"/>
      <c r="I2614" s="55"/>
      <c r="J2614" s="55"/>
      <c r="K2614" s="56"/>
      <c r="L2614" s="55"/>
      <c r="M2614" s="55"/>
      <c r="N2614" s="55"/>
      <c r="O2614" s="55"/>
      <c r="P2614" s="55"/>
      <c r="Q2614" s="55"/>
      <c r="R2614" s="57"/>
      <c r="S2614" s="58"/>
    </row>
    <row r="2615" spans="1:19" x14ac:dyDescent="0.25">
      <c r="A2615" s="51" t="str">
        <f>(COUNTIF($K$2:K2615,K2615))&amp;K2615</f>
        <v>1</v>
      </c>
      <c r="B2615" s="52"/>
      <c r="C2615" s="53"/>
      <c r="D2615" s="54"/>
      <c r="E2615" s="55"/>
      <c r="F2615" s="55"/>
      <c r="G2615" s="55"/>
      <c r="H2615" s="55"/>
      <c r="I2615" s="55"/>
      <c r="J2615" s="55"/>
      <c r="K2615" s="56"/>
      <c r="L2615" s="55"/>
      <c r="M2615" s="55"/>
      <c r="N2615" s="55"/>
      <c r="O2615" s="55"/>
      <c r="P2615" s="55"/>
      <c r="Q2615" s="55"/>
      <c r="R2615" s="57"/>
      <c r="S2615" s="58"/>
    </row>
    <row r="2616" spans="1:19" x14ac:dyDescent="0.25">
      <c r="A2616" s="51" t="str">
        <f>(COUNTIF($K$2:K2616,K2616))&amp;K2616</f>
        <v>1</v>
      </c>
      <c r="B2616" s="52"/>
      <c r="C2616" s="53"/>
      <c r="D2616" s="54"/>
      <c r="E2616" s="55"/>
      <c r="F2616" s="55"/>
      <c r="G2616" s="55"/>
      <c r="H2616" s="55"/>
      <c r="I2616" s="55"/>
      <c r="J2616" s="55"/>
      <c r="K2616" s="56"/>
      <c r="L2616" s="55"/>
      <c r="M2616" s="55"/>
      <c r="N2616" s="55"/>
      <c r="O2616" s="55"/>
      <c r="P2616" s="55"/>
      <c r="Q2616" s="55"/>
      <c r="R2616" s="57"/>
      <c r="S2616" s="58"/>
    </row>
    <row r="2617" spans="1:19" x14ac:dyDescent="0.25">
      <c r="A2617" s="51" t="str">
        <f>(COUNTIF($K$2:K2617,K2617))&amp;K2617</f>
        <v>1</v>
      </c>
      <c r="B2617" s="52"/>
      <c r="C2617" s="53"/>
      <c r="D2617" s="54"/>
      <c r="E2617" s="55"/>
      <c r="F2617" s="55"/>
      <c r="G2617" s="55"/>
      <c r="H2617" s="55"/>
      <c r="I2617" s="55"/>
      <c r="J2617" s="55"/>
      <c r="K2617" s="56"/>
      <c r="L2617" s="55"/>
      <c r="M2617" s="55"/>
      <c r="N2617" s="55"/>
      <c r="O2617" s="55"/>
      <c r="P2617" s="55"/>
      <c r="Q2617" s="55"/>
      <c r="R2617" s="57"/>
      <c r="S2617" s="58"/>
    </row>
    <row r="2618" spans="1:19" x14ac:dyDescent="0.25">
      <c r="A2618" s="51" t="str">
        <f>(COUNTIF($K$2:K2618,K2618))&amp;K2618</f>
        <v>1</v>
      </c>
      <c r="B2618" s="52"/>
      <c r="C2618" s="53"/>
      <c r="D2618" s="54"/>
      <c r="E2618" s="55"/>
      <c r="F2618" s="55"/>
      <c r="G2618" s="55"/>
      <c r="H2618" s="55"/>
      <c r="I2618" s="55"/>
      <c r="J2618" s="55"/>
      <c r="K2618" s="56"/>
      <c r="L2618" s="55"/>
      <c r="M2618" s="55"/>
      <c r="N2618" s="55"/>
      <c r="O2618" s="55"/>
      <c r="P2618" s="55"/>
      <c r="Q2618" s="55"/>
      <c r="R2618" s="57"/>
      <c r="S2618" s="58"/>
    </row>
    <row r="2619" spans="1:19" x14ac:dyDescent="0.25">
      <c r="A2619" s="51" t="str">
        <f>(COUNTIF($K$2:K2619,K2619))&amp;K2619</f>
        <v>1</v>
      </c>
      <c r="B2619" s="52"/>
      <c r="C2619" s="60"/>
      <c r="E2619" s="61"/>
      <c r="F2619" s="62"/>
      <c r="G2619" s="63"/>
      <c r="H2619" s="64"/>
      <c r="I2619" s="64"/>
      <c r="J2619" s="64"/>
      <c r="K2619" s="65"/>
      <c r="L2619" s="64"/>
      <c r="M2619" s="64"/>
      <c r="N2619" s="64"/>
      <c r="P2619" s="63"/>
      <c r="Q2619" s="61"/>
      <c r="R2619" s="64"/>
      <c r="S2619" s="64"/>
    </row>
    <row r="2620" spans="1:19" x14ac:dyDescent="0.25">
      <c r="A2620" s="51" t="str">
        <f>(COUNTIF($K$2:K2620,K2620))&amp;K2620</f>
        <v>1</v>
      </c>
      <c r="B2620" s="52"/>
      <c r="C2620" s="53"/>
      <c r="D2620" s="54"/>
      <c r="E2620" s="55"/>
      <c r="F2620" s="55"/>
      <c r="G2620" s="55"/>
      <c r="H2620" s="55"/>
      <c r="I2620" s="55"/>
      <c r="J2620" s="55"/>
      <c r="K2620" s="56"/>
      <c r="L2620" s="55"/>
      <c r="M2620" s="55"/>
      <c r="N2620" s="55"/>
      <c r="O2620" s="55"/>
      <c r="P2620" s="55"/>
      <c r="Q2620" s="55"/>
      <c r="R2620" s="57"/>
      <c r="S2620" s="58"/>
    </row>
    <row r="2621" spans="1:19" x14ac:dyDescent="0.25">
      <c r="A2621" s="51" t="str">
        <f>(COUNTIF($K$2:K2621,K2621))&amp;K2621</f>
        <v>1</v>
      </c>
      <c r="B2621" s="52"/>
      <c r="C2621" s="53"/>
      <c r="D2621" s="54"/>
      <c r="E2621" s="55"/>
      <c r="F2621" s="55"/>
      <c r="G2621" s="55"/>
      <c r="H2621" s="55"/>
      <c r="I2621" s="55"/>
      <c r="J2621" s="55"/>
      <c r="K2621" s="56"/>
      <c r="L2621" s="55"/>
      <c r="M2621" s="55"/>
      <c r="N2621" s="55"/>
      <c r="O2621" s="55"/>
      <c r="P2621" s="55"/>
      <c r="Q2621" s="55"/>
      <c r="R2621" s="57"/>
      <c r="S2621" s="58"/>
    </row>
    <row r="2622" spans="1:19" x14ac:dyDescent="0.25">
      <c r="A2622" s="51" t="str">
        <f>(COUNTIF($K$2:K2622,K2622))&amp;K2622</f>
        <v>1</v>
      </c>
      <c r="B2622" s="52"/>
      <c r="C2622" s="53"/>
      <c r="D2622" s="54"/>
      <c r="E2622" s="55"/>
      <c r="F2622" s="55"/>
      <c r="G2622" s="55"/>
      <c r="H2622" s="55"/>
      <c r="I2622" s="55"/>
      <c r="J2622" s="55"/>
      <c r="K2622" s="56"/>
      <c r="L2622" s="55"/>
      <c r="M2622" s="55"/>
      <c r="N2622" s="55"/>
      <c r="O2622" s="55"/>
      <c r="P2622" s="55"/>
      <c r="Q2622" s="55"/>
      <c r="R2622" s="57"/>
      <c r="S2622" s="58"/>
    </row>
    <row r="2623" spans="1:19" x14ac:dyDescent="0.25">
      <c r="A2623" s="51" t="str">
        <f>(COUNTIF($K$2:K2623,K2623))&amp;K2623</f>
        <v>1</v>
      </c>
      <c r="B2623" s="52"/>
      <c r="C2623" s="53"/>
      <c r="D2623" s="54"/>
      <c r="E2623" s="55"/>
      <c r="F2623" s="55"/>
      <c r="G2623" s="55"/>
      <c r="H2623" s="55"/>
      <c r="I2623" s="55"/>
      <c r="J2623" s="55"/>
      <c r="K2623" s="56"/>
      <c r="L2623" s="55"/>
      <c r="M2623" s="55"/>
      <c r="N2623" s="55"/>
      <c r="O2623" s="55"/>
      <c r="P2623" s="55"/>
      <c r="Q2623" s="55"/>
      <c r="R2623" s="57"/>
      <c r="S2623" s="58"/>
    </row>
    <row r="2624" spans="1:19" x14ac:dyDescent="0.25">
      <c r="A2624" s="51" t="str">
        <f>(COUNTIF($K$2:K2624,K2624))&amp;K2624</f>
        <v>1</v>
      </c>
      <c r="B2624" s="52"/>
      <c r="C2624" s="53"/>
      <c r="D2624" s="54"/>
      <c r="E2624" s="55"/>
      <c r="F2624" s="55"/>
      <c r="G2624" s="55"/>
      <c r="H2624" s="55"/>
      <c r="I2624" s="55"/>
      <c r="J2624" s="55"/>
      <c r="K2624" s="56"/>
      <c r="L2624" s="55"/>
      <c r="M2624" s="55"/>
      <c r="N2624" s="55"/>
      <c r="O2624" s="55"/>
      <c r="P2624" s="55"/>
      <c r="Q2624" s="55"/>
      <c r="R2624" s="57"/>
      <c r="S2624" s="58"/>
    </row>
    <row r="2625" spans="1:19" x14ac:dyDescent="0.25">
      <c r="A2625" s="51" t="str">
        <f>(COUNTIF($K$2:K2625,K2625))&amp;K2625</f>
        <v>1</v>
      </c>
      <c r="B2625" s="52"/>
      <c r="C2625" s="53"/>
      <c r="D2625" s="54"/>
      <c r="E2625" s="55"/>
      <c r="F2625" s="55"/>
      <c r="G2625" s="55"/>
      <c r="H2625" s="55"/>
      <c r="I2625" s="55"/>
      <c r="J2625" s="55"/>
      <c r="K2625" s="56"/>
      <c r="L2625" s="55"/>
      <c r="M2625" s="55"/>
      <c r="N2625" s="55"/>
      <c r="O2625" s="55"/>
      <c r="P2625" s="55"/>
      <c r="Q2625" s="55"/>
      <c r="R2625" s="57"/>
      <c r="S2625" s="58"/>
    </row>
    <row r="2626" spans="1:19" x14ac:dyDescent="0.25">
      <c r="A2626" s="51" t="str">
        <f>(COUNTIF($K$2:K2626,K2626))&amp;K2626</f>
        <v>1</v>
      </c>
      <c r="B2626" s="52"/>
      <c r="C2626" s="53"/>
      <c r="D2626" s="54"/>
      <c r="E2626" s="55"/>
      <c r="F2626" s="55"/>
      <c r="G2626" s="55"/>
      <c r="H2626" s="55"/>
      <c r="I2626" s="55"/>
      <c r="J2626" s="55"/>
      <c r="K2626" s="56"/>
      <c r="L2626" s="55"/>
      <c r="M2626" s="55"/>
      <c r="N2626" s="55"/>
      <c r="O2626" s="55"/>
      <c r="P2626" s="55"/>
      <c r="Q2626" s="55"/>
      <c r="R2626" s="57"/>
      <c r="S2626" s="58"/>
    </row>
    <row r="2627" spans="1:19" x14ac:dyDescent="0.25">
      <c r="A2627" s="51" t="str">
        <f>(COUNTIF($K$2:K2627,K2627))&amp;K2627</f>
        <v>1</v>
      </c>
      <c r="B2627" s="52"/>
      <c r="C2627" s="53"/>
      <c r="D2627" s="54"/>
      <c r="E2627" s="55"/>
      <c r="F2627" s="55"/>
      <c r="G2627" s="55"/>
      <c r="H2627" s="55"/>
      <c r="I2627" s="55"/>
      <c r="J2627" s="55"/>
      <c r="K2627" s="56"/>
      <c r="L2627" s="55"/>
      <c r="M2627" s="55"/>
      <c r="N2627" s="55"/>
      <c r="O2627" s="55"/>
      <c r="P2627" s="55"/>
      <c r="Q2627" s="55"/>
      <c r="R2627" s="57"/>
      <c r="S2627" s="58"/>
    </row>
    <row r="2628" spans="1:19" ht="15.75" x14ac:dyDescent="0.25">
      <c r="A2628" s="51" t="str">
        <f>(COUNTIF($K$2:K2628,K2628))&amp;K2628</f>
        <v>1</v>
      </c>
      <c r="B2628" s="52"/>
      <c r="C2628" s="53"/>
      <c r="D2628" s="54"/>
      <c r="E2628" s="55"/>
      <c r="F2628" s="55"/>
      <c r="G2628" s="55"/>
      <c r="H2628" s="55"/>
      <c r="I2628" s="55"/>
      <c r="J2628" s="55"/>
      <c r="K2628" s="59"/>
      <c r="L2628" s="55"/>
      <c r="M2628" s="55"/>
      <c r="N2628" s="55"/>
      <c r="O2628" s="55"/>
      <c r="P2628" s="55"/>
      <c r="Q2628" s="55"/>
      <c r="R2628" s="57"/>
      <c r="S2628" s="58"/>
    </row>
    <row r="2629" spans="1:19" x14ac:dyDescent="0.25">
      <c r="A2629" s="51" t="str">
        <f>(COUNTIF($K$2:K2629,K2629))&amp;K2629</f>
        <v>1</v>
      </c>
      <c r="B2629" s="52"/>
      <c r="C2629" s="53"/>
      <c r="D2629" s="54"/>
      <c r="E2629" s="55"/>
      <c r="F2629" s="55"/>
      <c r="G2629" s="55"/>
      <c r="H2629" s="55"/>
      <c r="I2629" s="55"/>
      <c r="J2629" s="55"/>
      <c r="K2629" s="56"/>
      <c r="L2629" s="55"/>
      <c r="M2629" s="55"/>
      <c r="N2629" s="55"/>
      <c r="O2629" s="55"/>
      <c r="P2629" s="55"/>
      <c r="Q2629" s="55"/>
      <c r="R2629" s="57"/>
      <c r="S2629" s="58"/>
    </row>
    <row r="2630" spans="1:19" x14ac:dyDescent="0.25">
      <c r="A2630" s="51" t="str">
        <f>(COUNTIF($K$2:K2630,K2630))&amp;K2630</f>
        <v>1</v>
      </c>
      <c r="B2630" s="52"/>
      <c r="C2630" s="53"/>
      <c r="D2630" s="54"/>
      <c r="E2630" s="55"/>
      <c r="F2630" s="55"/>
      <c r="G2630" s="55"/>
      <c r="H2630" s="55"/>
      <c r="I2630" s="55"/>
      <c r="J2630" s="55"/>
      <c r="K2630" s="56"/>
      <c r="L2630" s="55"/>
      <c r="M2630" s="55"/>
      <c r="N2630" s="55"/>
      <c r="O2630" s="55"/>
      <c r="P2630" s="55"/>
      <c r="Q2630" s="55"/>
      <c r="R2630" s="57"/>
      <c r="S2630" s="58"/>
    </row>
    <row r="2631" spans="1:19" x14ac:dyDescent="0.25">
      <c r="A2631" s="51" t="str">
        <f>(COUNTIF($K$2:K2631,K2631))&amp;K2631</f>
        <v>1</v>
      </c>
      <c r="B2631" s="52"/>
      <c r="C2631" s="53"/>
      <c r="D2631" s="54"/>
      <c r="E2631" s="55"/>
      <c r="F2631" s="55"/>
      <c r="G2631" s="55"/>
      <c r="H2631" s="55"/>
      <c r="I2631" s="55"/>
      <c r="J2631" s="55"/>
      <c r="K2631" s="56"/>
      <c r="L2631" s="55"/>
      <c r="M2631" s="55"/>
      <c r="N2631" s="55"/>
      <c r="O2631" s="55"/>
      <c r="P2631" s="55"/>
      <c r="Q2631" s="55"/>
      <c r="R2631" s="57"/>
      <c r="S2631" s="58"/>
    </row>
    <row r="2632" spans="1:19" x14ac:dyDescent="0.25">
      <c r="A2632" s="51" t="str">
        <f>(COUNTIF($K$2:K2632,K2632))&amp;K2632</f>
        <v>1</v>
      </c>
      <c r="B2632" s="52"/>
      <c r="C2632" s="53"/>
      <c r="D2632" s="54"/>
      <c r="E2632" s="55"/>
      <c r="F2632" s="55"/>
      <c r="G2632" s="55"/>
      <c r="H2632" s="55"/>
      <c r="I2632" s="55"/>
      <c r="J2632" s="55"/>
      <c r="K2632" s="56"/>
      <c r="L2632" s="55"/>
      <c r="M2632" s="55"/>
      <c r="N2632" s="55"/>
      <c r="O2632" s="55"/>
      <c r="P2632" s="55"/>
      <c r="Q2632" s="55"/>
      <c r="R2632" s="57"/>
      <c r="S2632" s="58"/>
    </row>
    <row r="2633" spans="1:19" x14ac:dyDescent="0.25">
      <c r="A2633" s="51" t="str">
        <f>(COUNTIF($K$2:K2633,K2633))&amp;K2633</f>
        <v>1</v>
      </c>
      <c r="B2633" s="52"/>
      <c r="C2633" s="53"/>
      <c r="D2633" s="54"/>
      <c r="E2633" s="55"/>
      <c r="F2633" s="55"/>
      <c r="G2633" s="55"/>
      <c r="H2633" s="55"/>
      <c r="I2633" s="55"/>
      <c r="J2633" s="55"/>
      <c r="K2633" s="56"/>
      <c r="L2633" s="55"/>
      <c r="M2633" s="55"/>
      <c r="N2633" s="55"/>
      <c r="O2633" s="55"/>
      <c r="P2633" s="55"/>
      <c r="Q2633" s="55"/>
      <c r="R2633" s="57"/>
      <c r="S2633" s="58"/>
    </row>
    <row r="2634" spans="1:19" x14ac:dyDescent="0.25">
      <c r="A2634" s="51" t="str">
        <f>(COUNTIF($K$2:K2634,K2634))&amp;K2634</f>
        <v>1</v>
      </c>
      <c r="B2634" s="52"/>
      <c r="C2634" s="53"/>
      <c r="D2634" s="54"/>
      <c r="E2634" s="55"/>
      <c r="F2634" s="55"/>
      <c r="G2634" s="55"/>
      <c r="H2634" s="55"/>
      <c r="I2634" s="55"/>
      <c r="J2634" s="55"/>
      <c r="K2634" s="56"/>
      <c r="L2634" s="55"/>
      <c r="M2634" s="55"/>
      <c r="N2634" s="55"/>
      <c r="O2634" s="55"/>
      <c r="P2634" s="55"/>
      <c r="Q2634" s="55"/>
      <c r="R2634" s="57"/>
      <c r="S2634" s="58"/>
    </row>
    <row r="2635" spans="1:19" x14ac:dyDescent="0.25">
      <c r="A2635" s="51" t="str">
        <f>(COUNTIF($K$2:K2635,K2635))&amp;K2635</f>
        <v>1</v>
      </c>
      <c r="B2635" s="52"/>
      <c r="C2635" s="53"/>
      <c r="D2635" s="54"/>
      <c r="E2635" s="55"/>
      <c r="F2635" s="55"/>
      <c r="G2635" s="55"/>
      <c r="H2635" s="55"/>
      <c r="I2635" s="55"/>
      <c r="J2635" s="55"/>
      <c r="K2635" s="56"/>
      <c r="L2635" s="55"/>
      <c r="M2635" s="55"/>
      <c r="N2635" s="55"/>
      <c r="O2635" s="55"/>
      <c r="P2635" s="55"/>
      <c r="Q2635" s="55"/>
      <c r="R2635" s="57"/>
      <c r="S2635" s="58"/>
    </row>
    <row r="2636" spans="1:19" x14ac:dyDescent="0.25">
      <c r="A2636" s="51" t="str">
        <f>(COUNTIF($K$2:K2636,K2636))&amp;K2636</f>
        <v>1</v>
      </c>
      <c r="B2636" s="52"/>
      <c r="C2636" s="60"/>
      <c r="E2636" s="61"/>
      <c r="F2636" s="62"/>
      <c r="G2636" s="63"/>
      <c r="H2636" s="64"/>
      <c r="I2636" s="64"/>
      <c r="J2636" s="64"/>
      <c r="K2636" s="65"/>
      <c r="L2636" s="64"/>
      <c r="M2636" s="64"/>
      <c r="N2636" s="64"/>
      <c r="P2636" s="63"/>
      <c r="Q2636" s="61"/>
      <c r="R2636" s="64"/>
      <c r="S2636" s="64"/>
    </row>
    <row r="2637" spans="1:19" x14ac:dyDescent="0.25">
      <c r="A2637" s="51" t="str">
        <f>(COUNTIF($K$2:K2637,K2637))&amp;K2637</f>
        <v>1</v>
      </c>
      <c r="B2637" s="52"/>
      <c r="C2637" s="53"/>
      <c r="D2637" s="54"/>
      <c r="E2637" s="55"/>
      <c r="F2637" s="55"/>
      <c r="G2637" s="55"/>
      <c r="H2637" s="55"/>
      <c r="I2637" s="55"/>
      <c r="J2637" s="55"/>
      <c r="K2637" s="56"/>
      <c r="L2637" s="55"/>
      <c r="M2637" s="55"/>
      <c r="N2637" s="55"/>
      <c r="O2637" s="55"/>
      <c r="P2637" s="55"/>
      <c r="Q2637" s="55"/>
      <c r="R2637" s="57"/>
      <c r="S2637" s="58"/>
    </row>
    <row r="2638" spans="1:19" x14ac:dyDescent="0.25">
      <c r="A2638" s="51" t="str">
        <f>(COUNTIF($K$2:K2638,K2638))&amp;K2638</f>
        <v>1</v>
      </c>
      <c r="B2638" s="52"/>
      <c r="C2638" s="53"/>
      <c r="D2638" s="54"/>
      <c r="E2638" s="55"/>
      <c r="F2638" s="55"/>
      <c r="G2638" s="55"/>
      <c r="H2638" s="55"/>
      <c r="I2638" s="55"/>
      <c r="J2638" s="55"/>
      <c r="K2638" s="56"/>
      <c r="L2638" s="55"/>
      <c r="M2638" s="55"/>
      <c r="N2638" s="55"/>
      <c r="O2638" s="55"/>
      <c r="P2638" s="55"/>
      <c r="Q2638" s="55"/>
      <c r="R2638" s="57"/>
      <c r="S2638" s="58"/>
    </row>
    <row r="2639" spans="1:19" x14ac:dyDescent="0.25">
      <c r="A2639" s="51" t="str">
        <f>(COUNTIF($K$2:K2639,K2639))&amp;K2639</f>
        <v>1</v>
      </c>
      <c r="B2639" s="52"/>
      <c r="C2639" s="53"/>
      <c r="D2639" s="54"/>
      <c r="E2639" s="55"/>
      <c r="F2639" s="55"/>
      <c r="G2639" s="55"/>
      <c r="H2639" s="55"/>
      <c r="I2639" s="55"/>
      <c r="J2639" s="55"/>
      <c r="K2639" s="56"/>
      <c r="L2639" s="55"/>
      <c r="M2639" s="55"/>
      <c r="N2639" s="55"/>
      <c r="O2639" s="55"/>
      <c r="P2639" s="55"/>
      <c r="Q2639" s="55"/>
      <c r="R2639" s="57"/>
      <c r="S2639" s="58"/>
    </row>
    <row r="2640" spans="1:19" x14ac:dyDescent="0.25">
      <c r="A2640" s="51" t="str">
        <f>(COUNTIF($K$2:K2640,K2640))&amp;K2640</f>
        <v>1</v>
      </c>
      <c r="B2640" s="52"/>
      <c r="C2640" s="53"/>
      <c r="D2640" s="54"/>
      <c r="E2640" s="55"/>
      <c r="F2640" s="55"/>
      <c r="G2640" s="55"/>
      <c r="H2640" s="55"/>
      <c r="I2640" s="55"/>
      <c r="J2640" s="55"/>
      <c r="K2640" s="56"/>
      <c r="L2640" s="55"/>
      <c r="M2640" s="55"/>
      <c r="N2640" s="55"/>
      <c r="O2640" s="55"/>
      <c r="P2640" s="55"/>
      <c r="Q2640" s="55"/>
      <c r="R2640" s="57"/>
      <c r="S2640" s="58"/>
    </row>
    <row r="2641" spans="1:19" x14ac:dyDescent="0.25">
      <c r="A2641" s="51" t="str">
        <f>(COUNTIF($K$2:K2641,K2641))&amp;K2641</f>
        <v>1</v>
      </c>
      <c r="B2641" s="52"/>
      <c r="C2641" s="53"/>
      <c r="D2641" s="54"/>
      <c r="E2641" s="55"/>
      <c r="F2641" s="55"/>
      <c r="G2641" s="55"/>
      <c r="H2641" s="55"/>
      <c r="I2641" s="55"/>
      <c r="J2641" s="55"/>
      <c r="K2641" s="56"/>
      <c r="L2641" s="55"/>
      <c r="M2641" s="55"/>
      <c r="N2641" s="55"/>
      <c r="O2641" s="55"/>
      <c r="P2641" s="55"/>
      <c r="Q2641" s="55"/>
      <c r="R2641" s="57"/>
      <c r="S2641" s="58"/>
    </row>
    <row r="2642" spans="1:19" x14ac:dyDescent="0.25">
      <c r="A2642" s="51" t="str">
        <f>(COUNTIF($K$2:K2642,K2642))&amp;K2642</f>
        <v>1</v>
      </c>
      <c r="B2642" s="52"/>
      <c r="C2642" s="53"/>
      <c r="D2642" s="54"/>
      <c r="E2642" s="55"/>
      <c r="F2642" s="55"/>
      <c r="G2642" s="55"/>
      <c r="H2642" s="55"/>
      <c r="I2642" s="55"/>
      <c r="J2642" s="55"/>
      <c r="K2642" s="56"/>
      <c r="L2642" s="55"/>
      <c r="M2642" s="55"/>
      <c r="N2642" s="55"/>
      <c r="O2642" s="55"/>
      <c r="P2642" s="55"/>
      <c r="Q2642" s="55"/>
      <c r="R2642" s="57"/>
      <c r="S2642" s="58"/>
    </row>
    <row r="2643" spans="1:19" x14ac:dyDescent="0.25">
      <c r="A2643" s="51" t="str">
        <f>(COUNTIF($K$2:K2643,K2643))&amp;K2643</f>
        <v>1</v>
      </c>
      <c r="B2643" s="52"/>
      <c r="C2643" s="53"/>
      <c r="D2643" s="54"/>
      <c r="E2643" s="55"/>
      <c r="F2643" s="55"/>
      <c r="G2643" s="55"/>
      <c r="H2643" s="55"/>
      <c r="I2643" s="55"/>
      <c r="J2643" s="55"/>
      <c r="K2643" s="56"/>
      <c r="L2643" s="55"/>
      <c r="M2643" s="55"/>
      <c r="N2643" s="55"/>
      <c r="O2643" s="55"/>
      <c r="P2643" s="55"/>
      <c r="Q2643" s="55"/>
      <c r="R2643" s="57"/>
      <c r="S2643" s="58"/>
    </row>
    <row r="2644" spans="1:19" x14ac:dyDescent="0.25">
      <c r="A2644" s="51" t="str">
        <f>(COUNTIF($K$2:K2644,K2644))&amp;K2644</f>
        <v>1</v>
      </c>
      <c r="B2644" s="52"/>
      <c r="C2644" s="53"/>
      <c r="D2644" s="54"/>
      <c r="E2644" s="55"/>
      <c r="F2644" s="55"/>
      <c r="G2644" s="55"/>
      <c r="H2644" s="55"/>
      <c r="I2644" s="55"/>
      <c r="J2644" s="55"/>
      <c r="K2644" s="56"/>
      <c r="L2644" s="55"/>
      <c r="M2644" s="55"/>
      <c r="N2644" s="55"/>
      <c r="O2644" s="55"/>
      <c r="P2644" s="55"/>
      <c r="Q2644" s="55"/>
      <c r="R2644" s="57"/>
      <c r="S2644" s="58"/>
    </row>
    <row r="2645" spans="1:19" ht="15.75" x14ac:dyDescent="0.25">
      <c r="A2645" s="51" t="str">
        <f>(COUNTIF($K$2:K2645,K2645))&amp;K2645</f>
        <v>1</v>
      </c>
      <c r="B2645" s="52"/>
      <c r="C2645" s="53"/>
      <c r="D2645" s="54"/>
      <c r="E2645" s="55"/>
      <c r="F2645" s="55"/>
      <c r="G2645" s="55"/>
      <c r="H2645" s="55"/>
      <c r="I2645" s="55"/>
      <c r="J2645" s="55"/>
      <c r="K2645" s="59"/>
      <c r="L2645" s="55"/>
      <c r="M2645" s="55"/>
      <c r="N2645" s="55"/>
      <c r="O2645" s="55"/>
      <c r="P2645" s="55"/>
      <c r="Q2645" s="55"/>
      <c r="R2645" s="57"/>
      <c r="S2645" s="58"/>
    </row>
    <row r="2646" spans="1:19" x14ac:dyDescent="0.25">
      <c r="A2646" s="51" t="str">
        <f>(COUNTIF($K$2:K2646,K2646))&amp;K2646</f>
        <v>1</v>
      </c>
      <c r="B2646" s="52"/>
      <c r="C2646" s="53"/>
      <c r="D2646" s="54"/>
      <c r="E2646" s="55"/>
      <c r="F2646" s="55"/>
      <c r="G2646" s="55"/>
      <c r="H2646" s="55"/>
      <c r="I2646" s="55"/>
      <c r="J2646" s="55"/>
      <c r="K2646" s="56"/>
      <c r="L2646" s="55"/>
      <c r="M2646" s="55"/>
      <c r="N2646" s="55"/>
      <c r="O2646" s="55"/>
      <c r="P2646" s="55"/>
      <c r="Q2646" s="55"/>
      <c r="R2646" s="57"/>
      <c r="S2646" s="58"/>
    </row>
    <row r="2647" spans="1:19" x14ac:dyDescent="0.25">
      <c r="A2647" s="51" t="str">
        <f>(COUNTIF($K$2:K2647,K2647))&amp;K2647</f>
        <v>1</v>
      </c>
      <c r="B2647" s="52"/>
      <c r="C2647" s="53"/>
      <c r="D2647" s="54"/>
      <c r="E2647" s="55"/>
      <c r="F2647" s="55"/>
      <c r="G2647" s="55"/>
      <c r="H2647" s="55"/>
      <c r="I2647" s="55"/>
      <c r="J2647" s="55"/>
      <c r="K2647" s="56"/>
      <c r="L2647" s="55"/>
      <c r="M2647" s="55"/>
      <c r="N2647" s="55"/>
      <c r="O2647" s="55"/>
      <c r="P2647" s="55"/>
      <c r="Q2647" s="55"/>
      <c r="R2647" s="57"/>
      <c r="S2647" s="58"/>
    </row>
    <row r="2648" spans="1:19" x14ac:dyDescent="0.25">
      <c r="A2648" s="51" t="str">
        <f>(COUNTIF($K$2:K2648,K2648))&amp;K2648</f>
        <v>1</v>
      </c>
      <c r="B2648" s="52"/>
      <c r="C2648" s="53"/>
      <c r="D2648" s="54"/>
      <c r="E2648" s="55"/>
      <c r="F2648" s="55"/>
      <c r="G2648" s="55"/>
      <c r="H2648" s="55"/>
      <c r="I2648" s="55"/>
      <c r="J2648" s="55"/>
      <c r="K2648" s="56"/>
      <c r="L2648" s="55"/>
      <c r="M2648" s="55"/>
      <c r="N2648" s="55"/>
      <c r="O2648" s="55"/>
      <c r="P2648" s="55"/>
      <c r="Q2648" s="55"/>
      <c r="R2648" s="57"/>
      <c r="S2648" s="58"/>
    </row>
    <row r="2649" spans="1:19" x14ac:dyDescent="0.25">
      <c r="A2649" s="51" t="str">
        <f>(COUNTIF($K$2:K2649,K2649))&amp;K2649</f>
        <v>1</v>
      </c>
      <c r="B2649" s="52"/>
      <c r="C2649" s="53"/>
      <c r="D2649" s="54"/>
      <c r="E2649" s="55"/>
      <c r="F2649" s="55"/>
      <c r="G2649" s="55"/>
      <c r="H2649" s="55"/>
      <c r="I2649" s="55"/>
      <c r="J2649" s="55"/>
      <c r="K2649" s="56"/>
      <c r="L2649" s="55"/>
      <c r="M2649" s="55"/>
      <c r="N2649" s="55"/>
      <c r="O2649" s="55"/>
      <c r="P2649" s="55"/>
      <c r="Q2649" s="55"/>
      <c r="R2649" s="57"/>
      <c r="S2649" s="58"/>
    </row>
    <row r="2650" spans="1:19" x14ac:dyDescent="0.25">
      <c r="A2650" s="51" t="str">
        <f>(COUNTIF($K$2:K2650,K2650))&amp;K2650</f>
        <v>1</v>
      </c>
      <c r="B2650" s="52"/>
      <c r="C2650" s="53"/>
      <c r="D2650" s="54"/>
      <c r="E2650" s="55"/>
      <c r="F2650" s="55"/>
      <c r="G2650" s="55"/>
      <c r="H2650" s="55"/>
      <c r="I2650" s="55"/>
      <c r="J2650" s="55"/>
      <c r="K2650" s="56"/>
      <c r="L2650" s="55"/>
      <c r="M2650" s="55"/>
      <c r="N2650" s="55"/>
      <c r="O2650" s="55"/>
      <c r="P2650" s="55"/>
      <c r="Q2650" s="55"/>
      <c r="R2650" s="57"/>
      <c r="S2650" s="58"/>
    </row>
    <row r="2651" spans="1:19" x14ac:dyDescent="0.25">
      <c r="A2651" s="51" t="str">
        <f>(COUNTIF($K$2:K2651,K2651))&amp;K2651</f>
        <v>1</v>
      </c>
      <c r="B2651" s="52"/>
      <c r="C2651" s="53"/>
      <c r="D2651" s="54"/>
      <c r="E2651" s="55"/>
      <c r="F2651" s="55"/>
      <c r="G2651" s="55"/>
      <c r="H2651" s="55"/>
      <c r="I2651" s="55"/>
      <c r="J2651" s="55"/>
      <c r="K2651" s="56"/>
      <c r="L2651" s="55"/>
      <c r="M2651" s="55"/>
      <c r="N2651" s="55"/>
      <c r="O2651" s="55"/>
      <c r="P2651" s="55"/>
      <c r="Q2651" s="55"/>
      <c r="R2651" s="57"/>
      <c r="S2651" s="58"/>
    </row>
    <row r="2652" spans="1:19" x14ac:dyDescent="0.25">
      <c r="A2652" s="51" t="str">
        <f>(COUNTIF($K$2:K2652,K2652))&amp;K2652</f>
        <v>1</v>
      </c>
      <c r="B2652" s="52"/>
      <c r="C2652" s="53"/>
      <c r="D2652" s="54"/>
      <c r="E2652" s="55"/>
      <c r="F2652" s="55"/>
      <c r="G2652" s="55"/>
      <c r="H2652" s="55"/>
      <c r="I2652" s="55"/>
      <c r="J2652" s="55"/>
      <c r="K2652" s="56"/>
      <c r="L2652" s="55"/>
      <c r="M2652" s="55"/>
      <c r="N2652" s="55"/>
      <c r="O2652" s="55"/>
      <c r="P2652" s="55"/>
      <c r="Q2652" s="55"/>
      <c r="R2652" s="57"/>
      <c r="S2652" s="58"/>
    </row>
    <row r="2653" spans="1:19" x14ac:dyDescent="0.25">
      <c r="A2653" s="51" t="str">
        <f>(COUNTIF($K$2:K2653,K2653))&amp;K2653</f>
        <v>1</v>
      </c>
      <c r="B2653" s="52"/>
      <c r="C2653" s="60"/>
      <c r="E2653" s="61"/>
      <c r="F2653" s="62"/>
      <c r="G2653" s="63"/>
      <c r="H2653" s="64"/>
      <c r="I2653" s="64"/>
      <c r="J2653" s="64"/>
      <c r="K2653" s="65"/>
      <c r="L2653" s="64"/>
      <c r="M2653" s="64"/>
      <c r="N2653" s="64"/>
      <c r="P2653" s="63"/>
      <c r="Q2653" s="61"/>
      <c r="R2653" s="64"/>
      <c r="S2653" s="64"/>
    </row>
    <row r="2654" spans="1:19" x14ac:dyDescent="0.25">
      <c r="A2654" s="51" t="str">
        <f>(COUNTIF($K$2:K2654,K2654))&amp;K2654</f>
        <v>1</v>
      </c>
      <c r="B2654" s="52"/>
      <c r="C2654" s="53"/>
      <c r="D2654" s="54"/>
      <c r="E2654" s="55"/>
      <c r="F2654" s="55"/>
      <c r="G2654" s="55"/>
      <c r="H2654" s="55"/>
      <c r="I2654" s="55"/>
      <c r="J2654" s="55"/>
      <c r="K2654" s="56"/>
      <c r="L2654" s="55"/>
      <c r="M2654" s="55"/>
      <c r="N2654" s="55"/>
      <c r="O2654" s="55"/>
      <c r="P2654" s="55"/>
      <c r="Q2654" s="55"/>
      <c r="R2654" s="57"/>
      <c r="S2654" s="58"/>
    </row>
    <row r="2655" spans="1:19" x14ac:dyDescent="0.25">
      <c r="A2655" s="51" t="str">
        <f>(COUNTIF($K$2:K2655,K2655))&amp;K2655</f>
        <v>1</v>
      </c>
      <c r="B2655" s="52"/>
      <c r="C2655" s="53"/>
      <c r="D2655" s="54"/>
      <c r="E2655" s="55"/>
      <c r="F2655" s="55"/>
      <c r="G2655" s="55"/>
      <c r="H2655" s="55"/>
      <c r="I2655" s="55"/>
      <c r="J2655" s="55"/>
      <c r="K2655" s="56"/>
      <c r="L2655" s="55"/>
      <c r="M2655" s="55"/>
      <c r="N2655" s="55"/>
      <c r="O2655" s="55"/>
      <c r="P2655" s="55"/>
      <c r="Q2655" s="55"/>
      <c r="R2655" s="57"/>
      <c r="S2655" s="58"/>
    </row>
    <row r="2656" spans="1:19" x14ac:dyDescent="0.25">
      <c r="A2656" s="51" t="str">
        <f>(COUNTIF($K$2:K2656,K2656))&amp;K2656</f>
        <v>1</v>
      </c>
      <c r="B2656" s="52"/>
      <c r="C2656" s="53"/>
      <c r="D2656" s="54"/>
      <c r="E2656" s="55"/>
      <c r="F2656" s="55"/>
      <c r="G2656" s="55"/>
      <c r="H2656" s="55"/>
      <c r="I2656" s="55"/>
      <c r="J2656" s="55"/>
      <c r="K2656" s="56"/>
      <c r="L2656" s="55"/>
      <c r="M2656" s="55"/>
      <c r="N2656" s="55"/>
      <c r="O2656" s="55"/>
      <c r="P2656" s="55"/>
      <c r="Q2656" s="55"/>
      <c r="R2656" s="57"/>
      <c r="S2656" s="58"/>
    </row>
    <row r="2657" spans="1:19" x14ac:dyDescent="0.25">
      <c r="A2657" s="51" t="str">
        <f>(COUNTIF($K$2:K2657,K2657))&amp;K2657</f>
        <v>1</v>
      </c>
      <c r="B2657" s="52"/>
      <c r="C2657" s="53"/>
      <c r="D2657" s="54"/>
      <c r="E2657" s="55"/>
      <c r="F2657" s="55"/>
      <c r="G2657" s="55"/>
      <c r="H2657" s="55"/>
      <c r="I2657" s="55"/>
      <c r="J2657" s="55"/>
      <c r="K2657" s="56"/>
      <c r="L2657" s="55"/>
      <c r="M2657" s="55"/>
      <c r="N2657" s="55"/>
      <c r="O2657" s="55"/>
      <c r="P2657" s="55"/>
      <c r="Q2657" s="55"/>
      <c r="R2657" s="57"/>
      <c r="S2657" s="58"/>
    </row>
    <row r="2658" spans="1:19" x14ac:dyDescent="0.25">
      <c r="A2658" s="51" t="str">
        <f>(COUNTIF($K$2:K2658,K2658))&amp;K2658</f>
        <v>1</v>
      </c>
      <c r="B2658" s="52"/>
      <c r="C2658" s="53"/>
      <c r="D2658" s="54"/>
      <c r="E2658" s="55"/>
      <c r="F2658" s="55"/>
      <c r="G2658" s="55"/>
      <c r="H2658" s="55"/>
      <c r="I2658" s="55"/>
      <c r="J2658" s="55"/>
      <c r="K2658" s="56"/>
      <c r="L2658" s="55"/>
      <c r="M2658" s="55"/>
      <c r="N2658" s="55"/>
      <c r="O2658" s="55"/>
      <c r="P2658" s="55"/>
      <c r="Q2658" s="55"/>
      <c r="R2658" s="57"/>
      <c r="S2658" s="58"/>
    </row>
    <row r="2659" spans="1:19" x14ac:dyDescent="0.25">
      <c r="A2659" s="51" t="str">
        <f>(COUNTIF($K$2:K2659,K2659))&amp;K2659</f>
        <v>1</v>
      </c>
      <c r="B2659" s="52"/>
      <c r="C2659" s="53"/>
      <c r="D2659" s="54"/>
      <c r="E2659" s="55"/>
      <c r="F2659" s="55"/>
      <c r="G2659" s="55"/>
      <c r="H2659" s="55"/>
      <c r="I2659" s="55"/>
      <c r="J2659" s="55"/>
      <c r="K2659" s="56"/>
      <c r="L2659" s="55"/>
      <c r="M2659" s="55"/>
      <c r="N2659" s="55"/>
      <c r="O2659" s="55"/>
      <c r="P2659" s="55"/>
      <c r="Q2659" s="55"/>
      <c r="R2659" s="57"/>
      <c r="S2659" s="58"/>
    </row>
    <row r="2660" spans="1:19" x14ac:dyDescent="0.25">
      <c r="A2660" s="51" t="str">
        <f>(COUNTIF($K$2:K2660,K2660))&amp;K2660</f>
        <v>1</v>
      </c>
      <c r="B2660" s="52"/>
      <c r="C2660" s="53"/>
      <c r="D2660" s="54"/>
      <c r="E2660" s="55"/>
      <c r="F2660" s="55"/>
      <c r="G2660" s="55"/>
      <c r="H2660" s="55"/>
      <c r="I2660" s="55"/>
      <c r="J2660" s="55"/>
      <c r="K2660" s="56"/>
      <c r="L2660" s="55"/>
      <c r="M2660" s="55"/>
      <c r="N2660" s="55"/>
      <c r="O2660" s="55"/>
      <c r="P2660" s="55"/>
      <c r="Q2660" s="55"/>
      <c r="R2660" s="57"/>
      <c r="S2660" s="58"/>
    </row>
    <row r="2661" spans="1:19" x14ac:dyDescent="0.25">
      <c r="A2661" s="51" t="str">
        <f>(COUNTIF($K$2:K2661,K2661))&amp;K2661</f>
        <v>1</v>
      </c>
      <c r="B2661" s="52"/>
      <c r="C2661" s="53"/>
      <c r="D2661" s="54"/>
      <c r="E2661" s="55"/>
      <c r="F2661" s="55"/>
      <c r="G2661" s="55"/>
      <c r="H2661" s="55"/>
      <c r="I2661" s="55"/>
      <c r="J2661" s="55"/>
      <c r="K2661" s="56"/>
      <c r="L2661" s="55"/>
      <c r="M2661" s="55"/>
      <c r="N2661" s="55"/>
      <c r="O2661" s="55"/>
      <c r="P2661" s="55"/>
      <c r="Q2661" s="55"/>
      <c r="R2661" s="57"/>
      <c r="S2661" s="58"/>
    </row>
    <row r="2662" spans="1:19" ht="15.75" x14ac:dyDescent="0.25">
      <c r="A2662" s="51" t="str">
        <f>(COUNTIF($K$2:K2662,K2662))&amp;K2662</f>
        <v>1</v>
      </c>
      <c r="B2662" s="52"/>
      <c r="C2662" s="53"/>
      <c r="D2662" s="54"/>
      <c r="E2662" s="55"/>
      <c r="F2662" s="55"/>
      <c r="G2662" s="55"/>
      <c r="H2662" s="55"/>
      <c r="I2662" s="55"/>
      <c r="J2662" s="55"/>
      <c r="K2662" s="59"/>
      <c r="L2662" s="55"/>
      <c r="M2662" s="55"/>
      <c r="N2662" s="55"/>
      <c r="O2662" s="55"/>
      <c r="P2662" s="55"/>
      <c r="Q2662" s="55"/>
      <c r="R2662" s="57"/>
      <c r="S2662" s="58"/>
    </row>
    <row r="2663" spans="1:19" x14ac:dyDescent="0.25">
      <c r="A2663" s="51" t="str">
        <f>(COUNTIF($K$2:K2663,K2663))&amp;K2663</f>
        <v>1</v>
      </c>
      <c r="B2663" s="52"/>
      <c r="C2663" s="53"/>
      <c r="D2663" s="54"/>
      <c r="E2663" s="55"/>
      <c r="F2663" s="55"/>
      <c r="G2663" s="55"/>
      <c r="H2663" s="55"/>
      <c r="I2663" s="55"/>
      <c r="J2663" s="55"/>
      <c r="K2663" s="56"/>
      <c r="L2663" s="55"/>
      <c r="M2663" s="55"/>
      <c r="N2663" s="55"/>
      <c r="O2663" s="55"/>
      <c r="P2663" s="55"/>
      <c r="Q2663" s="55"/>
      <c r="R2663" s="57"/>
      <c r="S2663" s="58"/>
    </row>
    <row r="2664" spans="1:19" x14ac:dyDescent="0.25">
      <c r="A2664" s="51" t="str">
        <f>(COUNTIF($K$2:K2664,K2664))&amp;K2664</f>
        <v>1</v>
      </c>
      <c r="B2664" s="52"/>
      <c r="C2664" s="53"/>
      <c r="D2664" s="54"/>
      <c r="E2664" s="55"/>
      <c r="F2664" s="55"/>
      <c r="G2664" s="55"/>
      <c r="H2664" s="55"/>
      <c r="I2664" s="55"/>
      <c r="J2664" s="55"/>
      <c r="K2664" s="56"/>
      <c r="L2664" s="55"/>
      <c r="M2664" s="55"/>
      <c r="N2664" s="55"/>
      <c r="O2664" s="55"/>
      <c r="P2664" s="55"/>
      <c r="Q2664" s="55"/>
      <c r="R2664" s="57"/>
      <c r="S2664" s="58"/>
    </row>
    <row r="2665" spans="1:19" x14ac:dyDescent="0.25">
      <c r="A2665" s="51" t="str">
        <f>(COUNTIF($K$2:K2665,K2665))&amp;K2665</f>
        <v>1</v>
      </c>
      <c r="B2665" s="52"/>
      <c r="C2665" s="53"/>
      <c r="D2665" s="54"/>
      <c r="E2665" s="55"/>
      <c r="F2665" s="55"/>
      <c r="G2665" s="55"/>
      <c r="H2665" s="55"/>
      <c r="I2665" s="55"/>
      <c r="J2665" s="55"/>
      <c r="K2665" s="56"/>
      <c r="L2665" s="55"/>
      <c r="M2665" s="55"/>
      <c r="N2665" s="55"/>
      <c r="O2665" s="55"/>
      <c r="P2665" s="55"/>
      <c r="Q2665" s="55"/>
      <c r="R2665" s="57"/>
      <c r="S2665" s="58"/>
    </row>
    <row r="2666" spans="1:19" x14ac:dyDescent="0.25">
      <c r="A2666" s="51" t="str">
        <f>(COUNTIF($K$2:K2666,K2666))&amp;K2666</f>
        <v>1</v>
      </c>
      <c r="B2666" s="52"/>
      <c r="C2666" s="53"/>
      <c r="D2666" s="54"/>
      <c r="E2666" s="55"/>
      <c r="F2666" s="55"/>
      <c r="G2666" s="55"/>
      <c r="H2666" s="55"/>
      <c r="I2666" s="55"/>
      <c r="J2666" s="55"/>
      <c r="K2666" s="56"/>
      <c r="L2666" s="55"/>
      <c r="M2666" s="55"/>
      <c r="N2666" s="55"/>
      <c r="O2666" s="55"/>
      <c r="P2666" s="55"/>
      <c r="Q2666" s="55"/>
      <c r="R2666" s="57"/>
      <c r="S2666" s="58"/>
    </row>
    <row r="2667" spans="1:19" x14ac:dyDescent="0.25">
      <c r="A2667" s="51" t="str">
        <f>(COUNTIF($K$2:K2667,K2667))&amp;K2667</f>
        <v>1</v>
      </c>
      <c r="B2667" s="52"/>
      <c r="C2667" s="53"/>
      <c r="D2667" s="54"/>
      <c r="E2667" s="55"/>
      <c r="F2667" s="55"/>
      <c r="G2667" s="55"/>
      <c r="H2667" s="55"/>
      <c r="I2667" s="55"/>
      <c r="J2667" s="55"/>
      <c r="K2667" s="56"/>
      <c r="L2667" s="55"/>
      <c r="M2667" s="55"/>
      <c r="N2667" s="55"/>
      <c r="O2667" s="55"/>
      <c r="P2667" s="55"/>
      <c r="Q2667" s="55"/>
      <c r="R2667" s="57"/>
      <c r="S2667" s="58"/>
    </row>
    <row r="2668" spans="1:19" x14ac:dyDescent="0.25">
      <c r="A2668" s="51" t="str">
        <f>(COUNTIF($K$2:K2668,K2668))&amp;K2668</f>
        <v>1</v>
      </c>
      <c r="B2668" s="52"/>
      <c r="C2668" s="53"/>
      <c r="D2668" s="54"/>
      <c r="E2668" s="55"/>
      <c r="F2668" s="55"/>
      <c r="G2668" s="55"/>
      <c r="H2668" s="55"/>
      <c r="I2668" s="55"/>
      <c r="J2668" s="55"/>
      <c r="K2668" s="56"/>
      <c r="L2668" s="55"/>
      <c r="M2668" s="55"/>
      <c r="N2668" s="55"/>
      <c r="O2668" s="55"/>
      <c r="P2668" s="55"/>
      <c r="Q2668" s="55"/>
      <c r="R2668" s="57"/>
      <c r="S2668" s="58"/>
    </row>
    <row r="2669" spans="1:19" x14ac:dyDescent="0.25">
      <c r="A2669" s="51" t="str">
        <f>(COUNTIF($K$2:K2669,K2669))&amp;K2669</f>
        <v>1</v>
      </c>
      <c r="B2669" s="52"/>
      <c r="C2669" s="53"/>
      <c r="D2669" s="54"/>
      <c r="E2669" s="55"/>
      <c r="F2669" s="55"/>
      <c r="G2669" s="55"/>
      <c r="H2669" s="55"/>
      <c r="I2669" s="55"/>
      <c r="J2669" s="55"/>
      <c r="K2669" s="56"/>
      <c r="L2669" s="55"/>
      <c r="M2669" s="55"/>
      <c r="N2669" s="55"/>
      <c r="O2669" s="55"/>
      <c r="P2669" s="55"/>
      <c r="Q2669" s="55"/>
      <c r="R2669" s="57"/>
      <c r="S2669" s="58"/>
    </row>
    <row r="2670" spans="1:19" x14ac:dyDescent="0.25">
      <c r="A2670" s="51" t="str">
        <f>(COUNTIF($K$2:K2670,K2670))&amp;K2670</f>
        <v>1</v>
      </c>
      <c r="B2670" s="52"/>
      <c r="C2670" s="60"/>
      <c r="E2670" s="61"/>
      <c r="F2670" s="62"/>
      <c r="G2670" s="63"/>
      <c r="H2670" s="64"/>
      <c r="I2670" s="64"/>
      <c r="J2670" s="64"/>
      <c r="K2670" s="65"/>
      <c r="L2670" s="64"/>
      <c r="M2670" s="64"/>
      <c r="N2670" s="64"/>
      <c r="P2670" s="63"/>
      <c r="Q2670" s="61"/>
      <c r="R2670" s="64"/>
      <c r="S2670" s="64"/>
    </row>
    <row r="2671" spans="1:19" x14ac:dyDescent="0.25">
      <c r="A2671" s="51" t="str">
        <f>(COUNTIF($K$2:K2671,K2671))&amp;K2671</f>
        <v>1</v>
      </c>
      <c r="B2671" s="52"/>
      <c r="C2671" s="53"/>
      <c r="D2671" s="54"/>
      <c r="E2671" s="55"/>
      <c r="F2671" s="55"/>
      <c r="G2671" s="55"/>
      <c r="H2671" s="55"/>
      <c r="I2671" s="55"/>
      <c r="J2671" s="55"/>
      <c r="K2671" s="56"/>
      <c r="L2671" s="55"/>
      <c r="M2671" s="55"/>
      <c r="N2671" s="55"/>
      <c r="O2671" s="55"/>
      <c r="P2671" s="55"/>
      <c r="Q2671" s="55"/>
      <c r="R2671" s="57"/>
      <c r="S2671" s="58"/>
    </row>
    <row r="2672" spans="1:19" x14ac:dyDescent="0.25">
      <c r="A2672" s="51" t="str">
        <f>(COUNTIF($K$2:K2672,K2672))&amp;K2672</f>
        <v>1</v>
      </c>
      <c r="B2672" s="52"/>
      <c r="C2672" s="53"/>
      <c r="D2672" s="54"/>
      <c r="E2672" s="55"/>
      <c r="F2672" s="55"/>
      <c r="G2672" s="55"/>
      <c r="H2672" s="55"/>
      <c r="I2672" s="55"/>
      <c r="J2672" s="55"/>
      <c r="K2672" s="56"/>
      <c r="L2672" s="55"/>
      <c r="M2672" s="55"/>
      <c r="N2672" s="55"/>
      <c r="O2672" s="55"/>
      <c r="P2672" s="55"/>
      <c r="Q2672" s="55"/>
      <c r="R2672" s="57"/>
      <c r="S2672" s="58"/>
    </row>
    <row r="2673" spans="1:19" x14ac:dyDescent="0.25">
      <c r="A2673" s="51" t="str">
        <f>(COUNTIF($K$2:K2673,K2673))&amp;K2673</f>
        <v>1</v>
      </c>
      <c r="B2673" s="52"/>
      <c r="C2673" s="53"/>
      <c r="D2673" s="54"/>
      <c r="E2673" s="55"/>
      <c r="F2673" s="55"/>
      <c r="G2673" s="55"/>
      <c r="H2673" s="55"/>
      <c r="I2673" s="55"/>
      <c r="J2673" s="55"/>
      <c r="K2673" s="56"/>
      <c r="L2673" s="55"/>
      <c r="M2673" s="55"/>
      <c r="N2673" s="55"/>
      <c r="O2673" s="55"/>
      <c r="P2673" s="55"/>
      <c r="Q2673" s="55"/>
      <c r="R2673" s="57"/>
      <c r="S2673" s="58"/>
    </row>
    <row r="2674" spans="1:19" x14ac:dyDescent="0.25">
      <c r="A2674" s="51" t="str">
        <f>(COUNTIF($K$2:K2674,K2674))&amp;K2674</f>
        <v>1</v>
      </c>
      <c r="B2674" s="52"/>
      <c r="C2674" s="53"/>
      <c r="D2674" s="54"/>
      <c r="E2674" s="55"/>
      <c r="F2674" s="55"/>
      <c r="G2674" s="55"/>
      <c r="H2674" s="55"/>
      <c r="I2674" s="55"/>
      <c r="J2674" s="55"/>
      <c r="K2674" s="56"/>
      <c r="L2674" s="55"/>
      <c r="M2674" s="55"/>
      <c r="N2674" s="55"/>
      <c r="O2674" s="55"/>
      <c r="P2674" s="55"/>
      <c r="Q2674" s="55"/>
      <c r="R2674" s="57"/>
      <c r="S2674" s="58"/>
    </row>
    <row r="2675" spans="1:19" x14ac:dyDescent="0.25">
      <c r="A2675" s="51" t="str">
        <f>(COUNTIF($K$2:K2675,K2675))&amp;K2675</f>
        <v>1</v>
      </c>
      <c r="B2675" s="52"/>
      <c r="C2675" s="53"/>
      <c r="D2675" s="54"/>
      <c r="E2675" s="55"/>
      <c r="F2675" s="55"/>
      <c r="G2675" s="55"/>
      <c r="H2675" s="55"/>
      <c r="I2675" s="55"/>
      <c r="J2675" s="55"/>
      <c r="K2675" s="56"/>
      <c r="L2675" s="55"/>
      <c r="M2675" s="55"/>
      <c r="N2675" s="55"/>
      <c r="O2675" s="55"/>
      <c r="P2675" s="55"/>
      <c r="Q2675" s="55"/>
      <c r="R2675" s="57"/>
      <c r="S2675" s="58"/>
    </row>
    <row r="2676" spans="1:19" x14ac:dyDescent="0.25">
      <c r="A2676" s="51" t="str">
        <f>(COUNTIF($K$2:K2676,K2676))&amp;K2676</f>
        <v>1</v>
      </c>
      <c r="B2676" s="52"/>
      <c r="C2676" s="53"/>
      <c r="D2676" s="54"/>
      <c r="E2676" s="55"/>
      <c r="F2676" s="55"/>
      <c r="G2676" s="55"/>
      <c r="H2676" s="55"/>
      <c r="I2676" s="55"/>
      <c r="J2676" s="55"/>
      <c r="K2676" s="56"/>
      <c r="L2676" s="55"/>
      <c r="M2676" s="55"/>
      <c r="N2676" s="55"/>
      <c r="O2676" s="55"/>
      <c r="P2676" s="55"/>
      <c r="Q2676" s="55"/>
      <c r="R2676" s="57"/>
      <c r="S2676" s="58"/>
    </row>
    <row r="2677" spans="1:19" x14ac:dyDescent="0.25">
      <c r="A2677" s="51" t="str">
        <f>(COUNTIF($K$2:K2677,K2677))&amp;K2677</f>
        <v>1</v>
      </c>
      <c r="B2677" s="52"/>
      <c r="C2677" s="53"/>
      <c r="D2677" s="54"/>
      <c r="E2677" s="55"/>
      <c r="F2677" s="55"/>
      <c r="G2677" s="55"/>
      <c r="H2677" s="55"/>
      <c r="I2677" s="55"/>
      <c r="J2677" s="55"/>
      <c r="K2677" s="56"/>
      <c r="L2677" s="55"/>
      <c r="M2677" s="55"/>
      <c r="N2677" s="55"/>
      <c r="O2677" s="55"/>
      <c r="P2677" s="55"/>
      <c r="Q2677" s="55"/>
      <c r="R2677" s="57"/>
      <c r="S2677" s="58"/>
    </row>
    <row r="2678" spans="1:19" x14ac:dyDescent="0.25">
      <c r="B2678" s="52"/>
      <c r="C2678" s="53"/>
      <c r="D2678" s="54"/>
      <c r="E2678" s="55"/>
      <c r="F2678" s="55"/>
      <c r="G2678" s="55"/>
      <c r="H2678" s="55"/>
      <c r="I2678" s="55"/>
      <c r="J2678" s="55"/>
      <c r="K2678" s="56"/>
      <c r="L2678" s="55"/>
      <c r="M2678" s="55"/>
      <c r="N2678" s="55"/>
      <c r="O2678" s="55"/>
      <c r="P2678" s="55"/>
      <c r="Q2678" s="55"/>
      <c r="R2678" s="57"/>
      <c r="S2678" s="58"/>
    </row>
    <row r="2679" spans="1:19" ht="15.75" x14ac:dyDescent="0.25">
      <c r="B2679" s="52"/>
      <c r="C2679" s="53"/>
      <c r="D2679" s="54"/>
      <c r="E2679" s="55"/>
      <c r="F2679" s="55"/>
      <c r="G2679" s="55"/>
      <c r="H2679" s="55"/>
      <c r="I2679" s="55"/>
      <c r="J2679" s="55"/>
      <c r="K2679" s="59"/>
      <c r="L2679" s="55"/>
      <c r="M2679" s="55"/>
      <c r="N2679" s="55"/>
      <c r="O2679" s="55"/>
      <c r="P2679" s="55"/>
      <c r="Q2679" s="55"/>
      <c r="R2679" s="57"/>
      <c r="S2679" s="58"/>
    </row>
    <row r="2680" spans="1:19" x14ac:dyDescent="0.25">
      <c r="B2680" s="52"/>
      <c r="C2680" s="53"/>
      <c r="D2680" s="54"/>
      <c r="E2680" s="55"/>
      <c r="F2680" s="55"/>
      <c r="G2680" s="55"/>
      <c r="H2680" s="55"/>
      <c r="I2680" s="55"/>
      <c r="J2680" s="55"/>
      <c r="K2680" s="56"/>
      <c r="L2680" s="55"/>
      <c r="M2680" s="55"/>
      <c r="N2680" s="55"/>
      <c r="O2680" s="55"/>
      <c r="P2680" s="55"/>
      <c r="Q2680" s="55"/>
      <c r="R2680" s="57"/>
      <c r="S2680" s="58"/>
    </row>
    <row r="2681" spans="1:19" x14ac:dyDescent="0.25">
      <c r="B2681" s="52"/>
      <c r="C2681" s="53"/>
      <c r="D2681" s="54"/>
      <c r="E2681" s="55"/>
      <c r="F2681" s="55"/>
      <c r="G2681" s="55"/>
      <c r="H2681" s="55"/>
      <c r="I2681" s="55"/>
      <c r="J2681" s="55"/>
      <c r="K2681" s="56"/>
      <c r="L2681" s="55"/>
      <c r="M2681" s="55"/>
      <c r="N2681" s="55"/>
      <c r="O2681" s="55"/>
      <c r="P2681" s="55"/>
      <c r="Q2681" s="55"/>
      <c r="R2681" s="57"/>
      <c r="S2681" s="58"/>
    </row>
    <row r="2682" spans="1:19" x14ac:dyDescent="0.25">
      <c r="B2682" s="52"/>
      <c r="C2682" s="53"/>
      <c r="D2682" s="54"/>
      <c r="E2682" s="55"/>
      <c r="F2682" s="55"/>
      <c r="G2682" s="55"/>
      <c r="H2682" s="55"/>
      <c r="I2682" s="55"/>
      <c r="J2682" s="55"/>
      <c r="K2682" s="56"/>
      <c r="L2682" s="55"/>
      <c r="M2682" s="55"/>
      <c r="N2682" s="55"/>
      <c r="O2682" s="55"/>
      <c r="P2682" s="55"/>
      <c r="Q2682" s="55"/>
      <c r="R2682" s="57"/>
      <c r="S2682" s="58"/>
    </row>
    <row r="2683" spans="1:19" x14ac:dyDescent="0.25">
      <c r="B2683" s="52"/>
      <c r="C2683" s="53"/>
      <c r="D2683" s="54"/>
      <c r="E2683" s="55"/>
      <c r="F2683" s="55"/>
      <c r="G2683" s="55"/>
      <c r="H2683" s="55"/>
      <c r="I2683" s="55"/>
      <c r="J2683" s="55"/>
      <c r="K2683" s="56"/>
      <c r="L2683" s="55"/>
      <c r="M2683" s="55"/>
      <c r="N2683" s="55"/>
      <c r="O2683" s="55"/>
      <c r="P2683" s="55"/>
      <c r="Q2683" s="55"/>
      <c r="R2683" s="57"/>
      <c r="S2683" s="58"/>
    </row>
    <row r="2684" spans="1:19" x14ac:dyDescent="0.25">
      <c r="B2684" s="52"/>
      <c r="C2684" s="53"/>
      <c r="D2684" s="54"/>
      <c r="E2684" s="55"/>
      <c r="F2684" s="55"/>
      <c r="G2684" s="55"/>
      <c r="H2684" s="55"/>
      <c r="I2684" s="55"/>
      <c r="J2684" s="55"/>
      <c r="K2684" s="56"/>
      <c r="L2684" s="55"/>
      <c r="M2684" s="55"/>
      <c r="N2684" s="55"/>
      <c r="O2684" s="55"/>
      <c r="P2684" s="55"/>
      <c r="Q2684" s="55"/>
      <c r="R2684" s="57"/>
      <c r="S2684" s="58"/>
    </row>
    <row r="2685" spans="1:19" x14ac:dyDescent="0.25">
      <c r="B2685" s="52"/>
      <c r="C2685" s="53"/>
      <c r="D2685" s="54"/>
      <c r="E2685" s="55"/>
      <c r="F2685" s="55"/>
      <c r="G2685" s="55"/>
      <c r="H2685" s="55"/>
      <c r="I2685" s="55"/>
      <c r="J2685" s="55"/>
      <c r="K2685" s="56"/>
      <c r="L2685" s="55"/>
      <c r="M2685" s="55"/>
      <c r="N2685" s="55"/>
      <c r="O2685" s="55"/>
      <c r="P2685" s="55"/>
      <c r="Q2685" s="55"/>
      <c r="R2685" s="57"/>
      <c r="S2685" s="58"/>
    </row>
    <row r="2686" spans="1:19" x14ac:dyDescent="0.25">
      <c r="B2686" s="52"/>
      <c r="C2686" s="53"/>
      <c r="D2686" s="54"/>
      <c r="E2686" s="55"/>
      <c r="F2686" s="55"/>
      <c r="G2686" s="55"/>
      <c r="H2686" s="55"/>
      <c r="I2686" s="55"/>
      <c r="J2686" s="55"/>
      <c r="K2686" s="56"/>
      <c r="L2686" s="55"/>
      <c r="M2686" s="55"/>
      <c r="N2686" s="55"/>
      <c r="O2686" s="55"/>
      <c r="P2686" s="55"/>
      <c r="Q2686" s="55"/>
      <c r="R2686" s="57"/>
      <c r="S2686" s="58"/>
    </row>
    <row r="2687" spans="1:19" x14ac:dyDescent="0.25">
      <c r="B2687" s="52"/>
      <c r="C2687" s="60"/>
      <c r="E2687" s="61"/>
      <c r="F2687" s="62"/>
      <c r="G2687" s="63"/>
      <c r="H2687" s="64"/>
      <c r="I2687" s="64"/>
      <c r="J2687" s="64"/>
      <c r="K2687" s="65"/>
      <c r="L2687" s="64"/>
      <c r="M2687" s="64"/>
      <c r="N2687" s="64"/>
      <c r="P2687" s="63"/>
      <c r="Q2687" s="61"/>
      <c r="R2687" s="64"/>
      <c r="S2687" s="64"/>
    </row>
    <row r="2688" spans="1:19" x14ac:dyDescent="0.25">
      <c r="B2688" s="52"/>
      <c r="C2688" s="53"/>
      <c r="D2688" s="54"/>
      <c r="E2688" s="55"/>
      <c r="F2688" s="55"/>
      <c r="G2688" s="55"/>
      <c r="H2688" s="55"/>
      <c r="I2688" s="55"/>
      <c r="J2688" s="55"/>
      <c r="K2688" s="56"/>
      <c r="L2688" s="55"/>
      <c r="M2688" s="55"/>
      <c r="N2688" s="55"/>
      <c r="O2688" s="55"/>
      <c r="P2688" s="55"/>
      <c r="Q2688" s="55"/>
      <c r="R2688" s="57"/>
      <c r="S2688" s="58"/>
    </row>
    <row r="2689" spans="2:19" x14ac:dyDescent="0.25">
      <c r="B2689" s="52"/>
      <c r="C2689" s="53"/>
      <c r="D2689" s="54"/>
      <c r="E2689" s="55"/>
      <c r="F2689" s="55"/>
      <c r="G2689" s="55"/>
      <c r="H2689" s="55"/>
      <c r="I2689" s="55"/>
      <c r="J2689" s="55"/>
      <c r="K2689" s="56"/>
      <c r="L2689" s="55"/>
      <c r="M2689" s="55"/>
      <c r="N2689" s="55"/>
      <c r="O2689" s="55"/>
      <c r="P2689" s="55"/>
      <c r="Q2689" s="55"/>
      <c r="R2689" s="57"/>
      <c r="S2689" s="58"/>
    </row>
    <row r="2690" spans="2:19" x14ac:dyDescent="0.25">
      <c r="B2690" s="52"/>
      <c r="C2690" s="53"/>
      <c r="D2690" s="54"/>
      <c r="E2690" s="55"/>
      <c r="F2690" s="55"/>
      <c r="G2690" s="55"/>
      <c r="H2690" s="55"/>
      <c r="I2690" s="55"/>
      <c r="J2690" s="55"/>
      <c r="K2690" s="56"/>
      <c r="L2690" s="55"/>
      <c r="M2690" s="55"/>
      <c r="N2690" s="55"/>
      <c r="O2690" s="55"/>
      <c r="P2690" s="55"/>
      <c r="Q2690" s="55"/>
      <c r="R2690" s="57"/>
      <c r="S2690" s="58"/>
    </row>
    <row r="2691" spans="2:19" x14ac:dyDescent="0.25">
      <c r="B2691" s="52"/>
      <c r="C2691" s="53"/>
      <c r="D2691" s="54"/>
      <c r="E2691" s="55"/>
      <c r="F2691" s="55"/>
      <c r="G2691" s="55"/>
      <c r="H2691" s="55"/>
      <c r="I2691" s="55"/>
      <c r="J2691" s="55"/>
      <c r="K2691" s="56"/>
      <c r="L2691" s="55"/>
      <c r="M2691" s="55"/>
      <c r="N2691" s="55"/>
      <c r="O2691" s="55"/>
      <c r="P2691" s="55"/>
      <c r="Q2691" s="55"/>
      <c r="R2691" s="57"/>
      <c r="S2691" s="58"/>
    </row>
    <row r="2692" spans="2:19" x14ac:dyDescent="0.25">
      <c r="B2692" s="52"/>
      <c r="C2692" s="53"/>
      <c r="D2692" s="54"/>
      <c r="E2692" s="55"/>
      <c r="F2692" s="55"/>
      <c r="G2692" s="55"/>
      <c r="H2692" s="55"/>
      <c r="I2692" s="55"/>
      <c r="J2692" s="55"/>
      <c r="K2692" s="56"/>
      <c r="L2692" s="55"/>
      <c r="M2692" s="55"/>
      <c r="N2692" s="55"/>
      <c r="O2692" s="55"/>
      <c r="P2692" s="55"/>
      <c r="Q2692" s="55"/>
      <c r="R2692" s="57"/>
      <c r="S2692" s="58"/>
    </row>
    <row r="2693" spans="2:19" x14ac:dyDescent="0.25">
      <c r="B2693" s="52"/>
      <c r="C2693" s="53"/>
      <c r="D2693" s="54"/>
      <c r="E2693" s="55"/>
      <c r="F2693" s="55"/>
      <c r="G2693" s="55"/>
      <c r="H2693" s="55"/>
      <c r="I2693" s="55"/>
      <c r="J2693" s="55"/>
      <c r="K2693" s="56"/>
      <c r="L2693" s="55"/>
      <c r="M2693" s="55"/>
      <c r="N2693" s="55"/>
      <c r="O2693" s="55"/>
      <c r="P2693" s="55"/>
      <c r="Q2693" s="55"/>
      <c r="R2693" s="57"/>
      <c r="S2693" s="58"/>
    </row>
    <row r="2694" spans="2:19" x14ac:dyDescent="0.25">
      <c r="B2694" s="52"/>
      <c r="C2694" s="53"/>
      <c r="D2694" s="54"/>
      <c r="E2694" s="55"/>
      <c r="F2694" s="55"/>
      <c r="G2694" s="55"/>
      <c r="H2694" s="55"/>
      <c r="I2694" s="55"/>
      <c r="J2694" s="55"/>
      <c r="K2694" s="56"/>
      <c r="L2694" s="55"/>
      <c r="M2694" s="55"/>
      <c r="N2694" s="55"/>
      <c r="O2694" s="55"/>
      <c r="P2694" s="55"/>
      <c r="Q2694" s="55"/>
      <c r="R2694" s="57"/>
      <c r="S2694" s="58"/>
    </row>
    <row r="2695" spans="2:19" x14ac:dyDescent="0.25">
      <c r="B2695" s="52"/>
      <c r="C2695" s="53"/>
      <c r="D2695" s="54"/>
      <c r="E2695" s="55"/>
      <c r="F2695" s="55"/>
      <c r="G2695" s="55"/>
      <c r="H2695" s="55"/>
      <c r="I2695" s="55"/>
      <c r="J2695" s="55"/>
      <c r="K2695" s="56"/>
      <c r="L2695" s="55"/>
      <c r="M2695" s="55"/>
      <c r="N2695" s="55"/>
      <c r="O2695" s="55"/>
      <c r="P2695" s="55"/>
      <c r="Q2695" s="55"/>
      <c r="R2695" s="57"/>
      <c r="S2695" s="58"/>
    </row>
    <row r="2696" spans="2:19" ht="15.75" x14ac:dyDescent="0.25">
      <c r="B2696" s="52"/>
      <c r="C2696" s="53"/>
      <c r="D2696" s="54"/>
      <c r="E2696" s="55"/>
      <c r="F2696" s="55"/>
      <c r="G2696" s="55"/>
      <c r="H2696" s="55"/>
      <c r="I2696" s="55"/>
      <c r="J2696" s="55"/>
      <c r="K2696" s="59"/>
      <c r="L2696" s="55"/>
      <c r="M2696" s="55"/>
      <c r="N2696" s="55"/>
      <c r="O2696" s="55"/>
      <c r="P2696" s="55"/>
      <c r="Q2696" s="55"/>
      <c r="R2696" s="57"/>
      <c r="S2696" s="58"/>
    </row>
    <row r="2697" spans="2:19" x14ac:dyDescent="0.25">
      <c r="B2697" s="52"/>
      <c r="C2697" s="53"/>
      <c r="D2697" s="54"/>
      <c r="E2697" s="55"/>
      <c r="F2697" s="55"/>
      <c r="G2697" s="55"/>
      <c r="H2697" s="55"/>
      <c r="I2697" s="55"/>
      <c r="J2697" s="55"/>
      <c r="K2697" s="56"/>
      <c r="L2697" s="55"/>
      <c r="M2697" s="55"/>
      <c r="N2697" s="55"/>
      <c r="O2697" s="55"/>
      <c r="P2697" s="55"/>
      <c r="Q2697" s="55"/>
      <c r="R2697" s="57"/>
      <c r="S2697" s="58"/>
    </row>
    <row r="2698" spans="2:19" x14ac:dyDescent="0.25">
      <c r="B2698" s="52"/>
      <c r="C2698" s="53"/>
      <c r="D2698" s="54"/>
      <c r="E2698" s="55"/>
      <c r="F2698" s="55"/>
      <c r="G2698" s="55"/>
      <c r="H2698" s="55"/>
      <c r="I2698" s="55"/>
      <c r="J2698" s="55"/>
      <c r="K2698" s="56"/>
      <c r="L2698" s="55"/>
      <c r="M2698" s="55"/>
      <c r="N2698" s="55"/>
      <c r="O2698" s="55"/>
      <c r="P2698" s="55"/>
      <c r="Q2698" s="55"/>
      <c r="R2698" s="57"/>
      <c r="S2698" s="58"/>
    </row>
    <row r="2699" spans="2:19" x14ac:dyDescent="0.25">
      <c r="B2699" s="52"/>
      <c r="C2699" s="53"/>
      <c r="D2699" s="54"/>
      <c r="E2699" s="55"/>
      <c r="F2699" s="55"/>
      <c r="G2699" s="55"/>
      <c r="H2699" s="55"/>
      <c r="I2699" s="55"/>
      <c r="J2699" s="55"/>
      <c r="K2699" s="56"/>
      <c r="L2699" s="55"/>
      <c r="M2699" s="55"/>
      <c r="N2699" s="55"/>
      <c r="O2699" s="55"/>
      <c r="P2699" s="55"/>
      <c r="Q2699" s="55"/>
      <c r="R2699" s="57"/>
      <c r="S2699" s="58"/>
    </row>
    <row r="2700" spans="2:19" x14ac:dyDescent="0.25">
      <c r="B2700" s="52"/>
      <c r="C2700" s="53"/>
      <c r="D2700" s="54"/>
      <c r="E2700" s="55"/>
      <c r="F2700" s="55"/>
      <c r="G2700" s="55"/>
      <c r="H2700" s="55"/>
      <c r="I2700" s="55"/>
      <c r="J2700" s="55"/>
      <c r="K2700" s="56"/>
      <c r="L2700" s="55"/>
      <c r="M2700" s="55"/>
      <c r="N2700" s="55"/>
      <c r="O2700" s="55"/>
      <c r="P2700" s="55"/>
      <c r="Q2700" s="55"/>
      <c r="R2700" s="57"/>
      <c r="S2700" s="58"/>
    </row>
    <row r="2701" spans="2:19" x14ac:dyDescent="0.25">
      <c r="B2701" s="52"/>
      <c r="C2701" s="53"/>
      <c r="D2701" s="54"/>
      <c r="E2701" s="55"/>
      <c r="F2701" s="55"/>
      <c r="G2701" s="55"/>
      <c r="H2701" s="55"/>
      <c r="I2701" s="55"/>
      <c r="J2701" s="55"/>
      <c r="K2701" s="56"/>
      <c r="L2701" s="55"/>
      <c r="M2701" s="55"/>
      <c r="N2701" s="55"/>
      <c r="O2701" s="55"/>
      <c r="P2701" s="55"/>
      <c r="Q2701" s="55"/>
      <c r="R2701" s="57"/>
      <c r="S2701" s="58"/>
    </row>
    <row r="2702" spans="2:19" x14ac:dyDescent="0.25">
      <c r="B2702" s="52"/>
      <c r="C2702" s="53"/>
      <c r="D2702" s="54"/>
      <c r="E2702" s="55"/>
      <c r="F2702" s="55"/>
      <c r="G2702" s="55"/>
      <c r="H2702" s="55"/>
      <c r="I2702" s="55"/>
      <c r="J2702" s="55"/>
      <c r="K2702" s="56"/>
      <c r="L2702" s="55"/>
      <c r="M2702" s="55"/>
      <c r="N2702" s="55"/>
      <c r="O2702" s="55"/>
      <c r="P2702" s="55"/>
      <c r="Q2702" s="55"/>
      <c r="R2702" s="57"/>
      <c r="S2702" s="58"/>
    </row>
    <row r="2703" spans="2:19" x14ac:dyDescent="0.25">
      <c r="B2703" s="52"/>
      <c r="C2703" s="53"/>
      <c r="D2703" s="54"/>
      <c r="E2703" s="55"/>
      <c r="F2703" s="55"/>
      <c r="G2703" s="55"/>
      <c r="H2703" s="55"/>
      <c r="I2703" s="55"/>
      <c r="J2703" s="55"/>
      <c r="K2703" s="56"/>
      <c r="L2703" s="55"/>
      <c r="M2703" s="55"/>
      <c r="N2703" s="55"/>
      <c r="O2703" s="55"/>
      <c r="P2703" s="55"/>
      <c r="Q2703" s="55"/>
      <c r="R2703" s="57"/>
      <c r="S2703" s="58"/>
    </row>
    <row r="2704" spans="2:19" x14ac:dyDescent="0.25">
      <c r="B2704" s="52"/>
      <c r="C2704" s="60"/>
      <c r="E2704" s="61"/>
      <c r="F2704" s="62"/>
      <c r="G2704" s="63"/>
      <c r="H2704" s="64"/>
      <c r="I2704" s="64"/>
      <c r="J2704" s="64"/>
      <c r="K2704" s="65"/>
      <c r="L2704" s="64"/>
      <c r="M2704" s="64"/>
      <c r="N2704" s="64"/>
      <c r="P2704" s="63"/>
      <c r="Q2704" s="61"/>
      <c r="R2704" s="64"/>
      <c r="S2704" s="64"/>
    </row>
    <row r="2705" spans="2:19" x14ac:dyDescent="0.25">
      <c r="B2705" s="52"/>
      <c r="C2705" s="53"/>
      <c r="D2705" s="54"/>
      <c r="E2705" s="55"/>
      <c r="F2705" s="55"/>
      <c r="G2705" s="55"/>
      <c r="H2705" s="55"/>
      <c r="I2705" s="55"/>
      <c r="J2705" s="55"/>
      <c r="K2705" s="56"/>
      <c r="L2705" s="55"/>
      <c r="M2705" s="55"/>
      <c r="N2705" s="55"/>
      <c r="O2705" s="55"/>
      <c r="P2705" s="55"/>
      <c r="Q2705" s="55"/>
      <c r="R2705" s="57"/>
      <c r="S2705" s="58"/>
    </row>
    <row r="2706" spans="2:19" x14ac:dyDescent="0.25">
      <c r="B2706" s="52"/>
      <c r="C2706" s="53"/>
      <c r="D2706" s="54"/>
      <c r="E2706" s="55"/>
      <c r="F2706" s="55"/>
      <c r="G2706" s="55"/>
      <c r="H2706" s="55"/>
      <c r="I2706" s="55"/>
      <c r="J2706" s="55"/>
      <c r="K2706" s="56"/>
      <c r="L2706" s="55"/>
      <c r="M2706" s="55"/>
      <c r="N2706" s="55"/>
      <c r="O2706" s="55"/>
      <c r="P2706" s="55"/>
      <c r="Q2706" s="55"/>
      <c r="R2706" s="57"/>
      <c r="S2706" s="58"/>
    </row>
    <row r="2707" spans="2:19" x14ac:dyDescent="0.25">
      <c r="B2707" s="52"/>
      <c r="C2707" s="53"/>
      <c r="D2707" s="54"/>
      <c r="E2707" s="55"/>
      <c r="F2707" s="55"/>
      <c r="G2707" s="55"/>
      <c r="H2707" s="55"/>
      <c r="I2707" s="55"/>
      <c r="J2707" s="55"/>
      <c r="K2707" s="56"/>
      <c r="L2707" s="55"/>
      <c r="M2707" s="55"/>
      <c r="N2707" s="55"/>
      <c r="O2707" s="55"/>
      <c r="P2707" s="55"/>
      <c r="Q2707" s="55"/>
      <c r="R2707" s="57"/>
      <c r="S2707" s="58"/>
    </row>
    <row r="2708" spans="2:19" x14ac:dyDescent="0.25">
      <c r="B2708" s="52"/>
      <c r="C2708" s="53"/>
      <c r="D2708" s="54"/>
      <c r="E2708" s="55"/>
      <c r="F2708" s="55"/>
      <c r="G2708" s="55"/>
      <c r="H2708" s="55"/>
      <c r="I2708" s="55"/>
      <c r="J2708" s="55"/>
      <c r="K2708" s="56"/>
      <c r="L2708" s="55"/>
      <c r="M2708" s="55"/>
      <c r="N2708" s="55"/>
      <c r="O2708" s="55"/>
      <c r="P2708" s="55"/>
      <c r="Q2708" s="55"/>
      <c r="R2708" s="57"/>
      <c r="S2708" s="58"/>
    </row>
    <row r="2709" spans="2:19" x14ac:dyDescent="0.25">
      <c r="B2709" s="52"/>
      <c r="C2709" s="53"/>
      <c r="D2709" s="54"/>
      <c r="E2709" s="55"/>
      <c r="F2709" s="55"/>
      <c r="G2709" s="55"/>
      <c r="H2709" s="55"/>
      <c r="I2709" s="55"/>
      <c r="J2709" s="55"/>
      <c r="K2709" s="56"/>
      <c r="L2709" s="55"/>
      <c r="M2709" s="55"/>
      <c r="N2709" s="55"/>
      <c r="O2709" s="55"/>
      <c r="P2709" s="55"/>
      <c r="Q2709" s="55"/>
      <c r="R2709" s="57"/>
      <c r="S2709" s="58"/>
    </row>
    <row r="2710" spans="2:19" x14ac:dyDescent="0.25">
      <c r="B2710" s="52"/>
      <c r="C2710" s="53"/>
      <c r="D2710" s="54"/>
      <c r="E2710" s="55"/>
      <c r="F2710" s="55"/>
      <c r="G2710" s="55"/>
      <c r="H2710" s="55"/>
      <c r="I2710" s="55"/>
      <c r="J2710" s="55"/>
      <c r="K2710" s="56"/>
      <c r="L2710" s="55"/>
      <c r="M2710" s="55"/>
      <c r="N2710" s="55"/>
      <c r="O2710" s="55"/>
      <c r="P2710" s="55"/>
      <c r="Q2710" s="55"/>
      <c r="R2710" s="57"/>
      <c r="S2710" s="58"/>
    </row>
    <row r="2711" spans="2:19" x14ac:dyDescent="0.25">
      <c r="B2711" s="52"/>
      <c r="C2711" s="53"/>
      <c r="D2711" s="54"/>
      <c r="E2711" s="55"/>
      <c r="F2711" s="55"/>
      <c r="G2711" s="55"/>
      <c r="H2711" s="55"/>
      <c r="I2711" s="55"/>
      <c r="J2711" s="55"/>
      <c r="K2711" s="56"/>
      <c r="L2711" s="55"/>
      <c r="M2711" s="55"/>
      <c r="N2711" s="55"/>
      <c r="O2711" s="55"/>
      <c r="P2711" s="55"/>
      <c r="Q2711" s="55"/>
      <c r="R2711" s="57"/>
      <c r="S2711" s="58"/>
    </row>
    <row r="2712" spans="2:19" x14ac:dyDescent="0.25">
      <c r="B2712" s="52"/>
      <c r="C2712" s="53"/>
      <c r="D2712" s="54"/>
      <c r="E2712" s="55"/>
      <c r="F2712" s="55"/>
      <c r="G2712" s="55"/>
      <c r="H2712" s="55"/>
      <c r="I2712" s="55"/>
      <c r="J2712" s="55"/>
      <c r="K2712" s="56"/>
      <c r="L2712" s="55"/>
      <c r="M2712" s="55"/>
      <c r="N2712" s="55"/>
      <c r="O2712" s="55"/>
      <c r="P2712" s="55"/>
      <c r="Q2712" s="55"/>
      <c r="R2712" s="57"/>
      <c r="S2712" s="58"/>
    </row>
    <row r="2713" spans="2:19" ht="15.75" x14ac:dyDescent="0.25">
      <c r="B2713" s="52"/>
      <c r="C2713" s="53"/>
      <c r="D2713" s="54"/>
      <c r="E2713" s="55"/>
      <c r="F2713" s="55"/>
      <c r="G2713" s="55"/>
      <c r="H2713" s="55"/>
      <c r="I2713" s="55"/>
      <c r="J2713" s="55"/>
      <c r="K2713" s="59"/>
      <c r="L2713" s="55"/>
      <c r="M2713" s="55"/>
      <c r="N2713" s="55"/>
      <c r="O2713" s="55"/>
      <c r="P2713" s="55"/>
      <c r="Q2713" s="55"/>
      <c r="R2713" s="57"/>
      <c r="S2713" s="58"/>
    </row>
    <row r="2714" spans="2:19" x14ac:dyDescent="0.25">
      <c r="B2714" s="52"/>
      <c r="C2714" s="53"/>
      <c r="D2714" s="54"/>
      <c r="E2714" s="55"/>
      <c r="F2714" s="55"/>
      <c r="G2714" s="55"/>
      <c r="H2714" s="55"/>
      <c r="I2714" s="55"/>
      <c r="J2714" s="55"/>
      <c r="K2714" s="56"/>
      <c r="L2714" s="55"/>
      <c r="M2714" s="55"/>
      <c r="N2714" s="55"/>
      <c r="O2714" s="55"/>
      <c r="P2714" s="55"/>
      <c r="Q2714" s="55"/>
      <c r="R2714" s="57"/>
      <c r="S2714" s="58"/>
    </row>
    <row r="2715" spans="2:19" x14ac:dyDescent="0.25">
      <c r="B2715" s="52"/>
      <c r="C2715" s="53"/>
      <c r="D2715" s="54"/>
      <c r="E2715" s="55"/>
      <c r="F2715" s="55"/>
      <c r="G2715" s="55"/>
      <c r="H2715" s="55"/>
      <c r="I2715" s="55"/>
      <c r="J2715" s="55"/>
      <c r="K2715" s="56"/>
      <c r="L2715" s="55"/>
      <c r="M2715" s="55"/>
      <c r="N2715" s="55"/>
      <c r="O2715" s="55"/>
      <c r="P2715" s="55"/>
      <c r="Q2715" s="55"/>
      <c r="R2715" s="57"/>
      <c r="S2715" s="58"/>
    </row>
    <row r="2716" spans="2:19" x14ac:dyDescent="0.25">
      <c r="B2716" s="52"/>
      <c r="C2716" s="53"/>
      <c r="D2716" s="54"/>
      <c r="E2716" s="55"/>
      <c r="F2716" s="55"/>
      <c r="G2716" s="55"/>
      <c r="H2716" s="55"/>
      <c r="I2716" s="55"/>
      <c r="J2716" s="55"/>
      <c r="K2716" s="56"/>
      <c r="L2716" s="55"/>
      <c r="M2716" s="55"/>
      <c r="N2716" s="55"/>
      <c r="O2716" s="55"/>
      <c r="P2716" s="55"/>
      <c r="Q2716" s="55"/>
      <c r="R2716" s="57"/>
      <c r="S2716" s="58"/>
    </row>
    <row r="2717" spans="2:19" x14ac:dyDescent="0.25">
      <c r="B2717" s="52"/>
      <c r="C2717" s="53"/>
      <c r="D2717" s="54"/>
      <c r="E2717" s="55"/>
      <c r="F2717" s="55"/>
      <c r="G2717" s="55"/>
      <c r="H2717" s="55"/>
      <c r="I2717" s="55"/>
      <c r="J2717" s="55"/>
      <c r="K2717" s="56"/>
      <c r="L2717" s="55"/>
      <c r="M2717" s="55"/>
      <c r="N2717" s="55"/>
      <c r="O2717" s="55"/>
      <c r="P2717" s="55"/>
      <c r="Q2717" s="55"/>
      <c r="R2717" s="57"/>
      <c r="S2717" s="58"/>
    </row>
    <row r="2718" spans="2:19" x14ac:dyDescent="0.25">
      <c r="B2718" s="52"/>
      <c r="C2718" s="53"/>
      <c r="D2718" s="54"/>
      <c r="E2718" s="55"/>
      <c r="F2718" s="55"/>
      <c r="G2718" s="55"/>
      <c r="H2718" s="55"/>
      <c r="I2718" s="55"/>
      <c r="J2718" s="55"/>
      <c r="K2718" s="56"/>
      <c r="L2718" s="55"/>
      <c r="M2718" s="55"/>
      <c r="N2718" s="55"/>
      <c r="O2718" s="55"/>
      <c r="P2718" s="55"/>
      <c r="Q2718" s="55"/>
      <c r="R2718" s="57"/>
      <c r="S2718" s="58"/>
    </row>
    <row r="2719" spans="2:19" x14ac:dyDescent="0.25">
      <c r="B2719" s="52"/>
      <c r="C2719" s="53"/>
      <c r="D2719" s="54"/>
      <c r="E2719" s="55"/>
      <c r="F2719" s="55"/>
      <c r="G2719" s="55"/>
      <c r="H2719" s="55"/>
      <c r="I2719" s="55"/>
      <c r="J2719" s="55"/>
      <c r="K2719" s="56"/>
      <c r="L2719" s="55"/>
      <c r="M2719" s="55"/>
      <c r="N2719" s="55"/>
      <c r="O2719" s="55"/>
      <c r="P2719" s="55"/>
      <c r="Q2719" s="55"/>
      <c r="R2719" s="57"/>
      <c r="S2719" s="58"/>
    </row>
    <row r="2720" spans="2:19" x14ac:dyDescent="0.25">
      <c r="B2720" s="52"/>
      <c r="C2720" s="53"/>
      <c r="D2720" s="54"/>
      <c r="E2720" s="55"/>
      <c r="F2720" s="55"/>
      <c r="G2720" s="55"/>
      <c r="H2720" s="55"/>
      <c r="I2720" s="55"/>
      <c r="J2720" s="55"/>
      <c r="K2720" s="56"/>
      <c r="L2720" s="55"/>
      <c r="M2720" s="55"/>
      <c r="N2720" s="55"/>
      <c r="O2720" s="55"/>
      <c r="P2720" s="55"/>
      <c r="Q2720" s="55"/>
      <c r="R2720" s="57"/>
      <c r="S2720" s="58"/>
    </row>
    <row r="2721" spans="2:19" x14ac:dyDescent="0.25">
      <c r="B2721" s="52"/>
      <c r="C2721" s="60"/>
      <c r="E2721" s="61"/>
      <c r="F2721" s="62"/>
      <c r="G2721" s="63"/>
      <c r="H2721" s="64"/>
      <c r="I2721" s="64"/>
      <c r="J2721" s="64"/>
      <c r="K2721" s="65"/>
      <c r="L2721" s="64"/>
      <c r="M2721" s="64"/>
      <c r="N2721" s="64"/>
      <c r="P2721" s="63"/>
      <c r="Q2721" s="61"/>
      <c r="R2721" s="64"/>
      <c r="S2721" s="64"/>
    </row>
    <row r="2722" spans="2:19" x14ac:dyDescent="0.25">
      <c r="B2722" s="52"/>
      <c r="C2722" s="53"/>
      <c r="D2722" s="54"/>
      <c r="E2722" s="55"/>
      <c r="F2722" s="55"/>
      <c r="G2722" s="55"/>
      <c r="H2722" s="55"/>
      <c r="I2722" s="55"/>
      <c r="J2722" s="55"/>
      <c r="K2722" s="56"/>
      <c r="L2722" s="55"/>
      <c r="M2722" s="55"/>
      <c r="N2722" s="55"/>
      <c r="O2722" s="55"/>
      <c r="P2722" s="55"/>
      <c r="Q2722" s="55"/>
      <c r="R2722" s="57"/>
      <c r="S2722" s="58"/>
    </row>
    <row r="2723" spans="2:19" x14ac:dyDescent="0.25">
      <c r="B2723" s="52"/>
      <c r="C2723" s="53"/>
      <c r="D2723" s="54"/>
      <c r="E2723" s="55"/>
      <c r="F2723" s="55"/>
      <c r="G2723" s="55"/>
      <c r="H2723" s="55"/>
      <c r="I2723" s="55"/>
      <c r="J2723" s="55"/>
      <c r="K2723" s="56"/>
      <c r="L2723" s="55"/>
      <c r="M2723" s="55"/>
      <c r="N2723" s="55"/>
      <c r="O2723" s="55"/>
      <c r="P2723" s="55"/>
      <c r="Q2723" s="55"/>
      <c r="R2723" s="57"/>
      <c r="S2723" s="58"/>
    </row>
    <row r="2724" spans="2:19" x14ac:dyDescent="0.25">
      <c r="B2724" s="52"/>
      <c r="C2724" s="53"/>
      <c r="D2724" s="54"/>
      <c r="E2724" s="55"/>
      <c r="F2724" s="55"/>
      <c r="G2724" s="55"/>
      <c r="H2724" s="55"/>
      <c r="I2724" s="55"/>
      <c r="J2724" s="55"/>
      <c r="K2724" s="56"/>
      <c r="L2724" s="55"/>
      <c r="M2724" s="55"/>
      <c r="N2724" s="55"/>
      <c r="O2724" s="55"/>
      <c r="P2724" s="55"/>
      <c r="Q2724" s="55"/>
      <c r="R2724" s="57"/>
      <c r="S2724" s="58"/>
    </row>
    <row r="2725" spans="2:19" x14ac:dyDescent="0.25">
      <c r="B2725" s="52"/>
      <c r="C2725" s="53"/>
      <c r="D2725" s="54"/>
      <c r="E2725" s="55"/>
      <c r="F2725" s="55"/>
      <c r="G2725" s="55"/>
      <c r="H2725" s="55"/>
      <c r="I2725" s="55"/>
      <c r="J2725" s="55"/>
      <c r="K2725" s="56"/>
      <c r="L2725" s="55"/>
      <c r="M2725" s="55"/>
      <c r="N2725" s="55"/>
      <c r="O2725" s="55"/>
      <c r="P2725" s="55"/>
      <c r="Q2725" s="55"/>
      <c r="R2725" s="57"/>
      <c r="S2725" s="58"/>
    </row>
    <row r="2726" spans="2:19" x14ac:dyDescent="0.25">
      <c r="B2726" s="52"/>
      <c r="C2726" s="53"/>
      <c r="D2726" s="54"/>
      <c r="E2726" s="55"/>
      <c r="F2726" s="55"/>
      <c r="G2726" s="55"/>
      <c r="H2726" s="55"/>
      <c r="I2726" s="55"/>
      <c r="J2726" s="55"/>
      <c r="K2726" s="56"/>
      <c r="L2726" s="55"/>
      <c r="M2726" s="55"/>
      <c r="N2726" s="55"/>
      <c r="O2726" s="55"/>
      <c r="P2726" s="55"/>
      <c r="Q2726" s="55"/>
      <c r="R2726" s="57"/>
      <c r="S2726" s="58"/>
    </row>
    <row r="2727" spans="2:19" x14ac:dyDescent="0.25">
      <c r="B2727" s="52"/>
      <c r="C2727" s="53"/>
      <c r="D2727" s="54"/>
      <c r="E2727" s="55"/>
      <c r="F2727" s="55"/>
      <c r="G2727" s="55"/>
      <c r="H2727" s="55"/>
      <c r="I2727" s="55"/>
      <c r="J2727" s="55"/>
      <c r="K2727" s="56"/>
      <c r="L2727" s="55"/>
      <c r="M2727" s="55"/>
      <c r="N2727" s="55"/>
      <c r="O2727" s="55"/>
      <c r="P2727" s="55"/>
      <c r="Q2727" s="55"/>
      <c r="R2727" s="57"/>
      <c r="S2727" s="58"/>
    </row>
    <row r="2728" spans="2:19" x14ac:dyDescent="0.25">
      <c r="B2728" s="52"/>
      <c r="C2728" s="53"/>
      <c r="D2728" s="54"/>
      <c r="E2728" s="55"/>
      <c r="F2728" s="55"/>
      <c r="G2728" s="55"/>
      <c r="H2728" s="55"/>
      <c r="I2728" s="55"/>
      <c r="J2728" s="55"/>
      <c r="K2728" s="56"/>
      <c r="L2728" s="55"/>
      <c r="M2728" s="55"/>
      <c r="N2728" s="55"/>
      <c r="O2728" s="55"/>
      <c r="P2728" s="55"/>
      <c r="Q2728" s="55"/>
      <c r="R2728" s="57"/>
      <c r="S2728" s="58"/>
    </row>
    <row r="2729" spans="2:19" x14ac:dyDescent="0.25">
      <c r="B2729" s="52"/>
      <c r="C2729" s="53"/>
      <c r="D2729" s="54"/>
      <c r="E2729" s="55"/>
      <c r="F2729" s="55"/>
      <c r="G2729" s="55"/>
      <c r="H2729" s="55"/>
      <c r="I2729" s="55"/>
      <c r="J2729" s="55"/>
      <c r="K2729" s="56"/>
      <c r="L2729" s="55"/>
      <c r="M2729" s="55"/>
      <c r="N2729" s="55"/>
      <c r="O2729" s="55"/>
      <c r="P2729" s="55"/>
      <c r="Q2729" s="55"/>
      <c r="R2729" s="57"/>
      <c r="S2729" s="58"/>
    </row>
    <row r="2730" spans="2:19" ht="15.75" x14ac:dyDescent="0.25">
      <c r="B2730" s="52"/>
      <c r="C2730" s="53"/>
      <c r="D2730" s="54"/>
      <c r="E2730" s="55"/>
      <c r="F2730" s="55"/>
      <c r="G2730" s="55"/>
      <c r="H2730" s="55"/>
      <c r="I2730" s="55"/>
      <c r="J2730" s="55"/>
      <c r="K2730" s="59"/>
      <c r="L2730" s="55"/>
      <c r="M2730" s="55"/>
      <c r="N2730" s="55"/>
      <c r="O2730" s="55"/>
      <c r="P2730" s="55"/>
      <c r="Q2730" s="55"/>
      <c r="R2730" s="57"/>
      <c r="S2730" s="58"/>
    </row>
    <row r="2731" spans="2:19" x14ac:dyDescent="0.25">
      <c r="B2731" s="52"/>
      <c r="C2731" s="53"/>
      <c r="D2731" s="54"/>
      <c r="E2731" s="55"/>
      <c r="F2731" s="55"/>
      <c r="G2731" s="55"/>
      <c r="H2731" s="55"/>
      <c r="I2731" s="55"/>
      <c r="J2731" s="55"/>
      <c r="K2731" s="56"/>
      <c r="L2731" s="55"/>
      <c r="M2731" s="55"/>
      <c r="N2731" s="55"/>
      <c r="O2731" s="55"/>
      <c r="P2731" s="55"/>
      <c r="Q2731" s="55"/>
      <c r="R2731" s="57"/>
      <c r="S2731" s="58"/>
    </row>
    <row r="2732" spans="2:19" x14ac:dyDescent="0.25">
      <c r="B2732" s="52"/>
      <c r="C2732" s="53"/>
      <c r="D2732" s="54"/>
      <c r="E2732" s="55"/>
      <c r="F2732" s="55"/>
      <c r="G2732" s="55"/>
      <c r="H2732" s="55"/>
      <c r="I2732" s="55"/>
      <c r="J2732" s="55"/>
      <c r="K2732" s="56"/>
      <c r="L2732" s="55"/>
      <c r="M2732" s="55"/>
      <c r="N2732" s="55"/>
      <c r="O2732" s="55"/>
      <c r="P2732" s="55"/>
      <c r="Q2732" s="55"/>
      <c r="R2732" s="57"/>
      <c r="S2732" s="58"/>
    </row>
    <row r="2733" spans="2:19" x14ac:dyDescent="0.25">
      <c r="B2733" s="52"/>
      <c r="C2733" s="53"/>
      <c r="D2733" s="54"/>
      <c r="E2733" s="55"/>
      <c r="F2733" s="55"/>
      <c r="G2733" s="55"/>
      <c r="H2733" s="55"/>
      <c r="I2733" s="55"/>
      <c r="J2733" s="55"/>
      <c r="K2733" s="56"/>
      <c r="L2733" s="55"/>
      <c r="M2733" s="55"/>
      <c r="N2733" s="55"/>
      <c r="O2733" s="55"/>
      <c r="P2733" s="55"/>
      <c r="Q2733" s="55"/>
      <c r="R2733" s="57"/>
      <c r="S2733" s="58"/>
    </row>
    <row r="2734" spans="2:19" x14ac:dyDescent="0.25">
      <c r="B2734" s="52"/>
      <c r="C2734" s="53"/>
      <c r="D2734" s="54"/>
      <c r="E2734" s="55"/>
      <c r="F2734" s="55"/>
      <c r="G2734" s="55"/>
      <c r="H2734" s="55"/>
      <c r="I2734" s="55"/>
      <c r="J2734" s="55"/>
      <c r="K2734" s="56"/>
      <c r="L2734" s="55"/>
      <c r="M2734" s="55"/>
      <c r="N2734" s="55"/>
      <c r="O2734" s="55"/>
      <c r="P2734" s="55"/>
      <c r="Q2734" s="55"/>
      <c r="R2734" s="57"/>
      <c r="S2734" s="58"/>
    </row>
    <row r="2735" spans="2:19" x14ac:dyDescent="0.25">
      <c r="B2735" s="52"/>
      <c r="C2735" s="53"/>
      <c r="D2735" s="54"/>
      <c r="E2735" s="55"/>
      <c r="F2735" s="55"/>
      <c r="G2735" s="55"/>
      <c r="H2735" s="55"/>
      <c r="I2735" s="55"/>
      <c r="J2735" s="55"/>
      <c r="K2735" s="56"/>
      <c r="L2735" s="55"/>
      <c r="M2735" s="55"/>
      <c r="N2735" s="55"/>
      <c r="O2735" s="55"/>
      <c r="P2735" s="55"/>
      <c r="Q2735" s="55"/>
      <c r="R2735" s="57"/>
      <c r="S2735" s="58"/>
    </row>
    <row r="2736" spans="2:19" x14ac:dyDescent="0.25">
      <c r="B2736" s="52"/>
      <c r="C2736" s="53"/>
      <c r="D2736" s="54"/>
      <c r="E2736" s="55"/>
      <c r="F2736" s="55"/>
      <c r="G2736" s="55"/>
      <c r="H2736" s="55"/>
      <c r="I2736" s="55"/>
      <c r="J2736" s="55"/>
      <c r="K2736" s="56"/>
      <c r="L2736" s="55"/>
      <c r="M2736" s="55"/>
      <c r="N2736" s="55"/>
      <c r="O2736" s="55"/>
      <c r="P2736" s="55"/>
      <c r="Q2736" s="55"/>
      <c r="R2736" s="57"/>
      <c r="S2736" s="58"/>
    </row>
    <row r="2737" spans="2:19" x14ac:dyDescent="0.25">
      <c r="B2737" s="52"/>
      <c r="C2737" s="53"/>
      <c r="D2737" s="54"/>
      <c r="E2737" s="55"/>
      <c r="F2737" s="55"/>
      <c r="G2737" s="55"/>
      <c r="H2737" s="55"/>
      <c r="I2737" s="55"/>
      <c r="J2737" s="55"/>
      <c r="K2737" s="56"/>
      <c r="L2737" s="55"/>
      <c r="M2737" s="55"/>
      <c r="N2737" s="55"/>
      <c r="O2737" s="55"/>
      <c r="P2737" s="55"/>
      <c r="Q2737" s="55"/>
      <c r="R2737" s="57"/>
      <c r="S2737" s="58"/>
    </row>
    <row r="2738" spans="2:19" x14ac:dyDescent="0.25">
      <c r="B2738" s="52"/>
      <c r="C2738" s="60"/>
      <c r="E2738" s="61"/>
      <c r="F2738" s="62"/>
      <c r="G2738" s="63"/>
      <c r="H2738" s="64"/>
      <c r="I2738" s="64"/>
      <c r="J2738" s="64"/>
      <c r="K2738" s="65"/>
      <c r="L2738" s="64"/>
      <c r="M2738" s="64"/>
      <c r="N2738" s="64"/>
      <c r="P2738" s="63"/>
      <c r="Q2738" s="61"/>
      <c r="R2738" s="64"/>
      <c r="S2738" s="64"/>
    </row>
    <row r="2739" spans="2:19" x14ac:dyDescent="0.25">
      <c r="B2739" s="52"/>
      <c r="C2739" s="53"/>
      <c r="D2739" s="54"/>
      <c r="E2739" s="55"/>
      <c r="F2739" s="55"/>
      <c r="G2739" s="55"/>
      <c r="H2739" s="55"/>
      <c r="I2739" s="55"/>
      <c r="J2739" s="55"/>
      <c r="K2739" s="56"/>
      <c r="L2739" s="55"/>
      <c r="M2739" s="55"/>
      <c r="N2739" s="55"/>
      <c r="O2739" s="55"/>
      <c r="P2739" s="55"/>
      <c r="Q2739" s="55"/>
      <c r="R2739" s="57"/>
      <c r="S2739" s="58"/>
    </row>
    <row r="2740" spans="2:19" x14ac:dyDescent="0.25">
      <c r="B2740" s="52"/>
      <c r="C2740" s="53"/>
      <c r="D2740" s="54"/>
      <c r="E2740" s="55"/>
      <c r="F2740" s="55"/>
      <c r="G2740" s="55"/>
      <c r="H2740" s="55"/>
      <c r="I2740" s="55"/>
      <c r="J2740" s="55"/>
      <c r="K2740" s="56"/>
      <c r="L2740" s="55"/>
      <c r="M2740" s="55"/>
      <c r="N2740" s="55"/>
      <c r="O2740" s="55"/>
      <c r="P2740" s="55"/>
      <c r="Q2740" s="55"/>
      <c r="R2740" s="57"/>
      <c r="S2740" s="58"/>
    </row>
    <row r="2741" spans="2:19" x14ac:dyDescent="0.25">
      <c r="B2741" s="52"/>
      <c r="C2741" s="53"/>
      <c r="D2741" s="54"/>
      <c r="E2741" s="55"/>
      <c r="F2741" s="55"/>
      <c r="G2741" s="55"/>
      <c r="H2741" s="55"/>
      <c r="I2741" s="55"/>
      <c r="J2741" s="55"/>
      <c r="K2741" s="56"/>
      <c r="L2741" s="55"/>
      <c r="M2741" s="55"/>
      <c r="N2741" s="55"/>
      <c r="O2741" s="55"/>
      <c r="P2741" s="55"/>
      <c r="Q2741" s="55"/>
      <c r="R2741" s="57"/>
      <c r="S2741" s="58"/>
    </row>
    <row r="2742" spans="2:19" x14ac:dyDescent="0.25">
      <c r="B2742" s="52"/>
      <c r="C2742" s="53"/>
      <c r="D2742" s="54"/>
      <c r="E2742" s="55"/>
      <c r="F2742" s="55"/>
      <c r="G2742" s="55"/>
      <c r="H2742" s="55"/>
      <c r="I2742" s="55"/>
      <c r="J2742" s="55"/>
      <c r="K2742" s="56"/>
      <c r="L2742" s="55"/>
      <c r="M2742" s="55"/>
      <c r="N2742" s="55"/>
      <c r="O2742" s="55"/>
      <c r="P2742" s="55"/>
      <c r="Q2742" s="55"/>
      <c r="R2742" s="57"/>
      <c r="S2742" s="58"/>
    </row>
    <row r="2743" spans="2:19" x14ac:dyDescent="0.25">
      <c r="B2743" s="52"/>
      <c r="C2743" s="53"/>
      <c r="D2743" s="54"/>
      <c r="E2743" s="55"/>
      <c r="F2743" s="55"/>
      <c r="G2743" s="55"/>
      <c r="H2743" s="55"/>
      <c r="I2743" s="55"/>
      <c r="J2743" s="55"/>
      <c r="K2743" s="56"/>
      <c r="L2743" s="55"/>
      <c r="M2743" s="55"/>
      <c r="N2743" s="55"/>
      <c r="O2743" s="55"/>
      <c r="P2743" s="55"/>
      <c r="Q2743" s="55"/>
      <c r="R2743" s="57"/>
      <c r="S2743" s="58"/>
    </row>
    <row r="2744" spans="2:19" x14ac:dyDescent="0.25">
      <c r="B2744" s="52"/>
      <c r="C2744" s="53"/>
      <c r="D2744" s="54"/>
      <c r="E2744" s="55"/>
      <c r="F2744" s="55"/>
      <c r="G2744" s="55"/>
      <c r="H2744" s="55"/>
      <c r="I2744" s="55"/>
      <c r="J2744" s="55"/>
      <c r="K2744" s="56"/>
      <c r="L2744" s="55"/>
      <c r="M2744" s="55"/>
      <c r="N2744" s="55"/>
      <c r="O2744" s="55"/>
      <c r="P2744" s="55"/>
      <c r="Q2744" s="55"/>
      <c r="R2744" s="57"/>
      <c r="S2744" s="58"/>
    </row>
    <row r="2745" spans="2:19" x14ac:dyDescent="0.25">
      <c r="B2745" s="52"/>
      <c r="C2745" s="53"/>
      <c r="D2745" s="54"/>
      <c r="E2745" s="55"/>
      <c r="F2745" s="55"/>
      <c r="G2745" s="55"/>
      <c r="H2745" s="55"/>
      <c r="I2745" s="55"/>
      <c r="J2745" s="55"/>
      <c r="K2745" s="56"/>
      <c r="L2745" s="55"/>
      <c r="M2745" s="55"/>
      <c r="N2745" s="55"/>
      <c r="O2745" s="55"/>
      <c r="P2745" s="55"/>
      <c r="Q2745" s="55"/>
      <c r="R2745" s="57"/>
      <c r="S2745" s="58"/>
    </row>
    <row r="2746" spans="2:19" x14ac:dyDescent="0.25">
      <c r="B2746" s="52"/>
      <c r="C2746" s="53"/>
      <c r="D2746" s="54"/>
      <c r="E2746" s="55"/>
      <c r="F2746" s="55"/>
      <c r="G2746" s="55"/>
      <c r="H2746" s="55"/>
      <c r="I2746" s="55"/>
      <c r="J2746" s="55"/>
      <c r="K2746" s="56"/>
      <c r="L2746" s="55"/>
      <c r="M2746" s="55"/>
      <c r="N2746" s="55"/>
      <c r="O2746" s="55"/>
      <c r="P2746" s="55"/>
      <c r="Q2746" s="55"/>
      <c r="R2746" s="57"/>
      <c r="S2746" s="58"/>
    </row>
    <row r="2747" spans="2:19" ht="15.75" x14ac:dyDescent="0.25">
      <c r="B2747" s="52"/>
      <c r="C2747" s="53"/>
      <c r="D2747" s="54"/>
      <c r="E2747" s="55"/>
      <c r="F2747" s="55"/>
      <c r="G2747" s="55"/>
      <c r="H2747" s="55"/>
      <c r="I2747" s="55"/>
      <c r="J2747" s="55"/>
      <c r="K2747" s="59"/>
      <c r="L2747" s="55"/>
      <c r="M2747" s="55"/>
      <c r="N2747" s="55"/>
      <c r="O2747" s="55"/>
      <c r="P2747" s="55"/>
      <c r="Q2747" s="55"/>
      <c r="R2747" s="57"/>
      <c r="S2747" s="58"/>
    </row>
    <row r="2748" spans="2:19" x14ac:dyDescent="0.25">
      <c r="B2748" s="52"/>
      <c r="C2748" s="53"/>
      <c r="D2748" s="54"/>
      <c r="E2748" s="55"/>
      <c r="F2748" s="55"/>
      <c r="G2748" s="55"/>
      <c r="H2748" s="55"/>
      <c r="I2748" s="55"/>
      <c r="J2748" s="55"/>
      <c r="K2748" s="56"/>
      <c r="L2748" s="55"/>
      <c r="M2748" s="55"/>
      <c r="N2748" s="55"/>
      <c r="O2748" s="55"/>
      <c r="P2748" s="55"/>
      <c r="Q2748" s="55"/>
      <c r="R2748" s="57"/>
      <c r="S2748" s="58"/>
    </row>
    <row r="2749" spans="2:19" x14ac:dyDescent="0.25">
      <c r="B2749" s="52"/>
      <c r="C2749" s="53"/>
      <c r="D2749" s="54"/>
      <c r="E2749" s="55"/>
      <c r="F2749" s="55"/>
      <c r="G2749" s="55"/>
      <c r="H2749" s="55"/>
      <c r="I2749" s="55"/>
      <c r="J2749" s="55"/>
      <c r="K2749" s="56"/>
      <c r="L2749" s="55"/>
      <c r="M2749" s="55"/>
      <c r="N2749" s="55"/>
      <c r="O2749" s="55"/>
      <c r="P2749" s="55"/>
      <c r="Q2749" s="55"/>
      <c r="R2749" s="57"/>
      <c r="S2749" s="58"/>
    </row>
    <row r="2750" spans="2:19" x14ac:dyDescent="0.25">
      <c r="B2750" s="52"/>
      <c r="C2750" s="53"/>
      <c r="D2750" s="54"/>
      <c r="E2750" s="55"/>
      <c r="F2750" s="55"/>
      <c r="G2750" s="55"/>
      <c r="H2750" s="55"/>
      <c r="I2750" s="55"/>
      <c r="J2750" s="55"/>
      <c r="K2750" s="56"/>
      <c r="L2750" s="55"/>
      <c r="M2750" s="55"/>
      <c r="N2750" s="55"/>
      <c r="O2750" s="55"/>
      <c r="P2750" s="55"/>
      <c r="Q2750" s="55"/>
      <c r="R2750" s="57"/>
      <c r="S2750" s="58"/>
    </row>
    <row r="2751" spans="2:19" x14ac:dyDescent="0.25">
      <c r="B2751" s="52"/>
      <c r="C2751" s="53"/>
      <c r="D2751" s="54"/>
      <c r="E2751" s="55"/>
      <c r="F2751" s="55"/>
      <c r="G2751" s="55"/>
      <c r="H2751" s="55"/>
      <c r="I2751" s="55"/>
      <c r="J2751" s="55"/>
      <c r="K2751" s="56"/>
      <c r="L2751" s="55"/>
      <c r="M2751" s="55"/>
      <c r="N2751" s="55"/>
      <c r="O2751" s="55"/>
      <c r="P2751" s="55"/>
      <c r="Q2751" s="55"/>
      <c r="R2751" s="57"/>
      <c r="S2751" s="58"/>
    </row>
    <row r="2752" spans="2:19" x14ac:dyDescent="0.25">
      <c r="B2752" s="52"/>
      <c r="C2752" s="53"/>
      <c r="D2752" s="54"/>
      <c r="E2752" s="55"/>
      <c r="F2752" s="55"/>
      <c r="G2752" s="55"/>
      <c r="H2752" s="55"/>
      <c r="I2752" s="55"/>
      <c r="J2752" s="55"/>
      <c r="K2752" s="56"/>
      <c r="L2752" s="55"/>
      <c r="M2752" s="55"/>
      <c r="N2752" s="55"/>
      <c r="O2752" s="55"/>
      <c r="P2752" s="55"/>
      <c r="Q2752" s="55"/>
      <c r="R2752" s="57"/>
      <c r="S2752" s="58"/>
    </row>
    <row r="2753" spans="2:19" x14ac:dyDescent="0.25">
      <c r="B2753" s="52"/>
      <c r="C2753" s="53"/>
      <c r="D2753" s="54"/>
      <c r="E2753" s="55"/>
      <c r="F2753" s="55"/>
      <c r="G2753" s="55"/>
      <c r="H2753" s="55"/>
      <c r="I2753" s="55"/>
      <c r="J2753" s="55"/>
      <c r="K2753" s="56"/>
      <c r="L2753" s="55"/>
      <c r="M2753" s="55"/>
      <c r="N2753" s="55"/>
      <c r="O2753" s="55"/>
      <c r="P2753" s="55"/>
      <c r="Q2753" s="55"/>
      <c r="R2753" s="57"/>
      <c r="S2753" s="58"/>
    </row>
    <row r="2754" spans="2:19" x14ac:dyDescent="0.25">
      <c r="B2754" s="52"/>
      <c r="C2754" s="53"/>
      <c r="D2754" s="54"/>
      <c r="E2754" s="55"/>
      <c r="F2754" s="55"/>
      <c r="G2754" s="55"/>
      <c r="H2754" s="55"/>
      <c r="I2754" s="55"/>
      <c r="J2754" s="55"/>
      <c r="K2754" s="56"/>
      <c r="L2754" s="55"/>
      <c r="M2754" s="55"/>
      <c r="N2754" s="55"/>
      <c r="O2754" s="55"/>
      <c r="P2754" s="55"/>
      <c r="Q2754" s="55"/>
      <c r="R2754" s="57"/>
      <c r="S2754" s="58"/>
    </row>
    <row r="2755" spans="2:19" x14ac:dyDescent="0.25">
      <c r="B2755" s="52"/>
      <c r="C2755" s="60"/>
      <c r="E2755" s="61"/>
      <c r="F2755" s="62"/>
      <c r="G2755" s="63"/>
      <c r="H2755" s="64"/>
      <c r="I2755" s="64"/>
      <c r="J2755" s="64"/>
      <c r="K2755" s="65"/>
      <c r="L2755" s="64"/>
      <c r="M2755" s="64"/>
      <c r="N2755" s="64"/>
      <c r="P2755" s="63"/>
      <c r="Q2755" s="61"/>
      <c r="R2755" s="64"/>
      <c r="S2755" s="64"/>
    </row>
    <row r="2756" spans="2:19" x14ac:dyDescent="0.25">
      <c r="B2756" s="52"/>
      <c r="C2756" s="53"/>
      <c r="D2756" s="54"/>
      <c r="E2756" s="55"/>
      <c r="F2756" s="55"/>
      <c r="G2756" s="55"/>
      <c r="H2756" s="55"/>
      <c r="I2756" s="55"/>
      <c r="J2756" s="55"/>
      <c r="K2756" s="56"/>
      <c r="L2756" s="55"/>
      <c r="M2756" s="55"/>
      <c r="N2756" s="55"/>
      <c r="O2756" s="55"/>
      <c r="P2756" s="55"/>
      <c r="Q2756" s="55"/>
      <c r="R2756" s="57"/>
      <c r="S2756" s="58"/>
    </row>
    <row r="2757" spans="2:19" x14ac:dyDescent="0.25">
      <c r="B2757" s="52"/>
      <c r="C2757" s="53"/>
      <c r="D2757" s="54"/>
      <c r="E2757" s="55"/>
      <c r="F2757" s="55"/>
      <c r="G2757" s="55"/>
      <c r="H2757" s="55"/>
      <c r="I2757" s="55"/>
      <c r="J2757" s="55"/>
      <c r="K2757" s="56"/>
      <c r="L2757" s="55"/>
      <c r="M2757" s="55"/>
      <c r="N2757" s="55"/>
      <c r="O2757" s="55"/>
      <c r="P2757" s="55"/>
      <c r="Q2757" s="55"/>
      <c r="R2757" s="57"/>
      <c r="S2757" s="58"/>
    </row>
    <row r="2758" spans="2:19" x14ac:dyDescent="0.25">
      <c r="B2758" s="52"/>
      <c r="C2758" s="53"/>
      <c r="D2758" s="54"/>
      <c r="E2758" s="55"/>
      <c r="F2758" s="55"/>
      <c r="G2758" s="55"/>
      <c r="H2758" s="55"/>
      <c r="I2758" s="55"/>
      <c r="J2758" s="55"/>
      <c r="K2758" s="56"/>
      <c r="L2758" s="55"/>
      <c r="M2758" s="55"/>
      <c r="N2758" s="55"/>
      <c r="O2758" s="55"/>
      <c r="P2758" s="55"/>
      <c r="Q2758" s="55"/>
      <c r="R2758" s="57"/>
      <c r="S2758" s="58"/>
    </row>
    <row r="2759" spans="2:19" x14ac:dyDescent="0.25">
      <c r="B2759" s="52"/>
      <c r="C2759" s="53"/>
      <c r="D2759" s="54"/>
      <c r="E2759" s="55"/>
      <c r="F2759" s="55"/>
      <c r="G2759" s="55"/>
      <c r="H2759" s="55"/>
      <c r="I2759" s="55"/>
      <c r="J2759" s="55"/>
      <c r="K2759" s="56"/>
      <c r="L2759" s="55"/>
      <c r="M2759" s="55"/>
      <c r="N2759" s="55"/>
      <c r="O2759" s="55"/>
      <c r="P2759" s="55"/>
      <c r="Q2759" s="55"/>
      <c r="R2759" s="57"/>
      <c r="S2759" s="58"/>
    </row>
    <row r="2760" spans="2:19" x14ac:dyDescent="0.25">
      <c r="B2760" s="52"/>
      <c r="C2760" s="53"/>
      <c r="D2760" s="54"/>
      <c r="E2760" s="55"/>
      <c r="F2760" s="55"/>
      <c r="G2760" s="55"/>
      <c r="H2760" s="55"/>
      <c r="I2760" s="55"/>
      <c r="J2760" s="55"/>
      <c r="K2760" s="56"/>
      <c r="L2760" s="55"/>
      <c r="M2760" s="55"/>
      <c r="N2760" s="55"/>
      <c r="O2760" s="55"/>
      <c r="P2760" s="55"/>
      <c r="Q2760" s="55"/>
      <c r="R2760" s="57"/>
      <c r="S2760" s="58"/>
    </row>
    <row r="2761" spans="2:19" x14ac:dyDescent="0.25">
      <c r="B2761" s="52"/>
      <c r="C2761" s="53"/>
      <c r="D2761" s="54"/>
      <c r="E2761" s="55"/>
      <c r="F2761" s="55"/>
      <c r="G2761" s="55"/>
      <c r="H2761" s="55"/>
      <c r="I2761" s="55"/>
      <c r="J2761" s="55"/>
      <c r="K2761" s="56"/>
      <c r="L2761" s="55"/>
      <c r="M2761" s="55"/>
      <c r="N2761" s="55"/>
      <c r="O2761" s="55"/>
      <c r="P2761" s="55"/>
      <c r="Q2761" s="55"/>
      <c r="R2761" s="57"/>
      <c r="S2761" s="58"/>
    </row>
    <row r="2762" spans="2:19" x14ac:dyDescent="0.25">
      <c r="B2762" s="52"/>
      <c r="C2762" s="53"/>
      <c r="D2762" s="54"/>
      <c r="E2762" s="55"/>
      <c r="F2762" s="55"/>
      <c r="G2762" s="55"/>
      <c r="H2762" s="55"/>
      <c r="I2762" s="55"/>
      <c r="J2762" s="55"/>
      <c r="K2762" s="56"/>
      <c r="L2762" s="55"/>
      <c r="M2762" s="55"/>
      <c r="N2762" s="55"/>
      <c r="O2762" s="55"/>
      <c r="P2762" s="55"/>
      <c r="Q2762" s="55"/>
      <c r="R2762" s="57"/>
      <c r="S2762" s="58"/>
    </row>
    <row r="2763" spans="2:19" x14ac:dyDescent="0.25">
      <c r="B2763" s="52"/>
      <c r="C2763" s="53"/>
      <c r="D2763" s="54"/>
      <c r="E2763" s="55"/>
      <c r="F2763" s="55"/>
      <c r="G2763" s="55"/>
      <c r="H2763" s="55"/>
      <c r="I2763" s="55"/>
      <c r="J2763" s="55"/>
      <c r="K2763" s="56"/>
      <c r="L2763" s="55"/>
      <c r="M2763" s="55"/>
      <c r="N2763" s="55"/>
      <c r="O2763" s="55"/>
      <c r="P2763" s="55"/>
      <c r="Q2763" s="55"/>
      <c r="R2763" s="57"/>
      <c r="S2763" s="58"/>
    </row>
    <row r="2764" spans="2:19" ht="15.75" x14ac:dyDescent="0.25">
      <c r="B2764" s="52"/>
      <c r="C2764" s="53"/>
      <c r="D2764" s="54"/>
      <c r="E2764" s="55"/>
      <c r="F2764" s="55"/>
      <c r="G2764" s="55"/>
      <c r="H2764" s="55"/>
      <c r="I2764" s="55"/>
      <c r="J2764" s="55"/>
      <c r="K2764" s="59"/>
      <c r="L2764" s="55"/>
      <c r="M2764" s="55"/>
      <c r="N2764" s="55"/>
      <c r="O2764" s="55"/>
      <c r="P2764" s="55"/>
      <c r="Q2764" s="55"/>
      <c r="R2764" s="57"/>
      <c r="S2764" s="58"/>
    </row>
    <row r="2765" spans="2:19" x14ac:dyDescent="0.25">
      <c r="B2765" s="52"/>
      <c r="C2765" s="53"/>
      <c r="D2765" s="54"/>
      <c r="E2765" s="55"/>
      <c r="F2765" s="55"/>
      <c r="G2765" s="55"/>
      <c r="H2765" s="55"/>
      <c r="I2765" s="55"/>
      <c r="J2765" s="55"/>
      <c r="K2765" s="56"/>
      <c r="L2765" s="55"/>
      <c r="M2765" s="55"/>
      <c r="N2765" s="55"/>
      <c r="O2765" s="55"/>
      <c r="P2765" s="55"/>
      <c r="Q2765" s="55"/>
      <c r="R2765" s="57"/>
      <c r="S2765" s="58"/>
    </row>
    <row r="2766" spans="2:19" x14ac:dyDescent="0.25">
      <c r="B2766" s="52"/>
      <c r="C2766" s="53"/>
      <c r="D2766" s="54"/>
      <c r="E2766" s="55"/>
      <c r="F2766" s="55"/>
      <c r="G2766" s="55"/>
      <c r="H2766" s="55"/>
      <c r="I2766" s="55"/>
      <c r="J2766" s="55"/>
      <c r="K2766" s="56"/>
      <c r="L2766" s="55"/>
      <c r="M2766" s="55"/>
      <c r="N2766" s="55"/>
      <c r="O2766" s="55"/>
      <c r="P2766" s="55"/>
      <c r="Q2766" s="55"/>
      <c r="R2766" s="57"/>
      <c r="S2766" s="58"/>
    </row>
    <row r="2767" spans="2:19" x14ac:dyDescent="0.25">
      <c r="B2767" s="52"/>
      <c r="C2767" s="53"/>
      <c r="D2767" s="54"/>
      <c r="E2767" s="55"/>
      <c r="F2767" s="55"/>
      <c r="G2767" s="55"/>
      <c r="H2767" s="55"/>
      <c r="I2767" s="55"/>
      <c r="J2767" s="55"/>
      <c r="K2767" s="56"/>
      <c r="L2767" s="55"/>
      <c r="M2767" s="55"/>
      <c r="N2767" s="55"/>
      <c r="O2767" s="55"/>
      <c r="P2767" s="55"/>
      <c r="Q2767" s="55"/>
      <c r="R2767" s="57"/>
      <c r="S2767" s="58"/>
    </row>
    <row r="2768" spans="2:19" x14ac:dyDescent="0.25">
      <c r="B2768" s="52"/>
      <c r="C2768" s="53"/>
      <c r="D2768" s="54"/>
      <c r="E2768" s="55"/>
      <c r="F2768" s="55"/>
      <c r="G2768" s="55"/>
      <c r="H2768" s="55"/>
      <c r="I2768" s="55"/>
      <c r="J2768" s="55"/>
      <c r="K2768" s="56"/>
      <c r="L2768" s="55"/>
      <c r="M2768" s="55"/>
      <c r="N2768" s="55"/>
      <c r="O2768" s="55"/>
      <c r="P2768" s="55"/>
      <c r="Q2768" s="55"/>
      <c r="R2768" s="57"/>
      <c r="S2768" s="58"/>
    </row>
    <row r="2769" spans="2:19" x14ac:dyDescent="0.25">
      <c r="B2769" s="52"/>
      <c r="C2769" s="53"/>
      <c r="D2769" s="54"/>
      <c r="E2769" s="55"/>
      <c r="F2769" s="55"/>
      <c r="G2769" s="55"/>
      <c r="H2769" s="55"/>
      <c r="I2769" s="55"/>
      <c r="J2769" s="55"/>
      <c r="K2769" s="56"/>
      <c r="L2769" s="55"/>
      <c r="M2769" s="55"/>
      <c r="N2769" s="55"/>
      <c r="O2769" s="55"/>
      <c r="P2769" s="55"/>
      <c r="Q2769" s="55"/>
      <c r="R2769" s="57"/>
      <c r="S2769" s="58"/>
    </row>
    <row r="2770" spans="2:19" x14ac:dyDescent="0.25">
      <c r="B2770" s="52"/>
      <c r="C2770" s="53"/>
      <c r="D2770" s="54"/>
      <c r="E2770" s="55"/>
      <c r="F2770" s="55"/>
      <c r="G2770" s="55"/>
      <c r="H2770" s="55"/>
      <c r="I2770" s="55"/>
      <c r="J2770" s="55"/>
      <c r="K2770" s="56"/>
      <c r="L2770" s="55"/>
      <c r="M2770" s="55"/>
      <c r="N2770" s="55"/>
      <c r="O2770" s="55"/>
      <c r="P2770" s="55"/>
      <c r="Q2770" s="55"/>
      <c r="R2770" s="57"/>
      <c r="S2770" s="58"/>
    </row>
    <row r="2771" spans="2:19" x14ac:dyDescent="0.25">
      <c r="B2771" s="52"/>
      <c r="C2771" s="53"/>
      <c r="D2771" s="54"/>
      <c r="E2771" s="55"/>
      <c r="F2771" s="55"/>
      <c r="G2771" s="55"/>
      <c r="H2771" s="55"/>
      <c r="I2771" s="55"/>
      <c r="J2771" s="55"/>
      <c r="K2771" s="56"/>
      <c r="L2771" s="55"/>
      <c r="M2771" s="55"/>
      <c r="N2771" s="55"/>
      <c r="O2771" s="55"/>
      <c r="P2771" s="55"/>
      <c r="Q2771" s="55"/>
      <c r="R2771" s="57"/>
      <c r="S2771" s="58"/>
    </row>
    <row r="2772" spans="2:19" x14ac:dyDescent="0.25">
      <c r="B2772" s="52"/>
      <c r="C2772" s="60"/>
      <c r="E2772" s="61"/>
      <c r="F2772" s="62"/>
      <c r="G2772" s="63"/>
      <c r="H2772" s="64"/>
      <c r="I2772" s="64"/>
      <c r="J2772" s="64"/>
      <c r="K2772" s="65"/>
      <c r="L2772" s="64"/>
      <c r="M2772" s="64"/>
      <c r="N2772" s="64"/>
      <c r="P2772" s="63"/>
      <c r="Q2772" s="61"/>
      <c r="R2772" s="64"/>
      <c r="S2772" s="64"/>
    </row>
    <row r="2773" spans="2:19" x14ac:dyDescent="0.25">
      <c r="B2773" s="52"/>
      <c r="C2773" s="53"/>
      <c r="D2773" s="54"/>
      <c r="E2773" s="55"/>
      <c r="F2773" s="55"/>
      <c r="G2773" s="55"/>
      <c r="H2773" s="55"/>
      <c r="I2773" s="55"/>
      <c r="J2773" s="55"/>
      <c r="K2773" s="56"/>
      <c r="L2773" s="55"/>
      <c r="M2773" s="55"/>
      <c r="N2773" s="55"/>
      <c r="O2773" s="55"/>
      <c r="P2773" s="55"/>
      <c r="Q2773" s="55"/>
      <c r="R2773" s="57"/>
      <c r="S2773" s="58"/>
    </row>
    <row r="2774" spans="2:19" x14ac:dyDescent="0.25">
      <c r="B2774" s="52"/>
      <c r="C2774" s="53"/>
      <c r="D2774" s="54"/>
      <c r="E2774" s="55"/>
      <c r="F2774" s="55"/>
      <c r="G2774" s="55"/>
      <c r="H2774" s="55"/>
      <c r="I2774" s="55"/>
      <c r="J2774" s="55"/>
      <c r="K2774" s="56"/>
      <c r="L2774" s="55"/>
      <c r="M2774" s="55"/>
      <c r="N2774" s="55"/>
      <c r="O2774" s="55"/>
      <c r="P2774" s="55"/>
      <c r="Q2774" s="55"/>
      <c r="R2774" s="57"/>
      <c r="S2774" s="58"/>
    </row>
    <row r="2775" spans="2:19" x14ac:dyDescent="0.25">
      <c r="B2775" s="52"/>
      <c r="C2775" s="53"/>
      <c r="D2775" s="54"/>
      <c r="E2775" s="55"/>
      <c r="F2775" s="55"/>
      <c r="G2775" s="55"/>
      <c r="H2775" s="55"/>
      <c r="I2775" s="55"/>
      <c r="J2775" s="55"/>
      <c r="K2775" s="56"/>
      <c r="L2775" s="55"/>
      <c r="M2775" s="55"/>
      <c r="N2775" s="55"/>
      <c r="O2775" s="55"/>
      <c r="P2775" s="55"/>
      <c r="Q2775" s="55"/>
      <c r="R2775" s="57"/>
      <c r="S2775" s="58"/>
    </row>
    <row r="2776" spans="2:19" x14ac:dyDescent="0.25">
      <c r="B2776" s="52"/>
      <c r="C2776" s="53"/>
      <c r="D2776" s="54"/>
      <c r="E2776" s="55"/>
      <c r="F2776" s="55"/>
      <c r="G2776" s="55"/>
      <c r="H2776" s="55"/>
      <c r="I2776" s="55"/>
      <c r="J2776" s="55"/>
      <c r="K2776" s="56"/>
      <c r="L2776" s="55"/>
      <c r="M2776" s="55"/>
      <c r="N2776" s="55"/>
      <c r="O2776" s="55"/>
      <c r="P2776" s="55"/>
      <c r="Q2776" s="55"/>
      <c r="R2776" s="57"/>
      <c r="S2776" s="58"/>
    </row>
    <row r="2777" spans="2:19" x14ac:dyDescent="0.25">
      <c r="B2777" s="52"/>
      <c r="C2777" s="53"/>
      <c r="D2777" s="54"/>
      <c r="E2777" s="55"/>
      <c r="F2777" s="55"/>
      <c r="G2777" s="55"/>
      <c r="H2777" s="55"/>
      <c r="I2777" s="55"/>
      <c r="J2777" s="55"/>
      <c r="K2777" s="56"/>
      <c r="L2777" s="55"/>
      <c r="M2777" s="55"/>
      <c r="N2777" s="55"/>
      <c r="O2777" s="55"/>
      <c r="P2777" s="55"/>
      <c r="Q2777" s="55"/>
      <c r="R2777" s="57"/>
      <c r="S2777" s="58"/>
    </row>
    <row r="2778" spans="2:19" x14ac:dyDescent="0.25">
      <c r="B2778" s="52"/>
      <c r="C2778" s="53"/>
      <c r="D2778" s="54"/>
      <c r="E2778" s="55"/>
      <c r="F2778" s="55"/>
      <c r="G2778" s="55"/>
      <c r="H2778" s="55"/>
      <c r="I2778" s="55"/>
      <c r="J2778" s="55"/>
      <c r="K2778" s="56"/>
      <c r="L2778" s="55"/>
      <c r="M2778" s="55"/>
      <c r="N2778" s="55"/>
      <c r="O2778" s="55"/>
      <c r="P2778" s="55"/>
      <c r="Q2778" s="55"/>
      <c r="R2778" s="57"/>
      <c r="S2778" s="58"/>
    </row>
    <row r="2779" spans="2:19" x14ac:dyDescent="0.25">
      <c r="B2779" s="52"/>
      <c r="C2779" s="53"/>
      <c r="D2779" s="54"/>
      <c r="E2779" s="55"/>
      <c r="F2779" s="55"/>
      <c r="G2779" s="55"/>
      <c r="H2779" s="55"/>
      <c r="I2779" s="55"/>
      <c r="J2779" s="55"/>
      <c r="K2779" s="56"/>
      <c r="L2779" s="55"/>
      <c r="M2779" s="55"/>
      <c r="N2779" s="55"/>
      <c r="O2779" s="55"/>
      <c r="P2779" s="55"/>
      <c r="Q2779" s="55"/>
      <c r="R2779" s="57"/>
      <c r="S2779" s="58"/>
    </row>
    <row r="2780" spans="2:19" x14ac:dyDescent="0.25">
      <c r="B2780" s="52"/>
      <c r="C2780" s="53"/>
      <c r="D2780" s="54"/>
      <c r="E2780" s="55"/>
      <c r="F2780" s="55"/>
      <c r="G2780" s="55"/>
      <c r="H2780" s="55"/>
      <c r="I2780" s="55"/>
      <c r="J2780" s="55"/>
      <c r="K2780" s="56"/>
      <c r="L2780" s="55"/>
      <c r="M2780" s="55"/>
      <c r="N2780" s="55"/>
      <c r="O2780" s="55"/>
      <c r="P2780" s="55"/>
      <c r="Q2780" s="55"/>
      <c r="R2780" s="57"/>
      <c r="S2780" s="58"/>
    </row>
    <row r="2781" spans="2:19" ht="15.75" x14ac:dyDescent="0.25">
      <c r="B2781" s="52"/>
      <c r="C2781" s="53"/>
      <c r="D2781" s="54"/>
      <c r="E2781" s="55"/>
      <c r="F2781" s="55"/>
      <c r="G2781" s="55"/>
      <c r="H2781" s="55"/>
      <c r="I2781" s="55"/>
      <c r="J2781" s="55"/>
      <c r="K2781" s="59"/>
      <c r="L2781" s="55"/>
      <c r="M2781" s="55"/>
      <c r="N2781" s="55"/>
      <c r="O2781" s="55"/>
      <c r="P2781" s="55"/>
      <c r="Q2781" s="55"/>
      <c r="R2781" s="57"/>
      <c r="S2781" s="58"/>
    </row>
    <row r="2782" spans="2:19" x14ac:dyDescent="0.25">
      <c r="B2782" s="52"/>
      <c r="C2782" s="53"/>
      <c r="D2782" s="54"/>
      <c r="E2782" s="55"/>
      <c r="F2782" s="55"/>
      <c r="G2782" s="55"/>
      <c r="H2782" s="55"/>
      <c r="I2782" s="55"/>
      <c r="J2782" s="55"/>
      <c r="K2782" s="56"/>
      <c r="L2782" s="55"/>
      <c r="M2782" s="55"/>
      <c r="N2782" s="55"/>
      <c r="O2782" s="55"/>
      <c r="P2782" s="55"/>
      <c r="Q2782" s="55"/>
      <c r="R2782" s="57"/>
      <c r="S2782" s="58"/>
    </row>
    <row r="2783" spans="2:19" x14ac:dyDescent="0.25">
      <c r="B2783" s="52"/>
      <c r="C2783" s="53"/>
      <c r="D2783" s="54"/>
      <c r="E2783" s="55"/>
      <c r="F2783" s="55"/>
      <c r="G2783" s="55"/>
      <c r="H2783" s="55"/>
      <c r="I2783" s="55"/>
      <c r="J2783" s="55"/>
      <c r="K2783" s="56"/>
      <c r="L2783" s="55"/>
      <c r="M2783" s="55"/>
      <c r="N2783" s="55"/>
      <c r="O2783" s="55"/>
      <c r="P2783" s="55"/>
      <c r="Q2783" s="55"/>
      <c r="R2783" s="57"/>
      <c r="S2783" s="58"/>
    </row>
    <row r="2784" spans="2:19" x14ac:dyDescent="0.25">
      <c r="B2784" s="52"/>
      <c r="C2784" s="53"/>
      <c r="D2784" s="54"/>
      <c r="E2784" s="55"/>
      <c r="F2784" s="55"/>
      <c r="G2784" s="55"/>
      <c r="H2784" s="55"/>
      <c r="I2784" s="55"/>
      <c r="J2784" s="55"/>
      <c r="K2784" s="56"/>
      <c r="L2784" s="55"/>
      <c r="M2784" s="55"/>
      <c r="N2784" s="55"/>
      <c r="O2784" s="55"/>
      <c r="P2784" s="55"/>
      <c r="Q2784" s="55"/>
      <c r="R2784" s="57"/>
      <c r="S2784" s="58"/>
    </row>
    <row r="2785" spans="2:19" x14ac:dyDescent="0.25">
      <c r="B2785" s="52"/>
      <c r="C2785" s="53"/>
      <c r="D2785" s="54"/>
      <c r="E2785" s="55"/>
      <c r="F2785" s="55"/>
      <c r="G2785" s="55"/>
      <c r="H2785" s="55"/>
      <c r="I2785" s="55"/>
      <c r="J2785" s="55"/>
      <c r="K2785" s="56"/>
      <c r="L2785" s="55"/>
      <c r="M2785" s="55"/>
      <c r="N2785" s="55"/>
      <c r="O2785" s="55"/>
      <c r="P2785" s="55"/>
      <c r="Q2785" s="55"/>
      <c r="R2785" s="57"/>
      <c r="S2785" s="58"/>
    </row>
    <row r="2786" spans="2:19" x14ac:dyDescent="0.25">
      <c r="B2786" s="52"/>
      <c r="C2786" s="53"/>
      <c r="D2786" s="54"/>
      <c r="E2786" s="55"/>
      <c r="F2786" s="55"/>
      <c r="G2786" s="55"/>
      <c r="H2786" s="55"/>
      <c r="I2786" s="55"/>
      <c r="J2786" s="55"/>
      <c r="K2786" s="56"/>
      <c r="L2786" s="55"/>
      <c r="M2786" s="55"/>
      <c r="N2786" s="55"/>
      <c r="O2786" s="55"/>
      <c r="P2786" s="55"/>
      <c r="Q2786" s="55"/>
      <c r="R2786" s="57"/>
      <c r="S2786" s="58"/>
    </row>
    <row r="2787" spans="2:19" x14ac:dyDescent="0.25">
      <c r="B2787" s="52"/>
      <c r="C2787" s="53"/>
      <c r="D2787" s="54"/>
      <c r="E2787" s="55"/>
      <c r="F2787" s="55"/>
      <c r="G2787" s="55"/>
      <c r="H2787" s="55"/>
      <c r="I2787" s="55"/>
      <c r="J2787" s="55"/>
      <c r="K2787" s="56"/>
      <c r="L2787" s="55"/>
      <c r="M2787" s="55"/>
      <c r="N2787" s="55"/>
      <c r="O2787" s="55"/>
      <c r="P2787" s="55"/>
      <c r="Q2787" s="55"/>
      <c r="R2787" s="57"/>
      <c r="S2787" s="58"/>
    </row>
    <row r="2788" spans="2:19" x14ac:dyDescent="0.25">
      <c r="B2788" s="52"/>
      <c r="C2788" s="53"/>
      <c r="D2788" s="54"/>
      <c r="E2788" s="55"/>
      <c r="F2788" s="55"/>
      <c r="G2788" s="55"/>
      <c r="H2788" s="55"/>
      <c r="I2788" s="55"/>
      <c r="J2788" s="55"/>
      <c r="K2788" s="56"/>
      <c r="L2788" s="55"/>
      <c r="M2788" s="55"/>
      <c r="N2788" s="55"/>
      <c r="O2788" s="55"/>
      <c r="P2788" s="55"/>
      <c r="Q2788" s="55"/>
      <c r="R2788" s="57"/>
      <c r="S2788" s="58"/>
    </row>
    <row r="2789" spans="2:19" x14ac:dyDescent="0.25">
      <c r="B2789" s="52"/>
      <c r="C2789" s="60"/>
      <c r="E2789" s="61"/>
      <c r="F2789" s="62"/>
      <c r="G2789" s="63"/>
      <c r="H2789" s="64"/>
      <c r="I2789" s="64"/>
      <c r="J2789" s="64"/>
      <c r="K2789" s="65"/>
      <c r="L2789" s="64"/>
      <c r="M2789" s="64"/>
      <c r="N2789" s="64"/>
      <c r="P2789" s="63"/>
      <c r="Q2789" s="61"/>
      <c r="R2789" s="64"/>
      <c r="S2789" s="64"/>
    </row>
    <row r="2790" spans="2:19" x14ac:dyDescent="0.25">
      <c r="B2790" s="52"/>
      <c r="C2790" s="53"/>
      <c r="D2790" s="54"/>
      <c r="E2790" s="55"/>
      <c r="F2790" s="55"/>
      <c r="G2790" s="55"/>
      <c r="H2790" s="55"/>
      <c r="I2790" s="55"/>
      <c r="J2790" s="55"/>
      <c r="K2790" s="56"/>
      <c r="L2790" s="55"/>
      <c r="M2790" s="55"/>
      <c r="N2790" s="55"/>
      <c r="O2790" s="55"/>
      <c r="P2790" s="55"/>
      <c r="Q2790" s="55"/>
      <c r="R2790" s="57"/>
      <c r="S2790" s="58"/>
    </row>
    <row r="2791" spans="2:19" x14ac:dyDescent="0.25">
      <c r="B2791" s="52"/>
      <c r="C2791" s="53"/>
      <c r="D2791" s="54"/>
      <c r="E2791" s="55"/>
      <c r="F2791" s="55"/>
      <c r="G2791" s="55"/>
      <c r="H2791" s="55"/>
      <c r="I2791" s="55"/>
      <c r="J2791" s="55"/>
      <c r="K2791" s="56"/>
      <c r="L2791" s="55"/>
      <c r="M2791" s="55"/>
      <c r="N2791" s="55"/>
      <c r="O2791" s="55"/>
      <c r="P2791" s="55"/>
      <c r="Q2791" s="55"/>
      <c r="R2791" s="57"/>
      <c r="S2791" s="58"/>
    </row>
    <row r="2792" spans="2:19" x14ac:dyDescent="0.25">
      <c r="B2792" s="52"/>
      <c r="C2792" s="53"/>
      <c r="D2792" s="54"/>
      <c r="E2792" s="55"/>
      <c r="F2792" s="55"/>
      <c r="G2792" s="55"/>
      <c r="H2792" s="55"/>
      <c r="I2792" s="55"/>
      <c r="J2792" s="55"/>
      <c r="K2792" s="56"/>
      <c r="L2792" s="55"/>
      <c r="M2792" s="55"/>
      <c r="N2792" s="55"/>
      <c r="O2792" s="55"/>
      <c r="P2792" s="55"/>
      <c r="Q2792" s="55"/>
      <c r="R2792" s="57"/>
      <c r="S2792" s="58"/>
    </row>
    <row r="2793" spans="2:19" x14ac:dyDescent="0.25">
      <c r="B2793" s="52"/>
      <c r="C2793" s="53"/>
      <c r="D2793" s="54"/>
      <c r="E2793" s="55"/>
      <c r="F2793" s="55"/>
      <c r="G2793" s="55"/>
      <c r="H2793" s="55"/>
      <c r="I2793" s="55"/>
      <c r="J2793" s="55"/>
      <c r="K2793" s="56"/>
      <c r="L2793" s="55"/>
      <c r="M2793" s="55"/>
      <c r="N2793" s="55"/>
      <c r="O2793" s="55"/>
      <c r="P2793" s="55"/>
      <c r="Q2793" s="55"/>
      <c r="R2793" s="57"/>
      <c r="S2793" s="58"/>
    </row>
    <row r="2794" spans="2:19" x14ac:dyDescent="0.25">
      <c r="B2794" s="52"/>
      <c r="C2794" s="53"/>
      <c r="D2794" s="54"/>
      <c r="E2794" s="55"/>
      <c r="F2794" s="55"/>
      <c r="G2794" s="55"/>
      <c r="H2794" s="55"/>
      <c r="I2794" s="55"/>
      <c r="J2794" s="55"/>
      <c r="K2794" s="56"/>
      <c r="L2794" s="55"/>
      <c r="M2794" s="55"/>
      <c r="N2794" s="55"/>
      <c r="O2794" s="55"/>
      <c r="P2794" s="55"/>
      <c r="Q2794" s="55"/>
      <c r="R2794" s="57"/>
      <c r="S2794" s="58"/>
    </row>
    <row r="2795" spans="2:19" x14ac:dyDescent="0.25">
      <c r="B2795" s="52"/>
      <c r="C2795" s="53"/>
      <c r="D2795" s="54"/>
      <c r="E2795" s="55"/>
      <c r="F2795" s="55"/>
      <c r="G2795" s="55"/>
      <c r="H2795" s="55"/>
      <c r="I2795" s="55"/>
      <c r="J2795" s="55"/>
      <c r="K2795" s="56"/>
      <c r="L2795" s="55"/>
      <c r="M2795" s="55"/>
      <c r="N2795" s="55"/>
      <c r="O2795" s="55"/>
      <c r="P2795" s="55"/>
      <c r="Q2795" s="55"/>
      <c r="R2795" s="57"/>
      <c r="S2795" s="58"/>
    </row>
    <row r="2796" spans="2:19" x14ac:dyDescent="0.25">
      <c r="B2796" s="52"/>
      <c r="C2796" s="53"/>
      <c r="D2796" s="54"/>
      <c r="E2796" s="55"/>
      <c r="F2796" s="55"/>
      <c r="G2796" s="55"/>
      <c r="H2796" s="55"/>
      <c r="I2796" s="55"/>
      <c r="J2796" s="55"/>
      <c r="K2796" s="56"/>
      <c r="L2796" s="55"/>
      <c r="M2796" s="55"/>
      <c r="N2796" s="55"/>
      <c r="O2796" s="55"/>
      <c r="P2796" s="55"/>
      <c r="Q2796" s="55"/>
      <c r="R2796" s="57"/>
      <c r="S2796" s="58"/>
    </row>
    <row r="2797" spans="2:19" x14ac:dyDescent="0.25">
      <c r="B2797" s="52"/>
      <c r="C2797" s="53"/>
      <c r="D2797" s="54"/>
      <c r="E2797" s="55"/>
      <c r="F2797" s="55"/>
      <c r="G2797" s="55"/>
      <c r="H2797" s="55"/>
      <c r="I2797" s="55"/>
      <c r="J2797" s="55"/>
      <c r="K2797" s="56"/>
      <c r="L2797" s="55"/>
      <c r="M2797" s="55"/>
      <c r="N2797" s="55"/>
      <c r="O2797" s="55"/>
      <c r="P2797" s="55"/>
      <c r="Q2797" s="55"/>
      <c r="R2797" s="57"/>
      <c r="S2797" s="58"/>
    </row>
    <row r="2798" spans="2:19" ht="15.75" x14ac:dyDescent="0.25">
      <c r="B2798" s="52"/>
      <c r="C2798" s="53"/>
      <c r="D2798" s="54"/>
      <c r="E2798" s="55"/>
      <c r="F2798" s="55"/>
      <c r="G2798" s="55"/>
      <c r="H2798" s="55"/>
      <c r="I2798" s="55"/>
      <c r="J2798" s="55"/>
      <c r="K2798" s="59"/>
      <c r="L2798" s="55"/>
      <c r="M2798" s="55"/>
      <c r="N2798" s="55"/>
      <c r="O2798" s="55"/>
      <c r="P2798" s="55"/>
      <c r="Q2798" s="55"/>
      <c r="R2798" s="57"/>
      <c r="S2798" s="58"/>
    </row>
    <row r="2799" spans="2:19" x14ac:dyDescent="0.25">
      <c r="B2799" s="52"/>
      <c r="C2799" s="53"/>
      <c r="D2799" s="54"/>
      <c r="E2799" s="55"/>
      <c r="F2799" s="55"/>
      <c r="G2799" s="55"/>
      <c r="H2799" s="55"/>
      <c r="I2799" s="55"/>
      <c r="J2799" s="55"/>
      <c r="K2799" s="56"/>
      <c r="L2799" s="55"/>
      <c r="M2799" s="55"/>
      <c r="N2799" s="55"/>
      <c r="O2799" s="55"/>
      <c r="P2799" s="55"/>
      <c r="Q2799" s="55"/>
      <c r="R2799" s="57"/>
      <c r="S2799" s="58"/>
    </row>
    <row r="2800" spans="2:19" x14ac:dyDescent="0.25">
      <c r="B2800" s="52"/>
      <c r="C2800" s="53"/>
      <c r="D2800" s="54"/>
      <c r="E2800" s="55"/>
      <c r="F2800" s="55"/>
      <c r="G2800" s="55"/>
      <c r="H2800" s="55"/>
      <c r="I2800" s="55"/>
      <c r="J2800" s="55"/>
      <c r="K2800" s="56"/>
      <c r="L2800" s="55"/>
      <c r="M2800" s="55"/>
      <c r="N2800" s="55"/>
      <c r="O2800" s="55"/>
      <c r="P2800" s="55"/>
      <c r="Q2800" s="55"/>
      <c r="R2800" s="57"/>
      <c r="S2800" s="58"/>
    </row>
    <row r="2801" spans="2:19" x14ac:dyDescent="0.25">
      <c r="B2801" s="52"/>
      <c r="C2801" s="53"/>
      <c r="D2801" s="54"/>
      <c r="E2801" s="55"/>
      <c r="F2801" s="55"/>
      <c r="G2801" s="55"/>
      <c r="H2801" s="55"/>
      <c r="I2801" s="55"/>
      <c r="J2801" s="55"/>
      <c r="K2801" s="56"/>
      <c r="L2801" s="55"/>
      <c r="M2801" s="55"/>
      <c r="N2801" s="55"/>
      <c r="O2801" s="55"/>
      <c r="P2801" s="55"/>
      <c r="Q2801" s="55"/>
      <c r="R2801" s="57"/>
      <c r="S2801" s="58"/>
    </row>
    <row r="2802" spans="2:19" x14ac:dyDescent="0.25">
      <c r="B2802" s="52"/>
      <c r="C2802" s="53"/>
      <c r="D2802" s="54"/>
      <c r="E2802" s="55"/>
      <c r="F2802" s="55"/>
      <c r="G2802" s="55"/>
      <c r="H2802" s="55"/>
      <c r="I2802" s="55"/>
      <c r="J2802" s="55"/>
      <c r="K2802" s="56"/>
      <c r="L2802" s="55"/>
      <c r="M2802" s="55"/>
      <c r="N2802" s="55"/>
      <c r="O2802" s="55"/>
      <c r="P2802" s="55"/>
      <c r="Q2802" s="55"/>
      <c r="R2802" s="57"/>
      <c r="S2802" s="58"/>
    </row>
    <row r="2803" spans="2:19" x14ac:dyDescent="0.25">
      <c r="B2803" s="52"/>
      <c r="C2803" s="53"/>
      <c r="D2803" s="54"/>
      <c r="E2803" s="55"/>
      <c r="F2803" s="55"/>
      <c r="G2803" s="55"/>
      <c r="H2803" s="55"/>
      <c r="I2803" s="55"/>
      <c r="J2803" s="55"/>
      <c r="K2803" s="56"/>
      <c r="L2803" s="55"/>
      <c r="M2803" s="55"/>
      <c r="N2803" s="55"/>
      <c r="O2803" s="55"/>
      <c r="P2803" s="55"/>
      <c r="Q2803" s="55"/>
      <c r="R2803" s="57"/>
      <c r="S2803" s="58"/>
    </row>
    <row r="2804" spans="2:19" x14ac:dyDescent="0.25">
      <c r="B2804" s="52"/>
      <c r="C2804" s="53"/>
      <c r="D2804" s="54"/>
      <c r="E2804" s="55"/>
      <c r="F2804" s="55"/>
      <c r="G2804" s="55"/>
      <c r="H2804" s="55"/>
      <c r="I2804" s="55"/>
      <c r="J2804" s="55"/>
      <c r="K2804" s="56"/>
      <c r="L2804" s="55"/>
      <c r="M2804" s="55"/>
      <c r="N2804" s="55"/>
      <c r="O2804" s="55"/>
      <c r="P2804" s="55"/>
      <c r="Q2804" s="55"/>
      <c r="R2804" s="57"/>
      <c r="S2804" s="58"/>
    </row>
    <row r="2805" spans="2:19" x14ac:dyDescent="0.25">
      <c r="B2805" s="52"/>
      <c r="C2805" s="53"/>
      <c r="D2805" s="54"/>
      <c r="E2805" s="55"/>
      <c r="F2805" s="55"/>
      <c r="G2805" s="55"/>
      <c r="H2805" s="55"/>
      <c r="I2805" s="55"/>
      <c r="J2805" s="55"/>
      <c r="K2805" s="56"/>
      <c r="L2805" s="55"/>
      <c r="M2805" s="55"/>
      <c r="N2805" s="55"/>
      <c r="O2805" s="55"/>
      <c r="P2805" s="55"/>
      <c r="Q2805" s="55"/>
      <c r="R2805" s="57"/>
      <c r="S2805" s="58"/>
    </row>
    <row r="2806" spans="2:19" x14ac:dyDescent="0.25">
      <c r="B2806" s="52"/>
      <c r="C2806" s="60"/>
      <c r="E2806" s="61"/>
      <c r="F2806" s="62"/>
      <c r="G2806" s="63"/>
      <c r="H2806" s="64"/>
      <c r="I2806" s="64"/>
      <c r="J2806" s="64"/>
      <c r="K2806" s="65"/>
      <c r="L2806" s="64"/>
      <c r="M2806" s="64"/>
      <c r="N2806" s="64"/>
      <c r="P2806" s="63"/>
      <c r="Q2806" s="61"/>
      <c r="R2806" s="64"/>
      <c r="S2806" s="64"/>
    </row>
    <row r="2807" spans="2:19" x14ac:dyDescent="0.25">
      <c r="B2807" s="52"/>
      <c r="C2807" s="53"/>
      <c r="D2807" s="54"/>
      <c r="E2807" s="55"/>
      <c r="F2807" s="55"/>
      <c r="G2807" s="55"/>
      <c r="H2807" s="55"/>
      <c r="I2807" s="55"/>
      <c r="J2807" s="55"/>
      <c r="K2807" s="56"/>
      <c r="L2807" s="55"/>
      <c r="M2807" s="55"/>
      <c r="N2807" s="55"/>
      <c r="O2807" s="55"/>
      <c r="P2807" s="55"/>
      <c r="Q2807" s="55"/>
      <c r="R2807" s="57"/>
      <c r="S2807" s="58"/>
    </row>
    <row r="2808" spans="2:19" x14ac:dyDescent="0.25">
      <c r="B2808" s="52"/>
      <c r="C2808" s="53"/>
      <c r="D2808" s="54"/>
      <c r="E2808" s="55"/>
      <c r="F2808" s="55"/>
      <c r="G2808" s="55"/>
      <c r="H2808" s="55"/>
      <c r="I2808" s="55"/>
      <c r="J2808" s="55"/>
      <c r="K2808" s="56"/>
      <c r="L2808" s="55"/>
      <c r="M2808" s="55"/>
      <c r="N2808" s="55"/>
      <c r="O2808" s="55"/>
      <c r="P2808" s="55"/>
      <c r="Q2808" s="55"/>
      <c r="R2808" s="57"/>
      <c r="S2808" s="58"/>
    </row>
    <row r="2809" spans="2:19" x14ac:dyDescent="0.25">
      <c r="B2809" s="52"/>
      <c r="C2809" s="53"/>
      <c r="D2809" s="54"/>
      <c r="E2809" s="55"/>
      <c r="F2809" s="55"/>
      <c r="G2809" s="55"/>
      <c r="H2809" s="55"/>
      <c r="I2809" s="55"/>
      <c r="J2809" s="55"/>
      <c r="K2809" s="56"/>
      <c r="L2809" s="55"/>
      <c r="M2809" s="55"/>
      <c r="N2809" s="55"/>
      <c r="O2809" s="55"/>
      <c r="P2809" s="55"/>
      <c r="Q2809" s="55"/>
      <c r="R2809" s="57"/>
      <c r="S2809" s="58"/>
    </row>
    <row r="2810" spans="2:19" x14ac:dyDescent="0.25">
      <c r="B2810" s="52"/>
      <c r="C2810" s="53"/>
      <c r="D2810" s="54"/>
      <c r="E2810" s="55"/>
      <c r="F2810" s="55"/>
      <c r="G2810" s="55"/>
      <c r="H2810" s="55"/>
      <c r="I2810" s="55"/>
      <c r="J2810" s="55"/>
      <c r="K2810" s="56"/>
      <c r="L2810" s="55"/>
      <c r="M2810" s="55"/>
      <c r="N2810" s="55"/>
      <c r="O2810" s="55"/>
      <c r="P2810" s="55"/>
      <c r="Q2810" s="55"/>
      <c r="R2810" s="57"/>
      <c r="S2810" s="58"/>
    </row>
    <row r="2811" spans="2:19" x14ac:dyDescent="0.25">
      <c r="B2811" s="52"/>
      <c r="C2811" s="53"/>
      <c r="D2811" s="54"/>
      <c r="E2811" s="55"/>
      <c r="F2811" s="55"/>
      <c r="G2811" s="55"/>
      <c r="H2811" s="55"/>
      <c r="I2811" s="55"/>
      <c r="J2811" s="55"/>
      <c r="K2811" s="56"/>
      <c r="L2811" s="55"/>
      <c r="M2811" s="55"/>
      <c r="N2811" s="55"/>
      <c r="O2811" s="55"/>
      <c r="P2811" s="55"/>
      <c r="Q2811" s="55"/>
      <c r="R2811" s="57"/>
      <c r="S2811" s="58"/>
    </row>
    <row r="2812" spans="2:19" x14ac:dyDescent="0.25">
      <c r="B2812" s="52"/>
      <c r="C2812" s="53"/>
      <c r="D2812" s="54"/>
      <c r="E2812" s="55"/>
      <c r="F2812" s="55"/>
      <c r="G2812" s="55"/>
      <c r="H2812" s="55"/>
      <c r="I2812" s="55"/>
      <c r="J2812" s="55"/>
      <c r="K2812" s="56"/>
      <c r="L2812" s="55"/>
      <c r="M2812" s="55"/>
      <c r="N2812" s="55"/>
      <c r="O2812" s="55"/>
      <c r="P2812" s="55"/>
      <c r="Q2812" s="55"/>
      <c r="R2812" s="57"/>
      <c r="S2812" s="58"/>
    </row>
    <row r="2813" spans="2:19" x14ac:dyDescent="0.25">
      <c r="B2813" s="52"/>
      <c r="C2813" s="53"/>
      <c r="D2813" s="54"/>
      <c r="E2813" s="55"/>
      <c r="F2813" s="55"/>
      <c r="G2813" s="55"/>
      <c r="H2813" s="55"/>
      <c r="I2813" s="55"/>
      <c r="J2813" s="55"/>
      <c r="K2813" s="56"/>
      <c r="L2813" s="55"/>
      <c r="M2813" s="55"/>
      <c r="N2813" s="55"/>
      <c r="O2813" s="55"/>
      <c r="P2813" s="55"/>
      <c r="Q2813" s="55"/>
      <c r="R2813" s="57"/>
      <c r="S2813" s="58"/>
    </row>
    <row r="2814" spans="2:19" x14ac:dyDescent="0.25">
      <c r="B2814" s="52"/>
      <c r="C2814" s="53"/>
      <c r="D2814" s="54"/>
      <c r="E2814" s="55"/>
      <c r="F2814" s="55"/>
      <c r="G2814" s="55"/>
      <c r="H2814" s="55"/>
      <c r="I2814" s="55"/>
      <c r="J2814" s="55"/>
      <c r="K2814" s="56"/>
      <c r="L2814" s="55"/>
      <c r="M2814" s="55"/>
      <c r="N2814" s="55"/>
      <c r="O2814" s="55"/>
      <c r="P2814" s="55"/>
      <c r="Q2814" s="55"/>
      <c r="R2814" s="57"/>
      <c r="S2814" s="58"/>
    </row>
    <row r="2815" spans="2:19" ht="15.75" x14ac:dyDescent="0.25">
      <c r="B2815" s="52"/>
      <c r="C2815" s="53"/>
      <c r="D2815" s="54"/>
      <c r="E2815" s="55"/>
      <c r="F2815" s="55"/>
      <c r="G2815" s="55"/>
      <c r="H2815" s="55"/>
      <c r="I2815" s="55"/>
      <c r="J2815" s="55"/>
      <c r="K2815" s="59"/>
      <c r="L2815" s="55"/>
      <c r="M2815" s="55"/>
      <c r="N2815" s="55"/>
      <c r="O2815" s="55"/>
      <c r="P2815" s="55"/>
      <c r="Q2815" s="55"/>
      <c r="R2815" s="57"/>
      <c r="S2815" s="58"/>
    </row>
    <row r="2816" spans="2:19" x14ac:dyDescent="0.25">
      <c r="B2816" s="52"/>
      <c r="C2816" s="53"/>
      <c r="D2816" s="54"/>
      <c r="E2816" s="55"/>
      <c r="F2816" s="55"/>
      <c r="G2816" s="55"/>
      <c r="H2816" s="55"/>
      <c r="I2816" s="55"/>
      <c r="J2816" s="55"/>
      <c r="K2816" s="56"/>
      <c r="L2816" s="55"/>
      <c r="M2816" s="55"/>
      <c r="N2816" s="55"/>
      <c r="O2816" s="55"/>
      <c r="P2816" s="55"/>
      <c r="Q2816" s="55"/>
      <c r="R2816" s="57"/>
      <c r="S2816" s="58"/>
    </row>
    <row r="2817" spans="2:19" x14ac:dyDescent="0.25">
      <c r="B2817" s="52"/>
      <c r="C2817" s="53"/>
      <c r="D2817" s="54"/>
      <c r="E2817" s="55"/>
      <c r="F2817" s="55"/>
      <c r="G2817" s="55"/>
      <c r="H2817" s="55"/>
      <c r="I2817" s="55"/>
      <c r="J2817" s="55"/>
      <c r="K2817" s="56"/>
      <c r="L2817" s="55"/>
      <c r="M2817" s="55"/>
      <c r="N2817" s="55"/>
      <c r="O2817" s="55"/>
      <c r="P2817" s="55"/>
      <c r="Q2817" s="55"/>
      <c r="R2817" s="57"/>
      <c r="S2817" s="58"/>
    </row>
    <row r="2818" spans="2:19" x14ac:dyDescent="0.25">
      <c r="B2818" s="52"/>
      <c r="C2818" s="53"/>
      <c r="D2818" s="54"/>
      <c r="E2818" s="55"/>
      <c r="F2818" s="55"/>
      <c r="G2818" s="55"/>
      <c r="H2818" s="55"/>
      <c r="I2818" s="55"/>
      <c r="J2818" s="55"/>
      <c r="K2818" s="56"/>
      <c r="L2818" s="55"/>
      <c r="M2818" s="55"/>
      <c r="N2818" s="55"/>
      <c r="O2818" s="55"/>
      <c r="P2818" s="55"/>
      <c r="Q2818" s="55"/>
      <c r="R2818" s="57"/>
      <c r="S2818" s="58"/>
    </row>
    <row r="2819" spans="2:19" x14ac:dyDescent="0.25">
      <c r="B2819" s="52"/>
      <c r="C2819" s="53"/>
      <c r="D2819" s="54"/>
      <c r="E2819" s="55"/>
      <c r="F2819" s="55"/>
      <c r="G2819" s="55"/>
      <c r="H2819" s="55"/>
      <c r="I2819" s="55"/>
      <c r="J2819" s="55"/>
      <c r="K2819" s="56"/>
      <c r="L2819" s="55"/>
      <c r="M2819" s="55"/>
      <c r="N2819" s="55"/>
      <c r="O2819" s="55"/>
      <c r="P2819" s="55"/>
      <c r="Q2819" s="55"/>
      <c r="R2819" s="57"/>
      <c r="S2819" s="58"/>
    </row>
    <row r="2820" spans="2:19" x14ac:dyDescent="0.25">
      <c r="B2820" s="52"/>
      <c r="C2820" s="53"/>
      <c r="D2820" s="54"/>
      <c r="E2820" s="55"/>
      <c r="F2820" s="55"/>
      <c r="G2820" s="55"/>
      <c r="H2820" s="55"/>
      <c r="I2820" s="55"/>
      <c r="J2820" s="55"/>
      <c r="K2820" s="56"/>
      <c r="L2820" s="55"/>
      <c r="M2820" s="55"/>
      <c r="N2820" s="55"/>
      <c r="O2820" s="55"/>
      <c r="P2820" s="55"/>
      <c r="Q2820" s="55"/>
      <c r="R2820" s="57"/>
      <c r="S2820" s="58"/>
    </row>
    <row r="2821" spans="2:19" x14ac:dyDescent="0.25">
      <c r="B2821" s="52"/>
      <c r="C2821" s="53"/>
      <c r="D2821" s="54"/>
      <c r="E2821" s="55"/>
      <c r="F2821" s="55"/>
      <c r="G2821" s="55"/>
      <c r="H2821" s="55"/>
      <c r="I2821" s="55"/>
      <c r="J2821" s="55"/>
      <c r="K2821" s="56"/>
      <c r="L2821" s="55"/>
      <c r="M2821" s="55"/>
      <c r="N2821" s="55"/>
      <c r="O2821" s="55"/>
      <c r="P2821" s="55"/>
      <c r="Q2821" s="55"/>
      <c r="R2821" s="57"/>
      <c r="S2821" s="58"/>
    </row>
    <row r="2822" spans="2:19" x14ac:dyDescent="0.25">
      <c r="B2822" s="52"/>
      <c r="C2822" s="53"/>
      <c r="D2822" s="54"/>
      <c r="E2822" s="55"/>
      <c r="F2822" s="55"/>
      <c r="G2822" s="55"/>
      <c r="H2822" s="55"/>
      <c r="I2822" s="55"/>
      <c r="J2822" s="55"/>
      <c r="K2822" s="56"/>
      <c r="L2822" s="55"/>
      <c r="M2822" s="55"/>
      <c r="N2822" s="55"/>
      <c r="O2822" s="55"/>
      <c r="P2822" s="55"/>
      <c r="Q2822" s="55"/>
      <c r="R2822" s="57"/>
      <c r="S2822" s="58"/>
    </row>
    <row r="2823" spans="2:19" x14ac:dyDescent="0.25">
      <c r="B2823" s="52"/>
      <c r="C2823" s="60"/>
      <c r="E2823" s="61"/>
      <c r="F2823" s="62"/>
      <c r="G2823" s="63"/>
      <c r="H2823" s="64"/>
      <c r="I2823" s="64"/>
      <c r="J2823" s="64"/>
      <c r="K2823" s="65"/>
      <c r="L2823" s="64"/>
      <c r="M2823" s="64"/>
      <c r="N2823" s="64"/>
      <c r="P2823" s="63"/>
      <c r="Q2823" s="61"/>
      <c r="R2823" s="64"/>
      <c r="S2823" s="64"/>
    </row>
    <row r="2824" spans="2:19" x14ac:dyDescent="0.25">
      <c r="B2824" s="52"/>
      <c r="C2824" s="53"/>
      <c r="D2824" s="54"/>
      <c r="E2824" s="55"/>
      <c r="F2824" s="55"/>
      <c r="G2824" s="55"/>
      <c r="H2824" s="55"/>
      <c r="I2824" s="55"/>
      <c r="J2824" s="55"/>
      <c r="K2824" s="56"/>
      <c r="L2824" s="55"/>
      <c r="M2824" s="55"/>
      <c r="N2824" s="55"/>
      <c r="O2824" s="55"/>
      <c r="P2824" s="55"/>
      <c r="Q2824" s="55"/>
      <c r="R2824" s="57"/>
      <c r="S2824" s="58"/>
    </row>
    <row r="2825" spans="2:19" x14ac:dyDescent="0.25">
      <c r="B2825" s="52"/>
      <c r="C2825" s="53"/>
      <c r="D2825" s="54"/>
      <c r="E2825" s="55"/>
      <c r="F2825" s="55"/>
      <c r="G2825" s="55"/>
      <c r="H2825" s="55"/>
      <c r="I2825" s="55"/>
      <c r="J2825" s="55"/>
      <c r="K2825" s="56"/>
      <c r="L2825" s="55"/>
      <c r="M2825" s="55"/>
      <c r="N2825" s="55"/>
      <c r="O2825" s="55"/>
      <c r="P2825" s="55"/>
      <c r="Q2825" s="55"/>
      <c r="R2825" s="57"/>
      <c r="S2825" s="58"/>
    </row>
    <row r="2826" spans="2:19" x14ac:dyDescent="0.25">
      <c r="B2826" s="52"/>
      <c r="C2826" s="53"/>
      <c r="D2826" s="54"/>
      <c r="E2826" s="55"/>
      <c r="F2826" s="55"/>
      <c r="G2826" s="55"/>
      <c r="H2826" s="55"/>
      <c r="I2826" s="55"/>
      <c r="J2826" s="55"/>
      <c r="K2826" s="56"/>
      <c r="L2826" s="55"/>
      <c r="M2826" s="55"/>
      <c r="N2826" s="55"/>
      <c r="O2826" s="55"/>
      <c r="P2826" s="55"/>
      <c r="Q2826" s="55"/>
      <c r="R2826" s="57"/>
      <c r="S2826" s="58"/>
    </row>
    <row r="2827" spans="2:19" x14ac:dyDescent="0.25">
      <c r="B2827" s="52"/>
      <c r="C2827" s="53"/>
      <c r="D2827" s="54"/>
      <c r="E2827" s="55"/>
      <c r="F2827" s="55"/>
      <c r="G2827" s="55"/>
      <c r="H2827" s="55"/>
      <c r="I2827" s="55"/>
      <c r="J2827" s="55"/>
      <c r="K2827" s="56"/>
      <c r="L2827" s="55"/>
      <c r="M2827" s="55"/>
      <c r="N2827" s="55"/>
      <c r="O2827" s="55"/>
      <c r="P2827" s="55"/>
      <c r="Q2827" s="55"/>
      <c r="R2827" s="57"/>
      <c r="S2827" s="58"/>
    </row>
    <row r="2828" spans="2:19" x14ac:dyDescent="0.25">
      <c r="B2828" s="52"/>
      <c r="C2828" s="53"/>
      <c r="D2828" s="54"/>
      <c r="E2828" s="55"/>
      <c r="F2828" s="55"/>
      <c r="G2828" s="55"/>
      <c r="H2828" s="55"/>
      <c r="I2828" s="55"/>
      <c r="J2828" s="55"/>
      <c r="K2828" s="56"/>
      <c r="L2828" s="55"/>
      <c r="M2828" s="55"/>
      <c r="N2828" s="55"/>
      <c r="O2828" s="55"/>
      <c r="P2828" s="55"/>
      <c r="Q2828" s="55"/>
      <c r="R2828" s="57"/>
      <c r="S2828" s="58"/>
    </row>
    <row r="2829" spans="2:19" x14ac:dyDescent="0.25">
      <c r="B2829" s="52"/>
      <c r="C2829" s="53"/>
      <c r="D2829" s="54"/>
      <c r="E2829" s="55"/>
      <c r="F2829" s="55"/>
      <c r="G2829" s="55"/>
      <c r="H2829" s="55"/>
      <c r="I2829" s="55"/>
      <c r="J2829" s="55"/>
      <c r="K2829" s="56"/>
      <c r="L2829" s="55"/>
      <c r="M2829" s="55"/>
      <c r="N2829" s="55"/>
      <c r="O2829" s="55"/>
      <c r="P2829" s="55"/>
      <c r="Q2829" s="55"/>
      <c r="R2829" s="57"/>
      <c r="S2829" s="58"/>
    </row>
    <row r="2830" spans="2:19" x14ac:dyDescent="0.25">
      <c r="B2830" s="52"/>
      <c r="C2830" s="53"/>
      <c r="D2830" s="54"/>
      <c r="E2830" s="55"/>
      <c r="F2830" s="55"/>
      <c r="G2830" s="55"/>
      <c r="H2830" s="55"/>
      <c r="I2830" s="55"/>
      <c r="J2830" s="55"/>
      <c r="K2830" s="56"/>
      <c r="L2830" s="55"/>
      <c r="M2830" s="55"/>
      <c r="N2830" s="55"/>
      <c r="O2830" s="55"/>
      <c r="P2830" s="55"/>
      <c r="Q2830" s="55"/>
      <c r="R2830" s="57"/>
      <c r="S2830" s="58"/>
    </row>
    <row r="2831" spans="2:19" x14ac:dyDescent="0.25">
      <c r="B2831" s="52"/>
      <c r="C2831" s="53"/>
      <c r="D2831" s="54"/>
      <c r="E2831" s="55"/>
      <c r="F2831" s="55"/>
      <c r="G2831" s="55"/>
      <c r="H2831" s="55"/>
      <c r="I2831" s="55"/>
      <c r="J2831" s="55"/>
      <c r="K2831" s="56"/>
      <c r="L2831" s="55"/>
      <c r="M2831" s="55"/>
      <c r="N2831" s="55"/>
      <c r="O2831" s="55"/>
      <c r="P2831" s="55"/>
      <c r="Q2831" s="55"/>
      <c r="R2831" s="57"/>
      <c r="S2831" s="58"/>
    </row>
    <row r="2832" spans="2:19" ht="15.75" x14ac:dyDescent="0.25">
      <c r="B2832" s="52"/>
      <c r="C2832" s="53"/>
      <c r="D2832" s="54"/>
      <c r="E2832" s="55"/>
      <c r="F2832" s="55"/>
      <c r="G2832" s="55"/>
      <c r="H2832" s="55"/>
      <c r="I2832" s="55"/>
      <c r="J2832" s="55"/>
      <c r="K2832" s="59"/>
      <c r="L2832" s="55"/>
      <c r="M2832" s="55"/>
      <c r="N2832" s="55"/>
      <c r="O2832" s="55"/>
      <c r="P2832" s="55"/>
      <c r="Q2832" s="55"/>
      <c r="R2832" s="57"/>
      <c r="S2832" s="58"/>
    </row>
    <row r="2833" spans="2:19" x14ac:dyDescent="0.25">
      <c r="B2833" s="52"/>
      <c r="C2833" s="53"/>
      <c r="D2833" s="54"/>
      <c r="E2833" s="55"/>
      <c r="F2833" s="55"/>
      <c r="G2833" s="55"/>
      <c r="H2833" s="55"/>
      <c r="I2833" s="55"/>
      <c r="J2833" s="55"/>
      <c r="K2833" s="56"/>
      <c r="L2833" s="55"/>
      <c r="M2833" s="55"/>
      <c r="N2833" s="55"/>
      <c r="O2833" s="55"/>
      <c r="P2833" s="55"/>
      <c r="Q2833" s="55"/>
      <c r="R2833" s="57"/>
      <c r="S2833" s="58"/>
    </row>
    <row r="2834" spans="2:19" x14ac:dyDescent="0.25">
      <c r="B2834" s="52"/>
      <c r="C2834" s="53"/>
      <c r="D2834" s="54"/>
      <c r="E2834" s="55"/>
      <c r="F2834" s="55"/>
      <c r="G2834" s="55"/>
      <c r="H2834" s="55"/>
      <c r="I2834" s="55"/>
      <c r="J2834" s="55"/>
      <c r="K2834" s="56"/>
      <c r="L2834" s="55"/>
      <c r="M2834" s="55"/>
      <c r="N2834" s="55"/>
      <c r="O2834" s="55"/>
      <c r="P2834" s="55"/>
      <c r="Q2834" s="55"/>
      <c r="R2834" s="57"/>
      <c r="S2834" s="58"/>
    </row>
    <row r="2835" spans="2:19" x14ac:dyDescent="0.25">
      <c r="B2835" s="52"/>
      <c r="C2835" s="53"/>
      <c r="D2835" s="54"/>
      <c r="E2835" s="55"/>
      <c r="F2835" s="55"/>
      <c r="G2835" s="55"/>
      <c r="H2835" s="55"/>
      <c r="I2835" s="55"/>
      <c r="J2835" s="55"/>
      <c r="K2835" s="56"/>
      <c r="L2835" s="55"/>
      <c r="M2835" s="55"/>
      <c r="N2835" s="55"/>
      <c r="O2835" s="55"/>
      <c r="P2835" s="55"/>
      <c r="Q2835" s="55"/>
      <c r="R2835" s="57"/>
      <c r="S2835" s="58"/>
    </row>
    <row r="2836" spans="2:19" x14ac:dyDescent="0.25">
      <c r="B2836" s="52"/>
      <c r="C2836" s="53"/>
      <c r="D2836" s="54"/>
      <c r="E2836" s="55"/>
      <c r="F2836" s="55"/>
      <c r="G2836" s="55"/>
      <c r="H2836" s="55"/>
      <c r="I2836" s="55"/>
      <c r="J2836" s="55"/>
      <c r="K2836" s="56"/>
      <c r="L2836" s="55"/>
      <c r="M2836" s="55"/>
      <c r="N2836" s="55"/>
      <c r="O2836" s="55"/>
      <c r="P2836" s="55"/>
      <c r="Q2836" s="55"/>
      <c r="R2836" s="57"/>
      <c r="S2836" s="58"/>
    </row>
    <row r="2837" spans="2:19" x14ac:dyDescent="0.25">
      <c r="B2837" s="52"/>
      <c r="C2837" s="53"/>
      <c r="D2837" s="54"/>
      <c r="E2837" s="55"/>
      <c r="F2837" s="55"/>
      <c r="G2837" s="55"/>
      <c r="H2837" s="55"/>
      <c r="I2837" s="55"/>
      <c r="J2837" s="55"/>
      <c r="K2837" s="56"/>
      <c r="L2837" s="55"/>
      <c r="M2837" s="55"/>
      <c r="N2837" s="55"/>
      <c r="O2837" s="55"/>
      <c r="P2837" s="55"/>
      <c r="Q2837" s="55"/>
      <c r="R2837" s="57"/>
      <c r="S2837" s="58"/>
    </row>
    <row r="2838" spans="2:19" x14ac:dyDescent="0.25">
      <c r="B2838" s="52"/>
      <c r="C2838" s="53"/>
      <c r="D2838" s="54"/>
      <c r="E2838" s="55"/>
      <c r="F2838" s="55"/>
      <c r="G2838" s="55"/>
      <c r="H2838" s="55"/>
      <c r="I2838" s="55"/>
      <c r="J2838" s="55"/>
      <c r="K2838" s="56"/>
      <c r="L2838" s="55"/>
      <c r="M2838" s="55"/>
      <c r="N2838" s="55"/>
      <c r="O2838" s="55"/>
      <c r="P2838" s="55"/>
      <c r="Q2838" s="55"/>
      <c r="R2838" s="57"/>
      <c r="S2838" s="58"/>
    </row>
    <row r="2839" spans="2:19" x14ac:dyDescent="0.25">
      <c r="B2839" s="52"/>
      <c r="C2839" s="53"/>
      <c r="D2839" s="54"/>
      <c r="E2839" s="55"/>
      <c r="F2839" s="55"/>
      <c r="G2839" s="55"/>
      <c r="H2839" s="55"/>
      <c r="I2839" s="55"/>
      <c r="J2839" s="55"/>
      <c r="K2839" s="56"/>
      <c r="L2839" s="55"/>
      <c r="M2839" s="55"/>
      <c r="N2839" s="55"/>
      <c r="O2839" s="55"/>
      <c r="P2839" s="55"/>
      <c r="Q2839" s="55"/>
      <c r="R2839" s="57"/>
      <c r="S2839" s="58"/>
    </row>
    <row r="2840" spans="2:19" x14ac:dyDescent="0.25">
      <c r="B2840" s="52"/>
      <c r="C2840" s="60"/>
      <c r="E2840" s="61"/>
      <c r="F2840" s="62"/>
      <c r="G2840" s="63"/>
      <c r="H2840" s="64"/>
      <c r="I2840" s="64"/>
      <c r="J2840" s="64"/>
      <c r="K2840" s="65"/>
      <c r="L2840" s="64"/>
      <c r="M2840" s="64"/>
      <c r="N2840" s="64"/>
      <c r="P2840" s="63"/>
      <c r="Q2840" s="61"/>
      <c r="R2840" s="64"/>
      <c r="S2840" s="64"/>
    </row>
    <row r="2841" spans="2:19" x14ac:dyDescent="0.25">
      <c r="B2841" s="52"/>
      <c r="C2841" s="53"/>
      <c r="D2841" s="54"/>
      <c r="E2841" s="55"/>
      <c r="F2841" s="55"/>
      <c r="G2841" s="55"/>
      <c r="H2841" s="55"/>
      <c r="I2841" s="55"/>
      <c r="J2841" s="55"/>
      <c r="K2841" s="56"/>
      <c r="L2841" s="55"/>
      <c r="M2841" s="55"/>
      <c r="N2841" s="55"/>
      <c r="O2841" s="55"/>
      <c r="P2841" s="55"/>
      <c r="Q2841" s="55"/>
      <c r="R2841" s="57"/>
      <c r="S2841" s="58"/>
    </row>
    <row r="2842" spans="2:19" x14ac:dyDescent="0.25">
      <c r="B2842" s="52"/>
      <c r="C2842" s="53"/>
      <c r="D2842" s="54"/>
      <c r="E2842" s="55"/>
      <c r="F2842" s="55"/>
      <c r="G2842" s="55"/>
      <c r="H2842" s="55"/>
      <c r="I2842" s="55"/>
      <c r="J2842" s="55"/>
      <c r="K2842" s="56"/>
      <c r="L2842" s="55"/>
      <c r="M2842" s="55"/>
      <c r="N2842" s="55"/>
      <c r="O2842" s="55"/>
      <c r="P2842" s="55"/>
      <c r="Q2842" s="55"/>
      <c r="R2842" s="57"/>
      <c r="S2842" s="58"/>
    </row>
    <row r="2843" spans="2:19" x14ac:dyDescent="0.25">
      <c r="B2843" s="52"/>
      <c r="C2843" s="53"/>
      <c r="D2843" s="54"/>
      <c r="E2843" s="55"/>
      <c r="F2843" s="55"/>
      <c r="G2843" s="55"/>
      <c r="H2843" s="55"/>
      <c r="I2843" s="55"/>
      <c r="J2843" s="55"/>
      <c r="K2843" s="56"/>
      <c r="L2843" s="55"/>
      <c r="M2843" s="55"/>
      <c r="N2843" s="55"/>
      <c r="O2843" s="55"/>
      <c r="P2843" s="55"/>
      <c r="Q2843" s="55"/>
      <c r="R2843" s="57"/>
      <c r="S2843" s="58"/>
    </row>
    <row r="2844" spans="2:19" x14ac:dyDescent="0.25">
      <c r="B2844" s="52"/>
      <c r="C2844" s="53"/>
      <c r="D2844" s="54"/>
      <c r="E2844" s="55"/>
      <c r="F2844" s="55"/>
      <c r="G2844" s="55"/>
      <c r="H2844" s="55"/>
      <c r="I2844" s="55"/>
      <c r="J2844" s="55"/>
      <c r="K2844" s="56"/>
      <c r="L2844" s="55"/>
      <c r="M2844" s="55"/>
      <c r="N2844" s="55"/>
      <c r="O2844" s="55"/>
      <c r="P2844" s="55"/>
      <c r="Q2844" s="55"/>
      <c r="R2844" s="57"/>
      <c r="S2844" s="58"/>
    </row>
    <row r="2845" spans="2:19" x14ac:dyDescent="0.25">
      <c r="B2845" s="52"/>
      <c r="C2845" s="53"/>
      <c r="D2845" s="54"/>
      <c r="E2845" s="55"/>
      <c r="F2845" s="55"/>
      <c r="G2845" s="55"/>
      <c r="H2845" s="55"/>
      <c r="I2845" s="55"/>
      <c r="J2845" s="55"/>
      <c r="K2845" s="56"/>
      <c r="L2845" s="55"/>
      <c r="M2845" s="55"/>
      <c r="N2845" s="55"/>
      <c r="O2845" s="55"/>
      <c r="P2845" s="55"/>
      <c r="Q2845" s="55"/>
      <c r="R2845" s="57"/>
      <c r="S2845" s="58"/>
    </row>
    <row r="2846" spans="2:19" x14ac:dyDescent="0.25">
      <c r="B2846" s="52"/>
      <c r="C2846" s="53"/>
      <c r="D2846" s="54"/>
      <c r="E2846" s="55"/>
      <c r="F2846" s="55"/>
      <c r="G2846" s="55"/>
      <c r="H2846" s="55"/>
      <c r="I2846" s="55"/>
      <c r="J2846" s="55"/>
      <c r="K2846" s="56"/>
      <c r="L2846" s="55"/>
      <c r="M2846" s="55"/>
      <c r="N2846" s="55"/>
      <c r="O2846" s="55"/>
      <c r="P2846" s="55"/>
      <c r="Q2846" s="55"/>
      <c r="R2846" s="57"/>
      <c r="S2846" s="58"/>
    </row>
    <row r="2847" spans="2:19" x14ac:dyDescent="0.25">
      <c r="B2847" s="52"/>
      <c r="C2847" s="53"/>
      <c r="D2847" s="54"/>
      <c r="E2847" s="55"/>
      <c r="F2847" s="55"/>
      <c r="G2847" s="55"/>
      <c r="H2847" s="55"/>
      <c r="I2847" s="55"/>
      <c r="J2847" s="55"/>
      <c r="K2847" s="56"/>
      <c r="L2847" s="55"/>
      <c r="M2847" s="55"/>
      <c r="N2847" s="55"/>
      <c r="O2847" s="55"/>
      <c r="P2847" s="55"/>
      <c r="Q2847" s="55"/>
      <c r="R2847" s="57"/>
      <c r="S2847" s="58"/>
    </row>
    <row r="2848" spans="2:19" x14ac:dyDescent="0.25">
      <c r="B2848" s="52"/>
      <c r="C2848" s="53"/>
      <c r="D2848" s="54"/>
      <c r="E2848" s="55"/>
      <c r="F2848" s="55"/>
      <c r="G2848" s="55"/>
      <c r="H2848" s="55"/>
      <c r="I2848" s="55"/>
      <c r="J2848" s="55"/>
      <c r="K2848" s="56"/>
      <c r="L2848" s="55"/>
      <c r="M2848" s="55"/>
      <c r="N2848" s="55"/>
      <c r="O2848" s="55"/>
      <c r="P2848" s="55"/>
      <c r="Q2848" s="55"/>
      <c r="R2848" s="57"/>
      <c r="S2848" s="58"/>
    </row>
    <row r="2849" spans="2:19" ht="15.75" x14ac:dyDescent="0.25">
      <c r="B2849" s="52"/>
      <c r="C2849" s="53"/>
      <c r="D2849" s="54"/>
      <c r="E2849" s="55"/>
      <c r="F2849" s="55"/>
      <c r="G2849" s="55"/>
      <c r="H2849" s="55"/>
      <c r="I2849" s="55"/>
      <c r="J2849" s="55"/>
      <c r="K2849" s="59"/>
      <c r="L2849" s="55"/>
      <c r="M2849" s="55"/>
      <c r="N2849" s="55"/>
      <c r="O2849" s="55"/>
      <c r="P2849" s="55"/>
      <c r="Q2849" s="55"/>
      <c r="R2849" s="57"/>
      <c r="S2849" s="58"/>
    </row>
    <row r="2850" spans="2:19" x14ac:dyDescent="0.25">
      <c r="B2850" s="52"/>
      <c r="C2850" s="53"/>
      <c r="D2850" s="54"/>
      <c r="E2850" s="55"/>
      <c r="F2850" s="55"/>
      <c r="G2850" s="55"/>
      <c r="H2850" s="55"/>
      <c r="I2850" s="55"/>
      <c r="J2850" s="55"/>
      <c r="K2850" s="56"/>
      <c r="L2850" s="55"/>
      <c r="M2850" s="55"/>
      <c r="N2850" s="55"/>
      <c r="O2850" s="55"/>
      <c r="P2850" s="55"/>
      <c r="Q2850" s="55"/>
      <c r="R2850" s="57"/>
      <c r="S2850" s="58"/>
    </row>
    <row r="2851" spans="2:19" x14ac:dyDescent="0.25">
      <c r="B2851" s="52"/>
      <c r="C2851" s="53"/>
      <c r="D2851" s="54"/>
      <c r="E2851" s="55"/>
      <c r="F2851" s="55"/>
      <c r="G2851" s="55"/>
      <c r="H2851" s="55"/>
      <c r="I2851" s="55"/>
      <c r="J2851" s="55"/>
      <c r="K2851" s="56"/>
      <c r="L2851" s="55"/>
      <c r="M2851" s="55"/>
      <c r="N2851" s="55"/>
      <c r="O2851" s="55"/>
      <c r="P2851" s="55"/>
      <c r="Q2851" s="55"/>
      <c r="R2851" s="57"/>
      <c r="S2851" s="58"/>
    </row>
    <row r="2852" spans="2:19" x14ac:dyDescent="0.25">
      <c r="B2852" s="52"/>
      <c r="C2852" s="53"/>
      <c r="D2852" s="54"/>
      <c r="E2852" s="55"/>
      <c r="F2852" s="55"/>
      <c r="G2852" s="55"/>
      <c r="H2852" s="55"/>
      <c r="I2852" s="55"/>
      <c r="J2852" s="55"/>
      <c r="K2852" s="56"/>
      <c r="L2852" s="55"/>
      <c r="M2852" s="55"/>
      <c r="N2852" s="55"/>
      <c r="O2852" s="55"/>
      <c r="P2852" s="55"/>
      <c r="Q2852" s="55"/>
      <c r="R2852" s="57"/>
      <c r="S2852" s="58"/>
    </row>
    <row r="2853" spans="2:19" x14ac:dyDescent="0.25">
      <c r="B2853" s="52"/>
      <c r="C2853" s="53"/>
      <c r="D2853" s="54"/>
      <c r="E2853" s="55"/>
      <c r="F2853" s="55"/>
      <c r="G2853" s="55"/>
      <c r="H2853" s="55"/>
      <c r="I2853" s="55"/>
      <c r="J2853" s="55"/>
      <c r="K2853" s="56"/>
      <c r="L2853" s="55"/>
      <c r="M2853" s="55"/>
      <c r="N2853" s="55"/>
      <c r="O2853" s="55"/>
      <c r="P2853" s="55"/>
      <c r="Q2853" s="55"/>
      <c r="R2853" s="57"/>
      <c r="S2853" s="58"/>
    </row>
    <row r="2854" spans="2:19" x14ac:dyDescent="0.25">
      <c r="B2854" s="52"/>
      <c r="C2854" s="53"/>
      <c r="D2854" s="54"/>
      <c r="E2854" s="55"/>
      <c r="F2854" s="55"/>
      <c r="G2854" s="55"/>
      <c r="H2854" s="55"/>
      <c r="I2854" s="55"/>
      <c r="J2854" s="55"/>
      <c r="K2854" s="56"/>
      <c r="L2854" s="55"/>
      <c r="M2854" s="55"/>
      <c r="N2854" s="55"/>
      <c r="O2854" s="55"/>
      <c r="P2854" s="55"/>
      <c r="Q2854" s="55"/>
      <c r="R2854" s="57"/>
      <c r="S2854" s="58"/>
    </row>
    <row r="2855" spans="2:19" x14ac:dyDescent="0.25">
      <c r="B2855" s="52"/>
      <c r="C2855" s="53"/>
      <c r="D2855" s="54"/>
      <c r="E2855" s="55"/>
      <c r="F2855" s="55"/>
      <c r="G2855" s="55"/>
      <c r="H2855" s="55"/>
      <c r="I2855" s="55"/>
      <c r="J2855" s="55"/>
      <c r="K2855" s="56"/>
      <c r="L2855" s="55"/>
      <c r="M2855" s="55"/>
      <c r="N2855" s="55"/>
      <c r="O2855" s="55"/>
      <c r="P2855" s="55"/>
      <c r="Q2855" s="55"/>
      <c r="R2855" s="57"/>
      <c r="S2855" s="58"/>
    </row>
    <row r="2856" spans="2:19" x14ac:dyDescent="0.25">
      <c r="B2856" s="52"/>
      <c r="C2856" s="53"/>
      <c r="D2856" s="54"/>
      <c r="E2856" s="55"/>
      <c r="F2856" s="55"/>
      <c r="G2856" s="55"/>
      <c r="H2856" s="55"/>
      <c r="I2856" s="55"/>
      <c r="J2856" s="55"/>
      <c r="K2856" s="56"/>
      <c r="L2856" s="55"/>
      <c r="M2856" s="55"/>
      <c r="N2856" s="55"/>
      <c r="O2856" s="55"/>
      <c r="P2856" s="55"/>
      <c r="Q2856" s="55"/>
      <c r="R2856" s="57"/>
      <c r="S2856" s="58"/>
    </row>
    <row r="2857" spans="2:19" x14ac:dyDescent="0.25">
      <c r="B2857" s="52"/>
      <c r="C2857" s="60"/>
      <c r="E2857" s="61"/>
      <c r="F2857" s="62"/>
      <c r="G2857" s="63"/>
      <c r="H2857" s="64"/>
      <c r="I2857" s="64"/>
      <c r="J2857" s="64"/>
      <c r="K2857" s="65"/>
      <c r="L2857" s="64"/>
      <c r="M2857" s="64"/>
      <c r="N2857" s="64"/>
      <c r="P2857" s="63"/>
      <c r="Q2857" s="61"/>
      <c r="R2857" s="64"/>
      <c r="S2857" s="64"/>
    </row>
    <row r="2858" spans="2:19" x14ac:dyDescent="0.25">
      <c r="B2858" s="52"/>
      <c r="C2858" s="53"/>
      <c r="D2858" s="54"/>
      <c r="E2858" s="55"/>
      <c r="F2858" s="55"/>
      <c r="G2858" s="55"/>
      <c r="H2858" s="55"/>
      <c r="I2858" s="55"/>
      <c r="J2858" s="55"/>
      <c r="K2858" s="56"/>
      <c r="L2858" s="55"/>
      <c r="M2858" s="55"/>
      <c r="N2858" s="55"/>
      <c r="O2858" s="55"/>
      <c r="P2858" s="55"/>
      <c r="Q2858" s="55"/>
      <c r="R2858" s="57"/>
      <c r="S2858" s="58"/>
    </row>
    <row r="2859" spans="2:19" x14ac:dyDescent="0.25">
      <c r="B2859" s="52"/>
      <c r="C2859" s="53"/>
      <c r="D2859" s="54"/>
      <c r="E2859" s="55"/>
      <c r="F2859" s="55"/>
      <c r="G2859" s="55"/>
      <c r="H2859" s="55"/>
      <c r="I2859" s="55"/>
      <c r="J2859" s="55"/>
      <c r="K2859" s="56"/>
      <c r="L2859" s="55"/>
      <c r="M2859" s="55"/>
      <c r="N2859" s="55"/>
      <c r="O2859" s="55"/>
      <c r="P2859" s="55"/>
      <c r="Q2859" s="55"/>
      <c r="R2859" s="57"/>
      <c r="S2859" s="58"/>
    </row>
    <row r="2860" spans="2:19" x14ac:dyDescent="0.25">
      <c r="B2860" s="52"/>
      <c r="C2860" s="53"/>
      <c r="D2860" s="54"/>
      <c r="E2860" s="55"/>
      <c r="F2860" s="55"/>
      <c r="G2860" s="55"/>
      <c r="H2860" s="55"/>
      <c r="I2860" s="55"/>
      <c r="J2860" s="55"/>
      <c r="K2860" s="56"/>
      <c r="L2860" s="55"/>
      <c r="M2860" s="55"/>
      <c r="N2860" s="55"/>
      <c r="O2860" s="55"/>
      <c r="P2860" s="55"/>
      <c r="Q2860" s="55"/>
      <c r="R2860" s="57"/>
      <c r="S2860" s="58"/>
    </row>
    <row r="2861" spans="2:19" x14ac:dyDescent="0.25">
      <c r="B2861" s="52"/>
      <c r="C2861" s="53"/>
      <c r="D2861" s="54"/>
      <c r="E2861" s="55"/>
      <c r="F2861" s="55"/>
      <c r="G2861" s="55"/>
      <c r="H2861" s="55"/>
      <c r="I2861" s="55"/>
      <c r="J2861" s="55"/>
      <c r="K2861" s="56"/>
      <c r="L2861" s="55"/>
      <c r="M2861" s="55"/>
      <c r="N2861" s="55"/>
      <c r="O2861" s="55"/>
      <c r="P2861" s="55"/>
      <c r="Q2861" s="55"/>
      <c r="R2861" s="57"/>
      <c r="S2861" s="58"/>
    </row>
    <row r="2862" spans="2:19" x14ac:dyDescent="0.25">
      <c r="B2862" s="52"/>
      <c r="C2862" s="53"/>
      <c r="D2862" s="54"/>
      <c r="E2862" s="55"/>
      <c r="F2862" s="55"/>
      <c r="G2862" s="55"/>
      <c r="H2862" s="55"/>
      <c r="I2862" s="55"/>
      <c r="J2862" s="55"/>
      <c r="K2862" s="56"/>
      <c r="L2862" s="55"/>
      <c r="M2862" s="55"/>
      <c r="N2862" s="55"/>
      <c r="O2862" s="55"/>
      <c r="P2862" s="55"/>
      <c r="Q2862" s="55"/>
      <c r="R2862" s="57"/>
      <c r="S2862" s="58"/>
    </row>
    <row r="2863" spans="2:19" x14ac:dyDescent="0.25">
      <c r="B2863" s="52"/>
      <c r="C2863" s="53"/>
      <c r="D2863" s="54"/>
      <c r="E2863" s="55"/>
      <c r="F2863" s="55"/>
      <c r="G2863" s="55"/>
      <c r="H2863" s="55"/>
      <c r="I2863" s="55"/>
      <c r="J2863" s="55"/>
      <c r="K2863" s="56"/>
      <c r="L2863" s="55"/>
      <c r="M2863" s="55"/>
      <c r="N2863" s="55"/>
      <c r="O2863" s="55"/>
      <c r="P2863" s="55"/>
      <c r="Q2863" s="55"/>
      <c r="R2863" s="57"/>
      <c r="S2863" s="58"/>
    </row>
    <row r="2864" spans="2:19" x14ac:dyDescent="0.25">
      <c r="B2864" s="52"/>
      <c r="C2864" s="53"/>
      <c r="D2864" s="54"/>
      <c r="E2864" s="55"/>
      <c r="F2864" s="55"/>
      <c r="G2864" s="55"/>
      <c r="H2864" s="55"/>
      <c r="I2864" s="55"/>
      <c r="J2864" s="55"/>
      <c r="K2864" s="56"/>
      <c r="L2864" s="55"/>
      <c r="M2864" s="55"/>
      <c r="N2864" s="55"/>
      <c r="O2864" s="55"/>
      <c r="P2864" s="55"/>
      <c r="Q2864" s="55"/>
      <c r="R2864" s="57"/>
      <c r="S2864" s="58"/>
    </row>
    <row r="2865" spans="2:19" x14ac:dyDescent="0.25">
      <c r="B2865" s="52"/>
      <c r="C2865" s="53"/>
      <c r="D2865" s="54"/>
      <c r="E2865" s="55"/>
      <c r="F2865" s="55"/>
      <c r="G2865" s="55"/>
      <c r="H2865" s="55"/>
      <c r="I2865" s="55"/>
      <c r="J2865" s="55"/>
      <c r="K2865" s="56"/>
      <c r="L2865" s="55"/>
      <c r="M2865" s="55"/>
      <c r="N2865" s="55"/>
      <c r="O2865" s="55"/>
      <c r="P2865" s="55"/>
      <c r="Q2865" s="55"/>
      <c r="R2865" s="57"/>
      <c r="S2865" s="58"/>
    </row>
    <row r="2866" spans="2:19" ht="15.75" x14ac:dyDescent="0.25">
      <c r="B2866" s="52"/>
      <c r="C2866" s="53"/>
      <c r="D2866" s="54"/>
      <c r="E2866" s="55"/>
      <c r="F2866" s="55"/>
      <c r="G2866" s="55"/>
      <c r="H2866" s="55"/>
      <c r="I2866" s="55"/>
      <c r="J2866" s="55"/>
      <c r="K2866" s="59"/>
      <c r="L2866" s="55"/>
      <c r="M2866" s="55"/>
      <c r="N2866" s="55"/>
      <c r="O2866" s="55"/>
      <c r="P2866" s="55"/>
      <c r="Q2866" s="55"/>
      <c r="R2866" s="57"/>
      <c r="S2866" s="58"/>
    </row>
    <row r="2867" spans="2:19" x14ac:dyDescent="0.25">
      <c r="B2867" s="52"/>
      <c r="C2867" s="53"/>
      <c r="D2867" s="54"/>
      <c r="E2867" s="55"/>
      <c r="F2867" s="55"/>
      <c r="G2867" s="55"/>
      <c r="H2867" s="55"/>
      <c r="I2867" s="55"/>
      <c r="J2867" s="55"/>
      <c r="K2867" s="56"/>
      <c r="L2867" s="55"/>
      <c r="M2867" s="55"/>
      <c r="N2867" s="55"/>
      <c r="O2867" s="55"/>
      <c r="P2867" s="55"/>
      <c r="Q2867" s="55"/>
      <c r="R2867" s="57"/>
      <c r="S2867" s="58"/>
    </row>
    <row r="2868" spans="2:19" x14ac:dyDescent="0.25">
      <c r="B2868" s="52"/>
      <c r="C2868" s="53"/>
      <c r="D2868" s="54"/>
      <c r="E2868" s="55"/>
      <c r="F2868" s="55"/>
      <c r="G2868" s="55"/>
      <c r="H2868" s="55"/>
      <c r="I2868" s="55"/>
      <c r="J2868" s="55"/>
      <c r="K2868" s="56"/>
      <c r="L2868" s="55"/>
      <c r="M2868" s="55"/>
      <c r="N2868" s="55"/>
      <c r="O2868" s="55"/>
      <c r="P2868" s="55"/>
      <c r="Q2868" s="55"/>
      <c r="R2868" s="57"/>
      <c r="S2868" s="58"/>
    </row>
    <row r="2869" spans="2:19" x14ac:dyDescent="0.25">
      <c r="B2869" s="52"/>
      <c r="C2869" s="53"/>
      <c r="D2869" s="54"/>
      <c r="E2869" s="55"/>
      <c r="F2869" s="55"/>
      <c r="G2869" s="55"/>
      <c r="H2869" s="55"/>
      <c r="I2869" s="55"/>
      <c r="J2869" s="55"/>
      <c r="K2869" s="56"/>
      <c r="L2869" s="55"/>
      <c r="M2869" s="55"/>
      <c r="N2869" s="55"/>
      <c r="O2869" s="55"/>
      <c r="P2869" s="55"/>
      <c r="Q2869" s="55"/>
      <c r="R2869" s="57"/>
      <c r="S2869" s="58"/>
    </row>
    <row r="2870" spans="2:19" x14ac:dyDescent="0.25">
      <c r="B2870" s="52"/>
      <c r="C2870" s="53"/>
      <c r="D2870" s="54"/>
      <c r="E2870" s="55"/>
      <c r="F2870" s="55"/>
      <c r="G2870" s="55"/>
      <c r="H2870" s="55"/>
      <c r="I2870" s="55"/>
      <c r="J2870" s="55"/>
      <c r="K2870" s="56"/>
      <c r="L2870" s="55"/>
      <c r="M2870" s="55"/>
      <c r="N2870" s="55"/>
      <c r="O2870" s="55"/>
      <c r="P2870" s="55"/>
      <c r="Q2870" s="55"/>
      <c r="R2870" s="57"/>
      <c r="S2870" s="58"/>
    </row>
    <row r="2871" spans="2:19" x14ac:dyDescent="0.25">
      <c r="B2871" s="52"/>
      <c r="C2871" s="53"/>
      <c r="D2871" s="54"/>
      <c r="E2871" s="55"/>
      <c r="F2871" s="55"/>
      <c r="G2871" s="55"/>
      <c r="H2871" s="55"/>
      <c r="I2871" s="55"/>
      <c r="J2871" s="55"/>
      <c r="K2871" s="56"/>
      <c r="L2871" s="55"/>
      <c r="M2871" s="55"/>
      <c r="N2871" s="55"/>
      <c r="O2871" s="55"/>
      <c r="P2871" s="55"/>
      <c r="Q2871" s="55"/>
      <c r="R2871" s="57"/>
      <c r="S2871" s="58"/>
    </row>
    <row r="2872" spans="2:19" x14ac:dyDescent="0.25">
      <c r="B2872" s="52"/>
      <c r="C2872" s="53"/>
      <c r="D2872" s="54"/>
      <c r="E2872" s="55"/>
      <c r="F2872" s="55"/>
      <c r="G2872" s="55"/>
      <c r="H2872" s="55"/>
      <c r="I2872" s="55"/>
      <c r="J2872" s="55"/>
      <c r="K2872" s="56"/>
      <c r="L2872" s="55"/>
      <c r="M2872" s="55"/>
      <c r="N2872" s="55"/>
      <c r="O2872" s="55"/>
      <c r="P2872" s="55"/>
      <c r="Q2872" s="55"/>
      <c r="R2872" s="57"/>
      <c r="S2872" s="58"/>
    </row>
    <row r="2873" spans="2:19" x14ac:dyDescent="0.25">
      <c r="B2873" s="52"/>
      <c r="C2873" s="53"/>
      <c r="D2873" s="54"/>
      <c r="E2873" s="55"/>
      <c r="F2873" s="55"/>
      <c r="G2873" s="55"/>
      <c r="H2873" s="55"/>
      <c r="I2873" s="55"/>
      <c r="J2873" s="55"/>
      <c r="K2873" s="56"/>
      <c r="L2873" s="55"/>
      <c r="M2873" s="55"/>
      <c r="N2873" s="55"/>
      <c r="O2873" s="55"/>
      <c r="P2873" s="55"/>
      <c r="Q2873" s="55"/>
      <c r="R2873" s="57"/>
      <c r="S2873" s="58"/>
    </row>
    <row r="2874" spans="2:19" x14ac:dyDescent="0.25">
      <c r="B2874" s="52"/>
      <c r="C2874" s="60"/>
      <c r="E2874" s="61"/>
      <c r="F2874" s="62"/>
      <c r="G2874" s="63"/>
      <c r="H2874" s="64"/>
      <c r="I2874" s="64"/>
      <c r="J2874" s="64"/>
      <c r="K2874" s="65"/>
      <c r="L2874" s="64"/>
      <c r="M2874" s="64"/>
      <c r="N2874" s="64"/>
      <c r="P2874" s="63"/>
      <c r="Q2874" s="61"/>
      <c r="R2874" s="64"/>
      <c r="S2874" s="64"/>
    </row>
    <row r="2875" spans="2:19" x14ac:dyDescent="0.25">
      <c r="B2875" s="52"/>
      <c r="C2875" s="53"/>
      <c r="D2875" s="54"/>
      <c r="E2875" s="55"/>
      <c r="F2875" s="55"/>
      <c r="G2875" s="55"/>
      <c r="H2875" s="55"/>
      <c r="I2875" s="55"/>
      <c r="J2875" s="55"/>
      <c r="K2875" s="56"/>
      <c r="L2875" s="55"/>
      <c r="M2875" s="55"/>
      <c r="N2875" s="55"/>
      <c r="O2875" s="55"/>
      <c r="P2875" s="55"/>
      <c r="Q2875" s="55"/>
      <c r="R2875" s="57"/>
      <c r="S2875" s="58"/>
    </row>
    <row r="2876" spans="2:19" x14ac:dyDescent="0.25">
      <c r="B2876" s="52"/>
      <c r="C2876" s="53"/>
      <c r="D2876" s="54"/>
      <c r="E2876" s="55"/>
      <c r="F2876" s="55"/>
      <c r="G2876" s="55"/>
      <c r="H2876" s="55"/>
      <c r="I2876" s="55"/>
      <c r="J2876" s="55"/>
      <c r="K2876" s="56"/>
      <c r="L2876" s="55"/>
      <c r="M2876" s="55"/>
      <c r="N2876" s="55"/>
      <c r="O2876" s="55"/>
      <c r="P2876" s="55"/>
      <c r="Q2876" s="55"/>
      <c r="R2876" s="57"/>
      <c r="S2876" s="58"/>
    </row>
    <row r="2877" spans="2:19" x14ac:dyDescent="0.25">
      <c r="B2877" s="52"/>
      <c r="C2877" s="53"/>
      <c r="D2877" s="54"/>
      <c r="E2877" s="55"/>
      <c r="F2877" s="55"/>
      <c r="G2877" s="55"/>
      <c r="H2877" s="55"/>
      <c r="I2877" s="55"/>
      <c r="J2877" s="55"/>
      <c r="K2877" s="56"/>
      <c r="L2877" s="55"/>
      <c r="M2877" s="55"/>
      <c r="N2877" s="55"/>
      <c r="O2877" s="55"/>
      <c r="P2877" s="55"/>
      <c r="Q2877" s="55"/>
      <c r="R2877" s="57"/>
      <c r="S2877" s="58"/>
    </row>
    <row r="2878" spans="2:19" x14ac:dyDescent="0.25">
      <c r="B2878" s="52"/>
      <c r="C2878" s="53"/>
      <c r="D2878" s="54"/>
      <c r="E2878" s="55"/>
      <c r="F2878" s="55"/>
      <c r="G2878" s="55"/>
      <c r="H2878" s="55"/>
      <c r="I2878" s="55"/>
      <c r="J2878" s="55"/>
      <c r="K2878" s="56"/>
      <c r="L2878" s="55"/>
      <c r="M2878" s="55"/>
      <c r="N2878" s="55"/>
      <c r="O2878" s="55"/>
      <c r="P2878" s="55"/>
      <c r="Q2878" s="55"/>
      <c r="R2878" s="57"/>
      <c r="S2878" s="58"/>
    </row>
    <row r="2879" spans="2:19" x14ac:dyDescent="0.25">
      <c r="B2879" s="52"/>
      <c r="C2879" s="53"/>
      <c r="D2879" s="54"/>
      <c r="E2879" s="55"/>
      <c r="F2879" s="55"/>
      <c r="G2879" s="55"/>
      <c r="H2879" s="55"/>
      <c r="I2879" s="55"/>
      <c r="J2879" s="55"/>
      <c r="K2879" s="56"/>
      <c r="L2879" s="55"/>
      <c r="M2879" s="55"/>
      <c r="N2879" s="55"/>
      <c r="O2879" s="55"/>
      <c r="P2879" s="55"/>
      <c r="Q2879" s="55"/>
      <c r="R2879" s="57"/>
      <c r="S2879" s="58"/>
    </row>
    <row r="2880" spans="2:19" x14ac:dyDescent="0.25">
      <c r="B2880" s="52"/>
      <c r="C2880" s="53"/>
      <c r="D2880" s="54"/>
      <c r="E2880" s="55"/>
      <c r="F2880" s="55"/>
      <c r="G2880" s="55"/>
      <c r="H2880" s="55"/>
      <c r="I2880" s="55"/>
      <c r="J2880" s="55"/>
      <c r="K2880" s="56"/>
      <c r="L2880" s="55"/>
      <c r="M2880" s="55"/>
      <c r="N2880" s="55"/>
      <c r="O2880" s="55"/>
      <c r="P2880" s="55"/>
      <c r="Q2880" s="55"/>
      <c r="R2880" s="57"/>
      <c r="S2880" s="58"/>
    </row>
    <row r="2881" spans="2:19" x14ac:dyDescent="0.25">
      <c r="B2881" s="52"/>
      <c r="C2881" s="53"/>
      <c r="D2881" s="54"/>
      <c r="E2881" s="55"/>
      <c r="F2881" s="55"/>
      <c r="G2881" s="55"/>
      <c r="H2881" s="55"/>
      <c r="I2881" s="55"/>
      <c r="J2881" s="55"/>
      <c r="K2881" s="56"/>
      <c r="L2881" s="55"/>
      <c r="M2881" s="55"/>
      <c r="N2881" s="55"/>
      <c r="O2881" s="55"/>
      <c r="P2881" s="55"/>
      <c r="Q2881" s="55"/>
      <c r="R2881" s="57"/>
      <c r="S2881" s="58"/>
    </row>
    <row r="2882" spans="2:19" x14ac:dyDescent="0.25">
      <c r="B2882" s="52"/>
      <c r="C2882" s="53"/>
      <c r="D2882" s="54"/>
      <c r="E2882" s="55"/>
      <c r="F2882" s="55"/>
      <c r="G2882" s="55"/>
      <c r="H2882" s="55"/>
      <c r="I2882" s="55"/>
      <c r="J2882" s="55"/>
      <c r="K2882" s="56"/>
      <c r="L2882" s="55"/>
      <c r="M2882" s="55"/>
      <c r="N2882" s="55"/>
      <c r="O2882" s="55"/>
      <c r="P2882" s="55"/>
      <c r="Q2882" s="55"/>
      <c r="R2882" s="57"/>
      <c r="S2882" s="58"/>
    </row>
    <row r="2883" spans="2:19" ht="15.75" x14ac:dyDescent="0.25">
      <c r="B2883" s="52"/>
      <c r="C2883" s="53"/>
      <c r="D2883" s="54"/>
      <c r="E2883" s="55"/>
      <c r="F2883" s="55"/>
      <c r="G2883" s="55"/>
      <c r="H2883" s="55"/>
      <c r="I2883" s="55"/>
      <c r="J2883" s="55"/>
      <c r="K2883" s="59"/>
      <c r="L2883" s="55"/>
      <c r="M2883" s="55"/>
      <c r="N2883" s="55"/>
      <c r="O2883" s="55"/>
      <c r="P2883" s="55"/>
      <c r="Q2883" s="55"/>
      <c r="R2883" s="57"/>
      <c r="S2883" s="58"/>
    </row>
    <row r="2884" spans="2:19" x14ac:dyDescent="0.25">
      <c r="B2884" s="52"/>
      <c r="C2884" s="53"/>
      <c r="D2884" s="54"/>
      <c r="E2884" s="55"/>
      <c r="F2884" s="55"/>
      <c r="G2884" s="55"/>
      <c r="H2884" s="55"/>
      <c r="I2884" s="55"/>
      <c r="J2884" s="55"/>
      <c r="K2884" s="56"/>
      <c r="L2884" s="55"/>
      <c r="M2884" s="55"/>
      <c r="N2884" s="55"/>
      <c r="O2884" s="55"/>
      <c r="P2884" s="55"/>
      <c r="Q2884" s="55"/>
      <c r="R2884" s="57"/>
      <c r="S2884" s="58"/>
    </row>
    <row r="2885" spans="2:19" x14ac:dyDescent="0.25">
      <c r="B2885" s="52"/>
      <c r="C2885" s="53"/>
      <c r="D2885" s="54"/>
      <c r="E2885" s="55"/>
      <c r="F2885" s="55"/>
      <c r="G2885" s="55"/>
      <c r="H2885" s="55"/>
      <c r="I2885" s="55"/>
      <c r="J2885" s="55"/>
      <c r="K2885" s="56"/>
      <c r="L2885" s="55"/>
      <c r="M2885" s="55"/>
      <c r="N2885" s="55"/>
      <c r="O2885" s="55"/>
      <c r="P2885" s="55"/>
      <c r="Q2885" s="55"/>
      <c r="R2885" s="57"/>
      <c r="S2885" s="58"/>
    </row>
    <row r="2886" spans="2:19" x14ac:dyDescent="0.25">
      <c r="B2886" s="52"/>
      <c r="C2886" s="53"/>
      <c r="D2886" s="54"/>
      <c r="E2886" s="55"/>
      <c r="F2886" s="55"/>
      <c r="G2886" s="55"/>
      <c r="H2886" s="55"/>
      <c r="I2886" s="55"/>
      <c r="J2886" s="55"/>
      <c r="K2886" s="56"/>
      <c r="L2886" s="55"/>
      <c r="M2886" s="55"/>
      <c r="N2886" s="55"/>
      <c r="O2886" s="55"/>
      <c r="P2886" s="55"/>
      <c r="Q2886" s="55"/>
      <c r="R2886" s="57"/>
      <c r="S2886" s="58"/>
    </row>
    <row r="2887" spans="2:19" x14ac:dyDescent="0.25">
      <c r="B2887" s="52"/>
      <c r="C2887" s="53"/>
      <c r="D2887" s="54"/>
      <c r="E2887" s="55"/>
      <c r="F2887" s="55"/>
      <c r="G2887" s="55"/>
      <c r="H2887" s="55"/>
      <c r="I2887" s="55"/>
      <c r="J2887" s="55"/>
      <c r="K2887" s="56"/>
      <c r="L2887" s="55"/>
      <c r="M2887" s="55"/>
      <c r="N2887" s="55"/>
      <c r="O2887" s="55"/>
      <c r="P2887" s="55"/>
      <c r="Q2887" s="55"/>
      <c r="R2887" s="57"/>
      <c r="S2887" s="58"/>
    </row>
    <row r="2888" spans="2:19" x14ac:dyDescent="0.25">
      <c r="B2888" s="52"/>
      <c r="C2888" s="53"/>
      <c r="D2888" s="54"/>
      <c r="E2888" s="55"/>
      <c r="F2888" s="55"/>
      <c r="G2888" s="55"/>
      <c r="H2888" s="55"/>
      <c r="I2888" s="55"/>
      <c r="J2888" s="55"/>
      <c r="K2888" s="56"/>
      <c r="L2888" s="55"/>
      <c r="M2888" s="55"/>
      <c r="N2888" s="55"/>
      <c r="O2888" s="55"/>
      <c r="P2888" s="55"/>
      <c r="Q2888" s="55"/>
      <c r="R2888" s="57"/>
      <c r="S2888" s="58"/>
    </row>
    <row r="2889" spans="2:19" x14ac:dyDescent="0.25">
      <c r="B2889" s="52"/>
      <c r="C2889" s="53"/>
      <c r="D2889" s="54"/>
      <c r="E2889" s="55"/>
      <c r="F2889" s="55"/>
      <c r="G2889" s="55"/>
      <c r="H2889" s="55"/>
      <c r="I2889" s="55"/>
      <c r="J2889" s="55"/>
      <c r="K2889" s="56"/>
      <c r="L2889" s="55"/>
      <c r="M2889" s="55"/>
      <c r="N2889" s="55"/>
      <c r="O2889" s="55"/>
      <c r="P2889" s="55"/>
      <c r="Q2889" s="55"/>
      <c r="R2889" s="57"/>
      <c r="S2889" s="58"/>
    </row>
    <row r="2890" spans="2:19" x14ac:dyDescent="0.25">
      <c r="B2890" s="52"/>
      <c r="C2890" s="53"/>
      <c r="D2890" s="54"/>
      <c r="E2890" s="55"/>
      <c r="F2890" s="55"/>
      <c r="G2890" s="55"/>
      <c r="H2890" s="55"/>
      <c r="I2890" s="55"/>
      <c r="J2890" s="55"/>
      <c r="K2890" s="56"/>
      <c r="L2890" s="55"/>
      <c r="M2890" s="55"/>
      <c r="N2890" s="55"/>
      <c r="O2890" s="55"/>
      <c r="P2890" s="55"/>
      <c r="Q2890" s="55"/>
      <c r="R2890" s="57"/>
      <c r="S2890" s="58"/>
    </row>
    <row r="2891" spans="2:19" x14ac:dyDescent="0.25">
      <c r="B2891" s="52"/>
      <c r="C2891" s="60"/>
      <c r="E2891" s="61"/>
      <c r="F2891" s="62"/>
      <c r="G2891" s="63"/>
      <c r="H2891" s="64"/>
      <c r="I2891" s="64"/>
      <c r="J2891" s="64"/>
      <c r="K2891" s="65"/>
      <c r="L2891" s="64"/>
      <c r="M2891" s="64"/>
      <c r="N2891" s="64"/>
      <c r="P2891" s="63"/>
      <c r="Q2891" s="61"/>
      <c r="R2891" s="64"/>
      <c r="S2891" s="64"/>
    </row>
    <row r="2892" spans="2:19" x14ac:dyDescent="0.25">
      <c r="B2892" s="52"/>
      <c r="C2892" s="53"/>
      <c r="D2892" s="54"/>
      <c r="E2892" s="55"/>
      <c r="F2892" s="55"/>
      <c r="G2892" s="55"/>
      <c r="H2892" s="55"/>
      <c r="I2892" s="55"/>
      <c r="J2892" s="55"/>
      <c r="K2892" s="56"/>
      <c r="L2892" s="55"/>
      <c r="M2892" s="55"/>
      <c r="N2892" s="55"/>
      <c r="O2892" s="55"/>
      <c r="P2892" s="55"/>
      <c r="Q2892" s="55"/>
      <c r="R2892" s="57"/>
      <c r="S2892" s="58"/>
    </row>
    <row r="2893" spans="2:19" x14ac:dyDescent="0.25">
      <c r="B2893" s="52"/>
      <c r="C2893" s="53"/>
      <c r="D2893" s="54"/>
      <c r="E2893" s="55"/>
      <c r="F2893" s="55"/>
      <c r="G2893" s="55"/>
      <c r="H2893" s="55"/>
      <c r="I2893" s="55"/>
      <c r="J2893" s="55"/>
      <c r="K2893" s="56"/>
      <c r="L2893" s="55"/>
      <c r="M2893" s="55"/>
      <c r="N2893" s="55"/>
      <c r="O2893" s="55"/>
      <c r="P2893" s="55"/>
      <c r="Q2893" s="55"/>
      <c r="R2893" s="57"/>
      <c r="S2893" s="58"/>
    </row>
    <row r="2894" spans="2:19" x14ac:dyDescent="0.25">
      <c r="B2894" s="52"/>
      <c r="C2894" s="53"/>
      <c r="D2894" s="54"/>
      <c r="E2894" s="55"/>
      <c r="F2894" s="55"/>
      <c r="G2894" s="55"/>
      <c r="H2894" s="55"/>
      <c r="I2894" s="55"/>
      <c r="J2894" s="55"/>
      <c r="K2894" s="56"/>
      <c r="L2894" s="55"/>
      <c r="M2894" s="55"/>
      <c r="N2894" s="55"/>
      <c r="O2894" s="55"/>
      <c r="P2894" s="55"/>
      <c r="Q2894" s="55"/>
      <c r="R2894" s="57"/>
      <c r="S2894" s="58"/>
    </row>
    <row r="2895" spans="2:19" x14ac:dyDescent="0.25">
      <c r="B2895" s="52"/>
      <c r="C2895" s="53"/>
      <c r="D2895" s="54"/>
      <c r="E2895" s="55"/>
      <c r="F2895" s="55"/>
      <c r="G2895" s="55"/>
      <c r="H2895" s="55"/>
      <c r="I2895" s="55"/>
      <c r="J2895" s="55"/>
      <c r="K2895" s="56"/>
      <c r="L2895" s="55"/>
      <c r="M2895" s="55"/>
      <c r="N2895" s="55"/>
      <c r="O2895" s="55"/>
      <c r="P2895" s="55"/>
      <c r="Q2895" s="55"/>
      <c r="R2895" s="57"/>
      <c r="S2895" s="58"/>
    </row>
    <row r="2896" spans="2:19" x14ac:dyDescent="0.25">
      <c r="B2896" s="52"/>
      <c r="C2896" s="53"/>
      <c r="D2896" s="54"/>
      <c r="E2896" s="55"/>
      <c r="F2896" s="55"/>
      <c r="G2896" s="55"/>
      <c r="H2896" s="55"/>
      <c r="I2896" s="55"/>
      <c r="J2896" s="55"/>
      <c r="K2896" s="56"/>
      <c r="L2896" s="55"/>
      <c r="M2896" s="55"/>
      <c r="N2896" s="55"/>
      <c r="O2896" s="55"/>
      <c r="P2896" s="55"/>
      <c r="Q2896" s="55"/>
      <c r="R2896" s="57"/>
      <c r="S2896" s="58"/>
    </row>
    <row r="2897" spans="2:19" x14ac:dyDescent="0.25">
      <c r="B2897" s="52"/>
      <c r="C2897" s="53"/>
      <c r="D2897" s="54"/>
      <c r="E2897" s="55"/>
      <c r="F2897" s="55"/>
      <c r="G2897" s="55"/>
      <c r="H2897" s="55"/>
      <c r="I2897" s="55"/>
      <c r="J2897" s="55"/>
      <c r="K2897" s="56"/>
      <c r="L2897" s="55"/>
      <c r="M2897" s="55"/>
      <c r="N2897" s="55"/>
      <c r="O2897" s="55"/>
      <c r="P2897" s="55"/>
      <c r="Q2897" s="55"/>
      <c r="R2897" s="57"/>
      <c r="S2897" s="58"/>
    </row>
    <row r="2898" spans="2:19" x14ac:dyDescent="0.25">
      <c r="B2898" s="52"/>
      <c r="C2898" s="53"/>
      <c r="D2898" s="54"/>
      <c r="E2898" s="55"/>
      <c r="F2898" s="55"/>
      <c r="G2898" s="55"/>
      <c r="H2898" s="55"/>
      <c r="I2898" s="55"/>
      <c r="J2898" s="55"/>
      <c r="K2898" s="56"/>
      <c r="L2898" s="55"/>
      <c r="M2898" s="55"/>
      <c r="N2898" s="55"/>
      <c r="O2898" s="55"/>
      <c r="P2898" s="55"/>
      <c r="Q2898" s="55"/>
      <c r="R2898" s="57"/>
      <c r="S2898" s="58"/>
    </row>
    <row r="2899" spans="2:19" x14ac:dyDescent="0.25">
      <c r="B2899" s="52"/>
      <c r="C2899" s="53"/>
      <c r="D2899" s="54"/>
      <c r="E2899" s="55"/>
      <c r="F2899" s="55"/>
      <c r="G2899" s="55"/>
      <c r="H2899" s="55"/>
      <c r="I2899" s="55"/>
      <c r="J2899" s="55"/>
      <c r="K2899" s="56"/>
      <c r="L2899" s="55"/>
      <c r="M2899" s="55"/>
      <c r="N2899" s="55"/>
      <c r="O2899" s="55"/>
      <c r="P2899" s="55"/>
      <c r="Q2899" s="55"/>
      <c r="R2899" s="57"/>
      <c r="S2899" s="58"/>
    </row>
    <row r="2900" spans="2:19" ht="15.75" x14ac:dyDescent="0.25">
      <c r="B2900" s="52"/>
      <c r="C2900" s="53"/>
      <c r="D2900" s="54"/>
      <c r="E2900" s="55"/>
      <c r="F2900" s="55"/>
      <c r="G2900" s="55"/>
      <c r="H2900" s="55"/>
      <c r="I2900" s="55"/>
      <c r="J2900" s="55"/>
      <c r="K2900" s="59"/>
      <c r="L2900" s="55"/>
      <c r="M2900" s="55"/>
      <c r="N2900" s="55"/>
      <c r="O2900" s="55"/>
      <c r="P2900" s="55"/>
      <c r="Q2900" s="55"/>
      <c r="R2900" s="57"/>
      <c r="S2900" s="58"/>
    </row>
    <row r="2901" spans="2:19" x14ac:dyDescent="0.25">
      <c r="B2901" s="52"/>
      <c r="C2901" s="53"/>
      <c r="D2901" s="54"/>
      <c r="E2901" s="55"/>
      <c r="F2901" s="55"/>
      <c r="G2901" s="55"/>
      <c r="H2901" s="55"/>
      <c r="I2901" s="55"/>
      <c r="J2901" s="55"/>
      <c r="K2901" s="56"/>
      <c r="L2901" s="55"/>
      <c r="M2901" s="55"/>
      <c r="N2901" s="55"/>
      <c r="O2901" s="55"/>
      <c r="P2901" s="55"/>
      <c r="Q2901" s="55"/>
      <c r="R2901" s="57"/>
      <c r="S2901" s="58"/>
    </row>
    <row r="2902" spans="2:19" x14ac:dyDescent="0.25">
      <c r="B2902" s="52"/>
      <c r="C2902" s="53"/>
      <c r="D2902" s="54"/>
      <c r="E2902" s="55"/>
      <c r="F2902" s="55"/>
      <c r="G2902" s="55"/>
      <c r="H2902" s="55"/>
      <c r="I2902" s="55"/>
      <c r="J2902" s="55"/>
      <c r="K2902" s="56"/>
      <c r="L2902" s="55"/>
      <c r="M2902" s="55"/>
      <c r="N2902" s="55"/>
      <c r="O2902" s="55"/>
      <c r="P2902" s="55"/>
      <c r="Q2902" s="55"/>
      <c r="R2902" s="57"/>
      <c r="S2902" s="58"/>
    </row>
    <row r="2903" spans="2:19" x14ac:dyDescent="0.25">
      <c r="B2903" s="52"/>
      <c r="C2903" s="53"/>
      <c r="D2903" s="54"/>
      <c r="E2903" s="55"/>
      <c r="F2903" s="55"/>
      <c r="G2903" s="55"/>
      <c r="H2903" s="55"/>
      <c r="I2903" s="55"/>
      <c r="J2903" s="55"/>
      <c r="K2903" s="56"/>
      <c r="L2903" s="55"/>
      <c r="M2903" s="55"/>
      <c r="N2903" s="55"/>
      <c r="O2903" s="55"/>
      <c r="P2903" s="55"/>
      <c r="Q2903" s="55"/>
      <c r="R2903" s="57"/>
      <c r="S2903" s="58"/>
    </row>
    <row r="2904" spans="2:19" x14ac:dyDescent="0.25">
      <c r="B2904" s="52"/>
      <c r="C2904" s="53"/>
      <c r="D2904" s="54"/>
      <c r="E2904" s="55"/>
      <c r="F2904" s="55"/>
      <c r="G2904" s="55"/>
      <c r="H2904" s="55"/>
      <c r="I2904" s="55"/>
      <c r="J2904" s="55"/>
      <c r="K2904" s="56"/>
      <c r="L2904" s="55"/>
      <c r="M2904" s="55"/>
      <c r="N2904" s="55"/>
      <c r="O2904" s="55"/>
      <c r="P2904" s="55"/>
      <c r="Q2904" s="55"/>
      <c r="R2904" s="57"/>
      <c r="S2904" s="58"/>
    </row>
    <row r="2905" spans="2:19" x14ac:dyDescent="0.25">
      <c r="B2905" s="52"/>
      <c r="C2905" s="53"/>
      <c r="D2905" s="54"/>
      <c r="E2905" s="55"/>
      <c r="F2905" s="55"/>
      <c r="G2905" s="55"/>
      <c r="H2905" s="55"/>
      <c r="I2905" s="55"/>
      <c r="J2905" s="55"/>
      <c r="K2905" s="56"/>
      <c r="L2905" s="55"/>
      <c r="M2905" s="55"/>
      <c r="N2905" s="55"/>
      <c r="O2905" s="55"/>
      <c r="P2905" s="55"/>
      <c r="Q2905" s="55"/>
      <c r="R2905" s="57"/>
      <c r="S2905" s="58"/>
    </row>
    <row r="2906" spans="2:19" x14ac:dyDescent="0.25">
      <c r="B2906" s="52"/>
      <c r="C2906" s="53"/>
      <c r="D2906" s="54"/>
      <c r="E2906" s="55"/>
      <c r="F2906" s="55"/>
      <c r="G2906" s="55"/>
      <c r="H2906" s="55"/>
      <c r="I2906" s="55"/>
      <c r="J2906" s="55"/>
      <c r="K2906" s="56"/>
      <c r="L2906" s="55"/>
      <c r="M2906" s="55"/>
      <c r="N2906" s="55"/>
      <c r="O2906" s="55"/>
      <c r="P2906" s="55"/>
      <c r="Q2906" s="55"/>
      <c r="R2906" s="57"/>
      <c r="S2906" s="58"/>
    </row>
    <row r="2907" spans="2:19" x14ac:dyDescent="0.25">
      <c r="B2907" s="52"/>
      <c r="C2907" s="53"/>
      <c r="D2907" s="54"/>
      <c r="E2907" s="55"/>
      <c r="F2907" s="55"/>
      <c r="G2907" s="55"/>
      <c r="H2907" s="55"/>
      <c r="I2907" s="55"/>
      <c r="J2907" s="55"/>
      <c r="K2907" s="56"/>
      <c r="L2907" s="55"/>
      <c r="M2907" s="55"/>
      <c r="N2907" s="55"/>
      <c r="O2907" s="55"/>
      <c r="P2907" s="55"/>
      <c r="Q2907" s="55"/>
      <c r="R2907" s="57"/>
      <c r="S2907" s="58"/>
    </row>
    <row r="2908" spans="2:19" x14ac:dyDescent="0.25">
      <c r="B2908" s="52"/>
      <c r="C2908" s="60"/>
      <c r="E2908" s="61"/>
      <c r="F2908" s="62"/>
      <c r="G2908" s="63"/>
      <c r="H2908" s="64"/>
      <c r="I2908" s="64"/>
      <c r="J2908" s="64"/>
      <c r="K2908" s="65"/>
      <c r="L2908" s="64"/>
      <c r="M2908" s="64"/>
      <c r="N2908" s="64"/>
      <c r="P2908" s="63"/>
      <c r="Q2908" s="61"/>
      <c r="R2908" s="64"/>
      <c r="S2908" s="64"/>
    </row>
    <row r="2909" spans="2:19" x14ac:dyDescent="0.25">
      <c r="B2909" s="52"/>
      <c r="C2909" s="53"/>
      <c r="D2909" s="54"/>
      <c r="E2909" s="55"/>
      <c r="F2909" s="55"/>
      <c r="G2909" s="55"/>
      <c r="H2909" s="55"/>
      <c r="I2909" s="55"/>
      <c r="J2909" s="55"/>
      <c r="K2909" s="56"/>
      <c r="L2909" s="55"/>
      <c r="M2909" s="55"/>
      <c r="N2909" s="55"/>
      <c r="O2909" s="55"/>
      <c r="P2909" s="55"/>
      <c r="Q2909" s="55"/>
      <c r="R2909" s="57"/>
      <c r="S2909" s="58"/>
    </row>
    <row r="2910" spans="2:19" x14ac:dyDescent="0.25">
      <c r="B2910" s="52"/>
      <c r="C2910" s="53"/>
      <c r="D2910" s="54"/>
      <c r="E2910" s="55"/>
      <c r="F2910" s="55"/>
      <c r="G2910" s="55"/>
      <c r="H2910" s="55"/>
      <c r="I2910" s="55"/>
      <c r="J2910" s="55"/>
      <c r="K2910" s="56"/>
      <c r="L2910" s="55"/>
      <c r="M2910" s="55"/>
      <c r="N2910" s="55"/>
      <c r="O2910" s="55"/>
      <c r="P2910" s="55"/>
      <c r="Q2910" s="55"/>
      <c r="R2910" s="57"/>
      <c r="S2910" s="58"/>
    </row>
    <row r="2911" spans="2:19" x14ac:dyDescent="0.25">
      <c r="B2911" s="52"/>
      <c r="C2911" s="53"/>
      <c r="D2911" s="54"/>
      <c r="E2911" s="55"/>
      <c r="F2911" s="55"/>
      <c r="G2911" s="55"/>
      <c r="H2911" s="55"/>
      <c r="I2911" s="55"/>
      <c r="J2911" s="55"/>
      <c r="K2911" s="56"/>
      <c r="L2911" s="55"/>
      <c r="M2911" s="55"/>
      <c r="N2911" s="55"/>
      <c r="O2911" s="55"/>
      <c r="P2911" s="55"/>
      <c r="Q2911" s="55"/>
      <c r="R2911" s="57"/>
      <c r="S2911" s="58"/>
    </row>
    <row r="2912" spans="2:19" x14ac:dyDescent="0.25">
      <c r="B2912" s="52"/>
      <c r="C2912" s="53"/>
      <c r="D2912" s="54"/>
      <c r="E2912" s="55"/>
      <c r="F2912" s="55"/>
      <c r="G2912" s="55"/>
      <c r="H2912" s="55"/>
      <c r="I2912" s="55"/>
      <c r="J2912" s="55"/>
      <c r="K2912" s="56"/>
      <c r="L2912" s="55"/>
      <c r="M2912" s="55"/>
      <c r="N2912" s="55"/>
      <c r="O2912" s="55"/>
      <c r="P2912" s="55"/>
      <c r="Q2912" s="55"/>
      <c r="R2912" s="57"/>
      <c r="S2912" s="58"/>
    </row>
    <row r="2913" spans="2:19" x14ac:dyDescent="0.25">
      <c r="B2913" s="52"/>
      <c r="C2913" s="53"/>
      <c r="D2913" s="54"/>
      <c r="E2913" s="55"/>
      <c r="F2913" s="55"/>
      <c r="G2913" s="55"/>
      <c r="H2913" s="55"/>
      <c r="I2913" s="55"/>
      <c r="J2913" s="55"/>
      <c r="K2913" s="56"/>
      <c r="L2913" s="55"/>
      <c r="M2913" s="55"/>
      <c r="N2913" s="55"/>
      <c r="O2913" s="55"/>
      <c r="P2913" s="55"/>
      <c r="Q2913" s="55"/>
      <c r="R2913" s="57"/>
      <c r="S2913" s="58"/>
    </row>
    <row r="2914" spans="2:19" x14ac:dyDescent="0.25">
      <c r="B2914" s="52"/>
      <c r="C2914" s="53"/>
      <c r="D2914" s="54"/>
      <c r="E2914" s="55"/>
      <c r="F2914" s="55"/>
      <c r="G2914" s="55"/>
      <c r="H2914" s="55"/>
      <c r="I2914" s="55"/>
      <c r="J2914" s="55"/>
      <c r="K2914" s="56"/>
      <c r="L2914" s="55"/>
      <c r="M2914" s="55"/>
      <c r="N2914" s="55"/>
      <c r="O2914" s="55"/>
      <c r="P2914" s="55"/>
      <c r="Q2914" s="55"/>
      <c r="R2914" s="57"/>
      <c r="S2914" s="58"/>
    </row>
    <row r="2915" spans="2:19" x14ac:dyDescent="0.25">
      <c r="B2915" s="52"/>
      <c r="C2915" s="53"/>
      <c r="D2915" s="54"/>
      <c r="E2915" s="55"/>
      <c r="F2915" s="55"/>
      <c r="G2915" s="55"/>
      <c r="H2915" s="55"/>
      <c r="I2915" s="55"/>
      <c r="J2915" s="55"/>
      <c r="K2915" s="56"/>
      <c r="L2915" s="55"/>
      <c r="M2915" s="55"/>
      <c r="N2915" s="55"/>
      <c r="O2915" s="55"/>
      <c r="P2915" s="55"/>
      <c r="Q2915" s="55"/>
      <c r="R2915" s="57"/>
      <c r="S2915" s="58"/>
    </row>
    <row r="2916" spans="2:19" x14ac:dyDescent="0.25">
      <c r="B2916" s="52"/>
      <c r="C2916" s="53"/>
      <c r="D2916" s="54"/>
      <c r="E2916" s="55"/>
      <c r="F2916" s="55"/>
      <c r="G2916" s="55"/>
      <c r="H2916" s="55"/>
      <c r="I2916" s="55"/>
      <c r="J2916" s="55"/>
      <c r="K2916" s="56"/>
      <c r="L2916" s="55"/>
      <c r="M2916" s="55"/>
      <c r="N2916" s="55"/>
      <c r="O2916" s="55"/>
      <c r="P2916" s="55"/>
      <c r="Q2916" s="55"/>
      <c r="R2916" s="57"/>
      <c r="S2916" s="58"/>
    </row>
    <row r="2917" spans="2:19" ht="15.75" x14ac:dyDescent="0.25">
      <c r="B2917" s="52"/>
      <c r="C2917" s="53"/>
      <c r="D2917" s="54"/>
      <c r="E2917" s="55"/>
      <c r="F2917" s="55"/>
      <c r="G2917" s="55"/>
      <c r="H2917" s="55"/>
      <c r="I2917" s="55"/>
      <c r="J2917" s="55"/>
      <c r="K2917" s="59"/>
      <c r="L2917" s="55"/>
      <c r="M2917" s="55"/>
      <c r="N2917" s="55"/>
      <c r="O2917" s="55"/>
      <c r="P2917" s="55"/>
      <c r="Q2917" s="55"/>
      <c r="R2917" s="57"/>
      <c r="S2917" s="58"/>
    </row>
    <row r="2918" spans="2:19" x14ac:dyDescent="0.25">
      <c r="B2918" s="52"/>
      <c r="C2918" s="53"/>
      <c r="D2918" s="54"/>
      <c r="E2918" s="55"/>
      <c r="F2918" s="55"/>
      <c r="G2918" s="55"/>
      <c r="H2918" s="55"/>
      <c r="I2918" s="55"/>
      <c r="J2918" s="55"/>
      <c r="K2918" s="56"/>
      <c r="L2918" s="55"/>
      <c r="M2918" s="55"/>
      <c r="N2918" s="55"/>
      <c r="O2918" s="55"/>
      <c r="P2918" s="55"/>
      <c r="Q2918" s="55"/>
      <c r="R2918" s="57"/>
      <c r="S2918" s="58"/>
    </row>
    <row r="2919" spans="2:19" x14ac:dyDescent="0.25">
      <c r="B2919" s="52"/>
      <c r="C2919" s="53"/>
      <c r="D2919" s="54"/>
      <c r="E2919" s="55"/>
      <c r="F2919" s="55"/>
      <c r="G2919" s="55"/>
      <c r="H2919" s="55"/>
      <c r="I2919" s="55"/>
      <c r="J2919" s="55"/>
      <c r="K2919" s="56"/>
      <c r="L2919" s="55"/>
      <c r="M2919" s="55"/>
      <c r="N2919" s="55"/>
      <c r="O2919" s="55"/>
      <c r="P2919" s="55"/>
      <c r="Q2919" s="55"/>
      <c r="R2919" s="57"/>
      <c r="S2919" s="58"/>
    </row>
    <row r="2920" spans="2:19" x14ac:dyDescent="0.25">
      <c r="B2920" s="52"/>
      <c r="C2920" s="53"/>
      <c r="D2920" s="54"/>
      <c r="E2920" s="55"/>
      <c r="F2920" s="55"/>
      <c r="G2920" s="55"/>
      <c r="H2920" s="55"/>
      <c r="I2920" s="55"/>
      <c r="J2920" s="55"/>
      <c r="K2920" s="56"/>
      <c r="L2920" s="55"/>
      <c r="M2920" s="55"/>
      <c r="N2920" s="55"/>
      <c r="O2920" s="55"/>
      <c r="P2920" s="55"/>
      <c r="Q2920" s="55"/>
      <c r="R2920" s="57"/>
      <c r="S2920" s="58"/>
    </row>
    <row r="2921" spans="2:19" x14ac:dyDescent="0.25">
      <c r="B2921" s="52"/>
      <c r="C2921" s="53"/>
      <c r="D2921" s="54"/>
      <c r="E2921" s="55"/>
      <c r="F2921" s="55"/>
      <c r="G2921" s="55"/>
      <c r="H2921" s="55"/>
      <c r="I2921" s="55"/>
      <c r="J2921" s="55"/>
      <c r="K2921" s="56"/>
      <c r="L2921" s="55"/>
      <c r="M2921" s="55"/>
      <c r="N2921" s="55"/>
      <c r="O2921" s="55"/>
      <c r="P2921" s="55"/>
      <c r="Q2921" s="55"/>
      <c r="R2921" s="57"/>
      <c r="S2921" s="58"/>
    </row>
    <row r="2922" spans="2:19" x14ac:dyDescent="0.25">
      <c r="B2922" s="52"/>
      <c r="C2922" s="53"/>
      <c r="D2922" s="54"/>
      <c r="E2922" s="55"/>
      <c r="F2922" s="55"/>
      <c r="G2922" s="55"/>
      <c r="H2922" s="55"/>
      <c r="I2922" s="55"/>
      <c r="J2922" s="55"/>
      <c r="K2922" s="56"/>
      <c r="L2922" s="55"/>
      <c r="M2922" s="55"/>
      <c r="N2922" s="55"/>
      <c r="O2922" s="55"/>
      <c r="P2922" s="55"/>
      <c r="Q2922" s="55"/>
      <c r="R2922" s="57"/>
      <c r="S2922" s="58"/>
    </row>
    <row r="2923" spans="2:19" x14ac:dyDescent="0.25">
      <c r="B2923" s="52"/>
      <c r="C2923" s="53"/>
      <c r="D2923" s="54"/>
      <c r="E2923" s="55"/>
      <c r="F2923" s="55"/>
      <c r="G2923" s="55"/>
      <c r="H2923" s="55"/>
      <c r="I2923" s="55"/>
      <c r="J2923" s="55"/>
      <c r="K2923" s="56"/>
      <c r="L2923" s="55"/>
      <c r="M2923" s="55"/>
      <c r="N2923" s="55"/>
      <c r="O2923" s="55"/>
      <c r="P2923" s="55"/>
      <c r="Q2923" s="55"/>
      <c r="R2923" s="57"/>
      <c r="S2923" s="58"/>
    </row>
    <row r="2924" spans="2:19" x14ac:dyDescent="0.25">
      <c r="B2924" s="52"/>
      <c r="C2924" s="53"/>
      <c r="D2924" s="54"/>
      <c r="E2924" s="55"/>
      <c r="F2924" s="55"/>
      <c r="G2924" s="55"/>
      <c r="H2924" s="55"/>
      <c r="I2924" s="55"/>
      <c r="J2924" s="55"/>
      <c r="K2924" s="56"/>
      <c r="L2924" s="55"/>
      <c r="M2924" s="55"/>
      <c r="N2924" s="55"/>
      <c r="O2924" s="55"/>
      <c r="P2924" s="55"/>
      <c r="Q2924" s="55"/>
      <c r="R2924" s="57"/>
      <c r="S2924" s="58"/>
    </row>
    <row r="2925" spans="2:19" x14ac:dyDescent="0.25">
      <c r="B2925" s="52"/>
      <c r="C2925" s="60"/>
      <c r="E2925" s="61"/>
      <c r="F2925" s="62"/>
      <c r="G2925" s="63"/>
      <c r="H2925" s="64"/>
      <c r="I2925" s="64"/>
      <c r="J2925" s="64"/>
      <c r="K2925" s="65"/>
      <c r="L2925" s="64"/>
      <c r="M2925" s="64"/>
      <c r="N2925" s="64"/>
      <c r="P2925" s="63"/>
      <c r="Q2925" s="61"/>
      <c r="R2925" s="64"/>
      <c r="S2925" s="64"/>
    </row>
    <row r="2926" spans="2:19" x14ac:dyDescent="0.25">
      <c r="B2926" s="52"/>
      <c r="C2926" s="53"/>
      <c r="D2926" s="54"/>
      <c r="E2926" s="55"/>
      <c r="F2926" s="55"/>
      <c r="G2926" s="55"/>
      <c r="H2926" s="55"/>
      <c r="I2926" s="55"/>
      <c r="J2926" s="55"/>
      <c r="K2926" s="56"/>
      <c r="L2926" s="55"/>
      <c r="M2926" s="55"/>
      <c r="N2926" s="55"/>
      <c r="O2926" s="55"/>
      <c r="P2926" s="55"/>
      <c r="Q2926" s="55"/>
      <c r="R2926" s="57"/>
      <c r="S2926" s="58"/>
    </row>
    <row r="2927" spans="2:19" x14ac:dyDescent="0.25">
      <c r="B2927" s="52"/>
      <c r="C2927" s="53"/>
      <c r="D2927" s="54"/>
      <c r="E2927" s="55"/>
      <c r="F2927" s="55"/>
      <c r="G2927" s="55"/>
      <c r="H2927" s="55"/>
      <c r="I2927" s="55"/>
      <c r="J2927" s="55"/>
      <c r="K2927" s="56"/>
      <c r="L2927" s="55"/>
      <c r="M2927" s="55"/>
      <c r="N2927" s="55"/>
      <c r="O2927" s="55"/>
      <c r="P2927" s="55"/>
      <c r="Q2927" s="55"/>
      <c r="R2927" s="57"/>
      <c r="S2927" s="58"/>
    </row>
    <row r="2928" spans="2:19" x14ac:dyDescent="0.25">
      <c r="B2928" s="52"/>
      <c r="C2928" s="53"/>
      <c r="D2928" s="54"/>
      <c r="E2928" s="55"/>
      <c r="F2928" s="55"/>
      <c r="G2928" s="55"/>
      <c r="H2928" s="55"/>
      <c r="I2928" s="55"/>
      <c r="J2928" s="55"/>
      <c r="K2928" s="56"/>
      <c r="L2928" s="55"/>
      <c r="M2928" s="55"/>
      <c r="N2928" s="55"/>
      <c r="O2928" s="55"/>
      <c r="P2928" s="55"/>
      <c r="Q2928" s="55"/>
      <c r="R2928" s="57"/>
      <c r="S2928" s="58"/>
    </row>
    <row r="2929" spans="2:19" x14ac:dyDescent="0.25">
      <c r="B2929" s="52"/>
      <c r="C2929" s="53"/>
      <c r="D2929" s="54"/>
      <c r="E2929" s="55"/>
      <c r="F2929" s="55"/>
      <c r="G2929" s="55"/>
      <c r="H2929" s="55"/>
      <c r="I2929" s="55"/>
      <c r="J2929" s="55"/>
      <c r="K2929" s="56"/>
      <c r="L2929" s="55"/>
      <c r="M2929" s="55"/>
      <c r="N2929" s="55"/>
      <c r="O2929" s="55"/>
      <c r="P2929" s="55"/>
      <c r="Q2929" s="55"/>
      <c r="R2929" s="57"/>
      <c r="S2929" s="58"/>
    </row>
    <row r="2930" spans="2:19" x14ac:dyDescent="0.25">
      <c r="B2930" s="52"/>
      <c r="C2930" s="53"/>
      <c r="D2930" s="54"/>
      <c r="E2930" s="55"/>
      <c r="F2930" s="55"/>
      <c r="G2930" s="55"/>
      <c r="H2930" s="55"/>
      <c r="I2930" s="55"/>
      <c r="J2930" s="55"/>
      <c r="K2930" s="56"/>
      <c r="L2930" s="55"/>
      <c r="M2930" s="55"/>
      <c r="N2930" s="55"/>
      <c r="O2930" s="55"/>
      <c r="P2930" s="55"/>
      <c r="Q2930" s="55"/>
      <c r="R2930" s="57"/>
      <c r="S2930" s="58"/>
    </row>
    <row r="2931" spans="2:19" x14ac:dyDescent="0.25">
      <c r="B2931" s="52"/>
      <c r="C2931" s="53"/>
      <c r="D2931" s="54"/>
      <c r="E2931" s="55"/>
      <c r="F2931" s="55"/>
      <c r="G2931" s="55"/>
      <c r="H2931" s="55"/>
      <c r="I2931" s="55"/>
      <c r="J2931" s="55"/>
      <c r="K2931" s="56"/>
      <c r="L2931" s="55"/>
      <c r="M2931" s="55"/>
      <c r="N2931" s="55"/>
      <c r="O2931" s="55"/>
      <c r="P2931" s="55"/>
      <c r="Q2931" s="55"/>
      <c r="R2931" s="57"/>
      <c r="S2931" s="58"/>
    </row>
    <row r="2932" spans="2:19" x14ac:dyDescent="0.25">
      <c r="B2932" s="52"/>
      <c r="C2932" s="53"/>
      <c r="D2932" s="54"/>
      <c r="E2932" s="55"/>
      <c r="F2932" s="55"/>
      <c r="G2932" s="55"/>
      <c r="H2932" s="55"/>
      <c r="I2932" s="55"/>
      <c r="J2932" s="55"/>
      <c r="K2932" s="56"/>
      <c r="L2932" s="55"/>
      <c r="M2932" s="55"/>
      <c r="N2932" s="55"/>
      <c r="O2932" s="55"/>
      <c r="P2932" s="55"/>
      <c r="Q2932" s="55"/>
      <c r="R2932" s="57"/>
      <c r="S2932" s="58"/>
    </row>
    <row r="2933" spans="2:19" x14ac:dyDescent="0.25">
      <c r="B2933" s="52"/>
      <c r="C2933" s="53"/>
      <c r="D2933" s="54"/>
      <c r="E2933" s="55"/>
      <c r="F2933" s="55"/>
      <c r="G2933" s="55"/>
      <c r="H2933" s="55"/>
      <c r="I2933" s="55"/>
      <c r="J2933" s="55"/>
      <c r="K2933" s="56"/>
      <c r="L2933" s="55"/>
      <c r="M2933" s="55"/>
      <c r="N2933" s="55"/>
      <c r="O2933" s="55"/>
      <c r="P2933" s="55"/>
      <c r="Q2933" s="55"/>
      <c r="R2933" s="57"/>
      <c r="S2933" s="58"/>
    </row>
    <row r="2934" spans="2:19" ht="15.75" x14ac:dyDescent="0.25">
      <c r="B2934" s="52"/>
      <c r="C2934" s="53"/>
      <c r="D2934" s="54"/>
      <c r="E2934" s="55"/>
      <c r="F2934" s="55"/>
      <c r="G2934" s="55"/>
      <c r="H2934" s="55"/>
      <c r="I2934" s="55"/>
      <c r="J2934" s="55"/>
      <c r="K2934" s="59"/>
      <c r="L2934" s="55"/>
      <c r="M2934" s="55"/>
      <c r="N2934" s="55"/>
      <c r="O2934" s="55"/>
      <c r="P2934" s="55"/>
      <c r="Q2934" s="55"/>
      <c r="R2934" s="57"/>
      <c r="S2934" s="58"/>
    </row>
    <row r="2935" spans="2:19" x14ac:dyDescent="0.25">
      <c r="B2935" s="52"/>
      <c r="C2935" s="53"/>
      <c r="D2935" s="54"/>
      <c r="E2935" s="55"/>
      <c r="F2935" s="55"/>
      <c r="G2935" s="55"/>
      <c r="H2935" s="55"/>
      <c r="I2935" s="55"/>
      <c r="J2935" s="55"/>
      <c r="K2935" s="56"/>
      <c r="L2935" s="55"/>
      <c r="M2935" s="55"/>
      <c r="N2935" s="55"/>
      <c r="O2935" s="55"/>
      <c r="P2935" s="55"/>
      <c r="Q2935" s="55"/>
      <c r="R2935" s="57"/>
      <c r="S2935" s="58"/>
    </row>
    <row r="2936" spans="2:19" x14ac:dyDescent="0.25">
      <c r="B2936" s="52"/>
      <c r="C2936" s="53"/>
      <c r="D2936" s="54"/>
      <c r="E2936" s="55"/>
      <c r="F2936" s="55"/>
      <c r="G2936" s="55"/>
      <c r="H2936" s="55"/>
      <c r="I2936" s="55"/>
      <c r="J2936" s="55"/>
      <c r="K2936" s="56"/>
      <c r="L2936" s="55"/>
      <c r="M2936" s="55"/>
      <c r="N2936" s="55"/>
      <c r="O2936" s="55"/>
      <c r="P2936" s="55"/>
      <c r="Q2936" s="55"/>
      <c r="R2936" s="57"/>
      <c r="S2936" s="58"/>
    </row>
    <row r="2937" spans="2:19" x14ac:dyDescent="0.25">
      <c r="B2937" s="52"/>
      <c r="C2937" s="53"/>
      <c r="D2937" s="54"/>
      <c r="E2937" s="55"/>
      <c r="F2937" s="55"/>
      <c r="G2937" s="55"/>
      <c r="H2937" s="55"/>
      <c r="I2937" s="55"/>
      <c r="J2937" s="55"/>
      <c r="K2937" s="56"/>
      <c r="L2937" s="55"/>
      <c r="M2937" s="55"/>
      <c r="N2937" s="55"/>
      <c r="O2937" s="55"/>
      <c r="P2937" s="55"/>
      <c r="Q2937" s="55"/>
      <c r="R2937" s="57"/>
      <c r="S2937" s="58"/>
    </row>
    <row r="2938" spans="2:19" x14ac:dyDescent="0.25">
      <c r="B2938" s="52"/>
      <c r="C2938" s="53"/>
      <c r="D2938" s="54"/>
      <c r="E2938" s="55"/>
      <c r="F2938" s="55"/>
      <c r="G2938" s="55"/>
      <c r="H2938" s="55"/>
      <c r="I2938" s="55"/>
      <c r="J2938" s="55"/>
      <c r="K2938" s="56"/>
      <c r="L2938" s="55"/>
      <c r="M2938" s="55"/>
      <c r="N2938" s="55"/>
      <c r="O2938" s="55"/>
      <c r="P2938" s="55"/>
      <c r="Q2938" s="55"/>
      <c r="R2938" s="57"/>
      <c r="S2938" s="58"/>
    </row>
    <row r="2939" spans="2:19" x14ac:dyDescent="0.25">
      <c r="B2939" s="52"/>
      <c r="C2939" s="53"/>
      <c r="D2939" s="54"/>
      <c r="E2939" s="55"/>
      <c r="F2939" s="55"/>
      <c r="G2939" s="55"/>
      <c r="H2939" s="55"/>
      <c r="I2939" s="55"/>
      <c r="J2939" s="55"/>
      <c r="K2939" s="56"/>
      <c r="L2939" s="55"/>
      <c r="M2939" s="55"/>
      <c r="N2939" s="55"/>
      <c r="O2939" s="55"/>
      <c r="P2939" s="55"/>
      <c r="Q2939" s="55"/>
      <c r="R2939" s="57"/>
      <c r="S2939" s="58"/>
    </row>
    <row r="2940" spans="2:19" x14ac:dyDescent="0.25">
      <c r="B2940" s="52"/>
      <c r="C2940" s="53"/>
      <c r="D2940" s="54"/>
      <c r="E2940" s="55"/>
      <c r="F2940" s="55"/>
      <c r="G2940" s="55"/>
      <c r="H2940" s="55"/>
      <c r="I2940" s="55"/>
      <c r="J2940" s="55"/>
      <c r="K2940" s="56"/>
      <c r="L2940" s="55"/>
      <c r="M2940" s="55"/>
      <c r="N2940" s="55"/>
      <c r="O2940" s="55"/>
      <c r="P2940" s="55"/>
      <c r="Q2940" s="55"/>
      <c r="R2940" s="57"/>
      <c r="S2940" s="58"/>
    </row>
    <row r="2941" spans="2:19" x14ac:dyDescent="0.25">
      <c r="B2941" s="52"/>
      <c r="C2941" s="53"/>
      <c r="D2941" s="54"/>
      <c r="E2941" s="55"/>
      <c r="F2941" s="55"/>
      <c r="G2941" s="55"/>
      <c r="H2941" s="55"/>
      <c r="I2941" s="55"/>
      <c r="J2941" s="55"/>
      <c r="K2941" s="56"/>
      <c r="L2941" s="55"/>
      <c r="M2941" s="55"/>
      <c r="N2941" s="55"/>
      <c r="O2941" s="55"/>
      <c r="P2941" s="55"/>
      <c r="Q2941" s="55"/>
      <c r="R2941" s="57"/>
      <c r="S2941" s="58"/>
    </row>
    <row r="2942" spans="2:19" x14ac:dyDescent="0.25">
      <c r="B2942" s="52"/>
      <c r="C2942" s="60"/>
      <c r="E2942" s="61"/>
      <c r="F2942" s="62"/>
      <c r="G2942" s="63"/>
      <c r="H2942" s="64"/>
      <c r="I2942" s="64"/>
      <c r="J2942" s="64"/>
      <c r="K2942" s="65"/>
      <c r="L2942" s="64"/>
      <c r="M2942" s="64"/>
      <c r="N2942" s="64"/>
      <c r="P2942" s="63"/>
      <c r="Q2942" s="61"/>
      <c r="R2942" s="64"/>
      <c r="S2942" s="64"/>
    </row>
    <row r="2943" spans="2:19" x14ac:dyDescent="0.25">
      <c r="B2943" s="52"/>
      <c r="C2943" s="53"/>
      <c r="D2943" s="54"/>
      <c r="E2943" s="55"/>
      <c r="F2943" s="55"/>
      <c r="G2943" s="55"/>
      <c r="H2943" s="55"/>
      <c r="I2943" s="55"/>
      <c r="J2943" s="55"/>
      <c r="K2943" s="56"/>
      <c r="L2943" s="55"/>
      <c r="M2943" s="55"/>
      <c r="N2943" s="55"/>
      <c r="O2943" s="55"/>
      <c r="P2943" s="55"/>
      <c r="Q2943" s="55"/>
      <c r="R2943" s="57"/>
      <c r="S2943" s="58"/>
    </row>
    <row r="2944" spans="2:19" x14ac:dyDescent="0.25">
      <c r="B2944" s="52"/>
      <c r="C2944" s="53"/>
      <c r="D2944" s="54"/>
      <c r="E2944" s="55"/>
      <c r="F2944" s="55"/>
      <c r="G2944" s="55"/>
      <c r="H2944" s="55"/>
      <c r="I2944" s="55"/>
      <c r="J2944" s="55"/>
      <c r="K2944" s="56"/>
      <c r="L2944" s="55"/>
      <c r="M2944" s="55"/>
      <c r="N2944" s="55"/>
      <c r="O2944" s="55"/>
      <c r="P2944" s="55"/>
      <c r="Q2944" s="55"/>
      <c r="R2944" s="57"/>
      <c r="S2944" s="58"/>
    </row>
    <row r="2945" spans="2:19" x14ac:dyDescent="0.25">
      <c r="B2945" s="52"/>
      <c r="C2945" s="53"/>
      <c r="D2945" s="54"/>
      <c r="E2945" s="55"/>
      <c r="F2945" s="55"/>
      <c r="G2945" s="55"/>
      <c r="H2945" s="55"/>
      <c r="I2945" s="55"/>
      <c r="J2945" s="55"/>
      <c r="K2945" s="56"/>
      <c r="L2945" s="55"/>
      <c r="M2945" s="55"/>
      <c r="N2945" s="55"/>
      <c r="O2945" s="55"/>
      <c r="P2945" s="55"/>
      <c r="Q2945" s="55"/>
      <c r="R2945" s="57"/>
      <c r="S2945" s="58"/>
    </row>
    <row r="2946" spans="2:19" x14ac:dyDescent="0.25">
      <c r="B2946" s="52"/>
      <c r="C2946" s="53"/>
      <c r="D2946" s="54"/>
      <c r="E2946" s="55"/>
      <c r="F2946" s="55"/>
      <c r="G2946" s="55"/>
      <c r="H2946" s="55"/>
      <c r="I2946" s="55"/>
      <c r="J2946" s="55"/>
      <c r="K2946" s="56"/>
      <c r="L2946" s="55"/>
      <c r="M2946" s="55"/>
      <c r="N2946" s="55"/>
      <c r="O2946" s="55"/>
      <c r="P2946" s="55"/>
      <c r="Q2946" s="55"/>
      <c r="R2946" s="57"/>
      <c r="S2946" s="58"/>
    </row>
    <row r="2947" spans="2:19" x14ac:dyDescent="0.25">
      <c r="B2947" s="52"/>
      <c r="C2947" s="53"/>
      <c r="D2947" s="54"/>
      <c r="E2947" s="55"/>
      <c r="F2947" s="55"/>
      <c r="G2947" s="55"/>
      <c r="H2947" s="55"/>
      <c r="I2947" s="55"/>
      <c r="J2947" s="55"/>
      <c r="K2947" s="56"/>
      <c r="L2947" s="55"/>
      <c r="M2947" s="55"/>
      <c r="N2947" s="55"/>
      <c r="O2947" s="55"/>
      <c r="P2947" s="55"/>
      <c r="Q2947" s="55"/>
      <c r="R2947" s="57"/>
      <c r="S2947" s="58"/>
    </row>
    <row r="2948" spans="2:19" x14ac:dyDescent="0.25">
      <c r="B2948" s="52"/>
      <c r="C2948" s="53"/>
      <c r="D2948" s="54"/>
      <c r="E2948" s="55"/>
      <c r="F2948" s="55"/>
      <c r="G2948" s="55"/>
      <c r="H2948" s="55"/>
      <c r="I2948" s="55"/>
      <c r="J2948" s="55"/>
      <c r="K2948" s="56"/>
      <c r="L2948" s="55"/>
      <c r="M2948" s="55"/>
      <c r="N2948" s="55"/>
      <c r="O2948" s="55"/>
      <c r="P2948" s="55"/>
      <c r="Q2948" s="55"/>
      <c r="R2948" s="57"/>
      <c r="S2948" s="58"/>
    </row>
    <row r="2949" spans="2:19" x14ac:dyDescent="0.25">
      <c r="B2949" s="52"/>
      <c r="C2949" s="53"/>
      <c r="D2949" s="54"/>
      <c r="E2949" s="55"/>
      <c r="F2949" s="55"/>
      <c r="G2949" s="55"/>
      <c r="H2949" s="55"/>
      <c r="I2949" s="55"/>
      <c r="J2949" s="55"/>
      <c r="K2949" s="56"/>
      <c r="L2949" s="55"/>
      <c r="M2949" s="55"/>
      <c r="N2949" s="55"/>
      <c r="O2949" s="55"/>
      <c r="P2949" s="55"/>
      <c r="Q2949" s="55"/>
      <c r="R2949" s="57"/>
      <c r="S2949" s="58"/>
    </row>
    <row r="2950" spans="2:19" x14ac:dyDescent="0.25">
      <c r="B2950" s="52"/>
      <c r="C2950" s="53"/>
      <c r="D2950" s="54"/>
      <c r="E2950" s="55"/>
      <c r="F2950" s="55"/>
      <c r="G2950" s="55"/>
      <c r="H2950" s="55"/>
      <c r="I2950" s="55"/>
      <c r="J2950" s="55"/>
      <c r="K2950" s="56"/>
      <c r="L2950" s="55"/>
      <c r="M2950" s="55"/>
      <c r="N2950" s="55"/>
      <c r="O2950" s="55"/>
      <c r="P2950" s="55"/>
      <c r="Q2950" s="55"/>
      <c r="R2950" s="57"/>
      <c r="S2950" s="58"/>
    </row>
    <row r="2951" spans="2:19" ht="15.75" x14ac:dyDescent="0.25">
      <c r="B2951" s="52"/>
      <c r="C2951" s="53"/>
      <c r="D2951" s="54"/>
      <c r="E2951" s="55"/>
      <c r="F2951" s="55"/>
      <c r="G2951" s="55"/>
      <c r="H2951" s="55"/>
      <c r="I2951" s="55"/>
      <c r="J2951" s="55"/>
      <c r="K2951" s="59"/>
      <c r="L2951" s="55"/>
      <c r="M2951" s="55"/>
      <c r="N2951" s="55"/>
      <c r="O2951" s="55"/>
      <c r="P2951" s="55"/>
      <c r="Q2951" s="55"/>
      <c r="R2951" s="57"/>
      <c r="S2951" s="58"/>
    </row>
    <row r="2952" spans="2:19" x14ac:dyDescent="0.25">
      <c r="B2952" s="52"/>
      <c r="C2952" s="53"/>
      <c r="D2952" s="54"/>
      <c r="E2952" s="55"/>
      <c r="F2952" s="55"/>
      <c r="G2952" s="55"/>
      <c r="H2952" s="55"/>
      <c r="I2952" s="55"/>
      <c r="J2952" s="55"/>
      <c r="K2952" s="56"/>
      <c r="L2952" s="55"/>
      <c r="M2952" s="55"/>
      <c r="N2952" s="55"/>
      <c r="O2952" s="55"/>
      <c r="P2952" s="55"/>
      <c r="Q2952" s="55"/>
      <c r="R2952" s="57"/>
      <c r="S2952" s="58"/>
    </row>
    <row r="2953" spans="2:19" x14ac:dyDescent="0.25">
      <c r="B2953" s="52"/>
      <c r="C2953" s="53"/>
      <c r="D2953" s="54"/>
      <c r="E2953" s="55"/>
      <c r="F2953" s="55"/>
      <c r="G2953" s="55"/>
      <c r="H2953" s="55"/>
      <c r="I2953" s="55"/>
      <c r="J2953" s="55"/>
      <c r="K2953" s="56"/>
      <c r="L2953" s="55"/>
      <c r="M2953" s="55"/>
      <c r="N2953" s="55"/>
      <c r="O2953" s="55"/>
      <c r="P2953" s="55"/>
      <c r="Q2953" s="55"/>
      <c r="R2953" s="57"/>
      <c r="S2953" s="58"/>
    </row>
    <row r="2954" spans="2:19" x14ac:dyDescent="0.25">
      <c r="B2954" s="52"/>
      <c r="C2954" s="53"/>
      <c r="D2954" s="54"/>
      <c r="E2954" s="55"/>
      <c r="F2954" s="55"/>
      <c r="G2954" s="55"/>
      <c r="H2954" s="55"/>
      <c r="I2954" s="55"/>
      <c r="J2954" s="55"/>
      <c r="K2954" s="56"/>
      <c r="L2954" s="55"/>
      <c r="M2954" s="55"/>
      <c r="N2954" s="55"/>
      <c r="O2954" s="55"/>
      <c r="P2954" s="55"/>
      <c r="Q2954" s="55"/>
      <c r="R2954" s="57"/>
      <c r="S2954" s="58"/>
    </row>
    <row r="2955" spans="2:19" x14ac:dyDescent="0.25">
      <c r="B2955" s="52"/>
      <c r="C2955" s="53"/>
      <c r="D2955" s="54"/>
      <c r="E2955" s="55"/>
      <c r="F2955" s="55"/>
      <c r="G2955" s="55"/>
      <c r="H2955" s="55"/>
      <c r="I2955" s="55"/>
      <c r="J2955" s="55"/>
      <c r="K2955" s="56"/>
      <c r="L2955" s="55"/>
      <c r="M2955" s="55"/>
      <c r="N2955" s="55"/>
      <c r="O2955" s="55"/>
      <c r="P2955" s="55"/>
      <c r="Q2955" s="55"/>
      <c r="R2955" s="57"/>
      <c r="S2955" s="58"/>
    </row>
    <row r="2956" spans="2:19" x14ac:dyDescent="0.25">
      <c r="B2956" s="52"/>
      <c r="C2956" s="53"/>
      <c r="D2956" s="54"/>
      <c r="E2956" s="55"/>
      <c r="F2956" s="55"/>
      <c r="G2956" s="55"/>
      <c r="H2956" s="55"/>
      <c r="I2956" s="55"/>
      <c r="J2956" s="55"/>
      <c r="K2956" s="56"/>
      <c r="L2956" s="55"/>
      <c r="M2956" s="55"/>
      <c r="N2956" s="55"/>
      <c r="O2956" s="55"/>
      <c r="P2956" s="55"/>
      <c r="Q2956" s="55"/>
      <c r="R2956" s="57"/>
      <c r="S2956" s="58"/>
    </row>
    <row r="2957" spans="2:19" x14ac:dyDescent="0.25">
      <c r="B2957" s="52"/>
      <c r="C2957" s="53"/>
      <c r="D2957" s="54"/>
      <c r="E2957" s="55"/>
      <c r="F2957" s="55"/>
      <c r="G2957" s="55"/>
      <c r="H2957" s="55"/>
      <c r="I2957" s="55"/>
      <c r="J2957" s="55"/>
      <c r="K2957" s="56"/>
      <c r="L2957" s="55"/>
      <c r="M2957" s="55"/>
      <c r="N2957" s="55"/>
      <c r="O2957" s="55"/>
      <c r="P2957" s="55"/>
      <c r="Q2957" s="55"/>
      <c r="R2957" s="57"/>
      <c r="S2957" s="58"/>
    </row>
    <row r="2958" spans="2:19" x14ac:dyDescent="0.25">
      <c r="B2958" s="52"/>
      <c r="C2958" s="53"/>
      <c r="D2958" s="54"/>
      <c r="E2958" s="55"/>
      <c r="F2958" s="55"/>
      <c r="G2958" s="55"/>
      <c r="H2958" s="55"/>
      <c r="I2958" s="55"/>
      <c r="J2958" s="55"/>
      <c r="K2958" s="56"/>
      <c r="L2958" s="55"/>
      <c r="M2958" s="55"/>
      <c r="N2958" s="55"/>
      <c r="O2958" s="55"/>
      <c r="P2958" s="55"/>
      <c r="Q2958" s="55"/>
      <c r="R2958" s="57"/>
      <c r="S2958" s="58"/>
    </row>
    <row r="2959" spans="2:19" x14ac:dyDescent="0.25">
      <c r="B2959" s="52"/>
      <c r="C2959" s="60"/>
      <c r="E2959" s="61"/>
      <c r="F2959" s="62"/>
      <c r="G2959" s="63"/>
      <c r="H2959" s="64"/>
      <c r="I2959" s="64"/>
      <c r="J2959" s="64"/>
      <c r="K2959" s="65"/>
      <c r="L2959" s="64"/>
      <c r="M2959" s="64"/>
      <c r="N2959" s="64"/>
      <c r="P2959" s="63"/>
      <c r="Q2959" s="61"/>
      <c r="R2959" s="64"/>
      <c r="S2959" s="64"/>
    </row>
    <row r="2960" spans="2:19" x14ac:dyDescent="0.25">
      <c r="B2960" s="52"/>
      <c r="C2960" s="53"/>
      <c r="D2960" s="54"/>
      <c r="E2960" s="55"/>
      <c r="F2960" s="55"/>
      <c r="G2960" s="55"/>
      <c r="H2960" s="55"/>
      <c r="I2960" s="55"/>
      <c r="J2960" s="55"/>
      <c r="K2960" s="56"/>
      <c r="L2960" s="55"/>
      <c r="M2960" s="55"/>
      <c r="N2960" s="55"/>
      <c r="O2960" s="55"/>
      <c r="P2960" s="55"/>
      <c r="Q2960" s="55"/>
      <c r="R2960" s="57"/>
      <c r="S2960" s="58"/>
    </row>
    <row r="2961" spans="2:19" x14ac:dyDescent="0.25">
      <c r="B2961" s="52"/>
      <c r="C2961" s="53"/>
      <c r="D2961" s="54"/>
      <c r="E2961" s="55"/>
      <c r="F2961" s="55"/>
      <c r="G2961" s="55"/>
      <c r="H2961" s="55"/>
      <c r="I2961" s="55"/>
      <c r="J2961" s="55"/>
      <c r="K2961" s="56"/>
      <c r="L2961" s="55"/>
      <c r="M2961" s="55"/>
      <c r="N2961" s="55"/>
      <c r="O2961" s="55"/>
      <c r="P2961" s="55"/>
      <c r="Q2961" s="55"/>
      <c r="R2961" s="57"/>
      <c r="S2961" s="58"/>
    </row>
    <row r="2962" spans="2:19" x14ac:dyDescent="0.25">
      <c r="B2962" s="52"/>
      <c r="C2962" s="53"/>
      <c r="D2962" s="54"/>
      <c r="E2962" s="55"/>
      <c r="F2962" s="55"/>
      <c r="G2962" s="55"/>
      <c r="H2962" s="55"/>
      <c r="I2962" s="55"/>
      <c r="J2962" s="55"/>
      <c r="K2962" s="56"/>
      <c r="L2962" s="55"/>
      <c r="M2962" s="55"/>
      <c r="N2962" s="55"/>
      <c r="O2962" s="55"/>
      <c r="P2962" s="55"/>
      <c r="Q2962" s="55"/>
      <c r="R2962" s="57"/>
      <c r="S2962" s="58"/>
    </row>
    <row r="2963" spans="2:19" x14ac:dyDescent="0.25">
      <c r="B2963" s="52"/>
      <c r="C2963" s="53"/>
      <c r="D2963" s="54"/>
      <c r="E2963" s="55"/>
      <c r="F2963" s="55"/>
      <c r="G2963" s="55"/>
      <c r="H2963" s="55"/>
      <c r="I2963" s="55"/>
      <c r="J2963" s="55"/>
      <c r="K2963" s="56"/>
      <c r="L2963" s="55"/>
      <c r="M2963" s="55"/>
      <c r="N2963" s="55"/>
      <c r="O2963" s="55"/>
      <c r="P2963" s="55"/>
      <c r="Q2963" s="55"/>
      <c r="R2963" s="57"/>
      <c r="S2963" s="58"/>
    </row>
    <row r="2964" spans="2:19" x14ac:dyDescent="0.25">
      <c r="B2964" s="52"/>
      <c r="C2964" s="53"/>
      <c r="D2964" s="54"/>
      <c r="E2964" s="55"/>
      <c r="F2964" s="55"/>
      <c r="G2964" s="55"/>
      <c r="H2964" s="55"/>
      <c r="I2964" s="55"/>
      <c r="J2964" s="55"/>
      <c r="K2964" s="56"/>
      <c r="L2964" s="55"/>
      <c r="M2964" s="55"/>
      <c r="N2964" s="55"/>
      <c r="O2964" s="55"/>
      <c r="P2964" s="55"/>
      <c r="Q2964" s="55"/>
      <c r="R2964" s="57"/>
      <c r="S2964" s="58"/>
    </row>
    <row r="2965" spans="2:19" x14ac:dyDescent="0.25">
      <c r="B2965" s="52"/>
      <c r="C2965" s="53"/>
      <c r="D2965" s="54"/>
      <c r="E2965" s="55"/>
      <c r="F2965" s="55"/>
      <c r="G2965" s="55"/>
      <c r="H2965" s="55"/>
      <c r="I2965" s="55"/>
      <c r="J2965" s="55"/>
      <c r="K2965" s="56"/>
      <c r="L2965" s="55"/>
      <c r="M2965" s="55"/>
      <c r="N2965" s="55"/>
      <c r="O2965" s="55"/>
      <c r="P2965" s="55"/>
      <c r="Q2965" s="55"/>
      <c r="R2965" s="57"/>
      <c r="S2965" s="58"/>
    </row>
    <row r="2966" spans="2:19" x14ac:dyDescent="0.25">
      <c r="B2966" s="52"/>
      <c r="C2966" s="53"/>
      <c r="D2966" s="54"/>
      <c r="E2966" s="55"/>
      <c r="F2966" s="55"/>
      <c r="G2966" s="55"/>
      <c r="H2966" s="55"/>
      <c r="I2966" s="55"/>
      <c r="J2966" s="55"/>
      <c r="K2966" s="56"/>
      <c r="L2966" s="55"/>
      <c r="M2966" s="55"/>
      <c r="N2966" s="55"/>
      <c r="O2966" s="55"/>
      <c r="P2966" s="55"/>
      <c r="Q2966" s="55"/>
      <c r="R2966" s="57"/>
      <c r="S2966" s="58"/>
    </row>
    <row r="2967" spans="2:19" x14ac:dyDescent="0.25">
      <c r="B2967" s="52"/>
      <c r="C2967" s="53"/>
      <c r="D2967" s="54"/>
      <c r="E2967" s="55"/>
      <c r="F2967" s="55"/>
      <c r="G2967" s="55"/>
      <c r="H2967" s="55"/>
      <c r="I2967" s="55"/>
      <c r="J2967" s="55"/>
      <c r="K2967" s="56"/>
      <c r="L2967" s="55"/>
      <c r="M2967" s="55"/>
      <c r="N2967" s="55"/>
      <c r="O2967" s="55"/>
      <c r="P2967" s="55"/>
      <c r="Q2967" s="55"/>
      <c r="R2967" s="57"/>
      <c r="S2967" s="58"/>
    </row>
    <row r="2968" spans="2:19" ht="15.75" x14ac:dyDescent="0.25">
      <c r="B2968" s="52"/>
      <c r="C2968" s="53"/>
      <c r="D2968" s="54"/>
      <c r="E2968" s="55"/>
      <c r="F2968" s="55"/>
      <c r="G2968" s="55"/>
      <c r="H2968" s="55"/>
      <c r="I2968" s="55"/>
      <c r="J2968" s="55"/>
      <c r="K2968" s="59"/>
      <c r="L2968" s="55"/>
      <c r="M2968" s="55"/>
      <c r="N2968" s="55"/>
      <c r="O2968" s="55"/>
      <c r="P2968" s="55"/>
      <c r="Q2968" s="55"/>
      <c r="R2968" s="57"/>
      <c r="S2968" s="58"/>
    </row>
    <row r="2969" spans="2:19" x14ac:dyDescent="0.25">
      <c r="B2969" s="52"/>
      <c r="C2969" s="53"/>
      <c r="D2969" s="54"/>
      <c r="E2969" s="55"/>
      <c r="F2969" s="55"/>
      <c r="G2969" s="55"/>
      <c r="H2969" s="55"/>
      <c r="I2969" s="55"/>
      <c r="J2969" s="55"/>
      <c r="K2969" s="56"/>
      <c r="L2969" s="55"/>
      <c r="M2969" s="55"/>
      <c r="N2969" s="55"/>
      <c r="O2969" s="55"/>
      <c r="P2969" s="55"/>
      <c r="Q2969" s="55"/>
      <c r="R2969" s="57"/>
      <c r="S2969" s="58"/>
    </row>
    <row r="2970" spans="2:19" x14ac:dyDescent="0.25">
      <c r="B2970" s="52"/>
      <c r="C2970" s="53"/>
      <c r="D2970" s="54"/>
      <c r="E2970" s="55"/>
      <c r="F2970" s="55"/>
      <c r="G2970" s="55"/>
      <c r="H2970" s="55"/>
      <c r="I2970" s="55"/>
      <c r="J2970" s="55"/>
      <c r="K2970" s="56"/>
      <c r="L2970" s="55"/>
      <c r="M2970" s="55"/>
      <c r="N2970" s="55"/>
      <c r="O2970" s="55"/>
      <c r="P2970" s="55"/>
      <c r="Q2970" s="55"/>
      <c r="R2970" s="57"/>
      <c r="S2970" s="58"/>
    </row>
    <row r="2971" spans="2:19" x14ac:dyDescent="0.25">
      <c r="B2971" s="52"/>
      <c r="C2971" s="53"/>
      <c r="D2971" s="54"/>
      <c r="E2971" s="55"/>
      <c r="F2971" s="55"/>
      <c r="G2971" s="55"/>
      <c r="H2971" s="55"/>
      <c r="I2971" s="55"/>
      <c r="J2971" s="55"/>
      <c r="K2971" s="56"/>
      <c r="L2971" s="55"/>
      <c r="M2971" s="55"/>
      <c r="N2971" s="55"/>
      <c r="O2971" s="55"/>
      <c r="P2971" s="55"/>
      <c r="Q2971" s="55"/>
      <c r="R2971" s="57"/>
      <c r="S2971" s="58"/>
    </row>
    <row r="2972" spans="2:19" x14ac:dyDescent="0.25">
      <c r="B2972" s="52"/>
      <c r="C2972" s="53"/>
      <c r="D2972" s="54"/>
      <c r="E2972" s="55"/>
      <c r="F2972" s="55"/>
      <c r="G2972" s="55"/>
      <c r="H2972" s="55"/>
      <c r="I2972" s="55"/>
      <c r="J2972" s="55"/>
      <c r="K2972" s="56"/>
      <c r="L2972" s="55"/>
      <c r="M2972" s="55"/>
      <c r="N2972" s="55"/>
      <c r="O2972" s="55"/>
      <c r="P2972" s="55"/>
      <c r="Q2972" s="55"/>
      <c r="R2972" s="57"/>
      <c r="S2972" s="58"/>
    </row>
    <row r="2973" spans="2:19" x14ac:dyDescent="0.25">
      <c r="B2973" s="52"/>
      <c r="C2973" s="53"/>
      <c r="D2973" s="54"/>
      <c r="E2973" s="55"/>
      <c r="F2973" s="55"/>
      <c r="G2973" s="55"/>
      <c r="H2973" s="55"/>
      <c r="I2973" s="55"/>
      <c r="J2973" s="55"/>
      <c r="K2973" s="56"/>
      <c r="L2973" s="55"/>
      <c r="M2973" s="55"/>
      <c r="N2973" s="55"/>
      <c r="O2973" s="55"/>
      <c r="P2973" s="55"/>
      <c r="Q2973" s="55"/>
      <c r="R2973" s="57"/>
      <c r="S2973" s="58"/>
    </row>
    <row r="2974" spans="2:19" x14ac:dyDescent="0.25">
      <c r="B2974" s="52"/>
      <c r="C2974" s="53"/>
      <c r="D2974" s="54"/>
      <c r="E2974" s="55"/>
      <c r="F2974" s="55"/>
      <c r="G2974" s="55"/>
      <c r="H2974" s="55"/>
      <c r="I2974" s="55"/>
      <c r="J2974" s="55"/>
      <c r="K2974" s="56"/>
      <c r="L2974" s="55"/>
      <c r="M2974" s="55"/>
      <c r="N2974" s="55"/>
      <c r="O2974" s="55"/>
      <c r="P2974" s="55"/>
      <c r="Q2974" s="55"/>
      <c r="R2974" s="57"/>
      <c r="S2974" s="58"/>
    </row>
    <row r="2975" spans="2:19" x14ac:dyDescent="0.25">
      <c r="B2975" s="52"/>
      <c r="C2975" s="53"/>
      <c r="D2975" s="54"/>
      <c r="E2975" s="55"/>
      <c r="F2975" s="55"/>
      <c r="G2975" s="55"/>
      <c r="H2975" s="55"/>
      <c r="I2975" s="55"/>
      <c r="J2975" s="55"/>
      <c r="K2975" s="56"/>
      <c r="L2975" s="55"/>
      <c r="M2975" s="55"/>
      <c r="N2975" s="55"/>
      <c r="O2975" s="55"/>
      <c r="P2975" s="55"/>
      <c r="Q2975" s="55"/>
      <c r="R2975" s="57"/>
      <c r="S2975" s="58"/>
    </row>
    <row r="2976" spans="2:19" x14ac:dyDescent="0.25">
      <c r="B2976" s="52"/>
      <c r="C2976" s="60"/>
      <c r="E2976" s="61"/>
      <c r="F2976" s="62"/>
      <c r="G2976" s="63"/>
      <c r="H2976" s="64"/>
      <c r="I2976" s="64"/>
      <c r="J2976" s="64"/>
      <c r="K2976" s="65"/>
      <c r="L2976" s="64"/>
      <c r="M2976" s="64"/>
      <c r="N2976" s="64"/>
      <c r="P2976" s="63"/>
      <c r="Q2976" s="61"/>
      <c r="R2976" s="64"/>
      <c r="S2976" s="64"/>
    </row>
    <row r="2977" spans="2:19" x14ac:dyDescent="0.25">
      <c r="B2977" s="52"/>
      <c r="C2977" s="53"/>
      <c r="D2977" s="54"/>
      <c r="E2977" s="55"/>
      <c r="F2977" s="55"/>
      <c r="G2977" s="55"/>
      <c r="H2977" s="55"/>
      <c r="I2977" s="55"/>
      <c r="J2977" s="55"/>
      <c r="K2977" s="56"/>
      <c r="L2977" s="55"/>
      <c r="M2977" s="55"/>
      <c r="N2977" s="55"/>
      <c r="O2977" s="55"/>
      <c r="P2977" s="55"/>
      <c r="Q2977" s="55"/>
      <c r="R2977" s="57"/>
      <c r="S2977" s="58"/>
    </row>
    <row r="2978" spans="2:19" x14ac:dyDescent="0.25">
      <c r="B2978" s="52"/>
      <c r="C2978" s="53"/>
      <c r="D2978" s="54"/>
      <c r="E2978" s="55"/>
      <c r="F2978" s="55"/>
      <c r="G2978" s="55"/>
      <c r="H2978" s="55"/>
      <c r="I2978" s="55"/>
      <c r="J2978" s="55"/>
      <c r="K2978" s="56"/>
      <c r="L2978" s="55"/>
      <c r="M2978" s="55"/>
      <c r="N2978" s="55"/>
      <c r="O2978" s="55"/>
      <c r="P2978" s="55"/>
      <c r="Q2978" s="55"/>
      <c r="R2978" s="57"/>
      <c r="S2978" s="58"/>
    </row>
    <row r="2979" spans="2:19" x14ac:dyDescent="0.25">
      <c r="B2979" s="52"/>
      <c r="C2979" s="53"/>
      <c r="D2979" s="54"/>
      <c r="E2979" s="55"/>
      <c r="F2979" s="55"/>
      <c r="G2979" s="55"/>
      <c r="H2979" s="55"/>
      <c r="I2979" s="55"/>
      <c r="J2979" s="55"/>
      <c r="K2979" s="56"/>
      <c r="L2979" s="55"/>
      <c r="M2979" s="55"/>
      <c r="N2979" s="55"/>
      <c r="O2979" s="55"/>
      <c r="P2979" s="55"/>
      <c r="Q2979" s="55"/>
      <c r="R2979" s="57"/>
      <c r="S2979" s="58"/>
    </row>
    <row r="2980" spans="2:19" x14ac:dyDescent="0.25">
      <c r="B2980" s="52"/>
      <c r="C2980" s="53"/>
      <c r="D2980" s="54"/>
      <c r="E2980" s="55"/>
      <c r="F2980" s="55"/>
      <c r="G2980" s="55"/>
      <c r="H2980" s="55"/>
      <c r="I2980" s="55"/>
      <c r="J2980" s="55"/>
      <c r="K2980" s="56"/>
      <c r="L2980" s="55"/>
      <c r="M2980" s="55"/>
      <c r="N2980" s="55"/>
      <c r="O2980" s="55"/>
      <c r="P2980" s="55"/>
      <c r="Q2980" s="55"/>
      <c r="R2980" s="57"/>
      <c r="S2980" s="58"/>
    </row>
    <row r="2981" spans="2:19" x14ac:dyDescent="0.25">
      <c r="B2981" s="52"/>
      <c r="C2981" s="53"/>
      <c r="D2981" s="54"/>
      <c r="E2981" s="55"/>
      <c r="F2981" s="55"/>
      <c r="G2981" s="55"/>
      <c r="H2981" s="55"/>
      <c r="I2981" s="55"/>
      <c r="J2981" s="55"/>
      <c r="K2981" s="56"/>
      <c r="L2981" s="55"/>
      <c r="M2981" s="55"/>
      <c r="N2981" s="55"/>
      <c r="O2981" s="55"/>
      <c r="P2981" s="55"/>
      <c r="Q2981" s="55"/>
      <c r="R2981" s="57"/>
      <c r="S2981" s="58"/>
    </row>
    <row r="2982" spans="2:19" x14ac:dyDescent="0.25">
      <c r="B2982" s="52"/>
      <c r="C2982" s="53"/>
      <c r="D2982" s="54"/>
      <c r="E2982" s="55"/>
      <c r="F2982" s="55"/>
      <c r="G2982" s="55"/>
      <c r="H2982" s="55"/>
      <c r="I2982" s="55"/>
      <c r="J2982" s="55"/>
      <c r="K2982" s="56"/>
      <c r="L2982" s="55"/>
      <c r="M2982" s="55"/>
      <c r="N2982" s="55"/>
      <c r="O2982" s="55"/>
      <c r="P2982" s="55"/>
      <c r="Q2982" s="55"/>
      <c r="R2982" s="57"/>
      <c r="S2982" s="58"/>
    </row>
    <row r="2983" spans="2:19" x14ac:dyDescent="0.25">
      <c r="B2983" s="52"/>
      <c r="C2983" s="53"/>
      <c r="D2983" s="54"/>
      <c r="E2983" s="55"/>
      <c r="F2983" s="55"/>
      <c r="G2983" s="55"/>
      <c r="H2983" s="55"/>
      <c r="I2983" s="55"/>
      <c r="J2983" s="55"/>
      <c r="K2983" s="56"/>
      <c r="L2983" s="55"/>
      <c r="M2983" s="55"/>
      <c r="N2983" s="55"/>
      <c r="O2983" s="55"/>
      <c r="P2983" s="55"/>
      <c r="Q2983" s="55"/>
      <c r="R2983" s="57"/>
      <c r="S2983" s="58"/>
    </row>
    <row r="2984" spans="2:19" x14ac:dyDescent="0.25">
      <c r="B2984" s="52"/>
      <c r="C2984" s="53"/>
      <c r="D2984" s="54"/>
      <c r="E2984" s="55"/>
      <c r="F2984" s="55"/>
      <c r="G2984" s="55"/>
      <c r="H2984" s="55"/>
      <c r="I2984" s="55"/>
      <c r="J2984" s="55"/>
      <c r="K2984" s="56"/>
      <c r="L2984" s="55"/>
      <c r="M2984" s="55"/>
      <c r="N2984" s="55"/>
      <c r="O2984" s="55"/>
      <c r="P2984" s="55"/>
      <c r="Q2984" s="55"/>
      <c r="R2984" s="57"/>
      <c r="S2984" s="58"/>
    </row>
    <row r="2985" spans="2:19" ht="15.75" x14ac:dyDescent="0.25">
      <c r="B2985" s="52"/>
      <c r="C2985" s="53"/>
      <c r="D2985" s="54"/>
      <c r="E2985" s="55"/>
      <c r="F2985" s="55"/>
      <c r="G2985" s="55"/>
      <c r="H2985" s="55"/>
      <c r="I2985" s="55"/>
      <c r="J2985" s="55"/>
      <c r="K2985" s="59"/>
      <c r="L2985" s="55"/>
      <c r="M2985" s="55"/>
      <c r="N2985" s="55"/>
      <c r="O2985" s="55"/>
      <c r="P2985" s="55"/>
      <c r="Q2985" s="55"/>
      <c r="R2985" s="57"/>
      <c r="S2985" s="58"/>
    </row>
    <row r="2986" spans="2:19" x14ac:dyDescent="0.25">
      <c r="B2986" s="52"/>
      <c r="C2986" s="53"/>
      <c r="D2986" s="54"/>
      <c r="E2986" s="55"/>
      <c r="F2986" s="55"/>
      <c r="G2986" s="55"/>
      <c r="H2986" s="55"/>
      <c r="I2986" s="55"/>
      <c r="J2986" s="55"/>
      <c r="K2986" s="56"/>
      <c r="L2986" s="55"/>
      <c r="M2986" s="55"/>
      <c r="N2986" s="55"/>
      <c r="O2986" s="55"/>
      <c r="P2986" s="55"/>
      <c r="Q2986" s="55"/>
      <c r="R2986" s="57"/>
      <c r="S2986" s="58"/>
    </row>
    <row r="2987" spans="2:19" x14ac:dyDescent="0.25">
      <c r="B2987" s="52"/>
      <c r="C2987" s="53"/>
      <c r="D2987" s="54"/>
      <c r="E2987" s="55"/>
      <c r="F2987" s="55"/>
      <c r="G2987" s="55"/>
      <c r="H2987" s="55"/>
      <c r="I2987" s="55"/>
      <c r="J2987" s="55"/>
      <c r="K2987" s="56"/>
      <c r="L2987" s="55"/>
      <c r="M2987" s="55"/>
      <c r="N2987" s="55"/>
      <c r="O2987" s="55"/>
      <c r="P2987" s="55"/>
      <c r="Q2987" s="55"/>
      <c r="R2987" s="57"/>
      <c r="S2987" s="58"/>
    </row>
    <row r="2988" spans="2:19" x14ac:dyDescent="0.25">
      <c r="B2988" s="52"/>
      <c r="C2988" s="53"/>
      <c r="D2988" s="54"/>
      <c r="E2988" s="55"/>
      <c r="F2988" s="55"/>
      <c r="G2988" s="55"/>
      <c r="H2988" s="55"/>
      <c r="I2988" s="55"/>
      <c r="J2988" s="55"/>
      <c r="K2988" s="56"/>
      <c r="L2988" s="55"/>
      <c r="M2988" s="55"/>
      <c r="N2988" s="55"/>
      <c r="O2988" s="55"/>
      <c r="P2988" s="55"/>
      <c r="Q2988" s="55"/>
      <c r="R2988" s="57"/>
      <c r="S2988" s="58"/>
    </row>
    <row r="2989" spans="2:19" x14ac:dyDescent="0.25">
      <c r="B2989" s="52"/>
      <c r="C2989" s="53"/>
      <c r="D2989" s="54"/>
      <c r="E2989" s="55"/>
      <c r="F2989" s="55"/>
      <c r="G2989" s="55"/>
      <c r="H2989" s="55"/>
      <c r="I2989" s="55"/>
      <c r="J2989" s="55"/>
      <c r="K2989" s="56"/>
      <c r="L2989" s="55"/>
      <c r="M2989" s="55"/>
      <c r="N2989" s="55"/>
      <c r="O2989" s="55"/>
      <c r="P2989" s="55"/>
      <c r="Q2989" s="55"/>
      <c r="R2989" s="57"/>
      <c r="S2989" s="58"/>
    </row>
    <row r="2990" spans="2:19" x14ac:dyDescent="0.25">
      <c r="B2990" s="52"/>
      <c r="C2990" s="53"/>
      <c r="D2990" s="54"/>
      <c r="E2990" s="55"/>
      <c r="F2990" s="55"/>
      <c r="G2990" s="55"/>
      <c r="H2990" s="55"/>
      <c r="I2990" s="55"/>
      <c r="J2990" s="55"/>
      <c r="K2990" s="56"/>
      <c r="L2990" s="55"/>
      <c r="M2990" s="55"/>
      <c r="N2990" s="55"/>
      <c r="O2990" s="55"/>
      <c r="P2990" s="55"/>
      <c r="Q2990" s="55"/>
      <c r="R2990" s="57"/>
      <c r="S2990" s="58"/>
    </row>
    <row r="2991" spans="2:19" x14ac:dyDescent="0.25">
      <c r="B2991" s="52"/>
      <c r="C2991" s="53"/>
      <c r="D2991" s="54"/>
      <c r="E2991" s="55"/>
      <c r="F2991" s="55"/>
      <c r="G2991" s="55"/>
      <c r="H2991" s="55"/>
      <c r="I2991" s="55"/>
      <c r="J2991" s="55"/>
      <c r="K2991" s="56"/>
      <c r="L2991" s="55"/>
      <c r="M2991" s="55"/>
      <c r="N2991" s="55"/>
      <c r="O2991" s="55"/>
      <c r="P2991" s="55"/>
      <c r="Q2991" s="55"/>
      <c r="R2991" s="57"/>
      <c r="S2991" s="58"/>
    </row>
    <row r="2992" spans="2:19" x14ac:dyDescent="0.25">
      <c r="B2992" s="52"/>
      <c r="C2992" s="53"/>
      <c r="D2992" s="54"/>
      <c r="E2992" s="55"/>
      <c r="F2992" s="55"/>
      <c r="G2992" s="55"/>
      <c r="H2992" s="55"/>
      <c r="I2992" s="55"/>
      <c r="J2992" s="55"/>
      <c r="K2992" s="56"/>
      <c r="L2992" s="55"/>
      <c r="M2992" s="55"/>
      <c r="N2992" s="55"/>
      <c r="O2992" s="55"/>
      <c r="P2992" s="55"/>
      <c r="Q2992" s="55"/>
      <c r="R2992" s="57"/>
      <c r="S2992" s="58"/>
    </row>
    <row r="2993" spans="2:19" x14ac:dyDescent="0.25">
      <c r="B2993" s="52"/>
      <c r="C2993" s="60"/>
      <c r="E2993" s="61"/>
      <c r="F2993" s="62"/>
      <c r="G2993" s="63"/>
      <c r="H2993" s="64"/>
      <c r="I2993" s="64"/>
      <c r="J2993" s="64"/>
      <c r="K2993" s="65"/>
      <c r="L2993" s="64"/>
      <c r="M2993" s="64"/>
      <c r="N2993" s="64"/>
      <c r="P2993" s="63"/>
      <c r="Q2993" s="61"/>
      <c r="R2993" s="64"/>
      <c r="S2993" s="64"/>
    </row>
    <row r="2994" spans="2:19" x14ac:dyDescent="0.25">
      <c r="B2994" s="52"/>
      <c r="C2994" s="53"/>
      <c r="D2994" s="54"/>
      <c r="E2994" s="55"/>
      <c r="F2994" s="55"/>
      <c r="G2994" s="55"/>
      <c r="H2994" s="55"/>
      <c r="I2994" s="55"/>
      <c r="J2994" s="55"/>
      <c r="K2994" s="56"/>
      <c r="L2994" s="55"/>
      <c r="M2994" s="55"/>
      <c r="N2994" s="55"/>
      <c r="O2994" s="55"/>
      <c r="P2994" s="55"/>
      <c r="Q2994" s="55"/>
      <c r="R2994" s="57"/>
      <c r="S2994" s="58"/>
    </row>
    <row r="2995" spans="2:19" x14ac:dyDescent="0.25">
      <c r="B2995" s="52"/>
      <c r="C2995" s="53"/>
      <c r="D2995" s="54"/>
      <c r="E2995" s="55"/>
      <c r="F2995" s="55"/>
      <c r="G2995" s="55"/>
      <c r="H2995" s="55"/>
      <c r="I2995" s="55"/>
      <c r="J2995" s="55"/>
      <c r="K2995" s="56"/>
      <c r="L2995" s="55"/>
      <c r="M2995" s="55"/>
      <c r="N2995" s="55"/>
      <c r="O2995" s="55"/>
      <c r="P2995" s="55"/>
      <c r="Q2995" s="55"/>
      <c r="R2995" s="57"/>
      <c r="S2995" s="58"/>
    </row>
    <row r="2996" spans="2:19" x14ac:dyDescent="0.25">
      <c r="B2996" s="52"/>
      <c r="C2996" s="53"/>
      <c r="D2996" s="54"/>
      <c r="E2996" s="55"/>
      <c r="F2996" s="55"/>
      <c r="G2996" s="55"/>
      <c r="H2996" s="55"/>
      <c r="I2996" s="55"/>
      <c r="J2996" s="55"/>
      <c r="K2996" s="56"/>
      <c r="L2996" s="55"/>
      <c r="M2996" s="55"/>
      <c r="N2996" s="55"/>
      <c r="O2996" s="55"/>
      <c r="P2996" s="55"/>
      <c r="Q2996" s="55"/>
      <c r="R2996" s="57"/>
      <c r="S2996" s="58"/>
    </row>
    <row r="2997" spans="2:19" x14ac:dyDescent="0.25">
      <c r="B2997" s="52"/>
      <c r="C2997" s="53"/>
      <c r="D2997" s="54"/>
      <c r="E2997" s="55"/>
      <c r="F2997" s="55"/>
      <c r="G2997" s="55"/>
      <c r="H2997" s="55"/>
      <c r="I2997" s="55"/>
      <c r="J2997" s="55"/>
      <c r="K2997" s="56"/>
      <c r="L2997" s="55"/>
      <c r="M2997" s="55"/>
      <c r="N2997" s="55"/>
      <c r="O2997" s="55"/>
      <c r="P2997" s="55"/>
      <c r="Q2997" s="55"/>
      <c r="R2997" s="57"/>
      <c r="S2997" s="58"/>
    </row>
    <row r="2998" spans="2:19" x14ac:dyDescent="0.25">
      <c r="B2998" s="52"/>
      <c r="C2998" s="53"/>
      <c r="D2998" s="54"/>
      <c r="E2998" s="55"/>
      <c r="F2998" s="55"/>
      <c r="G2998" s="55"/>
      <c r="H2998" s="55"/>
      <c r="I2998" s="55"/>
      <c r="J2998" s="55"/>
      <c r="K2998" s="56"/>
      <c r="L2998" s="55"/>
      <c r="M2998" s="55"/>
      <c r="N2998" s="55"/>
      <c r="O2998" s="55"/>
      <c r="P2998" s="55"/>
      <c r="Q2998" s="55"/>
      <c r="R2998" s="57"/>
      <c r="S2998" s="58"/>
    </row>
    <row r="2999" spans="2:19" x14ac:dyDescent="0.25">
      <c r="B2999" s="52"/>
      <c r="C2999" s="53"/>
      <c r="D2999" s="54"/>
      <c r="E2999" s="55"/>
      <c r="F2999" s="55"/>
      <c r="G2999" s="55"/>
      <c r="H2999" s="55"/>
      <c r="I2999" s="55"/>
      <c r="J2999" s="55"/>
      <c r="K2999" s="56"/>
      <c r="L2999" s="55"/>
      <c r="M2999" s="55"/>
      <c r="N2999" s="55"/>
      <c r="O2999" s="55"/>
      <c r="P2999" s="55"/>
      <c r="Q2999" s="55"/>
      <c r="R2999" s="57"/>
      <c r="S2999" s="58"/>
    </row>
    <row r="3000" spans="2:19" x14ac:dyDescent="0.25">
      <c r="B3000" s="52"/>
      <c r="C3000" s="53"/>
      <c r="D3000" s="54"/>
      <c r="E3000" s="55"/>
      <c r="F3000" s="55"/>
      <c r="G3000" s="55"/>
      <c r="H3000" s="55"/>
      <c r="I3000" s="55"/>
      <c r="J3000" s="55"/>
      <c r="K3000" s="56"/>
      <c r="L3000" s="55"/>
      <c r="M3000" s="55"/>
      <c r="N3000" s="55"/>
      <c r="O3000" s="55"/>
      <c r="P3000" s="55"/>
      <c r="Q3000" s="55"/>
      <c r="R3000" s="57"/>
      <c r="S3000" s="58"/>
    </row>
    <row r="3001" spans="2:19" x14ac:dyDescent="0.25">
      <c r="B3001" s="52"/>
      <c r="C3001" s="53"/>
      <c r="D3001" s="54"/>
      <c r="E3001" s="55"/>
      <c r="F3001" s="55"/>
      <c r="G3001" s="55"/>
      <c r="H3001" s="55"/>
      <c r="I3001" s="55"/>
      <c r="J3001" s="55"/>
      <c r="K3001" s="56"/>
      <c r="L3001" s="55"/>
      <c r="M3001" s="55"/>
      <c r="N3001" s="55"/>
      <c r="O3001" s="55"/>
      <c r="P3001" s="55"/>
      <c r="Q3001" s="55"/>
      <c r="R3001" s="57"/>
      <c r="S3001" s="58"/>
    </row>
    <row r="3002" spans="2:19" ht="15.75" x14ac:dyDescent="0.25">
      <c r="B3002" s="52"/>
      <c r="C3002" s="53"/>
      <c r="D3002" s="54"/>
      <c r="E3002" s="55"/>
      <c r="F3002" s="55"/>
      <c r="G3002" s="55"/>
      <c r="H3002" s="55"/>
      <c r="I3002" s="55"/>
      <c r="J3002" s="55"/>
      <c r="K3002" s="59"/>
      <c r="L3002" s="55"/>
      <c r="M3002" s="55"/>
      <c r="N3002" s="55"/>
      <c r="O3002" s="55"/>
      <c r="P3002" s="55"/>
      <c r="Q3002" s="55"/>
      <c r="R3002" s="57"/>
      <c r="S3002" s="58"/>
    </row>
    <row r="3003" spans="2:19" x14ac:dyDescent="0.25">
      <c r="B3003" s="52"/>
      <c r="C3003" s="53"/>
      <c r="D3003" s="54"/>
      <c r="E3003" s="55"/>
      <c r="F3003" s="55"/>
      <c r="G3003" s="55"/>
      <c r="H3003" s="55"/>
      <c r="I3003" s="55"/>
      <c r="J3003" s="55"/>
      <c r="K3003" s="56"/>
      <c r="L3003" s="55"/>
      <c r="M3003" s="55"/>
      <c r="N3003" s="55"/>
      <c r="O3003" s="55"/>
      <c r="P3003" s="55"/>
      <c r="Q3003" s="55"/>
      <c r="R3003" s="57"/>
      <c r="S3003" s="58"/>
    </row>
    <row r="3004" spans="2:19" x14ac:dyDescent="0.25">
      <c r="B3004" s="52"/>
      <c r="C3004" s="53"/>
      <c r="D3004" s="54"/>
      <c r="E3004" s="55"/>
      <c r="F3004" s="55"/>
      <c r="G3004" s="55"/>
      <c r="H3004" s="55"/>
      <c r="I3004" s="55"/>
      <c r="J3004" s="55"/>
      <c r="K3004" s="56"/>
      <c r="L3004" s="55"/>
      <c r="M3004" s="55"/>
      <c r="N3004" s="55"/>
      <c r="O3004" s="55"/>
      <c r="P3004" s="55"/>
      <c r="Q3004" s="55"/>
      <c r="R3004" s="57"/>
      <c r="S3004" s="58"/>
    </row>
    <row r="3005" spans="2:19" x14ac:dyDescent="0.25">
      <c r="B3005" s="52"/>
      <c r="C3005" s="53"/>
      <c r="D3005" s="54"/>
      <c r="E3005" s="55"/>
      <c r="F3005" s="55"/>
      <c r="G3005" s="55"/>
      <c r="H3005" s="55"/>
      <c r="I3005" s="55"/>
      <c r="J3005" s="55"/>
      <c r="K3005" s="56"/>
      <c r="L3005" s="55"/>
      <c r="M3005" s="55"/>
      <c r="N3005" s="55"/>
      <c r="O3005" s="55"/>
      <c r="P3005" s="55"/>
      <c r="Q3005" s="55"/>
      <c r="R3005" s="57"/>
      <c r="S3005" s="58"/>
    </row>
    <row r="3006" spans="2:19" x14ac:dyDescent="0.25">
      <c r="B3006" s="52"/>
      <c r="C3006" s="53"/>
      <c r="D3006" s="54"/>
      <c r="E3006" s="55"/>
      <c r="F3006" s="55"/>
      <c r="G3006" s="55"/>
      <c r="H3006" s="55"/>
      <c r="I3006" s="55"/>
      <c r="J3006" s="55"/>
      <c r="K3006" s="56"/>
      <c r="L3006" s="55"/>
      <c r="M3006" s="55"/>
      <c r="N3006" s="55"/>
      <c r="O3006" s="55"/>
      <c r="P3006" s="55"/>
      <c r="Q3006" s="55"/>
      <c r="R3006" s="57"/>
      <c r="S3006" s="58"/>
    </row>
    <row r="3007" spans="2:19" x14ac:dyDescent="0.25">
      <c r="B3007" s="52"/>
      <c r="C3007" s="53"/>
      <c r="D3007" s="54"/>
      <c r="E3007" s="55"/>
      <c r="F3007" s="55"/>
      <c r="G3007" s="55"/>
      <c r="H3007" s="55"/>
      <c r="I3007" s="55"/>
      <c r="J3007" s="55"/>
      <c r="K3007" s="56"/>
      <c r="L3007" s="55"/>
      <c r="M3007" s="55"/>
      <c r="N3007" s="55"/>
      <c r="O3007" s="55"/>
      <c r="P3007" s="55"/>
      <c r="Q3007" s="55"/>
      <c r="R3007" s="57"/>
      <c r="S3007" s="58"/>
    </row>
    <row r="3008" spans="2:19" x14ac:dyDescent="0.25">
      <c r="B3008" s="52"/>
      <c r="C3008" s="53"/>
      <c r="D3008" s="54"/>
      <c r="E3008" s="55"/>
      <c r="F3008" s="55"/>
      <c r="G3008" s="55"/>
      <c r="H3008" s="55"/>
      <c r="I3008" s="55"/>
      <c r="J3008" s="55"/>
      <c r="K3008" s="56"/>
      <c r="L3008" s="55"/>
      <c r="M3008" s="55"/>
      <c r="N3008" s="55"/>
      <c r="O3008" s="55"/>
      <c r="P3008" s="55"/>
      <c r="Q3008" s="55"/>
      <c r="R3008" s="57"/>
      <c r="S3008" s="58"/>
    </row>
    <row r="3009" spans="2:19" x14ac:dyDescent="0.25">
      <c r="B3009" s="52"/>
      <c r="C3009" s="53"/>
      <c r="D3009" s="54"/>
      <c r="E3009" s="55"/>
      <c r="F3009" s="55"/>
      <c r="G3009" s="55"/>
      <c r="H3009" s="55"/>
      <c r="I3009" s="55"/>
      <c r="J3009" s="55"/>
      <c r="K3009" s="56"/>
      <c r="L3009" s="55"/>
      <c r="M3009" s="55"/>
      <c r="N3009" s="55"/>
      <c r="O3009" s="55"/>
      <c r="P3009" s="55"/>
      <c r="Q3009" s="55"/>
      <c r="R3009" s="57"/>
      <c r="S3009" s="58"/>
    </row>
    <row r="3010" spans="2:19" x14ac:dyDescent="0.25">
      <c r="B3010" s="52"/>
      <c r="C3010" s="60"/>
      <c r="E3010" s="61"/>
      <c r="F3010" s="62"/>
      <c r="G3010" s="63"/>
      <c r="H3010" s="64"/>
      <c r="I3010" s="64"/>
      <c r="J3010" s="64"/>
      <c r="K3010" s="65"/>
      <c r="L3010" s="64"/>
      <c r="M3010" s="64"/>
      <c r="N3010" s="64"/>
      <c r="P3010" s="63"/>
      <c r="Q3010" s="61"/>
      <c r="R3010" s="64"/>
      <c r="S3010" s="64"/>
    </row>
    <row r="3011" spans="2:19" x14ac:dyDescent="0.25">
      <c r="B3011" s="52"/>
      <c r="C3011" s="53"/>
      <c r="D3011" s="54"/>
      <c r="E3011" s="55"/>
      <c r="F3011" s="55"/>
      <c r="G3011" s="55"/>
      <c r="H3011" s="55"/>
      <c r="I3011" s="55"/>
      <c r="J3011" s="55"/>
      <c r="K3011" s="56"/>
      <c r="L3011" s="55"/>
      <c r="M3011" s="55"/>
      <c r="N3011" s="55"/>
      <c r="O3011" s="55"/>
      <c r="P3011" s="55"/>
      <c r="Q3011" s="55"/>
      <c r="R3011" s="57"/>
      <c r="S3011" s="58"/>
    </row>
    <row r="3012" spans="2:19" x14ac:dyDescent="0.25">
      <c r="B3012" s="52"/>
      <c r="C3012" s="53"/>
      <c r="D3012" s="54"/>
      <c r="E3012" s="55"/>
      <c r="F3012" s="55"/>
      <c r="G3012" s="55"/>
      <c r="H3012" s="55"/>
      <c r="I3012" s="55"/>
      <c r="J3012" s="55"/>
      <c r="K3012" s="56"/>
      <c r="L3012" s="55"/>
      <c r="M3012" s="55"/>
      <c r="N3012" s="55"/>
      <c r="O3012" s="55"/>
      <c r="P3012" s="55"/>
      <c r="Q3012" s="55"/>
      <c r="R3012" s="57"/>
      <c r="S3012" s="58"/>
    </row>
    <row r="3013" spans="2:19" x14ac:dyDescent="0.25">
      <c r="B3013" s="52"/>
      <c r="C3013" s="53"/>
      <c r="D3013" s="54"/>
      <c r="E3013" s="55"/>
      <c r="F3013" s="55"/>
      <c r="G3013" s="55"/>
      <c r="H3013" s="55"/>
      <c r="I3013" s="55"/>
      <c r="J3013" s="55"/>
      <c r="K3013" s="56"/>
      <c r="L3013" s="55"/>
      <c r="M3013" s="55"/>
      <c r="N3013" s="55"/>
      <c r="O3013" s="55"/>
      <c r="P3013" s="55"/>
      <c r="Q3013" s="55"/>
      <c r="R3013" s="57"/>
      <c r="S3013" s="58"/>
    </row>
    <row r="3014" spans="2:19" x14ac:dyDescent="0.25">
      <c r="B3014" s="52"/>
      <c r="C3014" s="53"/>
      <c r="D3014" s="54"/>
      <c r="E3014" s="55"/>
      <c r="F3014" s="55"/>
      <c r="G3014" s="55"/>
      <c r="H3014" s="55"/>
      <c r="I3014" s="55"/>
      <c r="J3014" s="55"/>
      <c r="K3014" s="56"/>
      <c r="L3014" s="55"/>
      <c r="M3014" s="55"/>
      <c r="N3014" s="55"/>
      <c r="O3014" s="55"/>
      <c r="P3014" s="55"/>
      <c r="Q3014" s="55"/>
      <c r="R3014" s="57"/>
      <c r="S3014" s="58"/>
    </row>
    <row r="3015" spans="2:19" x14ac:dyDescent="0.25">
      <c r="B3015" s="52"/>
      <c r="C3015" s="53"/>
      <c r="D3015" s="54"/>
      <c r="E3015" s="55"/>
      <c r="F3015" s="55"/>
      <c r="G3015" s="55"/>
      <c r="H3015" s="55"/>
      <c r="I3015" s="55"/>
      <c r="J3015" s="55"/>
      <c r="K3015" s="56"/>
      <c r="L3015" s="55"/>
      <c r="M3015" s="55"/>
      <c r="N3015" s="55"/>
      <c r="O3015" s="55"/>
      <c r="P3015" s="55"/>
      <c r="Q3015" s="55"/>
      <c r="R3015" s="57"/>
      <c r="S3015" s="58"/>
    </row>
    <row r="3016" spans="2:19" x14ac:dyDescent="0.25">
      <c r="B3016" s="52"/>
      <c r="C3016" s="53"/>
      <c r="D3016" s="54"/>
      <c r="E3016" s="55"/>
      <c r="F3016" s="55"/>
      <c r="G3016" s="55"/>
      <c r="H3016" s="55"/>
      <c r="I3016" s="55"/>
      <c r="J3016" s="55"/>
      <c r="K3016" s="56"/>
      <c r="L3016" s="55"/>
      <c r="M3016" s="55"/>
      <c r="N3016" s="55"/>
      <c r="O3016" s="55"/>
      <c r="P3016" s="55"/>
      <c r="Q3016" s="55"/>
      <c r="R3016" s="57"/>
      <c r="S3016" s="58"/>
    </row>
    <row r="3017" spans="2:19" x14ac:dyDescent="0.25">
      <c r="B3017" s="52"/>
      <c r="C3017" s="53"/>
      <c r="D3017" s="54"/>
      <c r="E3017" s="55"/>
      <c r="F3017" s="55"/>
      <c r="G3017" s="55"/>
      <c r="H3017" s="55"/>
      <c r="I3017" s="55"/>
      <c r="J3017" s="55"/>
      <c r="K3017" s="56"/>
      <c r="L3017" s="55"/>
      <c r="M3017" s="55"/>
      <c r="N3017" s="55"/>
      <c r="O3017" s="55"/>
      <c r="P3017" s="55"/>
      <c r="Q3017" s="55"/>
      <c r="R3017" s="57"/>
      <c r="S3017" s="58"/>
    </row>
    <row r="3018" spans="2:19" x14ac:dyDescent="0.25">
      <c r="B3018" s="52"/>
      <c r="C3018" s="53"/>
      <c r="D3018" s="54"/>
      <c r="E3018" s="55"/>
      <c r="F3018" s="55"/>
      <c r="G3018" s="55"/>
      <c r="H3018" s="55"/>
      <c r="I3018" s="55"/>
      <c r="J3018" s="55"/>
      <c r="K3018" s="56"/>
      <c r="L3018" s="55"/>
      <c r="M3018" s="55"/>
      <c r="N3018" s="55"/>
      <c r="O3018" s="55"/>
      <c r="P3018" s="55"/>
      <c r="Q3018" s="55"/>
      <c r="R3018" s="57"/>
      <c r="S3018" s="58"/>
    </row>
    <row r="3019" spans="2:19" ht="15.75" x14ac:dyDescent="0.25">
      <c r="B3019" s="52"/>
      <c r="C3019" s="53"/>
      <c r="D3019" s="54"/>
      <c r="E3019" s="55"/>
      <c r="F3019" s="55"/>
      <c r="G3019" s="55"/>
      <c r="H3019" s="55"/>
      <c r="I3019" s="55"/>
      <c r="J3019" s="55"/>
      <c r="K3019" s="59"/>
      <c r="L3019" s="55"/>
      <c r="M3019" s="55"/>
      <c r="N3019" s="55"/>
      <c r="O3019" s="55"/>
      <c r="P3019" s="55"/>
      <c r="Q3019" s="55"/>
      <c r="R3019" s="57"/>
      <c r="S3019" s="58"/>
    </row>
    <row r="3020" spans="2:19" x14ac:dyDescent="0.25">
      <c r="B3020" s="52"/>
      <c r="C3020" s="53"/>
      <c r="D3020" s="54"/>
      <c r="E3020" s="55"/>
      <c r="F3020" s="55"/>
      <c r="G3020" s="55"/>
      <c r="H3020" s="55"/>
      <c r="I3020" s="55"/>
      <c r="J3020" s="55"/>
      <c r="K3020" s="56"/>
      <c r="L3020" s="55"/>
      <c r="M3020" s="55"/>
      <c r="N3020" s="55"/>
      <c r="O3020" s="55"/>
      <c r="P3020" s="55"/>
      <c r="Q3020" s="55"/>
      <c r="R3020" s="57"/>
      <c r="S3020" s="58"/>
    </row>
    <row r="3021" spans="2:19" x14ac:dyDescent="0.25">
      <c r="B3021" s="52"/>
      <c r="C3021" s="53"/>
      <c r="D3021" s="54"/>
      <c r="E3021" s="55"/>
      <c r="F3021" s="55"/>
      <c r="G3021" s="55"/>
      <c r="H3021" s="55"/>
      <c r="I3021" s="55"/>
      <c r="J3021" s="55"/>
      <c r="K3021" s="56"/>
      <c r="L3021" s="55"/>
      <c r="M3021" s="55"/>
      <c r="N3021" s="55"/>
      <c r="O3021" s="55"/>
      <c r="P3021" s="55"/>
      <c r="Q3021" s="55"/>
      <c r="R3021" s="57"/>
      <c r="S3021" s="58"/>
    </row>
    <row r="3022" spans="2:19" x14ac:dyDescent="0.25">
      <c r="B3022" s="52"/>
      <c r="C3022" s="53"/>
      <c r="D3022" s="54"/>
      <c r="E3022" s="55"/>
      <c r="F3022" s="55"/>
      <c r="G3022" s="55"/>
      <c r="H3022" s="55"/>
      <c r="I3022" s="55"/>
      <c r="J3022" s="55"/>
      <c r="K3022" s="56"/>
      <c r="L3022" s="55"/>
      <c r="M3022" s="55"/>
      <c r="N3022" s="55"/>
      <c r="O3022" s="55"/>
      <c r="P3022" s="55"/>
      <c r="Q3022" s="55"/>
      <c r="R3022" s="57"/>
      <c r="S3022" s="58"/>
    </row>
    <row r="3023" spans="2:19" x14ac:dyDescent="0.25">
      <c r="B3023" s="52"/>
      <c r="C3023" s="53"/>
      <c r="D3023" s="54"/>
      <c r="E3023" s="55"/>
      <c r="F3023" s="55"/>
      <c r="G3023" s="55"/>
      <c r="H3023" s="55"/>
      <c r="I3023" s="55"/>
      <c r="J3023" s="55"/>
      <c r="K3023" s="56"/>
      <c r="L3023" s="55"/>
      <c r="M3023" s="55"/>
      <c r="N3023" s="55"/>
      <c r="O3023" s="55"/>
      <c r="P3023" s="55"/>
      <c r="Q3023" s="55"/>
      <c r="R3023" s="57"/>
      <c r="S3023" s="58"/>
    </row>
    <row r="3024" spans="2:19" x14ac:dyDescent="0.25">
      <c r="B3024" s="52"/>
      <c r="C3024" s="53"/>
      <c r="D3024" s="54"/>
      <c r="E3024" s="55"/>
      <c r="F3024" s="55"/>
      <c r="G3024" s="55"/>
      <c r="H3024" s="55"/>
      <c r="I3024" s="55"/>
      <c r="J3024" s="55"/>
      <c r="K3024" s="56"/>
      <c r="L3024" s="55"/>
      <c r="M3024" s="55"/>
      <c r="N3024" s="55"/>
      <c r="O3024" s="55"/>
      <c r="P3024" s="55"/>
      <c r="Q3024" s="55"/>
      <c r="R3024" s="57"/>
      <c r="S3024" s="58"/>
    </row>
    <row r="3025" spans="2:19" x14ac:dyDescent="0.25">
      <c r="B3025" s="52"/>
      <c r="C3025" s="53"/>
      <c r="D3025" s="54"/>
      <c r="E3025" s="55"/>
      <c r="F3025" s="55"/>
      <c r="G3025" s="55"/>
      <c r="H3025" s="55"/>
      <c r="I3025" s="55"/>
      <c r="J3025" s="55"/>
      <c r="K3025" s="56"/>
      <c r="L3025" s="55"/>
      <c r="M3025" s="55"/>
      <c r="N3025" s="55"/>
      <c r="O3025" s="55"/>
      <c r="P3025" s="55"/>
      <c r="Q3025" s="55"/>
      <c r="R3025" s="57"/>
      <c r="S3025" s="58"/>
    </row>
    <row r="3026" spans="2:19" x14ac:dyDescent="0.25">
      <c r="B3026" s="52"/>
      <c r="C3026" s="53"/>
      <c r="D3026" s="54"/>
      <c r="E3026" s="55"/>
      <c r="F3026" s="55"/>
      <c r="G3026" s="55"/>
      <c r="H3026" s="55"/>
      <c r="I3026" s="55"/>
      <c r="J3026" s="55"/>
      <c r="K3026" s="56"/>
      <c r="L3026" s="55"/>
      <c r="M3026" s="55"/>
      <c r="N3026" s="55"/>
      <c r="O3026" s="55"/>
      <c r="P3026" s="55"/>
      <c r="Q3026" s="55"/>
      <c r="R3026" s="57"/>
      <c r="S3026" s="58"/>
    </row>
    <row r="3027" spans="2:19" x14ac:dyDescent="0.25">
      <c r="B3027" s="52"/>
      <c r="C3027" s="60"/>
      <c r="E3027" s="61"/>
      <c r="F3027" s="62"/>
      <c r="G3027" s="63"/>
      <c r="H3027" s="64"/>
      <c r="I3027" s="64"/>
      <c r="J3027" s="64"/>
      <c r="K3027" s="65"/>
      <c r="L3027" s="64"/>
      <c r="M3027" s="64"/>
      <c r="N3027" s="64"/>
      <c r="P3027" s="63"/>
      <c r="Q3027" s="61"/>
      <c r="R3027" s="64"/>
      <c r="S3027" s="64"/>
    </row>
    <row r="3028" spans="2:19" x14ac:dyDescent="0.25">
      <c r="B3028" s="52"/>
      <c r="C3028" s="53"/>
      <c r="D3028" s="54"/>
      <c r="E3028" s="55"/>
      <c r="F3028" s="55"/>
      <c r="G3028" s="55"/>
      <c r="H3028" s="55"/>
      <c r="I3028" s="55"/>
      <c r="J3028" s="55"/>
      <c r="K3028" s="56"/>
      <c r="L3028" s="55"/>
      <c r="M3028" s="55"/>
      <c r="N3028" s="55"/>
      <c r="O3028" s="55"/>
      <c r="P3028" s="55"/>
      <c r="Q3028" s="55"/>
      <c r="R3028" s="57"/>
      <c r="S3028" s="58"/>
    </row>
    <row r="3029" spans="2:19" x14ac:dyDescent="0.25">
      <c r="B3029" s="52"/>
      <c r="C3029" s="53"/>
      <c r="D3029" s="54"/>
      <c r="E3029" s="55"/>
      <c r="F3029" s="55"/>
      <c r="G3029" s="55"/>
      <c r="H3029" s="55"/>
      <c r="I3029" s="55"/>
      <c r="J3029" s="55"/>
      <c r="K3029" s="56"/>
      <c r="L3029" s="55"/>
      <c r="M3029" s="55"/>
      <c r="N3029" s="55"/>
      <c r="O3029" s="55"/>
      <c r="P3029" s="55"/>
      <c r="Q3029" s="55"/>
      <c r="R3029" s="57"/>
      <c r="S3029" s="58"/>
    </row>
    <row r="3030" spans="2:19" x14ac:dyDescent="0.25">
      <c r="B3030" s="52"/>
      <c r="C3030" s="53"/>
      <c r="D3030" s="54"/>
      <c r="E3030" s="55"/>
      <c r="F3030" s="55"/>
      <c r="G3030" s="55"/>
      <c r="H3030" s="55"/>
      <c r="I3030" s="55"/>
      <c r="J3030" s="55"/>
      <c r="K3030" s="56"/>
      <c r="L3030" s="55"/>
      <c r="M3030" s="55"/>
      <c r="N3030" s="55"/>
      <c r="O3030" s="55"/>
      <c r="P3030" s="55"/>
      <c r="Q3030" s="55"/>
      <c r="R3030" s="57"/>
      <c r="S3030" s="58"/>
    </row>
    <row r="3031" spans="2:19" x14ac:dyDescent="0.25">
      <c r="B3031" s="52"/>
      <c r="C3031" s="53"/>
      <c r="D3031" s="54"/>
      <c r="E3031" s="55"/>
      <c r="F3031" s="55"/>
      <c r="G3031" s="55"/>
      <c r="H3031" s="55"/>
      <c r="I3031" s="55"/>
      <c r="J3031" s="55"/>
      <c r="K3031" s="56"/>
      <c r="L3031" s="55"/>
      <c r="M3031" s="55"/>
      <c r="N3031" s="55"/>
      <c r="O3031" s="55"/>
      <c r="P3031" s="55"/>
      <c r="Q3031" s="55"/>
      <c r="R3031" s="57"/>
      <c r="S3031" s="58"/>
    </row>
    <row r="3032" spans="2:19" x14ac:dyDescent="0.25">
      <c r="B3032" s="52"/>
      <c r="C3032" s="53"/>
      <c r="D3032" s="54"/>
      <c r="E3032" s="55"/>
      <c r="F3032" s="55"/>
      <c r="G3032" s="55"/>
      <c r="H3032" s="55"/>
      <c r="I3032" s="55"/>
      <c r="J3032" s="55"/>
      <c r="K3032" s="56"/>
      <c r="L3032" s="55"/>
      <c r="M3032" s="55"/>
      <c r="N3032" s="55"/>
      <c r="O3032" s="55"/>
      <c r="P3032" s="55"/>
      <c r="Q3032" s="55"/>
      <c r="R3032" s="57"/>
      <c r="S3032" s="58"/>
    </row>
    <row r="3033" spans="2:19" x14ac:dyDescent="0.25">
      <c r="B3033" s="52"/>
      <c r="C3033" s="53"/>
      <c r="D3033" s="54"/>
      <c r="E3033" s="55"/>
      <c r="F3033" s="55"/>
      <c r="G3033" s="55"/>
      <c r="H3033" s="55"/>
      <c r="I3033" s="55"/>
      <c r="J3033" s="55"/>
      <c r="K3033" s="56"/>
      <c r="L3033" s="55"/>
      <c r="M3033" s="55"/>
      <c r="N3033" s="55"/>
      <c r="O3033" s="55"/>
      <c r="P3033" s="55"/>
      <c r="Q3033" s="55"/>
      <c r="R3033" s="57"/>
      <c r="S3033" s="58"/>
    </row>
    <row r="3034" spans="2:19" x14ac:dyDescent="0.25">
      <c r="B3034" s="52"/>
      <c r="C3034" s="53"/>
      <c r="D3034" s="54"/>
      <c r="E3034" s="55"/>
      <c r="F3034" s="55"/>
      <c r="G3034" s="55"/>
      <c r="H3034" s="55"/>
      <c r="I3034" s="55"/>
      <c r="J3034" s="55"/>
      <c r="K3034" s="56"/>
      <c r="L3034" s="55"/>
      <c r="M3034" s="55"/>
      <c r="N3034" s="55"/>
      <c r="O3034" s="55"/>
      <c r="P3034" s="55"/>
      <c r="Q3034" s="55"/>
      <c r="R3034" s="57"/>
      <c r="S3034" s="58"/>
    </row>
    <row r="3035" spans="2:19" x14ac:dyDescent="0.25">
      <c r="B3035" s="52"/>
      <c r="C3035" s="53"/>
      <c r="D3035" s="54"/>
      <c r="E3035" s="55"/>
      <c r="F3035" s="55"/>
      <c r="G3035" s="55"/>
      <c r="H3035" s="55"/>
      <c r="I3035" s="55"/>
      <c r="J3035" s="55"/>
      <c r="K3035" s="56"/>
      <c r="L3035" s="55"/>
      <c r="M3035" s="55"/>
      <c r="N3035" s="55"/>
      <c r="O3035" s="55"/>
      <c r="P3035" s="55"/>
      <c r="Q3035" s="55"/>
      <c r="R3035" s="57"/>
      <c r="S3035" s="58"/>
    </row>
    <row r="3036" spans="2:19" ht="15.75" x14ac:dyDescent="0.25">
      <c r="B3036" s="52"/>
      <c r="C3036" s="53"/>
      <c r="D3036" s="54"/>
      <c r="E3036" s="55"/>
      <c r="F3036" s="55"/>
      <c r="G3036" s="55"/>
      <c r="H3036" s="55"/>
      <c r="I3036" s="55"/>
      <c r="J3036" s="55"/>
      <c r="K3036" s="59"/>
      <c r="L3036" s="55"/>
      <c r="M3036" s="55"/>
      <c r="N3036" s="55"/>
      <c r="O3036" s="55"/>
      <c r="P3036" s="55"/>
      <c r="Q3036" s="55"/>
      <c r="R3036" s="57"/>
      <c r="S3036" s="58"/>
    </row>
    <row r="3037" spans="2:19" x14ac:dyDescent="0.25">
      <c r="B3037" s="52"/>
      <c r="C3037" s="53"/>
      <c r="D3037" s="54"/>
      <c r="E3037" s="55"/>
      <c r="F3037" s="55"/>
      <c r="G3037" s="55"/>
      <c r="H3037" s="55"/>
      <c r="I3037" s="55"/>
      <c r="J3037" s="55"/>
      <c r="K3037" s="56"/>
      <c r="L3037" s="55"/>
      <c r="M3037" s="55"/>
      <c r="N3037" s="55"/>
      <c r="O3037" s="55"/>
      <c r="P3037" s="55"/>
      <c r="Q3037" s="55"/>
      <c r="R3037" s="57"/>
      <c r="S3037" s="58"/>
    </row>
    <row r="3038" spans="2:19" x14ac:dyDescent="0.25">
      <c r="B3038" s="52"/>
      <c r="C3038" s="53"/>
      <c r="D3038" s="54"/>
      <c r="E3038" s="55"/>
      <c r="F3038" s="55"/>
      <c r="G3038" s="55"/>
      <c r="H3038" s="55"/>
      <c r="I3038" s="55"/>
      <c r="J3038" s="55"/>
      <c r="K3038" s="56"/>
      <c r="L3038" s="55"/>
      <c r="M3038" s="55"/>
      <c r="N3038" s="55"/>
      <c r="O3038" s="55"/>
      <c r="P3038" s="55"/>
      <c r="Q3038" s="55"/>
      <c r="R3038" s="57"/>
      <c r="S3038" s="58"/>
    </row>
    <row r="3039" spans="2:19" x14ac:dyDescent="0.25">
      <c r="B3039" s="52"/>
      <c r="C3039" s="53"/>
      <c r="D3039" s="54"/>
      <c r="E3039" s="55"/>
      <c r="F3039" s="55"/>
      <c r="G3039" s="55"/>
      <c r="H3039" s="55"/>
      <c r="I3039" s="55"/>
      <c r="J3039" s="55"/>
      <c r="K3039" s="56"/>
      <c r="L3039" s="55"/>
      <c r="M3039" s="55"/>
      <c r="N3039" s="55"/>
      <c r="O3039" s="55"/>
      <c r="P3039" s="55"/>
      <c r="Q3039" s="55"/>
      <c r="R3039" s="57"/>
      <c r="S3039" s="58"/>
    </row>
    <row r="3040" spans="2:19" x14ac:dyDescent="0.25">
      <c r="B3040" s="52"/>
      <c r="C3040" s="53"/>
      <c r="D3040" s="54"/>
      <c r="E3040" s="55"/>
      <c r="F3040" s="55"/>
      <c r="G3040" s="55"/>
      <c r="H3040" s="55"/>
      <c r="I3040" s="55"/>
      <c r="J3040" s="55"/>
      <c r="K3040" s="56"/>
      <c r="L3040" s="55"/>
      <c r="M3040" s="55"/>
      <c r="N3040" s="55"/>
      <c r="O3040" s="55"/>
      <c r="P3040" s="55"/>
      <c r="Q3040" s="55"/>
      <c r="R3040" s="57"/>
      <c r="S3040" s="58"/>
    </row>
    <row r="3041" spans="2:19" x14ac:dyDescent="0.25">
      <c r="B3041" s="52"/>
      <c r="C3041" s="53"/>
      <c r="D3041" s="54"/>
      <c r="E3041" s="55"/>
      <c r="F3041" s="55"/>
      <c r="G3041" s="55"/>
      <c r="H3041" s="55"/>
      <c r="I3041" s="55"/>
      <c r="J3041" s="55"/>
      <c r="K3041" s="56"/>
      <c r="L3041" s="55"/>
      <c r="M3041" s="55"/>
      <c r="N3041" s="55"/>
      <c r="O3041" s="55"/>
      <c r="P3041" s="55"/>
      <c r="Q3041" s="55"/>
      <c r="R3041" s="57"/>
      <c r="S3041" s="58"/>
    </row>
    <row r="3042" spans="2:19" x14ac:dyDescent="0.25">
      <c r="B3042" s="52"/>
      <c r="C3042" s="53"/>
      <c r="D3042" s="54"/>
      <c r="E3042" s="55"/>
      <c r="F3042" s="55"/>
      <c r="G3042" s="55"/>
      <c r="H3042" s="55"/>
      <c r="I3042" s="55"/>
      <c r="J3042" s="55"/>
      <c r="K3042" s="56"/>
      <c r="L3042" s="55"/>
      <c r="M3042" s="55"/>
      <c r="N3042" s="55"/>
      <c r="O3042" s="55"/>
      <c r="P3042" s="55"/>
      <c r="Q3042" s="55"/>
      <c r="R3042" s="57"/>
      <c r="S3042" s="58"/>
    </row>
    <row r="3043" spans="2:19" x14ac:dyDescent="0.25">
      <c r="B3043" s="52"/>
      <c r="C3043" s="53"/>
      <c r="D3043" s="54"/>
      <c r="E3043" s="55"/>
      <c r="F3043" s="55"/>
      <c r="G3043" s="55"/>
      <c r="H3043" s="55"/>
      <c r="I3043" s="55"/>
      <c r="J3043" s="55"/>
      <c r="K3043" s="56"/>
      <c r="L3043" s="55"/>
      <c r="M3043" s="55"/>
      <c r="N3043" s="55"/>
      <c r="O3043" s="55"/>
      <c r="P3043" s="55"/>
      <c r="Q3043" s="55"/>
      <c r="R3043" s="57"/>
      <c r="S3043" s="58"/>
    </row>
    <row r="3044" spans="2:19" x14ac:dyDescent="0.25">
      <c r="B3044" s="52"/>
      <c r="C3044" s="60"/>
      <c r="E3044" s="61"/>
      <c r="F3044" s="62"/>
      <c r="G3044" s="63"/>
      <c r="H3044" s="64"/>
      <c r="I3044" s="64"/>
      <c r="J3044" s="64"/>
      <c r="K3044" s="65"/>
      <c r="L3044" s="64"/>
      <c r="M3044" s="64"/>
      <c r="N3044" s="64"/>
      <c r="P3044" s="63"/>
      <c r="Q3044" s="61"/>
      <c r="R3044" s="64"/>
      <c r="S3044" s="64"/>
    </row>
    <row r="3045" spans="2:19" x14ac:dyDescent="0.25">
      <c r="B3045" s="52"/>
      <c r="C3045" s="53"/>
      <c r="D3045" s="54"/>
      <c r="E3045" s="55"/>
      <c r="F3045" s="55"/>
      <c r="G3045" s="55"/>
      <c r="H3045" s="55"/>
      <c r="I3045" s="55"/>
      <c r="J3045" s="55"/>
      <c r="K3045" s="56"/>
      <c r="L3045" s="55"/>
      <c r="M3045" s="55"/>
      <c r="N3045" s="55"/>
      <c r="O3045" s="55"/>
      <c r="P3045" s="55"/>
      <c r="Q3045" s="55"/>
      <c r="R3045" s="57"/>
      <c r="S3045" s="58"/>
    </row>
    <row r="3046" spans="2:19" x14ac:dyDescent="0.25">
      <c r="B3046" s="52"/>
      <c r="C3046" s="53"/>
      <c r="D3046" s="54"/>
      <c r="E3046" s="55"/>
      <c r="F3046" s="55"/>
      <c r="G3046" s="55"/>
      <c r="H3046" s="55"/>
      <c r="I3046" s="55"/>
      <c r="J3046" s="55"/>
      <c r="K3046" s="56"/>
      <c r="L3046" s="55"/>
      <c r="M3046" s="55"/>
      <c r="N3046" s="55"/>
      <c r="O3046" s="55"/>
      <c r="P3046" s="55"/>
      <c r="Q3046" s="55"/>
      <c r="R3046" s="57"/>
      <c r="S3046" s="58"/>
    </row>
    <row r="3047" spans="2:19" x14ac:dyDescent="0.25">
      <c r="B3047" s="52"/>
      <c r="C3047" s="53"/>
      <c r="D3047" s="54"/>
      <c r="E3047" s="55"/>
      <c r="F3047" s="55"/>
      <c r="G3047" s="55"/>
      <c r="H3047" s="55"/>
      <c r="I3047" s="55"/>
      <c r="J3047" s="55"/>
      <c r="K3047" s="56"/>
      <c r="L3047" s="55"/>
      <c r="M3047" s="55"/>
      <c r="N3047" s="55"/>
      <c r="O3047" s="55"/>
      <c r="P3047" s="55"/>
      <c r="Q3047" s="55"/>
      <c r="R3047" s="57"/>
      <c r="S3047" s="58"/>
    </row>
    <row r="3048" spans="2:19" x14ac:dyDescent="0.25">
      <c r="B3048" s="52"/>
      <c r="C3048" s="53"/>
      <c r="D3048" s="54"/>
      <c r="E3048" s="55"/>
      <c r="F3048" s="55"/>
      <c r="G3048" s="55"/>
      <c r="H3048" s="55"/>
      <c r="I3048" s="55"/>
      <c r="J3048" s="55"/>
      <c r="K3048" s="56"/>
      <c r="L3048" s="55"/>
      <c r="M3048" s="55"/>
      <c r="N3048" s="55"/>
      <c r="O3048" s="55"/>
      <c r="P3048" s="55"/>
      <c r="Q3048" s="55"/>
      <c r="R3048" s="57"/>
      <c r="S3048" s="58"/>
    </row>
    <row r="3049" spans="2:19" x14ac:dyDescent="0.25">
      <c r="B3049" s="52"/>
      <c r="C3049" s="53"/>
      <c r="D3049" s="54"/>
      <c r="E3049" s="55"/>
      <c r="F3049" s="55"/>
      <c r="G3049" s="55"/>
      <c r="H3049" s="55"/>
      <c r="I3049" s="55"/>
      <c r="J3049" s="55"/>
      <c r="K3049" s="56"/>
      <c r="L3049" s="55"/>
      <c r="M3049" s="55"/>
      <c r="N3049" s="55"/>
      <c r="O3049" s="55"/>
      <c r="P3049" s="55"/>
      <c r="Q3049" s="55"/>
      <c r="R3049" s="57"/>
      <c r="S3049" s="58"/>
    </row>
    <row r="3050" spans="2:19" x14ac:dyDescent="0.25">
      <c r="B3050" s="52"/>
      <c r="C3050" s="53"/>
      <c r="D3050" s="54"/>
      <c r="E3050" s="55"/>
      <c r="F3050" s="55"/>
      <c r="G3050" s="55"/>
      <c r="H3050" s="55"/>
      <c r="I3050" s="55"/>
      <c r="J3050" s="55"/>
      <c r="K3050" s="56"/>
      <c r="L3050" s="55"/>
      <c r="M3050" s="55"/>
      <c r="N3050" s="55"/>
      <c r="O3050" s="55"/>
      <c r="P3050" s="55"/>
      <c r="Q3050" s="55"/>
      <c r="R3050" s="57"/>
      <c r="S3050" s="58"/>
    </row>
    <row r="3051" spans="2:19" x14ac:dyDescent="0.25">
      <c r="B3051" s="52"/>
      <c r="C3051" s="53"/>
      <c r="D3051" s="54"/>
      <c r="E3051" s="55"/>
      <c r="F3051" s="55"/>
      <c r="G3051" s="55"/>
      <c r="H3051" s="55"/>
      <c r="I3051" s="55"/>
      <c r="J3051" s="55"/>
      <c r="K3051" s="56"/>
      <c r="L3051" s="55"/>
      <c r="M3051" s="55"/>
      <c r="N3051" s="55"/>
      <c r="O3051" s="55"/>
      <c r="P3051" s="55"/>
      <c r="Q3051" s="55"/>
      <c r="R3051" s="57"/>
      <c r="S3051" s="58"/>
    </row>
    <row r="3052" spans="2:19" x14ac:dyDescent="0.25">
      <c r="B3052" s="52"/>
      <c r="C3052" s="53"/>
      <c r="D3052" s="54"/>
      <c r="E3052" s="55"/>
      <c r="F3052" s="55"/>
      <c r="G3052" s="55"/>
      <c r="H3052" s="55"/>
      <c r="I3052" s="55"/>
      <c r="J3052" s="55"/>
      <c r="K3052" s="56"/>
      <c r="L3052" s="55"/>
      <c r="M3052" s="55"/>
      <c r="N3052" s="55"/>
      <c r="O3052" s="55"/>
      <c r="P3052" s="55"/>
      <c r="Q3052" s="55"/>
      <c r="R3052" s="57"/>
      <c r="S3052" s="58"/>
    </row>
    <row r="3053" spans="2:19" ht="15.75" x14ac:dyDescent="0.25">
      <c r="B3053" s="52"/>
      <c r="C3053" s="53"/>
      <c r="D3053" s="54"/>
      <c r="E3053" s="55"/>
      <c r="F3053" s="55"/>
      <c r="G3053" s="55"/>
      <c r="H3053" s="55"/>
      <c r="I3053" s="55"/>
      <c r="J3053" s="55"/>
      <c r="K3053" s="59"/>
      <c r="L3053" s="55"/>
      <c r="M3053" s="55"/>
      <c r="N3053" s="55"/>
      <c r="O3053" s="55"/>
      <c r="P3053" s="55"/>
      <c r="Q3053" s="55"/>
      <c r="R3053" s="57"/>
      <c r="S3053" s="58"/>
    </row>
    <row r="3054" spans="2:19" x14ac:dyDescent="0.25">
      <c r="B3054" s="52"/>
      <c r="C3054" s="53"/>
      <c r="D3054" s="54"/>
      <c r="E3054" s="55"/>
      <c r="F3054" s="55"/>
      <c r="G3054" s="55"/>
      <c r="H3054" s="55"/>
      <c r="I3054" s="55"/>
      <c r="J3054" s="55"/>
      <c r="K3054" s="56"/>
      <c r="L3054" s="55"/>
      <c r="M3054" s="55"/>
      <c r="N3054" s="55"/>
      <c r="O3054" s="55"/>
      <c r="P3054" s="55"/>
      <c r="Q3054" s="55"/>
      <c r="R3054" s="57"/>
      <c r="S3054" s="58"/>
    </row>
    <row r="3055" spans="2:19" x14ac:dyDescent="0.25">
      <c r="B3055" s="52"/>
      <c r="C3055" s="53"/>
      <c r="D3055" s="54"/>
      <c r="E3055" s="55"/>
      <c r="F3055" s="55"/>
      <c r="G3055" s="55"/>
      <c r="H3055" s="55"/>
      <c r="I3055" s="55"/>
      <c r="J3055" s="55"/>
      <c r="K3055" s="56"/>
      <c r="L3055" s="55"/>
      <c r="M3055" s="55"/>
      <c r="N3055" s="55"/>
      <c r="O3055" s="55"/>
      <c r="P3055" s="55"/>
      <c r="Q3055" s="55"/>
      <c r="R3055" s="57"/>
      <c r="S3055" s="58"/>
    </row>
    <row r="3056" spans="2:19" x14ac:dyDescent="0.25">
      <c r="B3056" s="52"/>
      <c r="C3056" s="53"/>
      <c r="D3056" s="54"/>
      <c r="E3056" s="55"/>
      <c r="F3056" s="55"/>
      <c r="G3056" s="55"/>
      <c r="H3056" s="55"/>
      <c r="I3056" s="55"/>
      <c r="J3056" s="55"/>
      <c r="K3056" s="56"/>
      <c r="L3056" s="55"/>
      <c r="M3056" s="55"/>
      <c r="N3056" s="55"/>
      <c r="O3056" s="55"/>
      <c r="P3056" s="55"/>
      <c r="Q3056" s="55"/>
      <c r="R3056" s="57"/>
      <c r="S3056" s="58"/>
    </row>
    <row r="3057" spans="2:19" x14ac:dyDescent="0.25">
      <c r="B3057" s="52"/>
      <c r="C3057" s="53"/>
      <c r="D3057" s="54"/>
      <c r="E3057" s="55"/>
      <c r="F3057" s="55"/>
      <c r="G3057" s="55"/>
      <c r="H3057" s="55"/>
      <c r="I3057" s="55"/>
      <c r="J3057" s="55"/>
      <c r="K3057" s="56"/>
      <c r="L3057" s="55"/>
      <c r="M3057" s="55"/>
      <c r="N3057" s="55"/>
      <c r="O3057" s="55"/>
      <c r="P3057" s="55"/>
      <c r="Q3057" s="55"/>
      <c r="R3057" s="57"/>
      <c r="S3057" s="58"/>
    </row>
    <row r="3058" spans="2:19" x14ac:dyDescent="0.25">
      <c r="B3058" s="52"/>
      <c r="C3058" s="53"/>
      <c r="D3058" s="54"/>
      <c r="E3058" s="55"/>
      <c r="F3058" s="55"/>
      <c r="G3058" s="55"/>
      <c r="H3058" s="55"/>
      <c r="I3058" s="55"/>
      <c r="J3058" s="55"/>
      <c r="K3058" s="56"/>
      <c r="L3058" s="55"/>
      <c r="M3058" s="55"/>
      <c r="N3058" s="55"/>
      <c r="O3058" s="55"/>
      <c r="P3058" s="55"/>
      <c r="Q3058" s="55"/>
      <c r="R3058" s="57"/>
      <c r="S3058" s="58"/>
    </row>
    <row r="3059" spans="2:19" x14ac:dyDescent="0.25">
      <c r="B3059" s="52"/>
      <c r="C3059" s="53"/>
      <c r="D3059" s="54"/>
      <c r="E3059" s="55"/>
      <c r="F3059" s="55"/>
      <c r="G3059" s="55"/>
      <c r="H3059" s="55"/>
      <c r="I3059" s="55"/>
      <c r="J3059" s="55"/>
      <c r="K3059" s="56"/>
      <c r="L3059" s="55"/>
      <c r="M3059" s="55"/>
      <c r="N3059" s="55"/>
      <c r="O3059" s="55"/>
      <c r="P3059" s="55"/>
      <c r="Q3059" s="55"/>
      <c r="R3059" s="57"/>
      <c r="S3059" s="58"/>
    </row>
    <row r="3060" spans="2:19" x14ac:dyDescent="0.25">
      <c r="B3060" s="52"/>
      <c r="C3060" s="53"/>
      <c r="D3060" s="54"/>
      <c r="E3060" s="55"/>
      <c r="F3060" s="55"/>
      <c r="G3060" s="55"/>
      <c r="H3060" s="55"/>
      <c r="I3060" s="55"/>
      <c r="J3060" s="55"/>
      <c r="K3060" s="56"/>
      <c r="L3060" s="55"/>
      <c r="M3060" s="55"/>
      <c r="N3060" s="55"/>
      <c r="O3060" s="55"/>
      <c r="P3060" s="55"/>
      <c r="Q3060" s="55"/>
      <c r="R3060" s="57"/>
      <c r="S3060" s="58"/>
    </row>
    <row r="3061" spans="2:19" x14ac:dyDescent="0.25">
      <c r="B3061" s="52"/>
      <c r="C3061" s="60"/>
      <c r="E3061" s="61"/>
      <c r="F3061" s="62"/>
      <c r="G3061" s="63"/>
      <c r="H3061" s="64"/>
      <c r="I3061" s="64"/>
      <c r="J3061" s="64"/>
      <c r="K3061" s="65"/>
      <c r="L3061" s="64"/>
      <c r="M3061" s="64"/>
      <c r="N3061" s="64"/>
      <c r="P3061" s="63"/>
      <c r="Q3061" s="61"/>
      <c r="R3061" s="64"/>
      <c r="S3061" s="64"/>
    </row>
    <row r="3062" spans="2:19" x14ac:dyDescent="0.25">
      <c r="B3062" s="52"/>
      <c r="C3062" s="53"/>
      <c r="D3062" s="54"/>
      <c r="E3062" s="55"/>
      <c r="F3062" s="55"/>
      <c r="G3062" s="55"/>
      <c r="H3062" s="55"/>
      <c r="I3062" s="55"/>
      <c r="J3062" s="55"/>
      <c r="K3062" s="56"/>
      <c r="L3062" s="55"/>
      <c r="M3062" s="55"/>
      <c r="N3062" s="55"/>
      <c r="O3062" s="55"/>
      <c r="P3062" s="55"/>
      <c r="Q3062" s="55"/>
      <c r="R3062" s="57"/>
      <c r="S3062" s="58"/>
    </row>
    <row r="3063" spans="2:19" x14ac:dyDescent="0.25">
      <c r="B3063" s="52"/>
      <c r="C3063" s="53"/>
      <c r="D3063" s="54"/>
      <c r="E3063" s="55"/>
      <c r="F3063" s="55"/>
      <c r="G3063" s="55"/>
      <c r="H3063" s="55"/>
      <c r="I3063" s="55"/>
      <c r="J3063" s="55"/>
      <c r="K3063" s="56"/>
      <c r="L3063" s="55"/>
      <c r="M3063" s="55"/>
      <c r="N3063" s="55"/>
      <c r="O3063" s="55"/>
      <c r="P3063" s="55"/>
      <c r="Q3063" s="55"/>
      <c r="R3063" s="57"/>
      <c r="S3063" s="58"/>
    </row>
    <row r="3064" spans="2:19" x14ac:dyDescent="0.25">
      <c r="B3064" s="52"/>
      <c r="C3064" s="53"/>
      <c r="D3064" s="54"/>
      <c r="E3064" s="55"/>
      <c r="F3064" s="55"/>
      <c r="G3064" s="55"/>
      <c r="H3064" s="55"/>
      <c r="I3064" s="55"/>
      <c r="J3064" s="55"/>
      <c r="K3064" s="56"/>
      <c r="L3064" s="55"/>
      <c r="M3064" s="55"/>
      <c r="N3064" s="55"/>
      <c r="O3064" s="55"/>
      <c r="P3064" s="55"/>
      <c r="Q3064" s="55"/>
      <c r="R3064" s="57"/>
      <c r="S3064" s="58"/>
    </row>
    <row r="3065" spans="2:19" x14ac:dyDescent="0.25">
      <c r="B3065" s="52"/>
      <c r="C3065" s="53"/>
      <c r="D3065" s="54"/>
      <c r="E3065" s="55"/>
      <c r="F3065" s="55"/>
      <c r="G3065" s="55"/>
      <c r="H3065" s="55"/>
      <c r="I3065" s="55"/>
      <c r="J3065" s="55"/>
      <c r="K3065" s="56"/>
      <c r="L3065" s="55"/>
      <c r="M3065" s="55"/>
      <c r="N3065" s="55"/>
      <c r="O3065" s="55"/>
      <c r="P3065" s="55"/>
      <c r="Q3065" s="55"/>
      <c r="R3065" s="57"/>
      <c r="S3065" s="58"/>
    </row>
    <row r="3066" spans="2:19" x14ac:dyDescent="0.25">
      <c r="B3066" s="52"/>
      <c r="C3066" s="53"/>
      <c r="D3066" s="54"/>
      <c r="E3066" s="55"/>
      <c r="F3066" s="55"/>
      <c r="G3066" s="55"/>
      <c r="H3066" s="55"/>
      <c r="I3066" s="55"/>
      <c r="J3066" s="55"/>
      <c r="K3066" s="56"/>
      <c r="L3066" s="55"/>
      <c r="M3066" s="55"/>
      <c r="N3066" s="55"/>
      <c r="O3066" s="55"/>
      <c r="P3066" s="55"/>
      <c r="Q3066" s="55"/>
      <c r="R3066" s="57"/>
      <c r="S3066" s="58"/>
    </row>
    <row r="3067" spans="2:19" x14ac:dyDescent="0.25">
      <c r="B3067" s="52"/>
      <c r="C3067" s="53"/>
      <c r="D3067" s="54"/>
      <c r="E3067" s="55"/>
      <c r="F3067" s="55"/>
      <c r="G3067" s="55"/>
      <c r="H3067" s="55"/>
      <c r="I3067" s="55"/>
      <c r="J3067" s="55"/>
      <c r="K3067" s="56"/>
      <c r="L3067" s="55"/>
      <c r="M3067" s="55"/>
      <c r="N3067" s="55"/>
      <c r="O3067" s="55"/>
      <c r="P3067" s="55"/>
      <c r="Q3067" s="55"/>
      <c r="R3067" s="57"/>
      <c r="S3067" s="58"/>
    </row>
    <row r="3068" spans="2:19" x14ac:dyDescent="0.25">
      <c r="B3068" s="52"/>
      <c r="C3068" s="53"/>
      <c r="D3068" s="54"/>
      <c r="E3068" s="55"/>
      <c r="F3068" s="55"/>
      <c r="G3068" s="55"/>
      <c r="H3068" s="55"/>
      <c r="I3068" s="55"/>
      <c r="J3068" s="55"/>
      <c r="K3068" s="56"/>
      <c r="L3068" s="55"/>
      <c r="M3068" s="55"/>
      <c r="N3068" s="55"/>
      <c r="O3068" s="55"/>
      <c r="P3068" s="55"/>
      <c r="Q3068" s="55"/>
      <c r="R3068" s="57"/>
      <c r="S3068" s="58"/>
    </row>
    <row r="3069" spans="2:19" x14ac:dyDescent="0.25">
      <c r="B3069" s="52"/>
      <c r="C3069" s="53"/>
      <c r="D3069" s="54"/>
      <c r="E3069" s="55"/>
      <c r="F3069" s="55"/>
      <c r="G3069" s="55"/>
      <c r="H3069" s="55"/>
      <c r="I3069" s="55"/>
      <c r="J3069" s="55"/>
      <c r="K3069" s="56"/>
      <c r="L3069" s="55"/>
      <c r="M3069" s="55"/>
      <c r="N3069" s="55"/>
      <c r="O3069" s="55"/>
      <c r="P3069" s="55"/>
      <c r="Q3069" s="55"/>
      <c r="R3069" s="57"/>
      <c r="S3069" s="58"/>
    </row>
    <row r="3070" spans="2:19" ht="15.75" x14ac:dyDescent="0.25">
      <c r="B3070" s="52"/>
      <c r="C3070" s="53"/>
      <c r="D3070" s="54"/>
      <c r="E3070" s="55"/>
      <c r="F3070" s="55"/>
      <c r="G3070" s="55"/>
      <c r="H3070" s="55"/>
      <c r="I3070" s="55"/>
      <c r="J3070" s="55"/>
      <c r="K3070" s="59"/>
      <c r="L3070" s="55"/>
      <c r="M3070" s="55"/>
      <c r="N3070" s="55"/>
      <c r="O3070" s="55"/>
      <c r="P3070" s="55"/>
      <c r="Q3070" s="55"/>
      <c r="R3070" s="57"/>
      <c r="S3070" s="58"/>
    </row>
    <row r="3071" spans="2:19" x14ac:dyDescent="0.25">
      <c r="B3071" s="52"/>
      <c r="C3071" s="53"/>
      <c r="D3071" s="54"/>
      <c r="E3071" s="55"/>
      <c r="F3071" s="55"/>
      <c r="G3071" s="55"/>
      <c r="H3071" s="55"/>
      <c r="I3071" s="55"/>
      <c r="J3071" s="55"/>
      <c r="K3071" s="56"/>
      <c r="L3071" s="55"/>
      <c r="M3071" s="55"/>
      <c r="N3071" s="55"/>
      <c r="O3071" s="55"/>
      <c r="P3071" s="55"/>
      <c r="Q3071" s="55"/>
      <c r="R3071" s="57"/>
      <c r="S3071" s="58"/>
    </row>
    <row r="3072" spans="2:19" x14ac:dyDescent="0.25">
      <c r="B3072" s="52"/>
      <c r="C3072" s="53"/>
      <c r="D3072" s="54"/>
      <c r="E3072" s="55"/>
      <c r="F3072" s="55"/>
      <c r="G3072" s="55"/>
      <c r="H3072" s="55"/>
      <c r="I3072" s="55"/>
      <c r="J3072" s="55"/>
      <c r="K3072" s="56"/>
      <c r="L3072" s="55"/>
      <c r="M3072" s="55"/>
      <c r="N3072" s="55"/>
      <c r="O3072" s="55"/>
      <c r="P3072" s="55"/>
      <c r="Q3072" s="55"/>
      <c r="R3072" s="57"/>
      <c r="S3072" s="58"/>
    </row>
    <row r="3073" spans="2:19" x14ac:dyDescent="0.25">
      <c r="B3073" s="52"/>
      <c r="C3073" s="53"/>
      <c r="D3073" s="54"/>
      <c r="E3073" s="55"/>
      <c r="F3073" s="55"/>
      <c r="G3073" s="55"/>
      <c r="H3073" s="55"/>
      <c r="I3073" s="55"/>
      <c r="J3073" s="55"/>
      <c r="K3073" s="56"/>
      <c r="L3073" s="55"/>
      <c r="M3073" s="55"/>
      <c r="N3073" s="55"/>
      <c r="O3073" s="55"/>
      <c r="P3073" s="55"/>
      <c r="Q3073" s="55"/>
      <c r="R3073" s="57"/>
      <c r="S3073" s="58"/>
    </row>
    <row r="3074" spans="2:19" x14ac:dyDescent="0.25">
      <c r="B3074" s="52"/>
      <c r="C3074" s="53"/>
      <c r="D3074" s="54"/>
      <c r="E3074" s="55"/>
      <c r="F3074" s="55"/>
      <c r="G3074" s="55"/>
      <c r="H3074" s="55"/>
      <c r="I3074" s="55"/>
      <c r="J3074" s="55"/>
      <c r="K3074" s="56"/>
      <c r="L3074" s="55"/>
      <c r="M3074" s="55"/>
      <c r="N3074" s="55"/>
      <c r="O3074" s="55"/>
      <c r="P3074" s="55"/>
      <c r="Q3074" s="55"/>
      <c r="R3074" s="57"/>
      <c r="S3074" s="58"/>
    </row>
    <row r="3075" spans="2:19" x14ac:dyDescent="0.25">
      <c r="B3075" s="52"/>
      <c r="C3075" s="53"/>
      <c r="D3075" s="54"/>
      <c r="E3075" s="55"/>
      <c r="F3075" s="55"/>
      <c r="G3075" s="55"/>
      <c r="H3075" s="55"/>
      <c r="I3075" s="55"/>
      <c r="J3075" s="55"/>
      <c r="K3075" s="56"/>
      <c r="L3075" s="55"/>
      <c r="M3075" s="55"/>
      <c r="N3075" s="55"/>
      <c r="O3075" s="55"/>
      <c r="P3075" s="55"/>
      <c r="Q3075" s="55"/>
      <c r="R3075" s="57"/>
      <c r="S3075" s="58"/>
    </row>
    <row r="3076" spans="2:19" x14ac:dyDescent="0.25">
      <c r="B3076" s="52"/>
      <c r="C3076" s="53"/>
      <c r="D3076" s="54"/>
      <c r="E3076" s="55"/>
      <c r="F3076" s="55"/>
      <c r="G3076" s="55"/>
      <c r="H3076" s="55"/>
      <c r="I3076" s="55"/>
      <c r="J3076" s="55"/>
      <c r="K3076" s="56"/>
      <c r="L3076" s="55"/>
      <c r="M3076" s="55"/>
      <c r="N3076" s="55"/>
      <c r="O3076" s="55"/>
      <c r="P3076" s="55"/>
      <c r="Q3076" s="55"/>
      <c r="R3076" s="57"/>
      <c r="S3076" s="58"/>
    </row>
    <row r="3077" spans="2:19" x14ac:dyDescent="0.25">
      <c r="B3077" s="52"/>
      <c r="C3077" s="53"/>
      <c r="D3077" s="54"/>
      <c r="E3077" s="55"/>
      <c r="F3077" s="55"/>
      <c r="G3077" s="55"/>
      <c r="H3077" s="55"/>
      <c r="I3077" s="55"/>
      <c r="J3077" s="55"/>
      <c r="K3077" s="56"/>
      <c r="L3077" s="55"/>
      <c r="M3077" s="55"/>
      <c r="N3077" s="55"/>
      <c r="O3077" s="55"/>
      <c r="P3077" s="55"/>
      <c r="Q3077" s="55"/>
      <c r="R3077" s="57"/>
      <c r="S3077" s="58"/>
    </row>
    <row r="3078" spans="2:19" x14ac:dyDescent="0.25">
      <c r="B3078" s="52"/>
      <c r="C3078" s="60"/>
      <c r="E3078" s="61"/>
      <c r="F3078" s="62"/>
      <c r="G3078" s="63"/>
      <c r="H3078" s="64"/>
      <c r="I3078" s="64"/>
      <c r="J3078" s="64"/>
      <c r="K3078" s="65"/>
      <c r="L3078" s="64"/>
      <c r="M3078" s="64"/>
      <c r="N3078" s="64"/>
      <c r="P3078" s="63"/>
      <c r="Q3078" s="61"/>
      <c r="R3078" s="64"/>
      <c r="S3078" s="64"/>
    </row>
    <row r="3079" spans="2:19" x14ac:dyDescent="0.25">
      <c r="B3079" s="52"/>
      <c r="C3079" s="53"/>
      <c r="D3079" s="54"/>
      <c r="E3079" s="55"/>
      <c r="F3079" s="55"/>
      <c r="G3079" s="55"/>
      <c r="H3079" s="55"/>
      <c r="I3079" s="55"/>
      <c r="J3079" s="55"/>
      <c r="K3079" s="56"/>
      <c r="L3079" s="55"/>
      <c r="M3079" s="55"/>
      <c r="N3079" s="55"/>
      <c r="O3079" s="55"/>
      <c r="P3079" s="55"/>
      <c r="Q3079" s="55"/>
      <c r="R3079" s="57"/>
      <c r="S3079" s="58"/>
    </row>
    <row r="3080" spans="2:19" x14ac:dyDescent="0.25">
      <c r="B3080" s="52"/>
      <c r="C3080" s="53"/>
      <c r="D3080" s="54"/>
      <c r="E3080" s="55"/>
      <c r="F3080" s="55"/>
      <c r="G3080" s="55"/>
      <c r="H3080" s="55"/>
      <c r="I3080" s="55"/>
      <c r="J3080" s="55"/>
      <c r="K3080" s="56"/>
      <c r="L3080" s="55"/>
      <c r="M3080" s="55"/>
      <c r="N3080" s="55"/>
      <c r="O3080" s="55"/>
      <c r="P3080" s="55"/>
      <c r="Q3080" s="55"/>
      <c r="R3080" s="57"/>
      <c r="S3080" s="58"/>
    </row>
    <row r="3081" spans="2:19" x14ac:dyDescent="0.25">
      <c r="B3081" s="52"/>
      <c r="C3081" s="53"/>
      <c r="D3081" s="54"/>
      <c r="E3081" s="55"/>
      <c r="F3081" s="55"/>
      <c r="G3081" s="55"/>
      <c r="H3081" s="55"/>
      <c r="I3081" s="55"/>
      <c r="J3081" s="55"/>
      <c r="K3081" s="56"/>
      <c r="L3081" s="55"/>
      <c r="M3081" s="55"/>
      <c r="N3081" s="55"/>
      <c r="O3081" s="55"/>
      <c r="P3081" s="55"/>
      <c r="Q3081" s="55"/>
      <c r="R3081" s="57"/>
      <c r="S3081" s="58"/>
    </row>
    <row r="3082" spans="2:19" x14ac:dyDescent="0.25">
      <c r="B3082" s="52"/>
      <c r="C3082" s="53"/>
      <c r="D3082" s="54"/>
      <c r="E3082" s="55"/>
      <c r="F3082" s="55"/>
      <c r="G3082" s="55"/>
      <c r="H3082" s="55"/>
      <c r="I3082" s="55"/>
      <c r="J3082" s="55"/>
      <c r="K3082" s="56"/>
      <c r="L3082" s="55"/>
      <c r="M3082" s="55"/>
      <c r="N3082" s="55"/>
      <c r="O3082" s="55"/>
      <c r="P3082" s="55"/>
      <c r="Q3082" s="55"/>
      <c r="R3082" s="57"/>
      <c r="S3082" s="58"/>
    </row>
    <row r="3083" spans="2:19" x14ac:dyDescent="0.25">
      <c r="B3083" s="52"/>
      <c r="C3083" s="53"/>
      <c r="D3083" s="54"/>
      <c r="E3083" s="55"/>
      <c r="F3083" s="55"/>
      <c r="G3083" s="55"/>
      <c r="H3083" s="55"/>
      <c r="I3083" s="55"/>
      <c r="J3083" s="55"/>
      <c r="K3083" s="56"/>
      <c r="L3083" s="55"/>
      <c r="M3083" s="55"/>
      <c r="N3083" s="55"/>
      <c r="O3083" s="55"/>
      <c r="P3083" s="55"/>
      <c r="Q3083" s="55"/>
      <c r="R3083" s="57"/>
      <c r="S3083" s="58"/>
    </row>
    <row r="3084" spans="2:19" x14ac:dyDescent="0.25">
      <c r="B3084" s="52"/>
      <c r="C3084" s="53"/>
      <c r="D3084" s="54"/>
      <c r="E3084" s="55"/>
      <c r="F3084" s="55"/>
      <c r="G3084" s="55"/>
      <c r="H3084" s="55"/>
      <c r="I3084" s="55"/>
      <c r="J3084" s="55"/>
      <c r="K3084" s="56"/>
      <c r="L3084" s="55"/>
      <c r="M3084" s="55"/>
      <c r="N3084" s="55"/>
      <c r="O3084" s="55"/>
      <c r="P3084" s="55"/>
      <c r="Q3084" s="55"/>
      <c r="R3084" s="57"/>
      <c r="S3084" s="58"/>
    </row>
    <row r="3085" spans="2:19" x14ac:dyDescent="0.25">
      <c r="B3085" s="52"/>
      <c r="C3085" s="53"/>
      <c r="D3085" s="54"/>
      <c r="E3085" s="55"/>
      <c r="F3085" s="55"/>
      <c r="G3085" s="55"/>
      <c r="H3085" s="55"/>
      <c r="I3085" s="55"/>
      <c r="J3085" s="55"/>
      <c r="K3085" s="56"/>
      <c r="L3085" s="55"/>
      <c r="M3085" s="55"/>
      <c r="N3085" s="55"/>
      <c r="O3085" s="55"/>
      <c r="P3085" s="55"/>
      <c r="Q3085" s="55"/>
      <c r="R3085" s="57"/>
      <c r="S3085" s="58"/>
    </row>
    <row r="3086" spans="2:19" x14ac:dyDescent="0.25">
      <c r="B3086" s="52"/>
      <c r="C3086" s="53"/>
      <c r="D3086" s="54"/>
      <c r="E3086" s="55"/>
      <c r="F3086" s="55"/>
      <c r="G3086" s="55"/>
      <c r="H3086" s="55"/>
      <c r="I3086" s="55"/>
      <c r="J3086" s="55"/>
      <c r="K3086" s="56"/>
      <c r="L3086" s="55"/>
      <c r="M3086" s="55"/>
      <c r="N3086" s="55"/>
      <c r="O3086" s="55"/>
      <c r="P3086" s="55"/>
      <c r="Q3086" s="55"/>
      <c r="R3086" s="57"/>
      <c r="S3086" s="58"/>
    </row>
    <row r="3087" spans="2:19" ht="15.75" x14ac:dyDescent="0.25">
      <c r="B3087" s="52"/>
      <c r="C3087" s="53"/>
      <c r="D3087" s="54"/>
      <c r="E3087" s="55"/>
      <c r="F3087" s="55"/>
      <c r="G3087" s="55"/>
      <c r="H3087" s="55"/>
      <c r="I3087" s="55"/>
      <c r="J3087" s="55"/>
      <c r="K3087" s="59"/>
      <c r="L3087" s="55"/>
      <c r="M3087" s="55"/>
      <c r="N3087" s="55"/>
      <c r="O3087" s="55"/>
      <c r="P3087" s="55"/>
      <c r="Q3087" s="55"/>
      <c r="R3087" s="57"/>
      <c r="S3087" s="58"/>
    </row>
    <row r="3088" spans="2:19" x14ac:dyDescent="0.25">
      <c r="B3088" s="52"/>
      <c r="C3088" s="53"/>
      <c r="D3088" s="54"/>
      <c r="E3088" s="55"/>
      <c r="F3088" s="55"/>
      <c r="G3088" s="55"/>
      <c r="H3088" s="55"/>
      <c r="I3088" s="55"/>
      <c r="J3088" s="55"/>
      <c r="K3088" s="56"/>
      <c r="L3088" s="55"/>
      <c r="M3088" s="55"/>
      <c r="N3088" s="55"/>
      <c r="O3088" s="55"/>
      <c r="P3088" s="55"/>
      <c r="Q3088" s="55"/>
      <c r="R3088" s="57"/>
      <c r="S3088" s="58"/>
    </row>
    <row r="3089" spans="2:19" x14ac:dyDescent="0.25">
      <c r="B3089" s="52"/>
      <c r="C3089" s="53"/>
      <c r="D3089" s="54"/>
      <c r="E3089" s="55"/>
      <c r="F3089" s="55"/>
      <c r="G3089" s="55"/>
      <c r="H3089" s="55"/>
      <c r="I3089" s="55"/>
      <c r="J3089" s="55"/>
      <c r="K3089" s="56"/>
      <c r="L3089" s="55"/>
      <c r="M3089" s="55"/>
      <c r="N3089" s="55"/>
      <c r="O3089" s="55"/>
      <c r="P3089" s="55"/>
      <c r="Q3089" s="55"/>
      <c r="R3089" s="57"/>
      <c r="S3089" s="58"/>
    </row>
    <row r="3090" spans="2:19" x14ac:dyDescent="0.25">
      <c r="B3090" s="52"/>
      <c r="C3090" s="53"/>
      <c r="D3090" s="54"/>
      <c r="E3090" s="55"/>
      <c r="F3090" s="55"/>
      <c r="G3090" s="55"/>
      <c r="H3090" s="55"/>
      <c r="I3090" s="55"/>
      <c r="J3090" s="55"/>
      <c r="K3090" s="56"/>
      <c r="L3090" s="55"/>
      <c r="M3090" s="55"/>
      <c r="N3090" s="55"/>
      <c r="O3090" s="55"/>
      <c r="P3090" s="55"/>
      <c r="Q3090" s="55"/>
      <c r="R3090" s="57"/>
      <c r="S3090" s="58"/>
    </row>
    <row r="3091" spans="2:19" x14ac:dyDescent="0.25">
      <c r="B3091" s="52"/>
      <c r="C3091" s="53"/>
      <c r="D3091" s="54"/>
      <c r="E3091" s="55"/>
      <c r="F3091" s="55"/>
      <c r="G3091" s="55"/>
      <c r="H3091" s="55"/>
      <c r="I3091" s="55"/>
      <c r="J3091" s="55"/>
      <c r="K3091" s="56"/>
      <c r="L3091" s="55"/>
      <c r="M3091" s="55"/>
      <c r="N3091" s="55"/>
      <c r="O3091" s="55"/>
      <c r="P3091" s="55"/>
      <c r="Q3091" s="55"/>
      <c r="R3091" s="57"/>
      <c r="S3091" s="58"/>
    </row>
    <row r="3092" spans="2:19" x14ac:dyDescent="0.25">
      <c r="B3092" s="52"/>
      <c r="C3092" s="53"/>
      <c r="D3092" s="54"/>
      <c r="E3092" s="55"/>
      <c r="F3092" s="55"/>
      <c r="G3092" s="55"/>
      <c r="H3092" s="55"/>
      <c r="I3092" s="55"/>
      <c r="J3092" s="55"/>
      <c r="K3092" s="56"/>
      <c r="L3092" s="55"/>
      <c r="M3092" s="55"/>
      <c r="N3092" s="55"/>
      <c r="O3092" s="55"/>
      <c r="P3092" s="55"/>
      <c r="Q3092" s="55"/>
      <c r="R3092" s="57"/>
      <c r="S3092" s="58"/>
    </row>
    <row r="3093" spans="2:19" x14ac:dyDescent="0.25">
      <c r="B3093" s="52"/>
      <c r="C3093" s="53"/>
      <c r="D3093" s="54"/>
      <c r="E3093" s="55"/>
      <c r="F3093" s="55"/>
      <c r="G3093" s="55"/>
      <c r="H3093" s="55"/>
      <c r="I3093" s="55"/>
      <c r="J3093" s="55"/>
      <c r="K3093" s="56"/>
      <c r="L3093" s="55"/>
      <c r="M3093" s="55"/>
      <c r="N3093" s="55"/>
      <c r="O3093" s="55"/>
      <c r="P3093" s="55"/>
      <c r="Q3093" s="55"/>
      <c r="R3093" s="57"/>
      <c r="S3093" s="58"/>
    </row>
    <row r="3094" spans="2:19" x14ac:dyDescent="0.25">
      <c r="B3094" s="52"/>
      <c r="C3094" s="53"/>
      <c r="D3094" s="54"/>
      <c r="E3094" s="55"/>
      <c r="F3094" s="55"/>
      <c r="G3094" s="55"/>
      <c r="H3094" s="55"/>
      <c r="I3094" s="55"/>
      <c r="J3094" s="55"/>
      <c r="K3094" s="56"/>
      <c r="L3094" s="55"/>
      <c r="M3094" s="55"/>
      <c r="N3094" s="55"/>
      <c r="O3094" s="55"/>
      <c r="P3094" s="55"/>
      <c r="Q3094" s="55"/>
      <c r="R3094" s="57"/>
      <c r="S3094" s="58"/>
    </row>
    <row r="3095" spans="2:19" x14ac:dyDescent="0.25">
      <c r="B3095" s="52"/>
      <c r="C3095" s="60"/>
      <c r="E3095" s="61"/>
      <c r="F3095" s="62"/>
      <c r="G3095" s="63"/>
      <c r="H3095" s="64"/>
      <c r="I3095" s="64"/>
      <c r="J3095" s="64"/>
      <c r="K3095" s="65"/>
      <c r="L3095" s="64"/>
      <c r="M3095" s="64"/>
      <c r="N3095" s="64"/>
      <c r="P3095" s="63"/>
      <c r="Q3095" s="61"/>
      <c r="R3095" s="64"/>
      <c r="S3095" s="64"/>
    </row>
    <row r="3096" spans="2:19" x14ac:dyDescent="0.25">
      <c r="B3096" s="52"/>
      <c r="C3096" s="53"/>
      <c r="D3096" s="54"/>
      <c r="E3096" s="55"/>
      <c r="F3096" s="55"/>
      <c r="G3096" s="55"/>
      <c r="H3096" s="55"/>
      <c r="I3096" s="55"/>
      <c r="J3096" s="55"/>
      <c r="K3096" s="56"/>
      <c r="L3096" s="55"/>
      <c r="M3096" s="55"/>
      <c r="N3096" s="55"/>
      <c r="O3096" s="55"/>
      <c r="P3096" s="55"/>
      <c r="Q3096" s="55"/>
      <c r="R3096" s="57"/>
      <c r="S3096" s="58"/>
    </row>
    <row r="3097" spans="2:19" x14ac:dyDescent="0.25">
      <c r="B3097" s="52"/>
      <c r="C3097" s="53"/>
      <c r="D3097" s="54"/>
      <c r="E3097" s="55"/>
      <c r="F3097" s="55"/>
      <c r="G3097" s="55"/>
      <c r="H3097" s="55"/>
      <c r="I3097" s="55"/>
      <c r="J3097" s="55"/>
      <c r="K3097" s="56"/>
      <c r="L3097" s="55"/>
      <c r="M3097" s="55"/>
      <c r="N3097" s="55"/>
      <c r="O3097" s="55"/>
      <c r="P3097" s="55"/>
      <c r="Q3097" s="55"/>
      <c r="R3097" s="57"/>
      <c r="S3097" s="58"/>
    </row>
    <row r="3098" spans="2:19" x14ac:dyDescent="0.25">
      <c r="B3098" s="52"/>
      <c r="C3098" s="53"/>
      <c r="D3098" s="54"/>
      <c r="E3098" s="55"/>
      <c r="F3098" s="55"/>
      <c r="G3098" s="55"/>
      <c r="H3098" s="55"/>
      <c r="I3098" s="55"/>
      <c r="J3098" s="55"/>
      <c r="K3098" s="56"/>
      <c r="L3098" s="55"/>
      <c r="M3098" s="55"/>
      <c r="N3098" s="55"/>
      <c r="O3098" s="55"/>
      <c r="P3098" s="55"/>
      <c r="Q3098" s="55"/>
      <c r="R3098" s="57"/>
      <c r="S3098" s="58"/>
    </row>
    <row r="3099" spans="2:19" x14ac:dyDescent="0.25">
      <c r="B3099" s="52"/>
      <c r="C3099" s="53"/>
      <c r="D3099" s="54"/>
      <c r="E3099" s="55"/>
      <c r="F3099" s="55"/>
      <c r="G3099" s="55"/>
      <c r="H3099" s="55"/>
      <c r="I3099" s="55"/>
      <c r="J3099" s="55"/>
      <c r="K3099" s="56"/>
      <c r="L3099" s="55"/>
      <c r="M3099" s="55"/>
      <c r="N3099" s="55"/>
      <c r="O3099" s="55"/>
      <c r="P3099" s="55"/>
      <c r="Q3099" s="55"/>
      <c r="R3099" s="57"/>
      <c r="S3099" s="58"/>
    </row>
    <row r="3100" spans="2:19" x14ac:dyDescent="0.25">
      <c r="B3100" s="52"/>
      <c r="C3100" s="53"/>
      <c r="D3100" s="54"/>
      <c r="E3100" s="55"/>
      <c r="F3100" s="55"/>
      <c r="G3100" s="55"/>
      <c r="H3100" s="55"/>
      <c r="I3100" s="55"/>
      <c r="J3100" s="55"/>
      <c r="K3100" s="56"/>
      <c r="L3100" s="55"/>
      <c r="M3100" s="55"/>
      <c r="N3100" s="55"/>
      <c r="O3100" s="55"/>
      <c r="P3100" s="55"/>
      <c r="Q3100" s="55"/>
      <c r="R3100" s="57"/>
      <c r="S3100" s="58"/>
    </row>
    <row r="3101" spans="2:19" x14ac:dyDescent="0.25">
      <c r="B3101" s="52"/>
      <c r="C3101" s="53"/>
      <c r="D3101" s="54"/>
      <c r="E3101" s="55"/>
      <c r="F3101" s="55"/>
      <c r="G3101" s="55"/>
      <c r="H3101" s="55"/>
      <c r="I3101" s="55"/>
      <c r="J3101" s="55"/>
      <c r="K3101" s="56"/>
      <c r="L3101" s="55"/>
      <c r="M3101" s="55"/>
      <c r="N3101" s="55"/>
      <c r="O3101" s="55"/>
      <c r="P3101" s="55"/>
      <c r="Q3101" s="55"/>
      <c r="R3101" s="57"/>
      <c r="S3101" s="58"/>
    </row>
    <row r="3102" spans="2:19" x14ac:dyDescent="0.25">
      <c r="B3102" s="52"/>
      <c r="C3102" s="53"/>
      <c r="D3102" s="54"/>
      <c r="E3102" s="55"/>
      <c r="F3102" s="55"/>
      <c r="G3102" s="55"/>
      <c r="H3102" s="55"/>
      <c r="I3102" s="55"/>
      <c r="J3102" s="55"/>
      <c r="K3102" s="56"/>
      <c r="L3102" s="55"/>
      <c r="M3102" s="55"/>
      <c r="N3102" s="55"/>
      <c r="O3102" s="55"/>
      <c r="P3102" s="55"/>
      <c r="Q3102" s="55"/>
      <c r="R3102" s="57"/>
      <c r="S3102" s="58"/>
    </row>
    <row r="3103" spans="2:19" x14ac:dyDescent="0.25">
      <c r="B3103" s="52"/>
      <c r="C3103" s="53"/>
      <c r="D3103" s="54"/>
      <c r="E3103" s="55"/>
      <c r="F3103" s="55"/>
      <c r="G3103" s="55"/>
      <c r="H3103" s="55"/>
      <c r="I3103" s="55"/>
      <c r="J3103" s="55"/>
      <c r="K3103" s="56"/>
      <c r="L3103" s="55"/>
      <c r="M3103" s="55"/>
      <c r="N3103" s="55"/>
      <c r="O3103" s="55"/>
      <c r="P3103" s="55"/>
      <c r="Q3103" s="55"/>
      <c r="R3103" s="57"/>
      <c r="S3103" s="58"/>
    </row>
    <row r="3104" spans="2:19" ht="15.75" x14ac:dyDescent="0.25">
      <c r="B3104" s="52"/>
      <c r="C3104" s="53"/>
      <c r="D3104" s="54"/>
      <c r="E3104" s="55"/>
      <c r="F3104" s="55"/>
      <c r="G3104" s="55"/>
      <c r="H3104" s="55"/>
      <c r="I3104" s="55"/>
      <c r="J3104" s="55"/>
      <c r="K3104" s="59"/>
      <c r="L3104" s="55"/>
      <c r="M3104" s="55"/>
      <c r="N3104" s="55"/>
      <c r="O3104" s="55"/>
      <c r="P3104" s="55"/>
      <c r="Q3104" s="55"/>
      <c r="R3104" s="57"/>
      <c r="S3104" s="58"/>
    </row>
    <row r="3105" spans="2:19" x14ac:dyDescent="0.25">
      <c r="B3105" s="52"/>
      <c r="C3105" s="53"/>
      <c r="D3105" s="54"/>
      <c r="E3105" s="55"/>
      <c r="F3105" s="55"/>
      <c r="G3105" s="55"/>
      <c r="H3105" s="55"/>
      <c r="I3105" s="55"/>
      <c r="J3105" s="55"/>
      <c r="K3105" s="56"/>
      <c r="L3105" s="55"/>
      <c r="M3105" s="55"/>
      <c r="N3105" s="55"/>
      <c r="O3105" s="55"/>
      <c r="P3105" s="55"/>
      <c r="Q3105" s="55"/>
      <c r="R3105" s="57"/>
      <c r="S3105" s="58"/>
    </row>
    <row r="3106" spans="2:19" x14ac:dyDescent="0.25">
      <c r="B3106" s="52"/>
      <c r="C3106" s="53"/>
      <c r="D3106" s="54"/>
      <c r="E3106" s="55"/>
      <c r="F3106" s="55"/>
      <c r="G3106" s="55"/>
      <c r="H3106" s="55"/>
      <c r="I3106" s="55"/>
      <c r="J3106" s="55"/>
      <c r="K3106" s="56"/>
      <c r="L3106" s="55"/>
      <c r="M3106" s="55"/>
      <c r="N3106" s="55"/>
      <c r="O3106" s="55"/>
      <c r="P3106" s="55"/>
      <c r="Q3106" s="55"/>
      <c r="R3106" s="57"/>
      <c r="S3106" s="58"/>
    </row>
    <row r="3107" spans="2:19" x14ac:dyDescent="0.25">
      <c r="B3107" s="52"/>
      <c r="C3107" s="53"/>
      <c r="D3107" s="54"/>
      <c r="E3107" s="55"/>
      <c r="F3107" s="55"/>
      <c r="G3107" s="55"/>
      <c r="H3107" s="55"/>
      <c r="I3107" s="55"/>
      <c r="J3107" s="55"/>
      <c r="K3107" s="56"/>
      <c r="L3107" s="55"/>
      <c r="M3107" s="55"/>
      <c r="N3107" s="55"/>
      <c r="O3107" s="55"/>
      <c r="P3107" s="55"/>
      <c r="Q3107" s="55"/>
      <c r="R3107" s="57"/>
      <c r="S3107" s="58"/>
    </row>
    <row r="3108" spans="2:19" x14ac:dyDescent="0.25">
      <c r="B3108" s="52"/>
      <c r="C3108" s="53"/>
      <c r="D3108" s="54"/>
      <c r="E3108" s="55"/>
      <c r="F3108" s="55"/>
      <c r="G3108" s="55"/>
      <c r="H3108" s="55"/>
      <c r="I3108" s="55"/>
      <c r="J3108" s="55"/>
      <c r="K3108" s="56"/>
      <c r="L3108" s="55"/>
      <c r="M3108" s="55"/>
      <c r="N3108" s="55"/>
      <c r="O3108" s="55"/>
      <c r="P3108" s="55"/>
      <c r="Q3108" s="55"/>
      <c r="R3108" s="57"/>
      <c r="S3108" s="58"/>
    </row>
    <row r="3109" spans="2:19" x14ac:dyDescent="0.25">
      <c r="B3109" s="52"/>
      <c r="C3109" s="53"/>
      <c r="D3109" s="54"/>
      <c r="E3109" s="55"/>
      <c r="F3109" s="55"/>
      <c r="G3109" s="55"/>
      <c r="H3109" s="55"/>
      <c r="I3109" s="55"/>
      <c r="J3109" s="55"/>
      <c r="K3109" s="56"/>
      <c r="L3109" s="55"/>
      <c r="M3109" s="55"/>
      <c r="N3109" s="55"/>
      <c r="O3109" s="55"/>
      <c r="P3109" s="55"/>
      <c r="Q3109" s="55"/>
      <c r="R3109" s="57"/>
      <c r="S3109" s="58"/>
    </row>
    <row r="3110" spans="2:19" x14ac:dyDescent="0.25">
      <c r="B3110" s="52"/>
      <c r="C3110" s="53"/>
      <c r="D3110" s="54"/>
      <c r="E3110" s="55"/>
      <c r="F3110" s="55"/>
      <c r="G3110" s="55"/>
      <c r="H3110" s="55"/>
      <c r="I3110" s="55"/>
      <c r="J3110" s="55"/>
      <c r="K3110" s="56"/>
      <c r="L3110" s="55"/>
      <c r="M3110" s="55"/>
      <c r="N3110" s="55"/>
      <c r="O3110" s="55"/>
      <c r="P3110" s="55"/>
      <c r="Q3110" s="55"/>
      <c r="R3110" s="57"/>
      <c r="S3110" s="58"/>
    </row>
    <row r="3111" spans="2:19" x14ac:dyDescent="0.25">
      <c r="B3111" s="52"/>
      <c r="C3111" s="53"/>
      <c r="D3111" s="54"/>
      <c r="E3111" s="55"/>
      <c r="F3111" s="55"/>
      <c r="G3111" s="55"/>
      <c r="H3111" s="55"/>
      <c r="I3111" s="55"/>
      <c r="J3111" s="55"/>
      <c r="K3111" s="56"/>
      <c r="L3111" s="55"/>
      <c r="M3111" s="55"/>
      <c r="N3111" s="55"/>
      <c r="O3111" s="55"/>
      <c r="P3111" s="55"/>
      <c r="Q3111" s="55"/>
      <c r="R3111" s="57"/>
      <c r="S3111" s="58"/>
    </row>
    <row r="3112" spans="2:19" x14ac:dyDescent="0.25">
      <c r="B3112" s="52"/>
      <c r="C3112" s="60"/>
      <c r="E3112" s="61"/>
      <c r="F3112" s="62"/>
      <c r="G3112" s="63"/>
      <c r="H3112" s="64"/>
      <c r="I3112" s="64"/>
      <c r="J3112" s="64"/>
      <c r="K3112" s="65"/>
      <c r="L3112" s="64"/>
      <c r="M3112" s="64"/>
      <c r="N3112" s="64"/>
      <c r="P3112" s="63"/>
      <c r="Q3112" s="61"/>
      <c r="R3112" s="64"/>
      <c r="S3112" s="64"/>
    </row>
    <row r="3113" spans="2:19" x14ac:dyDescent="0.25">
      <c r="B3113" s="52"/>
      <c r="C3113" s="53"/>
      <c r="D3113" s="54"/>
      <c r="E3113" s="55"/>
      <c r="F3113" s="55"/>
      <c r="G3113" s="55"/>
      <c r="H3113" s="55"/>
      <c r="I3113" s="55"/>
      <c r="J3113" s="55"/>
      <c r="K3113" s="56"/>
      <c r="L3113" s="55"/>
      <c r="M3113" s="55"/>
      <c r="N3113" s="55"/>
      <c r="O3113" s="55"/>
      <c r="P3113" s="55"/>
      <c r="Q3113" s="55"/>
      <c r="R3113" s="57"/>
      <c r="S3113" s="58"/>
    </row>
    <row r="3114" spans="2:19" x14ac:dyDescent="0.25">
      <c r="B3114" s="52"/>
      <c r="C3114" s="53"/>
      <c r="D3114" s="54"/>
      <c r="E3114" s="55"/>
      <c r="F3114" s="55"/>
      <c r="G3114" s="55"/>
      <c r="H3114" s="55"/>
      <c r="I3114" s="55"/>
      <c r="J3114" s="55"/>
      <c r="K3114" s="56"/>
      <c r="L3114" s="55"/>
      <c r="M3114" s="55"/>
      <c r="N3114" s="55"/>
      <c r="O3114" s="55"/>
      <c r="P3114" s="55"/>
      <c r="Q3114" s="55"/>
      <c r="R3114" s="57"/>
      <c r="S3114" s="58"/>
    </row>
    <row r="3115" spans="2:19" x14ac:dyDescent="0.25">
      <c r="B3115" s="52"/>
      <c r="C3115" s="53"/>
      <c r="D3115" s="54"/>
      <c r="E3115" s="55"/>
      <c r="F3115" s="55"/>
      <c r="G3115" s="55"/>
      <c r="H3115" s="55"/>
      <c r="I3115" s="55"/>
      <c r="J3115" s="55"/>
      <c r="K3115" s="56"/>
      <c r="L3115" s="55"/>
      <c r="M3115" s="55"/>
      <c r="N3115" s="55"/>
      <c r="O3115" s="55"/>
      <c r="P3115" s="55"/>
      <c r="Q3115" s="55"/>
      <c r="R3115" s="57"/>
      <c r="S3115" s="58"/>
    </row>
    <row r="3116" spans="2:19" x14ac:dyDescent="0.25">
      <c r="B3116" s="52"/>
      <c r="C3116" s="53"/>
      <c r="D3116" s="54"/>
      <c r="E3116" s="55"/>
      <c r="F3116" s="55"/>
      <c r="G3116" s="55"/>
      <c r="H3116" s="55"/>
      <c r="I3116" s="55"/>
      <c r="J3116" s="55"/>
      <c r="K3116" s="56"/>
      <c r="L3116" s="55"/>
      <c r="M3116" s="55"/>
      <c r="N3116" s="55"/>
      <c r="O3116" s="55"/>
      <c r="P3116" s="55"/>
      <c r="Q3116" s="55"/>
      <c r="R3116" s="57"/>
      <c r="S3116" s="58"/>
    </row>
    <row r="3117" spans="2:19" x14ac:dyDescent="0.25">
      <c r="B3117" s="52"/>
      <c r="C3117" s="53"/>
      <c r="D3117" s="54"/>
      <c r="E3117" s="55"/>
      <c r="F3117" s="55"/>
      <c r="G3117" s="55"/>
      <c r="H3117" s="55"/>
      <c r="I3117" s="55"/>
      <c r="J3117" s="55"/>
      <c r="K3117" s="56"/>
      <c r="L3117" s="55"/>
      <c r="M3117" s="55"/>
      <c r="N3117" s="55"/>
      <c r="O3117" s="55"/>
      <c r="P3117" s="55"/>
      <c r="Q3117" s="55"/>
      <c r="R3117" s="57"/>
      <c r="S3117" s="58"/>
    </row>
    <row r="3118" spans="2:19" x14ac:dyDescent="0.25">
      <c r="B3118" s="52"/>
      <c r="C3118" s="53"/>
      <c r="D3118" s="54"/>
      <c r="E3118" s="55"/>
      <c r="F3118" s="55"/>
      <c r="G3118" s="55"/>
      <c r="H3118" s="55"/>
      <c r="I3118" s="55"/>
      <c r="J3118" s="55"/>
      <c r="K3118" s="56"/>
      <c r="L3118" s="55"/>
      <c r="M3118" s="55"/>
      <c r="N3118" s="55"/>
      <c r="O3118" s="55"/>
      <c r="P3118" s="55"/>
      <c r="Q3118" s="55"/>
      <c r="R3118" s="57"/>
      <c r="S3118" s="58"/>
    </row>
    <row r="3119" spans="2:19" x14ac:dyDescent="0.25">
      <c r="B3119" s="52"/>
      <c r="C3119" s="53"/>
      <c r="D3119" s="54"/>
      <c r="E3119" s="55"/>
      <c r="F3119" s="55"/>
      <c r="G3119" s="55"/>
      <c r="H3119" s="55"/>
      <c r="I3119" s="55"/>
      <c r="J3119" s="55"/>
      <c r="K3119" s="56"/>
      <c r="L3119" s="55"/>
      <c r="M3119" s="55"/>
      <c r="N3119" s="55"/>
      <c r="O3119" s="55"/>
      <c r="P3119" s="55"/>
      <c r="Q3119" s="55"/>
      <c r="R3119" s="57"/>
      <c r="S3119" s="58"/>
    </row>
    <row r="3120" spans="2:19" x14ac:dyDescent="0.25">
      <c r="B3120" s="52"/>
      <c r="C3120" s="53"/>
      <c r="D3120" s="54"/>
      <c r="E3120" s="55"/>
      <c r="F3120" s="55"/>
      <c r="G3120" s="55"/>
      <c r="H3120" s="55"/>
      <c r="I3120" s="55"/>
      <c r="J3120" s="55"/>
      <c r="K3120" s="56"/>
      <c r="L3120" s="55"/>
      <c r="M3120" s="55"/>
      <c r="N3120" s="55"/>
      <c r="O3120" s="55"/>
      <c r="P3120" s="55"/>
      <c r="Q3120" s="55"/>
      <c r="R3120" s="57"/>
      <c r="S3120" s="58"/>
    </row>
    <row r="3121" spans="2:19" ht="15.75" x14ac:dyDescent="0.25">
      <c r="B3121" s="52"/>
      <c r="C3121" s="53"/>
      <c r="D3121" s="54"/>
      <c r="E3121" s="55"/>
      <c r="F3121" s="55"/>
      <c r="G3121" s="55"/>
      <c r="H3121" s="55"/>
      <c r="I3121" s="55"/>
      <c r="J3121" s="55"/>
      <c r="K3121" s="59"/>
      <c r="L3121" s="55"/>
      <c r="M3121" s="55"/>
      <c r="N3121" s="55"/>
      <c r="O3121" s="55"/>
      <c r="P3121" s="55"/>
      <c r="Q3121" s="55"/>
      <c r="R3121" s="57"/>
      <c r="S3121" s="58"/>
    </row>
    <row r="3122" spans="2:19" x14ac:dyDescent="0.25">
      <c r="B3122" s="52"/>
      <c r="C3122" s="53"/>
      <c r="D3122" s="54"/>
      <c r="E3122" s="55"/>
      <c r="F3122" s="55"/>
      <c r="G3122" s="55"/>
      <c r="H3122" s="55"/>
      <c r="I3122" s="55"/>
      <c r="J3122" s="55"/>
      <c r="K3122" s="56"/>
      <c r="L3122" s="55"/>
      <c r="M3122" s="55"/>
      <c r="N3122" s="55"/>
      <c r="O3122" s="55"/>
      <c r="P3122" s="55"/>
      <c r="Q3122" s="55"/>
      <c r="R3122" s="57"/>
      <c r="S3122" s="58"/>
    </row>
    <row r="3123" spans="2:19" x14ac:dyDescent="0.25">
      <c r="B3123" s="52"/>
      <c r="C3123" s="53"/>
      <c r="D3123" s="54"/>
      <c r="E3123" s="55"/>
      <c r="F3123" s="55"/>
      <c r="G3123" s="55"/>
      <c r="H3123" s="55"/>
      <c r="I3123" s="55"/>
      <c r="J3123" s="55"/>
      <c r="K3123" s="56"/>
      <c r="L3123" s="55"/>
      <c r="M3123" s="55"/>
      <c r="N3123" s="55"/>
      <c r="O3123" s="55"/>
      <c r="P3123" s="55"/>
      <c r="Q3123" s="55"/>
      <c r="R3123" s="57"/>
      <c r="S3123" s="58"/>
    </row>
    <row r="3124" spans="2:19" x14ac:dyDescent="0.25">
      <c r="B3124" s="52"/>
      <c r="C3124" s="53"/>
      <c r="D3124" s="54"/>
      <c r="E3124" s="55"/>
      <c r="F3124" s="55"/>
      <c r="G3124" s="55"/>
      <c r="H3124" s="55"/>
      <c r="I3124" s="55"/>
      <c r="J3124" s="55"/>
      <c r="K3124" s="56"/>
      <c r="L3124" s="55"/>
      <c r="M3124" s="55"/>
      <c r="N3124" s="55"/>
      <c r="O3124" s="55"/>
      <c r="P3124" s="55"/>
      <c r="Q3124" s="55"/>
      <c r="R3124" s="57"/>
      <c r="S3124" s="58"/>
    </row>
    <row r="3125" spans="2:19" x14ac:dyDescent="0.25">
      <c r="B3125" s="52"/>
      <c r="C3125" s="53"/>
      <c r="D3125" s="54"/>
      <c r="E3125" s="55"/>
      <c r="F3125" s="55"/>
      <c r="G3125" s="55"/>
      <c r="H3125" s="55"/>
      <c r="I3125" s="55"/>
      <c r="J3125" s="55"/>
      <c r="K3125" s="56"/>
      <c r="L3125" s="55"/>
      <c r="M3125" s="55"/>
      <c r="N3125" s="55"/>
      <c r="O3125" s="55"/>
      <c r="P3125" s="55"/>
      <c r="Q3125" s="55"/>
      <c r="R3125" s="57"/>
      <c r="S3125" s="58"/>
    </row>
    <row r="3126" spans="2:19" x14ac:dyDescent="0.25">
      <c r="B3126" s="52"/>
      <c r="C3126" s="53"/>
      <c r="D3126" s="54"/>
      <c r="E3126" s="55"/>
      <c r="F3126" s="55"/>
      <c r="G3126" s="55"/>
      <c r="H3126" s="55"/>
      <c r="I3126" s="55"/>
      <c r="J3126" s="55"/>
      <c r="K3126" s="56"/>
      <c r="L3126" s="55"/>
      <c r="M3126" s="55"/>
      <c r="N3126" s="55"/>
      <c r="O3126" s="55"/>
      <c r="P3126" s="55"/>
      <c r="Q3126" s="55"/>
      <c r="R3126" s="57"/>
      <c r="S3126" s="58"/>
    </row>
    <row r="3127" spans="2:19" x14ac:dyDescent="0.25">
      <c r="B3127" s="52"/>
      <c r="C3127" s="53"/>
      <c r="D3127" s="54"/>
      <c r="E3127" s="55"/>
      <c r="F3127" s="55"/>
      <c r="G3127" s="55"/>
      <c r="H3127" s="55"/>
      <c r="I3127" s="55"/>
      <c r="J3127" s="55"/>
      <c r="K3127" s="56"/>
      <c r="L3127" s="55"/>
      <c r="M3127" s="55"/>
      <c r="N3127" s="55"/>
      <c r="O3127" s="55"/>
      <c r="P3127" s="55"/>
      <c r="Q3127" s="55"/>
      <c r="R3127" s="57"/>
      <c r="S3127" s="58"/>
    </row>
    <row r="3128" spans="2:19" x14ac:dyDescent="0.25">
      <c r="B3128" s="52"/>
      <c r="C3128" s="53"/>
      <c r="D3128" s="54"/>
      <c r="E3128" s="55"/>
      <c r="F3128" s="55"/>
      <c r="G3128" s="55"/>
      <c r="H3128" s="55"/>
      <c r="I3128" s="55"/>
      <c r="J3128" s="55"/>
      <c r="K3128" s="56"/>
      <c r="L3128" s="55"/>
      <c r="M3128" s="55"/>
      <c r="N3128" s="55"/>
      <c r="O3128" s="55"/>
      <c r="P3128" s="55"/>
      <c r="Q3128" s="55"/>
      <c r="R3128" s="57"/>
      <c r="S3128" s="58"/>
    </row>
    <row r="3129" spans="2:19" x14ac:dyDescent="0.25">
      <c r="B3129" s="52"/>
      <c r="C3129" s="60"/>
      <c r="E3129" s="61"/>
      <c r="F3129" s="62"/>
      <c r="G3129" s="63"/>
      <c r="H3129" s="64"/>
      <c r="I3129" s="64"/>
      <c r="J3129" s="64"/>
      <c r="K3129" s="65"/>
      <c r="L3129" s="64"/>
      <c r="M3129" s="64"/>
      <c r="N3129" s="64"/>
      <c r="P3129" s="63"/>
      <c r="Q3129" s="61"/>
      <c r="R3129" s="64"/>
      <c r="S3129" s="64"/>
    </row>
    <row r="3130" spans="2:19" x14ac:dyDescent="0.25">
      <c r="B3130" s="52"/>
      <c r="C3130" s="53"/>
      <c r="D3130" s="54"/>
      <c r="E3130" s="55"/>
      <c r="F3130" s="55"/>
      <c r="G3130" s="55"/>
      <c r="H3130" s="55"/>
      <c r="I3130" s="55"/>
      <c r="J3130" s="55"/>
      <c r="K3130" s="56"/>
      <c r="L3130" s="55"/>
      <c r="M3130" s="55"/>
      <c r="N3130" s="55"/>
      <c r="O3130" s="55"/>
      <c r="P3130" s="55"/>
      <c r="Q3130" s="55"/>
      <c r="R3130" s="57"/>
      <c r="S3130" s="58"/>
    </row>
    <row r="3131" spans="2:19" x14ac:dyDescent="0.25">
      <c r="B3131" s="52"/>
      <c r="C3131" s="53"/>
      <c r="D3131" s="54"/>
      <c r="E3131" s="55"/>
      <c r="F3131" s="55"/>
      <c r="G3131" s="55"/>
      <c r="H3131" s="55"/>
      <c r="I3131" s="55"/>
      <c r="J3131" s="55"/>
      <c r="K3131" s="56"/>
      <c r="L3131" s="55"/>
      <c r="M3131" s="55"/>
      <c r="N3131" s="55"/>
      <c r="O3131" s="55"/>
      <c r="P3131" s="55"/>
      <c r="Q3131" s="55"/>
      <c r="R3131" s="57"/>
      <c r="S3131" s="58"/>
    </row>
    <row r="3132" spans="2:19" x14ac:dyDescent="0.25">
      <c r="B3132" s="52"/>
      <c r="C3132" s="53"/>
      <c r="D3132" s="54"/>
      <c r="E3132" s="55"/>
      <c r="F3132" s="55"/>
      <c r="G3132" s="55"/>
      <c r="H3132" s="55"/>
      <c r="I3132" s="55"/>
      <c r="J3132" s="55"/>
      <c r="K3132" s="56"/>
      <c r="L3132" s="55"/>
      <c r="M3132" s="55"/>
      <c r="N3132" s="55"/>
      <c r="O3132" s="55"/>
      <c r="P3132" s="55"/>
      <c r="Q3132" s="55"/>
      <c r="R3132" s="57"/>
      <c r="S3132" s="58"/>
    </row>
    <row r="3133" spans="2:19" x14ac:dyDescent="0.25">
      <c r="B3133" s="52"/>
      <c r="C3133" s="53"/>
      <c r="D3133" s="54"/>
      <c r="E3133" s="55"/>
      <c r="F3133" s="55"/>
      <c r="G3133" s="55"/>
      <c r="H3133" s="55"/>
      <c r="I3133" s="55"/>
      <c r="J3133" s="55"/>
      <c r="K3133" s="56"/>
      <c r="L3133" s="55"/>
      <c r="M3133" s="55"/>
      <c r="N3133" s="55"/>
      <c r="O3133" s="55"/>
      <c r="P3133" s="55"/>
      <c r="Q3133" s="55"/>
      <c r="R3133" s="57"/>
      <c r="S3133" s="58"/>
    </row>
    <row r="3134" spans="2:19" x14ac:dyDescent="0.25">
      <c r="B3134" s="52"/>
      <c r="C3134" s="53"/>
      <c r="D3134" s="54"/>
      <c r="E3134" s="55"/>
      <c r="F3134" s="55"/>
      <c r="G3134" s="55"/>
      <c r="H3134" s="55"/>
      <c r="I3134" s="55"/>
      <c r="J3134" s="55"/>
      <c r="K3134" s="56"/>
      <c r="L3134" s="55"/>
      <c r="M3134" s="55"/>
      <c r="N3134" s="55"/>
      <c r="O3134" s="55"/>
      <c r="P3134" s="55"/>
      <c r="Q3134" s="55"/>
      <c r="R3134" s="57"/>
      <c r="S3134" s="58"/>
    </row>
    <row r="3135" spans="2:19" x14ac:dyDescent="0.25">
      <c r="B3135" s="52"/>
      <c r="C3135" s="53"/>
      <c r="D3135" s="54"/>
      <c r="E3135" s="55"/>
      <c r="F3135" s="55"/>
      <c r="G3135" s="55"/>
      <c r="H3135" s="55"/>
      <c r="I3135" s="55"/>
      <c r="J3135" s="55"/>
      <c r="K3135" s="56"/>
      <c r="L3135" s="55"/>
      <c r="M3135" s="55"/>
      <c r="N3135" s="55"/>
      <c r="O3135" s="55"/>
      <c r="P3135" s="55"/>
      <c r="Q3135" s="55"/>
      <c r="R3135" s="57"/>
      <c r="S3135" s="58"/>
    </row>
    <row r="3136" spans="2:19" x14ac:dyDescent="0.25">
      <c r="B3136" s="52"/>
      <c r="C3136" s="53"/>
      <c r="D3136" s="54"/>
      <c r="E3136" s="55"/>
      <c r="F3136" s="55"/>
      <c r="G3136" s="55"/>
      <c r="H3136" s="55"/>
      <c r="I3136" s="55"/>
      <c r="J3136" s="55"/>
      <c r="K3136" s="56"/>
      <c r="L3136" s="55"/>
      <c r="M3136" s="55"/>
      <c r="N3136" s="55"/>
      <c r="O3136" s="55"/>
      <c r="P3136" s="55"/>
      <c r="Q3136" s="55"/>
      <c r="R3136" s="57"/>
      <c r="S3136" s="58"/>
    </row>
    <row r="3137" spans="2:19" x14ac:dyDescent="0.25">
      <c r="B3137" s="52"/>
      <c r="C3137" s="53"/>
      <c r="D3137" s="54"/>
      <c r="E3137" s="55"/>
      <c r="F3137" s="55"/>
      <c r="G3137" s="55"/>
      <c r="H3137" s="55"/>
      <c r="I3137" s="55"/>
      <c r="J3137" s="55"/>
      <c r="K3137" s="56"/>
      <c r="L3137" s="55"/>
      <c r="M3137" s="55"/>
      <c r="N3137" s="55"/>
      <c r="O3137" s="55"/>
      <c r="P3137" s="55"/>
      <c r="Q3137" s="55"/>
      <c r="R3137" s="57"/>
      <c r="S3137" s="58"/>
    </row>
    <row r="3138" spans="2:19" ht="15.75" x14ac:dyDescent="0.25">
      <c r="B3138" s="52"/>
      <c r="C3138" s="53"/>
      <c r="D3138" s="54"/>
      <c r="E3138" s="55"/>
      <c r="F3138" s="55"/>
      <c r="G3138" s="55"/>
      <c r="H3138" s="55"/>
      <c r="I3138" s="55"/>
      <c r="J3138" s="55"/>
      <c r="K3138" s="59"/>
      <c r="L3138" s="55"/>
      <c r="M3138" s="55"/>
      <c r="N3138" s="55"/>
      <c r="O3138" s="55"/>
      <c r="P3138" s="55"/>
      <c r="Q3138" s="55"/>
      <c r="R3138" s="57"/>
      <c r="S3138" s="58"/>
    </row>
    <row r="3139" spans="2:19" x14ac:dyDescent="0.25">
      <c r="B3139" s="52"/>
      <c r="C3139" s="53"/>
      <c r="D3139" s="54"/>
      <c r="E3139" s="55"/>
      <c r="F3139" s="55"/>
      <c r="G3139" s="55"/>
      <c r="H3139" s="55"/>
      <c r="I3139" s="55"/>
      <c r="J3139" s="55"/>
      <c r="K3139" s="56"/>
      <c r="L3139" s="55"/>
      <c r="M3139" s="55"/>
      <c r="N3139" s="55"/>
      <c r="O3139" s="55"/>
      <c r="P3139" s="55"/>
      <c r="Q3139" s="55"/>
      <c r="R3139" s="57"/>
      <c r="S3139" s="58"/>
    </row>
    <row r="3140" spans="2:19" x14ac:dyDescent="0.25">
      <c r="B3140" s="52"/>
      <c r="C3140" s="53"/>
      <c r="D3140" s="54"/>
      <c r="E3140" s="55"/>
      <c r="F3140" s="55"/>
      <c r="G3140" s="55"/>
      <c r="H3140" s="55"/>
      <c r="I3140" s="55"/>
      <c r="J3140" s="55"/>
      <c r="K3140" s="56"/>
      <c r="L3140" s="55"/>
      <c r="M3140" s="55"/>
      <c r="N3140" s="55"/>
      <c r="O3140" s="55"/>
      <c r="P3140" s="55"/>
      <c r="Q3140" s="55"/>
      <c r="R3140" s="57"/>
      <c r="S3140" s="58"/>
    </row>
    <row r="3141" spans="2:19" x14ac:dyDescent="0.25">
      <c r="B3141" s="52"/>
      <c r="C3141" s="53"/>
      <c r="D3141" s="54"/>
      <c r="E3141" s="55"/>
      <c r="F3141" s="55"/>
      <c r="G3141" s="55"/>
      <c r="H3141" s="55"/>
      <c r="I3141" s="55"/>
      <c r="J3141" s="55"/>
      <c r="K3141" s="56"/>
      <c r="L3141" s="55"/>
      <c r="M3141" s="55"/>
      <c r="N3141" s="55"/>
      <c r="O3141" s="55"/>
      <c r="P3141" s="55"/>
      <c r="Q3141" s="55"/>
      <c r="R3141" s="57"/>
      <c r="S3141" s="58"/>
    </row>
    <row r="3142" spans="2:19" x14ac:dyDescent="0.25">
      <c r="B3142" s="52"/>
      <c r="C3142" s="53"/>
      <c r="D3142" s="54"/>
      <c r="E3142" s="55"/>
      <c r="F3142" s="55"/>
      <c r="G3142" s="55"/>
      <c r="H3142" s="55"/>
      <c r="I3142" s="55"/>
      <c r="J3142" s="55"/>
      <c r="K3142" s="56"/>
      <c r="L3142" s="55"/>
      <c r="M3142" s="55"/>
      <c r="N3142" s="55"/>
      <c r="O3142" s="55"/>
      <c r="P3142" s="55"/>
      <c r="Q3142" s="55"/>
      <c r="R3142" s="57"/>
      <c r="S3142" s="58"/>
    </row>
    <row r="3143" spans="2:19" x14ac:dyDescent="0.25">
      <c r="B3143" s="52"/>
      <c r="C3143" s="53"/>
      <c r="D3143" s="54"/>
      <c r="E3143" s="55"/>
      <c r="F3143" s="55"/>
      <c r="G3143" s="55"/>
      <c r="H3143" s="55"/>
      <c r="I3143" s="55"/>
      <c r="J3143" s="55"/>
      <c r="K3143" s="56"/>
      <c r="L3143" s="55"/>
      <c r="M3143" s="55"/>
      <c r="N3143" s="55"/>
      <c r="O3143" s="55"/>
      <c r="P3143" s="55"/>
      <c r="Q3143" s="55"/>
      <c r="R3143" s="57"/>
      <c r="S3143" s="58"/>
    </row>
    <row r="3144" spans="2:19" x14ac:dyDescent="0.25">
      <c r="B3144" s="52"/>
      <c r="C3144" s="53"/>
      <c r="D3144" s="54"/>
      <c r="E3144" s="55"/>
      <c r="F3144" s="55"/>
      <c r="G3144" s="55"/>
      <c r="H3144" s="55"/>
      <c r="I3144" s="55"/>
      <c r="J3144" s="55"/>
      <c r="K3144" s="56"/>
      <c r="L3144" s="55"/>
      <c r="M3144" s="55"/>
      <c r="N3144" s="55"/>
      <c r="O3144" s="55"/>
      <c r="P3144" s="55"/>
      <c r="Q3144" s="55"/>
      <c r="R3144" s="57"/>
      <c r="S3144" s="58"/>
    </row>
    <row r="3145" spans="2:19" x14ac:dyDescent="0.25">
      <c r="B3145" s="52"/>
      <c r="C3145" s="53"/>
      <c r="D3145" s="54"/>
      <c r="E3145" s="55"/>
      <c r="F3145" s="55"/>
      <c r="G3145" s="55"/>
      <c r="H3145" s="55"/>
      <c r="I3145" s="55"/>
      <c r="J3145" s="55"/>
      <c r="K3145" s="56"/>
      <c r="L3145" s="55"/>
      <c r="M3145" s="55"/>
      <c r="N3145" s="55"/>
      <c r="O3145" s="55"/>
      <c r="P3145" s="55"/>
      <c r="Q3145" s="55"/>
      <c r="R3145" s="57"/>
      <c r="S3145" s="58"/>
    </row>
    <row r="3146" spans="2:19" x14ac:dyDescent="0.25">
      <c r="B3146" s="52"/>
      <c r="C3146" s="60"/>
      <c r="E3146" s="61"/>
      <c r="F3146" s="62"/>
      <c r="G3146" s="63"/>
      <c r="H3146" s="64"/>
      <c r="I3146" s="64"/>
      <c r="J3146" s="64"/>
      <c r="K3146" s="65"/>
      <c r="L3146" s="64"/>
      <c r="M3146" s="64"/>
      <c r="N3146" s="64"/>
      <c r="P3146" s="63"/>
      <c r="Q3146" s="61"/>
      <c r="R3146" s="64"/>
      <c r="S3146" s="64"/>
    </row>
    <row r="3147" spans="2:19" x14ac:dyDescent="0.25">
      <c r="B3147" s="52"/>
      <c r="C3147" s="53"/>
      <c r="D3147" s="54"/>
      <c r="E3147" s="55"/>
      <c r="F3147" s="55"/>
      <c r="G3147" s="55"/>
      <c r="H3147" s="55"/>
      <c r="I3147" s="55"/>
      <c r="J3147" s="55"/>
      <c r="K3147" s="56"/>
      <c r="L3147" s="55"/>
      <c r="M3147" s="55"/>
      <c r="N3147" s="55"/>
      <c r="O3147" s="55"/>
      <c r="P3147" s="55"/>
      <c r="Q3147" s="55"/>
      <c r="R3147" s="57"/>
      <c r="S3147" s="58"/>
    </row>
    <row r="3148" spans="2:19" x14ac:dyDescent="0.25">
      <c r="B3148" s="52"/>
      <c r="C3148" s="53"/>
      <c r="D3148" s="54"/>
      <c r="E3148" s="55"/>
      <c r="F3148" s="55"/>
      <c r="G3148" s="55"/>
      <c r="H3148" s="55"/>
      <c r="I3148" s="55"/>
      <c r="J3148" s="55"/>
      <c r="K3148" s="56"/>
      <c r="L3148" s="55"/>
      <c r="M3148" s="55"/>
      <c r="N3148" s="55"/>
      <c r="O3148" s="55"/>
      <c r="P3148" s="55"/>
      <c r="Q3148" s="55"/>
      <c r="R3148" s="57"/>
      <c r="S3148" s="58"/>
    </row>
    <row r="3149" spans="2:19" x14ac:dyDescent="0.25">
      <c r="B3149" s="52"/>
      <c r="C3149" s="53"/>
      <c r="D3149" s="54"/>
      <c r="E3149" s="55"/>
      <c r="F3149" s="55"/>
      <c r="G3149" s="55"/>
      <c r="H3149" s="55"/>
      <c r="I3149" s="55"/>
      <c r="J3149" s="55"/>
      <c r="K3149" s="56"/>
      <c r="L3149" s="55"/>
      <c r="M3149" s="55"/>
      <c r="N3149" s="55"/>
      <c r="O3149" s="55"/>
      <c r="P3149" s="55"/>
      <c r="Q3149" s="55"/>
      <c r="R3149" s="57"/>
      <c r="S3149" s="58"/>
    </row>
    <row r="3150" spans="2:19" x14ac:dyDescent="0.25">
      <c r="B3150" s="52"/>
      <c r="C3150" s="53"/>
      <c r="D3150" s="54"/>
      <c r="E3150" s="55"/>
      <c r="F3150" s="55"/>
      <c r="G3150" s="55"/>
      <c r="H3150" s="55"/>
      <c r="I3150" s="55"/>
      <c r="J3150" s="55"/>
      <c r="K3150" s="56"/>
      <c r="L3150" s="55"/>
      <c r="M3150" s="55"/>
      <c r="N3150" s="55"/>
      <c r="O3150" s="55"/>
      <c r="P3150" s="55"/>
      <c r="Q3150" s="55"/>
      <c r="R3150" s="57"/>
      <c r="S3150" s="58"/>
    </row>
    <row r="3151" spans="2:19" x14ac:dyDescent="0.25">
      <c r="B3151" s="52"/>
      <c r="C3151" s="53"/>
      <c r="D3151" s="54"/>
      <c r="E3151" s="55"/>
      <c r="F3151" s="55"/>
      <c r="G3151" s="55"/>
      <c r="H3151" s="55"/>
      <c r="I3151" s="55"/>
      <c r="J3151" s="55"/>
      <c r="K3151" s="56"/>
      <c r="L3151" s="55"/>
      <c r="M3151" s="55"/>
      <c r="N3151" s="55"/>
      <c r="O3151" s="55"/>
      <c r="P3151" s="55"/>
      <c r="Q3151" s="55"/>
      <c r="R3151" s="57"/>
      <c r="S3151" s="58"/>
    </row>
    <row r="3152" spans="2:19" x14ac:dyDescent="0.25">
      <c r="B3152" s="52"/>
      <c r="C3152" s="53"/>
      <c r="D3152" s="54"/>
      <c r="E3152" s="55"/>
      <c r="F3152" s="55"/>
      <c r="G3152" s="55"/>
      <c r="H3152" s="55"/>
      <c r="I3152" s="55"/>
      <c r="J3152" s="55"/>
      <c r="K3152" s="56"/>
      <c r="L3152" s="55"/>
      <c r="M3152" s="55"/>
      <c r="N3152" s="55"/>
      <c r="O3152" s="55"/>
      <c r="P3152" s="55"/>
      <c r="Q3152" s="55"/>
      <c r="R3152" s="57"/>
      <c r="S3152" s="58"/>
    </row>
    <row r="3153" spans="2:19" x14ac:dyDescent="0.25">
      <c r="B3153" s="52"/>
      <c r="C3153" s="53"/>
      <c r="D3153" s="54"/>
      <c r="E3153" s="55"/>
      <c r="F3153" s="55"/>
      <c r="G3153" s="55"/>
      <c r="H3153" s="55"/>
      <c r="I3153" s="55"/>
      <c r="J3153" s="55"/>
      <c r="K3153" s="56"/>
      <c r="L3153" s="55"/>
      <c r="M3153" s="55"/>
      <c r="N3153" s="55"/>
      <c r="O3153" s="55"/>
      <c r="P3153" s="55"/>
      <c r="Q3153" s="55"/>
      <c r="R3153" s="57"/>
      <c r="S3153" s="58"/>
    </row>
    <row r="3154" spans="2:19" x14ac:dyDescent="0.25">
      <c r="B3154" s="52"/>
      <c r="C3154" s="53"/>
      <c r="D3154" s="54"/>
      <c r="E3154" s="55"/>
      <c r="F3154" s="55"/>
      <c r="G3154" s="55"/>
      <c r="H3154" s="55"/>
      <c r="I3154" s="55"/>
      <c r="J3154" s="55"/>
      <c r="K3154" s="56"/>
      <c r="L3154" s="55"/>
      <c r="M3154" s="55"/>
      <c r="N3154" s="55"/>
      <c r="O3154" s="55"/>
      <c r="P3154" s="55"/>
      <c r="Q3154" s="55"/>
      <c r="R3154" s="57"/>
      <c r="S3154" s="58"/>
    </row>
    <row r="3155" spans="2:19" ht="15.75" x14ac:dyDescent="0.25">
      <c r="B3155" s="52"/>
      <c r="C3155" s="53"/>
      <c r="D3155" s="54"/>
      <c r="E3155" s="55"/>
      <c r="F3155" s="55"/>
      <c r="G3155" s="55"/>
      <c r="H3155" s="55"/>
      <c r="I3155" s="55"/>
      <c r="J3155" s="55"/>
      <c r="K3155" s="59"/>
      <c r="L3155" s="55"/>
      <c r="M3155" s="55"/>
      <c r="N3155" s="55"/>
      <c r="O3155" s="55"/>
      <c r="P3155" s="55"/>
      <c r="Q3155" s="55"/>
      <c r="R3155" s="57"/>
      <c r="S3155" s="58"/>
    </row>
    <row r="3156" spans="2:19" x14ac:dyDescent="0.25">
      <c r="B3156" s="52"/>
      <c r="C3156" s="53"/>
      <c r="D3156" s="54"/>
      <c r="E3156" s="55"/>
      <c r="F3156" s="55"/>
      <c r="G3156" s="55"/>
      <c r="H3156" s="55"/>
      <c r="I3156" s="55"/>
      <c r="J3156" s="55"/>
      <c r="K3156" s="56"/>
      <c r="L3156" s="55"/>
      <c r="M3156" s="55"/>
      <c r="N3156" s="55"/>
      <c r="O3156" s="55"/>
      <c r="P3156" s="55"/>
      <c r="Q3156" s="55"/>
      <c r="R3156" s="57"/>
      <c r="S3156" s="58"/>
    </row>
    <row r="3157" spans="2:19" x14ac:dyDescent="0.25">
      <c r="B3157" s="52"/>
      <c r="C3157" s="53"/>
      <c r="D3157" s="54"/>
      <c r="E3157" s="55"/>
      <c r="F3157" s="55"/>
      <c r="G3157" s="55"/>
      <c r="H3157" s="55"/>
      <c r="I3157" s="55"/>
      <c r="J3157" s="55"/>
      <c r="K3157" s="56"/>
      <c r="L3157" s="55"/>
      <c r="M3157" s="55"/>
      <c r="N3157" s="55"/>
      <c r="O3157" s="55"/>
      <c r="P3157" s="55"/>
      <c r="Q3157" s="55"/>
      <c r="R3157" s="57"/>
      <c r="S3157" s="58"/>
    </row>
    <row r="3158" spans="2:19" x14ac:dyDescent="0.25">
      <c r="B3158" s="52"/>
      <c r="C3158" s="53"/>
      <c r="D3158" s="54"/>
      <c r="E3158" s="55"/>
      <c r="F3158" s="55"/>
      <c r="G3158" s="55"/>
      <c r="H3158" s="55"/>
      <c r="I3158" s="55"/>
      <c r="J3158" s="55"/>
      <c r="K3158" s="56"/>
      <c r="L3158" s="55"/>
      <c r="M3158" s="55"/>
      <c r="N3158" s="55"/>
      <c r="O3158" s="55"/>
      <c r="P3158" s="55"/>
      <c r="Q3158" s="55"/>
      <c r="R3158" s="57"/>
      <c r="S3158" s="58"/>
    </row>
    <row r="3159" spans="2:19" x14ac:dyDescent="0.25">
      <c r="B3159" s="52"/>
      <c r="C3159" s="53"/>
      <c r="D3159" s="54"/>
      <c r="E3159" s="55"/>
      <c r="F3159" s="55"/>
      <c r="G3159" s="55"/>
      <c r="H3159" s="55"/>
      <c r="I3159" s="55"/>
      <c r="J3159" s="55"/>
      <c r="K3159" s="56"/>
      <c r="L3159" s="55"/>
      <c r="M3159" s="55"/>
      <c r="N3159" s="55"/>
      <c r="O3159" s="55"/>
      <c r="P3159" s="55"/>
      <c r="Q3159" s="55"/>
      <c r="R3159" s="57"/>
      <c r="S3159" s="58"/>
    </row>
    <row r="3160" spans="2:19" x14ac:dyDescent="0.25">
      <c r="B3160" s="52"/>
      <c r="C3160" s="53"/>
      <c r="D3160" s="54"/>
      <c r="E3160" s="55"/>
      <c r="F3160" s="55"/>
      <c r="G3160" s="55"/>
      <c r="H3160" s="55"/>
      <c r="I3160" s="55"/>
      <c r="J3160" s="55"/>
      <c r="K3160" s="56"/>
      <c r="L3160" s="55"/>
      <c r="M3160" s="55"/>
      <c r="N3160" s="55"/>
      <c r="O3160" s="55"/>
      <c r="P3160" s="55"/>
      <c r="Q3160" s="55"/>
      <c r="R3160" s="57"/>
      <c r="S3160" s="58"/>
    </row>
    <row r="3161" spans="2:19" x14ac:dyDescent="0.25">
      <c r="B3161" s="52"/>
      <c r="C3161" s="53"/>
      <c r="D3161" s="54"/>
      <c r="E3161" s="55"/>
      <c r="F3161" s="55"/>
      <c r="G3161" s="55"/>
      <c r="H3161" s="55"/>
      <c r="I3161" s="55"/>
      <c r="J3161" s="55"/>
      <c r="K3161" s="56"/>
      <c r="L3161" s="55"/>
      <c r="M3161" s="55"/>
      <c r="N3161" s="55"/>
      <c r="O3161" s="55"/>
      <c r="P3161" s="55"/>
      <c r="Q3161" s="55"/>
      <c r="R3161" s="57"/>
      <c r="S3161" s="58"/>
    </row>
    <row r="3162" spans="2:19" x14ac:dyDescent="0.25">
      <c r="B3162" s="52"/>
      <c r="C3162" s="53"/>
      <c r="D3162" s="54"/>
      <c r="E3162" s="55"/>
      <c r="F3162" s="55"/>
      <c r="G3162" s="55"/>
      <c r="H3162" s="55"/>
      <c r="I3162" s="55"/>
      <c r="J3162" s="55"/>
      <c r="K3162" s="56"/>
      <c r="L3162" s="55"/>
      <c r="M3162" s="55"/>
      <c r="N3162" s="55"/>
      <c r="O3162" s="55"/>
      <c r="P3162" s="55"/>
      <c r="Q3162" s="55"/>
      <c r="R3162" s="57"/>
      <c r="S3162" s="58"/>
    </row>
    <row r="3163" spans="2:19" x14ac:dyDescent="0.25">
      <c r="B3163" s="52"/>
      <c r="C3163" s="60"/>
      <c r="E3163" s="61"/>
      <c r="F3163" s="62"/>
      <c r="G3163" s="63"/>
      <c r="H3163" s="64"/>
      <c r="I3163" s="64"/>
      <c r="J3163" s="64"/>
      <c r="K3163" s="65"/>
      <c r="L3163" s="64"/>
      <c r="M3163" s="64"/>
      <c r="N3163" s="64"/>
      <c r="P3163" s="63"/>
      <c r="Q3163" s="61"/>
      <c r="R3163" s="64"/>
      <c r="S3163" s="64"/>
    </row>
    <row r="3164" spans="2:19" x14ac:dyDescent="0.25">
      <c r="B3164" s="52"/>
      <c r="C3164" s="53"/>
      <c r="D3164" s="54"/>
      <c r="E3164" s="55"/>
      <c r="F3164" s="55"/>
      <c r="G3164" s="55"/>
      <c r="H3164" s="55"/>
      <c r="I3164" s="55"/>
      <c r="J3164" s="55"/>
      <c r="K3164" s="56"/>
      <c r="L3164" s="55"/>
      <c r="M3164" s="55"/>
      <c r="N3164" s="55"/>
      <c r="O3164" s="55"/>
      <c r="P3164" s="55"/>
      <c r="Q3164" s="55"/>
      <c r="R3164" s="57"/>
      <c r="S3164" s="58"/>
    </row>
    <row r="3165" spans="2:19" x14ac:dyDescent="0.25">
      <c r="B3165" s="52"/>
      <c r="C3165" s="53"/>
      <c r="D3165" s="54"/>
      <c r="E3165" s="55"/>
      <c r="F3165" s="55"/>
      <c r="G3165" s="55"/>
      <c r="H3165" s="55"/>
      <c r="I3165" s="55"/>
      <c r="J3165" s="55"/>
      <c r="K3165" s="56"/>
      <c r="L3165" s="55"/>
      <c r="M3165" s="55"/>
      <c r="N3165" s="55"/>
      <c r="O3165" s="55"/>
      <c r="P3165" s="55"/>
      <c r="Q3165" s="55"/>
      <c r="R3165" s="57"/>
      <c r="S3165" s="58"/>
    </row>
    <row r="3166" spans="2:19" x14ac:dyDescent="0.25">
      <c r="B3166" s="52"/>
      <c r="C3166" s="53"/>
      <c r="D3166" s="54"/>
      <c r="E3166" s="55"/>
      <c r="F3166" s="55"/>
      <c r="G3166" s="55"/>
      <c r="H3166" s="55"/>
      <c r="I3166" s="55"/>
      <c r="J3166" s="55"/>
      <c r="K3166" s="56"/>
      <c r="L3166" s="55"/>
      <c r="M3166" s="55"/>
      <c r="N3166" s="55"/>
      <c r="O3166" s="55"/>
      <c r="P3166" s="55"/>
      <c r="Q3166" s="55"/>
      <c r="R3166" s="57"/>
      <c r="S3166" s="58"/>
    </row>
    <row r="3167" spans="2:19" x14ac:dyDescent="0.25">
      <c r="B3167" s="52"/>
      <c r="C3167" s="53"/>
      <c r="D3167" s="54"/>
      <c r="E3167" s="55"/>
      <c r="F3167" s="55"/>
      <c r="G3167" s="55"/>
      <c r="H3167" s="55"/>
      <c r="I3167" s="55"/>
      <c r="J3167" s="55"/>
      <c r="K3167" s="56"/>
      <c r="L3167" s="55"/>
      <c r="M3167" s="55"/>
      <c r="N3167" s="55"/>
      <c r="O3167" s="55"/>
      <c r="P3167" s="55"/>
      <c r="Q3167" s="55"/>
      <c r="R3167" s="57"/>
      <c r="S3167" s="58"/>
    </row>
    <row r="3168" spans="2:19" x14ac:dyDescent="0.25">
      <c r="B3168" s="52"/>
      <c r="C3168" s="53"/>
      <c r="D3168" s="54"/>
      <c r="E3168" s="55"/>
      <c r="F3168" s="55"/>
      <c r="G3168" s="55"/>
      <c r="H3168" s="55"/>
      <c r="I3168" s="55"/>
      <c r="J3168" s="55"/>
      <c r="K3168" s="56"/>
      <c r="L3168" s="55"/>
      <c r="M3168" s="55"/>
      <c r="N3168" s="55"/>
      <c r="O3168" s="55"/>
      <c r="P3168" s="55"/>
      <c r="Q3168" s="55"/>
      <c r="R3168" s="57"/>
      <c r="S3168" s="58"/>
    </row>
    <row r="3169" spans="2:19" x14ac:dyDescent="0.25">
      <c r="B3169" s="52"/>
      <c r="C3169" s="53"/>
      <c r="D3169" s="54"/>
      <c r="E3169" s="55"/>
      <c r="F3169" s="55"/>
      <c r="G3169" s="55"/>
      <c r="H3169" s="55"/>
      <c r="I3169" s="55"/>
      <c r="J3169" s="55"/>
      <c r="K3169" s="56"/>
      <c r="L3169" s="55"/>
      <c r="M3169" s="55"/>
      <c r="N3169" s="55"/>
      <c r="O3169" s="55"/>
      <c r="P3169" s="55"/>
      <c r="Q3169" s="55"/>
      <c r="R3169" s="57"/>
      <c r="S3169" s="58"/>
    </row>
    <row r="3170" spans="2:19" x14ac:dyDescent="0.25">
      <c r="B3170" s="52"/>
      <c r="C3170" s="53"/>
      <c r="D3170" s="54"/>
      <c r="E3170" s="55"/>
      <c r="F3170" s="55"/>
      <c r="G3170" s="55"/>
      <c r="H3170" s="55"/>
      <c r="I3170" s="55"/>
      <c r="J3170" s="55"/>
      <c r="K3170" s="56"/>
      <c r="L3170" s="55"/>
      <c r="M3170" s="55"/>
      <c r="N3170" s="55"/>
      <c r="O3170" s="55"/>
      <c r="P3170" s="55"/>
      <c r="Q3170" s="55"/>
      <c r="R3170" s="57"/>
      <c r="S3170" s="58"/>
    </row>
    <row r="3171" spans="2:19" x14ac:dyDescent="0.25">
      <c r="B3171" s="52"/>
      <c r="C3171" s="53"/>
      <c r="D3171" s="54"/>
      <c r="E3171" s="55"/>
      <c r="F3171" s="55"/>
      <c r="G3171" s="55"/>
      <c r="H3171" s="55"/>
      <c r="I3171" s="55"/>
      <c r="J3171" s="55"/>
      <c r="K3171" s="56"/>
      <c r="L3171" s="55"/>
      <c r="M3171" s="55"/>
      <c r="N3171" s="55"/>
      <c r="O3171" s="55"/>
      <c r="P3171" s="55"/>
      <c r="Q3171" s="55"/>
      <c r="R3171" s="57"/>
      <c r="S3171" s="58"/>
    </row>
    <row r="3172" spans="2:19" ht="15.75" x14ac:dyDescent="0.25">
      <c r="B3172" s="52"/>
      <c r="C3172" s="53"/>
      <c r="D3172" s="54"/>
      <c r="E3172" s="55"/>
      <c r="F3172" s="55"/>
      <c r="G3172" s="55"/>
      <c r="H3172" s="55"/>
      <c r="I3172" s="55"/>
      <c r="J3172" s="55"/>
      <c r="K3172" s="59"/>
      <c r="L3172" s="55"/>
      <c r="M3172" s="55"/>
      <c r="N3172" s="55"/>
      <c r="O3172" s="55"/>
      <c r="P3172" s="55"/>
      <c r="Q3172" s="55"/>
      <c r="R3172" s="57"/>
      <c r="S3172" s="58"/>
    </row>
    <row r="3173" spans="2:19" x14ac:dyDescent="0.25">
      <c r="B3173" s="52"/>
      <c r="C3173" s="53"/>
      <c r="D3173" s="54"/>
      <c r="E3173" s="55"/>
      <c r="F3173" s="55"/>
      <c r="G3173" s="55"/>
      <c r="H3173" s="55"/>
      <c r="I3173" s="55"/>
      <c r="J3173" s="55"/>
      <c r="K3173" s="56"/>
      <c r="L3173" s="55"/>
      <c r="M3173" s="55"/>
      <c r="N3173" s="55"/>
      <c r="O3173" s="55"/>
      <c r="P3173" s="55"/>
      <c r="Q3173" s="55"/>
      <c r="R3173" s="57"/>
      <c r="S3173" s="58"/>
    </row>
    <row r="3174" spans="2:19" x14ac:dyDescent="0.25">
      <c r="B3174" s="52"/>
      <c r="C3174" s="53"/>
      <c r="D3174" s="54"/>
      <c r="E3174" s="55"/>
      <c r="F3174" s="55"/>
      <c r="G3174" s="55"/>
      <c r="H3174" s="55"/>
      <c r="I3174" s="55"/>
      <c r="J3174" s="55"/>
      <c r="K3174" s="56"/>
      <c r="L3174" s="55"/>
      <c r="M3174" s="55"/>
      <c r="N3174" s="55"/>
      <c r="O3174" s="55"/>
      <c r="P3174" s="55"/>
      <c r="Q3174" s="55"/>
      <c r="R3174" s="57"/>
      <c r="S3174" s="58"/>
    </row>
    <row r="3175" spans="2:19" x14ac:dyDescent="0.25">
      <c r="B3175" s="52"/>
      <c r="C3175" s="53"/>
      <c r="D3175" s="54"/>
      <c r="E3175" s="55"/>
      <c r="F3175" s="55"/>
      <c r="G3175" s="55"/>
      <c r="H3175" s="55"/>
      <c r="I3175" s="55"/>
      <c r="J3175" s="55"/>
      <c r="K3175" s="56"/>
      <c r="L3175" s="55"/>
      <c r="M3175" s="55"/>
      <c r="N3175" s="55"/>
      <c r="O3175" s="55"/>
      <c r="P3175" s="55"/>
      <c r="Q3175" s="55"/>
      <c r="R3175" s="57"/>
      <c r="S3175" s="58"/>
    </row>
    <row r="3176" spans="2:19" x14ac:dyDescent="0.25">
      <c r="B3176" s="52"/>
      <c r="C3176" s="53"/>
      <c r="D3176" s="54"/>
      <c r="E3176" s="55"/>
      <c r="F3176" s="55"/>
      <c r="G3176" s="55"/>
      <c r="H3176" s="55"/>
      <c r="I3176" s="55"/>
      <c r="J3176" s="55"/>
      <c r="K3176" s="56"/>
      <c r="L3176" s="55"/>
      <c r="M3176" s="55"/>
      <c r="N3176" s="55"/>
      <c r="O3176" s="55"/>
      <c r="P3176" s="55"/>
      <c r="Q3176" s="55"/>
      <c r="R3176" s="57"/>
      <c r="S3176" s="58"/>
    </row>
    <row r="3177" spans="2:19" x14ac:dyDescent="0.25">
      <c r="B3177" s="52"/>
      <c r="C3177" s="53"/>
      <c r="D3177" s="54"/>
      <c r="E3177" s="55"/>
      <c r="F3177" s="55"/>
      <c r="G3177" s="55"/>
      <c r="H3177" s="55"/>
      <c r="I3177" s="55"/>
      <c r="J3177" s="55"/>
      <c r="K3177" s="56"/>
      <c r="L3177" s="55"/>
      <c r="M3177" s="55"/>
      <c r="N3177" s="55"/>
      <c r="O3177" s="55"/>
      <c r="P3177" s="55"/>
      <c r="Q3177" s="55"/>
      <c r="R3177" s="57"/>
      <c r="S3177" s="58"/>
    </row>
    <row r="3178" spans="2:19" x14ac:dyDescent="0.25">
      <c r="B3178" s="52"/>
      <c r="C3178" s="53"/>
      <c r="D3178" s="54"/>
      <c r="E3178" s="55"/>
      <c r="F3178" s="55"/>
      <c r="G3178" s="55"/>
      <c r="H3178" s="55"/>
      <c r="I3178" s="55"/>
      <c r="J3178" s="55"/>
      <c r="K3178" s="56"/>
      <c r="L3178" s="55"/>
      <c r="M3178" s="55"/>
      <c r="N3178" s="55"/>
      <c r="O3178" s="55"/>
      <c r="P3178" s="55"/>
      <c r="Q3178" s="55"/>
      <c r="R3178" s="57"/>
      <c r="S3178" s="58"/>
    </row>
    <row r="3179" spans="2:19" x14ac:dyDescent="0.25">
      <c r="B3179" s="52"/>
      <c r="C3179" s="53"/>
      <c r="D3179" s="54"/>
      <c r="E3179" s="55"/>
      <c r="F3179" s="55"/>
      <c r="G3179" s="55"/>
      <c r="H3179" s="55"/>
      <c r="I3179" s="55"/>
      <c r="J3179" s="55"/>
      <c r="K3179" s="56"/>
      <c r="L3179" s="55"/>
      <c r="M3179" s="55"/>
      <c r="N3179" s="55"/>
      <c r="O3179" s="55"/>
      <c r="P3179" s="55"/>
      <c r="Q3179" s="55"/>
      <c r="R3179" s="57"/>
      <c r="S3179" s="58"/>
    </row>
    <row r="3180" spans="2:19" x14ac:dyDescent="0.25">
      <c r="B3180" s="52"/>
      <c r="C3180" s="60"/>
      <c r="E3180" s="61"/>
      <c r="F3180" s="62"/>
      <c r="G3180" s="63"/>
      <c r="H3180" s="64"/>
      <c r="I3180" s="64"/>
      <c r="J3180" s="64"/>
      <c r="K3180" s="65"/>
      <c r="L3180" s="64"/>
      <c r="M3180" s="64"/>
      <c r="N3180" s="64"/>
      <c r="P3180" s="63"/>
      <c r="Q3180" s="61"/>
      <c r="R3180" s="64"/>
      <c r="S3180" s="64"/>
    </row>
    <row r="3181" spans="2:19" x14ac:dyDescent="0.25">
      <c r="B3181" s="52"/>
      <c r="C3181" s="53"/>
      <c r="D3181" s="54"/>
      <c r="E3181" s="55"/>
      <c r="F3181" s="55"/>
      <c r="G3181" s="55"/>
      <c r="H3181" s="55"/>
      <c r="I3181" s="55"/>
      <c r="J3181" s="55"/>
      <c r="K3181" s="56"/>
      <c r="L3181" s="55"/>
      <c r="M3181" s="55"/>
      <c r="N3181" s="55"/>
      <c r="O3181" s="55"/>
      <c r="P3181" s="55"/>
      <c r="Q3181" s="55"/>
      <c r="R3181" s="57"/>
      <c r="S3181" s="58"/>
    </row>
    <row r="3182" spans="2:19" x14ac:dyDescent="0.25">
      <c r="B3182" s="52"/>
      <c r="C3182" s="53"/>
      <c r="D3182" s="54"/>
      <c r="E3182" s="55"/>
      <c r="F3182" s="55"/>
      <c r="G3182" s="55"/>
      <c r="H3182" s="55"/>
      <c r="I3182" s="55"/>
      <c r="J3182" s="55"/>
      <c r="K3182" s="56"/>
      <c r="L3182" s="55"/>
      <c r="M3182" s="55"/>
      <c r="N3182" s="55"/>
      <c r="O3182" s="55"/>
      <c r="P3182" s="55"/>
      <c r="Q3182" s="55"/>
      <c r="R3182" s="57"/>
      <c r="S3182" s="58"/>
    </row>
    <row r="3183" spans="2:19" x14ac:dyDescent="0.25">
      <c r="B3183" s="52"/>
      <c r="C3183" s="53"/>
      <c r="D3183" s="54"/>
      <c r="E3183" s="55"/>
      <c r="F3183" s="55"/>
      <c r="G3183" s="55"/>
      <c r="H3183" s="55"/>
      <c r="I3183" s="55"/>
      <c r="J3183" s="55"/>
      <c r="K3183" s="56"/>
      <c r="L3183" s="55"/>
      <c r="M3183" s="55"/>
      <c r="N3183" s="55"/>
      <c r="O3183" s="55"/>
      <c r="P3183" s="55"/>
      <c r="Q3183" s="55"/>
      <c r="R3183" s="57"/>
      <c r="S3183" s="58"/>
    </row>
    <row r="3184" spans="2:19" x14ac:dyDescent="0.25">
      <c r="B3184" s="52"/>
      <c r="C3184" s="53"/>
      <c r="D3184" s="54"/>
      <c r="E3184" s="55"/>
      <c r="F3184" s="55"/>
      <c r="G3184" s="55"/>
      <c r="H3184" s="55"/>
      <c r="I3184" s="55"/>
      <c r="J3184" s="55"/>
      <c r="K3184" s="56"/>
      <c r="L3184" s="55"/>
      <c r="M3184" s="55"/>
      <c r="N3184" s="55"/>
      <c r="O3184" s="55"/>
      <c r="P3184" s="55"/>
      <c r="Q3184" s="55"/>
      <c r="R3184" s="57"/>
      <c r="S3184" s="58"/>
    </row>
    <row r="3185" spans="2:19" x14ac:dyDescent="0.25">
      <c r="B3185" s="52"/>
      <c r="C3185" s="53"/>
      <c r="D3185" s="54"/>
      <c r="E3185" s="55"/>
      <c r="F3185" s="55"/>
      <c r="G3185" s="55"/>
      <c r="H3185" s="55"/>
      <c r="I3185" s="55"/>
      <c r="J3185" s="55"/>
      <c r="K3185" s="56"/>
      <c r="L3185" s="55"/>
      <c r="M3185" s="55"/>
      <c r="N3185" s="55"/>
      <c r="O3185" s="55"/>
      <c r="P3185" s="55"/>
      <c r="Q3185" s="55"/>
      <c r="R3185" s="57"/>
      <c r="S3185" s="58"/>
    </row>
    <row r="3186" spans="2:19" x14ac:dyDescent="0.25">
      <c r="B3186" s="52"/>
      <c r="C3186" s="53"/>
      <c r="D3186" s="54"/>
      <c r="E3186" s="55"/>
      <c r="F3186" s="55"/>
      <c r="G3186" s="55"/>
      <c r="H3186" s="55"/>
      <c r="I3186" s="55"/>
      <c r="J3186" s="55"/>
      <c r="K3186" s="56"/>
      <c r="L3186" s="55"/>
      <c r="M3186" s="55"/>
      <c r="N3186" s="55"/>
      <c r="O3186" s="55"/>
      <c r="P3186" s="55"/>
      <c r="Q3186" s="55"/>
      <c r="R3186" s="57"/>
      <c r="S3186" s="58"/>
    </row>
    <row r="3187" spans="2:19" x14ac:dyDescent="0.25">
      <c r="B3187" s="52"/>
      <c r="C3187" s="53"/>
      <c r="D3187" s="54"/>
      <c r="E3187" s="55"/>
      <c r="F3187" s="55"/>
      <c r="G3187" s="55"/>
      <c r="H3187" s="55"/>
      <c r="I3187" s="55"/>
      <c r="J3187" s="55"/>
      <c r="K3187" s="56"/>
      <c r="L3187" s="55"/>
      <c r="M3187" s="55"/>
      <c r="N3187" s="55"/>
      <c r="O3187" s="55"/>
      <c r="P3187" s="55"/>
      <c r="Q3187" s="55"/>
      <c r="R3187" s="57"/>
      <c r="S3187" s="58"/>
    </row>
    <row r="3188" spans="2:19" x14ac:dyDescent="0.25">
      <c r="B3188" s="52"/>
      <c r="C3188" s="53"/>
      <c r="D3188" s="54"/>
      <c r="E3188" s="55"/>
      <c r="F3188" s="55"/>
      <c r="G3188" s="55"/>
      <c r="H3188" s="55"/>
      <c r="I3188" s="55"/>
      <c r="J3188" s="55"/>
      <c r="K3188" s="56"/>
      <c r="L3188" s="55"/>
      <c r="M3188" s="55"/>
      <c r="N3188" s="55"/>
      <c r="O3188" s="55"/>
      <c r="P3188" s="55"/>
      <c r="Q3188" s="55"/>
      <c r="R3188" s="57"/>
      <c r="S3188" s="58"/>
    </row>
    <row r="3189" spans="2:19" ht="15.75" x14ac:dyDescent="0.25">
      <c r="B3189" s="52"/>
      <c r="C3189" s="53"/>
      <c r="D3189" s="54"/>
      <c r="E3189" s="55"/>
      <c r="F3189" s="55"/>
      <c r="G3189" s="55"/>
      <c r="H3189" s="55"/>
      <c r="I3189" s="55"/>
      <c r="J3189" s="55"/>
      <c r="K3189" s="59"/>
      <c r="L3189" s="55"/>
      <c r="M3189" s="55"/>
      <c r="N3189" s="55"/>
      <c r="O3189" s="55"/>
      <c r="P3189" s="55"/>
      <c r="Q3189" s="55"/>
      <c r="R3189" s="57"/>
      <c r="S3189" s="58"/>
    </row>
    <row r="3190" spans="2:19" x14ac:dyDescent="0.25">
      <c r="B3190" s="52"/>
      <c r="C3190" s="53"/>
      <c r="D3190" s="54"/>
      <c r="E3190" s="55"/>
      <c r="F3190" s="55"/>
      <c r="G3190" s="55"/>
      <c r="H3190" s="55"/>
      <c r="I3190" s="55"/>
      <c r="J3190" s="55"/>
      <c r="K3190" s="56"/>
      <c r="L3190" s="55"/>
      <c r="M3190" s="55"/>
      <c r="N3190" s="55"/>
      <c r="O3190" s="55"/>
      <c r="P3190" s="55"/>
      <c r="Q3190" s="55"/>
      <c r="R3190" s="57"/>
      <c r="S3190" s="58"/>
    </row>
    <row r="3191" spans="2:19" x14ac:dyDescent="0.25">
      <c r="B3191" s="52"/>
      <c r="C3191" s="53"/>
      <c r="D3191" s="54"/>
      <c r="E3191" s="55"/>
      <c r="F3191" s="55"/>
      <c r="G3191" s="55"/>
      <c r="H3191" s="55"/>
      <c r="I3191" s="55"/>
      <c r="J3191" s="55"/>
      <c r="K3191" s="56"/>
      <c r="L3191" s="55"/>
      <c r="M3191" s="55"/>
      <c r="N3191" s="55"/>
      <c r="O3191" s="55"/>
      <c r="P3191" s="55"/>
      <c r="Q3191" s="55"/>
      <c r="R3191" s="57"/>
      <c r="S3191" s="58"/>
    </row>
    <row r="3192" spans="2:19" x14ac:dyDescent="0.25">
      <c r="B3192" s="52"/>
      <c r="C3192" s="53"/>
      <c r="D3192" s="54"/>
      <c r="E3192" s="55"/>
      <c r="F3192" s="55"/>
      <c r="G3192" s="55"/>
      <c r="H3192" s="55"/>
      <c r="I3192" s="55"/>
      <c r="J3192" s="55"/>
      <c r="K3192" s="56"/>
      <c r="L3192" s="55"/>
      <c r="M3192" s="55"/>
      <c r="N3192" s="55"/>
      <c r="O3192" s="55"/>
      <c r="P3192" s="55"/>
      <c r="Q3192" s="55"/>
      <c r="R3192" s="57"/>
      <c r="S3192" s="58"/>
    </row>
    <row r="3193" spans="2:19" x14ac:dyDescent="0.25">
      <c r="B3193" s="52"/>
      <c r="C3193" s="53"/>
      <c r="D3193" s="54"/>
      <c r="E3193" s="55"/>
      <c r="F3193" s="55"/>
      <c r="G3193" s="55"/>
      <c r="H3193" s="55"/>
      <c r="I3193" s="55"/>
      <c r="J3193" s="55"/>
      <c r="K3193" s="56"/>
      <c r="L3193" s="55"/>
      <c r="M3193" s="55"/>
      <c r="N3193" s="55"/>
      <c r="O3193" s="55"/>
      <c r="P3193" s="55"/>
      <c r="Q3193" s="55"/>
      <c r="R3193" s="57"/>
      <c r="S3193" s="58"/>
    </row>
    <row r="3194" spans="2:19" x14ac:dyDescent="0.25">
      <c r="B3194" s="52"/>
      <c r="C3194" s="53"/>
      <c r="D3194" s="54"/>
      <c r="E3194" s="55"/>
      <c r="F3194" s="55"/>
      <c r="G3194" s="55"/>
      <c r="H3194" s="55"/>
      <c r="I3194" s="55"/>
      <c r="J3194" s="55"/>
      <c r="K3194" s="56"/>
      <c r="L3194" s="55"/>
      <c r="M3194" s="55"/>
      <c r="N3194" s="55"/>
      <c r="O3194" s="55"/>
      <c r="P3194" s="55"/>
      <c r="Q3194" s="55"/>
      <c r="R3194" s="57"/>
      <c r="S3194" s="58"/>
    </row>
    <row r="3195" spans="2:19" x14ac:dyDescent="0.25">
      <c r="B3195" s="52"/>
      <c r="C3195" s="53"/>
      <c r="D3195" s="54"/>
      <c r="E3195" s="55"/>
      <c r="F3195" s="55"/>
      <c r="G3195" s="55"/>
      <c r="H3195" s="55"/>
      <c r="I3195" s="55"/>
      <c r="J3195" s="55"/>
      <c r="K3195" s="56"/>
      <c r="L3195" s="55"/>
      <c r="M3195" s="55"/>
      <c r="N3195" s="55"/>
      <c r="O3195" s="55"/>
      <c r="P3195" s="55"/>
      <c r="Q3195" s="55"/>
      <c r="R3195" s="57"/>
      <c r="S3195" s="58"/>
    </row>
    <row r="3196" spans="2:19" x14ac:dyDescent="0.25">
      <c r="B3196" s="52"/>
      <c r="C3196" s="53"/>
      <c r="D3196" s="54"/>
      <c r="E3196" s="55"/>
      <c r="F3196" s="55"/>
      <c r="G3196" s="55"/>
      <c r="H3196" s="55"/>
      <c r="I3196" s="55"/>
      <c r="J3196" s="55"/>
      <c r="K3196" s="56"/>
      <c r="L3196" s="55"/>
      <c r="M3196" s="55"/>
      <c r="N3196" s="55"/>
      <c r="O3196" s="55"/>
      <c r="P3196" s="55"/>
      <c r="Q3196" s="55"/>
      <c r="R3196" s="57"/>
      <c r="S3196" s="58"/>
    </row>
    <row r="3197" spans="2:19" x14ac:dyDescent="0.25">
      <c r="B3197" s="52"/>
      <c r="C3197" s="60"/>
      <c r="E3197" s="61"/>
      <c r="F3197" s="62"/>
      <c r="G3197" s="63"/>
      <c r="H3197" s="64"/>
      <c r="I3197" s="64"/>
      <c r="J3197" s="64"/>
      <c r="K3197" s="65"/>
      <c r="L3197" s="64"/>
      <c r="M3197" s="64"/>
      <c r="N3197" s="64"/>
      <c r="P3197" s="63"/>
      <c r="Q3197" s="61"/>
      <c r="R3197" s="64"/>
      <c r="S3197" s="64"/>
    </row>
    <row r="3198" spans="2:19" x14ac:dyDescent="0.25">
      <c r="B3198" s="52"/>
      <c r="C3198" s="53"/>
      <c r="D3198" s="54"/>
      <c r="E3198" s="55"/>
      <c r="F3198" s="55"/>
      <c r="G3198" s="55"/>
      <c r="H3198" s="55"/>
      <c r="I3198" s="55"/>
      <c r="J3198" s="55"/>
      <c r="K3198" s="56"/>
      <c r="L3198" s="55"/>
      <c r="M3198" s="55"/>
      <c r="N3198" s="55"/>
      <c r="O3198" s="55"/>
      <c r="P3198" s="55"/>
      <c r="Q3198" s="55"/>
      <c r="R3198" s="57"/>
      <c r="S3198" s="58"/>
    </row>
    <row r="3199" spans="2:19" x14ac:dyDescent="0.25">
      <c r="B3199" s="52"/>
      <c r="C3199" s="53"/>
      <c r="D3199" s="54"/>
      <c r="E3199" s="55"/>
      <c r="F3199" s="55"/>
      <c r="G3199" s="55"/>
      <c r="H3199" s="55"/>
      <c r="I3199" s="55"/>
      <c r="J3199" s="55"/>
      <c r="K3199" s="56"/>
      <c r="L3199" s="55"/>
      <c r="M3199" s="55"/>
      <c r="N3199" s="55"/>
      <c r="O3199" s="55"/>
      <c r="P3199" s="55"/>
      <c r="Q3199" s="55"/>
      <c r="R3199" s="57"/>
      <c r="S3199" s="58"/>
    </row>
    <row r="3200" spans="2:19" x14ac:dyDescent="0.25">
      <c r="B3200" s="52"/>
      <c r="C3200" s="53"/>
      <c r="D3200" s="54"/>
      <c r="E3200" s="55"/>
      <c r="F3200" s="55"/>
      <c r="G3200" s="55"/>
      <c r="H3200" s="55"/>
      <c r="I3200" s="55"/>
      <c r="J3200" s="55"/>
      <c r="K3200" s="56"/>
      <c r="L3200" s="55"/>
      <c r="M3200" s="55"/>
      <c r="N3200" s="55"/>
      <c r="O3200" s="55"/>
      <c r="P3200" s="55"/>
      <c r="Q3200" s="55"/>
      <c r="R3200" s="57"/>
      <c r="S3200" s="58"/>
    </row>
    <row r="3201" spans="2:19" x14ac:dyDescent="0.25">
      <c r="B3201" s="52"/>
      <c r="C3201" s="53"/>
      <c r="D3201" s="54"/>
      <c r="E3201" s="55"/>
      <c r="F3201" s="55"/>
      <c r="G3201" s="55"/>
      <c r="H3201" s="55"/>
      <c r="I3201" s="55"/>
      <c r="J3201" s="55"/>
      <c r="K3201" s="56"/>
      <c r="L3201" s="55"/>
      <c r="M3201" s="55"/>
      <c r="N3201" s="55"/>
      <c r="O3201" s="55"/>
      <c r="P3201" s="55"/>
      <c r="Q3201" s="55"/>
      <c r="R3201" s="57"/>
      <c r="S3201" s="58"/>
    </row>
    <row r="3202" spans="2:19" x14ac:dyDescent="0.25">
      <c r="B3202" s="52"/>
      <c r="C3202" s="53"/>
      <c r="D3202" s="54"/>
      <c r="E3202" s="55"/>
      <c r="F3202" s="55"/>
      <c r="G3202" s="55"/>
      <c r="H3202" s="55"/>
      <c r="I3202" s="55"/>
      <c r="J3202" s="55"/>
      <c r="K3202" s="56"/>
      <c r="L3202" s="55"/>
      <c r="M3202" s="55"/>
      <c r="N3202" s="55"/>
      <c r="O3202" s="55"/>
      <c r="P3202" s="55"/>
      <c r="Q3202" s="55"/>
      <c r="R3202" s="57"/>
      <c r="S3202" s="58"/>
    </row>
    <row r="3203" spans="2:19" x14ac:dyDescent="0.25">
      <c r="B3203" s="52"/>
      <c r="C3203" s="53"/>
      <c r="D3203" s="54"/>
      <c r="E3203" s="55"/>
      <c r="F3203" s="55"/>
      <c r="G3203" s="55"/>
      <c r="H3203" s="55"/>
      <c r="I3203" s="55"/>
      <c r="J3203" s="55"/>
      <c r="K3203" s="56"/>
      <c r="L3203" s="55"/>
      <c r="M3203" s="55"/>
      <c r="N3203" s="55"/>
      <c r="O3203" s="55"/>
      <c r="P3203" s="55"/>
      <c r="Q3203" s="55"/>
      <c r="R3203" s="57"/>
      <c r="S3203" s="58"/>
    </row>
    <row r="3204" spans="2:19" x14ac:dyDescent="0.25">
      <c r="B3204" s="52"/>
      <c r="C3204" s="53"/>
      <c r="D3204" s="54"/>
      <c r="E3204" s="55"/>
      <c r="F3204" s="55"/>
      <c r="G3204" s="55"/>
      <c r="H3204" s="55"/>
      <c r="I3204" s="55"/>
      <c r="J3204" s="55"/>
      <c r="K3204" s="56"/>
      <c r="L3204" s="55"/>
      <c r="M3204" s="55"/>
      <c r="N3204" s="55"/>
      <c r="O3204" s="55"/>
      <c r="P3204" s="55"/>
      <c r="Q3204" s="55"/>
      <c r="R3204" s="57"/>
      <c r="S3204" s="58"/>
    </row>
    <row r="3205" spans="2:19" x14ac:dyDescent="0.25">
      <c r="B3205" s="52"/>
      <c r="C3205" s="53"/>
      <c r="D3205" s="54"/>
      <c r="E3205" s="55"/>
      <c r="F3205" s="55"/>
      <c r="G3205" s="55"/>
      <c r="H3205" s="55"/>
      <c r="I3205" s="55"/>
      <c r="J3205" s="55"/>
      <c r="K3205" s="56"/>
      <c r="L3205" s="55"/>
      <c r="M3205" s="55"/>
      <c r="N3205" s="55"/>
      <c r="O3205" s="55"/>
      <c r="P3205" s="55"/>
      <c r="Q3205" s="55"/>
      <c r="R3205" s="57"/>
      <c r="S3205" s="58"/>
    </row>
    <row r="3206" spans="2:19" ht="15.75" x14ac:dyDescent="0.25">
      <c r="B3206" s="52"/>
      <c r="C3206" s="53"/>
      <c r="D3206" s="54"/>
      <c r="E3206" s="55"/>
      <c r="F3206" s="55"/>
      <c r="G3206" s="55"/>
      <c r="H3206" s="55"/>
      <c r="I3206" s="55"/>
      <c r="J3206" s="55"/>
      <c r="K3206" s="59"/>
      <c r="L3206" s="55"/>
      <c r="M3206" s="55"/>
      <c r="N3206" s="55"/>
      <c r="O3206" s="55"/>
      <c r="P3206" s="55"/>
      <c r="Q3206" s="55"/>
      <c r="R3206" s="57"/>
      <c r="S3206" s="58"/>
    </row>
    <row r="3207" spans="2:19" x14ac:dyDescent="0.25">
      <c r="B3207" s="52"/>
      <c r="C3207" s="53"/>
      <c r="D3207" s="54"/>
      <c r="E3207" s="55"/>
      <c r="F3207" s="55"/>
      <c r="G3207" s="55"/>
      <c r="H3207" s="55"/>
      <c r="I3207" s="55"/>
      <c r="J3207" s="55"/>
      <c r="K3207" s="56"/>
      <c r="L3207" s="55"/>
      <c r="M3207" s="55"/>
      <c r="N3207" s="55"/>
      <c r="O3207" s="55"/>
      <c r="P3207" s="55"/>
      <c r="Q3207" s="55"/>
      <c r="R3207" s="57"/>
      <c r="S3207" s="58"/>
    </row>
    <row r="3208" spans="2:19" x14ac:dyDescent="0.25">
      <c r="B3208" s="52"/>
      <c r="C3208" s="53"/>
      <c r="D3208" s="54"/>
      <c r="E3208" s="55"/>
      <c r="F3208" s="55"/>
      <c r="G3208" s="55"/>
      <c r="H3208" s="55"/>
      <c r="I3208" s="55"/>
      <c r="J3208" s="55"/>
      <c r="K3208" s="56"/>
      <c r="L3208" s="55"/>
      <c r="M3208" s="55"/>
      <c r="N3208" s="55"/>
      <c r="O3208" s="55"/>
      <c r="P3208" s="55"/>
      <c r="Q3208" s="55"/>
      <c r="R3208" s="57"/>
      <c r="S3208" s="58"/>
    </row>
    <row r="3209" spans="2:19" x14ac:dyDescent="0.25">
      <c r="B3209" s="52"/>
      <c r="C3209" s="53"/>
      <c r="D3209" s="54"/>
      <c r="E3209" s="55"/>
      <c r="F3209" s="55"/>
      <c r="G3209" s="55"/>
      <c r="H3209" s="55"/>
      <c r="I3209" s="55"/>
      <c r="J3209" s="55"/>
      <c r="K3209" s="56"/>
      <c r="L3209" s="55"/>
      <c r="M3209" s="55"/>
      <c r="N3209" s="55"/>
      <c r="O3209" s="55"/>
      <c r="P3209" s="55"/>
      <c r="Q3209" s="55"/>
      <c r="R3209" s="57"/>
      <c r="S3209" s="58"/>
    </row>
    <row r="3210" spans="2:19" x14ac:dyDescent="0.25">
      <c r="B3210" s="52"/>
      <c r="C3210" s="53"/>
      <c r="D3210" s="54"/>
      <c r="E3210" s="55"/>
      <c r="F3210" s="55"/>
      <c r="G3210" s="55"/>
      <c r="H3210" s="55"/>
      <c r="I3210" s="55"/>
      <c r="J3210" s="55"/>
      <c r="K3210" s="56"/>
      <c r="L3210" s="55"/>
      <c r="M3210" s="55"/>
      <c r="N3210" s="55"/>
      <c r="O3210" s="55"/>
      <c r="P3210" s="55"/>
      <c r="Q3210" s="55"/>
      <c r="R3210" s="57"/>
      <c r="S3210" s="58"/>
    </row>
    <row r="3211" spans="2:19" x14ac:dyDescent="0.25">
      <c r="B3211" s="52"/>
      <c r="C3211" s="53"/>
      <c r="D3211" s="54"/>
      <c r="E3211" s="55"/>
      <c r="F3211" s="55"/>
      <c r="G3211" s="55"/>
      <c r="H3211" s="55"/>
      <c r="I3211" s="55"/>
      <c r="J3211" s="55"/>
      <c r="K3211" s="56"/>
      <c r="L3211" s="55"/>
      <c r="M3211" s="55"/>
      <c r="N3211" s="55"/>
      <c r="O3211" s="55"/>
      <c r="P3211" s="55"/>
      <c r="Q3211" s="55"/>
      <c r="R3211" s="57"/>
      <c r="S3211" s="58"/>
    </row>
    <row r="3212" spans="2:19" x14ac:dyDescent="0.25">
      <c r="B3212" s="52"/>
      <c r="C3212" s="53"/>
      <c r="D3212" s="54"/>
      <c r="E3212" s="55"/>
      <c r="F3212" s="55"/>
      <c r="G3212" s="55"/>
      <c r="H3212" s="55"/>
      <c r="I3212" s="55"/>
      <c r="J3212" s="55"/>
      <c r="K3212" s="56"/>
      <c r="L3212" s="55"/>
      <c r="M3212" s="55"/>
      <c r="N3212" s="55"/>
      <c r="O3212" s="55"/>
      <c r="P3212" s="55"/>
      <c r="Q3212" s="55"/>
      <c r="R3212" s="57"/>
      <c r="S3212" s="58"/>
    </row>
    <row r="3213" spans="2:19" x14ac:dyDescent="0.25">
      <c r="B3213" s="52"/>
      <c r="C3213" s="53"/>
      <c r="D3213" s="54"/>
      <c r="E3213" s="55"/>
      <c r="F3213" s="55"/>
      <c r="G3213" s="55"/>
      <c r="H3213" s="55"/>
      <c r="I3213" s="55"/>
      <c r="J3213" s="55"/>
      <c r="K3213" s="56"/>
      <c r="L3213" s="55"/>
      <c r="M3213" s="55"/>
      <c r="N3213" s="55"/>
      <c r="O3213" s="55"/>
      <c r="P3213" s="55"/>
      <c r="Q3213" s="55"/>
      <c r="R3213" s="57"/>
      <c r="S3213" s="58"/>
    </row>
    <row r="3214" spans="2:19" x14ac:dyDescent="0.25">
      <c r="B3214" s="52"/>
      <c r="C3214" s="60"/>
      <c r="E3214" s="61"/>
      <c r="F3214" s="62"/>
      <c r="G3214" s="63"/>
      <c r="H3214" s="64"/>
      <c r="I3214" s="64"/>
      <c r="J3214" s="64"/>
      <c r="K3214" s="65"/>
      <c r="L3214" s="64"/>
      <c r="M3214" s="64"/>
      <c r="N3214" s="64"/>
      <c r="P3214" s="63"/>
      <c r="Q3214" s="61"/>
      <c r="R3214" s="64"/>
      <c r="S3214" s="64"/>
    </row>
    <row r="3215" spans="2:19" x14ac:dyDescent="0.25">
      <c r="B3215" s="52"/>
      <c r="C3215" s="53"/>
      <c r="D3215" s="54"/>
      <c r="E3215" s="55"/>
      <c r="F3215" s="55"/>
      <c r="G3215" s="55"/>
      <c r="H3215" s="55"/>
      <c r="I3215" s="55"/>
      <c r="J3215" s="55"/>
      <c r="K3215" s="56"/>
      <c r="L3215" s="55"/>
      <c r="M3215" s="55"/>
      <c r="N3215" s="55"/>
      <c r="O3215" s="55"/>
      <c r="P3215" s="55"/>
      <c r="Q3215" s="55"/>
      <c r="R3215" s="57"/>
      <c r="S3215" s="58"/>
    </row>
    <row r="3216" spans="2:19" x14ac:dyDescent="0.25">
      <c r="B3216" s="52"/>
      <c r="C3216" s="53"/>
      <c r="D3216" s="54"/>
      <c r="E3216" s="55"/>
      <c r="F3216" s="55"/>
      <c r="G3216" s="55"/>
      <c r="H3216" s="55"/>
      <c r="I3216" s="55"/>
      <c r="J3216" s="55"/>
      <c r="K3216" s="56"/>
      <c r="L3216" s="55"/>
      <c r="M3216" s="55"/>
      <c r="N3216" s="55"/>
      <c r="O3216" s="55"/>
      <c r="P3216" s="55"/>
      <c r="Q3216" s="55"/>
      <c r="R3216" s="57"/>
      <c r="S3216" s="58"/>
    </row>
    <row r="3217" spans="2:19" x14ac:dyDescent="0.25">
      <c r="B3217" s="52"/>
      <c r="C3217" s="53"/>
      <c r="D3217" s="54"/>
      <c r="E3217" s="55"/>
      <c r="F3217" s="55"/>
      <c r="G3217" s="55"/>
      <c r="H3217" s="55"/>
      <c r="I3217" s="55"/>
      <c r="J3217" s="55"/>
      <c r="K3217" s="56"/>
      <c r="L3217" s="55"/>
      <c r="M3217" s="55"/>
      <c r="N3217" s="55"/>
      <c r="O3217" s="55"/>
      <c r="P3217" s="55"/>
      <c r="Q3217" s="55"/>
      <c r="R3217" s="57"/>
      <c r="S3217" s="58"/>
    </row>
    <row r="3218" spans="2:19" x14ac:dyDescent="0.25">
      <c r="B3218" s="52"/>
      <c r="C3218" s="53"/>
      <c r="D3218" s="54"/>
      <c r="E3218" s="55"/>
      <c r="F3218" s="55"/>
      <c r="G3218" s="55"/>
      <c r="H3218" s="55"/>
      <c r="I3218" s="55"/>
      <c r="J3218" s="55"/>
      <c r="K3218" s="56"/>
      <c r="L3218" s="55"/>
      <c r="M3218" s="55"/>
      <c r="N3218" s="55"/>
      <c r="O3218" s="55"/>
      <c r="P3218" s="55"/>
      <c r="Q3218" s="55"/>
      <c r="R3218" s="57"/>
      <c r="S3218" s="58"/>
    </row>
    <row r="3219" spans="2:19" x14ac:dyDescent="0.25">
      <c r="B3219" s="52"/>
      <c r="C3219" s="53"/>
      <c r="D3219" s="54"/>
      <c r="E3219" s="55"/>
      <c r="F3219" s="55"/>
      <c r="G3219" s="55"/>
      <c r="H3219" s="55"/>
      <c r="I3219" s="55"/>
      <c r="J3219" s="55"/>
      <c r="K3219" s="56"/>
      <c r="L3219" s="55"/>
      <c r="M3219" s="55"/>
      <c r="N3219" s="55"/>
      <c r="O3219" s="55"/>
      <c r="P3219" s="55"/>
      <c r="Q3219" s="55"/>
      <c r="R3219" s="57"/>
      <c r="S3219" s="58"/>
    </row>
    <row r="3220" spans="2:19" x14ac:dyDescent="0.25">
      <c r="B3220" s="52"/>
      <c r="C3220" s="53"/>
      <c r="D3220" s="54"/>
      <c r="E3220" s="55"/>
      <c r="F3220" s="55"/>
      <c r="G3220" s="55"/>
      <c r="H3220" s="55"/>
      <c r="I3220" s="55"/>
      <c r="J3220" s="55"/>
      <c r="K3220" s="56"/>
      <c r="L3220" s="55"/>
      <c r="M3220" s="55"/>
      <c r="N3220" s="55"/>
      <c r="O3220" s="55"/>
      <c r="P3220" s="55"/>
      <c r="Q3220" s="55"/>
      <c r="R3220" s="57"/>
      <c r="S3220" s="58"/>
    </row>
    <row r="3221" spans="2:19" x14ac:dyDescent="0.25">
      <c r="B3221" s="52"/>
      <c r="C3221" s="53"/>
      <c r="D3221" s="54"/>
      <c r="E3221" s="55"/>
      <c r="F3221" s="55"/>
      <c r="G3221" s="55"/>
      <c r="H3221" s="55"/>
      <c r="I3221" s="55"/>
      <c r="J3221" s="55"/>
      <c r="K3221" s="56"/>
      <c r="L3221" s="55"/>
      <c r="M3221" s="55"/>
      <c r="N3221" s="55"/>
      <c r="O3221" s="55"/>
      <c r="P3221" s="55"/>
      <c r="Q3221" s="55"/>
      <c r="R3221" s="57"/>
      <c r="S3221" s="58"/>
    </row>
    <row r="3222" spans="2:19" x14ac:dyDescent="0.25">
      <c r="B3222" s="52"/>
      <c r="C3222" s="53"/>
      <c r="D3222" s="54"/>
      <c r="E3222" s="55"/>
      <c r="F3222" s="55"/>
      <c r="G3222" s="55"/>
      <c r="H3222" s="55"/>
      <c r="I3222" s="55"/>
      <c r="J3222" s="55"/>
      <c r="K3222" s="56"/>
      <c r="L3222" s="55"/>
      <c r="M3222" s="55"/>
      <c r="N3222" s="55"/>
      <c r="O3222" s="55"/>
      <c r="P3222" s="55"/>
      <c r="Q3222" s="55"/>
      <c r="R3222" s="57"/>
      <c r="S3222" s="58"/>
    </row>
    <row r="3223" spans="2:19" ht="15.75" x14ac:dyDescent="0.25">
      <c r="B3223" s="52"/>
      <c r="C3223" s="53"/>
      <c r="D3223" s="54"/>
      <c r="E3223" s="55"/>
      <c r="F3223" s="55"/>
      <c r="G3223" s="55"/>
      <c r="H3223" s="55"/>
      <c r="I3223" s="55"/>
      <c r="J3223" s="55"/>
      <c r="K3223" s="59"/>
      <c r="L3223" s="55"/>
      <c r="M3223" s="55"/>
      <c r="N3223" s="55"/>
      <c r="O3223" s="55"/>
      <c r="P3223" s="55"/>
      <c r="Q3223" s="55"/>
      <c r="R3223" s="57"/>
      <c r="S3223" s="58"/>
    </row>
    <row r="3224" spans="2:19" x14ac:dyDescent="0.25">
      <c r="B3224" s="52"/>
      <c r="C3224" s="53"/>
      <c r="D3224" s="54"/>
      <c r="E3224" s="55"/>
      <c r="F3224" s="55"/>
      <c r="G3224" s="55"/>
      <c r="H3224" s="55"/>
      <c r="I3224" s="55"/>
      <c r="J3224" s="55"/>
      <c r="K3224" s="56"/>
      <c r="L3224" s="55"/>
      <c r="M3224" s="55"/>
      <c r="N3224" s="55"/>
      <c r="O3224" s="55"/>
      <c r="P3224" s="55"/>
      <c r="Q3224" s="55"/>
      <c r="R3224" s="57"/>
      <c r="S3224" s="58"/>
    </row>
    <row r="3225" spans="2:19" x14ac:dyDescent="0.25">
      <c r="B3225" s="52"/>
      <c r="C3225" s="53"/>
      <c r="D3225" s="54"/>
      <c r="E3225" s="55"/>
      <c r="F3225" s="55"/>
      <c r="G3225" s="55"/>
      <c r="H3225" s="55"/>
      <c r="I3225" s="55"/>
      <c r="J3225" s="55"/>
      <c r="K3225" s="56"/>
      <c r="L3225" s="55"/>
      <c r="M3225" s="55"/>
      <c r="N3225" s="55"/>
      <c r="O3225" s="55"/>
      <c r="P3225" s="55"/>
      <c r="Q3225" s="55"/>
      <c r="R3225" s="57"/>
      <c r="S3225" s="58"/>
    </row>
    <row r="3226" spans="2:19" x14ac:dyDescent="0.25">
      <c r="B3226" s="52"/>
      <c r="C3226" s="53"/>
      <c r="D3226" s="54"/>
      <c r="E3226" s="55"/>
      <c r="F3226" s="55"/>
      <c r="G3226" s="55"/>
      <c r="H3226" s="55"/>
      <c r="I3226" s="55"/>
      <c r="J3226" s="55"/>
      <c r="K3226" s="56"/>
      <c r="L3226" s="55"/>
      <c r="M3226" s="55"/>
      <c r="N3226" s="55"/>
      <c r="O3226" s="55"/>
      <c r="P3226" s="55"/>
      <c r="Q3226" s="55"/>
      <c r="R3226" s="57"/>
      <c r="S3226" s="58"/>
    </row>
    <row r="3227" spans="2:19" x14ac:dyDescent="0.25">
      <c r="B3227" s="52"/>
      <c r="C3227" s="53"/>
      <c r="D3227" s="54"/>
      <c r="E3227" s="55"/>
      <c r="F3227" s="55"/>
      <c r="G3227" s="55"/>
      <c r="H3227" s="55"/>
      <c r="I3227" s="55"/>
      <c r="J3227" s="55"/>
      <c r="K3227" s="56"/>
      <c r="L3227" s="55"/>
      <c r="M3227" s="55"/>
      <c r="N3227" s="55"/>
      <c r="O3227" s="55"/>
      <c r="P3227" s="55"/>
      <c r="Q3227" s="55"/>
      <c r="R3227" s="57"/>
      <c r="S3227" s="58"/>
    </row>
    <row r="3228" spans="2:19" x14ac:dyDescent="0.25">
      <c r="B3228" s="52"/>
      <c r="C3228" s="53"/>
      <c r="D3228" s="54"/>
      <c r="E3228" s="55"/>
      <c r="F3228" s="55"/>
      <c r="G3228" s="55"/>
      <c r="H3228" s="55"/>
      <c r="I3228" s="55"/>
      <c r="J3228" s="55"/>
      <c r="K3228" s="56"/>
      <c r="L3228" s="55"/>
      <c r="M3228" s="55"/>
      <c r="N3228" s="55"/>
      <c r="O3228" s="55"/>
      <c r="P3228" s="55"/>
      <c r="Q3228" s="55"/>
      <c r="R3228" s="57"/>
      <c r="S3228" s="58"/>
    </row>
    <row r="3229" spans="2:19" x14ac:dyDescent="0.25">
      <c r="B3229" s="52"/>
      <c r="C3229" s="53"/>
      <c r="D3229" s="54"/>
      <c r="E3229" s="55"/>
      <c r="F3229" s="55"/>
      <c r="G3229" s="55"/>
      <c r="H3229" s="55"/>
      <c r="I3229" s="55"/>
      <c r="J3229" s="55"/>
      <c r="K3229" s="56"/>
      <c r="L3229" s="55"/>
      <c r="M3229" s="55"/>
      <c r="N3229" s="55"/>
      <c r="O3229" s="55"/>
      <c r="P3229" s="55"/>
      <c r="Q3229" s="55"/>
      <c r="R3229" s="57"/>
      <c r="S3229" s="58"/>
    </row>
    <row r="3230" spans="2:19" x14ac:dyDescent="0.25">
      <c r="B3230" s="52"/>
      <c r="C3230" s="53"/>
      <c r="D3230" s="54"/>
      <c r="E3230" s="55"/>
      <c r="F3230" s="55"/>
      <c r="G3230" s="55"/>
      <c r="H3230" s="55"/>
      <c r="I3230" s="55"/>
      <c r="J3230" s="55"/>
      <c r="K3230" s="56"/>
      <c r="L3230" s="55"/>
      <c r="M3230" s="55"/>
      <c r="N3230" s="55"/>
      <c r="O3230" s="55"/>
      <c r="P3230" s="55"/>
      <c r="Q3230" s="55"/>
      <c r="R3230" s="57"/>
      <c r="S3230" s="58"/>
    </row>
    <row r="3231" spans="2:19" x14ac:dyDescent="0.25">
      <c r="B3231" s="52"/>
      <c r="C3231" s="60"/>
      <c r="E3231" s="61"/>
      <c r="F3231" s="62"/>
      <c r="G3231" s="63"/>
      <c r="H3231" s="64"/>
      <c r="I3231" s="64"/>
      <c r="J3231" s="64"/>
      <c r="K3231" s="65"/>
      <c r="L3231" s="64"/>
      <c r="M3231" s="64"/>
      <c r="N3231" s="64"/>
      <c r="P3231" s="63"/>
      <c r="Q3231" s="61"/>
      <c r="R3231" s="64"/>
      <c r="S3231" s="64"/>
    </row>
    <row r="3232" spans="2:19" x14ac:dyDescent="0.25">
      <c r="B3232" s="52"/>
      <c r="C3232" s="53"/>
      <c r="D3232" s="54"/>
      <c r="E3232" s="55"/>
      <c r="F3232" s="55"/>
      <c r="G3232" s="55"/>
      <c r="H3232" s="55"/>
      <c r="I3232" s="55"/>
      <c r="J3232" s="55"/>
      <c r="K3232" s="56"/>
      <c r="L3232" s="55"/>
      <c r="M3232" s="55"/>
      <c r="N3232" s="55"/>
      <c r="O3232" s="55"/>
      <c r="P3232" s="55"/>
      <c r="Q3232" s="55"/>
      <c r="R3232" s="57"/>
      <c r="S3232" s="58"/>
    </row>
    <row r="3233" spans="2:19" x14ac:dyDescent="0.25">
      <c r="B3233" s="52"/>
      <c r="C3233" s="53"/>
      <c r="D3233" s="54"/>
      <c r="E3233" s="55"/>
      <c r="F3233" s="55"/>
      <c r="G3233" s="55"/>
      <c r="H3233" s="55"/>
      <c r="I3233" s="55"/>
      <c r="J3233" s="55"/>
      <c r="K3233" s="56"/>
      <c r="L3233" s="55"/>
      <c r="M3233" s="55"/>
      <c r="N3233" s="55"/>
      <c r="O3233" s="55"/>
      <c r="P3233" s="55"/>
      <c r="Q3233" s="55"/>
      <c r="R3233" s="57"/>
      <c r="S3233" s="58"/>
    </row>
    <row r="3234" spans="2:19" x14ac:dyDescent="0.25">
      <c r="B3234" s="52"/>
      <c r="C3234" s="53"/>
      <c r="D3234" s="54"/>
      <c r="E3234" s="55"/>
      <c r="F3234" s="55"/>
      <c r="G3234" s="55"/>
      <c r="H3234" s="55"/>
      <c r="I3234" s="55"/>
      <c r="J3234" s="55"/>
      <c r="K3234" s="56"/>
      <c r="L3234" s="55"/>
      <c r="M3234" s="55"/>
      <c r="N3234" s="55"/>
      <c r="O3234" s="55"/>
      <c r="P3234" s="55"/>
      <c r="Q3234" s="55"/>
      <c r="R3234" s="57"/>
      <c r="S3234" s="58"/>
    </row>
    <row r="3235" spans="2:19" x14ac:dyDescent="0.25">
      <c r="B3235" s="52"/>
      <c r="C3235" s="53"/>
      <c r="D3235" s="54"/>
      <c r="E3235" s="55"/>
      <c r="F3235" s="55"/>
      <c r="G3235" s="55"/>
      <c r="H3235" s="55"/>
      <c r="I3235" s="55"/>
      <c r="J3235" s="55"/>
      <c r="K3235" s="56"/>
      <c r="L3235" s="55"/>
      <c r="M3235" s="55"/>
      <c r="N3235" s="55"/>
      <c r="O3235" s="55"/>
      <c r="P3235" s="55"/>
      <c r="Q3235" s="55"/>
      <c r="R3235" s="57"/>
      <c r="S3235" s="58"/>
    </row>
    <row r="3236" spans="2:19" x14ac:dyDescent="0.25">
      <c r="B3236" s="52"/>
      <c r="C3236" s="53"/>
      <c r="D3236" s="54"/>
      <c r="E3236" s="55"/>
      <c r="F3236" s="55"/>
      <c r="G3236" s="55"/>
      <c r="H3236" s="55"/>
      <c r="I3236" s="55"/>
      <c r="J3236" s="55"/>
      <c r="K3236" s="56"/>
      <c r="L3236" s="55"/>
      <c r="M3236" s="55"/>
      <c r="N3236" s="55"/>
      <c r="O3236" s="55"/>
      <c r="P3236" s="55"/>
      <c r="Q3236" s="55"/>
      <c r="R3236" s="57"/>
      <c r="S3236" s="58"/>
    </row>
    <row r="3237" spans="2:19" x14ac:dyDescent="0.25">
      <c r="B3237" s="52"/>
      <c r="C3237" s="53"/>
      <c r="D3237" s="54"/>
      <c r="E3237" s="55"/>
      <c r="F3237" s="55"/>
      <c r="G3237" s="55"/>
      <c r="H3237" s="55"/>
      <c r="I3237" s="55"/>
      <c r="J3237" s="55"/>
      <c r="K3237" s="56"/>
      <c r="L3237" s="55"/>
      <c r="M3237" s="55"/>
      <c r="N3237" s="55"/>
      <c r="O3237" s="55"/>
      <c r="P3237" s="55"/>
      <c r="Q3237" s="55"/>
      <c r="R3237" s="57"/>
      <c r="S3237" s="58"/>
    </row>
    <row r="3238" spans="2:19" x14ac:dyDescent="0.25">
      <c r="B3238" s="52"/>
      <c r="C3238" s="53"/>
      <c r="D3238" s="54"/>
      <c r="E3238" s="55"/>
      <c r="F3238" s="55"/>
      <c r="G3238" s="55"/>
      <c r="H3238" s="55"/>
      <c r="I3238" s="55"/>
      <c r="J3238" s="55"/>
      <c r="K3238" s="56"/>
      <c r="L3238" s="55"/>
      <c r="M3238" s="55"/>
      <c r="N3238" s="55"/>
      <c r="O3238" s="55"/>
      <c r="P3238" s="55"/>
      <c r="Q3238" s="55"/>
      <c r="R3238" s="57"/>
      <c r="S3238" s="58"/>
    </row>
    <row r="3239" spans="2:19" x14ac:dyDescent="0.25">
      <c r="B3239" s="52"/>
      <c r="C3239" s="53"/>
      <c r="D3239" s="54"/>
      <c r="E3239" s="55"/>
      <c r="F3239" s="55"/>
      <c r="G3239" s="55"/>
      <c r="H3239" s="55"/>
      <c r="I3239" s="55"/>
      <c r="J3239" s="55"/>
      <c r="K3239" s="56"/>
      <c r="L3239" s="55"/>
      <c r="M3239" s="55"/>
      <c r="N3239" s="55"/>
      <c r="O3239" s="55"/>
      <c r="P3239" s="55"/>
      <c r="Q3239" s="55"/>
      <c r="R3239" s="57"/>
      <c r="S3239" s="58"/>
    </row>
    <row r="3240" spans="2:19" ht="15.75" x14ac:dyDescent="0.25">
      <c r="B3240" s="52"/>
      <c r="C3240" s="53"/>
      <c r="D3240" s="54"/>
      <c r="E3240" s="55"/>
      <c r="F3240" s="55"/>
      <c r="G3240" s="55"/>
      <c r="H3240" s="55"/>
      <c r="I3240" s="55"/>
      <c r="J3240" s="55"/>
      <c r="K3240" s="59"/>
      <c r="L3240" s="55"/>
      <c r="M3240" s="55"/>
      <c r="N3240" s="55"/>
      <c r="O3240" s="55"/>
      <c r="P3240" s="55"/>
      <c r="Q3240" s="55"/>
      <c r="R3240" s="57"/>
      <c r="S3240" s="58"/>
    </row>
    <row r="3241" spans="2:19" x14ac:dyDescent="0.25">
      <c r="B3241" s="52"/>
      <c r="C3241" s="53"/>
      <c r="D3241" s="54"/>
      <c r="E3241" s="55"/>
      <c r="F3241" s="55"/>
      <c r="G3241" s="55"/>
      <c r="H3241" s="55"/>
      <c r="I3241" s="55"/>
      <c r="J3241" s="55"/>
      <c r="K3241" s="56"/>
      <c r="L3241" s="55"/>
      <c r="M3241" s="55"/>
      <c r="N3241" s="55"/>
      <c r="O3241" s="55"/>
      <c r="P3241" s="55"/>
      <c r="Q3241" s="55"/>
      <c r="R3241" s="57"/>
      <c r="S3241" s="58"/>
    </row>
    <row r="3242" spans="2:19" x14ac:dyDescent="0.25">
      <c r="B3242" s="52"/>
      <c r="C3242" s="53"/>
      <c r="D3242" s="54"/>
      <c r="E3242" s="55"/>
      <c r="F3242" s="55"/>
      <c r="G3242" s="55"/>
      <c r="H3242" s="55"/>
      <c r="I3242" s="55"/>
      <c r="J3242" s="55"/>
      <c r="K3242" s="56"/>
      <c r="L3242" s="55"/>
      <c r="M3242" s="55"/>
      <c r="N3242" s="55"/>
      <c r="O3242" s="55"/>
      <c r="P3242" s="55"/>
      <c r="Q3242" s="55"/>
      <c r="R3242" s="57"/>
      <c r="S3242" s="58"/>
    </row>
    <row r="3243" spans="2:19" x14ac:dyDescent="0.25">
      <c r="B3243" s="52"/>
      <c r="C3243" s="53"/>
      <c r="D3243" s="54"/>
      <c r="E3243" s="55"/>
      <c r="F3243" s="55"/>
      <c r="G3243" s="55"/>
      <c r="H3243" s="55"/>
      <c r="I3243" s="55"/>
      <c r="J3243" s="55"/>
      <c r="K3243" s="56"/>
      <c r="L3243" s="55"/>
      <c r="M3243" s="55"/>
      <c r="N3243" s="55"/>
      <c r="O3243" s="55"/>
      <c r="P3243" s="55"/>
      <c r="Q3243" s="55"/>
      <c r="R3243" s="57"/>
      <c r="S3243" s="58"/>
    </row>
    <row r="3244" spans="2:19" x14ac:dyDescent="0.25">
      <c r="B3244" s="52"/>
      <c r="C3244" s="53"/>
      <c r="D3244" s="54"/>
      <c r="E3244" s="55"/>
      <c r="F3244" s="55"/>
      <c r="G3244" s="55"/>
      <c r="H3244" s="55"/>
      <c r="I3244" s="55"/>
      <c r="J3244" s="55"/>
      <c r="K3244" s="56"/>
      <c r="L3244" s="55"/>
      <c r="M3244" s="55"/>
      <c r="N3244" s="55"/>
      <c r="O3244" s="55"/>
      <c r="P3244" s="55"/>
      <c r="Q3244" s="55"/>
      <c r="R3244" s="57"/>
      <c r="S3244" s="58"/>
    </row>
    <row r="3245" spans="2:19" x14ac:dyDescent="0.25">
      <c r="B3245" s="52"/>
      <c r="C3245" s="53"/>
      <c r="D3245" s="54"/>
      <c r="E3245" s="55"/>
      <c r="F3245" s="55"/>
      <c r="G3245" s="55"/>
      <c r="H3245" s="55"/>
      <c r="I3245" s="55"/>
      <c r="J3245" s="55"/>
      <c r="K3245" s="56"/>
      <c r="L3245" s="55"/>
      <c r="M3245" s="55"/>
      <c r="N3245" s="55"/>
      <c r="O3245" s="55"/>
      <c r="P3245" s="55"/>
      <c r="Q3245" s="55"/>
      <c r="R3245" s="57"/>
      <c r="S3245" s="58"/>
    </row>
    <row r="3246" spans="2:19" x14ac:dyDescent="0.25">
      <c r="B3246" s="52"/>
      <c r="C3246" s="53"/>
      <c r="D3246" s="54"/>
      <c r="E3246" s="55"/>
      <c r="F3246" s="55"/>
      <c r="G3246" s="55"/>
      <c r="H3246" s="55"/>
      <c r="I3246" s="55"/>
      <c r="J3246" s="55"/>
      <c r="K3246" s="56"/>
      <c r="L3246" s="55"/>
      <c r="M3246" s="55"/>
      <c r="N3246" s="55"/>
      <c r="O3246" s="55"/>
      <c r="P3246" s="55"/>
      <c r="Q3246" s="55"/>
      <c r="R3246" s="57"/>
      <c r="S3246" s="58"/>
    </row>
    <row r="3247" spans="2:19" x14ac:dyDescent="0.25">
      <c r="B3247" s="52"/>
      <c r="C3247" s="53"/>
      <c r="D3247" s="54"/>
      <c r="E3247" s="55"/>
      <c r="F3247" s="55"/>
      <c r="G3247" s="55"/>
      <c r="H3247" s="55"/>
      <c r="I3247" s="55"/>
      <c r="J3247" s="55"/>
      <c r="K3247" s="56"/>
      <c r="L3247" s="55"/>
      <c r="M3247" s="55"/>
      <c r="N3247" s="55"/>
      <c r="O3247" s="55"/>
      <c r="P3247" s="55"/>
      <c r="Q3247" s="55"/>
      <c r="R3247" s="57"/>
      <c r="S3247" s="58"/>
    </row>
    <row r="3248" spans="2:19" x14ac:dyDescent="0.25">
      <c r="B3248" s="52"/>
      <c r="C3248" s="60"/>
      <c r="E3248" s="61"/>
      <c r="F3248" s="62"/>
      <c r="G3248" s="63"/>
      <c r="H3248" s="64"/>
      <c r="I3248" s="64"/>
      <c r="J3248" s="64"/>
      <c r="K3248" s="65"/>
      <c r="L3248" s="64"/>
      <c r="M3248" s="64"/>
      <c r="N3248" s="64"/>
      <c r="P3248" s="63"/>
      <c r="Q3248" s="61"/>
      <c r="R3248" s="64"/>
      <c r="S3248" s="64"/>
    </row>
    <row r="3249" spans="2:19" x14ac:dyDescent="0.25">
      <c r="B3249" s="52"/>
      <c r="C3249" s="53"/>
      <c r="D3249" s="54"/>
      <c r="E3249" s="55"/>
      <c r="F3249" s="55"/>
      <c r="G3249" s="55"/>
      <c r="H3249" s="55"/>
      <c r="I3249" s="55"/>
      <c r="J3249" s="55"/>
      <c r="K3249" s="56"/>
      <c r="L3249" s="55"/>
      <c r="M3249" s="55"/>
      <c r="N3249" s="55"/>
      <c r="O3249" s="55"/>
      <c r="P3249" s="55"/>
      <c r="Q3249" s="55"/>
      <c r="R3249" s="57"/>
      <c r="S3249" s="58"/>
    </row>
    <row r="3250" spans="2:19" x14ac:dyDescent="0.25">
      <c r="B3250" s="52"/>
      <c r="C3250" s="53"/>
      <c r="D3250" s="54"/>
      <c r="E3250" s="55"/>
      <c r="F3250" s="55"/>
      <c r="G3250" s="55"/>
      <c r="H3250" s="55"/>
      <c r="I3250" s="55"/>
      <c r="J3250" s="55"/>
      <c r="K3250" s="56"/>
      <c r="L3250" s="55"/>
      <c r="M3250" s="55"/>
      <c r="N3250" s="55"/>
      <c r="O3250" s="55"/>
      <c r="P3250" s="55"/>
      <c r="Q3250" s="55"/>
      <c r="R3250" s="57"/>
      <c r="S3250" s="58"/>
    </row>
    <row r="3251" spans="2:19" x14ac:dyDescent="0.25">
      <c r="B3251" s="52"/>
      <c r="C3251" s="53"/>
      <c r="D3251" s="54"/>
      <c r="E3251" s="55"/>
      <c r="F3251" s="55"/>
      <c r="G3251" s="55"/>
      <c r="H3251" s="55"/>
      <c r="I3251" s="55"/>
      <c r="J3251" s="55"/>
      <c r="K3251" s="56"/>
      <c r="L3251" s="55"/>
      <c r="M3251" s="55"/>
      <c r="N3251" s="55"/>
      <c r="O3251" s="55"/>
      <c r="P3251" s="55"/>
      <c r="Q3251" s="55"/>
      <c r="R3251" s="57"/>
      <c r="S3251" s="58"/>
    </row>
    <row r="3252" spans="2:19" x14ac:dyDescent="0.25">
      <c r="B3252" s="52"/>
      <c r="C3252" s="53"/>
      <c r="D3252" s="54"/>
      <c r="E3252" s="55"/>
      <c r="F3252" s="55"/>
      <c r="G3252" s="55"/>
      <c r="H3252" s="55"/>
      <c r="I3252" s="55"/>
      <c r="J3252" s="55"/>
      <c r="K3252" s="56"/>
      <c r="L3252" s="55"/>
      <c r="M3252" s="55"/>
      <c r="N3252" s="55"/>
      <c r="O3252" s="55"/>
      <c r="P3252" s="55"/>
      <c r="Q3252" s="55"/>
      <c r="R3252" s="57"/>
      <c r="S3252" s="58"/>
    </row>
    <row r="3253" spans="2:19" x14ac:dyDescent="0.25">
      <c r="B3253" s="52"/>
      <c r="C3253" s="53"/>
      <c r="D3253" s="54"/>
      <c r="E3253" s="55"/>
      <c r="F3253" s="55"/>
      <c r="G3253" s="55"/>
      <c r="H3253" s="55"/>
      <c r="I3253" s="55"/>
      <c r="J3253" s="55"/>
      <c r="K3253" s="56"/>
      <c r="L3253" s="55"/>
      <c r="M3253" s="55"/>
      <c r="N3253" s="55"/>
      <c r="O3253" s="55"/>
      <c r="P3253" s="55"/>
      <c r="Q3253" s="55"/>
      <c r="R3253" s="57"/>
      <c r="S3253" s="58"/>
    </row>
    <row r="3254" spans="2:19" x14ac:dyDescent="0.25">
      <c r="B3254" s="52"/>
      <c r="C3254" s="53"/>
      <c r="D3254" s="54"/>
      <c r="E3254" s="55"/>
      <c r="F3254" s="55"/>
      <c r="G3254" s="55"/>
      <c r="H3254" s="55"/>
      <c r="I3254" s="55"/>
      <c r="J3254" s="55"/>
      <c r="K3254" s="56"/>
      <c r="L3254" s="55"/>
      <c r="M3254" s="55"/>
      <c r="N3254" s="55"/>
      <c r="O3254" s="55"/>
      <c r="P3254" s="55"/>
      <c r="Q3254" s="55"/>
      <c r="R3254" s="57"/>
      <c r="S3254" s="58"/>
    </row>
    <row r="3255" spans="2:19" x14ac:dyDescent="0.25">
      <c r="B3255" s="52"/>
      <c r="C3255" s="53"/>
      <c r="D3255" s="54"/>
      <c r="E3255" s="55"/>
      <c r="F3255" s="55"/>
      <c r="G3255" s="55"/>
      <c r="H3255" s="55"/>
      <c r="I3255" s="55"/>
      <c r="J3255" s="55"/>
      <c r="K3255" s="56"/>
      <c r="L3255" s="55"/>
      <c r="M3255" s="55"/>
      <c r="N3255" s="55"/>
      <c r="O3255" s="55"/>
      <c r="P3255" s="55"/>
      <c r="Q3255" s="55"/>
      <c r="R3255" s="57"/>
      <c r="S3255" s="58"/>
    </row>
    <row r="3256" spans="2:19" x14ac:dyDescent="0.25">
      <c r="B3256" s="52"/>
      <c r="C3256" s="53"/>
      <c r="D3256" s="54"/>
      <c r="E3256" s="55"/>
      <c r="F3256" s="55"/>
      <c r="G3256" s="55"/>
      <c r="H3256" s="55"/>
      <c r="I3256" s="55"/>
      <c r="J3256" s="55"/>
      <c r="K3256" s="56"/>
      <c r="L3256" s="55"/>
      <c r="M3256" s="55"/>
      <c r="N3256" s="55"/>
      <c r="O3256" s="55"/>
      <c r="P3256" s="55"/>
      <c r="Q3256" s="55"/>
      <c r="R3256" s="57"/>
      <c r="S3256" s="58"/>
    </row>
    <row r="3257" spans="2:19" ht="15.75" x14ac:dyDescent="0.25">
      <c r="B3257" s="52"/>
      <c r="C3257" s="53"/>
      <c r="D3257" s="54"/>
      <c r="E3257" s="55"/>
      <c r="F3257" s="55"/>
      <c r="G3257" s="55"/>
      <c r="H3257" s="55"/>
      <c r="I3257" s="55"/>
      <c r="J3257" s="55"/>
      <c r="K3257" s="59"/>
      <c r="L3257" s="55"/>
      <c r="M3257" s="55"/>
      <c r="N3257" s="55"/>
      <c r="O3257" s="55"/>
      <c r="P3257" s="55"/>
      <c r="Q3257" s="55"/>
      <c r="R3257" s="57"/>
      <c r="S3257" s="58"/>
    </row>
    <row r="3258" spans="2:19" x14ac:dyDescent="0.25">
      <c r="B3258" s="52"/>
      <c r="C3258" s="53"/>
      <c r="D3258" s="54"/>
      <c r="E3258" s="55"/>
      <c r="F3258" s="55"/>
      <c r="G3258" s="55"/>
      <c r="H3258" s="55"/>
      <c r="I3258" s="55"/>
      <c r="J3258" s="55"/>
      <c r="K3258" s="56"/>
      <c r="L3258" s="55"/>
      <c r="M3258" s="55"/>
      <c r="N3258" s="55"/>
      <c r="O3258" s="55"/>
      <c r="P3258" s="55"/>
      <c r="Q3258" s="55"/>
      <c r="R3258" s="57"/>
      <c r="S3258" s="58"/>
    </row>
    <row r="3259" spans="2:19" x14ac:dyDescent="0.25">
      <c r="B3259" s="52"/>
      <c r="C3259" s="53"/>
      <c r="D3259" s="54"/>
      <c r="E3259" s="55"/>
      <c r="F3259" s="55"/>
      <c r="G3259" s="55"/>
      <c r="H3259" s="55"/>
      <c r="I3259" s="55"/>
      <c r="J3259" s="55"/>
      <c r="K3259" s="56"/>
      <c r="L3259" s="55"/>
      <c r="M3259" s="55"/>
      <c r="N3259" s="55"/>
      <c r="O3259" s="55"/>
      <c r="P3259" s="55"/>
      <c r="Q3259" s="55"/>
      <c r="R3259" s="57"/>
      <c r="S3259" s="58"/>
    </row>
    <row r="3260" spans="2:19" x14ac:dyDescent="0.25">
      <c r="B3260" s="52"/>
      <c r="C3260" s="53"/>
      <c r="D3260" s="54"/>
      <c r="E3260" s="55"/>
      <c r="F3260" s="55"/>
      <c r="G3260" s="55"/>
      <c r="H3260" s="55"/>
      <c r="I3260" s="55"/>
      <c r="J3260" s="55"/>
      <c r="K3260" s="56"/>
      <c r="L3260" s="55"/>
      <c r="M3260" s="55"/>
      <c r="N3260" s="55"/>
      <c r="O3260" s="55"/>
      <c r="P3260" s="55"/>
      <c r="Q3260" s="55"/>
      <c r="R3260" s="57"/>
      <c r="S3260" s="58"/>
    </row>
    <row r="3261" spans="2:19" x14ac:dyDescent="0.25">
      <c r="B3261" s="52"/>
      <c r="C3261" s="53"/>
      <c r="D3261" s="54"/>
      <c r="E3261" s="55"/>
      <c r="F3261" s="55"/>
      <c r="G3261" s="55"/>
      <c r="H3261" s="55"/>
      <c r="I3261" s="55"/>
      <c r="J3261" s="55"/>
      <c r="K3261" s="56"/>
      <c r="L3261" s="55"/>
      <c r="M3261" s="55"/>
      <c r="N3261" s="55"/>
      <c r="O3261" s="55"/>
      <c r="P3261" s="55"/>
      <c r="Q3261" s="55"/>
      <c r="R3261" s="57"/>
      <c r="S3261" s="58"/>
    </row>
    <row r="3262" spans="2:19" x14ac:dyDescent="0.25">
      <c r="B3262" s="52"/>
      <c r="C3262" s="53"/>
      <c r="D3262" s="54"/>
      <c r="E3262" s="55"/>
      <c r="F3262" s="55"/>
      <c r="G3262" s="55"/>
      <c r="H3262" s="55"/>
      <c r="I3262" s="55"/>
      <c r="J3262" s="55"/>
      <c r="K3262" s="56"/>
      <c r="L3262" s="55"/>
      <c r="M3262" s="55"/>
      <c r="N3262" s="55"/>
      <c r="O3262" s="55"/>
      <c r="P3262" s="55"/>
      <c r="Q3262" s="55"/>
      <c r="R3262" s="57"/>
      <c r="S3262" s="58"/>
    </row>
    <row r="3263" spans="2:19" x14ac:dyDescent="0.25">
      <c r="B3263" s="52"/>
      <c r="C3263" s="53"/>
      <c r="D3263" s="54"/>
      <c r="E3263" s="55"/>
      <c r="F3263" s="55"/>
      <c r="G3263" s="55"/>
      <c r="H3263" s="55"/>
      <c r="I3263" s="55"/>
      <c r="J3263" s="55"/>
      <c r="K3263" s="56"/>
      <c r="L3263" s="55"/>
      <c r="M3263" s="55"/>
      <c r="N3263" s="55"/>
      <c r="O3263" s="55"/>
      <c r="P3263" s="55"/>
      <c r="Q3263" s="55"/>
      <c r="R3263" s="57"/>
      <c r="S3263" s="58"/>
    </row>
    <row r="3264" spans="2:19" x14ac:dyDescent="0.25">
      <c r="B3264" s="52"/>
      <c r="C3264" s="53"/>
      <c r="D3264" s="54"/>
      <c r="E3264" s="55"/>
      <c r="F3264" s="55"/>
      <c r="G3264" s="55"/>
      <c r="H3264" s="55"/>
      <c r="I3264" s="55"/>
      <c r="J3264" s="55"/>
      <c r="K3264" s="56"/>
      <c r="L3264" s="55"/>
      <c r="M3264" s="55"/>
      <c r="N3264" s="55"/>
      <c r="O3264" s="55"/>
      <c r="P3264" s="55"/>
      <c r="Q3264" s="55"/>
      <c r="R3264" s="57"/>
      <c r="S3264" s="58"/>
    </row>
    <row r="3265" spans="2:19" x14ac:dyDescent="0.25">
      <c r="B3265" s="52"/>
      <c r="C3265" s="60"/>
      <c r="E3265" s="61"/>
      <c r="F3265" s="62"/>
      <c r="G3265" s="63"/>
      <c r="H3265" s="64"/>
      <c r="I3265" s="64"/>
      <c r="J3265" s="64"/>
      <c r="K3265" s="65"/>
      <c r="L3265" s="64"/>
      <c r="M3265" s="64"/>
      <c r="N3265" s="64"/>
      <c r="P3265" s="63"/>
      <c r="Q3265" s="61"/>
      <c r="R3265" s="64"/>
      <c r="S3265" s="64"/>
    </row>
    <row r="3266" spans="2:19" x14ac:dyDescent="0.25">
      <c r="B3266" s="52"/>
      <c r="C3266" s="53"/>
      <c r="D3266" s="54"/>
      <c r="E3266" s="55"/>
      <c r="F3266" s="55"/>
      <c r="G3266" s="55"/>
      <c r="H3266" s="55"/>
      <c r="I3266" s="55"/>
      <c r="J3266" s="55"/>
      <c r="K3266" s="56"/>
      <c r="L3266" s="55"/>
      <c r="M3266" s="55"/>
      <c r="N3266" s="55"/>
      <c r="O3266" s="55"/>
      <c r="P3266" s="55"/>
      <c r="Q3266" s="55"/>
      <c r="R3266" s="57"/>
      <c r="S3266" s="58"/>
    </row>
    <row r="3267" spans="2:19" x14ac:dyDescent="0.25">
      <c r="B3267" s="52"/>
      <c r="C3267" s="53"/>
      <c r="D3267" s="54"/>
      <c r="E3267" s="55"/>
      <c r="F3267" s="55"/>
      <c r="G3267" s="55"/>
      <c r="H3267" s="55"/>
      <c r="I3267" s="55"/>
      <c r="J3267" s="55"/>
      <c r="K3267" s="56"/>
      <c r="L3267" s="55"/>
      <c r="M3267" s="55"/>
      <c r="N3267" s="55"/>
      <c r="O3267" s="55"/>
      <c r="P3267" s="55"/>
      <c r="Q3267" s="55"/>
      <c r="R3267" s="57"/>
      <c r="S3267" s="58"/>
    </row>
    <row r="3268" spans="2:19" x14ac:dyDescent="0.25">
      <c r="B3268" s="52"/>
      <c r="C3268" s="53"/>
      <c r="D3268" s="54"/>
      <c r="E3268" s="55"/>
      <c r="F3268" s="55"/>
      <c r="G3268" s="55"/>
      <c r="H3268" s="55"/>
      <c r="I3268" s="55"/>
      <c r="J3268" s="55"/>
      <c r="K3268" s="56"/>
      <c r="L3268" s="55"/>
      <c r="M3268" s="55"/>
      <c r="N3268" s="55"/>
      <c r="O3268" s="55"/>
      <c r="P3268" s="55"/>
      <c r="Q3268" s="55"/>
      <c r="R3268" s="57"/>
      <c r="S3268" s="58"/>
    </row>
    <row r="3269" spans="2:19" x14ac:dyDescent="0.25">
      <c r="B3269" s="52"/>
      <c r="C3269" s="53"/>
      <c r="D3269" s="54"/>
      <c r="E3269" s="55"/>
      <c r="F3269" s="55"/>
      <c r="G3269" s="55"/>
      <c r="H3269" s="55"/>
      <c r="I3269" s="55"/>
      <c r="J3269" s="55"/>
      <c r="K3269" s="56"/>
      <c r="L3269" s="55"/>
      <c r="M3269" s="55"/>
      <c r="N3269" s="55"/>
      <c r="O3269" s="55"/>
      <c r="P3269" s="55"/>
      <c r="Q3269" s="55"/>
      <c r="R3269" s="57"/>
      <c r="S3269" s="58"/>
    </row>
    <row r="3270" spans="2:19" x14ac:dyDescent="0.25">
      <c r="B3270" s="52"/>
      <c r="C3270" s="53"/>
      <c r="D3270" s="54"/>
      <c r="E3270" s="55"/>
      <c r="F3270" s="55"/>
      <c r="G3270" s="55"/>
      <c r="H3270" s="55"/>
      <c r="I3270" s="55"/>
      <c r="J3270" s="55"/>
      <c r="K3270" s="56"/>
      <c r="L3270" s="55"/>
      <c r="M3270" s="55"/>
      <c r="N3270" s="55"/>
      <c r="O3270" s="55"/>
      <c r="P3270" s="55"/>
      <c r="Q3270" s="55"/>
      <c r="R3270" s="57"/>
      <c r="S3270" s="58"/>
    </row>
    <row r="3271" spans="2:19" x14ac:dyDescent="0.25">
      <c r="B3271" s="52"/>
      <c r="C3271" s="53"/>
      <c r="D3271" s="54"/>
      <c r="E3271" s="55"/>
      <c r="F3271" s="55"/>
      <c r="G3271" s="55"/>
      <c r="H3271" s="55"/>
      <c r="I3271" s="55"/>
      <c r="J3271" s="55"/>
      <c r="K3271" s="56"/>
      <c r="L3271" s="55"/>
      <c r="M3271" s="55"/>
      <c r="N3271" s="55"/>
      <c r="O3271" s="55"/>
      <c r="P3271" s="55"/>
      <c r="Q3271" s="55"/>
      <c r="R3271" s="57"/>
      <c r="S3271" s="58"/>
    </row>
    <row r="3272" spans="2:19" x14ac:dyDescent="0.25">
      <c r="B3272" s="52"/>
      <c r="C3272" s="53"/>
      <c r="D3272" s="54"/>
      <c r="E3272" s="55"/>
      <c r="F3272" s="55"/>
      <c r="G3272" s="55"/>
      <c r="H3272" s="55"/>
      <c r="I3272" s="55"/>
      <c r="J3272" s="55"/>
      <c r="K3272" s="56"/>
      <c r="L3272" s="55"/>
      <c r="M3272" s="55"/>
      <c r="N3272" s="55"/>
      <c r="O3272" s="55"/>
      <c r="P3272" s="55"/>
      <c r="Q3272" s="55"/>
      <c r="R3272" s="57"/>
      <c r="S3272" s="58"/>
    </row>
    <row r="3273" spans="2:19" x14ac:dyDescent="0.25">
      <c r="B3273" s="52"/>
      <c r="C3273" s="53"/>
      <c r="D3273" s="54"/>
      <c r="E3273" s="55"/>
      <c r="F3273" s="55"/>
      <c r="G3273" s="55"/>
      <c r="H3273" s="55"/>
      <c r="I3273" s="55"/>
      <c r="J3273" s="55"/>
      <c r="K3273" s="56"/>
      <c r="L3273" s="55"/>
      <c r="M3273" s="55"/>
      <c r="N3273" s="55"/>
      <c r="O3273" s="55"/>
      <c r="P3273" s="55"/>
      <c r="Q3273" s="55"/>
      <c r="R3273" s="57"/>
      <c r="S3273" s="58"/>
    </row>
    <row r="3274" spans="2:19" ht="15.75" x14ac:dyDescent="0.25">
      <c r="B3274" s="52"/>
      <c r="C3274" s="53"/>
      <c r="D3274" s="54"/>
      <c r="E3274" s="55"/>
      <c r="F3274" s="55"/>
      <c r="G3274" s="55"/>
      <c r="H3274" s="55"/>
      <c r="I3274" s="55"/>
      <c r="J3274" s="55"/>
      <c r="K3274" s="59"/>
      <c r="L3274" s="55"/>
      <c r="M3274" s="55"/>
      <c r="N3274" s="55"/>
      <c r="O3274" s="55"/>
      <c r="P3274" s="55"/>
      <c r="Q3274" s="55"/>
      <c r="R3274" s="57"/>
      <c r="S3274" s="58"/>
    </row>
    <row r="3275" spans="2:19" x14ac:dyDescent="0.25">
      <c r="B3275" s="52"/>
      <c r="C3275" s="53"/>
      <c r="D3275" s="54"/>
      <c r="E3275" s="55"/>
      <c r="F3275" s="55"/>
      <c r="G3275" s="55"/>
      <c r="H3275" s="55"/>
      <c r="I3275" s="55"/>
      <c r="J3275" s="55"/>
      <c r="K3275" s="56"/>
      <c r="L3275" s="55"/>
      <c r="M3275" s="55"/>
      <c r="N3275" s="55"/>
      <c r="O3275" s="55"/>
      <c r="P3275" s="55"/>
      <c r="Q3275" s="55"/>
      <c r="R3275" s="57"/>
      <c r="S3275" s="58"/>
    </row>
    <row r="3276" spans="2:19" x14ac:dyDescent="0.25">
      <c r="B3276" s="52"/>
      <c r="C3276" s="53"/>
      <c r="D3276" s="54"/>
      <c r="E3276" s="55"/>
      <c r="F3276" s="55"/>
      <c r="G3276" s="55"/>
      <c r="H3276" s="55"/>
      <c r="I3276" s="55"/>
      <c r="J3276" s="55"/>
      <c r="K3276" s="56"/>
      <c r="L3276" s="55"/>
      <c r="M3276" s="55"/>
      <c r="N3276" s="55"/>
      <c r="O3276" s="55"/>
      <c r="P3276" s="55"/>
      <c r="Q3276" s="55"/>
      <c r="R3276" s="57"/>
      <c r="S3276" s="58"/>
    </row>
    <row r="3277" spans="2:19" x14ac:dyDescent="0.25">
      <c r="B3277" s="52"/>
      <c r="C3277" s="53"/>
      <c r="D3277" s="54"/>
      <c r="E3277" s="55"/>
      <c r="F3277" s="55"/>
      <c r="G3277" s="55"/>
      <c r="H3277" s="55"/>
      <c r="I3277" s="55"/>
      <c r="J3277" s="55"/>
      <c r="K3277" s="56"/>
      <c r="L3277" s="55"/>
      <c r="M3277" s="55"/>
      <c r="N3277" s="55"/>
      <c r="O3277" s="55"/>
      <c r="P3277" s="55"/>
      <c r="Q3277" s="55"/>
      <c r="R3277" s="57"/>
      <c r="S3277" s="58"/>
    </row>
    <row r="3278" spans="2:19" x14ac:dyDescent="0.25">
      <c r="B3278" s="52"/>
      <c r="C3278" s="53"/>
      <c r="D3278" s="54"/>
      <c r="E3278" s="55"/>
      <c r="F3278" s="55"/>
      <c r="G3278" s="55"/>
      <c r="H3278" s="55"/>
      <c r="I3278" s="55"/>
      <c r="J3278" s="55"/>
      <c r="K3278" s="56"/>
      <c r="L3278" s="55"/>
      <c r="M3278" s="55"/>
      <c r="N3278" s="55"/>
      <c r="O3278" s="55"/>
      <c r="P3278" s="55"/>
      <c r="Q3278" s="55"/>
      <c r="R3278" s="57"/>
      <c r="S3278" s="58"/>
    </row>
    <row r="3279" spans="2:19" x14ac:dyDescent="0.25">
      <c r="B3279" s="52"/>
      <c r="C3279" s="53"/>
      <c r="D3279" s="54"/>
      <c r="E3279" s="55"/>
      <c r="F3279" s="55"/>
      <c r="G3279" s="55"/>
      <c r="H3279" s="55"/>
      <c r="I3279" s="55"/>
      <c r="J3279" s="55"/>
      <c r="K3279" s="56"/>
      <c r="L3279" s="55"/>
      <c r="M3279" s="55"/>
      <c r="N3279" s="55"/>
      <c r="O3279" s="55"/>
      <c r="P3279" s="55"/>
      <c r="Q3279" s="55"/>
      <c r="R3279" s="57"/>
      <c r="S3279" s="58"/>
    </row>
    <row r="3280" spans="2:19" x14ac:dyDescent="0.25">
      <c r="B3280" s="52"/>
      <c r="C3280" s="53"/>
      <c r="D3280" s="54"/>
      <c r="E3280" s="55"/>
      <c r="F3280" s="55"/>
      <c r="G3280" s="55"/>
      <c r="H3280" s="55"/>
      <c r="I3280" s="55"/>
      <c r="J3280" s="55"/>
      <c r="K3280" s="56"/>
      <c r="L3280" s="55"/>
      <c r="M3280" s="55"/>
      <c r="N3280" s="55"/>
      <c r="O3280" s="55"/>
      <c r="P3280" s="55"/>
      <c r="Q3280" s="55"/>
      <c r="R3280" s="57"/>
      <c r="S3280" s="58"/>
    </row>
    <row r="3281" spans="2:19" x14ac:dyDescent="0.25">
      <c r="B3281" s="52"/>
      <c r="C3281" s="53"/>
      <c r="D3281" s="54"/>
      <c r="E3281" s="55"/>
      <c r="F3281" s="55"/>
      <c r="G3281" s="55"/>
      <c r="H3281" s="55"/>
      <c r="I3281" s="55"/>
      <c r="J3281" s="55"/>
      <c r="K3281" s="56"/>
      <c r="L3281" s="55"/>
      <c r="M3281" s="55"/>
      <c r="N3281" s="55"/>
      <c r="O3281" s="55"/>
      <c r="P3281" s="55"/>
      <c r="Q3281" s="55"/>
      <c r="R3281" s="57"/>
      <c r="S3281" s="58"/>
    </row>
    <row r="3282" spans="2:19" x14ac:dyDescent="0.25">
      <c r="B3282" s="52"/>
      <c r="C3282" s="60"/>
      <c r="E3282" s="61"/>
      <c r="F3282" s="62"/>
      <c r="G3282" s="63"/>
      <c r="H3282" s="64"/>
      <c r="I3282" s="64"/>
      <c r="J3282" s="64"/>
      <c r="K3282" s="65"/>
      <c r="L3282" s="64"/>
      <c r="M3282" s="64"/>
      <c r="N3282" s="64"/>
      <c r="P3282" s="63"/>
      <c r="Q3282" s="61"/>
      <c r="R3282" s="64"/>
      <c r="S3282" s="64"/>
    </row>
    <row r="3283" spans="2:19" x14ac:dyDescent="0.25">
      <c r="B3283" s="52"/>
      <c r="C3283" s="53"/>
      <c r="D3283" s="54"/>
      <c r="E3283" s="55"/>
      <c r="F3283" s="55"/>
      <c r="G3283" s="55"/>
      <c r="H3283" s="55"/>
      <c r="I3283" s="55"/>
      <c r="J3283" s="55"/>
      <c r="K3283" s="56"/>
      <c r="L3283" s="55"/>
      <c r="M3283" s="55"/>
      <c r="N3283" s="55"/>
      <c r="O3283" s="55"/>
      <c r="P3283" s="55"/>
      <c r="Q3283" s="55"/>
      <c r="R3283" s="57"/>
      <c r="S3283" s="58"/>
    </row>
    <row r="3284" spans="2:19" x14ac:dyDescent="0.25">
      <c r="B3284" s="52"/>
      <c r="C3284" s="53"/>
      <c r="D3284" s="54"/>
      <c r="E3284" s="55"/>
      <c r="F3284" s="55"/>
      <c r="G3284" s="55"/>
      <c r="H3284" s="55"/>
      <c r="I3284" s="55"/>
      <c r="J3284" s="55"/>
      <c r="K3284" s="56"/>
      <c r="L3284" s="55"/>
      <c r="M3284" s="55"/>
      <c r="N3284" s="55"/>
      <c r="O3284" s="55"/>
      <c r="P3284" s="55"/>
      <c r="Q3284" s="55"/>
      <c r="R3284" s="57"/>
      <c r="S3284" s="58"/>
    </row>
    <row r="3285" spans="2:19" x14ac:dyDescent="0.25">
      <c r="B3285" s="52"/>
      <c r="C3285" s="53"/>
      <c r="D3285" s="54"/>
      <c r="E3285" s="55"/>
      <c r="F3285" s="55"/>
      <c r="G3285" s="55"/>
      <c r="H3285" s="55"/>
      <c r="I3285" s="55"/>
      <c r="J3285" s="55"/>
      <c r="K3285" s="56"/>
      <c r="L3285" s="55"/>
      <c r="M3285" s="55"/>
      <c r="N3285" s="55"/>
      <c r="O3285" s="55"/>
      <c r="P3285" s="55"/>
      <c r="Q3285" s="55"/>
      <c r="R3285" s="57"/>
      <c r="S3285" s="58"/>
    </row>
    <row r="3286" spans="2:19" x14ac:dyDescent="0.25">
      <c r="B3286" s="52"/>
      <c r="C3286" s="53"/>
      <c r="D3286" s="54"/>
      <c r="E3286" s="55"/>
      <c r="F3286" s="55"/>
      <c r="G3286" s="55"/>
      <c r="H3286" s="55"/>
      <c r="I3286" s="55"/>
      <c r="J3286" s="55"/>
      <c r="K3286" s="56"/>
      <c r="L3286" s="55"/>
      <c r="M3286" s="55"/>
      <c r="N3286" s="55"/>
      <c r="O3286" s="55"/>
      <c r="P3286" s="55"/>
      <c r="Q3286" s="55"/>
      <c r="R3286" s="57"/>
      <c r="S3286" s="58"/>
    </row>
    <row r="3287" spans="2:19" x14ac:dyDescent="0.25">
      <c r="B3287" s="52"/>
      <c r="C3287" s="53"/>
      <c r="D3287" s="54"/>
      <c r="E3287" s="55"/>
      <c r="F3287" s="55"/>
      <c r="G3287" s="55"/>
      <c r="H3287" s="55"/>
      <c r="I3287" s="55"/>
      <c r="J3287" s="55"/>
      <c r="K3287" s="56"/>
      <c r="L3287" s="55"/>
      <c r="M3287" s="55"/>
      <c r="N3287" s="55"/>
      <c r="O3287" s="55"/>
      <c r="P3287" s="55"/>
      <c r="Q3287" s="55"/>
      <c r="R3287" s="57"/>
      <c r="S3287" s="58"/>
    </row>
    <row r="3288" spans="2:19" x14ac:dyDescent="0.25">
      <c r="B3288" s="52"/>
      <c r="C3288" s="53"/>
      <c r="D3288" s="54"/>
      <c r="E3288" s="55"/>
      <c r="F3288" s="55"/>
      <c r="G3288" s="55"/>
      <c r="H3288" s="55"/>
      <c r="I3288" s="55"/>
      <c r="J3288" s="55"/>
      <c r="K3288" s="56"/>
      <c r="L3288" s="55"/>
      <c r="M3288" s="55"/>
      <c r="N3288" s="55"/>
      <c r="O3288" s="55"/>
      <c r="P3288" s="55"/>
      <c r="Q3288" s="55"/>
      <c r="R3288" s="57"/>
      <c r="S3288" s="58"/>
    </row>
    <row r="3289" spans="2:19" x14ac:dyDescent="0.25">
      <c r="B3289" s="52"/>
      <c r="C3289" s="53"/>
      <c r="D3289" s="54"/>
      <c r="E3289" s="55"/>
      <c r="F3289" s="55"/>
      <c r="G3289" s="55"/>
      <c r="H3289" s="55"/>
      <c r="I3289" s="55"/>
      <c r="J3289" s="55"/>
      <c r="K3289" s="56"/>
      <c r="L3289" s="55"/>
      <c r="M3289" s="55"/>
      <c r="N3289" s="55"/>
      <c r="O3289" s="55"/>
      <c r="P3289" s="55"/>
      <c r="Q3289" s="55"/>
      <c r="R3289" s="57"/>
      <c r="S3289" s="58"/>
    </row>
    <row r="3290" spans="2:19" x14ac:dyDescent="0.25">
      <c r="B3290" s="52"/>
      <c r="C3290" s="53"/>
      <c r="D3290" s="54"/>
      <c r="E3290" s="55"/>
      <c r="F3290" s="55"/>
      <c r="G3290" s="55"/>
      <c r="H3290" s="55"/>
      <c r="I3290" s="55"/>
      <c r="J3290" s="55"/>
      <c r="K3290" s="56"/>
      <c r="L3290" s="55"/>
      <c r="M3290" s="55"/>
      <c r="N3290" s="55"/>
      <c r="O3290" s="55"/>
      <c r="P3290" s="55"/>
      <c r="Q3290" s="55"/>
      <c r="R3290" s="57"/>
      <c r="S3290" s="58"/>
    </row>
    <row r="3291" spans="2:19" ht="15.75" x14ac:dyDescent="0.25">
      <c r="B3291" s="52"/>
      <c r="C3291" s="53"/>
      <c r="D3291" s="54"/>
      <c r="E3291" s="55"/>
      <c r="F3291" s="55"/>
      <c r="G3291" s="55"/>
      <c r="H3291" s="55"/>
      <c r="I3291" s="55"/>
      <c r="J3291" s="55"/>
      <c r="K3291" s="59"/>
      <c r="L3291" s="55"/>
      <c r="M3291" s="55"/>
      <c r="N3291" s="55"/>
      <c r="O3291" s="55"/>
      <c r="P3291" s="55"/>
      <c r="Q3291" s="55"/>
      <c r="R3291" s="57"/>
      <c r="S3291" s="58"/>
    </row>
    <row r="3292" spans="2:19" x14ac:dyDescent="0.25">
      <c r="B3292" s="52"/>
      <c r="C3292" s="53"/>
      <c r="D3292" s="54"/>
      <c r="E3292" s="55"/>
      <c r="F3292" s="55"/>
      <c r="G3292" s="55"/>
      <c r="H3292" s="55"/>
      <c r="I3292" s="55"/>
      <c r="J3292" s="55"/>
      <c r="K3292" s="56"/>
      <c r="L3292" s="55"/>
      <c r="M3292" s="55"/>
      <c r="N3292" s="55"/>
      <c r="O3292" s="55"/>
      <c r="P3292" s="55"/>
      <c r="Q3292" s="55"/>
      <c r="R3292" s="57"/>
      <c r="S3292" s="58"/>
    </row>
    <row r="3293" spans="2:19" x14ac:dyDescent="0.25">
      <c r="B3293" s="52"/>
      <c r="C3293" s="53"/>
      <c r="D3293" s="54"/>
      <c r="E3293" s="55"/>
      <c r="F3293" s="55"/>
      <c r="G3293" s="55"/>
      <c r="H3293" s="55"/>
      <c r="I3293" s="55"/>
      <c r="J3293" s="55"/>
      <c r="K3293" s="56"/>
      <c r="L3293" s="55"/>
      <c r="M3293" s="55"/>
      <c r="N3293" s="55"/>
      <c r="O3293" s="55"/>
      <c r="P3293" s="55"/>
      <c r="Q3293" s="55"/>
      <c r="R3293" s="57"/>
      <c r="S3293" s="58"/>
    </row>
    <row r="3294" spans="2:19" x14ac:dyDescent="0.25">
      <c r="B3294" s="52"/>
      <c r="C3294" s="53"/>
      <c r="D3294" s="54"/>
      <c r="E3294" s="55"/>
      <c r="F3294" s="55"/>
      <c r="G3294" s="55"/>
      <c r="H3294" s="55"/>
      <c r="I3294" s="55"/>
      <c r="J3294" s="55"/>
      <c r="K3294" s="56"/>
      <c r="L3294" s="55"/>
      <c r="M3294" s="55"/>
      <c r="N3294" s="55"/>
      <c r="O3294" s="55"/>
      <c r="P3294" s="55"/>
      <c r="Q3294" s="55"/>
      <c r="R3294" s="57"/>
      <c r="S3294" s="58"/>
    </row>
    <row r="3295" spans="2:19" x14ac:dyDescent="0.25">
      <c r="B3295" s="52"/>
      <c r="C3295" s="53"/>
      <c r="D3295" s="54"/>
      <c r="E3295" s="55"/>
      <c r="F3295" s="55"/>
      <c r="G3295" s="55"/>
      <c r="H3295" s="55"/>
      <c r="I3295" s="55"/>
      <c r="J3295" s="55"/>
      <c r="K3295" s="56"/>
      <c r="L3295" s="55"/>
      <c r="M3295" s="55"/>
      <c r="N3295" s="55"/>
      <c r="O3295" s="55"/>
      <c r="P3295" s="55"/>
      <c r="Q3295" s="55"/>
      <c r="R3295" s="57"/>
      <c r="S3295" s="58"/>
    </row>
    <row r="3296" spans="2:19" x14ac:dyDescent="0.25">
      <c r="B3296" s="52"/>
      <c r="C3296" s="53"/>
      <c r="D3296" s="54"/>
      <c r="E3296" s="55"/>
      <c r="F3296" s="55"/>
      <c r="G3296" s="55"/>
      <c r="H3296" s="55"/>
      <c r="I3296" s="55"/>
      <c r="J3296" s="55"/>
      <c r="K3296" s="56"/>
      <c r="L3296" s="55"/>
      <c r="M3296" s="55"/>
      <c r="N3296" s="55"/>
      <c r="O3296" s="55"/>
      <c r="P3296" s="55"/>
      <c r="Q3296" s="55"/>
      <c r="R3296" s="57"/>
      <c r="S3296" s="58"/>
    </row>
    <row r="3297" spans="2:19" x14ac:dyDescent="0.25">
      <c r="B3297" s="52"/>
      <c r="C3297" s="53"/>
      <c r="D3297" s="54"/>
      <c r="E3297" s="55"/>
      <c r="F3297" s="55"/>
      <c r="G3297" s="55"/>
      <c r="H3297" s="55"/>
      <c r="I3297" s="55"/>
      <c r="J3297" s="55"/>
      <c r="K3297" s="56"/>
      <c r="L3297" s="55"/>
      <c r="M3297" s="55"/>
      <c r="N3297" s="55"/>
      <c r="O3297" s="55"/>
      <c r="P3297" s="55"/>
      <c r="Q3297" s="55"/>
      <c r="R3297" s="57"/>
      <c r="S3297" s="58"/>
    </row>
    <row r="3298" spans="2:19" x14ac:dyDescent="0.25">
      <c r="B3298" s="52"/>
      <c r="C3298" s="53"/>
      <c r="D3298" s="54"/>
      <c r="E3298" s="55"/>
      <c r="F3298" s="55"/>
      <c r="G3298" s="55"/>
      <c r="H3298" s="55"/>
      <c r="I3298" s="55"/>
      <c r="J3298" s="55"/>
      <c r="K3298" s="56"/>
      <c r="L3298" s="55"/>
      <c r="M3298" s="55"/>
      <c r="N3298" s="55"/>
      <c r="O3298" s="55"/>
      <c r="P3298" s="55"/>
      <c r="Q3298" s="55"/>
      <c r="R3298" s="57"/>
      <c r="S3298" s="58"/>
    </row>
    <row r="3299" spans="2:19" x14ac:dyDescent="0.25">
      <c r="B3299" s="52"/>
      <c r="C3299" s="60"/>
      <c r="E3299" s="61"/>
      <c r="F3299" s="62"/>
      <c r="G3299" s="63"/>
      <c r="H3299" s="64"/>
      <c r="I3299" s="64"/>
      <c r="J3299" s="64"/>
      <c r="K3299" s="65"/>
      <c r="L3299" s="64"/>
      <c r="M3299" s="64"/>
      <c r="N3299" s="64"/>
      <c r="P3299" s="63"/>
      <c r="Q3299" s="61"/>
      <c r="R3299" s="64"/>
      <c r="S3299" s="64"/>
    </row>
    <row r="3300" spans="2:19" x14ac:dyDescent="0.25">
      <c r="B3300" s="52"/>
      <c r="C3300" s="53"/>
      <c r="D3300" s="54"/>
      <c r="E3300" s="55"/>
      <c r="F3300" s="55"/>
      <c r="G3300" s="55"/>
      <c r="H3300" s="55"/>
      <c r="I3300" s="55"/>
      <c r="J3300" s="55"/>
      <c r="K3300" s="56"/>
      <c r="L3300" s="55"/>
      <c r="M3300" s="55"/>
      <c r="N3300" s="55"/>
      <c r="O3300" s="55"/>
      <c r="P3300" s="55"/>
      <c r="Q3300" s="55"/>
      <c r="R3300" s="57"/>
      <c r="S3300" s="58"/>
    </row>
    <row r="3301" spans="2:19" x14ac:dyDescent="0.25">
      <c r="B3301" s="52"/>
      <c r="C3301" s="53"/>
      <c r="D3301" s="54"/>
      <c r="E3301" s="55"/>
      <c r="F3301" s="55"/>
      <c r="G3301" s="55"/>
      <c r="H3301" s="55"/>
      <c r="I3301" s="55"/>
      <c r="J3301" s="55"/>
      <c r="K3301" s="56"/>
      <c r="L3301" s="55"/>
      <c r="M3301" s="55"/>
      <c r="N3301" s="55"/>
      <c r="O3301" s="55"/>
      <c r="P3301" s="55"/>
      <c r="Q3301" s="55"/>
      <c r="R3301" s="57"/>
      <c r="S3301" s="58"/>
    </row>
    <row r="3302" spans="2:19" x14ac:dyDescent="0.25">
      <c r="B3302" s="52"/>
      <c r="C3302" s="53"/>
      <c r="D3302" s="54"/>
      <c r="E3302" s="55"/>
      <c r="F3302" s="55"/>
      <c r="G3302" s="55"/>
      <c r="H3302" s="55"/>
      <c r="I3302" s="55"/>
      <c r="J3302" s="55"/>
      <c r="K3302" s="56"/>
      <c r="L3302" s="55"/>
      <c r="M3302" s="55"/>
      <c r="N3302" s="55"/>
      <c r="O3302" s="55"/>
      <c r="P3302" s="55"/>
      <c r="Q3302" s="55"/>
      <c r="R3302" s="57"/>
      <c r="S3302" s="58"/>
    </row>
    <row r="3303" spans="2:19" x14ac:dyDescent="0.25">
      <c r="B3303" s="52"/>
      <c r="C3303" s="53"/>
      <c r="D3303" s="54"/>
      <c r="E3303" s="55"/>
      <c r="F3303" s="55"/>
      <c r="G3303" s="55"/>
      <c r="H3303" s="55"/>
      <c r="I3303" s="55"/>
      <c r="J3303" s="55"/>
      <c r="K3303" s="56"/>
      <c r="L3303" s="55"/>
      <c r="M3303" s="55"/>
      <c r="N3303" s="55"/>
      <c r="O3303" s="55"/>
      <c r="P3303" s="55"/>
      <c r="Q3303" s="55"/>
      <c r="R3303" s="57"/>
      <c r="S3303" s="58"/>
    </row>
    <row r="3304" spans="2:19" x14ac:dyDescent="0.25">
      <c r="B3304" s="52"/>
      <c r="C3304" s="53"/>
      <c r="D3304" s="54"/>
      <c r="E3304" s="55"/>
      <c r="F3304" s="55"/>
      <c r="G3304" s="55"/>
      <c r="H3304" s="55"/>
      <c r="I3304" s="55"/>
      <c r="J3304" s="55"/>
      <c r="K3304" s="56"/>
      <c r="L3304" s="55"/>
      <c r="M3304" s="55"/>
      <c r="N3304" s="55"/>
      <c r="O3304" s="55"/>
      <c r="P3304" s="55"/>
      <c r="Q3304" s="55"/>
      <c r="R3304" s="57"/>
      <c r="S3304" s="58"/>
    </row>
    <row r="3305" spans="2:19" x14ac:dyDescent="0.25">
      <c r="B3305" s="52"/>
      <c r="C3305" s="53"/>
      <c r="D3305" s="54"/>
      <c r="E3305" s="55"/>
      <c r="F3305" s="55"/>
      <c r="G3305" s="55"/>
      <c r="H3305" s="55"/>
      <c r="I3305" s="55"/>
      <c r="J3305" s="55"/>
      <c r="K3305" s="56"/>
      <c r="L3305" s="55"/>
      <c r="M3305" s="55"/>
      <c r="N3305" s="55"/>
      <c r="O3305" s="55"/>
      <c r="P3305" s="55"/>
      <c r="Q3305" s="55"/>
      <c r="R3305" s="57"/>
      <c r="S3305" s="58"/>
    </row>
    <row r="3306" spans="2:19" x14ac:dyDescent="0.25">
      <c r="B3306" s="52"/>
      <c r="C3306" s="53"/>
      <c r="D3306" s="54"/>
      <c r="E3306" s="55"/>
      <c r="F3306" s="55"/>
      <c r="G3306" s="55"/>
      <c r="H3306" s="55"/>
      <c r="I3306" s="55"/>
      <c r="J3306" s="55"/>
      <c r="K3306" s="56"/>
      <c r="L3306" s="55"/>
      <c r="M3306" s="55"/>
      <c r="N3306" s="55"/>
      <c r="O3306" s="55"/>
      <c r="P3306" s="55"/>
      <c r="Q3306" s="55"/>
      <c r="R3306" s="57"/>
      <c r="S3306" s="58"/>
    </row>
    <row r="3307" spans="2:19" x14ac:dyDescent="0.25">
      <c r="B3307" s="52"/>
      <c r="C3307" s="53"/>
      <c r="D3307" s="54"/>
      <c r="E3307" s="55"/>
      <c r="F3307" s="55"/>
      <c r="G3307" s="55"/>
      <c r="H3307" s="55"/>
      <c r="I3307" s="55"/>
      <c r="J3307" s="55"/>
      <c r="K3307" s="56"/>
      <c r="L3307" s="55"/>
      <c r="M3307" s="55"/>
      <c r="N3307" s="55"/>
      <c r="O3307" s="55"/>
      <c r="P3307" s="55"/>
      <c r="Q3307" s="55"/>
      <c r="R3307" s="57"/>
      <c r="S3307" s="58"/>
    </row>
    <row r="3308" spans="2:19" ht="15.75" x14ac:dyDescent="0.25">
      <c r="B3308" s="52"/>
      <c r="C3308" s="53"/>
      <c r="D3308" s="54"/>
      <c r="E3308" s="55"/>
      <c r="F3308" s="55"/>
      <c r="G3308" s="55"/>
      <c r="H3308" s="55"/>
      <c r="I3308" s="55"/>
      <c r="J3308" s="55"/>
      <c r="K3308" s="59"/>
      <c r="L3308" s="55"/>
      <c r="M3308" s="55"/>
      <c r="N3308" s="55"/>
      <c r="O3308" s="55"/>
      <c r="P3308" s="55"/>
      <c r="Q3308" s="55"/>
      <c r="R3308" s="57"/>
      <c r="S3308" s="58"/>
    </row>
    <row r="3309" spans="2:19" x14ac:dyDescent="0.25">
      <c r="B3309" s="52"/>
      <c r="C3309" s="53"/>
      <c r="D3309" s="54"/>
      <c r="E3309" s="55"/>
      <c r="F3309" s="55"/>
      <c r="G3309" s="55"/>
      <c r="H3309" s="55"/>
      <c r="I3309" s="55"/>
      <c r="J3309" s="55"/>
      <c r="K3309" s="56"/>
      <c r="L3309" s="55"/>
      <c r="M3309" s="55"/>
      <c r="N3309" s="55"/>
      <c r="O3309" s="55"/>
      <c r="P3309" s="55"/>
      <c r="Q3309" s="55"/>
      <c r="R3309" s="57"/>
      <c r="S3309" s="58"/>
    </row>
    <row r="3310" spans="2:19" x14ac:dyDescent="0.25">
      <c r="B3310" s="52"/>
      <c r="C3310" s="53"/>
      <c r="D3310" s="54"/>
      <c r="E3310" s="55"/>
      <c r="F3310" s="55"/>
      <c r="G3310" s="55"/>
      <c r="H3310" s="55"/>
      <c r="I3310" s="55"/>
      <c r="J3310" s="55"/>
      <c r="K3310" s="56"/>
      <c r="L3310" s="55"/>
      <c r="M3310" s="55"/>
      <c r="N3310" s="55"/>
      <c r="O3310" s="55"/>
      <c r="P3310" s="55"/>
      <c r="Q3310" s="55"/>
      <c r="R3310" s="57"/>
      <c r="S3310" s="58"/>
    </row>
    <row r="3311" spans="2:19" x14ac:dyDescent="0.25">
      <c r="B3311" s="52"/>
      <c r="C3311" s="53"/>
      <c r="D3311" s="54"/>
      <c r="E3311" s="55"/>
      <c r="F3311" s="55"/>
      <c r="G3311" s="55"/>
      <c r="H3311" s="55"/>
      <c r="I3311" s="55"/>
      <c r="J3311" s="55"/>
      <c r="K3311" s="56"/>
      <c r="L3311" s="55"/>
      <c r="M3311" s="55"/>
      <c r="N3311" s="55"/>
      <c r="O3311" s="55"/>
      <c r="P3311" s="55"/>
      <c r="Q3311" s="55"/>
      <c r="R3311" s="57"/>
      <c r="S3311" s="58"/>
    </row>
    <row r="3312" spans="2:19" x14ac:dyDescent="0.25">
      <c r="B3312" s="52"/>
      <c r="C3312" s="53"/>
      <c r="D3312" s="54"/>
      <c r="E3312" s="55"/>
      <c r="F3312" s="55"/>
      <c r="G3312" s="55"/>
      <c r="H3312" s="55"/>
      <c r="I3312" s="55"/>
      <c r="J3312" s="55"/>
      <c r="K3312" s="56"/>
      <c r="L3312" s="55"/>
      <c r="M3312" s="55"/>
      <c r="N3312" s="55"/>
      <c r="O3312" s="55"/>
      <c r="P3312" s="55"/>
      <c r="Q3312" s="55"/>
      <c r="R3312" s="57"/>
      <c r="S3312" s="58"/>
    </row>
    <row r="3313" spans="2:19" x14ac:dyDescent="0.25">
      <c r="B3313" s="52"/>
      <c r="C3313" s="53"/>
      <c r="D3313" s="54"/>
      <c r="E3313" s="55"/>
      <c r="F3313" s="55"/>
      <c r="G3313" s="55"/>
      <c r="H3313" s="55"/>
      <c r="I3313" s="55"/>
      <c r="J3313" s="55"/>
      <c r="K3313" s="56"/>
      <c r="L3313" s="55"/>
      <c r="M3313" s="55"/>
      <c r="N3313" s="55"/>
      <c r="O3313" s="55"/>
      <c r="P3313" s="55"/>
      <c r="Q3313" s="55"/>
      <c r="R3313" s="57"/>
      <c r="S3313" s="58"/>
    </row>
    <row r="3314" spans="2:19" x14ac:dyDescent="0.25">
      <c r="B3314" s="52"/>
      <c r="C3314" s="53"/>
      <c r="D3314" s="54"/>
      <c r="E3314" s="55"/>
      <c r="F3314" s="55"/>
      <c r="G3314" s="55"/>
      <c r="H3314" s="55"/>
      <c r="I3314" s="55"/>
      <c r="J3314" s="55"/>
      <c r="K3314" s="56"/>
      <c r="L3314" s="55"/>
      <c r="M3314" s="55"/>
      <c r="N3314" s="55"/>
      <c r="O3314" s="55"/>
      <c r="P3314" s="55"/>
      <c r="Q3314" s="55"/>
      <c r="R3314" s="57"/>
      <c r="S3314" s="58"/>
    </row>
    <row r="3315" spans="2:19" x14ac:dyDescent="0.25">
      <c r="B3315" s="52"/>
      <c r="C3315" s="53"/>
      <c r="D3315" s="54"/>
      <c r="E3315" s="55"/>
      <c r="F3315" s="55"/>
      <c r="G3315" s="55"/>
      <c r="H3315" s="55"/>
      <c r="I3315" s="55"/>
      <c r="J3315" s="55"/>
      <c r="K3315" s="56"/>
      <c r="L3315" s="55"/>
      <c r="M3315" s="55"/>
      <c r="N3315" s="55"/>
      <c r="O3315" s="55"/>
      <c r="P3315" s="55"/>
      <c r="Q3315" s="55"/>
      <c r="R3315" s="57"/>
      <c r="S3315" s="58"/>
    </row>
    <row r="3316" spans="2:19" x14ac:dyDescent="0.25">
      <c r="B3316" s="52"/>
      <c r="C3316" s="60"/>
      <c r="E3316" s="61"/>
      <c r="F3316" s="62"/>
      <c r="G3316" s="63"/>
      <c r="H3316" s="64"/>
      <c r="I3316" s="64"/>
      <c r="J3316" s="64"/>
      <c r="K3316" s="65"/>
      <c r="L3316" s="64"/>
      <c r="M3316" s="64"/>
      <c r="N3316" s="64"/>
      <c r="P3316" s="63"/>
      <c r="Q3316" s="61"/>
      <c r="R3316" s="64"/>
      <c r="S3316" s="64"/>
    </row>
    <row r="3317" spans="2:19" x14ac:dyDescent="0.25">
      <c r="B3317" s="52"/>
      <c r="C3317" s="53"/>
      <c r="D3317" s="54"/>
      <c r="E3317" s="55"/>
      <c r="F3317" s="55"/>
      <c r="G3317" s="55"/>
      <c r="H3317" s="55"/>
      <c r="I3317" s="55"/>
      <c r="J3317" s="55"/>
      <c r="K3317" s="56"/>
      <c r="L3317" s="55"/>
      <c r="M3317" s="55"/>
      <c r="N3317" s="55"/>
      <c r="O3317" s="55"/>
      <c r="P3317" s="55"/>
      <c r="Q3317" s="55"/>
      <c r="R3317" s="57"/>
      <c r="S3317" s="58"/>
    </row>
    <row r="3318" spans="2:19" x14ac:dyDescent="0.25">
      <c r="B3318" s="52"/>
      <c r="C3318" s="53"/>
      <c r="D3318" s="54"/>
      <c r="E3318" s="55"/>
      <c r="F3318" s="55"/>
      <c r="G3318" s="55"/>
      <c r="H3318" s="55"/>
      <c r="I3318" s="55"/>
      <c r="J3318" s="55"/>
      <c r="K3318" s="56"/>
      <c r="L3318" s="55"/>
      <c r="M3318" s="55"/>
      <c r="N3318" s="55"/>
      <c r="O3318" s="55"/>
      <c r="P3318" s="55"/>
      <c r="Q3318" s="55"/>
      <c r="R3318" s="57"/>
      <c r="S3318" s="58"/>
    </row>
    <row r="3319" spans="2:19" x14ac:dyDescent="0.25">
      <c r="B3319" s="52"/>
      <c r="C3319" s="53"/>
      <c r="D3319" s="54"/>
      <c r="E3319" s="55"/>
      <c r="F3319" s="55"/>
      <c r="G3319" s="55"/>
      <c r="H3319" s="55"/>
      <c r="I3319" s="55"/>
      <c r="J3319" s="55"/>
      <c r="K3319" s="56"/>
      <c r="L3319" s="55"/>
      <c r="M3319" s="55"/>
      <c r="N3319" s="55"/>
      <c r="O3319" s="55"/>
      <c r="P3319" s="55"/>
      <c r="Q3319" s="55"/>
      <c r="R3319" s="57"/>
      <c r="S3319" s="58"/>
    </row>
    <row r="3320" spans="2:19" x14ac:dyDescent="0.25">
      <c r="B3320" s="52"/>
      <c r="C3320" s="53"/>
      <c r="D3320" s="54"/>
      <c r="E3320" s="55"/>
      <c r="F3320" s="55"/>
      <c r="G3320" s="55"/>
      <c r="H3320" s="55"/>
      <c r="I3320" s="55"/>
      <c r="J3320" s="55"/>
      <c r="K3320" s="56"/>
      <c r="L3320" s="55"/>
      <c r="M3320" s="55"/>
      <c r="N3320" s="55"/>
      <c r="O3320" s="55"/>
      <c r="P3320" s="55"/>
      <c r="Q3320" s="55"/>
      <c r="R3320" s="57"/>
      <c r="S3320" s="58"/>
    </row>
    <row r="3321" spans="2:19" x14ac:dyDescent="0.25">
      <c r="B3321" s="52"/>
      <c r="C3321" s="53"/>
      <c r="D3321" s="54"/>
      <c r="E3321" s="55"/>
      <c r="F3321" s="55"/>
      <c r="G3321" s="55"/>
      <c r="H3321" s="55"/>
      <c r="I3321" s="55"/>
      <c r="J3321" s="55"/>
      <c r="K3321" s="56"/>
      <c r="L3321" s="55"/>
      <c r="M3321" s="55"/>
      <c r="N3321" s="55"/>
      <c r="O3321" s="55"/>
      <c r="P3321" s="55"/>
      <c r="Q3321" s="55"/>
      <c r="R3321" s="57"/>
      <c r="S3321" s="58"/>
    </row>
    <row r="3322" spans="2:19" x14ac:dyDescent="0.25">
      <c r="B3322" s="52"/>
      <c r="C3322" s="53"/>
      <c r="D3322" s="54"/>
      <c r="E3322" s="55"/>
      <c r="F3322" s="55"/>
      <c r="G3322" s="55"/>
      <c r="H3322" s="55"/>
      <c r="I3322" s="55"/>
      <c r="J3322" s="55"/>
      <c r="K3322" s="56"/>
      <c r="L3322" s="55"/>
      <c r="M3322" s="55"/>
      <c r="N3322" s="55"/>
      <c r="O3322" s="55"/>
      <c r="P3322" s="55"/>
      <c r="Q3322" s="55"/>
      <c r="R3322" s="57"/>
      <c r="S3322" s="58"/>
    </row>
    <row r="3323" spans="2:19" x14ac:dyDescent="0.25">
      <c r="B3323" s="52"/>
      <c r="C3323" s="53"/>
      <c r="D3323" s="54"/>
      <c r="E3323" s="55"/>
      <c r="F3323" s="55"/>
      <c r="G3323" s="55"/>
      <c r="H3323" s="55"/>
      <c r="I3323" s="55"/>
      <c r="J3323" s="55"/>
      <c r="K3323" s="56"/>
      <c r="L3323" s="55"/>
      <c r="M3323" s="55"/>
      <c r="N3323" s="55"/>
      <c r="O3323" s="55"/>
      <c r="P3323" s="55"/>
      <c r="Q3323" s="55"/>
      <c r="R3323" s="57"/>
      <c r="S3323" s="58"/>
    </row>
    <row r="3324" spans="2:19" x14ac:dyDescent="0.25">
      <c r="B3324" s="52"/>
      <c r="C3324" s="53"/>
      <c r="D3324" s="54"/>
      <c r="E3324" s="55"/>
      <c r="F3324" s="55"/>
      <c r="G3324" s="55"/>
      <c r="H3324" s="55"/>
      <c r="I3324" s="55"/>
      <c r="J3324" s="55"/>
      <c r="K3324" s="56"/>
      <c r="L3324" s="55"/>
      <c r="M3324" s="55"/>
      <c r="N3324" s="55"/>
      <c r="O3324" s="55"/>
      <c r="P3324" s="55"/>
      <c r="Q3324" s="55"/>
      <c r="R3324" s="57"/>
      <c r="S3324" s="58"/>
    </row>
    <row r="3325" spans="2:19" ht="15.75" x14ac:dyDescent="0.25">
      <c r="B3325" s="52"/>
      <c r="C3325" s="53"/>
      <c r="D3325" s="54"/>
      <c r="E3325" s="55"/>
      <c r="F3325" s="55"/>
      <c r="G3325" s="55"/>
      <c r="H3325" s="55"/>
      <c r="I3325" s="55"/>
      <c r="J3325" s="55"/>
      <c r="K3325" s="59"/>
      <c r="L3325" s="55"/>
      <c r="M3325" s="55"/>
      <c r="N3325" s="55"/>
      <c r="O3325" s="55"/>
      <c r="P3325" s="55"/>
      <c r="Q3325" s="55"/>
      <c r="R3325" s="57"/>
      <c r="S3325" s="58"/>
    </row>
    <row r="3326" spans="2:19" x14ac:dyDescent="0.25">
      <c r="B3326" s="52"/>
      <c r="C3326" s="53"/>
      <c r="D3326" s="54"/>
      <c r="E3326" s="55"/>
      <c r="F3326" s="55"/>
      <c r="G3326" s="55"/>
      <c r="H3326" s="55"/>
      <c r="I3326" s="55"/>
      <c r="J3326" s="55"/>
      <c r="K3326" s="56"/>
      <c r="L3326" s="55"/>
      <c r="M3326" s="55"/>
      <c r="N3326" s="55"/>
      <c r="O3326" s="55"/>
      <c r="P3326" s="55"/>
      <c r="Q3326" s="55"/>
      <c r="R3326" s="57"/>
      <c r="S3326" s="58"/>
    </row>
    <row r="3327" spans="2:19" x14ac:dyDescent="0.25">
      <c r="B3327" s="52"/>
      <c r="C3327" s="53"/>
      <c r="D3327" s="54"/>
      <c r="E3327" s="55"/>
      <c r="F3327" s="55"/>
      <c r="G3327" s="55"/>
      <c r="H3327" s="55"/>
      <c r="I3327" s="55"/>
      <c r="J3327" s="55"/>
      <c r="K3327" s="56"/>
      <c r="L3327" s="55"/>
      <c r="M3327" s="55"/>
      <c r="N3327" s="55"/>
      <c r="O3327" s="55"/>
      <c r="P3327" s="55"/>
      <c r="Q3327" s="55"/>
      <c r="R3327" s="57"/>
      <c r="S3327" s="58"/>
    </row>
    <row r="3328" spans="2:19" x14ac:dyDescent="0.25">
      <c r="B3328" s="52"/>
      <c r="C3328" s="53"/>
      <c r="D3328" s="54"/>
      <c r="E3328" s="55"/>
      <c r="F3328" s="55"/>
      <c r="G3328" s="55"/>
      <c r="H3328" s="55"/>
      <c r="I3328" s="55"/>
      <c r="J3328" s="55"/>
      <c r="K3328" s="56"/>
      <c r="L3328" s="55"/>
      <c r="M3328" s="55"/>
      <c r="N3328" s="55"/>
      <c r="O3328" s="55"/>
      <c r="P3328" s="55"/>
      <c r="Q3328" s="55"/>
      <c r="R3328" s="57"/>
      <c r="S3328" s="58"/>
    </row>
    <row r="3329" spans="2:19" x14ac:dyDescent="0.25">
      <c r="B3329" s="52"/>
      <c r="C3329" s="53"/>
      <c r="D3329" s="54"/>
      <c r="E3329" s="55"/>
      <c r="F3329" s="55"/>
      <c r="G3329" s="55"/>
      <c r="H3329" s="55"/>
      <c r="I3329" s="55"/>
      <c r="J3329" s="55"/>
      <c r="K3329" s="56"/>
      <c r="L3329" s="55"/>
      <c r="M3329" s="55"/>
      <c r="N3329" s="55"/>
      <c r="O3329" s="55"/>
      <c r="P3329" s="55"/>
      <c r="Q3329" s="55"/>
      <c r="R3329" s="57"/>
      <c r="S3329" s="58"/>
    </row>
    <row r="3330" spans="2:19" x14ac:dyDescent="0.25">
      <c r="B3330" s="52"/>
      <c r="C3330" s="53"/>
      <c r="D3330" s="54"/>
      <c r="E3330" s="55"/>
      <c r="F3330" s="55"/>
      <c r="G3330" s="55"/>
      <c r="H3330" s="55"/>
      <c r="I3330" s="55"/>
      <c r="J3330" s="55"/>
      <c r="K3330" s="56"/>
      <c r="L3330" s="55"/>
      <c r="M3330" s="55"/>
      <c r="N3330" s="55"/>
      <c r="O3330" s="55"/>
      <c r="P3330" s="55"/>
      <c r="Q3330" s="55"/>
      <c r="R3330" s="57"/>
      <c r="S3330" s="58"/>
    </row>
    <row r="3331" spans="2:19" x14ac:dyDescent="0.25">
      <c r="B3331" s="52"/>
      <c r="C3331" s="53"/>
      <c r="D3331" s="54"/>
      <c r="E3331" s="55"/>
      <c r="F3331" s="55"/>
      <c r="G3331" s="55"/>
      <c r="H3331" s="55"/>
      <c r="I3331" s="55"/>
      <c r="J3331" s="55"/>
      <c r="K3331" s="56"/>
      <c r="L3331" s="55"/>
      <c r="M3331" s="55"/>
      <c r="N3331" s="55"/>
      <c r="O3331" s="55"/>
      <c r="P3331" s="55"/>
      <c r="Q3331" s="55"/>
      <c r="R3331" s="57"/>
      <c r="S3331" s="58"/>
    </row>
    <row r="3332" spans="2:19" x14ac:dyDescent="0.25">
      <c r="B3332" s="52"/>
      <c r="C3332" s="53"/>
      <c r="D3332" s="54"/>
      <c r="E3332" s="55"/>
      <c r="F3332" s="55"/>
      <c r="G3332" s="55"/>
      <c r="H3332" s="55"/>
      <c r="I3332" s="55"/>
      <c r="J3332" s="55"/>
      <c r="K3332" s="56"/>
      <c r="L3332" s="55"/>
      <c r="M3332" s="55"/>
      <c r="N3332" s="55"/>
      <c r="O3332" s="55"/>
      <c r="P3332" s="55"/>
      <c r="Q3332" s="55"/>
      <c r="R3332" s="57"/>
      <c r="S3332" s="58"/>
    </row>
    <row r="3333" spans="2:19" x14ac:dyDescent="0.25">
      <c r="B3333" s="52"/>
      <c r="C3333" s="60"/>
      <c r="E3333" s="61"/>
      <c r="F3333" s="62"/>
      <c r="G3333" s="63"/>
      <c r="H3333" s="64"/>
      <c r="I3333" s="64"/>
      <c r="J3333" s="64"/>
      <c r="K3333" s="65"/>
      <c r="L3333" s="64"/>
      <c r="M3333" s="64"/>
      <c r="N3333" s="64"/>
      <c r="P3333" s="63"/>
      <c r="Q3333" s="61"/>
      <c r="R3333" s="64"/>
      <c r="S3333" s="64"/>
    </row>
    <row r="3334" spans="2:19" x14ac:dyDescent="0.25">
      <c r="B3334" s="52"/>
      <c r="C3334" s="53"/>
      <c r="D3334" s="54"/>
      <c r="E3334" s="55"/>
      <c r="F3334" s="55"/>
      <c r="G3334" s="55"/>
      <c r="H3334" s="55"/>
      <c r="I3334" s="55"/>
      <c r="J3334" s="55"/>
      <c r="K3334" s="56"/>
      <c r="L3334" s="55"/>
      <c r="M3334" s="55"/>
      <c r="N3334" s="55"/>
      <c r="O3334" s="55"/>
      <c r="P3334" s="55"/>
      <c r="Q3334" s="55"/>
      <c r="R3334" s="57"/>
      <c r="S3334" s="58"/>
    </row>
    <row r="3335" spans="2:19" x14ac:dyDescent="0.25">
      <c r="B3335" s="52"/>
      <c r="C3335" s="53"/>
      <c r="D3335" s="54"/>
      <c r="E3335" s="55"/>
      <c r="F3335" s="55"/>
      <c r="G3335" s="55"/>
      <c r="H3335" s="55"/>
      <c r="I3335" s="55"/>
      <c r="J3335" s="55"/>
      <c r="K3335" s="56"/>
      <c r="L3335" s="55"/>
      <c r="M3335" s="55"/>
      <c r="N3335" s="55"/>
      <c r="O3335" s="55"/>
      <c r="P3335" s="55"/>
      <c r="Q3335" s="55"/>
      <c r="R3335" s="57"/>
      <c r="S3335" s="58"/>
    </row>
    <row r="3336" spans="2:19" x14ac:dyDescent="0.25">
      <c r="B3336" s="52"/>
      <c r="C3336" s="53"/>
      <c r="D3336" s="54"/>
      <c r="E3336" s="55"/>
      <c r="F3336" s="55"/>
      <c r="G3336" s="55"/>
      <c r="H3336" s="55"/>
      <c r="I3336" s="55"/>
      <c r="J3336" s="55"/>
      <c r="K3336" s="56"/>
      <c r="L3336" s="55"/>
      <c r="M3336" s="55"/>
      <c r="N3336" s="55"/>
      <c r="O3336" s="55"/>
      <c r="P3336" s="55"/>
      <c r="Q3336" s="55"/>
      <c r="R3336" s="57"/>
      <c r="S3336" s="58"/>
    </row>
    <row r="3337" spans="2:19" x14ac:dyDescent="0.25">
      <c r="B3337" s="52"/>
      <c r="C3337" s="53"/>
      <c r="D3337" s="54"/>
      <c r="E3337" s="55"/>
      <c r="F3337" s="55"/>
      <c r="G3337" s="55"/>
      <c r="H3337" s="55"/>
      <c r="I3337" s="55"/>
      <c r="J3337" s="55"/>
      <c r="K3337" s="56"/>
      <c r="L3337" s="55"/>
      <c r="M3337" s="55"/>
      <c r="N3337" s="55"/>
      <c r="O3337" s="55"/>
      <c r="P3337" s="55"/>
      <c r="Q3337" s="55"/>
      <c r="R3337" s="57"/>
      <c r="S3337" s="58"/>
    </row>
    <row r="3338" spans="2:19" x14ac:dyDescent="0.25">
      <c r="B3338" s="52"/>
      <c r="C3338" s="53"/>
      <c r="D3338" s="54"/>
      <c r="E3338" s="55"/>
      <c r="F3338" s="55"/>
      <c r="G3338" s="55"/>
      <c r="H3338" s="55"/>
      <c r="I3338" s="55"/>
      <c r="J3338" s="55"/>
      <c r="K3338" s="56"/>
      <c r="L3338" s="55"/>
      <c r="M3338" s="55"/>
      <c r="N3338" s="55"/>
      <c r="O3338" s="55"/>
      <c r="P3338" s="55"/>
      <c r="Q3338" s="55"/>
      <c r="R3338" s="57"/>
      <c r="S3338" s="58"/>
    </row>
    <row r="3339" spans="2:19" x14ac:dyDescent="0.25">
      <c r="B3339" s="52"/>
      <c r="C3339" s="53"/>
      <c r="D3339" s="54"/>
      <c r="E3339" s="55"/>
      <c r="F3339" s="55"/>
      <c r="G3339" s="55"/>
      <c r="H3339" s="55"/>
      <c r="I3339" s="55"/>
      <c r="J3339" s="55"/>
      <c r="K3339" s="56"/>
      <c r="L3339" s="55"/>
      <c r="M3339" s="55"/>
      <c r="N3339" s="55"/>
      <c r="O3339" s="55"/>
      <c r="P3339" s="55"/>
      <c r="Q3339" s="55"/>
      <c r="R3339" s="57"/>
      <c r="S3339" s="58"/>
    </row>
    <row r="3340" spans="2:19" x14ac:dyDescent="0.25">
      <c r="B3340" s="52"/>
      <c r="C3340" s="53"/>
      <c r="D3340" s="54"/>
      <c r="E3340" s="55"/>
      <c r="F3340" s="55"/>
      <c r="G3340" s="55"/>
      <c r="H3340" s="55"/>
      <c r="I3340" s="55"/>
      <c r="J3340" s="55"/>
      <c r="K3340" s="56"/>
      <c r="L3340" s="55"/>
      <c r="M3340" s="55"/>
      <c r="N3340" s="55"/>
      <c r="O3340" s="55"/>
      <c r="P3340" s="55"/>
      <c r="Q3340" s="55"/>
      <c r="R3340" s="57"/>
      <c r="S3340" s="58"/>
    </row>
    <row r="3341" spans="2:19" x14ac:dyDescent="0.25">
      <c r="B3341" s="52"/>
      <c r="C3341" s="53"/>
      <c r="D3341" s="54"/>
      <c r="E3341" s="55"/>
      <c r="F3341" s="55"/>
      <c r="G3341" s="55"/>
      <c r="H3341" s="55"/>
      <c r="I3341" s="55"/>
      <c r="J3341" s="55"/>
      <c r="K3341" s="56"/>
      <c r="L3341" s="55"/>
      <c r="M3341" s="55"/>
      <c r="N3341" s="55"/>
      <c r="O3341" s="55"/>
      <c r="P3341" s="55"/>
      <c r="Q3341" s="55"/>
      <c r="R3341" s="57"/>
      <c r="S3341" s="58"/>
    </row>
    <row r="3342" spans="2:19" ht="15.75" x14ac:dyDescent="0.25">
      <c r="B3342" s="52"/>
      <c r="C3342" s="53"/>
      <c r="D3342" s="54"/>
      <c r="E3342" s="55"/>
      <c r="F3342" s="55"/>
      <c r="G3342" s="55"/>
      <c r="H3342" s="55"/>
      <c r="I3342" s="55"/>
      <c r="J3342" s="55"/>
      <c r="K3342" s="59"/>
      <c r="L3342" s="55"/>
      <c r="M3342" s="55"/>
      <c r="N3342" s="55"/>
      <c r="O3342" s="55"/>
      <c r="P3342" s="55"/>
      <c r="Q3342" s="55"/>
      <c r="R3342" s="57"/>
      <c r="S3342" s="58"/>
    </row>
    <row r="3343" spans="2:19" x14ac:dyDescent="0.25">
      <c r="B3343" s="52"/>
      <c r="C3343" s="53"/>
      <c r="D3343" s="54"/>
      <c r="E3343" s="55"/>
      <c r="F3343" s="55"/>
      <c r="G3343" s="55"/>
      <c r="H3343" s="55"/>
      <c r="I3343" s="55"/>
      <c r="J3343" s="55"/>
      <c r="K3343" s="56"/>
      <c r="L3343" s="55"/>
      <c r="M3343" s="55"/>
      <c r="N3343" s="55"/>
      <c r="O3343" s="55"/>
      <c r="P3343" s="55"/>
      <c r="Q3343" s="55"/>
      <c r="R3343" s="57"/>
      <c r="S3343" s="58"/>
    </row>
    <row r="3344" spans="2:19" x14ac:dyDescent="0.25">
      <c r="B3344" s="52"/>
      <c r="C3344" s="53"/>
      <c r="D3344" s="54"/>
      <c r="E3344" s="55"/>
      <c r="F3344" s="55"/>
      <c r="G3344" s="55"/>
      <c r="H3344" s="55"/>
      <c r="I3344" s="55"/>
      <c r="J3344" s="55"/>
      <c r="K3344" s="56"/>
      <c r="L3344" s="55"/>
      <c r="M3344" s="55"/>
      <c r="N3344" s="55"/>
      <c r="O3344" s="55"/>
      <c r="P3344" s="55"/>
      <c r="Q3344" s="55"/>
      <c r="R3344" s="57"/>
      <c r="S3344" s="58"/>
    </row>
    <row r="3345" spans="2:19" x14ac:dyDescent="0.25">
      <c r="B3345" s="52"/>
      <c r="C3345" s="53"/>
      <c r="D3345" s="54"/>
      <c r="E3345" s="55"/>
      <c r="F3345" s="55"/>
      <c r="G3345" s="55"/>
      <c r="H3345" s="55"/>
      <c r="I3345" s="55"/>
      <c r="J3345" s="55"/>
      <c r="K3345" s="56"/>
      <c r="L3345" s="55"/>
      <c r="M3345" s="55"/>
      <c r="N3345" s="55"/>
      <c r="O3345" s="55"/>
      <c r="P3345" s="55"/>
      <c r="Q3345" s="55"/>
      <c r="R3345" s="57"/>
      <c r="S3345" s="58"/>
    </row>
    <row r="3346" spans="2:19" x14ac:dyDescent="0.25">
      <c r="B3346" s="52"/>
      <c r="C3346" s="53"/>
      <c r="D3346" s="54"/>
      <c r="E3346" s="55"/>
      <c r="F3346" s="55"/>
      <c r="G3346" s="55"/>
      <c r="H3346" s="55"/>
      <c r="I3346" s="55"/>
      <c r="J3346" s="55"/>
      <c r="K3346" s="56"/>
      <c r="L3346" s="55"/>
      <c r="M3346" s="55"/>
      <c r="N3346" s="55"/>
      <c r="O3346" s="55"/>
      <c r="P3346" s="55"/>
      <c r="Q3346" s="55"/>
      <c r="R3346" s="57"/>
      <c r="S3346" s="58"/>
    </row>
    <row r="3347" spans="2:19" x14ac:dyDescent="0.25">
      <c r="B3347" s="52"/>
      <c r="C3347" s="53"/>
      <c r="D3347" s="54"/>
      <c r="E3347" s="55"/>
      <c r="F3347" s="55"/>
      <c r="G3347" s="55"/>
      <c r="H3347" s="55"/>
      <c r="I3347" s="55"/>
      <c r="J3347" s="55"/>
      <c r="K3347" s="56"/>
      <c r="L3347" s="55"/>
      <c r="M3347" s="55"/>
      <c r="N3347" s="55"/>
      <c r="O3347" s="55"/>
      <c r="P3347" s="55"/>
      <c r="Q3347" s="55"/>
      <c r="R3347" s="57"/>
      <c r="S3347" s="58"/>
    </row>
    <row r="3348" spans="2:19" x14ac:dyDescent="0.25">
      <c r="B3348" s="52"/>
      <c r="C3348" s="53"/>
      <c r="D3348" s="54"/>
      <c r="E3348" s="55"/>
      <c r="F3348" s="55"/>
      <c r="G3348" s="55"/>
      <c r="H3348" s="55"/>
      <c r="I3348" s="55"/>
      <c r="J3348" s="55"/>
      <c r="K3348" s="56"/>
      <c r="L3348" s="55"/>
      <c r="M3348" s="55"/>
      <c r="N3348" s="55"/>
      <c r="O3348" s="55"/>
      <c r="P3348" s="55"/>
      <c r="Q3348" s="55"/>
      <c r="R3348" s="57"/>
      <c r="S3348" s="58"/>
    </row>
    <row r="3349" spans="2:19" x14ac:dyDescent="0.25">
      <c r="B3349" s="52"/>
      <c r="C3349" s="53"/>
      <c r="D3349" s="54"/>
      <c r="E3349" s="55"/>
      <c r="F3349" s="55"/>
      <c r="G3349" s="55"/>
      <c r="H3349" s="55"/>
      <c r="I3349" s="55"/>
      <c r="J3349" s="55"/>
      <c r="K3349" s="56"/>
      <c r="L3349" s="55"/>
      <c r="M3349" s="55"/>
      <c r="N3349" s="55"/>
      <c r="O3349" s="55"/>
      <c r="P3349" s="55"/>
      <c r="Q3349" s="55"/>
      <c r="R3349" s="57"/>
      <c r="S3349" s="58"/>
    </row>
    <row r="3350" spans="2:19" x14ac:dyDescent="0.25">
      <c r="B3350" s="52"/>
      <c r="C3350" s="60"/>
      <c r="E3350" s="61"/>
      <c r="F3350" s="62"/>
      <c r="G3350" s="63"/>
      <c r="H3350" s="64"/>
      <c r="I3350" s="64"/>
      <c r="J3350" s="64"/>
      <c r="K3350" s="65"/>
      <c r="L3350" s="64"/>
      <c r="M3350" s="64"/>
      <c r="N3350" s="64"/>
      <c r="P3350" s="63"/>
      <c r="Q3350" s="61"/>
      <c r="R3350" s="64"/>
      <c r="S3350" s="64"/>
    </row>
    <row r="3351" spans="2:19" x14ac:dyDescent="0.25">
      <c r="B3351" s="52"/>
      <c r="C3351" s="53"/>
      <c r="D3351" s="54"/>
      <c r="E3351" s="55"/>
      <c r="F3351" s="55"/>
      <c r="G3351" s="55"/>
      <c r="H3351" s="55"/>
      <c r="I3351" s="55"/>
      <c r="J3351" s="55"/>
      <c r="K3351" s="56"/>
      <c r="L3351" s="55"/>
      <c r="M3351" s="55"/>
      <c r="N3351" s="55"/>
      <c r="O3351" s="55"/>
      <c r="P3351" s="55"/>
      <c r="Q3351" s="55"/>
      <c r="R3351" s="57"/>
      <c r="S3351" s="58"/>
    </row>
    <row r="3352" spans="2:19" x14ac:dyDescent="0.25">
      <c r="B3352" s="52"/>
      <c r="C3352" s="53"/>
      <c r="D3352" s="54"/>
      <c r="E3352" s="55"/>
      <c r="F3352" s="55"/>
      <c r="G3352" s="55"/>
      <c r="H3352" s="55"/>
      <c r="I3352" s="55"/>
      <c r="J3352" s="55"/>
      <c r="K3352" s="56"/>
      <c r="L3352" s="55"/>
      <c r="M3352" s="55"/>
      <c r="N3352" s="55"/>
      <c r="O3352" s="55"/>
      <c r="P3352" s="55"/>
      <c r="Q3352" s="55"/>
      <c r="R3352" s="57"/>
      <c r="S3352" s="58"/>
    </row>
    <row r="3353" spans="2:19" x14ac:dyDescent="0.25">
      <c r="B3353" s="52"/>
      <c r="C3353" s="53"/>
      <c r="D3353" s="54"/>
      <c r="E3353" s="55"/>
      <c r="F3353" s="55"/>
      <c r="G3353" s="55"/>
      <c r="H3353" s="55"/>
      <c r="I3353" s="55"/>
      <c r="J3353" s="55"/>
      <c r="K3353" s="56"/>
      <c r="L3353" s="55"/>
      <c r="M3353" s="55"/>
      <c r="N3353" s="55"/>
      <c r="O3353" s="55"/>
      <c r="P3353" s="55"/>
      <c r="Q3353" s="55"/>
      <c r="R3353" s="57"/>
      <c r="S3353" s="58"/>
    </row>
    <row r="3354" spans="2:19" x14ac:dyDescent="0.25">
      <c r="B3354" s="52"/>
      <c r="C3354" s="53"/>
      <c r="D3354" s="54"/>
      <c r="E3354" s="55"/>
      <c r="F3354" s="55"/>
      <c r="G3354" s="55"/>
      <c r="H3354" s="55"/>
      <c r="I3354" s="55"/>
      <c r="J3354" s="55"/>
      <c r="K3354" s="56"/>
      <c r="L3354" s="55"/>
      <c r="M3354" s="55"/>
      <c r="N3354" s="55"/>
      <c r="O3354" s="55"/>
      <c r="P3354" s="55"/>
      <c r="Q3354" s="55"/>
      <c r="R3354" s="57"/>
      <c r="S3354" s="58"/>
    </row>
    <row r="3355" spans="2:19" x14ac:dyDescent="0.25">
      <c r="B3355" s="52"/>
      <c r="C3355" s="53"/>
      <c r="D3355" s="54"/>
      <c r="E3355" s="55"/>
      <c r="F3355" s="55"/>
      <c r="G3355" s="55"/>
      <c r="H3355" s="55"/>
      <c r="I3355" s="55"/>
      <c r="J3355" s="55"/>
      <c r="K3355" s="56"/>
      <c r="L3355" s="55"/>
      <c r="M3355" s="55"/>
      <c r="N3355" s="55"/>
      <c r="O3355" s="55"/>
      <c r="P3355" s="55"/>
      <c r="Q3355" s="55"/>
      <c r="R3355" s="57"/>
      <c r="S3355" s="58"/>
    </row>
    <row r="3356" spans="2:19" x14ac:dyDescent="0.25">
      <c r="B3356" s="52"/>
      <c r="C3356" s="53"/>
      <c r="D3356" s="54"/>
      <c r="E3356" s="55"/>
      <c r="F3356" s="55"/>
      <c r="G3356" s="55"/>
      <c r="H3356" s="55"/>
      <c r="I3356" s="55"/>
      <c r="J3356" s="55"/>
      <c r="K3356" s="56"/>
      <c r="L3356" s="55"/>
      <c r="M3356" s="55"/>
      <c r="N3356" s="55"/>
      <c r="O3356" s="55"/>
      <c r="P3356" s="55"/>
      <c r="Q3356" s="55"/>
      <c r="R3356" s="57"/>
      <c r="S3356" s="58"/>
    </row>
    <row r="3357" spans="2:19" x14ac:dyDescent="0.25">
      <c r="B3357" s="52"/>
      <c r="C3357" s="53"/>
      <c r="D3357" s="54"/>
      <c r="E3357" s="55"/>
      <c r="F3357" s="55"/>
      <c r="G3357" s="55"/>
      <c r="H3357" s="55"/>
      <c r="I3357" s="55"/>
      <c r="J3357" s="55"/>
      <c r="K3357" s="56"/>
      <c r="L3357" s="55"/>
      <c r="M3357" s="55"/>
      <c r="N3357" s="55"/>
      <c r="O3357" s="55"/>
      <c r="P3357" s="55"/>
      <c r="Q3357" s="55"/>
      <c r="R3357" s="57"/>
      <c r="S3357" s="58"/>
    </row>
    <row r="3358" spans="2:19" x14ac:dyDescent="0.25">
      <c r="B3358" s="52"/>
      <c r="C3358" s="53"/>
      <c r="D3358" s="54"/>
      <c r="E3358" s="55"/>
      <c r="F3358" s="55"/>
      <c r="G3358" s="55"/>
      <c r="H3358" s="55"/>
      <c r="I3358" s="55"/>
      <c r="J3358" s="55"/>
      <c r="K3358" s="56"/>
      <c r="L3358" s="55"/>
      <c r="M3358" s="55"/>
      <c r="N3358" s="55"/>
      <c r="O3358" s="55"/>
      <c r="P3358" s="55"/>
      <c r="Q3358" s="55"/>
      <c r="R3358" s="57"/>
      <c r="S3358" s="58"/>
    </row>
    <row r="3359" spans="2:19" ht="15.75" x14ac:dyDescent="0.25">
      <c r="B3359" s="52"/>
      <c r="C3359" s="53"/>
      <c r="D3359" s="54"/>
      <c r="E3359" s="55"/>
      <c r="F3359" s="55"/>
      <c r="G3359" s="55"/>
      <c r="H3359" s="55"/>
      <c r="I3359" s="55"/>
      <c r="J3359" s="55"/>
      <c r="K3359" s="59"/>
      <c r="L3359" s="55"/>
      <c r="M3359" s="55"/>
      <c r="N3359" s="55"/>
      <c r="O3359" s="55"/>
      <c r="P3359" s="55"/>
      <c r="Q3359" s="55"/>
      <c r="R3359" s="57"/>
      <c r="S3359" s="58"/>
    </row>
    <row r="3360" spans="2:19" x14ac:dyDescent="0.25">
      <c r="B3360" s="52"/>
      <c r="C3360" s="53"/>
      <c r="D3360" s="54"/>
      <c r="E3360" s="55"/>
      <c r="F3360" s="55"/>
      <c r="G3360" s="55"/>
      <c r="H3360" s="55"/>
      <c r="I3360" s="55"/>
      <c r="J3360" s="55"/>
      <c r="K3360" s="56"/>
      <c r="L3360" s="55"/>
      <c r="M3360" s="55"/>
      <c r="N3360" s="55"/>
      <c r="O3360" s="55"/>
      <c r="P3360" s="55"/>
      <c r="Q3360" s="55"/>
      <c r="R3360" s="57"/>
      <c r="S3360" s="58"/>
    </row>
    <row r="3361" spans="2:19" x14ac:dyDescent="0.25">
      <c r="B3361" s="52"/>
      <c r="C3361" s="53"/>
      <c r="D3361" s="54"/>
      <c r="E3361" s="55"/>
      <c r="F3361" s="55"/>
      <c r="G3361" s="55"/>
      <c r="H3361" s="55"/>
      <c r="I3361" s="55"/>
      <c r="J3361" s="55"/>
      <c r="K3361" s="56"/>
      <c r="L3361" s="55"/>
      <c r="M3361" s="55"/>
      <c r="N3361" s="55"/>
      <c r="O3361" s="55"/>
      <c r="P3361" s="55"/>
      <c r="Q3361" s="55"/>
      <c r="R3361" s="57"/>
      <c r="S3361" s="58"/>
    </row>
    <row r="3362" spans="2:19" x14ac:dyDescent="0.25">
      <c r="B3362" s="52"/>
      <c r="C3362" s="53"/>
      <c r="D3362" s="54"/>
      <c r="E3362" s="55"/>
      <c r="F3362" s="55"/>
      <c r="G3362" s="55"/>
      <c r="H3362" s="55"/>
      <c r="I3362" s="55"/>
      <c r="J3362" s="55"/>
      <c r="K3362" s="56"/>
      <c r="L3362" s="55"/>
      <c r="M3362" s="55"/>
      <c r="N3362" s="55"/>
      <c r="O3362" s="55"/>
      <c r="P3362" s="55"/>
      <c r="Q3362" s="55"/>
      <c r="R3362" s="57"/>
      <c r="S3362" s="58"/>
    </row>
    <row r="3363" spans="2:19" x14ac:dyDescent="0.25">
      <c r="B3363" s="52"/>
      <c r="C3363" s="53"/>
      <c r="D3363" s="54"/>
      <c r="E3363" s="55"/>
      <c r="F3363" s="55"/>
      <c r="G3363" s="55"/>
      <c r="H3363" s="55"/>
      <c r="I3363" s="55"/>
      <c r="J3363" s="55"/>
      <c r="K3363" s="56"/>
      <c r="L3363" s="55"/>
      <c r="M3363" s="55"/>
      <c r="N3363" s="55"/>
      <c r="O3363" s="55"/>
      <c r="P3363" s="55"/>
      <c r="Q3363" s="55"/>
      <c r="R3363" s="57"/>
      <c r="S3363" s="58"/>
    </row>
    <row r="3364" spans="2:19" x14ac:dyDescent="0.25">
      <c r="B3364" s="52"/>
      <c r="C3364" s="53"/>
      <c r="D3364" s="54"/>
      <c r="E3364" s="55"/>
      <c r="F3364" s="55"/>
      <c r="G3364" s="55"/>
      <c r="H3364" s="55"/>
      <c r="I3364" s="55"/>
      <c r="J3364" s="55"/>
      <c r="K3364" s="56"/>
      <c r="L3364" s="55"/>
      <c r="M3364" s="55"/>
      <c r="N3364" s="55"/>
      <c r="O3364" s="55"/>
      <c r="P3364" s="55"/>
      <c r="Q3364" s="55"/>
      <c r="R3364" s="57"/>
      <c r="S3364" s="58"/>
    </row>
    <row r="3365" spans="2:19" x14ac:dyDescent="0.25">
      <c r="B3365" s="52"/>
      <c r="C3365" s="53"/>
      <c r="D3365" s="54"/>
      <c r="E3365" s="55"/>
      <c r="F3365" s="55"/>
      <c r="G3365" s="55"/>
      <c r="H3365" s="55"/>
      <c r="I3365" s="55"/>
      <c r="J3365" s="55"/>
      <c r="K3365" s="56"/>
      <c r="L3365" s="55"/>
      <c r="M3365" s="55"/>
      <c r="N3365" s="55"/>
      <c r="O3365" s="55"/>
      <c r="P3365" s="55"/>
      <c r="Q3365" s="55"/>
      <c r="R3365" s="57"/>
      <c r="S3365" s="58"/>
    </row>
    <row r="3366" spans="2:19" x14ac:dyDescent="0.25">
      <c r="B3366" s="52"/>
      <c r="C3366" s="53"/>
      <c r="D3366" s="54"/>
      <c r="E3366" s="55"/>
      <c r="F3366" s="55"/>
      <c r="G3366" s="55"/>
      <c r="H3366" s="55"/>
      <c r="I3366" s="55"/>
      <c r="J3366" s="55"/>
      <c r="K3366" s="56"/>
      <c r="L3366" s="55"/>
      <c r="M3366" s="55"/>
      <c r="N3366" s="55"/>
      <c r="O3366" s="55"/>
      <c r="P3366" s="55"/>
      <c r="Q3366" s="55"/>
      <c r="R3366" s="57"/>
      <c r="S3366" s="58"/>
    </row>
    <row r="3367" spans="2:19" x14ac:dyDescent="0.25">
      <c r="B3367" s="52"/>
      <c r="C3367" s="60"/>
      <c r="E3367" s="61"/>
      <c r="F3367" s="62"/>
      <c r="G3367" s="63"/>
      <c r="H3367" s="64"/>
      <c r="I3367" s="64"/>
      <c r="J3367" s="64"/>
      <c r="K3367" s="65"/>
      <c r="L3367" s="64"/>
      <c r="M3367" s="64"/>
      <c r="N3367" s="64"/>
      <c r="P3367" s="63"/>
      <c r="Q3367" s="61"/>
      <c r="R3367" s="64"/>
      <c r="S3367" s="64"/>
    </row>
    <row r="3368" spans="2:19" x14ac:dyDescent="0.25">
      <c r="B3368" s="52"/>
      <c r="C3368" s="53"/>
      <c r="D3368" s="54"/>
      <c r="E3368" s="55"/>
      <c r="F3368" s="55"/>
      <c r="G3368" s="55"/>
      <c r="H3368" s="55"/>
      <c r="I3368" s="55"/>
      <c r="J3368" s="55"/>
      <c r="K3368" s="56"/>
      <c r="L3368" s="55"/>
      <c r="M3368" s="55"/>
      <c r="N3368" s="55"/>
      <c r="O3368" s="55"/>
      <c r="P3368" s="55"/>
      <c r="Q3368" s="55"/>
      <c r="R3368" s="57"/>
      <c r="S3368" s="58"/>
    </row>
    <row r="3369" spans="2:19" x14ac:dyDescent="0.25">
      <c r="B3369" s="52"/>
      <c r="C3369" s="53"/>
      <c r="D3369" s="54"/>
      <c r="E3369" s="55"/>
      <c r="F3369" s="55"/>
      <c r="G3369" s="55"/>
      <c r="H3369" s="55"/>
      <c r="I3369" s="55"/>
      <c r="J3369" s="55"/>
      <c r="K3369" s="56"/>
      <c r="L3369" s="55"/>
      <c r="M3369" s="55"/>
      <c r="N3369" s="55"/>
      <c r="O3369" s="55"/>
      <c r="P3369" s="55"/>
      <c r="Q3369" s="55"/>
      <c r="R3369" s="57"/>
      <c r="S3369" s="58"/>
    </row>
    <row r="3370" spans="2:19" x14ac:dyDescent="0.25">
      <c r="B3370" s="52"/>
      <c r="C3370" s="53"/>
      <c r="D3370" s="54"/>
      <c r="E3370" s="55"/>
      <c r="F3370" s="55"/>
      <c r="G3370" s="55"/>
      <c r="H3370" s="55"/>
      <c r="I3370" s="55"/>
      <c r="J3370" s="55"/>
      <c r="K3370" s="56"/>
      <c r="L3370" s="55"/>
      <c r="M3370" s="55"/>
      <c r="N3370" s="55"/>
      <c r="O3370" s="55"/>
      <c r="P3370" s="55"/>
      <c r="Q3370" s="55"/>
      <c r="R3370" s="57"/>
      <c r="S3370" s="58"/>
    </row>
    <row r="3371" spans="2:19" x14ac:dyDescent="0.25">
      <c r="B3371" s="52"/>
      <c r="C3371" s="53"/>
      <c r="D3371" s="54"/>
      <c r="E3371" s="55"/>
      <c r="F3371" s="55"/>
      <c r="G3371" s="55"/>
      <c r="H3371" s="55"/>
      <c r="I3371" s="55"/>
      <c r="J3371" s="55"/>
      <c r="K3371" s="56"/>
      <c r="L3371" s="55"/>
      <c r="M3371" s="55"/>
      <c r="N3371" s="55"/>
      <c r="O3371" s="55"/>
      <c r="P3371" s="55"/>
      <c r="Q3371" s="55"/>
      <c r="R3371" s="57"/>
      <c r="S3371" s="58"/>
    </row>
    <row r="3372" spans="2:19" x14ac:dyDescent="0.25">
      <c r="B3372" s="52"/>
      <c r="C3372" s="53"/>
      <c r="D3372" s="54"/>
      <c r="E3372" s="55"/>
      <c r="F3372" s="55"/>
      <c r="G3372" s="55"/>
      <c r="H3372" s="55"/>
      <c r="I3372" s="55"/>
      <c r="J3372" s="55"/>
      <c r="K3372" s="56"/>
      <c r="L3372" s="55"/>
      <c r="M3372" s="55"/>
      <c r="N3372" s="55"/>
      <c r="O3372" s="55"/>
      <c r="P3372" s="55"/>
      <c r="Q3372" s="55"/>
      <c r="R3372" s="57"/>
      <c r="S3372" s="58"/>
    </row>
    <row r="3373" spans="2:19" x14ac:dyDescent="0.25">
      <c r="B3373" s="52"/>
      <c r="C3373" s="53"/>
      <c r="D3373" s="54"/>
      <c r="E3373" s="55"/>
      <c r="F3373" s="55"/>
      <c r="G3373" s="55"/>
      <c r="H3373" s="55"/>
      <c r="I3373" s="55"/>
      <c r="J3373" s="55"/>
      <c r="K3373" s="56"/>
      <c r="L3373" s="55"/>
      <c r="M3373" s="55"/>
      <c r="N3373" s="55"/>
      <c r="O3373" s="55"/>
      <c r="P3373" s="55"/>
      <c r="Q3373" s="55"/>
      <c r="R3373" s="57"/>
      <c r="S3373" s="58"/>
    </row>
    <row r="3374" spans="2:19" x14ac:dyDescent="0.25">
      <c r="B3374" s="52"/>
      <c r="C3374" s="53"/>
      <c r="D3374" s="54"/>
      <c r="E3374" s="55"/>
      <c r="F3374" s="55"/>
      <c r="G3374" s="55"/>
      <c r="H3374" s="55"/>
      <c r="I3374" s="55"/>
      <c r="J3374" s="55"/>
      <c r="K3374" s="56"/>
      <c r="L3374" s="55"/>
      <c r="M3374" s="55"/>
      <c r="N3374" s="55"/>
      <c r="O3374" s="55"/>
      <c r="P3374" s="55"/>
      <c r="Q3374" s="55"/>
      <c r="R3374" s="57"/>
      <c r="S3374" s="58"/>
    </row>
    <row r="3375" spans="2:19" x14ac:dyDescent="0.25">
      <c r="B3375" s="52"/>
      <c r="C3375" s="53"/>
      <c r="D3375" s="54"/>
      <c r="E3375" s="55"/>
      <c r="F3375" s="55"/>
      <c r="G3375" s="55"/>
      <c r="H3375" s="55"/>
      <c r="I3375" s="55"/>
      <c r="J3375" s="55"/>
      <c r="K3375" s="56"/>
      <c r="L3375" s="55"/>
      <c r="M3375" s="55"/>
      <c r="N3375" s="55"/>
      <c r="O3375" s="55"/>
      <c r="P3375" s="55"/>
      <c r="Q3375" s="55"/>
      <c r="R3375" s="57"/>
      <c r="S3375" s="58"/>
    </row>
    <row r="3376" spans="2:19" ht="15.75" x14ac:dyDescent="0.25">
      <c r="B3376" s="52"/>
      <c r="C3376" s="53"/>
      <c r="D3376" s="54"/>
      <c r="E3376" s="55"/>
      <c r="F3376" s="55"/>
      <c r="G3376" s="55"/>
      <c r="H3376" s="55"/>
      <c r="I3376" s="55"/>
      <c r="J3376" s="55"/>
      <c r="K3376" s="59"/>
      <c r="L3376" s="55"/>
      <c r="M3376" s="55"/>
      <c r="N3376" s="55"/>
      <c r="O3376" s="55"/>
      <c r="P3376" s="55"/>
      <c r="Q3376" s="55"/>
      <c r="R3376" s="57"/>
      <c r="S3376" s="58"/>
    </row>
    <row r="3377" spans="2:19" x14ac:dyDescent="0.25">
      <c r="B3377" s="52"/>
      <c r="C3377" s="53"/>
      <c r="D3377" s="54"/>
      <c r="E3377" s="55"/>
      <c r="F3377" s="55"/>
      <c r="G3377" s="55"/>
      <c r="H3377" s="55"/>
      <c r="I3377" s="55"/>
      <c r="J3377" s="55"/>
      <c r="K3377" s="56"/>
      <c r="L3377" s="55"/>
      <c r="M3377" s="55"/>
      <c r="N3377" s="55"/>
      <c r="O3377" s="55"/>
      <c r="P3377" s="55"/>
      <c r="Q3377" s="55"/>
      <c r="R3377" s="57"/>
      <c r="S3377" s="58"/>
    </row>
    <row r="3378" spans="2:19" x14ac:dyDescent="0.25">
      <c r="B3378" s="52"/>
      <c r="C3378" s="53"/>
      <c r="D3378" s="54"/>
      <c r="E3378" s="55"/>
      <c r="F3378" s="55"/>
      <c r="G3378" s="55"/>
      <c r="H3378" s="55"/>
      <c r="I3378" s="55"/>
      <c r="J3378" s="55"/>
      <c r="K3378" s="56"/>
      <c r="L3378" s="55"/>
      <c r="M3378" s="55"/>
      <c r="N3378" s="55"/>
      <c r="O3378" s="55"/>
      <c r="P3378" s="55"/>
      <c r="Q3378" s="55"/>
      <c r="R3378" s="57"/>
      <c r="S3378" s="58"/>
    </row>
    <row r="3379" spans="2:19" x14ac:dyDescent="0.25">
      <c r="B3379" s="52"/>
      <c r="C3379" s="53"/>
      <c r="D3379" s="54"/>
      <c r="E3379" s="55"/>
      <c r="F3379" s="55"/>
      <c r="G3379" s="55"/>
      <c r="H3379" s="55"/>
      <c r="I3379" s="55"/>
      <c r="J3379" s="55"/>
      <c r="K3379" s="56"/>
      <c r="L3379" s="55"/>
      <c r="M3379" s="55"/>
      <c r="N3379" s="55"/>
      <c r="O3379" s="55"/>
      <c r="P3379" s="55"/>
      <c r="Q3379" s="55"/>
      <c r="R3379" s="57"/>
      <c r="S3379" s="58"/>
    </row>
    <row r="3380" spans="2:19" x14ac:dyDescent="0.25">
      <c r="B3380" s="52"/>
      <c r="C3380" s="53"/>
      <c r="D3380" s="54"/>
      <c r="E3380" s="55"/>
      <c r="F3380" s="55"/>
      <c r="G3380" s="55"/>
      <c r="H3380" s="55"/>
      <c r="I3380" s="55"/>
      <c r="J3380" s="55"/>
      <c r="K3380" s="56"/>
      <c r="L3380" s="55"/>
      <c r="M3380" s="55"/>
      <c r="N3380" s="55"/>
      <c r="O3380" s="55"/>
      <c r="P3380" s="55"/>
      <c r="Q3380" s="55"/>
      <c r="R3380" s="57"/>
      <c r="S3380" s="58"/>
    </row>
    <row r="3381" spans="2:19" x14ac:dyDescent="0.25">
      <c r="B3381" s="52"/>
      <c r="C3381" s="53"/>
      <c r="D3381" s="54"/>
      <c r="E3381" s="55"/>
      <c r="F3381" s="55"/>
      <c r="G3381" s="55"/>
      <c r="H3381" s="55"/>
      <c r="I3381" s="55"/>
      <c r="J3381" s="55"/>
      <c r="K3381" s="56"/>
      <c r="L3381" s="55"/>
      <c r="M3381" s="55"/>
      <c r="N3381" s="55"/>
      <c r="O3381" s="55"/>
      <c r="P3381" s="55"/>
      <c r="Q3381" s="55"/>
      <c r="R3381" s="57"/>
      <c r="S3381" s="58"/>
    </row>
    <row r="3382" spans="2:19" x14ac:dyDescent="0.25">
      <c r="B3382" s="52"/>
      <c r="C3382" s="53"/>
      <c r="D3382" s="54"/>
      <c r="E3382" s="55"/>
      <c r="F3382" s="55"/>
      <c r="G3382" s="55"/>
      <c r="H3382" s="55"/>
      <c r="I3382" s="55"/>
      <c r="J3382" s="55"/>
      <c r="K3382" s="56"/>
      <c r="L3382" s="55"/>
      <c r="M3382" s="55"/>
      <c r="N3382" s="55"/>
      <c r="O3382" s="55"/>
      <c r="P3382" s="55"/>
      <c r="Q3382" s="55"/>
      <c r="R3382" s="57"/>
      <c r="S3382" s="58"/>
    </row>
    <row r="3383" spans="2:19" x14ac:dyDescent="0.25">
      <c r="B3383" s="52"/>
      <c r="C3383" s="53"/>
      <c r="D3383" s="54"/>
      <c r="E3383" s="55"/>
      <c r="F3383" s="55"/>
      <c r="G3383" s="55"/>
      <c r="H3383" s="55"/>
      <c r="I3383" s="55"/>
      <c r="J3383" s="55"/>
      <c r="K3383" s="56"/>
      <c r="L3383" s="55"/>
      <c r="M3383" s="55"/>
      <c r="N3383" s="55"/>
      <c r="O3383" s="55"/>
      <c r="P3383" s="55"/>
      <c r="Q3383" s="55"/>
      <c r="R3383" s="57"/>
      <c r="S3383" s="58"/>
    </row>
    <row r="3384" spans="2:19" x14ac:dyDescent="0.25">
      <c r="B3384" s="52"/>
      <c r="C3384" s="60"/>
      <c r="E3384" s="61"/>
      <c r="F3384" s="62"/>
      <c r="G3384" s="63"/>
      <c r="H3384" s="64"/>
      <c r="I3384" s="64"/>
      <c r="J3384" s="64"/>
      <c r="K3384" s="65"/>
      <c r="L3384" s="64"/>
      <c r="M3384" s="64"/>
      <c r="N3384" s="64"/>
      <c r="P3384" s="63"/>
      <c r="Q3384" s="61"/>
      <c r="R3384" s="64"/>
      <c r="S3384" s="64"/>
    </row>
    <row r="3385" spans="2:19" x14ac:dyDescent="0.25">
      <c r="B3385" s="52"/>
      <c r="C3385" s="53"/>
      <c r="D3385" s="54"/>
      <c r="E3385" s="55"/>
      <c r="F3385" s="55"/>
      <c r="G3385" s="55"/>
      <c r="H3385" s="55"/>
      <c r="I3385" s="55"/>
      <c r="J3385" s="55"/>
      <c r="K3385" s="56"/>
      <c r="L3385" s="55"/>
      <c r="M3385" s="55"/>
      <c r="N3385" s="55"/>
      <c r="O3385" s="55"/>
      <c r="P3385" s="55"/>
      <c r="Q3385" s="55"/>
      <c r="R3385" s="57"/>
      <c r="S3385" s="58"/>
    </row>
    <row r="3386" spans="2:19" x14ac:dyDescent="0.25">
      <c r="B3386" s="52"/>
      <c r="C3386" s="53"/>
      <c r="D3386" s="54"/>
      <c r="E3386" s="55"/>
      <c r="F3386" s="55"/>
      <c r="G3386" s="55"/>
      <c r="H3386" s="55"/>
      <c r="I3386" s="55"/>
      <c r="J3386" s="55"/>
      <c r="K3386" s="56"/>
      <c r="L3386" s="55"/>
      <c r="M3386" s="55"/>
      <c r="N3386" s="55"/>
      <c r="O3386" s="55"/>
      <c r="P3386" s="55"/>
      <c r="Q3386" s="55"/>
      <c r="R3386" s="57"/>
      <c r="S3386" s="58"/>
    </row>
    <row r="3387" spans="2:19" x14ac:dyDescent="0.25">
      <c r="B3387" s="52"/>
      <c r="C3387" s="53"/>
      <c r="D3387" s="54"/>
      <c r="E3387" s="55"/>
      <c r="F3387" s="55"/>
      <c r="G3387" s="55"/>
      <c r="H3387" s="55"/>
      <c r="I3387" s="55"/>
      <c r="J3387" s="55"/>
      <c r="K3387" s="56"/>
      <c r="L3387" s="55"/>
      <c r="M3387" s="55"/>
      <c r="N3387" s="55"/>
      <c r="O3387" s="55"/>
      <c r="P3387" s="55"/>
      <c r="Q3387" s="55"/>
      <c r="R3387" s="57"/>
      <c r="S3387" s="58"/>
    </row>
    <row r="3388" spans="2:19" x14ac:dyDescent="0.25">
      <c r="B3388" s="52"/>
      <c r="C3388" s="53"/>
      <c r="D3388" s="54"/>
      <c r="E3388" s="55"/>
      <c r="F3388" s="55"/>
      <c r="G3388" s="55"/>
      <c r="H3388" s="55"/>
      <c r="I3388" s="55"/>
      <c r="J3388" s="55"/>
      <c r="K3388" s="56"/>
      <c r="L3388" s="55"/>
      <c r="M3388" s="55"/>
      <c r="N3388" s="55"/>
      <c r="O3388" s="55"/>
      <c r="P3388" s="55"/>
      <c r="Q3388" s="55"/>
      <c r="R3388" s="57"/>
      <c r="S3388" s="58"/>
    </row>
    <row r="3389" spans="2:19" x14ac:dyDescent="0.25">
      <c r="B3389" s="52"/>
      <c r="C3389" s="53"/>
      <c r="D3389" s="54"/>
      <c r="E3389" s="55"/>
      <c r="F3389" s="55"/>
      <c r="G3389" s="55"/>
      <c r="H3389" s="55"/>
      <c r="I3389" s="55"/>
      <c r="J3389" s="55"/>
      <c r="K3389" s="56"/>
      <c r="L3389" s="55"/>
      <c r="M3389" s="55"/>
      <c r="N3389" s="55"/>
      <c r="O3389" s="55"/>
      <c r="P3389" s="55"/>
      <c r="Q3389" s="55"/>
      <c r="R3389" s="57"/>
      <c r="S3389" s="58"/>
    </row>
    <row r="3390" spans="2:19" x14ac:dyDescent="0.25">
      <c r="B3390" s="52"/>
      <c r="C3390" s="53"/>
      <c r="D3390" s="54"/>
      <c r="E3390" s="55"/>
      <c r="F3390" s="55"/>
      <c r="G3390" s="55"/>
      <c r="H3390" s="55"/>
      <c r="I3390" s="55"/>
      <c r="J3390" s="55"/>
      <c r="K3390" s="56"/>
      <c r="L3390" s="55"/>
      <c r="M3390" s="55"/>
      <c r="N3390" s="55"/>
      <c r="O3390" s="55"/>
      <c r="P3390" s="55"/>
      <c r="Q3390" s="55"/>
      <c r="R3390" s="57"/>
      <c r="S3390" s="58"/>
    </row>
    <row r="3391" spans="2:19" x14ac:dyDescent="0.25">
      <c r="B3391" s="52"/>
      <c r="C3391" s="53"/>
      <c r="D3391" s="54"/>
      <c r="E3391" s="55"/>
      <c r="F3391" s="55"/>
      <c r="G3391" s="55"/>
      <c r="H3391" s="55"/>
      <c r="I3391" s="55"/>
      <c r="J3391" s="55"/>
      <c r="K3391" s="56"/>
      <c r="L3391" s="55"/>
      <c r="M3391" s="55"/>
      <c r="N3391" s="55"/>
      <c r="O3391" s="55"/>
      <c r="P3391" s="55"/>
      <c r="Q3391" s="55"/>
      <c r="R3391" s="57"/>
      <c r="S3391" s="58"/>
    </row>
    <row r="3392" spans="2:19" x14ac:dyDescent="0.25">
      <c r="B3392" s="52"/>
      <c r="C3392" s="53"/>
      <c r="D3392" s="54"/>
      <c r="E3392" s="55"/>
      <c r="F3392" s="55"/>
      <c r="G3392" s="55"/>
      <c r="H3392" s="55"/>
      <c r="I3392" s="55"/>
      <c r="J3392" s="55"/>
      <c r="K3392" s="56"/>
      <c r="L3392" s="55"/>
      <c r="M3392" s="55"/>
      <c r="N3392" s="55"/>
      <c r="O3392" s="55"/>
      <c r="P3392" s="55"/>
      <c r="Q3392" s="55"/>
      <c r="R3392" s="57"/>
      <c r="S3392" s="58"/>
    </row>
    <row r="3393" spans="2:19" ht="15.75" x14ac:dyDescent="0.25">
      <c r="B3393" s="52"/>
      <c r="C3393" s="53"/>
      <c r="D3393" s="54"/>
      <c r="E3393" s="55"/>
      <c r="F3393" s="55"/>
      <c r="G3393" s="55"/>
      <c r="H3393" s="55"/>
      <c r="I3393" s="55"/>
      <c r="J3393" s="55"/>
      <c r="K3393" s="59"/>
      <c r="L3393" s="55"/>
      <c r="M3393" s="55"/>
      <c r="N3393" s="55"/>
      <c r="O3393" s="55"/>
      <c r="P3393" s="55"/>
      <c r="Q3393" s="55"/>
      <c r="R3393" s="57"/>
      <c r="S3393" s="58"/>
    </row>
    <row r="3394" spans="2:19" x14ac:dyDescent="0.25">
      <c r="B3394" s="52"/>
      <c r="C3394" s="53"/>
      <c r="D3394" s="54"/>
      <c r="E3394" s="55"/>
      <c r="F3394" s="55"/>
      <c r="G3394" s="55"/>
      <c r="H3394" s="55"/>
      <c r="I3394" s="55"/>
      <c r="J3394" s="55"/>
      <c r="K3394" s="56"/>
      <c r="L3394" s="55"/>
      <c r="M3394" s="55"/>
      <c r="N3394" s="55"/>
      <c r="O3394" s="55"/>
      <c r="P3394" s="55"/>
      <c r="Q3394" s="55"/>
      <c r="R3394" s="57"/>
      <c r="S3394" s="58"/>
    </row>
    <row r="3395" spans="2:19" x14ac:dyDescent="0.25">
      <c r="B3395" s="52"/>
      <c r="C3395" s="53"/>
      <c r="D3395" s="54"/>
      <c r="E3395" s="55"/>
      <c r="F3395" s="55"/>
      <c r="G3395" s="55"/>
      <c r="H3395" s="55"/>
      <c r="I3395" s="55"/>
      <c r="J3395" s="55"/>
      <c r="K3395" s="56"/>
      <c r="L3395" s="55"/>
      <c r="M3395" s="55"/>
      <c r="N3395" s="55"/>
      <c r="O3395" s="55"/>
      <c r="P3395" s="55"/>
      <c r="Q3395" s="55"/>
      <c r="R3395" s="57"/>
      <c r="S3395" s="58"/>
    </row>
    <row r="3396" spans="2:19" x14ac:dyDescent="0.25">
      <c r="B3396" s="52"/>
      <c r="C3396" s="53"/>
      <c r="D3396" s="54"/>
      <c r="E3396" s="55"/>
      <c r="F3396" s="55"/>
      <c r="G3396" s="55"/>
      <c r="H3396" s="55"/>
      <c r="I3396" s="55"/>
      <c r="J3396" s="55"/>
      <c r="K3396" s="56"/>
      <c r="L3396" s="55"/>
      <c r="M3396" s="55"/>
      <c r="N3396" s="55"/>
      <c r="O3396" s="55"/>
      <c r="P3396" s="55"/>
      <c r="Q3396" s="55"/>
      <c r="R3396" s="57"/>
      <c r="S3396" s="58"/>
    </row>
    <row r="3397" spans="2:19" x14ac:dyDescent="0.25">
      <c r="B3397" s="52"/>
      <c r="C3397" s="53"/>
      <c r="D3397" s="54"/>
      <c r="E3397" s="55"/>
      <c r="F3397" s="55"/>
      <c r="G3397" s="55"/>
      <c r="H3397" s="55"/>
      <c r="I3397" s="55"/>
      <c r="J3397" s="55"/>
      <c r="K3397" s="56"/>
      <c r="L3397" s="55"/>
      <c r="M3397" s="55"/>
      <c r="N3397" s="55"/>
      <c r="O3397" s="55"/>
      <c r="P3397" s="55"/>
      <c r="Q3397" s="55"/>
      <c r="R3397" s="57"/>
      <c r="S3397" s="58"/>
    </row>
    <row r="3398" spans="2:19" x14ac:dyDescent="0.25">
      <c r="B3398" s="52"/>
      <c r="C3398" s="53"/>
      <c r="D3398" s="54"/>
      <c r="E3398" s="55"/>
      <c r="F3398" s="55"/>
      <c r="G3398" s="55"/>
      <c r="H3398" s="55"/>
      <c r="I3398" s="55"/>
      <c r="J3398" s="55"/>
      <c r="K3398" s="56"/>
      <c r="L3398" s="55"/>
      <c r="M3398" s="55"/>
      <c r="N3398" s="55"/>
      <c r="O3398" s="55"/>
      <c r="P3398" s="55"/>
      <c r="Q3398" s="55"/>
      <c r="R3398" s="57"/>
      <c r="S3398" s="58"/>
    </row>
    <row r="3399" spans="2:19" x14ac:dyDescent="0.25">
      <c r="B3399" s="52"/>
      <c r="C3399" s="53"/>
      <c r="D3399" s="54"/>
      <c r="E3399" s="55"/>
      <c r="F3399" s="55"/>
      <c r="G3399" s="55"/>
      <c r="H3399" s="55"/>
      <c r="I3399" s="55"/>
      <c r="J3399" s="55"/>
      <c r="K3399" s="56"/>
      <c r="L3399" s="55"/>
      <c r="M3399" s="55"/>
      <c r="N3399" s="55"/>
      <c r="O3399" s="55"/>
      <c r="P3399" s="55"/>
      <c r="Q3399" s="55"/>
      <c r="R3399" s="57"/>
      <c r="S3399" s="58"/>
    </row>
    <row r="3400" spans="2:19" x14ac:dyDescent="0.25">
      <c r="B3400" s="52"/>
      <c r="C3400" s="53"/>
      <c r="D3400" s="54"/>
      <c r="E3400" s="55"/>
      <c r="F3400" s="55"/>
      <c r="G3400" s="55"/>
      <c r="H3400" s="55"/>
      <c r="I3400" s="55"/>
      <c r="J3400" s="55"/>
      <c r="K3400" s="56"/>
      <c r="L3400" s="55"/>
      <c r="M3400" s="55"/>
      <c r="N3400" s="55"/>
      <c r="O3400" s="55"/>
      <c r="P3400" s="55"/>
      <c r="Q3400" s="55"/>
      <c r="R3400" s="57"/>
      <c r="S3400" s="58"/>
    </row>
    <row r="3401" spans="2:19" x14ac:dyDescent="0.25">
      <c r="B3401" s="52"/>
      <c r="C3401" s="60"/>
      <c r="E3401" s="61"/>
      <c r="F3401" s="62"/>
      <c r="G3401" s="63"/>
      <c r="H3401" s="64"/>
      <c r="I3401" s="64"/>
      <c r="J3401" s="64"/>
      <c r="K3401" s="65"/>
      <c r="L3401" s="64"/>
      <c r="M3401" s="64"/>
      <c r="N3401" s="64"/>
      <c r="P3401" s="63"/>
      <c r="Q3401" s="61"/>
      <c r="R3401" s="64"/>
      <c r="S3401" s="64"/>
    </row>
    <row r="3402" spans="2:19" x14ac:dyDescent="0.25">
      <c r="B3402" s="52"/>
      <c r="C3402" s="53"/>
      <c r="D3402" s="54"/>
      <c r="E3402" s="55"/>
      <c r="F3402" s="55"/>
      <c r="G3402" s="55"/>
      <c r="H3402" s="55"/>
      <c r="I3402" s="55"/>
      <c r="J3402" s="55"/>
      <c r="K3402" s="56"/>
      <c r="L3402" s="55"/>
      <c r="M3402" s="55"/>
      <c r="N3402" s="55"/>
      <c r="O3402" s="55"/>
      <c r="P3402" s="55"/>
      <c r="Q3402" s="55"/>
      <c r="R3402" s="57"/>
      <c r="S3402" s="58"/>
    </row>
    <row r="3403" spans="2:19" x14ac:dyDescent="0.25">
      <c r="B3403" s="52"/>
      <c r="C3403" s="53"/>
      <c r="D3403" s="54"/>
      <c r="E3403" s="55"/>
      <c r="F3403" s="55"/>
      <c r="G3403" s="55"/>
      <c r="H3403" s="55"/>
      <c r="I3403" s="55"/>
      <c r="J3403" s="55"/>
      <c r="K3403" s="56"/>
      <c r="L3403" s="55"/>
      <c r="M3403" s="55"/>
      <c r="N3403" s="55"/>
      <c r="O3403" s="55"/>
      <c r="P3403" s="55"/>
      <c r="Q3403" s="55"/>
      <c r="R3403" s="57"/>
      <c r="S3403" s="58"/>
    </row>
    <row r="3404" spans="2:19" x14ac:dyDescent="0.25">
      <c r="B3404" s="52"/>
      <c r="C3404" s="53"/>
      <c r="D3404" s="54"/>
      <c r="E3404" s="55"/>
      <c r="F3404" s="55"/>
      <c r="G3404" s="55"/>
      <c r="H3404" s="55"/>
      <c r="I3404" s="55"/>
      <c r="J3404" s="55"/>
      <c r="K3404" s="56"/>
      <c r="L3404" s="55"/>
      <c r="M3404" s="55"/>
      <c r="N3404" s="55"/>
      <c r="O3404" s="55"/>
      <c r="P3404" s="55"/>
      <c r="Q3404" s="55"/>
      <c r="R3404" s="57"/>
      <c r="S3404" s="58"/>
    </row>
    <row r="3405" spans="2:19" x14ac:dyDescent="0.25">
      <c r="B3405" s="52"/>
      <c r="C3405" s="53"/>
      <c r="D3405" s="54"/>
      <c r="E3405" s="55"/>
      <c r="F3405" s="55"/>
      <c r="G3405" s="55"/>
      <c r="H3405" s="55"/>
      <c r="I3405" s="55"/>
      <c r="J3405" s="55"/>
      <c r="K3405" s="56"/>
      <c r="L3405" s="55"/>
      <c r="M3405" s="55"/>
      <c r="N3405" s="55"/>
      <c r="O3405" s="55"/>
      <c r="P3405" s="55"/>
      <c r="Q3405" s="55"/>
      <c r="R3405" s="57"/>
      <c r="S3405" s="58"/>
    </row>
    <row r="3406" spans="2:19" x14ac:dyDescent="0.25">
      <c r="B3406" s="52"/>
      <c r="C3406" s="53"/>
      <c r="D3406" s="54"/>
      <c r="E3406" s="55"/>
      <c r="F3406" s="55"/>
      <c r="G3406" s="55"/>
      <c r="H3406" s="55"/>
      <c r="I3406" s="55"/>
      <c r="J3406" s="55"/>
      <c r="K3406" s="56"/>
      <c r="L3406" s="55"/>
      <c r="M3406" s="55"/>
      <c r="N3406" s="55"/>
      <c r="O3406" s="55"/>
      <c r="P3406" s="55"/>
      <c r="Q3406" s="55"/>
      <c r="R3406" s="57"/>
      <c r="S3406" s="58"/>
    </row>
    <row r="3407" spans="2:19" x14ac:dyDescent="0.25">
      <c r="B3407" s="52"/>
      <c r="C3407" s="53"/>
      <c r="D3407" s="54"/>
      <c r="E3407" s="55"/>
      <c r="F3407" s="55"/>
      <c r="G3407" s="55"/>
      <c r="H3407" s="55"/>
      <c r="I3407" s="55"/>
      <c r="J3407" s="55"/>
      <c r="K3407" s="56"/>
      <c r="L3407" s="55"/>
      <c r="M3407" s="55"/>
      <c r="N3407" s="55"/>
      <c r="O3407" s="55"/>
      <c r="P3407" s="55"/>
      <c r="Q3407" s="55"/>
      <c r="R3407" s="57"/>
      <c r="S3407" s="58"/>
    </row>
    <row r="3408" spans="2:19" x14ac:dyDescent="0.25">
      <c r="B3408" s="52"/>
      <c r="C3408" s="53"/>
      <c r="D3408" s="54"/>
      <c r="E3408" s="55"/>
      <c r="F3408" s="55"/>
      <c r="G3408" s="55"/>
      <c r="H3408" s="55"/>
      <c r="I3408" s="55"/>
      <c r="J3408" s="55"/>
      <c r="K3408" s="56"/>
      <c r="L3408" s="55"/>
      <c r="M3408" s="55"/>
      <c r="N3408" s="55"/>
      <c r="O3408" s="55"/>
      <c r="P3408" s="55"/>
      <c r="Q3408" s="55"/>
      <c r="R3408" s="57"/>
      <c r="S3408" s="58"/>
    </row>
    <row r="3409" spans="2:19" x14ac:dyDescent="0.25">
      <c r="B3409" s="52"/>
      <c r="C3409" s="53"/>
      <c r="D3409" s="54"/>
      <c r="E3409" s="55"/>
      <c r="F3409" s="55"/>
      <c r="G3409" s="55"/>
      <c r="H3409" s="55"/>
      <c r="I3409" s="55"/>
      <c r="J3409" s="55"/>
      <c r="K3409" s="56"/>
      <c r="L3409" s="55"/>
      <c r="M3409" s="55"/>
      <c r="N3409" s="55"/>
      <c r="O3409" s="55"/>
      <c r="P3409" s="55"/>
      <c r="Q3409" s="55"/>
      <c r="R3409" s="57"/>
      <c r="S3409" s="58"/>
    </row>
    <row r="3410" spans="2:19" ht="15.75" x14ac:dyDescent="0.25">
      <c r="B3410" s="52"/>
      <c r="C3410" s="53"/>
      <c r="D3410" s="54"/>
      <c r="E3410" s="55"/>
      <c r="F3410" s="55"/>
      <c r="G3410" s="55"/>
      <c r="H3410" s="55"/>
      <c r="I3410" s="55"/>
      <c r="J3410" s="55"/>
      <c r="K3410" s="59"/>
      <c r="L3410" s="55"/>
      <c r="M3410" s="55"/>
      <c r="N3410" s="55"/>
      <c r="O3410" s="55"/>
      <c r="P3410" s="55"/>
      <c r="Q3410" s="55"/>
      <c r="R3410" s="57"/>
      <c r="S3410" s="58"/>
    </row>
    <row r="3411" spans="2:19" x14ac:dyDescent="0.25">
      <c r="B3411" s="52"/>
      <c r="C3411" s="53"/>
      <c r="D3411" s="54"/>
      <c r="E3411" s="55"/>
      <c r="F3411" s="55"/>
      <c r="G3411" s="55"/>
      <c r="H3411" s="55"/>
      <c r="I3411" s="55"/>
      <c r="J3411" s="55"/>
      <c r="K3411" s="56"/>
      <c r="L3411" s="55"/>
      <c r="M3411" s="55"/>
      <c r="N3411" s="55"/>
      <c r="O3411" s="55"/>
      <c r="P3411" s="55"/>
      <c r="Q3411" s="55"/>
      <c r="R3411" s="57"/>
      <c r="S3411" s="58"/>
    </row>
    <row r="3412" spans="2:19" x14ac:dyDescent="0.25">
      <c r="B3412" s="52"/>
      <c r="C3412" s="53"/>
      <c r="D3412" s="54"/>
      <c r="E3412" s="55"/>
      <c r="F3412" s="55"/>
      <c r="G3412" s="55"/>
      <c r="H3412" s="55"/>
      <c r="I3412" s="55"/>
      <c r="J3412" s="55"/>
      <c r="K3412" s="56"/>
      <c r="L3412" s="55"/>
      <c r="M3412" s="55"/>
      <c r="N3412" s="55"/>
      <c r="O3412" s="55"/>
      <c r="P3412" s="55"/>
      <c r="Q3412" s="55"/>
      <c r="R3412" s="57"/>
      <c r="S3412" s="58"/>
    </row>
    <row r="3413" spans="2:19" x14ac:dyDescent="0.25">
      <c r="B3413" s="52"/>
      <c r="C3413" s="53"/>
      <c r="D3413" s="54"/>
      <c r="E3413" s="55"/>
      <c r="F3413" s="55"/>
      <c r="G3413" s="55"/>
      <c r="H3413" s="55"/>
      <c r="I3413" s="55"/>
      <c r="J3413" s="55"/>
      <c r="K3413" s="56"/>
      <c r="L3413" s="55"/>
      <c r="M3413" s="55"/>
      <c r="N3413" s="55"/>
      <c r="O3413" s="55"/>
      <c r="P3413" s="55"/>
      <c r="Q3413" s="55"/>
      <c r="R3413" s="57"/>
      <c r="S3413" s="58"/>
    </row>
    <row r="3414" spans="2:19" x14ac:dyDescent="0.25">
      <c r="B3414" s="52"/>
      <c r="C3414" s="53"/>
      <c r="D3414" s="54"/>
      <c r="E3414" s="55"/>
      <c r="F3414" s="55"/>
      <c r="G3414" s="55"/>
      <c r="H3414" s="55"/>
      <c r="I3414" s="55"/>
      <c r="J3414" s="55"/>
      <c r="K3414" s="56"/>
      <c r="L3414" s="55"/>
      <c r="M3414" s="55"/>
      <c r="N3414" s="55"/>
      <c r="O3414" s="55"/>
      <c r="P3414" s="55"/>
      <c r="Q3414" s="55"/>
      <c r="R3414" s="57"/>
      <c r="S3414" s="58"/>
    </row>
    <row r="3415" spans="2:19" x14ac:dyDescent="0.25">
      <c r="B3415" s="52"/>
      <c r="C3415" s="53"/>
      <c r="D3415" s="54"/>
      <c r="E3415" s="55"/>
      <c r="F3415" s="55"/>
      <c r="G3415" s="55"/>
      <c r="H3415" s="55"/>
      <c r="I3415" s="55"/>
      <c r="J3415" s="55"/>
      <c r="K3415" s="56"/>
      <c r="L3415" s="55"/>
      <c r="M3415" s="55"/>
      <c r="N3415" s="55"/>
      <c r="O3415" s="55"/>
      <c r="P3415" s="55"/>
      <c r="Q3415" s="55"/>
      <c r="R3415" s="57"/>
      <c r="S3415" s="58"/>
    </row>
    <row r="3416" spans="2:19" x14ac:dyDescent="0.25">
      <c r="B3416" s="52"/>
      <c r="C3416" s="53"/>
      <c r="D3416" s="54"/>
      <c r="E3416" s="55"/>
      <c r="F3416" s="55"/>
      <c r="G3416" s="55"/>
      <c r="H3416" s="55"/>
      <c r="I3416" s="55"/>
      <c r="J3416" s="55"/>
      <c r="K3416" s="56"/>
      <c r="L3416" s="55"/>
      <c r="M3416" s="55"/>
      <c r="N3416" s="55"/>
      <c r="O3416" s="55"/>
      <c r="P3416" s="55"/>
      <c r="Q3416" s="55"/>
      <c r="R3416" s="57"/>
      <c r="S3416" s="58"/>
    </row>
    <row r="3417" spans="2:19" x14ac:dyDescent="0.25">
      <c r="B3417" s="52"/>
      <c r="C3417" s="53"/>
      <c r="D3417" s="54"/>
      <c r="E3417" s="55"/>
      <c r="F3417" s="55"/>
      <c r="G3417" s="55"/>
      <c r="H3417" s="55"/>
      <c r="I3417" s="55"/>
      <c r="J3417" s="55"/>
      <c r="K3417" s="56"/>
      <c r="L3417" s="55"/>
      <c r="M3417" s="55"/>
      <c r="N3417" s="55"/>
      <c r="O3417" s="55"/>
      <c r="P3417" s="55"/>
      <c r="Q3417" s="55"/>
      <c r="R3417" s="57"/>
      <c r="S3417" s="58"/>
    </row>
    <row r="3418" spans="2:19" x14ac:dyDescent="0.25">
      <c r="B3418" s="52"/>
      <c r="C3418" s="60"/>
      <c r="E3418" s="61"/>
      <c r="F3418" s="62"/>
      <c r="G3418" s="63"/>
      <c r="H3418" s="64"/>
      <c r="I3418" s="64"/>
      <c r="J3418" s="64"/>
      <c r="K3418" s="65"/>
      <c r="L3418" s="64"/>
      <c r="M3418" s="64"/>
      <c r="N3418" s="64"/>
      <c r="P3418" s="63"/>
      <c r="Q3418" s="61"/>
      <c r="R3418" s="64"/>
      <c r="S3418" s="64"/>
    </row>
    <row r="3419" spans="2:19" x14ac:dyDescent="0.25">
      <c r="B3419" s="52"/>
      <c r="C3419" s="53"/>
      <c r="D3419" s="54"/>
      <c r="E3419" s="55"/>
      <c r="F3419" s="55"/>
      <c r="G3419" s="55"/>
      <c r="H3419" s="55"/>
      <c r="I3419" s="55"/>
      <c r="J3419" s="55"/>
      <c r="K3419" s="56"/>
      <c r="L3419" s="55"/>
      <c r="M3419" s="55"/>
      <c r="N3419" s="55"/>
      <c r="O3419" s="55"/>
      <c r="P3419" s="55"/>
      <c r="Q3419" s="55"/>
      <c r="R3419" s="57"/>
      <c r="S3419" s="58"/>
    </row>
    <row r="3420" spans="2:19" x14ac:dyDescent="0.25">
      <c r="B3420" s="52"/>
      <c r="C3420" s="53"/>
      <c r="D3420" s="54"/>
      <c r="E3420" s="55"/>
      <c r="F3420" s="55"/>
      <c r="G3420" s="55"/>
      <c r="H3420" s="55"/>
      <c r="I3420" s="55"/>
      <c r="J3420" s="55"/>
      <c r="K3420" s="56"/>
      <c r="L3420" s="55"/>
      <c r="M3420" s="55"/>
      <c r="N3420" s="55"/>
      <c r="O3420" s="55"/>
      <c r="P3420" s="55"/>
      <c r="Q3420" s="55"/>
      <c r="R3420" s="57"/>
      <c r="S3420" s="58"/>
    </row>
    <row r="3421" spans="2:19" x14ac:dyDescent="0.25">
      <c r="B3421" s="52"/>
      <c r="C3421" s="53"/>
      <c r="D3421" s="54"/>
      <c r="E3421" s="55"/>
      <c r="F3421" s="55"/>
      <c r="G3421" s="55"/>
      <c r="H3421" s="55"/>
      <c r="I3421" s="55"/>
      <c r="J3421" s="55"/>
      <c r="K3421" s="56"/>
      <c r="L3421" s="55"/>
      <c r="M3421" s="55"/>
      <c r="N3421" s="55"/>
      <c r="O3421" s="55"/>
      <c r="P3421" s="55"/>
      <c r="Q3421" s="55"/>
      <c r="R3421" s="57"/>
      <c r="S3421" s="58"/>
    </row>
    <row r="3422" spans="2:19" x14ac:dyDescent="0.25">
      <c r="B3422" s="52"/>
      <c r="C3422" s="53"/>
      <c r="D3422" s="54"/>
      <c r="E3422" s="55"/>
      <c r="F3422" s="55"/>
      <c r="G3422" s="55"/>
      <c r="H3422" s="55"/>
      <c r="I3422" s="55"/>
      <c r="J3422" s="55"/>
      <c r="K3422" s="56"/>
      <c r="L3422" s="55"/>
      <c r="M3422" s="55"/>
      <c r="N3422" s="55"/>
      <c r="O3422" s="55"/>
      <c r="P3422" s="55"/>
      <c r="Q3422" s="55"/>
      <c r="R3422" s="57"/>
      <c r="S3422" s="58"/>
    </row>
    <row r="3423" spans="2:19" x14ac:dyDescent="0.25">
      <c r="B3423" s="52"/>
      <c r="C3423" s="53"/>
      <c r="D3423" s="54"/>
      <c r="E3423" s="55"/>
      <c r="F3423" s="55"/>
      <c r="G3423" s="55"/>
      <c r="H3423" s="55"/>
      <c r="I3423" s="55"/>
      <c r="J3423" s="55"/>
      <c r="K3423" s="56"/>
      <c r="L3423" s="55"/>
      <c r="M3423" s="55"/>
      <c r="N3423" s="55"/>
      <c r="O3423" s="55"/>
      <c r="P3423" s="55"/>
      <c r="Q3423" s="55"/>
      <c r="R3423" s="57"/>
      <c r="S3423" s="58"/>
    </row>
    <row r="3424" spans="2:19" x14ac:dyDescent="0.25">
      <c r="B3424" s="52"/>
      <c r="C3424" s="53"/>
      <c r="D3424" s="54"/>
      <c r="E3424" s="55"/>
      <c r="F3424" s="55"/>
      <c r="G3424" s="55"/>
      <c r="H3424" s="55"/>
      <c r="I3424" s="55"/>
      <c r="J3424" s="55"/>
      <c r="K3424" s="56"/>
      <c r="L3424" s="55"/>
      <c r="M3424" s="55"/>
      <c r="N3424" s="55"/>
      <c r="O3424" s="55"/>
      <c r="P3424" s="55"/>
      <c r="Q3424" s="55"/>
      <c r="R3424" s="57"/>
      <c r="S3424" s="58"/>
    </row>
    <row r="3425" spans="2:19" x14ac:dyDescent="0.25">
      <c r="B3425" s="52"/>
      <c r="C3425" s="53"/>
      <c r="D3425" s="54"/>
      <c r="E3425" s="55"/>
      <c r="F3425" s="55"/>
      <c r="G3425" s="55"/>
      <c r="H3425" s="55"/>
      <c r="I3425" s="55"/>
      <c r="J3425" s="55"/>
      <c r="K3425" s="56"/>
      <c r="L3425" s="55"/>
      <c r="M3425" s="55"/>
      <c r="N3425" s="55"/>
      <c r="O3425" s="55"/>
      <c r="P3425" s="55"/>
      <c r="Q3425" s="55"/>
      <c r="R3425" s="57"/>
      <c r="S3425" s="58"/>
    </row>
    <row r="3426" spans="2:19" x14ac:dyDescent="0.25">
      <c r="B3426" s="52"/>
      <c r="C3426" s="53"/>
      <c r="D3426" s="54"/>
      <c r="E3426" s="55"/>
      <c r="F3426" s="55"/>
      <c r="G3426" s="55"/>
      <c r="H3426" s="55"/>
      <c r="I3426" s="55"/>
      <c r="J3426" s="55"/>
      <c r="K3426" s="56"/>
      <c r="L3426" s="55"/>
      <c r="M3426" s="55"/>
      <c r="N3426" s="55"/>
      <c r="O3426" s="55"/>
      <c r="P3426" s="55"/>
      <c r="Q3426" s="55"/>
      <c r="R3426" s="57"/>
      <c r="S3426" s="58"/>
    </row>
    <row r="3427" spans="2:19" ht="15.75" x14ac:dyDescent="0.25">
      <c r="B3427" s="52"/>
      <c r="C3427" s="53"/>
      <c r="D3427" s="54"/>
      <c r="E3427" s="55"/>
      <c r="F3427" s="55"/>
      <c r="G3427" s="55"/>
      <c r="H3427" s="55"/>
      <c r="I3427" s="55"/>
      <c r="J3427" s="55"/>
      <c r="K3427" s="59"/>
      <c r="L3427" s="55"/>
      <c r="M3427" s="55"/>
      <c r="N3427" s="55"/>
      <c r="O3427" s="55"/>
      <c r="P3427" s="55"/>
      <c r="Q3427" s="55"/>
      <c r="R3427" s="57"/>
      <c r="S3427" s="58"/>
    </row>
    <row r="3428" spans="2:19" x14ac:dyDescent="0.25">
      <c r="B3428" s="52"/>
      <c r="C3428" s="53"/>
      <c r="D3428" s="54"/>
      <c r="E3428" s="55"/>
      <c r="F3428" s="55"/>
      <c r="G3428" s="55"/>
      <c r="H3428" s="55"/>
      <c r="I3428" s="55"/>
      <c r="J3428" s="55"/>
      <c r="K3428" s="56"/>
      <c r="L3428" s="55"/>
      <c r="M3428" s="55"/>
      <c r="N3428" s="55"/>
      <c r="O3428" s="55"/>
      <c r="P3428" s="55"/>
      <c r="Q3428" s="55"/>
      <c r="R3428" s="57"/>
      <c r="S3428" s="58"/>
    </row>
    <row r="3429" spans="2:19" x14ac:dyDescent="0.25">
      <c r="B3429" s="52"/>
      <c r="C3429" s="53"/>
      <c r="D3429" s="54"/>
      <c r="E3429" s="55"/>
      <c r="F3429" s="55"/>
      <c r="G3429" s="55"/>
      <c r="H3429" s="55"/>
      <c r="I3429" s="55"/>
      <c r="J3429" s="55"/>
      <c r="K3429" s="56"/>
      <c r="L3429" s="55"/>
      <c r="M3429" s="55"/>
      <c r="N3429" s="55"/>
      <c r="O3429" s="55"/>
      <c r="P3429" s="55"/>
      <c r="Q3429" s="55"/>
      <c r="R3429" s="57"/>
      <c r="S3429" s="58"/>
    </row>
    <row r="3430" spans="2:19" x14ac:dyDescent="0.25">
      <c r="B3430" s="52"/>
      <c r="C3430" s="53"/>
      <c r="D3430" s="54"/>
      <c r="E3430" s="55"/>
      <c r="F3430" s="55"/>
      <c r="G3430" s="55"/>
      <c r="H3430" s="55"/>
      <c r="I3430" s="55"/>
      <c r="J3430" s="55"/>
      <c r="K3430" s="56"/>
      <c r="L3430" s="55"/>
      <c r="M3430" s="55"/>
      <c r="N3430" s="55"/>
      <c r="O3430" s="55"/>
      <c r="P3430" s="55"/>
      <c r="Q3430" s="55"/>
      <c r="R3430" s="57"/>
      <c r="S3430" s="58"/>
    </row>
    <row r="3431" spans="2:19" x14ac:dyDescent="0.25">
      <c r="B3431" s="52"/>
      <c r="C3431" s="53"/>
      <c r="D3431" s="54"/>
      <c r="E3431" s="55"/>
      <c r="F3431" s="55"/>
      <c r="G3431" s="55"/>
      <c r="H3431" s="55"/>
      <c r="I3431" s="55"/>
      <c r="J3431" s="55"/>
      <c r="K3431" s="56"/>
      <c r="L3431" s="55"/>
      <c r="M3431" s="55"/>
      <c r="N3431" s="55"/>
      <c r="O3431" s="55"/>
      <c r="P3431" s="55"/>
      <c r="Q3431" s="55"/>
      <c r="R3431" s="57"/>
      <c r="S3431" s="58"/>
    </row>
    <row r="3432" spans="2:19" x14ac:dyDescent="0.25">
      <c r="B3432" s="52"/>
      <c r="C3432" s="53"/>
      <c r="D3432" s="54"/>
      <c r="E3432" s="55"/>
      <c r="F3432" s="55"/>
      <c r="G3432" s="55"/>
      <c r="H3432" s="55"/>
      <c r="I3432" s="55"/>
      <c r="J3432" s="55"/>
      <c r="K3432" s="56"/>
      <c r="L3432" s="55"/>
      <c r="M3432" s="55"/>
      <c r="N3432" s="55"/>
      <c r="O3432" s="55"/>
      <c r="P3432" s="55"/>
      <c r="Q3432" s="55"/>
      <c r="R3432" s="57"/>
      <c r="S3432" s="58"/>
    </row>
    <row r="3433" spans="2:19" x14ac:dyDescent="0.25">
      <c r="B3433" s="52"/>
      <c r="C3433" s="53"/>
      <c r="D3433" s="54"/>
      <c r="E3433" s="55"/>
      <c r="F3433" s="55"/>
      <c r="G3433" s="55"/>
      <c r="H3433" s="55"/>
      <c r="I3433" s="55"/>
      <c r="J3433" s="55"/>
      <c r="K3433" s="56"/>
      <c r="L3433" s="55"/>
      <c r="M3433" s="55"/>
      <c r="N3433" s="55"/>
      <c r="O3433" s="55"/>
      <c r="P3433" s="55"/>
      <c r="Q3433" s="55"/>
      <c r="R3433" s="57"/>
      <c r="S3433" s="58"/>
    </row>
    <row r="3434" spans="2:19" x14ac:dyDescent="0.25">
      <c r="B3434" s="52"/>
      <c r="C3434" s="53"/>
      <c r="D3434" s="54"/>
      <c r="E3434" s="55"/>
      <c r="F3434" s="55"/>
      <c r="G3434" s="55"/>
      <c r="H3434" s="55"/>
      <c r="I3434" s="55"/>
      <c r="J3434" s="55"/>
      <c r="K3434" s="56"/>
      <c r="L3434" s="55"/>
      <c r="M3434" s="55"/>
      <c r="N3434" s="55"/>
      <c r="O3434" s="55"/>
      <c r="P3434" s="55"/>
      <c r="Q3434" s="55"/>
      <c r="R3434" s="57"/>
      <c r="S3434" s="58"/>
    </row>
    <row r="3435" spans="2:19" x14ac:dyDescent="0.25">
      <c r="B3435" s="52"/>
      <c r="C3435" s="60"/>
      <c r="E3435" s="61"/>
      <c r="F3435" s="62"/>
      <c r="G3435" s="63"/>
      <c r="H3435" s="64"/>
      <c r="I3435" s="64"/>
      <c r="J3435" s="64"/>
      <c r="K3435" s="65"/>
      <c r="L3435" s="64"/>
      <c r="M3435" s="64"/>
      <c r="N3435" s="64"/>
      <c r="P3435" s="63"/>
      <c r="Q3435" s="61"/>
      <c r="R3435" s="64"/>
      <c r="S3435" s="64"/>
    </row>
    <row r="3436" spans="2:19" x14ac:dyDescent="0.25">
      <c r="B3436" s="52"/>
      <c r="C3436" s="53"/>
      <c r="D3436" s="54"/>
      <c r="E3436" s="55"/>
      <c r="F3436" s="55"/>
      <c r="G3436" s="55"/>
      <c r="H3436" s="55"/>
      <c r="I3436" s="55"/>
      <c r="J3436" s="55"/>
      <c r="K3436" s="56"/>
      <c r="L3436" s="55"/>
      <c r="M3436" s="55"/>
      <c r="N3436" s="55"/>
      <c r="O3436" s="55"/>
      <c r="P3436" s="55"/>
      <c r="Q3436" s="55"/>
      <c r="R3436" s="57"/>
      <c r="S3436" s="58"/>
    </row>
    <row r="3437" spans="2:19" x14ac:dyDescent="0.25">
      <c r="B3437" s="52"/>
      <c r="C3437" s="53"/>
      <c r="D3437" s="54"/>
      <c r="E3437" s="55"/>
      <c r="F3437" s="55"/>
      <c r="G3437" s="55"/>
      <c r="H3437" s="55"/>
      <c r="I3437" s="55"/>
      <c r="J3437" s="55"/>
      <c r="K3437" s="56"/>
      <c r="L3437" s="55"/>
      <c r="M3437" s="55"/>
      <c r="N3437" s="55"/>
      <c r="O3437" s="55"/>
      <c r="P3437" s="55"/>
      <c r="Q3437" s="55"/>
      <c r="R3437" s="57"/>
      <c r="S3437" s="58"/>
    </row>
    <row r="3438" spans="2:19" x14ac:dyDescent="0.25">
      <c r="B3438" s="52"/>
      <c r="C3438" s="53"/>
      <c r="D3438" s="54"/>
      <c r="E3438" s="55"/>
      <c r="F3438" s="55"/>
      <c r="G3438" s="55"/>
      <c r="H3438" s="55"/>
      <c r="I3438" s="55"/>
      <c r="J3438" s="55"/>
      <c r="K3438" s="56"/>
      <c r="L3438" s="55"/>
      <c r="M3438" s="55"/>
      <c r="N3438" s="55"/>
      <c r="O3438" s="55"/>
      <c r="P3438" s="55"/>
      <c r="Q3438" s="55"/>
      <c r="R3438" s="57"/>
      <c r="S3438" s="58"/>
    </row>
    <row r="3439" spans="2:19" x14ac:dyDescent="0.25">
      <c r="B3439" s="52"/>
      <c r="C3439" s="53"/>
      <c r="D3439" s="54"/>
      <c r="E3439" s="55"/>
      <c r="F3439" s="55"/>
      <c r="G3439" s="55"/>
      <c r="H3439" s="55"/>
      <c r="I3439" s="55"/>
      <c r="J3439" s="55"/>
      <c r="K3439" s="56"/>
      <c r="L3439" s="55"/>
      <c r="M3439" s="55"/>
      <c r="N3439" s="55"/>
      <c r="O3439" s="55"/>
      <c r="P3439" s="55"/>
      <c r="Q3439" s="55"/>
      <c r="R3439" s="57"/>
      <c r="S3439" s="58"/>
    </row>
    <row r="3440" spans="2:19" x14ac:dyDescent="0.25">
      <c r="B3440" s="52"/>
      <c r="C3440" s="53"/>
      <c r="D3440" s="54"/>
      <c r="E3440" s="55"/>
      <c r="F3440" s="55"/>
      <c r="G3440" s="55"/>
      <c r="H3440" s="55"/>
      <c r="I3440" s="55"/>
      <c r="J3440" s="55"/>
      <c r="K3440" s="56"/>
      <c r="L3440" s="55"/>
      <c r="M3440" s="55"/>
      <c r="N3440" s="55"/>
      <c r="O3440" s="55"/>
      <c r="P3440" s="55"/>
      <c r="Q3440" s="55"/>
      <c r="R3440" s="57"/>
      <c r="S3440" s="58"/>
    </row>
    <row r="3441" spans="2:19" x14ac:dyDescent="0.25">
      <c r="B3441" s="52"/>
      <c r="C3441" s="53"/>
      <c r="D3441" s="54"/>
      <c r="E3441" s="55"/>
      <c r="F3441" s="55"/>
      <c r="G3441" s="55"/>
      <c r="H3441" s="55"/>
      <c r="I3441" s="55"/>
      <c r="J3441" s="55"/>
      <c r="K3441" s="56"/>
      <c r="L3441" s="55"/>
      <c r="M3441" s="55"/>
      <c r="N3441" s="55"/>
      <c r="O3441" s="55"/>
      <c r="P3441" s="55"/>
      <c r="Q3441" s="55"/>
      <c r="R3441" s="57"/>
      <c r="S3441" s="58"/>
    </row>
    <row r="3442" spans="2:19" x14ac:dyDescent="0.25">
      <c r="B3442" s="52"/>
      <c r="C3442" s="53"/>
      <c r="D3442" s="54"/>
      <c r="E3442" s="55"/>
      <c r="F3442" s="55"/>
      <c r="G3442" s="55"/>
      <c r="H3442" s="55"/>
      <c r="I3442" s="55"/>
      <c r="J3442" s="55"/>
      <c r="K3442" s="56"/>
      <c r="L3442" s="55"/>
      <c r="M3442" s="55"/>
      <c r="N3442" s="55"/>
      <c r="O3442" s="55"/>
      <c r="P3442" s="55"/>
      <c r="Q3442" s="55"/>
      <c r="R3442" s="57"/>
      <c r="S3442" s="58"/>
    </row>
    <row r="3443" spans="2:19" x14ac:dyDescent="0.25">
      <c r="B3443" s="52"/>
      <c r="C3443" s="53"/>
      <c r="D3443" s="54"/>
      <c r="E3443" s="55"/>
      <c r="F3443" s="55"/>
      <c r="G3443" s="55"/>
      <c r="H3443" s="55"/>
      <c r="I3443" s="55"/>
      <c r="J3443" s="55"/>
      <c r="K3443" s="56"/>
      <c r="L3443" s="55"/>
      <c r="M3443" s="55"/>
      <c r="N3443" s="55"/>
      <c r="O3443" s="55"/>
      <c r="P3443" s="55"/>
      <c r="Q3443" s="55"/>
      <c r="R3443" s="57"/>
      <c r="S3443" s="58"/>
    </row>
    <row r="3444" spans="2:19" ht="15.75" x14ac:dyDescent="0.25">
      <c r="B3444" s="52"/>
      <c r="C3444" s="53"/>
      <c r="D3444" s="54"/>
      <c r="E3444" s="55"/>
      <c r="F3444" s="55"/>
      <c r="G3444" s="55"/>
      <c r="H3444" s="55"/>
      <c r="I3444" s="55"/>
      <c r="J3444" s="55"/>
      <c r="K3444" s="59"/>
      <c r="L3444" s="55"/>
      <c r="M3444" s="55"/>
      <c r="N3444" s="55"/>
      <c r="O3444" s="55"/>
      <c r="P3444" s="55"/>
      <c r="Q3444" s="55"/>
      <c r="R3444" s="57"/>
      <c r="S3444" s="58"/>
    </row>
    <row r="3445" spans="2:19" x14ac:dyDescent="0.25">
      <c r="B3445" s="52"/>
      <c r="C3445" s="53"/>
      <c r="D3445" s="54"/>
      <c r="E3445" s="55"/>
      <c r="F3445" s="55"/>
      <c r="G3445" s="55"/>
      <c r="H3445" s="55"/>
      <c r="I3445" s="55"/>
      <c r="J3445" s="55"/>
      <c r="K3445" s="56"/>
      <c r="L3445" s="55"/>
      <c r="M3445" s="55"/>
      <c r="N3445" s="55"/>
      <c r="O3445" s="55"/>
      <c r="P3445" s="55"/>
      <c r="Q3445" s="55"/>
      <c r="R3445" s="57"/>
      <c r="S3445" s="58"/>
    </row>
    <row r="3446" spans="2:19" x14ac:dyDescent="0.25">
      <c r="B3446" s="52"/>
      <c r="C3446" s="53"/>
      <c r="D3446" s="54"/>
      <c r="E3446" s="55"/>
      <c r="F3446" s="55"/>
      <c r="G3446" s="55"/>
      <c r="H3446" s="55"/>
      <c r="I3446" s="55"/>
      <c r="J3446" s="55"/>
      <c r="K3446" s="56"/>
      <c r="L3446" s="55"/>
      <c r="M3446" s="55"/>
      <c r="N3446" s="55"/>
      <c r="O3446" s="55"/>
      <c r="P3446" s="55"/>
      <c r="Q3446" s="55"/>
      <c r="R3446" s="57"/>
      <c r="S3446" s="58"/>
    </row>
    <row r="3447" spans="2:19" x14ac:dyDescent="0.25">
      <c r="B3447" s="52"/>
      <c r="C3447" s="53"/>
      <c r="D3447" s="54"/>
      <c r="E3447" s="55"/>
      <c r="F3447" s="55"/>
      <c r="G3447" s="55"/>
      <c r="H3447" s="55"/>
      <c r="I3447" s="55"/>
      <c r="J3447" s="55"/>
      <c r="K3447" s="56"/>
      <c r="L3447" s="55"/>
      <c r="M3447" s="55"/>
      <c r="N3447" s="55"/>
      <c r="O3447" s="55"/>
      <c r="P3447" s="55"/>
      <c r="Q3447" s="55"/>
      <c r="R3447" s="57"/>
      <c r="S3447" s="58"/>
    </row>
    <row r="3448" spans="2:19" x14ac:dyDescent="0.25">
      <c r="B3448" s="52"/>
      <c r="C3448" s="53"/>
      <c r="D3448" s="54"/>
      <c r="E3448" s="55"/>
      <c r="F3448" s="55"/>
      <c r="G3448" s="55"/>
      <c r="H3448" s="55"/>
      <c r="I3448" s="55"/>
      <c r="J3448" s="55"/>
      <c r="K3448" s="56"/>
      <c r="L3448" s="55"/>
      <c r="M3448" s="55"/>
      <c r="N3448" s="55"/>
      <c r="O3448" s="55"/>
      <c r="P3448" s="55"/>
      <c r="Q3448" s="55"/>
      <c r="R3448" s="57"/>
      <c r="S3448" s="58"/>
    </row>
    <row r="3449" spans="2:19" x14ac:dyDescent="0.25">
      <c r="B3449" s="52"/>
      <c r="C3449" s="53"/>
      <c r="D3449" s="54"/>
      <c r="E3449" s="55"/>
      <c r="F3449" s="55"/>
      <c r="G3449" s="55"/>
      <c r="H3449" s="55"/>
      <c r="I3449" s="55"/>
      <c r="J3449" s="55"/>
      <c r="K3449" s="56"/>
      <c r="L3449" s="55"/>
      <c r="M3449" s="55"/>
      <c r="N3449" s="55"/>
      <c r="O3449" s="55"/>
      <c r="P3449" s="55"/>
      <c r="Q3449" s="55"/>
      <c r="R3449" s="57"/>
      <c r="S3449" s="58"/>
    </row>
    <row r="3450" spans="2:19" x14ac:dyDescent="0.25">
      <c r="B3450" s="52"/>
      <c r="C3450" s="53"/>
      <c r="D3450" s="54"/>
      <c r="E3450" s="55"/>
      <c r="F3450" s="55"/>
      <c r="G3450" s="55"/>
      <c r="H3450" s="55"/>
      <c r="I3450" s="55"/>
      <c r="J3450" s="55"/>
      <c r="K3450" s="56"/>
      <c r="L3450" s="55"/>
      <c r="M3450" s="55"/>
      <c r="N3450" s="55"/>
      <c r="O3450" s="55"/>
      <c r="P3450" s="55"/>
      <c r="Q3450" s="55"/>
      <c r="R3450" s="57"/>
      <c r="S3450" s="58"/>
    </row>
    <row r="3451" spans="2:19" x14ac:dyDescent="0.25">
      <c r="B3451" s="52"/>
      <c r="C3451" s="53"/>
      <c r="D3451" s="54"/>
      <c r="E3451" s="55"/>
      <c r="F3451" s="55"/>
      <c r="G3451" s="55"/>
      <c r="H3451" s="55"/>
      <c r="I3451" s="55"/>
      <c r="J3451" s="55"/>
      <c r="K3451" s="56"/>
      <c r="L3451" s="55"/>
      <c r="M3451" s="55"/>
      <c r="N3451" s="55"/>
      <c r="O3451" s="55"/>
      <c r="P3451" s="55"/>
      <c r="Q3451" s="55"/>
      <c r="R3451" s="57"/>
      <c r="S3451" s="58"/>
    </row>
    <row r="3452" spans="2:19" x14ac:dyDescent="0.25">
      <c r="B3452" s="52"/>
      <c r="C3452" s="60"/>
      <c r="E3452" s="61"/>
      <c r="F3452" s="62"/>
      <c r="G3452" s="63"/>
      <c r="H3452" s="64"/>
      <c r="I3452" s="64"/>
      <c r="J3452" s="64"/>
      <c r="K3452" s="65"/>
      <c r="L3452" s="64"/>
      <c r="M3452" s="64"/>
      <c r="N3452" s="64"/>
      <c r="P3452" s="63"/>
      <c r="Q3452" s="61"/>
      <c r="R3452" s="64"/>
      <c r="S3452" s="64"/>
    </row>
    <row r="3453" spans="2:19" x14ac:dyDescent="0.25">
      <c r="B3453" s="52"/>
      <c r="C3453" s="53"/>
      <c r="D3453" s="54"/>
      <c r="E3453" s="55"/>
      <c r="F3453" s="55"/>
      <c r="G3453" s="55"/>
      <c r="H3453" s="55"/>
      <c r="I3453" s="55"/>
      <c r="J3453" s="55"/>
      <c r="K3453" s="56"/>
      <c r="L3453" s="55"/>
      <c r="M3453" s="55"/>
      <c r="N3453" s="55"/>
      <c r="O3453" s="55"/>
      <c r="P3453" s="55"/>
      <c r="Q3453" s="55"/>
      <c r="R3453" s="57"/>
      <c r="S3453" s="58"/>
    </row>
    <row r="3454" spans="2:19" x14ac:dyDescent="0.25">
      <c r="B3454" s="52"/>
      <c r="C3454" s="53"/>
      <c r="D3454" s="54"/>
      <c r="E3454" s="55"/>
      <c r="F3454" s="55"/>
      <c r="G3454" s="55"/>
      <c r="H3454" s="55"/>
      <c r="I3454" s="55"/>
      <c r="J3454" s="55"/>
      <c r="K3454" s="56"/>
      <c r="L3454" s="55"/>
      <c r="M3454" s="55"/>
      <c r="N3454" s="55"/>
      <c r="O3454" s="55"/>
      <c r="P3454" s="55"/>
      <c r="Q3454" s="55"/>
      <c r="R3454" s="57"/>
      <c r="S3454" s="58"/>
    </row>
    <row r="3455" spans="2:19" x14ac:dyDescent="0.25">
      <c r="B3455" s="52"/>
      <c r="C3455" s="53"/>
      <c r="D3455" s="54"/>
      <c r="E3455" s="55"/>
      <c r="F3455" s="55"/>
      <c r="G3455" s="55"/>
      <c r="H3455" s="55"/>
      <c r="I3455" s="55"/>
      <c r="J3455" s="55"/>
      <c r="K3455" s="56"/>
      <c r="L3455" s="55"/>
      <c r="M3455" s="55"/>
      <c r="N3455" s="55"/>
      <c r="O3455" s="55"/>
      <c r="P3455" s="55"/>
      <c r="Q3455" s="55"/>
      <c r="R3455" s="57"/>
      <c r="S3455" s="58"/>
    </row>
    <row r="3456" spans="2:19" x14ac:dyDescent="0.25">
      <c r="B3456" s="52"/>
      <c r="C3456" s="53"/>
      <c r="D3456" s="54"/>
      <c r="E3456" s="55"/>
      <c r="F3456" s="55"/>
      <c r="G3456" s="55"/>
      <c r="H3456" s="55"/>
      <c r="I3456" s="55"/>
      <c r="J3456" s="55"/>
      <c r="K3456" s="56"/>
      <c r="L3456" s="55"/>
      <c r="M3456" s="55"/>
      <c r="N3456" s="55"/>
      <c r="O3456" s="55"/>
      <c r="P3456" s="55"/>
      <c r="Q3456" s="55"/>
      <c r="R3456" s="57"/>
      <c r="S3456" s="58"/>
    </row>
    <row r="3457" spans="2:19" x14ac:dyDescent="0.25">
      <c r="B3457" s="52"/>
      <c r="C3457" s="53"/>
      <c r="D3457" s="54"/>
      <c r="E3457" s="55"/>
      <c r="F3457" s="55"/>
      <c r="G3457" s="55"/>
      <c r="H3457" s="55"/>
      <c r="I3457" s="55"/>
      <c r="J3457" s="55"/>
      <c r="K3457" s="56"/>
      <c r="L3457" s="55"/>
      <c r="M3457" s="55"/>
      <c r="N3457" s="55"/>
      <c r="O3457" s="55"/>
      <c r="P3457" s="55"/>
      <c r="Q3457" s="55"/>
      <c r="R3457" s="57"/>
      <c r="S3457" s="58"/>
    </row>
    <row r="3458" spans="2:19" x14ac:dyDescent="0.25">
      <c r="B3458" s="52"/>
      <c r="C3458" s="53"/>
      <c r="D3458" s="54"/>
      <c r="E3458" s="55"/>
      <c r="F3458" s="55"/>
      <c r="G3458" s="55"/>
      <c r="H3458" s="55"/>
      <c r="I3458" s="55"/>
      <c r="J3458" s="55"/>
      <c r="K3458" s="56"/>
      <c r="L3458" s="55"/>
      <c r="M3458" s="55"/>
      <c r="N3458" s="55"/>
      <c r="O3458" s="55"/>
      <c r="P3458" s="55"/>
      <c r="Q3458" s="55"/>
      <c r="R3458" s="57"/>
      <c r="S3458" s="58"/>
    </row>
    <row r="3459" spans="2:19" x14ac:dyDescent="0.25">
      <c r="B3459" s="52"/>
      <c r="C3459" s="53"/>
      <c r="D3459" s="54"/>
      <c r="E3459" s="55"/>
      <c r="F3459" s="55"/>
      <c r="G3459" s="55"/>
      <c r="H3459" s="55"/>
      <c r="I3459" s="55"/>
      <c r="J3459" s="55"/>
      <c r="K3459" s="56"/>
      <c r="L3459" s="55"/>
      <c r="M3459" s="55"/>
      <c r="N3459" s="55"/>
      <c r="O3459" s="55"/>
      <c r="P3459" s="55"/>
      <c r="Q3459" s="55"/>
      <c r="R3459" s="57"/>
      <c r="S3459" s="58"/>
    </row>
    <row r="3460" spans="2:19" x14ac:dyDescent="0.25">
      <c r="B3460" s="52"/>
      <c r="C3460" s="53"/>
      <c r="D3460" s="54"/>
      <c r="E3460" s="55"/>
      <c r="F3460" s="55"/>
      <c r="G3460" s="55"/>
      <c r="H3460" s="55"/>
      <c r="I3460" s="55"/>
      <c r="J3460" s="55"/>
      <c r="K3460" s="56"/>
      <c r="L3460" s="55"/>
      <c r="M3460" s="55"/>
      <c r="N3460" s="55"/>
      <c r="O3460" s="55"/>
      <c r="P3460" s="55"/>
      <c r="Q3460" s="55"/>
      <c r="R3460" s="57"/>
      <c r="S3460" s="58"/>
    </row>
    <row r="3461" spans="2:19" ht="15.75" x14ac:dyDescent="0.25">
      <c r="B3461" s="52"/>
      <c r="C3461" s="53"/>
      <c r="D3461" s="54"/>
      <c r="E3461" s="55"/>
      <c r="F3461" s="55"/>
      <c r="G3461" s="55"/>
      <c r="H3461" s="55"/>
      <c r="I3461" s="55"/>
      <c r="J3461" s="55"/>
      <c r="K3461" s="59"/>
      <c r="L3461" s="55"/>
      <c r="M3461" s="55"/>
      <c r="N3461" s="55"/>
      <c r="O3461" s="55"/>
      <c r="P3461" s="55"/>
      <c r="Q3461" s="55"/>
      <c r="R3461" s="57"/>
      <c r="S3461" s="58"/>
    </row>
    <row r="3462" spans="2:19" x14ac:dyDescent="0.25">
      <c r="B3462" s="52"/>
      <c r="C3462" s="53"/>
      <c r="D3462" s="54"/>
      <c r="E3462" s="55"/>
      <c r="F3462" s="55"/>
      <c r="G3462" s="55"/>
      <c r="H3462" s="55"/>
      <c r="I3462" s="55"/>
      <c r="J3462" s="55"/>
      <c r="K3462" s="56"/>
      <c r="L3462" s="55"/>
      <c r="M3462" s="55"/>
      <c r="N3462" s="55"/>
      <c r="O3462" s="55"/>
      <c r="P3462" s="55"/>
      <c r="Q3462" s="55"/>
      <c r="R3462" s="57"/>
      <c r="S3462" s="58"/>
    </row>
    <row r="3463" spans="2:19" x14ac:dyDescent="0.25">
      <c r="B3463" s="52"/>
      <c r="C3463" s="53"/>
      <c r="D3463" s="54"/>
      <c r="E3463" s="55"/>
      <c r="F3463" s="55"/>
      <c r="G3463" s="55"/>
      <c r="H3463" s="55"/>
      <c r="I3463" s="55"/>
      <c r="J3463" s="55"/>
      <c r="K3463" s="56"/>
      <c r="L3463" s="55"/>
      <c r="M3463" s="55"/>
      <c r="N3463" s="55"/>
      <c r="O3463" s="55"/>
      <c r="P3463" s="55"/>
      <c r="Q3463" s="55"/>
      <c r="R3463" s="57"/>
      <c r="S3463" s="58"/>
    </row>
    <row r="3464" spans="2:19" x14ac:dyDescent="0.25">
      <c r="B3464" s="52"/>
      <c r="C3464" s="53"/>
      <c r="D3464" s="54"/>
      <c r="E3464" s="55"/>
      <c r="F3464" s="55"/>
      <c r="G3464" s="55"/>
      <c r="H3464" s="55"/>
      <c r="I3464" s="55"/>
      <c r="J3464" s="55"/>
      <c r="K3464" s="56"/>
      <c r="L3464" s="55"/>
      <c r="M3464" s="55"/>
      <c r="N3464" s="55"/>
      <c r="O3464" s="55"/>
      <c r="P3464" s="55"/>
      <c r="Q3464" s="55"/>
      <c r="R3464" s="57"/>
      <c r="S3464" s="58"/>
    </row>
    <row r="3465" spans="2:19" x14ac:dyDescent="0.25">
      <c r="B3465" s="52"/>
      <c r="C3465" s="53"/>
      <c r="D3465" s="54"/>
      <c r="E3465" s="55"/>
      <c r="F3465" s="55"/>
      <c r="G3465" s="55"/>
      <c r="H3465" s="55"/>
      <c r="I3465" s="55"/>
      <c r="J3465" s="55"/>
      <c r="K3465" s="56"/>
      <c r="L3465" s="55"/>
      <c r="M3465" s="55"/>
      <c r="N3465" s="55"/>
      <c r="O3465" s="55"/>
      <c r="P3465" s="55"/>
      <c r="Q3465" s="55"/>
      <c r="R3465" s="57"/>
      <c r="S3465" s="58"/>
    </row>
    <row r="3466" spans="2:19" x14ac:dyDescent="0.25">
      <c r="B3466" s="52"/>
      <c r="C3466" s="53"/>
      <c r="D3466" s="54"/>
      <c r="E3466" s="55"/>
      <c r="F3466" s="55"/>
      <c r="G3466" s="55"/>
      <c r="H3466" s="55"/>
      <c r="I3466" s="55"/>
      <c r="J3466" s="55"/>
      <c r="K3466" s="56"/>
      <c r="L3466" s="55"/>
      <c r="M3466" s="55"/>
      <c r="N3466" s="55"/>
      <c r="O3466" s="55"/>
      <c r="P3466" s="55"/>
      <c r="Q3466" s="55"/>
      <c r="R3466" s="57"/>
      <c r="S3466" s="58"/>
    </row>
    <row r="3467" spans="2:19" x14ac:dyDescent="0.25">
      <c r="B3467" s="52"/>
      <c r="C3467" s="53"/>
      <c r="D3467" s="54"/>
      <c r="E3467" s="55"/>
      <c r="F3467" s="55"/>
      <c r="G3467" s="55"/>
      <c r="H3467" s="55"/>
      <c r="I3467" s="55"/>
      <c r="J3467" s="55"/>
      <c r="K3467" s="56"/>
      <c r="L3467" s="55"/>
      <c r="M3467" s="55"/>
      <c r="N3467" s="55"/>
      <c r="O3467" s="55"/>
      <c r="P3467" s="55"/>
      <c r="Q3467" s="55"/>
      <c r="R3467" s="57"/>
      <c r="S3467" s="58"/>
    </row>
    <row r="3468" spans="2:19" x14ac:dyDescent="0.25">
      <c r="B3468" s="52"/>
      <c r="C3468" s="53"/>
      <c r="D3468" s="54"/>
      <c r="E3468" s="55"/>
      <c r="F3468" s="55"/>
      <c r="G3468" s="55"/>
      <c r="H3468" s="55"/>
      <c r="I3468" s="55"/>
      <c r="J3468" s="55"/>
      <c r="K3468" s="56"/>
      <c r="L3468" s="55"/>
      <c r="M3468" s="55"/>
      <c r="N3468" s="55"/>
      <c r="O3468" s="55"/>
      <c r="P3468" s="55"/>
      <c r="Q3468" s="55"/>
      <c r="R3468" s="57"/>
      <c r="S3468" s="58"/>
    </row>
    <row r="3469" spans="2:19" x14ac:dyDescent="0.25">
      <c r="B3469" s="52"/>
      <c r="C3469" s="60"/>
      <c r="E3469" s="61"/>
      <c r="F3469" s="62"/>
      <c r="G3469" s="63"/>
      <c r="H3469" s="64"/>
      <c r="I3469" s="64"/>
      <c r="J3469" s="64"/>
      <c r="K3469" s="65"/>
      <c r="L3469" s="64"/>
      <c r="M3469" s="64"/>
      <c r="N3469" s="64"/>
      <c r="P3469" s="63"/>
      <c r="Q3469" s="61"/>
      <c r="R3469" s="64"/>
      <c r="S3469" s="64"/>
    </row>
    <row r="3470" spans="2:19" x14ac:dyDescent="0.25">
      <c r="B3470" s="52"/>
      <c r="C3470" s="53"/>
      <c r="D3470" s="54"/>
      <c r="E3470" s="55"/>
      <c r="F3470" s="55"/>
      <c r="G3470" s="55"/>
      <c r="H3470" s="55"/>
      <c r="I3470" s="55"/>
      <c r="J3470" s="55"/>
      <c r="K3470" s="56"/>
      <c r="L3470" s="55"/>
      <c r="M3470" s="55"/>
      <c r="N3470" s="55"/>
      <c r="O3470" s="55"/>
      <c r="P3470" s="55"/>
      <c r="Q3470" s="55"/>
      <c r="R3470" s="57"/>
      <c r="S3470" s="58"/>
    </row>
    <row r="3471" spans="2:19" x14ac:dyDescent="0.25">
      <c r="B3471" s="52"/>
      <c r="C3471" s="53"/>
      <c r="D3471" s="54"/>
      <c r="E3471" s="55"/>
      <c r="F3471" s="55"/>
      <c r="G3471" s="55"/>
      <c r="H3471" s="55"/>
      <c r="I3471" s="55"/>
      <c r="J3471" s="55"/>
      <c r="K3471" s="56"/>
      <c r="L3471" s="55"/>
      <c r="M3471" s="55"/>
      <c r="N3471" s="55"/>
      <c r="O3471" s="55"/>
      <c r="P3471" s="55"/>
      <c r="Q3471" s="55"/>
      <c r="R3471" s="57"/>
      <c r="S3471" s="58"/>
    </row>
    <row r="3472" spans="2:19" x14ac:dyDescent="0.25">
      <c r="B3472" s="52"/>
      <c r="C3472" s="53"/>
      <c r="D3472" s="54"/>
      <c r="E3472" s="55"/>
      <c r="F3472" s="55"/>
      <c r="G3472" s="55"/>
      <c r="H3472" s="55"/>
      <c r="I3472" s="55"/>
      <c r="J3472" s="55"/>
      <c r="K3472" s="56"/>
      <c r="L3472" s="55"/>
      <c r="M3472" s="55"/>
      <c r="N3472" s="55"/>
      <c r="O3472" s="55"/>
      <c r="P3472" s="55"/>
      <c r="Q3472" s="55"/>
      <c r="R3472" s="57"/>
      <c r="S3472" s="58"/>
    </row>
    <row r="3473" spans="2:19" x14ac:dyDescent="0.25">
      <c r="B3473" s="52"/>
      <c r="C3473" s="53"/>
      <c r="D3473" s="54"/>
      <c r="E3473" s="55"/>
      <c r="F3473" s="55"/>
      <c r="G3473" s="55"/>
      <c r="H3473" s="55"/>
      <c r="I3473" s="55"/>
      <c r="J3473" s="55"/>
      <c r="K3473" s="56"/>
      <c r="L3473" s="55"/>
      <c r="M3473" s="55"/>
      <c r="N3473" s="55"/>
      <c r="O3473" s="55"/>
      <c r="P3473" s="55"/>
      <c r="Q3473" s="55"/>
      <c r="R3473" s="57"/>
      <c r="S3473" s="58"/>
    </row>
    <row r="3474" spans="2:19" x14ac:dyDescent="0.25">
      <c r="B3474" s="52"/>
      <c r="C3474" s="53"/>
      <c r="D3474" s="54"/>
      <c r="E3474" s="55"/>
      <c r="F3474" s="55"/>
      <c r="G3474" s="55"/>
      <c r="H3474" s="55"/>
      <c r="I3474" s="55"/>
      <c r="J3474" s="55"/>
      <c r="K3474" s="56"/>
      <c r="L3474" s="55"/>
      <c r="M3474" s="55"/>
      <c r="N3474" s="55"/>
      <c r="O3474" s="55"/>
      <c r="P3474" s="55"/>
      <c r="Q3474" s="55"/>
      <c r="R3474" s="57"/>
      <c r="S3474" s="58"/>
    </row>
    <row r="3475" spans="2:19" x14ac:dyDescent="0.25">
      <c r="B3475" s="52"/>
      <c r="C3475" s="53"/>
      <c r="D3475" s="54"/>
      <c r="E3475" s="55"/>
      <c r="F3475" s="55"/>
      <c r="G3475" s="55"/>
      <c r="H3475" s="55"/>
      <c r="I3475" s="55"/>
      <c r="J3475" s="55"/>
      <c r="K3475" s="56"/>
      <c r="L3475" s="55"/>
      <c r="M3475" s="55"/>
      <c r="N3475" s="55"/>
      <c r="O3475" s="55"/>
      <c r="P3475" s="55"/>
      <c r="Q3475" s="55"/>
      <c r="R3475" s="57"/>
      <c r="S3475" s="58"/>
    </row>
    <row r="3476" spans="2:19" x14ac:dyDescent="0.25">
      <c r="B3476" s="52"/>
      <c r="C3476" s="53"/>
      <c r="D3476" s="54"/>
      <c r="E3476" s="55"/>
      <c r="F3476" s="55"/>
      <c r="G3476" s="55"/>
      <c r="H3476" s="55"/>
      <c r="I3476" s="55"/>
      <c r="J3476" s="55"/>
      <c r="K3476" s="56"/>
      <c r="L3476" s="55"/>
      <c r="M3476" s="55"/>
      <c r="N3476" s="55"/>
      <c r="O3476" s="55"/>
      <c r="P3476" s="55"/>
      <c r="Q3476" s="55"/>
      <c r="R3476" s="57"/>
      <c r="S3476" s="58"/>
    </row>
    <row r="3477" spans="2:19" x14ac:dyDescent="0.25">
      <c r="B3477" s="52"/>
      <c r="C3477" s="53"/>
      <c r="D3477" s="54"/>
      <c r="E3477" s="55"/>
      <c r="F3477" s="55"/>
      <c r="G3477" s="55"/>
      <c r="H3477" s="55"/>
      <c r="I3477" s="55"/>
      <c r="J3477" s="55"/>
      <c r="K3477" s="56"/>
      <c r="L3477" s="55"/>
      <c r="M3477" s="55"/>
      <c r="N3477" s="55"/>
      <c r="O3477" s="55"/>
      <c r="P3477" s="55"/>
      <c r="Q3477" s="55"/>
      <c r="R3477" s="57"/>
      <c r="S3477" s="58"/>
    </row>
    <row r="3478" spans="2:19" ht="15.75" x14ac:dyDescent="0.25">
      <c r="B3478" s="52"/>
      <c r="C3478" s="53"/>
      <c r="D3478" s="54"/>
      <c r="E3478" s="55"/>
      <c r="F3478" s="55"/>
      <c r="G3478" s="55"/>
      <c r="H3478" s="55"/>
      <c r="I3478" s="55"/>
      <c r="J3478" s="55"/>
      <c r="K3478" s="59"/>
      <c r="L3478" s="55"/>
      <c r="M3478" s="55"/>
      <c r="N3478" s="55"/>
      <c r="O3478" s="55"/>
      <c r="P3478" s="55"/>
      <c r="Q3478" s="55"/>
      <c r="R3478" s="57"/>
      <c r="S3478" s="58"/>
    </row>
    <row r="3479" spans="2:19" x14ac:dyDescent="0.25">
      <c r="B3479" s="52"/>
      <c r="C3479" s="53"/>
      <c r="D3479" s="54"/>
      <c r="E3479" s="55"/>
      <c r="F3479" s="55"/>
      <c r="G3479" s="55"/>
      <c r="H3479" s="55"/>
      <c r="I3479" s="55"/>
      <c r="J3479" s="55"/>
      <c r="K3479" s="56"/>
      <c r="L3479" s="55"/>
      <c r="M3479" s="55"/>
      <c r="N3479" s="55"/>
      <c r="O3479" s="55"/>
      <c r="P3479" s="55"/>
      <c r="Q3479" s="55"/>
      <c r="R3479" s="57"/>
      <c r="S3479" s="58"/>
    </row>
    <row r="3480" spans="2:19" x14ac:dyDescent="0.25">
      <c r="B3480" s="52"/>
      <c r="C3480" s="53"/>
      <c r="D3480" s="54"/>
      <c r="E3480" s="55"/>
      <c r="F3480" s="55"/>
      <c r="G3480" s="55"/>
      <c r="H3480" s="55"/>
      <c r="I3480" s="55"/>
      <c r="J3480" s="55"/>
      <c r="K3480" s="56"/>
      <c r="L3480" s="55"/>
      <c r="M3480" s="55"/>
      <c r="N3480" s="55"/>
      <c r="O3480" s="55"/>
      <c r="P3480" s="55"/>
      <c r="Q3480" s="55"/>
      <c r="R3480" s="57"/>
      <c r="S3480" s="58"/>
    </row>
    <row r="3481" spans="2:19" x14ac:dyDescent="0.25">
      <c r="B3481" s="52"/>
      <c r="C3481" s="53"/>
      <c r="D3481" s="54"/>
      <c r="E3481" s="55"/>
      <c r="F3481" s="55"/>
      <c r="G3481" s="55"/>
      <c r="H3481" s="55"/>
      <c r="I3481" s="55"/>
      <c r="J3481" s="55"/>
      <c r="K3481" s="56"/>
      <c r="L3481" s="55"/>
      <c r="M3481" s="55"/>
      <c r="N3481" s="55"/>
      <c r="O3481" s="55"/>
      <c r="P3481" s="55"/>
      <c r="Q3481" s="55"/>
      <c r="R3481" s="57"/>
      <c r="S3481" s="58"/>
    </row>
    <row r="3482" spans="2:19" x14ac:dyDescent="0.25">
      <c r="B3482" s="52"/>
      <c r="C3482" s="53"/>
      <c r="D3482" s="54"/>
      <c r="E3482" s="55"/>
      <c r="F3482" s="55"/>
      <c r="G3482" s="55"/>
      <c r="H3482" s="55"/>
      <c r="I3482" s="55"/>
      <c r="J3482" s="55"/>
      <c r="K3482" s="56"/>
      <c r="L3482" s="55"/>
      <c r="M3482" s="55"/>
      <c r="N3482" s="55"/>
      <c r="O3482" s="55"/>
      <c r="P3482" s="55"/>
      <c r="Q3482" s="55"/>
      <c r="R3482" s="57"/>
      <c r="S3482" s="58"/>
    </row>
    <row r="3483" spans="2:19" x14ac:dyDescent="0.25">
      <c r="B3483" s="52"/>
      <c r="C3483" s="53"/>
      <c r="D3483" s="54"/>
      <c r="E3483" s="55"/>
      <c r="F3483" s="55"/>
      <c r="G3483" s="55"/>
      <c r="H3483" s="55"/>
      <c r="I3483" s="55"/>
      <c r="J3483" s="55"/>
      <c r="K3483" s="56"/>
      <c r="L3483" s="55"/>
      <c r="M3483" s="55"/>
      <c r="N3483" s="55"/>
      <c r="O3483" s="55"/>
      <c r="P3483" s="55"/>
      <c r="Q3483" s="55"/>
      <c r="R3483" s="57"/>
      <c r="S3483" s="58"/>
    </row>
    <row r="3484" spans="2:19" x14ac:dyDescent="0.25">
      <c r="B3484" s="52"/>
      <c r="C3484" s="53"/>
      <c r="D3484" s="54"/>
      <c r="E3484" s="55"/>
      <c r="F3484" s="55"/>
      <c r="G3484" s="55"/>
      <c r="H3484" s="55"/>
      <c r="I3484" s="55"/>
      <c r="J3484" s="55"/>
      <c r="K3484" s="56"/>
      <c r="L3484" s="55"/>
      <c r="M3484" s="55"/>
      <c r="N3484" s="55"/>
      <c r="O3484" s="55"/>
      <c r="P3484" s="55"/>
      <c r="Q3484" s="55"/>
      <c r="R3484" s="57"/>
      <c r="S3484" s="58"/>
    </row>
    <row r="3485" spans="2:19" x14ac:dyDescent="0.25">
      <c r="B3485" s="52"/>
      <c r="C3485" s="53"/>
      <c r="D3485" s="54"/>
      <c r="E3485" s="55"/>
      <c r="F3485" s="55"/>
      <c r="G3485" s="55"/>
      <c r="H3485" s="55"/>
      <c r="I3485" s="55"/>
      <c r="J3485" s="55"/>
      <c r="K3485" s="56"/>
      <c r="L3485" s="55"/>
      <c r="M3485" s="55"/>
      <c r="N3485" s="55"/>
      <c r="O3485" s="55"/>
      <c r="P3485" s="55"/>
      <c r="Q3485" s="55"/>
      <c r="R3485" s="57"/>
      <c r="S3485" s="58"/>
    </row>
    <row r="3486" spans="2:19" x14ac:dyDescent="0.25">
      <c r="B3486" s="52"/>
      <c r="C3486" s="60"/>
      <c r="E3486" s="61"/>
      <c r="F3486" s="62"/>
      <c r="G3486" s="63"/>
      <c r="H3486" s="64"/>
      <c r="I3486" s="64"/>
      <c r="J3486" s="64"/>
      <c r="K3486" s="65"/>
      <c r="L3486" s="64"/>
      <c r="M3486" s="64"/>
      <c r="N3486" s="64"/>
      <c r="P3486" s="63"/>
      <c r="Q3486" s="61"/>
      <c r="R3486" s="64"/>
      <c r="S3486" s="64"/>
    </row>
    <row r="3487" spans="2:19" x14ac:dyDescent="0.25">
      <c r="B3487" s="52"/>
      <c r="C3487" s="53"/>
      <c r="D3487" s="54"/>
      <c r="E3487" s="55"/>
      <c r="F3487" s="55"/>
      <c r="G3487" s="55"/>
      <c r="H3487" s="55"/>
      <c r="I3487" s="55"/>
      <c r="J3487" s="55"/>
      <c r="K3487" s="56"/>
      <c r="L3487" s="55"/>
      <c r="M3487" s="55"/>
      <c r="N3487" s="55"/>
      <c r="O3487" s="55"/>
      <c r="P3487" s="55"/>
      <c r="Q3487" s="55"/>
      <c r="R3487" s="57"/>
      <c r="S3487" s="58"/>
    </row>
    <row r="3488" spans="2:19" x14ac:dyDescent="0.25">
      <c r="B3488" s="52"/>
      <c r="C3488" s="53"/>
      <c r="D3488" s="54"/>
      <c r="E3488" s="55"/>
      <c r="F3488" s="55"/>
      <c r="G3488" s="55"/>
      <c r="H3488" s="55"/>
      <c r="I3488" s="55"/>
      <c r="J3488" s="55"/>
      <c r="K3488" s="56"/>
      <c r="L3488" s="55"/>
      <c r="M3488" s="55"/>
      <c r="N3488" s="55"/>
      <c r="O3488" s="55"/>
      <c r="P3488" s="55"/>
      <c r="Q3488" s="55"/>
      <c r="R3488" s="57"/>
      <c r="S3488" s="58"/>
    </row>
    <row r="3489" spans="2:19" x14ac:dyDescent="0.25">
      <c r="B3489" s="52"/>
      <c r="C3489" s="53"/>
      <c r="D3489" s="54"/>
      <c r="E3489" s="55"/>
      <c r="F3489" s="55"/>
      <c r="G3489" s="55"/>
      <c r="H3489" s="55"/>
      <c r="I3489" s="55"/>
      <c r="J3489" s="55"/>
      <c r="K3489" s="56"/>
      <c r="L3489" s="55"/>
      <c r="M3489" s="55"/>
      <c r="N3489" s="55"/>
      <c r="O3489" s="55"/>
      <c r="P3489" s="55"/>
      <c r="Q3489" s="55"/>
      <c r="R3489" s="57"/>
      <c r="S3489" s="58"/>
    </row>
    <row r="3490" spans="2:19" x14ac:dyDescent="0.25">
      <c r="B3490" s="52"/>
      <c r="C3490" s="53"/>
      <c r="D3490" s="54"/>
      <c r="E3490" s="55"/>
      <c r="F3490" s="55"/>
      <c r="G3490" s="55"/>
      <c r="H3490" s="55"/>
      <c r="I3490" s="55"/>
      <c r="J3490" s="55"/>
      <c r="K3490" s="56"/>
      <c r="L3490" s="55"/>
      <c r="M3490" s="55"/>
      <c r="N3490" s="55"/>
      <c r="O3490" s="55"/>
      <c r="P3490" s="55"/>
      <c r="Q3490" s="55"/>
      <c r="R3490" s="57"/>
      <c r="S3490" s="58"/>
    </row>
    <row r="3491" spans="2:19" x14ac:dyDescent="0.25">
      <c r="B3491" s="52"/>
      <c r="C3491" s="53"/>
      <c r="D3491" s="54"/>
      <c r="E3491" s="55"/>
      <c r="F3491" s="55"/>
      <c r="G3491" s="55"/>
      <c r="H3491" s="55"/>
      <c r="I3491" s="55"/>
      <c r="J3491" s="55"/>
      <c r="K3491" s="56"/>
      <c r="L3491" s="55"/>
      <c r="M3491" s="55"/>
      <c r="N3491" s="55"/>
      <c r="O3491" s="55"/>
      <c r="P3491" s="55"/>
      <c r="Q3491" s="55"/>
      <c r="R3491" s="57"/>
      <c r="S3491" s="58"/>
    </row>
    <row r="3492" spans="2:19" x14ac:dyDescent="0.25">
      <c r="B3492" s="52"/>
      <c r="C3492" s="53"/>
      <c r="D3492" s="54"/>
      <c r="E3492" s="55"/>
      <c r="F3492" s="55"/>
      <c r="G3492" s="55"/>
      <c r="H3492" s="55"/>
      <c r="I3492" s="55"/>
      <c r="J3492" s="55"/>
      <c r="K3492" s="56"/>
      <c r="L3492" s="55"/>
      <c r="M3492" s="55"/>
      <c r="N3492" s="55"/>
      <c r="O3492" s="55"/>
      <c r="P3492" s="55"/>
      <c r="Q3492" s="55"/>
      <c r="R3492" s="57"/>
      <c r="S3492" s="58"/>
    </row>
    <row r="3493" spans="2:19" x14ac:dyDescent="0.25">
      <c r="B3493" s="52"/>
      <c r="C3493" s="53"/>
      <c r="D3493" s="54"/>
      <c r="E3493" s="55"/>
      <c r="F3493" s="55"/>
      <c r="G3493" s="55"/>
      <c r="H3493" s="55"/>
      <c r="I3493" s="55"/>
      <c r="J3493" s="55"/>
      <c r="K3493" s="56"/>
      <c r="L3493" s="55"/>
      <c r="M3493" s="55"/>
      <c r="N3493" s="55"/>
      <c r="O3493" s="55"/>
      <c r="P3493" s="55"/>
      <c r="Q3493" s="55"/>
      <c r="R3493" s="57"/>
      <c r="S3493" s="58"/>
    </row>
    <row r="3494" spans="2:19" x14ac:dyDescent="0.25">
      <c r="B3494" s="52"/>
      <c r="C3494" s="53"/>
      <c r="D3494" s="54"/>
      <c r="E3494" s="55"/>
      <c r="F3494" s="55"/>
      <c r="G3494" s="55"/>
      <c r="H3494" s="55"/>
      <c r="I3494" s="55"/>
      <c r="J3494" s="55"/>
      <c r="K3494" s="56"/>
      <c r="L3494" s="55"/>
      <c r="M3494" s="55"/>
      <c r="N3494" s="55"/>
      <c r="O3494" s="55"/>
      <c r="P3494" s="55"/>
      <c r="Q3494" s="55"/>
      <c r="R3494" s="57"/>
      <c r="S3494" s="58"/>
    </row>
    <row r="3495" spans="2:19" ht="15.75" x14ac:dyDescent="0.25">
      <c r="B3495" s="52"/>
      <c r="C3495" s="53"/>
      <c r="D3495" s="54"/>
      <c r="E3495" s="55"/>
      <c r="F3495" s="55"/>
      <c r="G3495" s="55"/>
      <c r="H3495" s="55"/>
      <c r="I3495" s="55"/>
      <c r="J3495" s="55"/>
      <c r="K3495" s="59"/>
      <c r="L3495" s="55"/>
      <c r="M3495" s="55"/>
      <c r="N3495" s="55"/>
      <c r="O3495" s="55"/>
      <c r="P3495" s="55"/>
      <c r="Q3495" s="55"/>
      <c r="R3495" s="57"/>
      <c r="S3495" s="58"/>
    </row>
    <row r="3496" spans="2:19" x14ac:dyDescent="0.25">
      <c r="B3496" s="52"/>
      <c r="C3496" s="53"/>
      <c r="D3496" s="54"/>
      <c r="E3496" s="55"/>
      <c r="F3496" s="55"/>
      <c r="G3496" s="55"/>
      <c r="H3496" s="55"/>
      <c r="I3496" s="55"/>
      <c r="J3496" s="55"/>
      <c r="K3496" s="56"/>
      <c r="L3496" s="55"/>
      <c r="M3496" s="55"/>
      <c r="N3496" s="55"/>
      <c r="O3496" s="55"/>
      <c r="P3496" s="55"/>
      <c r="Q3496" s="55"/>
      <c r="R3496" s="57"/>
      <c r="S3496" s="58"/>
    </row>
    <row r="3497" spans="2:19" x14ac:dyDescent="0.25">
      <c r="B3497" s="52"/>
      <c r="C3497" s="53"/>
      <c r="D3497" s="54"/>
      <c r="E3497" s="55"/>
      <c r="F3497" s="55"/>
      <c r="G3497" s="55"/>
      <c r="H3497" s="55"/>
      <c r="I3497" s="55"/>
      <c r="J3497" s="55"/>
      <c r="K3497" s="56"/>
      <c r="L3497" s="55"/>
      <c r="M3497" s="55"/>
      <c r="N3497" s="55"/>
      <c r="O3497" s="55"/>
      <c r="P3497" s="55"/>
      <c r="Q3497" s="55"/>
      <c r="R3497" s="57"/>
      <c r="S3497" s="58"/>
    </row>
    <row r="3498" spans="2:19" x14ac:dyDescent="0.25">
      <c r="B3498" s="52"/>
      <c r="C3498" s="53"/>
      <c r="D3498" s="54"/>
      <c r="E3498" s="55"/>
      <c r="F3498" s="55"/>
      <c r="G3498" s="55"/>
      <c r="H3498" s="55"/>
      <c r="I3498" s="55"/>
      <c r="J3498" s="55"/>
      <c r="K3498" s="56"/>
      <c r="L3498" s="55"/>
      <c r="M3498" s="55"/>
      <c r="N3498" s="55"/>
      <c r="O3498" s="55"/>
      <c r="P3498" s="55"/>
      <c r="Q3498" s="55"/>
      <c r="R3498" s="57"/>
      <c r="S3498" s="58"/>
    </row>
    <row r="3499" spans="2:19" x14ac:dyDescent="0.25">
      <c r="B3499" s="52"/>
      <c r="C3499" s="53"/>
      <c r="D3499" s="54"/>
      <c r="E3499" s="55"/>
      <c r="F3499" s="55"/>
      <c r="G3499" s="55"/>
      <c r="H3499" s="55"/>
      <c r="I3499" s="55"/>
      <c r="J3499" s="55"/>
      <c r="K3499" s="56"/>
      <c r="L3499" s="55"/>
      <c r="M3499" s="55"/>
      <c r="N3499" s="55"/>
      <c r="O3499" s="55"/>
      <c r="P3499" s="55"/>
      <c r="Q3499" s="55"/>
      <c r="R3499" s="57"/>
      <c r="S3499" s="58"/>
    </row>
    <row r="3500" spans="2:19" x14ac:dyDescent="0.25">
      <c r="B3500" s="52"/>
      <c r="C3500" s="53"/>
      <c r="D3500" s="54"/>
      <c r="E3500" s="55"/>
      <c r="F3500" s="55"/>
      <c r="G3500" s="55"/>
      <c r="H3500" s="55"/>
      <c r="I3500" s="55"/>
      <c r="J3500" s="55"/>
      <c r="K3500" s="56"/>
      <c r="L3500" s="55"/>
      <c r="M3500" s="55"/>
      <c r="N3500" s="55"/>
      <c r="O3500" s="55"/>
      <c r="P3500" s="55"/>
      <c r="Q3500" s="55"/>
      <c r="R3500" s="57"/>
      <c r="S3500" s="58"/>
    </row>
    <row r="3501" spans="2:19" x14ac:dyDescent="0.25">
      <c r="B3501" s="52"/>
      <c r="C3501" s="53"/>
      <c r="D3501" s="54"/>
      <c r="E3501" s="55"/>
      <c r="F3501" s="55"/>
      <c r="G3501" s="55"/>
      <c r="H3501" s="55"/>
      <c r="I3501" s="55"/>
      <c r="J3501" s="55"/>
      <c r="K3501" s="56"/>
      <c r="L3501" s="55"/>
      <c r="M3501" s="55"/>
      <c r="N3501" s="55"/>
      <c r="O3501" s="55"/>
      <c r="P3501" s="55"/>
      <c r="Q3501" s="55"/>
      <c r="R3501" s="57"/>
      <c r="S3501" s="58"/>
    </row>
    <row r="3502" spans="2:19" x14ac:dyDescent="0.25">
      <c r="B3502" s="52"/>
      <c r="C3502" s="53"/>
      <c r="D3502" s="54"/>
      <c r="E3502" s="55"/>
      <c r="F3502" s="55"/>
      <c r="G3502" s="55"/>
      <c r="H3502" s="55"/>
      <c r="I3502" s="55"/>
      <c r="J3502" s="55"/>
      <c r="K3502" s="56"/>
      <c r="L3502" s="55"/>
      <c r="M3502" s="55"/>
      <c r="N3502" s="55"/>
      <c r="O3502" s="55"/>
      <c r="P3502" s="55"/>
      <c r="Q3502" s="55"/>
      <c r="R3502" s="57"/>
      <c r="S3502" s="58"/>
    </row>
    <row r="3503" spans="2:19" x14ac:dyDescent="0.25">
      <c r="B3503" s="52"/>
      <c r="C3503" s="60"/>
      <c r="E3503" s="61"/>
      <c r="F3503" s="62"/>
      <c r="G3503" s="63"/>
      <c r="H3503" s="64"/>
      <c r="I3503" s="64"/>
      <c r="J3503" s="64"/>
      <c r="K3503" s="65"/>
      <c r="L3503" s="64"/>
      <c r="M3503" s="64"/>
      <c r="N3503" s="64"/>
      <c r="P3503" s="63"/>
      <c r="Q3503" s="61"/>
      <c r="R3503" s="64"/>
      <c r="S3503" s="64"/>
    </row>
    <row r="3504" spans="2:19" x14ac:dyDescent="0.25">
      <c r="B3504" s="52"/>
      <c r="C3504" s="53"/>
      <c r="D3504" s="54"/>
      <c r="E3504" s="55"/>
      <c r="F3504" s="55"/>
      <c r="G3504" s="55"/>
      <c r="H3504" s="55"/>
      <c r="I3504" s="55"/>
      <c r="J3504" s="55"/>
      <c r="K3504" s="56"/>
      <c r="L3504" s="55"/>
      <c r="M3504" s="55"/>
      <c r="N3504" s="55"/>
      <c r="O3504" s="55"/>
      <c r="P3504" s="55"/>
      <c r="Q3504" s="55"/>
      <c r="R3504" s="57"/>
      <c r="S3504" s="58"/>
    </row>
    <row r="3505" spans="2:19" x14ac:dyDescent="0.25">
      <c r="B3505" s="52"/>
      <c r="C3505" s="53"/>
      <c r="D3505" s="54"/>
      <c r="E3505" s="55"/>
      <c r="F3505" s="55"/>
      <c r="G3505" s="55"/>
      <c r="H3505" s="55"/>
      <c r="I3505" s="55"/>
      <c r="J3505" s="55"/>
      <c r="K3505" s="56"/>
      <c r="L3505" s="55"/>
      <c r="M3505" s="55"/>
      <c r="N3505" s="55"/>
      <c r="O3505" s="55"/>
      <c r="P3505" s="55"/>
      <c r="Q3505" s="55"/>
      <c r="R3505" s="57"/>
      <c r="S3505" s="58"/>
    </row>
    <row r="3506" spans="2:19" x14ac:dyDescent="0.25">
      <c r="B3506" s="52"/>
      <c r="C3506" s="53"/>
      <c r="D3506" s="54"/>
      <c r="E3506" s="55"/>
      <c r="F3506" s="55"/>
      <c r="G3506" s="55"/>
      <c r="H3506" s="55"/>
      <c r="I3506" s="55"/>
      <c r="J3506" s="55"/>
      <c r="K3506" s="56"/>
      <c r="L3506" s="55"/>
      <c r="M3506" s="55"/>
      <c r="N3506" s="55"/>
      <c r="O3506" s="55"/>
      <c r="P3506" s="55"/>
      <c r="Q3506" s="55"/>
      <c r="R3506" s="57"/>
      <c r="S3506" s="58"/>
    </row>
    <row r="3507" spans="2:19" x14ac:dyDescent="0.25">
      <c r="B3507" s="52"/>
      <c r="C3507" s="53"/>
      <c r="D3507" s="54"/>
      <c r="E3507" s="55"/>
      <c r="F3507" s="55"/>
      <c r="G3507" s="55"/>
      <c r="H3507" s="55"/>
      <c r="I3507" s="55"/>
      <c r="J3507" s="55"/>
      <c r="K3507" s="56"/>
      <c r="L3507" s="55"/>
      <c r="M3507" s="55"/>
      <c r="N3507" s="55"/>
      <c r="O3507" s="55"/>
      <c r="P3507" s="55"/>
      <c r="Q3507" s="55"/>
      <c r="R3507" s="57"/>
      <c r="S3507" s="58"/>
    </row>
    <row r="3508" spans="2:19" x14ac:dyDescent="0.25">
      <c r="B3508" s="52"/>
      <c r="C3508" s="53"/>
      <c r="D3508" s="54"/>
      <c r="E3508" s="55"/>
      <c r="F3508" s="55"/>
      <c r="G3508" s="55"/>
      <c r="H3508" s="55"/>
      <c r="I3508" s="55"/>
      <c r="J3508" s="55"/>
      <c r="K3508" s="56"/>
      <c r="L3508" s="55"/>
      <c r="M3508" s="55"/>
      <c r="N3508" s="55"/>
      <c r="O3508" s="55"/>
      <c r="P3508" s="55"/>
      <c r="Q3508" s="55"/>
      <c r="R3508" s="57"/>
      <c r="S3508" s="58"/>
    </row>
    <row r="3509" spans="2:19" x14ac:dyDescent="0.25">
      <c r="B3509" s="52"/>
      <c r="C3509" s="53"/>
      <c r="D3509" s="54"/>
      <c r="E3509" s="55"/>
      <c r="F3509" s="55"/>
      <c r="G3509" s="55"/>
      <c r="H3509" s="55"/>
      <c r="I3509" s="55"/>
      <c r="J3509" s="55"/>
      <c r="K3509" s="56"/>
      <c r="L3509" s="55"/>
      <c r="M3509" s="55"/>
      <c r="N3509" s="55"/>
      <c r="O3509" s="55"/>
      <c r="P3509" s="55"/>
      <c r="Q3509" s="55"/>
      <c r="R3509" s="57"/>
      <c r="S3509" s="58"/>
    </row>
    <row r="3510" spans="2:19" x14ac:dyDescent="0.25">
      <c r="B3510" s="52"/>
      <c r="C3510" s="53"/>
      <c r="D3510" s="54"/>
      <c r="E3510" s="55"/>
      <c r="F3510" s="55"/>
      <c r="G3510" s="55"/>
      <c r="H3510" s="55"/>
      <c r="I3510" s="55"/>
      <c r="J3510" s="55"/>
      <c r="K3510" s="56"/>
      <c r="L3510" s="55"/>
      <c r="M3510" s="55"/>
      <c r="N3510" s="55"/>
      <c r="O3510" s="55"/>
      <c r="P3510" s="55"/>
      <c r="Q3510" s="55"/>
      <c r="R3510" s="57"/>
      <c r="S3510" s="58"/>
    </row>
    <row r="3511" spans="2:19" x14ac:dyDescent="0.25">
      <c r="B3511" s="52"/>
      <c r="C3511" s="53"/>
      <c r="D3511" s="54"/>
      <c r="E3511" s="55"/>
      <c r="F3511" s="55"/>
      <c r="G3511" s="55"/>
      <c r="H3511" s="55"/>
      <c r="I3511" s="55"/>
      <c r="J3511" s="55"/>
      <c r="K3511" s="56"/>
      <c r="L3511" s="55"/>
      <c r="M3511" s="55"/>
      <c r="N3511" s="55"/>
      <c r="O3511" s="55"/>
      <c r="P3511" s="55"/>
      <c r="Q3511" s="55"/>
      <c r="R3511" s="57"/>
      <c r="S3511" s="58"/>
    </row>
    <row r="3512" spans="2:19" ht="15.75" x14ac:dyDescent="0.25">
      <c r="B3512" s="52"/>
      <c r="C3512" s="53"/>
      <c r="D3512" s="54"/>
      <c r="E3512" s="55"/>
      <c r="F3512" s="55"/>
      <c r="G3512" s="55"/>
      <c r="H3512" s="55"/>
      <c r="I3512" s="55"/>
      <c r="J3512" s="55"/>
      <c r="K3512" s="59"/>
      <c r="L3512" s="55"/>
      <c r="M3512" s="55"/>
      <c r="N3512" s="55"/>
      <c r="O3512" s="55"/>
      <c r="P3512" s="55"/>
      <c r="Q3512" s="55"/>
      <c r="R3512" s="57"/>
      <c r="S3512" s="58"/>
    </row>
    <row r="3513" spans="2:19" x14ac:dyDescent="0.25">
      <c r="B3513" s="52"/>
      <c r="C3513" s="53"/>
      <c r="D3513" s="54"/>
      <c r="E3513" s="55"/>
      <c r="F3513" s="55"/>
      <c r="G3513" s="55"/>
      <c r="H3513" s="55"/>
      <c r="I3513" s="55"/>
      <c r="J3513" s="55"/>
      <c r="K3513" s="56"/>
      <c r="L3513" s="55"/>
      <c r="M3513" s="55"/>
      <c r="N3513" s="55"/>
      <c r="O3513" s="55"/>
      <c r="P3513" s="55"/>
      <c r="Q3513" s="55"/>
      <c r="R3513" s="57"/>
      <c r="S3513" s="58"/>
    </row>
    <row r="3514" spans="2:19" x14ac:dyDescent="0.25">
      <c r="B3514" s="52"/>
      <c r="C3514" s="53"/>
      <c r="D3514" s="54"/>
      <c r="E3514" s="55"/>
      <c r="F3514" s="55"/>
      <c r="G3514" s="55"/>
      <c r="H3514" s="55"/>
      <c r="I3514" s="55"/>
      <c r="J3514" s="55"/>
      <c r="K3514" s="56"/>
      <c r="L3514" s="55"/>
      <c r="M3514" s="55"/>
      <c r="N3514" s="55"/>
      <c r="O3514" s="55"/>
      <c r="P3514" s="55"/>
      <c r="Q3514" s="55"/>
      <c r="R3514" s="57"/>
      <c r="S3514" s="58"/>
    </row>
    <row r="3515" spans="2:19" x14ac:dyDescent="0.25">
      <c r="B3515" s="52"/>
      <c r="C3515" s="53"/>
      <c r="D3515" s="54"/>
      <c r="E3515" s="55"/>
      <c r="F3515" s="55"/>
      <c r="G3515" s="55"/>
      <c r="H3515" s="55"/>
      <c r="I3515" s="55"/>
      <c r="J3515" s="55"/>
      <c r="K3515" s="56"/>
      <c r="L3515" s="55"/>
      <c r="M3515" s="55"/>
      <c r="N3515" s="55"/>
      <c r="O3515" s="55"/>
      <c r="P3515" s="55"/>
      <c r="Q3515" s="55"/>
      <c r="R3515" s="57"/>
      <c r="S3515" s="58"/>
    </row>
    <row r="3516" spans="2:19" x14ac:dyDescent="0.25">
      <c r="B3516" s="52"/>
      <c r="C3516" s="53"/>
      <c r="D3516" s="54"/>
      <c r="E3516" s="55"/>
      <c r="F3516" s="55"/>
      <c r="G3516" s="55"/>
      <c r="H3516" s="55"/>
      <c r="I3516" s="55"/>
      <c r="J3516" s="55"/>
      <c r="K3516" s="56"/>
      <c r="L3516" s="55"/>
      <c r="M3516" s="55"/>
      <c r="N3516" s="55"/>
      <c r="O3516" s="55"/>
      <c r="P3516" s="55"/>
      <c r="Q3516" s="55"/>
      <c r="R3516" s="57"/>
      <c r="S3516" s="58"/>
    </row>
    <row r="3517" spans="2:19" x14ac:dyDescent="0.25">
      <c r="B3517" s="52"/>
      <c r="C3517" s="53"/>
      <c r="D3517" s="54"/>
      <c r="E3517" s="55"/>
      <c r="F3517" s="55"/>
      <c r="G3517" s="55"/>
      <c r="H3517" s="55"/>
      <c r="I3517" s="55"/>
      <c r="J3517" s="55"/>
      <c r="K3517" s="56"/>
      <c r="L3517" s="55"/>
      <c r="M3517" s="55"/>
      <c r="N3517" s="55"/>
      <c r="O3517" s="55"/>
      <c r="P3517" s="55"/>
      <c r="Q3517" s="55"/>
      <c r="R3517" s="57"/>
      <c r="S3517" s="58"/>
    </row>
    <row r="3518" spans="2:19" x14ac:dyDescent="0.25">
      <c r="B3518" s="52"/>
      <c r="C3518" s="53"/>
      <c r="D3518" s="54"/>
      <c r="E3518" s="55"/>
      <c r="F3518" s="55"/>
      <c r="G3518" s="55"/>
      <c r="H3518" s="55"/>
      <c r="I3518" s="55"/>
      <c r="J3518" s="55"/>
      <c r="K3518" s="56"/>
      <c r="L3518" s="55"/>
      <c r="M3518" s="55"/>
      <c r="N3518" s="55"/>
      <c r="O3518" s="55"/>
      <c r="P3518" s="55"/>
      <c r="Q3518" s="55"/>
      <c r="R3518" s="57"/>
      <c r="S3518" s="58"/>
    </row>
    <row r="3519" spans="2:19" x14ac:dyDescent="0.25">
      <c r="B3519" s="52"/>
      <c r="C3519" s="53"/>
      <c r="D3519" s="54"/>
      <c r="E3519" s="55"/>
      <c r="F3519" s="55"/>
      <c r="G3519" s="55"/>
      <c r="H3519" s="55"/>
      <c r="I3519" s="55"/>
      <c r="J3519" s="55"/>
      <c r="K3519" s="56"/>
      <c r="L3519" s="55"/>
      <c r="M3519" s="55"/>
      <c r="N3519" s="55"/>
      <c r="O3519" s="55"/>
      <c r="P3519" s="55"/>
      <c r="Q3519" s="55"/>
      <c r="R3519" s="57"/>
      <c r="S3519" s="58"/>
    </row>
    <row r="3520" spans="2:19" x14ac:dyDescent="0.25">
      <c r="B3520" s="52"/>
      <c r="C3520" s="60"/>
      <c r="E3520" s="61"/>
      <c r="F3520" s="62"/>
      <c r="G3520" s="63"/>
      <c r="H3520" s="64"/>
      <c r="I3520" s="64"/>
      <c r="J3520" s="64"/>
      <c r="K3520" s="65"/>
      <c r="L3520" s="64"/>
      <c r="M3520" s="64"/>
      <c r="N3520" s="64"/>
      <c r="P3520" s="63"/>
      <c r="Q3520" s="61"/>
      <c r="R3520" s="64"/>
      <c r="S3520" s="64"/>
    </row>
    <row r="3521" spans="2:19" x14ac:dyDescent="0.25">
      <c r="B3521" s="52"/>
      <c r="C3521" s="53"/>
      <c r="D3521" s="54"/>
      <c r="E3521" s="55"/>
      <c r="F3521" s="55"/>
      <c r="G3521" s="55"/>
      <c r="H3521" s="55"/>
      <c r="I3521" s="55"/>
      <c r="J3521" s="55"/>
      <c r="K3521" s="56"/>
      <c r="L3521" s="55"/>
      <c r="M3521" s="55"/>
      <c r="N3521" s="55"/>
      <c r="O3521" s="55"/>
      <c r="P3521" s="55"/>
      <c r="Q3521" s="55"/>
      <c r="R3521" s="57"/>
      <c r="S3521" s="58"/>
    </row>
    <row r="3522" spans="2:19" x14ac:dyDescent="0.25">
      <c r="B3522" s="52"/>
      <c r="C3522" s="53"/>
      <c r="D3522" s="54"/>
      <c r="E3522" s="55"/>
      <c r="F3522" s="55"/>
      <c r="G3522" s="55"/>
      <c r="H3522" s="55"/>
      <c r="I3522" s="55"/>
      <c r="J3522" s="55"/>
      <c r="K3522" s="56"/>
      <c r="L3522" s="55"/>
      <c r="M3522" s="55"/>
      <c r="N3522" s="55"/>
      <c r="O3522" s="55"/>
      <c r="P3522" s="55"/>
      <c r="Q3522" s="55"/>
      <c r="R3522" s="57"/>
      <c r="S3522" s="58"/>
    </row>
    <row r="3523" spans="2:19" x14ac:dyDescent="0.25">
      <c r="B3523" s="52"/>
      <c r="C3523" s="53"/>
      <c r="D3523" s="54"/>
      <c r="E3523" s="55"/>
      <c r="F3523" s="55"/>
      <c r="G3523" s="55"/>
      <c r="H3523" s="55"/>
      <c r="I3523" s="55"/>
      <c r="J3523" s="55"/>
      <c r="K3523" s="56"/>
      <c r="L3523" s="55"/>
      <c r="M3523" s="55"/>
      <c r="N3523" s="55"/>
      <c r="O3523" s="55"/>
      <c r="P3523" s="55"/>
      <c r="Q3523" s="55"/>
      <c r="R3523" s="57"/>
      <c r="S3523" s="58"/>
    </row>
    <row r="3524" spans="2:19" x14ac:dyDescent="0.25">
      <c r="B3524" s="52"/>
      <c r="C3524" s="53"/>
      <c r="D3524" s="54"/>
      <c r="E3524" s="55"/>
      <c r="F3524" s="55"/>
      <c r="G3524" s="55"/>
      <c r="H3524" s="55"/>
      <c r="I3524" s="55"/>
      <c r="J3524" s="55"/>
      <c r="K3524" s="56"/>
      <c r="L3524" s="55"/>
      <c r="M3524" s="55"/>
      <c r="N3524" s="55"/>
      <c r="O3524" s="55"/>
      <c r="P3524" s="55"/>
      <c r="Q3524" s="55"/>
      <c r="R3524" s="57"/>
      <c r="S3524" s="58"/>
    </row>
    <row r="3525" spans="2:19" x14ac:dyDescent="0.25">
      <c r="B3525" s="52"/>
      <c r="C3525" s="53"/>
      <c r="D3525" s="54"/>
      <c r="E3525" s="55"/>
      <c r="F3525" s="55"/>
      <c r="G3525" s="55"/>
      <c r="H3525" s="55"/>
      <c r="I3525" s="55"/>
      <c r="J3525" s="55"/>
      <c r="K3525" s="56"/>
      <c r="L3525" s="55"/>
      <c r="M3525" s="55"/>
      <c r="N3525" s="55"/>
      <c r="O3525" s="55"/>
      <c r="P3525" s="55"/>
      <c r="Q3525" s="55"/>
      <c r="R3525" s="57"/>
      <c r="S3525" s="58"/>
    </row>
    <row r="3526" spans="2:19" x14ac:dyDescent="0.25">
      <c r="B3526" s="52"/>
      <c r="C3526" s="53"/>
      <c r="D3526" s="54"/>
      <c r="E3526" s="55"/>
      <c r="F3526" s="55"/>
      <c r="G3526" s="55"/>
      <c r="H3526" s="55"/>
      <c r="I3526" s="55"/>
      <c r="J3526" s="55"/>
      <c r="K3526" s="56"/>
      <c r="L3526" s="55"/>
      <c r="M3526" s="55"/>
      <c r="N3526" s="55"/>
      <c r="O3526" s="55"/>
      <c r="P3526" s="55"/>
      <c r="Q3526" s="55"/>
      <c r="R3526" s="57"/>
      <c r="S3526" s="58"/>
    </row>
    <row r="3527" spans="2:19" x14ac:dyDescent="0.25">
      <c r="B3527" s="52"/>
      <c r="C3527" s="53"/>
      <c r="D3527" s="54"/>
      <c r="E3527" s="55"/>
      <c r="F3527" s="55"/>
      <c r="G3527" s="55"/>
      <c r="H3527" s="55"/>
      <c r="I3527" s="55"/>
      <c r="J3527" s="55"/>
      <c r="K3527" s="56"/>
      <c r="L3527" s="55"/>
      <c r="M3527" s="55"/>
      <c r="N3527" s="55"/>
      <c r="O3527" s="55"/>
      <c r="P3527" s="55"/>
      <c r="Q3527" s="55"/>
      <c r="R3527" s="57"/>
      <c r="S3527" s="58"/>
    </row>
    <row r="3528" spans="2:19" x14ac:dyDescent="0.25">
      <c r="B3528" s="52"/>
      <c r="C3528" s="53"/>
      <c r="D3528" s="54"/>
      <c r="E3528" s="55"/>
      <c r="F3528" s="55"/>
      <c r="G3528" s="55"/>
      <c r="H3528" s="55"/>
      <c r="I3528" s="55"/>
      <c r="J3528" s="55"/>
      <c r="K3528" s="56"/>
      <c r="L3528" s="55"/>
      <c r="M3528" s="55"/>
      <c r="N3528" s="55"/>
      <c r="O3528" s="55"/>
      <c r="P3528" s="55"/>
      <c r="Q3528" s="55"/>
      <c r="R3528" s="57"/>
      <c r="S3528" s="58"/>
    </row>
    <row r="3529" spans="2:19" ht="15.75" x14ac:dyDescent="0.25">
      <c r="B3529" s="52"/>
      <c r="C3529" s="53"/>
      <c r="D3529" s="54"/>
      <c r="E3529" s="55"/>
      <c r="F3529" s="55"/>
      <c r="G3529" s="55"/>
      <c r="H3529" s="55"/>
      <c r="I3529" s="55"/>
      <c r="J3529" s="55"/>
      <c r="K3529" s="59"/>
      <c r="L3529" s="55"/>
      <c r="M3529" s="55"/>
      <c r="N3529" s="55"/>
      <c r="O3529" s="55"/>
      <c r="P3529" s="55"/>
      <c r="Q3529" s="55"/>
      <c r="R3529" s="57"/>
      <c r="S3529" s="58"/>
    </row>
    <row r="3530" spans="2:19" x14ac:dyDescent="0.25">
      <c r="B3530" s="52"/>
      <c r="C3530" s="53"/>
      <c r="D3530" s="54"/>
      <c r="E3530" s="55"/>
      <c r="F3530" s="55"/>
      <c r="G3530" s="55"/>
      <c r="H3530" s="55"/>
      <c r="I3530" s="55"/>
      <c r="J3530" s="55"/>
      <c r="K3530" s="56"/>
      <c r="L3530" s="55"/>
      <c r="M3530" s="55"/>
      <c r="N3530" s="55"/>
      <c r="O3530" s="55"/>
      <c r="P3530" s="55"/>
      <c r="Q3530" s="55"/>
      <c r="R3530" s="57"/>
      <c r="S3530" s="58"/>
    </row>
    <row r="3531" spans="2:19" x14ac:dyDescent="0.25">
      <c r="B3531" s="52"/>
      <c r="C3531" s="53"/>
      <c r="D3531" s="54"/>
      <c r="E3531" s="55"/>
      <c r="F3531" s="55"/>
      <c r="G3531" s="55"/>
      <c r="H3531" s="55"/>
      <c r="I3531" s="55"/>
      <c r="J3531" s="55"/>
      <c r="K3531" s="56"/>
      <c r="L3531" s="55"/>
      <c r="M3531" s="55"/>
      <c r="N3531" s="55"/>
      <c r="O3531" s="55"/>
      <c r="P3531" s="55"/>
      <c r="Q3531" s="55"/>
      <c r="R3531" s="57"/>
      <c r="S3531" s="58"/>
    </row>
    <row r="3532" spans="2:19" x14ac:dyDescent="0.25">
      <c r="B3532" s="52"/>
      <c r="C3532" s="53"/>
      <c r="D3532" s="54"/>
      <c r="E3532" s="55"/>
      <c r="F3532" s="55"/>
      <c r="G3532" s="55"/>
      <c r="H3532" s="55"/>
      <c r="I3532" s="55"/>
      <c r="J3532" s="55"/>
      <c r="K3532" s="56"/>
      <c r="L3532" s="55"/>
      <c r="M3532" s="55"/>
      <c r="N3532" s="55"/>
      <c r="O3532" s="55"/>
      <c r="P3532" s="55"/>
      <c r="Q3532" s="55"/>
      <c r="R3532" s="57"/>
      <c r="S3532" s="58"/>
    </row>
    <row r="3533" spans="2:19" x14ac:dyDescent="0.25">
      <c r="B3533" s="52"/>
      <c r="C3533" s="53"/>
      <c r="D3533" s="54"/>
      <c r="E3533" s="55"/>
      <c r="F3533" s="55"/>
      <c r="G3533" s="55"/>
      <c r="H3533" s="55"/>
      <c r="I3533" s="55"/>
      <c r="J3533" s="55"/>
      <c r="K3533" s="56"/>
      <c r="L3533" s="55"/>
      <c r="M3533" s="55"/>
      <c r="N3533" s="55"/>
      <c r="O3533" s="55"/>
      <c r="P3533" s="55"/>
      <c r="Q3533" s="55"/>
      <c r="R3533" s="57"/>
      <c r="S3533" s="58"/>
    </row>
    <row r="3534" spans="2:19" x14ac:dyDescent="0.25">
      <c r="B3534" s="52"/>
      <c r="C3534" s="53"/>
      <c r="D3534" s="54"/>
      <c r="E3534" s="55"/>
      <c r="F3534" s="55"/>
      <c r="G3534" s="55"/>
      <c r="H3534" s="55"/>
      <c r="I3534" s="55"/>
      <c r="J3534" s="55"/>
      <c r="K3534" s="56"/>
      <c r="L3534" s="55"/>
      <c r="M3534" s="55"/>
      <c r="N3534" s="55"/>
      <c r="O3534" s="55"/>
      <c r="P3534" s="55"/>
      <c r="Q3534" s="55"/>
      <c r="R3534" s="57"/>
      <c r="S3534" s="58"/>
    </row>
    <row r="3535" spans="2:19" x14ac:dyDescent="0.25">
      <c r="B3535" s="52"/>
      <c r="C3535" s="53"/>
      <c r="D3535" s="54"/>
      <c r="E3535" s="55"/>
      <c r="F3535" s="55"/>
      <c r="G3535" s="55"/>
      <c r="H3535" s="55"/>
      <c r="I3535" s="55"/>
      <c r="J3535" s="55"/>
      <c r="K3535" s="56"/>
      <c r="L3535" s="55"/>
      <c r="M3535" s="55"/>
      <c r="N3535" s="55"/>
      <c r="O3535" s="55"/>
      <c r="P3535" s="55"/>
      <c r="Q3535" s="55"/>
      <c r="R3535" s="57"/>
      <c r="S3535" s="58"/>
    </row>
    <row r="3536" spans="2:19" x14ac:dyDescent="0.25">
      <c r="B3536" s="52"/>
      <c r="C3536" s="53"/>
      <c r="D3536" s="54"/>
      <c r="E3536" s="55"/>
      <c r="F3536" s="55"/>
      <c r="G3536" s="55"/>
      <c r="H3536" s="55"/>
      <c r="I3536" s="55"/>
      <c r="J3536" s="55"/>
      <c r="K3536" s="56"/>
      <c r="L3536" s="55"/>
      <c r="M3536" s="55"/>
      <c r="N3536" s="55"/>
      <c r="O3536" s="55"/>
      <c r="P3536" s="55"/>
      <c r="Q3536" s="55"/>
      <c r="R3536" s="57"/>
      <c r="S3536" s="58"/>
    </row>
    <row r="3537" spans="2:19" x14ac:dyDescent="0.25">
      <c r="B3537" s="52"/>
      <c r="C3537" s="60"/>
      <c r="E3537" s="61"/>
      <c r="F3537" s="62"/>
      <c r="G3537" s="63"/>
      <c r="H3537" s="64"/>
      <c r="I3537" s="64"/>
      <c r="J3537" s="64"/>
      <c r="K3537" s="65"/>
      <c r="L3537" s="64"/>
      <c r="M3537" s="64"/>
      <c r="N3537" s="64"/>
      <c r="P3537" s="63"/>
      <c r="Q3537" s="61"/>
      <c r="R3537" s="64"/>
      <c r="S3537" s="64"/>
    </row>
    <row r="3538" spans="2:19" x14ac:dyDescent="0.25">
      <c r="B3538" s="52"/>
      <c r="C3538" s="53"/>
      <c r="D3538" s="54"/>
      <c r="E3538" s="55"/>
      <c r="F3538" s="55"/>
      <c r="G3538" s="55"/>
      <c r="H3538" s="55"/>
      <c r="I3538" s="55"/>
      <c r="J3538" s="55"/>
      <c r="K3538" s="56"/>
      <c r="L3538" s="55"/>
      <c r="M3538" s="55"/>
      <c r="N3538" s="55"/>
      <c r="O3538" s="55"/>
      <c r="P3538" s="55"/>
      <c r="Q3538" s="55"/>
      <c r="R3538" s="57"/>
      <c r="S3538" s="58"/>
    </row>
    <row r="3539" spans="2:19" x14ac:dyDescent="0.25">
      <c r="B3539" s="52"/>
      <c r="C3539" s="53"/>
      <c r="D3539" s="54"/>
      <c r="E3539" s="55"/>
      <c r="F3539" s="55"/>
      <c r="G3539" s="55"/>
      <c r="H3539" s="55"/>
      <c r="I3539" s="55"/>
      <c r="J3539" s="55"/>
      <c r="K3539" s="56"/>
      <c r="L3539" s="55"/>
      <c r="M3539" s="55"/>
      <c r="N3539" s="55"/>
      <c r="O3539" s="55"/>
      <c r="P3539" s="55"/>
      <c r="Q3539" s="55"/>
      <c r="R3539" s="57"/>
      <c r="S3539" s="58"/>
    </row>
    <row r="3540" spans="2:19" x14ac:dyDescent="0.25">
      <c r="B3540" s="52"/>
      <c r="C3540" s="53"/>
      <c r="D3540" s="54"/>
      <c r="E3540" s="55"/>
      <c r="F3540" s="55"/>
      <c r="G3540" s="55"/>
      <c r="H3540" s="55"/>
      <c r="I3540" s="55"/>
      <c r="J3540" s="55"/>
      <c r="K3540" s="56"/>
      <c r="L3540" s="55"/>
      <c r="M3540" s="55"/>
      <c r="N3540" s="55"/>
      <c r="O3540" s="55"/>
      <c r="P3540" s="55"/>
      <c r="Q3540" s="55"/>
      <c r="R3540" s="57"/>
      <c r="S3540" s="58"/>
    </row>
    <row r="3541" spans="2:19" x14ac:dyDescent="0.25">
      <c r="B3541" s="52"/>
      <c r="C3541" s="53"/>
      <c r="D3541" s="54"/>
      <c r="E3541" s="55"/>
      <c r="F3541" s="55"/>
      <c r="G3541" s="55"/>
      <c r="H3541" s="55"/>
      <c r="I3541" s="55"/>
      <c r="J3541" s="55"/>
      <c r="K3541" s="56"/>
      <c r="L3541" s="55"/>
      <c r="M3541" s="55"/>
      <c r="N3541" s="55"/>
      <c r="O3541" s="55"/>
      <c r="P3541" s="55"/>
      <c r="Q3541" s="55"/>
      <c r="R3541" s="57"/>
      <c r="S3541" s="58"/>
    </row>
    <row r="3542" spans="2:19" x14ac:dyDescent="0.25">
      <c r="B3542" s="52"/>
      <c r="C3542" s="53"/>
      <c r="D3542" s="54"/>
      <c r="E3542" s="55"/>
      <c r="F3542" s="55"/>
      <c r="G3542" s="55"/>
      <c r="H3542" s="55"/>
      <c r="I3542" s="55"/>
      <c r="J3542" s="55"/>
      <c r="K3542" s="56"/>
      <c r="L3542" s="55"/>
      <c r="M3542" s="55"/>
      <c r="N3542" s="55"/>
      <c r="O3542" s="55"/>
      <c r="P3542" s="55"/>
      <c r="Q3542" s="55"/>
      <c r="R3542" s="57"/>
      <c r="S3542" s="58"/>
    </row>
    <row r="3543" spans="2:19" x14ac:dyDescent="0.25">
      <c r="B3543" s="52"/>
      <c r="C3543" s="53"/>
      <c r="D3543" s="54"/>
      <c r="E3543" s="55"/>
      <c r="F3543" s="55"/>
      <c r="G3543" s="55"/>
      <c r="H3543" s="55"/>
      <c r="I3543" s="55"/>
      <c r="J3543" s="55"/>
      <c r="K3543" s="56"/>
      <c r="L3543" s="55"/>
      <c r="M3543" s="55"/>
      <c r="N3543" s="55"/>
      <c r="O3543" s="55"/>
      <c r="P3543" s="55"/>
      <c r="Q3543" s="55"/>
      <c r="R3543" s="57"/>
      <c r="S3543" s="58"/>
    </row>
    <row r="3544" spans="2:19" x14ac:dyDescent="0.25">
      <c r="B3544" s="52"/>
      <c r="C3544" s="53"/>
      <c r="D3544" s="54"/>
      <c r="E3544" s="55"/>
      <c r="F3544" s="55"/>
      <c r="G3544" s="55"/>
      <c r="H3544" s="55"/>
      <c r="I3544" s="55"/>
      <c r="J3544" s="55"/>
      <c r="K3544" s="56"/>
      <c r="L3544" s="55"/>
      <c r="M3544" s="55"/>
      <c r="N3544" s="55"/>
      <c r="O3544" s="55"/>
      <c r="P3544" s="55"/>
      <c r="Q3544" s="55"/>
      <c r="R3544" s="57"/>
      <c r="S3544" s="58"/>
    </row>
    <row r="3545" spans="2:19" x14ac:dyDescent="0.25">
      <c r="B3545" s="52"/>
      <c r="C3545" s="53"/>
      <c r="D3545" s="54"/>
      <c r="E3545" s="55"/>
      <c r="F3545" s="55"/>
      <c r="G3545" s="55"/>
      <c r="H3545" s="55"/>
      <c r="I3545" s="55"/>
      <c r="J3545" s="55"/>
      <c r="K3545" s="56"/>
      <c r="L3545" s="55"/>
      <c r="M3545" s="55"/>
      <c r="N3545" s="55"/>
      <c r="O3545" s="55"/>
      <c r="P3545" s="55"/>
      <c r="Q3545" s="55"/>
      <c r="R3545" s="57"/>
      <c r="S3545" s="58"/>
    </row>
    <row r="3546" spans="2:19" ht="15.75" x14ac:dyDescent="0.25">
      <c r="B3546" s="52"/>
      <c r="C3546" s="53"/>
      <c r="D3546" s="54"/>
      <c r="E3546" s="55"/>
      <c r="F3546" s="55"/>
      <c r="G3546" s="55"/>
      <c r="H3546" s="55"/>
      <c r="I3546" s="55"/>
      <c r="J3546" s="55"/>
      <c r="K3546" s="59"/>
      <c r="L3546" s="55"/>
      <c r="M3546" s="55"/>
      <c r="N3546" s="55"/>
      <c r="O3546" s="55"/>
      <c r="P3546" s="55"/>
      <c r="Q3546" s="55"/>
      <c r="R3546" s="57"/>
      <c r="S3546" s="58"/>
    </row>
    <row r="3547" spans="2:19" x14ac:dyDescent="0.25">
      <c r="B3547" s="52"/>
      <c r="C3547" s="53"/>
      <c r="D3547" s="54"/>
      <c r="E3547" s="55"/>
      <c r="F3547" s="55"/>
      <c r="G3547" s="55"/>
      <c r="H3547" s="55"/>
      <c r="I3547" s="55"/>
      <c r="J3547" s="55"/>
      <c r="K3547" s="56"/>
      <c r="L3547" s="55"/>
      <c r="M3547" s="55"/>
      <c r="N3547" s="55"/>
      <c r="O3547" s="55"/>
      <c r="P3547" s="55"/>
      <c r="Q3547" s="55"/>
      <c r="R3547" s="57"/>
      <c r="S3547" s="58"/>
    </row>
    <row r="3548" spans="2:19" x14ac:dyDescent="0.25">
      <c r="B3548" s="52"/>
      <c r="C3548" s="53"/>
      <c r="D3548" s="54"/>
      <c r="E3548" s="55"/>
      <c r="F3548" s="55"/>
      <c r="G3548" s="55"/>
      <c r="H3548" s="55"/>
      <c r="I3548" s="55"/>
      <c r="J3548" s="55"/>
      <c r="K3548" s="56"/>
      <c r="L3548" s="55"/>
      <c r="M3548" s="55"/>
      <c r="N3548" s="55"/>
      <c r="O3548" s="55"/>
      <c r="P3548" s="55"/>
      <c r="Q3548" s="55"/>
      <c r="R3548" s="57"/>
      <c r="S3548" s="58"/>
    </row>
    <row r="3549" spans="2:19" x14ac:dyDescent="0.25">
      <c r="B3549" s="52"/>
      <c r="C3549" s="53"/>
      <c r="D3549" s="54"/>
      <c r="E3549" s="55"/>
      <c r="F3549" s="55"/>
      <c r="G3549" s="55"/>
      <c r="H3549" s="55"/>
      <c r="I3549" s="55"/>
      <c r="J3549" s="55"/>
      <c r="K3549" s="56"/>
      <c r="L3549" s="55"/>
      <c r="M3549" s="55"/>
      <c r="N3549" s="55"/>
      <c r="O3549" s="55"/>
      <c r="P3549" s="55"/>
      <c r="Q3549" s="55"/>
      <c r="R3549" s="57"/>
      <c r="S3549" s="58"/>
    </row>
    <row r="3550" spans="2:19" x14ac:dyDescent="0.25">
      <c r="B3550" s="52"/>
      <c r="C3550" s="53"/>
      <c r="D3550" s="54"/>
      <c r="E3550" s="55"/>
      <c r="F3550" s="55"/>
      <c r="G3550" s="55"/>
      <c r="H3550" s="55"/>
      <c r="I3550" s="55"/>
      <c r="J3550" s="55"/>
      <c r="K3550" s="56"/>
      <c r="L3550" s="55"/>
      <c r="M3550" s="55"/>
      <c r="N3550" s="55"/>
      <c r="O3550" s="55"/>
      <c r="P3550" s="55"/>
      <c r="Q3550" s="55"/>
      <c r="R3550" s="57"/>
      <c r="S3550" s="58"/>
    </row>
    <row r="3551" spans="2:19" x14ac:dyDescent="0.25">
      <c r="B3551" s="52"/>
      <c r="C3551" s="53"/>
      <c r="D3551" s="54"/>
      <c r="E3551" s="55"/>
      <c r="F3551" s="55"/>
      <c r="G3551" s="55"/>
      <c r="H3551" s="55"/>
      <c r="I3551" s="55"/>
      <c r="J3551" s="55"/>
      <c r="K3551" s="56"/>
      <c r="L3551" s="55"/>
      <c r="M3551" s="55"/>
      <c r="N3551" s="55"/>
      <c r="O3551" s="55"/>
      <c r="P3551" s="55"/>
      <c r="Q3551" s="55"/>
      <c r="R3551" s="57"/>
      <c r="S3551" s="58"/>
    </row>
    <row r="3552" spans="2:19" x14ac:dyDescent="0.25">
      <c r="B3552" s="52"/>
      <c r="C3552" s="53"/>
      <c r="D3552" s="54"/>
      <c r="E3552" s="55"/>
      <c r="F3552" s="55"/>
      <c r="G3552" s="55"/>
      <c r="H3552" s="55"/>
      <c r="I3552" s="55"/>
      <c r="J3552" s="55"/>
      <c r="K3552" s="56"/>
      <c r="L3552" s="55"/>
      <c r="M3552" s="55"/>
      <c r="N3552" s="55"/>
      <c r="O3552" s="55"/>
      <c r="P3552" s="55"/>
      <c r="Q3552" s="55"/>
      <c r="R3552" s="57"/>
      <c r="S3552" s="58"/>
    </row>
    <row r="3553" spans="2:19" x14ac:dyDescent="0.25">
      <c r="B3553" s="52"/>
      <c r="C3553" s="53"/>
      <c r="D3553" s="54"/>
      <c r="E3553" s="55"/>
      <c r="F3553" s="55"/>
      <c r="G3553" s="55"/>
      <c r="H3553" s="55"/>
      <c r="I3553" s="55"/>
      <c r="J3553" s="55"/>
      <c r="K3553" s="56"/>
      <c r="L3553" s="55"/>
      <c r="M3553" s="55"/>
      <c r="N3553" s="55"/>
      <c r="O3553" s="55"/>
      <c r="P3553" s="55"/>
      <c r="Q3553" s="55"/>
      <c r="R3553" s="57"/>
      <c r="S3553" s="58"/>
    </row>
    <row r="3554" spans="2:19" x14ac:dyDescent="0.25">
      <c r="B3554" s="52"/>
      <c r="C3554" s="60"/>
      <c r="E3554" s="61"/>
      <c r="F3554" s="62"/>
      <c r="G3554" s="63"/>
      <c r="H3554" s="64"/>
      <c r="I3554" s="64"/>
      <c r="J3554" s="64"/>
      <c r="K3554" s="65"/>
      <c r="L3554" s="64"/>
      <c r="M3554" s="64"/>
      <c r="N3554" s="64"/>
      <c r="P3554" s="63"/>
      <c r="Q3554" s="61"/>
      <c r="R3554" s="64"/>
      <c r="S3554" s="64"/>
    </row>
    <row r="3555" spans="2:19" x14ac:dyDescent="0.25">
      <c r="B3555" s="52"/>
      <c r="C3555" s="53"/>
      <c r="D3555" s="54"/>
      <c r="E3555" s="55"/>
      <c r="F3555" s="55"/>
      <c r="G3555" s="55"/>
      <c r="H3555" s="55"/>
      <c r="I3555" s="55"/>
      <c r="J3555" s="55"/>
      <c r="K3555" s="56"/>
      <c r="L3555" s="55"/>
      <c r="M3555" s="55"/>
      <c r="N3555" s="55"/>
      <c r="O3555" s="55"/>
      <c r="P3555" s="55"/>
      <c r="Q3555" s="55"/>
      <c r="R3555" s="57"/>
      <c r="S3555" s="58"/>
    </row>
    <row r="3556" spans="2:19" x14ac:dyDescent="0.25">
      <c r="B3556" s="52"/>
      <c r="C3556" s="53"/>
      <c r="D3556" s="54"/>
      <c r="E3556" s="55"/>
      <c r="F3556" s="55"/>
      <c r="G3556" s="55"/>
      <c r="H3556" s="55"/>
      <c r="I3556" s="55"/>
      <c r="J3556" s="55"/>
      <c r="K3556" s="56"/>
      <c r="L3556" s="55"/>
      <c r="M3556" s="55"/>
      <c r="N3556" s="55"/>
      <c r="O3556" s="55"/>
      <c r="P3556" s="55"/>
      <c r="Q3556" s="55"/>
      <c r="R3556" s="57"/>
      <c r="S3556" s="58"/>
    </row>
    <row r="3557" spans="2:19" x14ac:dyDescent="0.25">
      <c r="B3557" s="52"/>
      <c r="C3557" s="53"/>
      <c r="D3557" s="54"/>
      <c r="E3557" s="55"/>
      <c r="F3557" s="55"/>
      <c r="G3557" s="55"/>
      <c r="H3557" s="55"/>
      <c r="I3557" s="55"/>
      <c r="J3557" s="55"/>
      <c r="K3557" s="56"/>
      <c r="L3557" s="55"/>
      <c r="M3557" s="55"/>
      <c r="N3557" s="55"/>
      <c r="O3557" s="55"/>
      <c r="P3557" s="55"/>
      <c r="Q3557" s="55"/>
      <c r="R3557" s="57"/>
      <c r="S3557" s="58"/>
    </row>
    <row r="3558" spans="2:19" x14ac:dyDescent="0.25">
      <c r="B3558" s="52"/>
      <c r="C3558" s="53"/>
      <c r="D3558" s="54"/>
      <c r="E3558" s="55"/>
      <c r="F3558" s="55"/>
      <c r="G3558" s="55"/>
      <c r="H3558" s="55"/>
      <c r="I3558" s="55"/>
      <c r="J3558" s="55"/>
      <c r="K3558" s="56"/>
      <c r="L3558" s="55"/>
      <c r="M3558" s="55"/>
      <c r="N3558" s="55"/>
      <c r="O3558" s="55"/>
      <c r="P3558" s="55"/>
      <c r="Q3558" s="55"/>
      <c r="R3558" s="57"/>
      <c r="S3558" s="58"/>
    </row>
    <row r="3559" spans="2:19" x14ac:dyDescent="0.25">
      <c r="B3559" s="52"/>
      <c r="C3559" s="53"/>
      <c r="D3559" s="54"/>
      <c r="E3559" s="55"/>
      <c r="F3559" s="55"/>
      <c r="G3559" s="55"/>
      <c r="H3559" s="55"/>
      <c r="I3559" s="55"/>
      <c r="J3559" s="55"/>
      <c r="K3559" s="56"/>
      <c r="L3559" s="55"/>
      <c r="M3559" s="55"/>
      <c r="N3559" s="55"/>
      <c r="O3559" s="55"/>
      <c r="P3559" s="55"/>
      <c r="Q3559" s="55"/>
      <c r="R3559" s="57"/>
      <c r="S3559" s="58"/>
    </row>
    <row r="3560" spans="2:19" x14ac:dyDescent="0.25">
      <c r="B3560" s="52"/>
      <c r="C3560" s="53"/>
      <c r="D3560" s="54"/>
      <c r="E3560" s="55"/>
      <c r="F3560" s="55"/>
      <c r="G3560" s="55"/>
      <c r="H3560" s="55"/>
      <c r="I3560" s="55"/>
      <c r="J3560" s="55"/>
      <c r="K3560" s="56"/>
      <c r="L3560" s="55"/>
      <c r="M3560" s="55"/>
      <c r="N3560" s="55"/>
      <c r="O3560" s="55"/>
      <c r="P3560" s="55"/>
      <c r="Q3560" s="55"/>
      <c r="R3560" s="57"/>
      <c r="S3560" s="58"/>
    </row>
    <row r="3561" spans="2:19" x14ac:dyDescent="0.25">
      <c r="B3561" s="52"/>
      <c r="C3561" s="53"/>
      <c r="D3561" s="54"/>
      <c r="E3561" s="55"/>
      <c r="F3561" s="55"/>
      <c r="G3561" s="55"/>
      <c r="H3561" s="55"/>
      <c r="I3561" s="55"/>
      <c r="J3561" s="55"/>
      <c r="K3561" s="56"/>
      <c r="L3561" s="55"/>
      <c r="M3561" s="55"/>
      <c r="N3561" s="55"/>
      <c r="O3561" s="55"/>
      <c r="P3561" s="55"/>
      <c r="Q3561" s="55"/>
      <c r="R3561" s="57"/>
      <c r="S3561" s="58"/>
    </row>
    <row r="3562" spans="2:19" x14ac:dyDescent="0.25">
      <c r="B3562" s="52"/>
      <c r="C3562" s="53"/>
      <c r="D3562" s="54"/>
      <c r="E3562" s="55"/>
      <c r="F3562" s="55"/>
      <c r="G3562" s="55"/>
      <c r="H3562" s="55"/>
      <c r="I3562" s="55"/>
      <c r="J3562" s="55"/>
      <c r="K3562" s="56"/>
      <c r="L3562" s="55"/>
      <c r="M3562" s="55"/>
      <c r="N3562" s="55"/>
      <c r="O3562" s="55"/>
      <c r="P3562" s="55"/>
      <c r="Q3562" s="55"/>
      <c r="R3562" s="57"/>
      <c r="S3562" s="58"/>
    </row>
    <row r="3563" spans="2:19" ht="15.75" x14ac:dyDescent="0.25">
      <c r="B3563" s="52"/>
      <c r="C3563" s="53"/>
      <c r="D3563" s="54"/>
      <c r="E3563" s="55"/>
      <c r="F3563" s="55"/>
      <c r="G3563" s="55"/>
      <c r="H3563" s="55"/>
      <c r="I3563" s="55"/>
      <c r="J3563" s="55"/>
      <c r="K3563" s="59"/>
      <c r="L3563" s="55"/>
      <c r="M3563" s="55"/>
      <c r="N3563" s="55"/>
      <c r="O3563" s="55"/>
      <c r="P3563" s="55"/>
      <c r="Q3563" s="55"/>
      <c r="R3563" s="57"/>
      <c r="S3563" s="58"/>
    </row>
    <row r="3564" spans="2:19" x14ac:dyDescent="0.25">
      <c r="B3564" s="52"/>
      <c r="C3564" s="53"/>
      <c r="D3564" s="54"/>
      <c r="E3564" s="55"/>
      <c r="F3564" s="55"/>
      <c r="G3564" s="55"/>
      <c r="H3564" s="55"/>
      <c r="I3564" s="55"/>
      <c r="J3564" s="55"/>
      <c r="K3564" s="56"/>
      <c r="L3564" s="55"/>
      <c r="M3564" s="55"/>
      <c r="N3564" s="55"/>
      <c r="O3564" s="55"/>
      <c r="P3564" s="55"/>
      <c r="Q3564" s="55"/>
      <c r="R3564" s="57"/>
      <c r="S3564" s="58"/>
    </row>
    <row r="3565" spans="2:19" x14ac:dyDescent="0.25">
      <c r="B3565" s="52"/>
      <c r="C3565" s="53"/>
      <c r="D3565" s="54"/>
      <c r="E3565" s="55"/>
      <c r="F3565" s="55"/>
      <c r="G3565" s="55"/>
      <c r="H3565" s="55"/>
      <c r="I3565" s="55"/>
      <c r="J3565" s="55"/>
      <c r="K3565" s="56"/>
      <c r="L3565" s="55"/>
      <c r="M3565" s="55"/>
      <c r="N3565" s="55"/>
      <c r="O3565" s="55"/>
      <c r="P3565" s="55"/>
      <c r="Q3565" s="55"/>
      <c r="R3565" s="57"/>
      <c r="S3565" s="58"/>
    </row>
    <row r="3566" spans="2:19" x14ac:dyDescent="0.25">
      <c r="B3566" s="52"/>
      <c r="C3566" s="53"/>
      <c r="D3566" s="54"/>
      <c r="E3566" s="55"/>
      <c r="F3566" s="55"/>
      <c r="G3566" s="55"/>
      <c r="H3566" s="55"/>
      <c r="I3566" s="55"/>
      <c r="J3566" s="55"/>
      <c r="K3566" s="56"/>
      <c r="L3566" s="55"/>
      <c r="M3566" s="55"/>
      <c r="N3566" s="55"/>
      <c r="O3566" s="55"/>
      <c r="P3566" s="55"/>
      <c r="Q3566" s="55"/>
      <c r="R3566" s="57"/>
      <c r="S3566" s="58"/>
    </row>
    <row r="3567" spans="2:19" x14ac:dyDescent="0.25">
      <c r="B3567" s="52"/>
      <c r="C3567" s="53"/>
      <c r="D3567" s="54"/>
      <c r="E3567" s="55"/>
      <c r="F3567" s="55"/>
      <c r="G3567" s="55"/>
      <c r="H3567" s="55"/>
      <c r="I3567" s="55"/>
      <c r="J3567" s="55"/>
      <c r="K3567" s="56"/>
      <c r="L3567" s="55"/>
      <c r="M3567" s="55"/>
      <c r="N3567" s="55"/>
      <c r="O3567" s="55"/>
      <c r="P3567" s="55"/>
      <c r="Q3567" s="55"/>
      <c r="R3567" s="57"/>
      <c r="S3567" s="58"/>
    </row>
    <row r="3568" spans="2:19" x14ac:dyDescent="0.25">
      <c r="B3568" s="52"/>
      <c r="C3568" s="53"/>
      <c r="D3568" s="54"/>
      <c r="E3568" s="55"/>
      <c r="F3568" s="55"/>
      <c r="G3568" s="55"/>
      <c r="H3568" s="55"/>
      <c r="I3568" s="55"/>
      <c r="J3568" s="55"/>
      <c r="K3568" s="56"/>
      <c r="L3568" s="55"/>
      <c r="M3568" s="55"/>
      <c r="N3568" s="55"/>
      <c r="O3568" s="55"/>
      <c r="P3568" s="55"/>
      <c r="Q3568" s="55"/>
      <c r="R3568" s="57"/>
      <c r="S3568" s="58"/>
    </row>
    <row r="3569" spans="2:19" x14ac:dyDescent="0.25">
      <c r="B3569" s="52"/>
      <c r="C3569" s="53"/>
      <c r="D3569" s="54"/>
      <c r="E3569" s="55"/>
      <c r="F3569" s="55"/>
      <c r="G3569" s="55"/>
      <c r="H3569" s="55"/>
      <c r="I3569" s="55"/>
      <c r="J3569" s="55"/>
      <c r="K3569" s="56"/>
      <c r="L3569" s="55"/>
      <c r="M3569" s="55"/>
      <c r="N3569" s="55"/>
      <c r="O3569" s="55"/>
      <c r="P3569" s="55"/>
      <c r="Q3569" s="55"/>
      <c r="R3569" s="57"/>
      <c r="S3569" s="58"/>
    </row>
    <row r="3570" spans="2:19" x14ac:dyDescent="0.25">
      <c r="B3570" s="52"/>
      <c r="C3570" s="53"/>
      <c r="D3570" s="54"/>
      <c r="E3570" s="55"/>
      <c r="F3570" s="55"/>
      <c r="G3570" s="55"/>
      <c r="H3570" s="55"/>
      <c r="I3570" s="55"/>
      <c r="J3570" s="55"/>
      <c r="K3570" s="56"/>
      <c r="L3570" s="55"/>
      <c r="M3570" s="55"/>
      <c r="N3570" s="55"/>
      <c r="O3570" s="55"/>
      <c r="P3570" s="55"/>
      <c r="Q3570" s="55"/>
      <c r="R3570" s="57"/>
      <c r="S3570" s="58"/>
    </row>
    <row r="3571" spans="2:19" x14ac:dyDescent="0.25">
      <c r="B3571" s="52"/>
      <c r="C3571" s="60"/>
      <c r="E3571" s="61"/>
      <c r="F3571" s="62"/>
      <c r="G3571" s="63"/>
      <c r="H3571" s="64"/>
      <c r="I3571" s="64"/>
      <c r="J3571" s="64"/>
      <c r="K3571" s="65"/>
      <c r="L3571" s="64"/>
      <c r="M3571" s="64"/>
      <c r="N3571" s="64"/>
      <c r="P3571" s="63"/>
      <c r="Q3571" s="61"/>
      <c r="R3571" s="64"/>
      <c r="S3571" s="64"/>
    </row>
    <row r="3572" spans="2:19" x14ac:dyDescent="0.25">
      <c r="B3572" s="52"/>
      <c r="C3572" s="53"/>
      <c r="D3572" s="54"/>
      <c r="E3572" s="55"/>
      <c r="F3572" s="55"/>
      <c r="G3572" s="55"/>
      <c r="H3572" s="55"/>
      <c r="I3572" s="55"/>
      <c r="J3572" s="55"/>
      <c r="K3572" s="56"/>
      <c r="L3572" s="55"/>
      <c r="M3572" s="55"/>
      <c r="N3572" s="55"/>
      <c r="O3572" s="55"/>
      <c r="P3572" s="55"/>
      <c r="Q3572" s="55"/>
      <c r="R3572" s="57"/>
      <c r="S3572" s="58"/>
    </row>
    <row r="3573" spans="2:19" x14ac:dyDescent="0.25">
      <c r="B3573" s="52"/>
      <c r="C3573" s="53"/>
      <c r="D3573" s="54"/>
      <c r="E3573" s="55"/>
      <c r="F3573" s="55"/>
      <c r="G3573" s="55"/>
      <c r="H3573" s="55"/>
      <c r="I3573" s="55"/>
      <c r="J3573" s="55"/>
      <c r="K3573" s="56"/>
      <c r="L3573" s="55"/>
      <c r="M3573" s="55"/>
      <c r="N3573" s="55"/>
      <c r="O3573" s="55"/>
      <c r="P3573" s="55"/>
      <c r="Q3573" s="55"/>
      <c r="R3573" s="57"/>
      <c r="S3573" s="58"/>
    </row>
    <row r="3574" spans="2:19" x14ac:dyDescent="0.25">
      <c r="B3574" s="52"/>
      <c r="C3574" s="53"/>
      <c r="D3574" s="54"/>
      <c r="E3574" s="55"/>
      <c r="F3574" s="55"/>
      <c r="G3574" s="55"/>
      <c r="H3574" s="55"/>
      <c r="I3574" s="55"/>
      <c r="J3574" s="55"/>
      <c r="K3574" s="56"/>
      <c r="L3574" s="55"/>
      <c r="M3574" s="55"/>
      <c r="N3574" s="55"/>
      <c r="O3574" s="55"/>
      <c r="P3574" s="55"/>
      <c r="Q3574" s="55"/>
      <c r="R3574" s="57"/>
      <c r="S3574" s="58"/>
    </row>
    <row r="3575" spans="2:19" x14ac:dyDescent="0.25">
      <c r="B3575" s="52"/>
      <c r="C3575" s="53"/>
      <c r="D3575" s="54"/>
      <c r="E3575" s="55"/>
      <c r="F3575" s="55"/>
      <c r="G3575" s="55"/>
      <c r="H3575" s="55"/>
      <c r="I3575" s="55"/>
      <c r="J3575" s="55"/>
      <c r="K3575" s="56"/>
      <c r="L3575" s="55"/>
      <c r="M3575" s="55"/>
      <c r="N3575" s="55"/>
      <c r="O3575" s="55"/>
      <c r="P3575" s="55"/>
      <c r="Q3575" s="55"/>
      <c r="R3575" s="57"/>
      <c r="S3575" s="58"/>
    </row>
    <row r="3576" spans="2:19" x14ac:dyDescent="0.25">
      <c r="B3576" s="52"/>
      <c r="C3576" s="53"/>
      <c r="D3576" s="54"/>
      <c r="E3576" s="55"/>
      <c r="F3576" s="55"/>
      <c r="G3576" s="55"/>
      <c r="H3576" s="55"/>
      <c r="I3576" s="55"/>
      <c r="J3576" s="55"/>
      <c r="K3576" s="56"/>
      <c r="L3576" s="55"/>
      <c r="M3576" s="55"/>
      <c r="N3576" s="55"/>
      <c r="O3576" s="55"/>
      <c r="P3576" s="55"/>
      <c r="Q3576" s="55"/>
      <c r="R3576" s="57"/>
      <c r="S3576" s="58"/>
    </row>
    <row r="3577" spans="2:19" x14ac:dyDescent="0.25">
      <c r="B3577" s="52"/>
      <c r="C3577" s="53"/>
      <c r="D3577" s="54"/>
      <c r="E3577" s="55"/>
      <c r="F3577" s="55"/>
      <c r="G3577" s="55"/>
      <c r="H3577" s="55"/>
      <c r="I3577" s="55"/>
      <c r="J3577" s="55"/>
      <c r="K3577" s="56"/>
      <c r="L3577" s="55"/>
      <c r="M3577" s="55"/>
      <c r="N3577" s="55"/>
      <c r="O3577" s="55"/>
      <c r="P3577" s="55"/>
      <c r="Q3577" s="55"/>
      <c r="R3577" s="57"/>
      <c r="S3577" s="58"/>
    </row>
    <row r="3578" spans="2:19" x14ac:dyDescent="0.25">
      <c r="B3578" s="52"/>
      <c r="C3578" s="53"/>
      <c r="D3578" s="54"/>
      <c r="E3578" s="55"/>
      <c r="F3578" s="55"/>
      <c r="G3578" s="55"/>
      <c r="H3578" s="55"/>
      <c r="I3578" s="55"/>
      <c r="J3578" s="55"/>
      <c r="K3578" s="56"/>
      <c r="L3578" s="55"/>
      <c r="M3578" s="55"/>
      <c r="N3578" s="55"/>
      <c r="O3578" s="55"/>
      <c r="P3578" s="55"/>
      <c r="Q3578" s="55"/>
      <c r="R3578" s="57"/>
      <c r="S3578" s="58"/>
    </row>
    <row r="3579" spans="2:19" x14ac:dyDescent="0.25">
      <c r="B3579" s="52"/>
      <c r="C3579" s="53"/>
      <c r="D3579" s="54"/>
      <c r="E3579" s="55"/>
      <c r="F3579" s="55"/>
      <c r="G3579" s="55"/>
      <c r="H3579" s="55"/>
      <c r="I3579" s="55"/>
      <c r="J3579" s="55"/>
      <c r="K3579" s="56"/>
      <c r="L3579" s="55"/>
      <c r="M3579" s="55"/>
      <c r="N3579" s="55"/>
      <c r="O3579" s="55"/>
      <c r="P3579" s="55"/>
      <c r="Q3579" s="55"/>
      <c r="R3579" s="57"/>
      <c r="S3579" s="58"/>
    </row>
    <row r="3580" spans="2:19" ht="15.75" x14ac:dyDescent="0.25">
      <c r="B3580" s="52"/>
      <c r="C3580" s="53"/>
      <c r="D3580" s="54"/>
      <c r="E3580" s="55"/>
      <c r="F3580" s="55"/>
      <c r="G3580" s="55"/>
      <c r="H3580" s="55"/>
      <c r="I3580" s="55"/>
      <c r="J3580" s="55"/>
      <c r="K3580" s="59"/>
      <c r="L3580" s="55"/>
      <c r="M3580" s="55"/>
      <c r="N3580" s="55"/>
      <c r="O3580" s="55"/>
      <c r="P3580" s="55"/>
      <c r="Q3580" s="55"/>
      <c r="R3580" s="57"/>
      <c r="S3580" s="58"/>
    </row>
    <row r="3581" spans="2:19" x14ac:dyDescent="0.25">
      <c r="B3581" s="52"/>
      <c r="C3581" s="53"/>
      <c r="D3581" s="54"/>
      <c r="E3581" s="55"/>
      <c r="F3581" s="55"/>
      <c r="G3581" s="55"/>
      <c r="H3581" s="55"/>
      <c r="I3581" s="55"/>
      <c r="J3581" s="55"/>
      <c r="K3581" s="56"/>
      <c r="L3581" s="55"/>
      <c r="M3581" s="55"/>
      <c r="N3581" s="55"/>
      <c r="O3581" s="55"/>
      <c r="P3581" s="55"/>
      <c r="Q3581" s="55"/>
      <c r="R3581" s="57"/>
      <c r="S3581" s="58"/>
    </row>
    <row r="3582" spans="2:19" x14ac:dyDescent="0.25">
      <c r="B3582" s="52"/>
      <c r="C3582" s="53"/>
      <c r="D3582" s="54"/>
      <c r="E3582" s="55"/>
      <c r="F3582" s="55"/>
      <c r="G3582" s="55"/>
      <c r="H3582" s="55"/>
      <c r="I3582" s="55"/>
      <c r="J3582" s="55"/>
      <c r="K3582" s="56"/>
      <c r="L3582" s="55"/>
      <c r="M3582" s="55"/>
      <c r="N3582" s="55"/>
      <c r="O3582" s="55"/>
      <c r="P3582" s="55"/>
      <c r="Q3582" s="55"/>
      <c r="R3582" s="57"/>
      <c r="S3582" s="58"/>
    </row>
    <row r="3583" spans="2:19" x14ac:dyDescent="0.25">
      <c r="B3583" s="52"/>
      <c r="C3583" s="53"/>
      <c r="D3583" s="54"/>
      <c r="E3583" s="55"/>
      <c r="F3583" s="55"/>
      <c r="G3583" s="55"/>
      <c r="H3583" s="55"/>
      <c r="I3583" s="55"/>
      <c r="J3583" s="55"/>
      <c r="K3583" s="56"/>
      <c r="L3583" s="55"/>
      <c r="M3583" s="55"/>
      <c r="N3583" s="55"/>
      <c r="O3583" s="55"/>
      <c r="P3583" s="55"/>
      <c r="Q3583" s="55"/>
      <c r="R3583" s="57"/>
      <c r="S3583" s="58"/>
    </row>
    <row r="3584" spans="2:19" x14ac:dyDescent="0.25">
      <c r="B3584" s="52"/>
      <c r="C3584" s="53"/>
      <c r="D3584" s="54"/>
      <c r="E3584" s="55"/>
      <c r="F3584" s="55"/>
      <c r="G3584" s="55"/>
      <c r="H3584" s="55"/>
      <c r="I3584" s="55"/>
      <c r="J3584" s="55"/>
      <c r="K3584" s="56"/>
      <c r="L3584" s="55"/>
      <c r="M3584" s="55"/>
      <c r="N3584" s="55"/>
      <c r="O3584" s="55"/>
      <c r="P3584" s="55"/>
      <c r="Q3584" s="55"/>
      <c r="R3584" s="57"/>
      <c r="S3584" s="58"/>
    </row>
    <row r="3585" spans="2:19" x14ac:dyDescent="0.25">
      <c r="B3585" s="52"/>
      <c r="C3585" s="53"/>
      <c r="D3585" s="54"/>
      <c r="E3585" s="55"/>
      <c r="F3585" s="55"/>
      <c r="G3585" s="55"/>
      <c r="H3585" s="55"/>
      <c r="I3585" s="55"/>
      <c r="J3585" s="55"/>
      <c r="K3585" s="56"/>
      <c r="L3585" s="55"/>
      <c r="M3585" s="55"/>
      <c r="N3585" s="55"/>
      <c r="O3585" s="55"/>
      <c r="P3585" s="55"/>
      <c r="Q3585" s="55"/>
      <c r="R3585" s="57"/>
      <c r="S3585" s="58"/>
    </row>
    <row r="3586" spans="2:19" x14ac:dyDescent="0.25">
      <c r="B3586" s="52"/>
      <c r="C3586" s="53"/>
      <c r="D3586" s="54"/>
      <c r="E3586" s="55"/>
      <c r="F3586" s="55"/>
      <c r="G3586" s="55"/>
      <c r="H3586" s="55"/>
      <c r="I3586" s="55"/>
      <c r="J3586" s="55"/>
      <c r="K3586" s="56"/>
      <c r="L3586" s="55"/>
      <c r="M3586" s="55"/>
      <c r="N3586" s="55"/>
      <c r="O3586" s="55"/>
      <c r="P3586" s="55"/>
      <c r="Q3586" s="55"/>
      <c r="R3586" s="57"/>
      <c r="S3586" s="58"/>
    </row>
    <row r="3587" spans="2:19" x14ac:dyDescent="0.25">
      <c r="B3587" s="52"/>
      <c r="C3587" s="53"/>
      <c r="D3587" s="54"/>
      <c r="E3587" s="55"/>
      <c r="F3587" s="55"/>
      <c r="G3587" s="55"/>
      <c r="H3587" s="55"/>
      <c r="I3587" s="55"/>
      <c r="J3587" s="55"/>
      <c r="K3587" s="56"/>
      <c r="L3587" s="55"/>
      <c r="M3587" s="55"/>
      <c r="N3587" s="55"/>
      <c r="O3587" s="55"/>
      <c r="P3587" s="55"/>
      <c r="Q3587" s="55"/>
      <c r="R3587" s="57"/>
      <c r="S3587" s="58"/>
    </row>
    <row r="3588" spans="2:19" x14ac:dyDescent="0.25">
      <c r="B3588" s="52"/>
      <c r="C3588" s="60"/>
      <c r="E3588" s="61"/>
      <c r="F3588" s="62"/>
      <c r="G3588" s="63"/>
      <c r="H3588" s="64"/>
      <c r="I3588" s="64"/>
      <c r="J3588" s="64"/>
      <c r="K3588" s="65"/>
      <c r="L3588" s="64"/>
      <c r="M3588" s="64"/>
      <c r="N3588" s="64"/>
      <c r="P3588" s="63"/>
      <c r="Q3588" s="61"/>
      <c r="R3588" s="64"/>
      <c r="S3588" s="64"/>
    </row>
    <row r="3589" spans="2:19" x14ac:dyDescent="0.25">
      <c r="B3589" s="52"/>
      <c r="C3589" s="53"/>
      <c r="D3589" s="54"/>
      <c r="E3589" s="55"/>
      <c r="F3589" s="55"/>
      <c r="G3589" s="55"/>
      <c r="H3589" s="55"/>
      <c r="I3589" s="55"/>
      <c r="J3589" s="55"/>
      <c r="K3589" s="56"/>
      <c r="L3589" s="55"/>
      <c r="M3589" s="55"/>
      <c r="N3589" s="55"/>
      <c r="O3589" s="55"/>
      <c r="P3589" s="55"/>
      <c r="Q3589" s="55"/>
      <c r="R3589" s="57"/>
      <c r="S3589" s="58"/>
    </row>
    <row r="3590" spans="2:19" x14ac:dyDescent="0.25">
      <c r="B3590" s="52"/>
      <c r="C3590" s="53"/>
      <c r="D3590" s="54"/>
      <c r="E3590" s="55"/>
      <c r="F3590" s="55"/>
      <c r="G3590" s="55"/>
      <c r="H3590" s="55"/>
      <c r="I3590" s="55"/>
      <c r="J3590" s="55"/>
      <c r="K3590" s="56"/>
      <c r="L3590" s="55"/>
      <c r="M3590" s="55"/>
      <c r="N3590" s="55"/>
      <c r="O3590" s="55"/>
      <c r="P3590" s="55"/>
      <c r="Q3590" s="55"/>
      <c r="R3590" s="57"/>
      <c r="S3590" s="58"/>
    </row>
    <row r="3591" spans="2:19" x14ac:dyDescent="0.25">
      <c r="B3591" s="52"/>
      <c r="C3591" s="53"/>
      <c r="D3591" s="54"/>
      <c r="E3591" s="55"/>
      <c r="F3591" s="55"/>
      <c r="G3591" s="55"/>
      <c r="H3591" s="55"/>
      <c r="I3591" s="55"/>
      <c r="J3591" s="55"/>
      <c r="K3591" s="56"/>
      <c r="L3591" s="55"/>
      <c r="M3591" s="55"/>
      <c r="N3591" s="55"/>
      <c r="O3591" s="55"/>
      <c r="P3591" s="55"/>
      <c r="Q3591" s="55"/>
      <c r="R3591" s="57"/>
      <c r="S3591" s="58"/>
    </row>
    <row r="3592" spans="2:19" x14ac:dyDescent="0.25">
      <c r="B3592" s="52"/>
      <c r="C3592" s="53"/>
      <c r="D3592" s="54"/>
      <c r="E3592" s="55"/>
      <c r="F3592" s="55"/>
      <c r="G3592" s="55"/>
      <c r="H3592" s="55"/>
      <c r="I3592" s="55"/>
      <c r="J3592" s="55"/>
      <c r="K3592" s="56"/>
      <c r="L3592" s="55"/>
      <c r="M3592" s="55"/>
      <c r="N3592" s="55"/>
      <c r="O3592" s="55"/>
      <c r="P3592" s="55"/>
      <c r="Q3592" s="55"/>
      <c r="R3592" s="57"/>
      <c r="S3592" s="58"/>
    </row>
    <row r="3593" spans="2:19" x14ac:dyDescent="0.25">
      <c r="B3593" s="52"/>
      <c r="C3593" s="53"/>
      <c r="D3593" s="54"/>
      <c r="E3593" s="55"/>
      <c r="F3593" s="55"/>
      <c r="G3593" s="55"/>
      <c r="H3593" s="55"/>
      <c r="I3593" s="55"/>
      <c r="J3593" s="55"/>
      <c r="K3593" s="56"/>
      <c r="L3593" s="55"/>
      <c r="M3593" s="55"/>
      <c r="N3593" s="55"/>
      <c r="O3593" s="55"/>
      <c r="P3593" s="55"/>
      <c r="Q3593" s="55"/>
      <c r="R3593" s="57"/>
      <c r="S3593" s="58"/>
    </row>
    <row r="3594" spans="2:19" x14ac:dyDescent="0.25">
      <c r="B3594" s="52"/>
      <c r="C3594" s="53"/>
      <c r="D3594" s="54"/>
      <c r="E3594" s="55"/>
      <c r="F3594" s="55"/>
      <c r="G3594" s="55"/>
      <c r="H3594" s="55"/>
      <c r="I3594" s="55"/>
      <c r="J3594" s="55"/>
      <c r="K3594" s="56"/>
      <c r="L3594" s="55"/>
      <c r="M3594" s="55"/>
      <c r="N3594" s="55"/>
      <c r="O3594" s="55"/>
      <c r="P3594" s="55"/>
      <c r="Q3594" s="55"/>
      <c r="R3594" s="57"/>
      <c r="S3594" s="58"/>
    </row>
    <row r="3595" spans="2:19" x14ac:dyDescent="0.25">
      <c r="B3595" s="52"/>
      <c r="C3595" s="53"/>
      <c r="D3595" s="54"/>
      <c r="E3595" s="55"/>
      <c r="F3595" s="55"/>
      <c r="G3595" s="55"/>
      <c r="H3595" s="55"/>
      <c r="I3595" s="55"/>
      <c r="J3595" s="55"/>
      <c r="K3595" s="56"/>
      <c r="L3595" s="55"/>
      <c r="M3595" s="55"/>
      <c r="N3595" s="55"/>
      <c r="O3595" s="55"/>
      <c r="P3595" s="55"/>
      <c r="Q3595" s="55"/>
      <c r="R3595" s="57"/>
      <c r="S3595" s="58"/>
    </row>
    <row r="3596" spans="2:19" x14ac:dyDescent="0.25">
      <c r="B3596" s="52"/>
      <c r="C3596" s="53"/>
      <c r="D3596" s="54"/>
      <c r="E3596" s="55"/>
      <c r="F3596" s="55"/>
      <c r="G3596" s="55"/>
      <c r="H3596" s="55"/>
      <c r="I3596" s="55"/>
      <c r="J3596" s="55"/>
      <c r="K3596" s="56"/>
      <c r="L3596" s="55"/>
      <c r="M3596" s="55"/>
      <c r="N3596" s="55"/>
      <c r="O3596" s="55"/>
      <c r="P3596" s="55"/>
      <c r="Q3596" s="55"/>
      <c r="R3596" s="57"/>
      <c r="S3596" s="58"/>
    </row>
    <row r="3597" spans="2:19" ht="15.75" x14ac:dyDescent="0.25">
      <c r="B3597" s="52"/>
      <c r="C3597" s="53"/>
      <c r="D3597" s="54"/>
      <c r="E3597" s="55"/>
      <c r="F3597" s="55"/>
      <c r="G3597" s="55"/>
      <c r="H3597" s="55"/>
      <c r="I3597" s="55"/>
      <c r="J3597" s="55"/>
      <c r="K3597" s="59"/>
      <c r="L3597" s="55"/>
      <c r="M3597" s="55"/>
      <c r="N3597" s="55"/>
      <c r="O3597" s="55"/>
      <c r="P3597" s="55"/>
      <c r="Q3597" s="55"/>
      <c r="R3597" s="57"/>
      <c r="S3597" s="58"/>
    </row>
    <row r="3598" spans="2:19" x14ac:dyDescent="0.25">
      <c r="B3598" s="52"/>
      <c r="C3598" s="53"/>
      <c r="D3598" s="54"/>
      <c r="E3598" s="55"/>
      <c r="F3598" s="55"/>
      <c r="G3598" s="55"/>
      <c r="H3598" s="55"/>
      <c r="I3598" s="55"/>
      <c r="J3598" s="55"/>
      <c r="K3598" s="56"/>
      <c r="L3598" s="55"/>
      <c r="M3598" s="55"/>
      <c r="N3598" s="55"/>
      <c r="O3598" s="55"/>
      <c r="P3598" s="55"/>
      <c r="Q3598" s="55"/>
      <c r="R3598" s="57"/>
      <c r="S3598" s="58"/>
    </row>
    <row r="3599" spans="2:19" x14ac:dyDescent="0.25">
      <c r="B3599" s="52"/>
      <c r="C3599" s="53"/>
      <c r="D3599" s="54"/>
      <c r="E3599" s="55"/>
      <c r="F3599" s="55"/>
      <c r="G3599" s="55"/>
      <c r="H3599" s="55"/>
      <c r="I3599" s="55"/>
      <c r="J3599" s="55"/>
      <c r="K3599" s="56"/>
      <c r="L3599" s="55"/>
      <c r="M3599" s="55"/>
      <c r="N3599" s="55"/>
      <c r="O3599" s="55"/>
      <c r="P3599" s="55"/>
      <c r="Q3599" s="55"/>
      <c r="R3599" s="57"/>
      <c r="S3599" s="58"/>
    </row>
    <row r="3600" spans="2:19" x14ac:dyDescent="0.25">
      <c r="B3600" s="52"/>
      <c r="C3600" s="53"/>
      <c r="D3600" s="54"/>
      <c r="E3600" s="55"/>
      <c r="F3600" s="55"/>
      <c r="G3600" s="55"/>
      <c r="H3600" s="55"/>
      <c r="I3600" s="55"/>
      <c r="J3600" s="55"/>
      <c r="K3600" s="56"/>
      <c r="L3600" s="55"/>
      <c r="M3600" s="55"/>
      <c r="N3600" s="55"/>
      <c r="O3600" s="55"/>
      <c r="P3600" s="55"/>
      <c r="Q3600" s="55"/>
      <c r="R3600" s="57"/>
      <c r="S3600" s="58"/>
    </row>
    <row r="3601" spans="2:19" x14ac:dyDescent="0.25">
      <c r="B3601" s="52"/>
      <c r="C3601" s="53"/>
      <c r="D3601" s="54"/>
      <c r="E3601" s="55"/>
      <c r="F3601" s="55"/>
      <c r="G3601" s="55"/>
      <c r="H3601" s="55"/>
      <c r="I3601" s="55"/>
      <c r="J3601" s="55"/>
      <c r="K3601" s="56"/>
      <c r="L3601" s="55"/>
      <c r="M3601" s="55"/>
      <c r="N3601" s="55"/>
      <c r="O3601" s="55"/>
      <c r="P3601" s="55"/>
      <c r="Q3601" s="55"/>
      <c r="R3601" s="57"/>
      <c r="S3601" s="58"/>
    </row>
    <row r="3602" spans="2:19" x14ac:dyDescent="0.25">
      <c r="B3602" s="52"/>
      <c r="C3602" s="53"/>
      <c r="D3602" s="54"/>
      <c r="E3602" s="55"/>
      <c r="F3602" s="55"/>
      <c r="G3602" s="55"/>
      <c r="H3602" s="55"/>
      <c r="I3602" s="55"/>
      <c r="J3602" s="55"/>
      <c r="K3602" s="56"/>
      <c r="L3602" s="55"/>
      <c r="M3602" s="55"/>
      <c r="N3602" s="55"/>
      <c r="O3602" s="55"/>
      <c r="P3602" s="55"/>
      <c r="Q3602" s="55"/>
      <c r="R3602" s="57"/>
      <c r="S3602" s="58"/>
    </row>
    <row r="3603" spans="2:19" x14ac:dyDescent="0.25">
      <c r="B3603" s="52"/>
      <c r="C3603" s="53"/>
      <c r="D3603" s="54"/>
      <c r="E3603" s="55"/>
      <c r="F3603" s="55"/>
      <c r="G3603" s="55"/>
      <c r="H3603" s="55"/>
      <c r="I3603" s="55"/>
      <c r="J3603" s="55"/>
      <c r="K3603" s="56"/>
      <c r="L3603" s="55"/>
      <c r="M3603" s="55"/>
      <c r="N3603" s="55"/>
      <c r="O3603" s="55"/>
      <c r="P3603" s="55"/>
      <c r="Q3603" s="55"/>
      <c r="R3603" s="57"/>
      <c r="S3603" s="58"/>
    </row>
    <row r="3604" spans="2:19" x14ac:dyDescent="0.25">
      <c r="B3604" s="52"/>
      <c r="C3604" s="53"/>
      <c r="D3604" s="54"/>
      <c r="E3604" s="55"/>
      <c r="F3604" s="55"/>
      <c r="G3604" s="55"/>
      <c r="H3604" s="55"/>
      <c r="I3604" s="55"/>
      <c r="J3604" s="55"/>
      <c r="K3604" s="56"/>
      <c r="L3604" s="55"/>
      <c r="M3604" s="55"/>
      <c r="N3604" s="55"/>
      <c r="O3604" s="55"/>
      <c r="P3604" s="55"/>
      <c r="Q3604" s="55"/>
      <c r="R3604" s="57"/>
      <c r="S3604" s="58"/>
    </row>
    <row r="3605" spans="2:19" x14ac:dyDescent="0.25">
      <c r="B3605" s="52"/>
      <c r="C3605" s="60"/>
      <c r="E3605" s="61"/>
      <c r="F3605" s="62"/>
      <c r="G3605" s="63"/>
      <c r="H3605" s="64"/>
      <c r="I3605" s="64"/>
      <c r="J3605" s="64"/>
      <c r="K3605" s="65"/>
      <c r="L3605" s="64"/>
      <c r="M3605" s="64"/>
      <c r="N3605" s="64"/>
      <c r="P3605" s="63"/>
      <c r="Q3605" s="61"/>
      <c r="R3605" s="64"/>
      <c r="S3605" s="64"/>
    </row>
    <row r="3606" spans="2:19" x14ac:dyDescent="0.25">
      <c r="B3606" s="52"/>
      <c r="C3606" s="53"/>
      <c r="D3606" s="54"/>
      <c r="E3606" s="55"/>
      <c r="F3606" s="55"/>
      <c r="G3606" s="55"/>
      <c r="H3606" s="55"/>
      <c r="I3606" s="55"/>
      <c r="J3606" s="55"/>
      <c r="K3606" s="56"/>
      <c r="L3606" s="55"/>
      <c r="M3606" s="55"/>
      <c r="N3606" s="55"/>
      <c r="O3606" s="55"/>
      <c r="P3606" s="55"/>
      <c r="Q3606" s="55"/>
      <c r="R3606" s="57"/>
      <c r="S3606" s="58"/>
    </row>
    <row r="3607" spans="2:19" x14ac:dyDescent="0.25">
      <c r="B3607" s="52"/>
      <c r="C3607" s="53"/>
      <c r="D3607" s="54"/>
      <c r="E3607" s="55"/>
      <c r="F3607" s="55"/>
      <c r="G3607" s="55"/>
      <c r="H3607" s="55"/>
      <c r="I3607" s="55"/>
      <c r="J3607" s="55"/>
      <c r="K3607" s="56"/>
      <c r="L3607" s="55"/>
      <c r="M3607" s="55"/>
      <c r="N3607" s="55"/>
      <c r="O3607" s="55"/>
      <c r="P3607" s="55"/>
      <c r="Q3607" s="55"/>
      <c r="R3607" s="57"/>
      <c r="S3607" s="58"/>
    </row>
    <row r="3608" spans="2:19" x14ac:dyDescent="0.25">
      <c r="B3608" s="52"/>
      <c r="C3608" s="53"/>
      <c r="D3608" s="54"/>
      <c r="E3608" s="55"/>
      <c r="F3608" s="55"/>
      <c r="G3608" s="55"/>
      <c r="H3608" s="55"/>
      <c r="I3608" s="55"/>
      <c r="J3608" s="55"/>
      <c r="K3608" s="56"/>
      <c r="L3608" s="55"/>
      <c r="M3608" s="55"/>
      <c r="N3608" s="55"/>
      <c r="O3608" s="55"/>
      <c r="P3608" s="55"/>
      <c r="Q3608" s="55"/>
      <c r="R3608" s="57"/>
      <c r="S3608" s="58"/>
    </row>
    <row r="3609" spans="2:19" x14ac:dyDescent="0.25">
      <c r="B3609" s="52"/>
      <c r="C3609" s="53"/>
      <c r="D3609" s="54"/>
      <c r="E3609" s="55"/>
      <c r="F3609" s="55"/>
      <c r="G3609" s="55"/>
      <c r="H3609" s="55"/>
      <c r="I3609" s="55"/>
      <c r="J3609" s="55"/>
      <c r="K3609" s="56"/>
      <c r="L3609" s="55"/>
      <c r="M3609" s="55"/>
      <c r="N3609" s="55"/>
      <c r="O3609" s="55"/>
      <c r="P3609" s="55"/>
      <c r="Q3609" s="55"/>
      <c r="R3609" s="57"/>
      <c r="S3609" s="58"/>
    </row>
    <row r="3610" spans="2:19" x14ac:dyDescent="0.25">
      <c r="B3610" s="52"/>
      <c r="C3610" s="53"/>
      <c r="D3610" s="54"/>
      <c r="E3610" s="55"/>
      <c r="F3610" s="55"/>
      <c r="G3610" s="55"/>
      <c r="H3610" s="55"/>
      <c r="I3610" s="55"/>
      <c r="J3610" s="55"/>
      <c r="K3610" s="56"/>
      <c r="L3610" s="55"/>
      <c r="M3610" s="55"/>
      <c r="N3610" s="55"/>
      <c r="O3610" s="55"/>
      <c r="P3610" s="55"/>
      <c r="Q3610" s="55"/>
      <c r="R3610" s="57"/>
      <c r="S3610" s="58"/>
    </row>
    <row r="3611" spans="2:19" x14ac:dyDescent="0.25">
      <c r="B3611" s="52"/>
      <c r="C3611" s="53"/>
      <c r="D3611" s="54"/>
      <c r="E3611" s="55"/>
      <c r="F3611" s="55"/>
      <c r="G3611" s="55"/>
      <c r="H3611" s="55"/>
      <c r="I3611" s="55"/>
      <c r="J3611" s="55"/>
      <c r="K3611" s="56"/>
      <c r="L3611" s="55"/>
      <c r="M3611" s="55"/>
      <c r="N3611" s="55"/>
      <c r="O3611" s="55"/>
      <c r="P3611" s="55"/>
      <c r="Q3611" s="55"/>
      <c r="R3611" s="57"/>
      <c r="S3611" s="58"/>
    </row>
    <row r="3612" spans="2:19" x14ac:dyDescent="0.25">
      <c r="B3612" s="52"/>
      <c r="C3612" s="53"/>
      <c r="D3612" s="54"/>
      <c r="E3612" s="55"/>
      <c r="F3612" s="55"/>
      <c r="G3612" s="55"/>
      <c r="H3612" s="55"/>
      <c r="I3612" s="55"/>
      <c r="J3612" s="55"/>
      <c r="K3612" s="56"/>
      <c r="L3612" s="55"/>
      <c r="M3612" s="55"/>
      <c r="N3612" s="55"/>
      <c r="O3612" s="55"/>
      <c r="P3612" s="55"/>
      <c r="Q3612" s="55"/>
      <c r="R3612" s="57"/>
      <c r="S3612" s="58"/>
    </row>
    <row r="3613" spans="2:19" x14ac:dyDescent="0.25">
      <c r="B3613" s="52"/>
      <c r="C3613" s="53"/>
      <c r="D3613" s="54"/>
      <c r="E3613" s="55"/>
      <c r="F3613" s="55"/>
      <c r="G3613" s="55"/>
      <c r="H3613" s="55"/>
      <c r="I3613" s="55"/>
      <c r="J3613" s="55"/>
      <c r="K3613" s="56"/>
      <c r="L3613" s="55"/>
      <c r="M3613" s="55"/>
      <c r="N3613" s="55"/>
      <c r="O3613" s="55"/>
      <c r="P3613" s="55"/>
      <c r="Q3613" s="55"/>
      <c r="R3613" s="57"/>
      <c r="S3613" s="58"/>
    </row>
    <row r="3614" spans="2:19" ht="15.75" x14ac:dyDescent="0.25">
      <c r="B3614" s="52"/>
      <c r="C3614" s="53"/>
      <c r="D3614" s="54"/>
      <c r="E3614" s="55"/>
      <c r="F3614" s="55"/>
      <c r="G3614" s="55"/>
      <c r="H3614" s="55"/>
      <c r="I3614" s="55"/>
      <c r="J3614" s="55"/>
      <c r="K3614" s="59"/>
      <c r="L3614" s="55"/>
      <c r="M3614" s="55"/>
      <c r="N3614" s="55"/>
      <c r="O3614" s="55"/>
      <c r="P3614" s="55"/>
      <c r="Q3614" s="55"/>
      <c r="R3614" s="57"/>
      <c r="S3614" s="58"/>
    </row>
    <row r="3615" spans="2:19" x14ac:dyDescent="0.25">
      <c r="B3615" s="52"/>
      <c r="C3615" s="53"/>
      <c r="D3615" s="54"/>
      <c r="E3615" s="55"/>
      <c r="F3615" s="55"/>
      <c r="G3615" s="55"/>
      <c r="H3615" s="55"/>
      <c r="I3615" s="55"/>
      <c r="J3615" s="55"/>
      <c r="K3615" s="56"/>
      <c r="L3615" s="55"/>
      <c r="M3615" s="55"/>
      <c r="N3615" s="55"/>
      <c r="O3615" s="55"/>
      <c r="P3615" s="55"/>
      <c r="Q3615" s="55"/>
      <c r="R3615" s="57"/>
      <c r="S3615" s="58"/>
    </row>
    <row r="3616" spans="2:19" x14ac:dyDescent="0.25">
      <c r="B3616" s="52"/>
      <c r="C3616" s="53"/>
      <c r="D3616" s="54"/>
      <c r="E3616" s="55"/>
      <c r="F3616" s="55"/>
      <c r="G3616" s="55"/>
      <c r="H3616" s="55"/>
      <c r="I3616" s="55"/>
      <c r="J3616" s="55"/>
      <c r="K3616" s="56"/>
      <c r="L3616" s="55"/>
      <c r="M3616" s="55"/>
      <c r="N3616" s="55"/>
      <c r="O3616" s="55"/>
      <c r="P3616" s="55"/>
      <c r="Q3616" s="55"/>
      <c r="R3616" s="57"/>
      <c r="S3616" s="58"/>
    </row>
    <row r="3617" spans="2:19" x14ac:dyDescent="0.25">
      <c r="B3617" s="52"/>
      <c r="C3617" s="53"/>
      <c r="D3617" s="54"/>
      <c r="E3617" s="55"/>
      <c r="F3617" s="55"/>
      <c r="G3617" s="55"/>
      <c r="H3617" s="55"/>
      <c r="I3617" s="55"/>
      <c r="J3617" s="55"/>
      <c r="K3617" s="56"/>
      <c r="L3617" s="55"/>
      <c r="M3617" s="55"/>
      <c r="N3617" s="55"/>
      <c r="O3617" s="55"/>
      <c r="P3617" s="55"/>
      <c r="Q3617" s="55"/>
      <c r="R3617" s="57"/>
      <c r="S3617" s="58"/>
    </row>
    <row r="3618" spans="2:19" x14ac:dyDescent="0.25">
      <c r="B3618" s="52"/>
      <c r="C3618" s="53"/>
      <c r="D3618" s="54"/>
      <c r="E3618" s="55"/>
      <c r="F3618" s="55"/>
      <c r="G3618" s="55"/>
      <c r="H3618" s="55"/>
      <c r="I3618" s="55"/>
      <c r="J3618" s="55"/>
      <c r="K3618" s="56"/>
      <c r="L3618" s="55"/>
      <c r="M3618" s="55"/>
      <c r="N3618" s="55"/>
      <c r="O3618" s="55"/>
      <c r="P3618" s="55"/>
      <c r="Q3618" s="55"/>
      <c r="R3618" s="57"/>
      <c r="S3618" s="58"/>
    </row>
    <row r="3619" spans="2:19" x14ac:dyDescent="0.25">
      <c r="B3619" s="52"/>
      <c r="C3619" s="53"/>
      <c r="D3619" s="54"/>
      <c r="E3619" s="55"/>
      <c r="F3619" s="55"/>
      <c r="G3619" s="55"/>
      <c r="H3619" s="55"/>
      <c r="I3619" s="55"/>
      <c r="J3619" s="55"/>
      <c r="K3619" s="56"/>
      <c r="L3619" s="55"/>
      <c r="M3619" s="55"/>
      <c r="N3619" s="55"/>
      <c r="O3619" s="55"/>
      <c r="P3619" s="55"/>
      <c r="Q3619" s="55"/>
      <c r="R3619" s="57"/>
      <c r="S3619" s="58"/>
    </row>
    <row r="3620" spans="2:19" x14ac:dyDescent="0.25">
      <c r="B3620" s="52"/>
      <c r="C3620" s="53"/>
      <c r="D3620" s="54"/>
      <c r="E3620" s="55"/>
      <c r="F3620" s="55"/>
      <c r="G3620" s="55"/>
      <c r="H3620" s="55"/>
      <c r="I3620" s="55"/>
      <c r="J3620" s="55"/>
      <c r="K3620" s="56"/>
      <c r="L3620" s="55"/>
      <c r="M3620" s="55"/>
      <c r="N3620" s="55"/>
      <c r="O3620" s="55"/>
      <c r="P3620" s="55"/>
      <c r="Q3620" s="55"/>
      <c r="R3620" s="57"/>
      <c r="S3620" s="58"/>
    </row>
    <row r="3621" spans="2:19" x14ac:dyDescent="0.25">
      <c r="B3621" s="52"/>
      <c r="C3621" s="53"/>
      <c r="D3621" s="54"/>
      <c r="E3621" s="55"/>
      <c r="F3621" s="55"/>
      <c r="G3621" s="55"/>
      <c r="H3621" s="55"/>
      <c r="I3621" s="55"/>
      <c r="J3621" s="55"/>
      <c r="K3621" s="56"/>
      <c r="L3621" s="55"/>
      <c r="M3621" s="55"/>
      <c r="N3621" s="55"/>
      <c r="O3621" s="55"/>
      <c r="P3621" s="55"/>
      <c r="Q3621" s="55"/>
      <c r="R3621" s="57"/>
      <c r="S3621" s="58"/>
    </row>
    <row r="3622" spans="2:19" x14ac:dyDescent="0.25">
      <c r="B3622" s="52"/>
      <c r="C3622" s="60"/>
      <c r="E3622" s="61"/>
      <c r="F3622" s="62"/>
      <c r="G3622" s="63"/>
      <c r="H3622" s="64"/>
      <c r="I3622" s="64"/>
      <c r="J3622" s="64"/>
      <c r="K3622" s="65"/>
      <c r="L3622" s="64"/>
      <c r="M3622" s="64"/>
      <c r="N3622" s="64"/>
      <c r="P3622" s="63"/>
      <c r="Q3622" s="61"/>
      <c r="R3622" s="64"/>
      <c r="S3622" s="64"/>
    </row>
    <row r="3623" spans="2:19" x14ac:dyDescent="0.25">
      <c r="B3623" s="52"/>
      <c r="C3623" s="53"/>
      <c r="D3623" s="54"/>
      <c r="E3623" s="55"/>
      <c r="F3623" s="55"/>
      <c r="G3623" s="55"/>
      <c r="H3623" s="55"/>
      <c r="I3623" s="55"/>
      <c r="J3623" s="55"/>
      <c r="K3623" s="56"/>
      <c r="L3623" s="55"/>
      <c r="M3623" s="55"/>
      <c r="N3623" s="55"/>
      <c r="O3623" s="55"/>
      <c r="P3623" s="55"/>
      <c r="Q3623" s="55"/>
      <c r="R3623" s="57"/>
      <c r="S3623" s="58"/>
    </row>
    <row r="3624" spans="2:19" x14ac:dyDescent="0.25">
      <c r="B3624" s="52"/>
      <c r="C3624" s="53"/>
      <c r="D3624" s="54"/>
      <c r="E3624" s="55"/>
      <c r="F3624" s="55"/>
      <c r="G3624" s="55"/>
      <c r="H3624" s="55"/>
      <c r="I3624" s="55"/>
      <c r="J3624" s="55"/>
      <c r="K3624" s="56"/>
      <c r="L3624" s="55"/>
      <c r="M3624" s="55"/>
      <c r="N3624" s="55"/>
      <c r="O3624" s="55"/>
      <c r="P3624" s="55"/>
      <c r="Q3624" s="55"/>
      <c r="R3624" s="57"/>
      <c r="S3624" s="58"/>
    </row>
    <row r="3625" spans="2:19" x14ac:dyDescent="0.25">
      <c r="B3625" s="52"/>
      <c r="C3625" s="53"/>
      <c r="D3625" s="54"/>
      <c r="E3625" s="55"/>
      <c r="F3625" s="55"/>
      <c r="G3625" s="55"/>
      <c r="H3625" s="55"/>
      <c r="I3625" s="55"/>
      <c r="J3625" s="55"/>
      <c r="K3625" s="56"/>
      <c r="L3625" s="55"/>
      <c r="M3625" s="55"/>
      <c r="N3625" s="55"/>
      <c r="O3625" s="55"/>
      <c r="P3625" s="55"/>
      <c r="Q3625" s="55"/>
      <c r="R3625" s="57"/>
      <c r="S3625" s="58"/>
    </row>
    <row r="3626" spans="2:19" x14ac:dyDescent="0.25">
      <c r="B3626" s="52"/>
      <c r="C3626" s="53"/>
      <c r="D3626" s="54"/>
      <c r="E3626" s="55"/>
      <c r="F3626" s="55"/>
      <c r="G3626" s="55"/>
      <c r="H3626" s="55"/>
      <c r="I3626" s="55"/>
      <c r="J3626" s="55"/>
      <c r="K3626" s="56"/>
      <c r="L3626" s="55"/>
      <c r="M3626" s="55"/>
      <c r="N3626" s="55"/>
      <c r="O3626" s="55"/>
      <c r="P3626" s="55"/>
      <c r="Q3626" s="55"/>
      <c r="R3626" s="57"/>
      <c r="S3626" s="58"/>
    </row>
    <row r="3627" spans="2:19" x14ac:dyDescent="0.25">
      <c r="B3627" s="52"/>
      <c r="C3627" s="53"/>
      <c r="D3627" s="54"/>
      <c r="E3627" s="55"/>
      <c r="F3627" s="55"/>
      <c r="G3627" s="55"/>
      <c r="H3627" s="55"/>
      <c r="I3627" s="55"/>
      <c r="J3627" s="55"/>
      <c r="K3627" s="56"/>
      <c r="L3627" s="55"/>
      <c r="M3627" s="55"/>
      <c r="N3627" s="55"/>
      <c r="O3627" s="55"/>
      <c r="P3627" s="55"/>
      <c r="Q3627" s="55"/>
      <c r="R3627" s="57"/>
      <c r="S3627" s="58"/>
    </row>
    <row r="3628" spans="2:19" x14ac:dyDescent="0.25">
      <c r="B3628" s="52"/>
      <c r="C3628" s="53"/>
      <c r="D3628" s="54"/>
      <c r="E3628" s="55"/>
      <c r="F3628" s="55"/>
      <c r="G3628" s="55"/>
      <c r="H3628" s="55"/>
      <c r="I3628" s="55"/>
      <c r="J3628" s="55"/>
      <c r="K3628" s="56"/>
      <c r="L3628" s="55"/>
      <c r="M3628" s="55"/>
      <c r="N3628" s="55"/>
      <c r="O3628" s="55"/>
      <c r="P3628" s="55"/>
      <c r="Q3628" s="55"/>
      <c r="R3628" s="57"/>
      <c r="S3628" s="58"/>
    </row>
    <row r="3629" spans="2:19" x14ac:dyDescent="0.25">
      <c r="B3629" s="52"/>
      <c r="C3629" s="53"/>
      <c r="D3629" s="54"/>
      <c r="E3629" s="55"/>
      <c r="F3629" s="55"/>
      <c r="G3629" s="55"/>
      <c r="H3629" s="55"/>
      <c r="I3629" s="55"/>
      <c r="J3629" s="55"/>
      <c r="K3629" s="56"/>
      <c r="L3629" s="55"/>
      <c r="M3629" s="55"/>
      <c r="N3629" s="55"/>
      <c r="O3629" s="55"/>
      <c r="P3629" s="55"/>
      <c r="Q3629" s="55"/>
      <c r="R3629" s="57"/>
      <c r="S3629" s="58"/>
    </row>
    <row r="3630" spans="2:19" x14ac:dyDescent="0.25">
      <c r="B3630" s="52"/>
      <c r="C3630" s="53"/>
      <c r="D3630" s="54"/>
      <c r="E3630" s="55"/>
      <c r="F3630" s="55"/>
      <c r="G3630" s="55"/>
      <c r="H3630" s="55"/>
      <c r="I3630" s="55"/>
      <c r="J3630" s="55"/>
      <c r="K3630" s="56"/>
      <c r="L3630" s="55"/>
      <c r="M3630" s="55"/>
      <c r="N3630" s="55"/>
      <c r="O3630" s="55"/>
      <c r="P3630" s="55"/>
      <c r="Q3630" s="55"/>
      <c r="R3630" s="57"/>
      <c r="S3630" s="58"/>
    </row>
    <row r="3631" spans="2:19" ht="15.75" x14ac:dyDescent="0.25">
      <c r="B3631" s="52"/>
      <c r="C3631" s="53"/>
      <c r="D3631" s="54"/>
      <c r="E3631" s="55"/>
      <c r="F3631" s="55"/>
      <c r="G3631" s="55"/>
      <c r="H3631" s="55"/>
      <c r="I3631" s="55"/>
      <c r="J3631" s="55"/>
      <c r="K3631" s="59"/>
      <c r="L3631" s="55"/>
      <c r="M3631" s="55"/>
      <c r="N3631" s="55"/>
      <c r="O3631" s="55"/>
      <c r="P3631" s="55"/>
      <c r="Q3631" s="55"/>
      <c r="R3631" s="57"/>
      <c r="S3631" s="58"/>
    </row>
    <row r="3632" spans="2:19" x14ac:dyDescent="0.25">
      <c r="B3632" s="52"/>
      <c r="C3632" s="53"/>
      <c r="D3632" s="54"/>
      <c r="E3632" s="55"/>
      <c r="F3632" s="55"/>
      <c r="G3632" s="55"/>
      <c r="H3632" s="55"/>
      <c r="I3632" s="55"/>
      <c r="J3632" s="55"/>
      <c r="K3632" s="56"/>
      <c r="L3632" s="55"/>
      <c r="M3632" s="55"/>
      <c r="N3632" s="55"/>
      <c r="O3632" s="55"/>
      <c r="P3632" s="55"/>
      <c r="Q3632" s="55"/>
      <c r="R3632" s="57"/>
      <c r="S3632" s="58"/>
    </row>
    <row r="3633" spans="2:19" x14ac:dyDescent="0.25">
      <c r="B3633" s="52"/>
      <c r="C3633" s="53"/>
      <c r="D3633" s="54"/>
      <c r="E3633" s="55"/>
      <c r="F3633" s="55"/>
      <c r="G3633" s="55"/>
      <c r="H3633" s="55"/>
      <c r="I3633" s="55"/>
      <c r="J3633" s="55"/>
      <c r="K3633" s="56"/>
      <c r="L3633" s="55"/>
      <c r="M3633" s="55"/>
      <c r="N3633" s="55"/>
      <c r="O3633" s="55"/>
      <c r="P3633" s="55"/>
      <c r="Q3633" s="55"/>
      <c r="R3633" s="57"/>
      <c r="S3633" s="58"/>
    </row>
    <row r="3634" spans="2:19" x14ac:dyDescent="0.25">
      <c r="B3634" s="52"/>
      <c r="C3634" s="53"/>
      <c r="D3634" s="54"/>
      <c r="E3634" s="55"/>
      <c r="F3634" s="55"/>
      <c r="G3634" s="55"/>
      <c r="H3634" s="55"/>
      <c r="I3634" s="55"/>
      <c r="J3634" s="55"/>
      <c r="K3634" s="56"/>
      <c r="L3634" s="55"/>
      <c r="M3634" s="55"/>
      <c r="N3634" s="55"/>
      <c r="O3634" s="55"/>
      <c r="P3634" s="55"/>
      <c r="Q3634" s="55"/>
      <c r="R3634" s="57"/>
      <c r="S3634" s="58"/>
    </row>
    <row r="3635" spans="2:19" x14ac:dyDescent="0.25">
      <c r="B3635" s="52"/>
      <c r="C3635" s="53"/>
      <c r="D3635" s="54"/>
      <c r="E3635" s="55"/>
      <c r="F3635" s="55"/>
      <c r="G3635" s="55"/>
      <c r="H3635" s="55"/>
      <c r="I3635" s="55"/>
      <c r="J3635" s="55"/>
      <c r="K3635" s="56"/>
      <c r="L3635" s="55"/>
      <c r="M3635" s="55"/>
      <c r="N3635" s="55"/>
      <c r="O3635" s="55"/>
      <c r="P3635" s="55"/>
      <c r="Q3635" s="55"/>
      <c r="R3635" s="57"/>
      <c r="S3635" s="58"/>
    </row>
    <row r="3636" spans="2:19" x14ac:dyDescent="0.25">
      <c r="B3636" s="52"/>
      <c r="C3636" s="53"/>
      <c r="D3636" s="54"/>
      <c r="E3636" s="55"/>
      <c r="F3636" s="55"/>
      <c r="G3636" s="55"/>
      <c r="H3636" s="55"/>
      <c r="I3636" s="55"/>
      <c r="J3636" s="55"/>
      <c r="K3636" s="56"/>
      <c r="L3636" s="55"/>
      <c r="M3636" s="55"/>
      <c r="N3636" s="55"/>
      <c r="O3636" s="55"/>
      <c r="P3636" s="55"/>
      <c r="Q3636" s="55"/>
      <c r="R3636" s="57"/>
      <c r="S3636" s="58"/>
    </row>
    <row r="3637" spans="2:19" x14ac:dyDescent="0.25">
      <c r="B3637" s="52"/>
      <c r="C3637" s="53"/>
      <c r="D3637" s="54"/>
      <c r="E3637" s="55"/>
      <c r="F3637" s="55"/>
      <c r="G3637" s="55"/>
      <c r="H3637" s="55"/>
      <c r="I3637" s="55"/>
      <c r="J3637" s="55"/>
      <c r="K3637" s="56"/>
      <c r="L3637" s="55"/>
      <c r="M3637" s="55"/>
      <c r="N3637" s="55"/>
      <c r="O3637" s="55"/>
      <c r="P3637" s="55"/>
      <c r="Q3637" s="55"/>
      <c r="R3637" s="57"/>
      <c r="S3637" s="58"/>
    </row>
    <row r="3638" spans="2:19" x14ac:dyDescent="0.25">
      <c r="B3638" s="52"/>
      <c r="C3638" s="53"/>
      <c r="D3638" s="54"/>
      <c r="E3638" s="55"/>
      <c r="F3638" s="55"/>
      <c r="G3638" s="55"/>
      <c r="H3638" s="55"/>
      <c r="I3638" s="55"/>
      <c r="J3638" s="55"/>
      <c r="K3638" s="56"/>
      <c r="L3638" s="55"/>
      <c r="M3638" s="55"/>
      <c r="N3638" s="55"/>
      <c r="O3638" s="55"/>
      <c r="P3638" s="55"/>
      <c r="Q3638" s="55"/>
      <c r="R3638" s="57"/>
      <c r="S3638" s="58"/>
    </row>
    <row r="3639" spans="2:19" x14ac:dyDescent="0.25">
      <c r="B3639" s="52"/>
      <c r="C3639" s="60"/>
      <c r="E3639" s="61"/>
      <c r="F3639" s="62"/>
      <c r="G3639" s="63"/>
      <c r="H3639" s="64"/>
      <c r="I3639" s="64"/>
      <c r="J3639" s="64"/>
      <c r="K3639" s="65"/>
      <c r="L3639" s="64"/>
      <c r="M3639" s="64"/>
      <c r="N3639" s="64"/>
      <c r="P3639" s="63"/>
      <c r="Q3639" s="61"/>
      <c r="R3639" s="64"/>
      <c r="S3639" s="64"/>
    </row>
    <row r="3640" spans="2:19" x14ac:dyDescent="0.25">
      <c r="B3640" s="52"/>
      <c r="C3640" s="53"/>
      <c r="D3640" s="54"/>
      <c r="E3640" s="55"/>
      <c r="F3640" s="55"/>
      <c r="G3640" s="55"/>
      <c r="H3640" s="55"/>
      <c r="I3640" s="55"/>
      <c r="J3640" s="55"/>
      <c r="K3640" s="56"/>
      <c r="L3640" s="55"/>
      <c r="M3640" s="55"/>
      <c r="N3640" s="55"/>
      <c r="O3640" s="55"/>
      <c r="P3640" s="55"/>
      <c r="Q3640" s="55"/>
      <c r="R3640" s="57"/>
      <c r="S3640" s="58"/>
    </row>
    <row r="3641" spans="2:19" x14ac:dyDescent="0.25">
      <c r="B3641" s="52"/>
      <c r="C3641" s="53"/>
      <c r="D3641" s="54"/>
      <c r="E3641" s="55"/>
      <c r="F3641" s="55"/>
      <c r="G3641" s="55"/>
      <c r="H3641" s="55"/>
      <c r="I3641" s="55"/>
      <c r="J3641" s="55"/>
      <c r="K3641" s="56"/>
      <c r="L3641" s="55"/>
      <c r="M3641" s="55"/>
      <c r="N3641" s="55"/>
      <c r="O3641" s="55"/>
      <c r="P3641" s="55"/>
      <c r="Q3641" s="55"/>
      <c r="R3641" s="57"/>
      <c r="S3641" s="58"/>
    </row>
    <row r="3642" spans="2:19" x14ac:dyDescent="0.25">
      <c r="B3642" s="52"/>
      <c r="C3642" s="53"/>
      <c r="D3642" s="54"/>
      <c r="E3642" s="55"/>
      <c r="F3642" s="55"/>
      <c r="G3642" s="55"/>
      <c r="H3642" s="55"/>
      <c r="I3642" s="55"/>
      <c r="J3642" s="55"/>
      <c r="K3642" s="56"/>
      <c r="L3642" s="55"/>
      <c r="M3642" s="55"/>
      <c r="N3642" s="55"/>
      <c r="O3642" s="55"/>
      <c r="P3642" s="55"/>
      <c r="Q3642" s="55"/>
      <c r="R3642" s="57"/>
      <c r="S3642" s="58"/>
    </row>
    <row r="3643" spans="2:19" x14ac:dyDescent="0.25">
      <c r="B3643" s="52"/>
      <c r="C3643" s="53"/>
      <c r="D3643" s="54"/>
      <c r="E3643" s="55"/>
      <c r="F3643" s="55"/>
      <c r="G3643" s="55"/>
      <c r="H3643" s="55"/>
      <c r="I3643" s="55"/>
      <c r="J3643" s="55"/>
      <c r="K3643" s="56"/>
      <c r="L3643" s="55"/>
      <c r="M3643" s="55"/>
      <c r="N3643" s="55"/>
      <c r="O3643" s="55"/>
      <c r="P3643" s="55"/>
      <c r="Q3643" s="55"/>
      <c r="R3643" s="57"/>
      <c r="S3643" s="58"/>
    </row>
    <row r="3644" spans="2:19" x14ac:dyDescent="0.25">
      <c r="B3644" s="52"/>
      <c r="C3644" s="53"/>
      <c r="D3644" s="54"/>
      <c r="E3644" s="55"/>
      <c r="F3644" s="55"/>
      <c r="G3644" s="55"/>
      <c r="H3644" s="55"/>
      <c r="I3644" s="55"/>
      <c r="J3644" s="55"/>
      <c r="K3644" s="56"/>
      <c r="L3644" s="55"/>
      <c r="M3644" s="55"/>
      <c r="N3644" s="55"/>
      <c r="O3644" s="55"/>
      <c r="P3644" s="55"/>
      <c r="Q3644" s="55"/>
      <c r="R3644" s="57"/>
      <c r="S3644" s="58"/>
    </row>
    <row r="3645" spans="2:19" x14ac:dyDescent="0.25">
      <c r="B3645" s="52"/>
      <c r="C3645" s="53"/>
      <c r="D3645" s="54"/>
      <c r="E3645" s="55"/>
      <c r="F3645" s="55"/>
      <c r="G3645" s="55"/>
      <c r="H3645" s="55"/>
      <c r="I3645" s="55"/>
      <c r="J3645" s="55"/>
      <c r="K3645" s="56"/>
      <c r="L3645" s="55"/>
      <c r="M3645" s="55"/>
      <c r="N3645" s="55"/>
      <c r="O3645" s="55"/>
      <c r="P3645" s="55"/>
      <c r="Q3645" s="55"/>
      <c r="R3645" s="57"/>
      <c r="S3645" s="58"/>
    </row>
    <row r="3646" spans="2:19" x14ac:dyDescent="0.25">
      <c r="B3646" s="52"/>
      <c r="C3646" s="53"/>
      <c r="D3646" s="54"/>
      <c r="E3646" s="55"/>
      <c r="F3646" s="55"/>
      <c r="G3646" s="55"/>
      <c r="H3646" s="55"/>
      <c r="I3646" s="55"/>
      <c r="J3646" s="55"/>
      <c r="K3646" s="56"/>
      <c r="L3646" s="55"/>
      <c r="M3646" s="55"/>
      <c r="N3646" s="55"/>
      <c r="O3646" s="55"/>
      <c r="P3646" s="55"/>
      <c r="Q3646" s="55"/>
      <c r="R3646" s="57"/>
      <c r="S3646" s="58"/>
    </row>
    <row r="3647" spans="2:19" x14ac:dyDescent="0.25">
      <c r="B3647" s="52"/>
      <c r="C3647" s="53"/>
      <c r="D3647" s="54"/>
      <c r="E3647" s="55"/>
      <c r="F3647" s="55"/>
      <c r="G3647" s="55"/>
      <c r="H3647" s="55"/>
      <c r="I3647" s="55"/>
      <c r="J3647" s="55"/>
      <c r="K3647" s="56"/>
      <c r="L3647" s="55"/>
      <c r="M3647" s="55"/>
      <c r="N3647" s="55"/>
      <c r="O3647" s="55"/>
      <c r="P3647" s="55"/>
      <c r="Q3647" s="55"/>
      <c r="R3647" s="57"/>
      <c r="S3647" s="58"/>
    </row>
    <row r="3648" spans="2:19" ht="15.75" x14ac:dyDescent="0.25">
      <c r="B3648" s="52"/>
      <c r="C3648" s="53"/>
      <c r="D3648" s="54"/>
      <c r="E3648" s="55"/>
      <c r="F3648" s="55"/>
      <c r="G3648" s="55"/>
      <c r="H3648" s="55"/>
      <c r="I3648" s="55"/>
      <c r="J3648" s="55"/>
      <c r="K3648" s="59"/>
      <c r="L3648" s="55"/>
      <c r="M3648" s="55"/>
      <c r="N3648" s="55"/>
      <c r="O3648" s="55"/>
      <c r="P3648" s="55"/>
      <c r="Q3648" s="55"/>
      <c r="R3648" s="57"/>
      <c r="S3648" s="58"/>
    </row>
    <row r="3649" spans="2:19" x14ac:dyDescent="0.25">
      <c r="B3649" s="52"/>
      <c r="C3649" s="53"/>
      <c r="D3649" s="54"/>
      <c r="E3649" s="55"/>
      <c r="F3649" s="55"/>
      <c r="G3649" s="55"/>
      <c r="H3649" s="55"/>
      <c r="I3649" s="55"/>
      <c r="J3649" s="55"/>
      <c r="K3649" s="56"/>
      <c r="L3649" s="55"/>
      <c r="M3649" s="55"/>
      <c r="N3649" s="55"/>
      <c r="O3649" s="55"/>
      <c r="P3649" s="55"/>
      <c r="Q3649" s="55"/>
      <c r="R3649" s="57"/>
      <c r="S3649" s="58"/>
    </row>
    <row r="3650" spans="2:19" x14ac:dyDescent="0.25">
      <c r="B3650" s="52"/>
      <c r="C3650" s="53"/>
      <c r="D3650" s="54"/>
      <c r="E3650" s="55"/>
      <c r="F3650" s="55"/>
      <c r="G3650" s="55"/>
      <c r="H3650" s="55"/>
      <c r="I3650" s="55"/>
      <c r="J3650" s="55"/>
      <c r="K3650" s="56"/>
      <c r="L3650" s="55"/>
      <c r="M3650" s="55"/>
      <c r="N3650" s="55"/>
      <c r="O3650" s="55"/>
      <c r="P3650" s="55"/>
      <c r="Q3650" s="55"/>
      <c r="R3650" s="57"/>
      <c r="S3650" s="58"/>
    </row>
    <row r="3651" spans="2:19" x14ac:dyDescent="0.25">
      <c r="B3651" s="52"/>
      <c r="C3651" s="53"/>
      <c r="D3651" s="54"/>
      <c r="E3651" s="55"/>
      <c r="F3651" s="55"/>
      <c r="G3651" s="55"/>
      <c r="H3651" s="55"/>
      <c r="I3651" s="55"/>
      <c r="J3651" s="55"/>
      <c r="K3651" s="56"/>
      <c r="L3651" s="55"/>
      <c r="M3651" s="55"/>
      <c r="N3651" s="55"/>
      <c r="O3651" s="55"/>
      <c r="P3651" s="55"/>
      <c r="Q3651" s="55"/>
      <c r="R3651" s="57"/>
      <c r="S3651" s="58"/>
    </row>
    <row r="3652" spans="2:19" x14ac:dyDescent="0.25">
      <c r="B3652" s="52"/>
      <c r="C3652" s="53"/>
      <c r="D3652" s="54"/>
      <c r="E3652" s="55"/>
      <c r="F3652" s="55"/>
      <c r="G3652" s="55"/>
      <c r="H3652" s="55"/>
      <c r="I3652" s="55"/>
      <c r="J3652" s="55"/>
      <c r="K3652" s="56"/>
      <c r="L3652" s="55"/>
      <c r="M3652" s="55"/>
      <c r="N3652" s="55"/>
      <c r="O3652" s="55"/>
      <c r="P3652" s="55"/>
      <c r="Q3652" s="55"/>
      <c r="R3652" s="57"/>
      <c r="S3652" s="58"/>
    </row>
    <row r="3653" spans="2:19" x14ac:dyDescent="0.25">
      <c r="B3653" s="52"/>
      <c r="C3653" s="53"/>
      <c r="D3653" s="54"/>
      <c r="E3653" s="55"/>
      <c r="F3653" s="55"/>
      <c r="G3653" s="55"/>
      <c r="H3653" s="55"/>
      <c r="I3653" s="55"/>
      <c r="J3653" s="55"/>
      <c r="K3653" s="56"/>
      <c r="L3653" s="55"/>
      <c r="M3653" s="55"/>
      <c r="N3653" s="55"/>
      <c r="O3653" s="55"/>
      <c r="P3653" s="55"/>
      <c r="Q3653" s="55"/>
      <c r="R3653" s="57"/>
      <c r="S3653" s="58"/>
    </row>
    <row r="3654" spans="2:19" x14ac:dyDescent="0.25">
      <c r="B3654" s="52"/>
      <c r="C3654" s="53"/>
      <c r="D3654" s="54"/>
      <c r="E3654" s="55"/>
      <c r="F3654" s="55"/>
      <c r="G3654" s="55"/>
      <c r="H3654" s="55"/>
      <c r="I3654" s="55"/>
      <c r="J3654" s="55"/>
      <c r="K3654" s="56"/>
      <c r="L3654" s="55"/>
      <c r="M3654" s="55"/>
      <c r="N3654" s="55"/>
      <c r="O3654" s="55"/>
      <c r="P3654" s="55"/>
      <c r="Q3654" s="55"/>
      <c r="R3654" s="57"/>
      <c r="S3654" s="58"/>
    </row>
    <row r="3655" spans="2:19" x14ac:dyDescent="0.25">
      <c r="B3655" s="52"/>
      <c r="C3655" s="53"/>
      <c r="D3655" s="54"/>
      <c r="E3655" s="55"/>
      <c r="F3655" s="55"/>
      <c r="G3655" s="55"/>
      <c r="H3655" s="55"/>
      <c r="I3655" s="55"/>
      <c r="J3655" s="55"/>
      <c r="K3655" s="56"/>
      <c r="L3655" s="55"/>
      <c r="M3655" s="55"/>
      <c r="N3655" s="55"/>
      <c r="O3655" s="55"/>
      <c r="P3655" s="55"/>
      <c r="Q3655" s="55"/>
      <c r="R3655" s="57"/>
      <c r="S3655" s="58"/>
    </row>
    <row r="3656" spans="2:19" x14ac:dyDescent="0.25">
      <c r="B3656" s="52"/>
      <c r="C3656" s="60"/>
      <c r="E3656" s="61"/>
      <c r="F3656" s="62"/>
      <c r="G3656" s="63"/>
      <c r="H3656" s="64"/>
      <c r="I3656" s="64"/>
      <c r="J3656" s="64"/>
      <c r="K3656" s="65"/>
      <c r="L3656" s="64"/>
      <c r="M3656" s="64"/>
      <c r="N3656" s="64"/>
      <c r="P3656" s="63"/>
      <c r="Q3656" s="61"/>
      <c r="R3656" s="64"/>
      <c r="S3656" s="64"/>
    </row>
    <row r="3657" spans="2:19" x14ac:dyDescent="0.25">
      <c r="B3657" s="52"/>
      <c r="C3657" s="53"/>
      <c r="D3657" s="54"/>
      <c r="E3657" s="55"/>
      <c r="F3657" s="55"/>
      <c r="G3657" s="55"/>
      <c r="H3657" s="55"/>
      <c r="I3657" s="55"/>
      <c r="J3657" s="55"/>
      <c r="K3657" s="56"/>
      <c r="L3657" s="55"/>
      <c r="M3657" s="55"/>
      <c r="N3657" s="55"/>
      <c r="O3657" s="55"/>
      <c r="P3657" s="55"/>
      <c r="Q3657" s="55"/>
      <c r="R3657" s="57"/>
      <c r="S3657" s="58"/>
    </row>
    <row r="3658" spans="2:19" x14ac:dyDescent="0.25">
      <c r="B3658" s="52"/>
      <c r="C3658" s="53"/>
      <c r="D3658" s="54"/>
      <c r="E3658" s="55"/>
      <c r="F3658" s="55"/>
      <c r="G3658" s="55"/>
      <c r="H3658" s="55"/>
      <c r="I3658" s="55"/>
      <c r="J3658" s="55"/>
      <c r="K3658" s="56"/>
      <c r="L3658" s="55"/>
      <c r="M3658" s="55"/>
      <c r="N3658" s="55"/>
      <c r="O3658" s="55"/>
      <c r="P3658" s="55"/>
      <c r="Q3658" s="55"/>
      <c r="R3658" s="57"/>
      <c r="S3658" s="58"/>
    </row>
    <row r="3659" spans="2:19" x14ac:dyDescent="0.25">
      <c r="B3659" s="52"/>
      <c r="C3659" s="53"/>
      <c r="D3659" s="54"/>
      <c r="E3659" s="55"/>
      <c r="F3659" s="55"/>
      <c r="G3659" s="55"/>
      <c r="H3659" s="55"/>
      <c r="I3659" s="55"/>
      <c r="J3659" s="55"/>
      <c r="K3659" s="56"/>
      <c r="L3659" s="55"/>
      <c r="M3659" s="55"/>
      <c r="N3659" s="55"/>
      <c r="O3659" s="55"/>
      <c r="P3659" s="55"/>
      <c r="Q3659" s="55"/>
      <c r="R3659" s="57"/>
      <c r="S3659" s="58"/>
    </row>
    <row r="3660" spans="2:19" x14ac:dyDescent="0.25">
      <c r="B3660" s="52"/>
      <c r="C3660" s="53"/>
      <c r="D3660" s="54"/>
      <c r="E3660" s="55"/>
      <c r="F3660" s="55"/>
      <c r="G3660" s="55"/>
      <c r="H3660" s="55"/>
      <c r="I3660" s="55"/>
      <c r="J3660" s="55"/>
      <c r="K3660" s="56"/>
      <c r="L3660" s="55"/>
      <c r="M3660" s="55"/>
      <c r="N3660" s="55"/>
      <c r="O3660" s="55"/>
      <c r="P3660" s="55"/>
      <c r="Q3660" s="55"/>
      <c r="R3660" s="57"/>
      <c r="S3660" s="58"/>
    </row>
    <row r="3661" spans="2:19" x14ac:dyDescent="0.25">
      <c r="B3661" s="52"/>
      <c r="C3661" s="53"/>
      <c r="D3661" s="54"/>
      <c r="E3661" s="55"/>
      <c r="F3661" s="55"/>
      <c r="G3661" s="55"/>
      <c r="H3661" s="55"/>
      <c r="I3661" s="55"/>
      <c r="J3661" s="55"/>
      <c r="K3661" s="56"/>
      <c r="L3661" s="55"/>
      <c r="M3661" s="55"/>
      <c r="N3661" s="55"/>
      <c r="O3661" s="55"/>
      <c r="P3661" s="55"/>
      <c r="Q3661" s="55"/>
      <c r="R3661" s="57"/>
      <c r="S3661" s="58"/>
    </row>
    <row r="3662" spans="2:19" x14ac:dyDescent="0.25">
      <c r="B3662" s="52"/>
      <c r="C3662" s="53"/>
      <c r="D3662" s="54"/>
      <c r="E3662" s="55"/>
      <c r="F3662" s="55"/>
      <c r="G3662" s="55"/>
      <c r="H3662" s="55"/>
      <c r="I3662" s="55"/>
      <c r="J3662" s="55"/>
      <c r="K3662" s="56"/>
      <c r="L3662" s="55"/>
      <c r="M3662" s="55"/>
      <c r="N3662" s="55"/>
      <c r="O3662" s="55"/>
      <c r="P3662" s="55"/>
      <c r="Q3662" s="55"/>
      <c r="R3662" s="57"/>
      <c r="S3662" s="58"/>
    </row>
    <row r="3663" spans="2:19" x14ac:dyDescent="0.25">
      <c r="B3663" s="52"/>
      <c r="C3663" s="53"/>
      <c r="D3663" s="54"/>
      <c r="E3663" s="55"/>
      <c r="F3663" s="55"/>
      <c r="G3663" s="55"/>
      <c r="H3663" s="55"/>
      <c r="I3663" s="55"/>
      <c r="J3663" s="55"/>
      <c r="K3663" s="56"/>
      <c r="L3663" s="55"/>
      <c r="M3663" s="55"/>
      <c r="N3663" s="55"/>
      <c r="O3663" s="55"/>
      <c r="P3663" s="55"/>
      <c r="Q3663" s="55"/>
      <c r="R3663" s="57"/>
      <c r="S3663" s="58"/>
    </row>
    <row r="3664" spans="2:19" x14ac:dyDescent="0.25">
      <c r="B3664" s="52"/>
      <c r="C3664" s="53"/>
      <c r="D3664" s="54"/>
      <c r="E3664" s="55"/>
      <c r="F3664" s="55"/>
      <c r="G3664" s="55"/>
      <c r="H3664" s="55"/>
      <c r="I3664" s="55"/>
      <c r="J3664" s="55"/>
      <c r="K3664" s="56"/>
      <c r="L3664" s="55"/>
      <c r="M3664" s="55"/>
      <c r="N3664" s="55"/>
      <c r="O3664" s="55"/>
      <c r="P3664" s="55"/>
      <c r="Q3664" s="55"/>
      <c r="R3664" s="57"/>
      <c r="S3664" s="58"/>
    </row>
    <row r="3665" spans="2:19" ht="15.75" x14ac:dyDescent="0.25">
      <c r="B3665" s="52"/>
      <c r="C3665" s="53"/>
      <c r="D3665" s="54"/>
      <c r="E3665" s="55"/>
      <c r="F3665" s="55"/>
      <c r="G3665" s="55"/>
      <c r="H3665" s="55"/>
      <c r="I3665" s="55"/>
      <c r="J3665" s="55"/>
      <c r="K3665" s="59"/>
      <c r="L3665" s="55"/>
      <c r="M3665" s="55"/>
      <c r="N3665" s="55"/>
      <c r="O3665" s="55"/>
      <c r="P3665" s="55"/>
      <c r="Q3665" s="55"/>
      <c r="R3665" s="57"/>
      <c r="S3665" s="58"/>
    </row>
    <row r="3666" spans="2:19" x14ac:dyDescent="0.25">
      <c r="B3666" s="52"/>
      <c r="C3666" s="53"/>
      <c r="D3666" s="54"/>
      <c r="E3666" s="55"/>
      <c r="F3666" s="55"/>
      <c r="G3666" s="55"/>
      <c r="H3666" s="55"/>
      <c r="I3666" s="55"/>
      <c r="J3666" s="55"/>
      <c r="K3666" s="56"/>
      <c r="L3666" s="55"/>
      <c r="M3666" s="55"/>
      <c r="N3666" s="55"/>
      <c r="O3666" s="55"/>
      <c r="P3666" s="55"/>
      <c r="Q3666" s="55"/>
      <c r="R3666" s="57"/>
      <c r="S3666" s="58"/>
    </row>
    <row r="3667" spans="2:19" x14ac:dyDescent="0.25">
      <c r="B3667" s="52"/>
      <c r="C3667" s="53"/>
      <c r="D3667" s="54"/>
      <c r="E3667" s="55"/>
      <c r="F3667" s="55"/>
      <c r="G3667" s="55"/>
      <c r="H3667" s="55"/>
      <c r="I3667" s="55"/>
      <c r="J3667" s="55"/>
      <c r="K3667" s="56"/>
      <c r="L3667" s="55"/>
      <c r="M3667" s="55"/>
      <c r="N3667" s="55"/>
      <c r="O3667" s="55"/>
      <c r="P3667" s="55"/>
      <c r="Q3667" s="55"/>
      <c r="R3667" s="57"/>
      <c r="S3667" s="58"/>
    </row>
    <row r="3668" spans="2:19" x14ac:dyDescent="0.25">
      <c r="B3668" s="52"/>
      <c r="C3668" s="53"/>
      <c r="D3668" s="54"/>
      <c r="E3668" s="55"/>
      <c r="F3668" s="55"/>
      <c r="G3668" s="55"/>
      <c r="H3668" s="55"/>
      <c r="I3668" s="55"/>
      <c r="J3668" s="55"/>
      <c r="K3668" s="56"/>
      <c r="L3668" s="55"/>
      <c r="M3668" s="55"/>
      <c r="N3668" s="55"/>
      <c r="O3668" s="55"/>
      <c r="P3668" s="55"/>
      <c r="Q3668" s="55"/>
      <c r="R3668" s="57"/>
      <c r="S3668" s="58"/>
    </row>
    <row r="3669" spans="2:19" x14ac:dyDescent="0.25">
      <c r="B3669" s="52"/>
      <c r="C3669" s="53"/>
      <c r="D3669" s="54"/>
      <c r="E3669" s="55"/>
      <c r="F3669" s="55"/>
      <c r="G3669" s="55"/>
      <c r="H3669" s="55"/>
      <c r="I3669" s="55"/>
      <c r="J3669" s="55"/>
      <c r="K3669" s="56"/>
      <c r="L3669" s="55"/>
      <c r="M3669" s="55"/>
      <c r="N3669" s="55"/>
      <c r="O3669" s="55"/>
      <c r="P3669" s="55"/>
      <c r="Q3669" s="55"/>
      <c r="R3669" s="57"/>
      <c r="S3669" s="58"/>
    </row>
    <row r="3670" spans="2:19" x14ac:dyDescent="0.25">
      <c r="B3670" s="52"/>
      <c r="C3670" s="53"/>
      <c r="D3670" s="54"/>
      <c r="E3670" s="55"/>
      <c r="F3670" s="55"/>
      <c r="G3670" s="55"/>
      <c r="H3670" s="55"/>
      <c r="I3670" s="55"/>
      <c r="J3670" s="55"/>
      <c r="K3670" s="56"/>
      <c r="L3670" s="55"/>
      <c r="M3670" s="55"/>
      <c r="N3670" s="55"/>
      <c r="O3670" s="55"/>
      <c r="P3670" s="55"/>
      <c r="Q3670" s="55"/>
      <c r="R3670" s="57"/>
      <c r="S3670" s="58"/>
    </row>
    <row r="3671" spans="2:19" x14ac:dyDescent="0.25">
      <c r="B3671" s="52"/>
      <c r="C3671" s="53"/>
      <c r="D3671" s="54"/>
      <c r="E3671" s="55"/>
      <c r="F3671" s="55"/>
      <c r="G3671" s="55"/>
      <c r="H3671" s="55"/>
      <c r="I3671" s="55"/>
      <c r="J3671" s="55"/>
      <c r="K3671" s="56"/>
      <c r="L3671" s="55"/>
      <c r="M3671" s="55"/>
      <c r="N3671" s="55"/>
      <c r="O3671" s="55"/>
      <c r="P3671" s="55"/>
      <c r="Q3671" s="55"/>
      <c r="R3671" s="57"/>
      <c r="S3671" s="58"/>
    </row>
    <row r="3672" spans="2:19" x14ac:dyDescent="0.25">
      <c r="B3672" s="52"/>
      <c r="C3672" s="53"/>
      <c r="D3672" s="54"/>
      <c r="E3672" s="55"/>
      <c r="F3672" s="55"/>
      <c r="G3672" s="55"/>
      <c r="H3672" s="55"/>
      <c r="I3672" s="55"/>
      <c r="J3672" s="55"/>
      <c r="K3672" s="56"/>
      <c r="L3672" s="55"/>
      <c r="M3672" s="55"/>
      <c r="N3672" s="55"/>
      <c r="O3672" s="55"/>
      <c r="P3672" s="55"/>
      <c r="Q3672" s="55"/>
      <c r="R3672" s="57"/>
      <c r="S3672" s="58"/>
    </row>
    <row r="3673" spans="2:19" x14ac:dyDescent="0.25">
      <c r="B3673" s="52"/>
      <c r="C3673" s="60"/>
      <c r="E3673" s="61"/>
      <c r="F3673" s="62"/>
      <c r="G3673" s="63"/>
      <c r="H3673" s="64"/>
      <c r="I3673" s="64"/>
      <c r="J3673" s="64"/>
      <c r="K3673" s="65"/>
      <c r="L3673" s="64"/>
      <c r="M3673" s="64"/>
      <c r="N3673" s="64"/>
      <c r="P3673" s="63"/>
      <c r="Q3673" s="61"/>
      <c r="R3673" s="64"/>
      <c r="S3673" s="64"/>
    </row>
    <row r="3674" spans="2:19" x14ac:dyDescent="0.25">
      <c r="B3674" s="52"/>
      <c r="C3674" s="53"/>
      <c r="D3674" s="54"/>
      <c r="E3674" s="55"/>
      <c r="F3674" s="55"/>
      <c r="G3674" s="55"/>
      <c r="H3674" s="55"/>
      <c r="I3674" s="55"/>
      <c r="J3674" s="55"/>
      <c r="K3674" s="56"/>
      <c r="L3674" s="55"/>
      <c r="M3674" s="55"/>
      <c r="N3674" s="55"/>
      <c r="O3674" s="55"/>
      <c r="P3674" s="55"/>
      <c r="Q3674" s="55"/>
      <c r="R3674" s="57"/>
      <c r="S3674" s="58"/>
    </row>
    <row r="3675" spans="2:19" x14ac:dyDescent="0.25">
      <c r="B3675" s="52"/>
      <c r="C3675" s="53"/>
      <c r="D3675" s="54"/>
      <c r="E3675" s="55"/>
      <c r="F3675" s="55"/>
      <c r="G3675" s="55"/>
      <c r="H3675" s="55"/>
      <c r="I3675" s="55"/>
      <c r="J3675" s="55"/>
      <c r="K3675" s="56"/>
      <c r="L3675" s="55"/>
      <c r="M3675" s="55"/>
      <c r="N3675" s="55"/>
      <c r="O3675" s="55"/>
      <c r="P3675" s="55"/>
      <c r="Q3675" s="55"/>
      <c r="R3675" s="57"/>
      <c r="S3675" s="58"/>
    </row>
    <row r="3676" spans="2:19" x14ac:dyDescent="0.25">
      <c r="B3676" s="52"/>
      <c r="C3676" s="53"/>
      <c r="D3676" s="54"/>
      <c r="E3676" s="55"/>
      <c r="F3676" s="55"/>
      <c r="G3676" s="55"/>
      <c r="H3676" s="55"/>
      <c r="I3676" s="55"/>
      <c r="J3676" s="55"/>
      <c r="K3676" s="56"/>
      <c r="L3676" s="55"/>
      <c r="M3676" s="55"/>
      <c r="N3676" s="55"/>
      <c r="O3676" s="55"/>
      <c r="P3676" s="55"/>
      <c r="Q3676" s="55"/>
      <c r="R3676" s="57"/>
      <c r="S3676" s="58"/>
    </row>
    <row r="3677" spans="2:19" x14ac:dyDescent="0.25">
      <c r="B3677" s="52"/>
      <c r="C3677" s="53"/>
      <c r="D3677" s="54"/>
      <c r="E3677" s="55"/>
      <c r="F3677" s="55"/>
      <c r="G3677" s="55"/>
      <c r="H3677" s="55"/>
      <c r="I3677" s="55"/>
      <c r="J3677" s="55"/>
      <c r="K3677" s="56"/>
      <c r="L3677" s="55"/>
      <c r="M3677" s="55"/>
      <c r="N3677" s="55"/>
      <c r="O3677" s="55"/>
      <c r="P3677" s="55"/>
      <c r="Q3677" s="55"/>
      <c r="R3677" s="57"/>
      <c r="S3677" s="58"/>
    </row>
    <row r="3678" spans="2:19" x14ac:dyDescent="0.25">
      <c r="B3678" s="52"/>
      <c r="C3678" s="53"/>
      <c r="D3678" s="54"/>
      <c r="E3678" s="55"/>
      <c r="F3678" s="55"/>
      <c r="G3678" s="55"/>
      <c r="H3678" s="55"/>
      <c r="I3678" s="55"/>
      <c r="J3678" s="55"/>
      <c r="K3678" s="56"/>
      <c r="L3678" s="55"/>
      <c r="M3678" s="55"/>
      <c r="N3678" s="55"/>
      <c r="O3678" s="55"/>
      <c r="P3678" s="55"/>
      <c r="Q3678" s="55"/>
      <c r="R3678" s="57"/>
      <c r="S3678" s="58"/>
    </row>
    <row r="3679" spans="2:19" x14ac:dyDescent="0.25">
      <c r="B3679" s="52"/>
      <c r="C3679" s="53"/>
      <c r="D3679" s="54"/>
      <c r="E3679" s="55"/>
      <c r="F3679" s="55"/>
      <c r="G3679" s="55"/>
      <c r="H3679" s="55"/>
      <c r="I3679" s="55"/>
      <c r="J3679" s="55"/>
      <c r="K3679" s="56"/>
      <c r="L3679" s="55"/>
      <c r="M3679" s="55"/>
      <c r="N3679" s="55"/>
      <c r="O3679" s="55"/>
      <c r="P3679" s="55"/>
      <c r="Q3679" s="55"/>
      <c r="R3679" s="57"/>
      <c r="S3679" s="58"/>
    </row>
    <row r="3680" spans="2:19" x14ac:dyDescent="0.25">
      <c r="B3680" s="52"/>
      <c r="C3680" s="53"/>
      <c r="D3680" s="54"/>
      <c r="E3680" s="55"/>
      <c r="F3680" s="55"/>
      <c r="G3680" s="55"/>
      <c r="H3680" s="55"/>
      <c r="I3680" s="55"/>
      <c r="J3680" s="55"/>
      <c r="K3680" s="56"/>
      <c r="L3680" s="55"/>
      <c r="M3680" s="55"/>
      <c r="N3680" s="55"/>
      <c r="O3680" s="55"/>
      <c r="P3680" s="55"/>
      <c r="Q3680" s="55"/>
      <c r="R3680" s="57"/>
      <c r="S3680" s="58"/>
    </row>
    <row r="3681" spans="2:19" x14ac:dyDescent="0.25">
      <c r="B3681" s="52"/>
      <c r="C3681" s="53"/>
      <c r="D3681" s="54"/>
      <c r="E3681" s="55"/>
      <c r="F3681" s="55"/>
      <c r="G3681" s="55"/>
      <c r="H3681" s="55"/>
      <c r="I3681" s="55"/>
      <c r="J3681" s="55"/>
      <c r="K3681" s="56"/>
      <c r="L3681" s="55"/>
      <c r="M3681" s="55"/>
      <c r="N3681" s="55"/>
      <c r="O3681" s="55"/>
      <c r="P3681" s="55"/>
      <c r="Q3681" s="55"/>
      <c r="R3681" s="57"/>
      <c r="S3681" s="58"/>
    </row>
    <row r="3682" spans="2:19" ht="15.75" x14ac:dyDescent="0.25">
      <c r="B3682" s="52"/>
      <c r="C3682" s="53"/>
      <c r="D3682" s="54"/>
      <c r="E3682" s="55"/>
      <c r="F3682" s="55"/>
      <c r="G3682" s="55"/>
      <c r="H3682" s="55"/>
      <c r="I3682" s="55"/>
      <c r="J3682" s="55"/>
      <c r="K3682" s="59"/>
      <c r="L3682" s="55"/>
      <c r="M3682" s="55"/>
      <c r="N3682" s="55"/>
      <c r="O3682" s="55"/>
      <c r="P3682" s="55"/>
      <c r="Q3682" s="55"/>
      <c r="R3682" s="57"/>
      <c r="S3682" s="58"/>
    </row>
    <row r="3683" spans="2:19" x14ac:dyDescent="0.25">
      <c r="B3683" s="52"/>
      <c r="C3683" s="53"/>
      <c r="D3683" s="54"/>
      <c r="E3683" s="55"/>
      <c r="F3683" s="55"/>
      <c r="G3683" s="55"/>
      <c r="H3683" s="55"/>
      <c r="I3683" s="55"/>
      <c r="J3683" s="55"/>
      <c r="K3683" s="56"/>
      <c r="L3683" s="55"/>
      <c r="M3683" s="55"/>
      <c r="N3683" s="55"/>
      <c r="O3683" s="55"/>
      <c r="P3683" s="55"/>
      <c r="Q3683" s="55"/>
      <c r="R3683" s="57"/>
      <c r="S3683" s="58"/>
    </row>
    <row r="3684" spans="2:19" x14ac:dyDescent="0.25">
      <c r="B3684" s="52"/>
      <c r="C3684" s="53"/>
      <c r="D3684" s="54"/>
      <c r="E3684" s="55"/>
      <c r="F3684" s="55"/>
      <c r="G3684" s="55"/>
      <c r="H3684" s="55"/>
      <c r="I3684" s="55"/>
      <c r="J3684" s="55"/>
      <c r="K3684" s="56"/>
      <c r="L3684" s="55"/>
      <c r="M3684" s="55"/>
      <c r="N3684" s="55"/>
      <c r="O3684" s="55"/>
      <c r="P3684" s="55"/>
      <c r="Q3684" s="55"/>
      <c r="R3684" s="57"/>
      <c r="S3684" s="58"/>
    </row>
    <row r="3685" spans="2:19" x14ac:dyDescent="0.25">
      <c r="B3685" s="52"/>
      <c r="C3685" s="53"/>
      <c r="D3685" s="54"/>
      <c r="E3685" s="55"/>
      <c r="F3685" s="55"/>
      <c r="G3685" s="55"/>
      <c r="H3685" s="55"/>
      <c r="I3685" s="55"/>
      <c r="J3685" s="55"/>
      <c r="K3685" s="56"/>
      <c r="L3685" s="55"/>
      <c r="M3685" s="55"/>
      <c r="N3685" s="55"/>
      <c r="O3685" s="55"/>
      <c r="P3685" s="55"/>
      <c r="Q3685" s="55"/>
      <c r="R3685" s="57"/>
      <c r="S3685" s="58"/>
    </row>
    <row r="3686" spans="2:19" x14ac:dyDescent="0.25">
      <c r="B3686" s="52"/>
      <c r="C3686" s="53"/>
      <c r="D3686" s="54"/>
      <c r="E3686" s="55"/>
      <c r="F3686" s="55"/>
      <c r="G3686" s="55"/>
      <c r="H3686" s="55"/>
      <c r="I3686" s="55"/>
      <c r="J3686" s="55"/>
      <c r="K3686" s="56"/>
      <c r="L3686" s="55"/>
      <c r="M3686" s="55"/>
      <c r="N3686" s="55"/>
      <c r="O3686" s="55"/>
      <c r="P3686" s="55"/>
      <c r="Q3686" s="55"/>
      <c r="R3686" s="57"/>
      <c r="S3686" s="58"/>
    </row>
    <row r="3687" spans="2:19" x14ac:dyDescent="0.25">
      <c r="B3687" s="52"/>
      <c r="C3687" s="53"/>
      <c r="D3687" s="54"/>
      <c r="E3687" s="55"/>
      <c r="F3687" s="55"/>
      <c r="G3687" s="55"/>
      <c r="H3687" s="55"/>
      <c r="I3687" s="55"/>
      <c r="J3687" s="55"/>
      <c r="K3687" s="56"/>
      <c r="L3687" s="55"/>
      <c r="M3687" s="55"/>
      <c r="N3687" s="55"/>
      <c r="O3687" s="55"/>
      <c r="P3687" s="55"/>
      <c r="Q3687" s="55"/>
      <c r="R3687" s="57"/>
      <c r="S3687" s="58"/>
    </row>
    <row r="3688" spans="2:19" x14ac:dyDescent="0.25">
      <c r="B3688" s="52"/>
      <c r="C3688" s="53"/>
      <c r="D3688" s="54"/>
      <c r="E3688" s="55"/>
      <c r="F3688" s="55"/>
      <c r="G3688" s="55"/>
      <c r="H3688" s="55"/>
      <c r="I3688" s="55"/>
      <c r="J3688" s="55"/>
      <c r="K3688" s="56"/>
      <c r="L3688" s="55"/>
      <c r="M3688" s="55"/>
      <c r="N3688" s="55"/>
      <c r="O3688" s="55"/>
      <c r="P3688" s="55"/>
      <c r="Q3688" s="55"/>
      <c r="R3688" s="57"/>
      <c r="S3688" s="58"/>
    </row>
    <row r="3689" spans="2:19" x14ac:dyDescent="0.25">
      <c r="B3689" s="52"/>
      <c r="C3689" s="53"/>
      <c r="D3689" s="54"/>
      <c r="E3689" s="55"/>
      <c r="F3689" s="55"/>
      <c r="G3689" s="55"/>
      <c r="H3689" s="55"/>
      <c r="I3689" s="55"/>
      <c r="J3689" s="55"/>
      <c r="K3689" s="56"/>
      <c r="L3689" s="55"/>
      <c r="M3689" s="55"/>
      <c r="N3689" s="55"/>
      <c r="O3689" s="55"/>
      <c r="P3689" s="55"/>
      <c r="Q3689" s="55"/>
      <c r="R3689" s="57"/>
      <c r="S3689" s="58"/>
    </row>
    <row r="3690" spans="2:19" x14ac:dyDescent="0.25">
      <c r="B3690" s="52"/>
      <c r="C3690" s="60"/>
      <c r="E3690" s="61"/>
      <c r="F3690" s="62"/>
      <c r="G3690" s="63"/>
      <c r="H3690" s="64"/>
      <c r="I3690" s="64"/>
      <c r="J3690" s="64"/>
      <c r="K3690" s="65"/>
      <c r="L3690" s="64"/>
      <c r="M3690" s="64"/>
      <c r="N3690" s="64"/>
      <c r="P3690" s="63"/>
      <c r="Q3690" s="61"/>
      <c r="R3690" s="64"/>
      <c r="S3690" s="64"/>
    </row>
    <row r="3691" spans="2:19" x14ac:dyDescent="0.25">
      <c r="B3691" s="52"/>
      <c r="C3691" s="53"/>
      <c r="D3691" s="54"/>
      <c r="E3691" s="55"/>
      <c r="F3691" s="55"/>
      <c r="G3691" s="55"/>
      <c r="H3691" s="55"/>
      <c r="I3691" s="55"/>
      <c r="J3691" s="55"/>
      <c r="K3691" s="56"/>
      <c r="L3691" s="55"/>
      <c r="M3691" s="55"/>
      <c r="N3691" s="55"/>
      <c r="O3691" s="55"/>
      <c r="P3691" s="55"/>
      <c r="Q3691" s="55"/>
      <c r="R3691" s="57"/>
      <c r="S3691" s="58"/>
    </row>
    <row r="3692" spans="2:19" x14ac:dyDescent="0.25">
      <c r="B3692" s="52"/>
      <c r="C3692" s="53"/>
      <c r="D3692" s="54"/>
      <c r="E3692" s="55"/>
      <c r="F3692" s="55"/>
      <c r="G3692" s="55"/>
      <c r="H3692" s="55"/>
      <c r="I3692" s="55"/>
      <c r="J3692" s="55"/>
      <c r="K3692" s="56"/>
      <c r="L3692" s="55"/>
      <c r="M3692" s="55"/>
      <c r="N3692" s="55"/>
      <c r="O3692" s="55"/>
      <c r="P3692" s="55"/>
      <c r="Q3692" s="55"/>
      <c r="R3692" s="57"/>
      <c r="S3692" s="58"/>
    </row>
    <row r="3693" spans="2:19" x14ac:dyDescent="0.25">
      <c r="B3693" s="52"/>
      <c r="C3693" s="53"/>
      <c r="D3693" s="54"/>
      <c r="E3693" s="55"/>
      <c r="F3693" s="55"/>
      <c r="G3693" s="55"/>
      <c r="H3693" s="55"/>
      <c r="I3693" s="55"/>
      <c r="J3693" s="55"/>
      <c r="K3693" s="56"/>
      <c r="L3693" s="55"/>
      <c r="M3693" s="55"/>
      <c r="N3693" s="55"/>
      <c r="O3693" s="55"/>
      <c r="P3693" s="55"/>
      <c r="Q3693" s="55"/>
      <c r="R3693" s="57"/>
      <c r="S3693" s="58"/>
    </row>
    <row r="3694" spans="2:19" x14ac:dyDescent="0.25">
      <c r="B3694" s="52"/>
      <c r="C3694" s="53"/>
      <c r="D3694" s="54"/>
      <c r="E3694" s="55"/>
      <c r="F3694" s="55"/>
      <c r="G3694" s="55"/>
      <c r="H3694" s="55"/>
      <c r="I3694" s="55"/>
      <c r="J3694" s="55"/>
      <c r="K3694" s="56"/>
      <c r="L3694" s="55"/>
      <c r="M3694" s="55"/>
      <c r="N3694" s="55"/>
      <c r="O3694" s="55"/>
      <c r="P3694" s="55"/>
      <c r="Q3694" s="55"/>
      <c r="R3694" s="57"/>
      <c r="S3694" s="58"/>
    </row>
    <row r="3695" spans="2:19" x14ac:dyDescent="0.25">
      <c r="B3695" s="52"/>
      <c r="C3695" s="53"/>
      <c r="D3695" s="54"/>
      <c r="E3695" s="55"/>
      <c r="F3695" s="55"/>
      <c r="G3695" s="55"/>
      <c r="H3695" s="55"/>
      <c r="I3695" s="55"/>
      <c r="J3695" s="55"/>
      <c r="K3695" s="56"/>
      <c r="L3695" s="55"/>
      <c r="M3695" s="55"/>
      <c r="N3695" s="55"/>
      <c r="O3695" s="55"/>
      <c r="P3695" s="55"/>
      <c r="Q3695" s="55"/>
      <c r="R3695" s="57"/>
      <c r="S3695" s="58"/>
    </row>
    <row r="3696" spans="2:19" x14ac:dyDescent="0.25">
      <c r="B3696" s="52"/>
      <c r="C3696" s="53"/>
      <c r="D3696" s="54"/>
      <c r="E3696" s="55"/>
      <c r="F3696" s="55"/>
      <c r="G3696" s="55"/>
      <c r="H3696" s="55"/>
      <c r="I3696" s="55"/>
      <c r="J3696" s="55"/>
      <c r="K3696" s="56"/>
      <c r="L3696" s="55"/>
      <c r="M3696" s="55"/>
      <c r="N3696" s="55"/>
      <c r="O3696" s="55"/>
      <c r="P3696" s="55"/>
      <c r="Q3696" s="55"/>
      <c r="R3696" s="57"/>
      <c r="S3696" s="58"/>
    </row>
    <row r="3697" spans="2:19" x14ac:dyDescent="0.25">
      <c r="B3697" s="52"/>
      <c r="C3697" s="53"/>
      <c r="D3697" s="54"/>
      <c r="E3697" s="55"/>
      <c r="F3697" s="55"/>
      <c r="G3697" s="55"/>
      <c r="H3697" s="55"/>
      <c r="I3697" s="55"/>
      <c r="J3697" s="55"/>
      <c r="K3697" s="56"/>
      <c r="L3697" s="55"/>
      <c r="M3697" s="55"/>
      <c r="N3697" s="55"/>
      <c r="O3697" s="55"/>
      <c r="P3697" s="55"/>
      <c r="Q3697" s="55"/>
      <c r="R3697" s="57"/>
      <c r="S3697" s="58"/>
    </row>
    <row r="3698" spans="2:19" x14ac:dyDescent="0.25">
      <c r="B3698" s="52"/>
      <c r="C3698" s="53"/>
      <c r="D3698" s="54"/>
      <c r="E3698" s="55"/>
      <c r="F3698" s="55"/>
      <c r="G3698" s="55"/>
      <c r="H3698" s="55"/>
      <c r="I3698" s="55"/>
      <c r="J3698" s="55"/>
      <c r="K3698" s="56"/>
      <c r="L3698" s="55"/>
      <c r="M3698" s="55"/>
      <c r="N3698" s="55"/>
      <c r="O3698" s="55"/>
      <c r="P3698" s="55"/>
      <c r="Q3698" s="55"/>
      <c r="R3698" s="57"/>
      <c r="S3698" s="58"/>
    </row>
    <row r="3699" spans="2:19" ht="15.75" x14ac:dyDescent="0.25">
      <c r="B3699" s="52"/>
      <c r="C3699" s="53"/>
      <c r="D3699" s="54"/>
      <c r="E3699" s="55"/>
      <c r="F3699" s="55"/>
      <c r="G3699" s="55"/>
      <c r="H3699" s="55"/>
      <c r="I3699" s="55"/>
      <c r="J3699" s="55"/>
      <c r="K3699" s="59"/>
      <c r="L3699" s="55"/>
      <c r="M3699" s="55"/>
      <c r="N3699" s="55"/>
      <c r="O3699" s="55"/>
      <c r="P3699" s="55"/>
      <c r="Q3699" s="55"/>
      <c r="R3699" s="57"/>
      <c r="S3699" s="58"/>
    </row>
    <row r="3700" spans="2:19" x14ac:dyDescent="0.25">
      <c r="B3700" s="52"/>
      <c r="C3700" s="53"/>
      <c r="D3700" s="54"/>
      <c r="E3700" s="55"/>
      <c r="F3700" s="55"/>
      <c r="G3700" s="55"/>
      <c r="H3700" s="55"/>
      <c r="I3700" s="55"/>
      <c r="J3700" s="55"/>
      <c r="K3700" s="56"/>
      <c r="L3700" s="55"/>
      <c r="M3700" s="55"/>
      <c r="N3700" s="55"/>
      <c r="O3700" s="55"/>
      <c r="P3700" s="55"/>
      <c r="Q3700" s="55"/>
      <c r="R3700" s="57"/>
      <c r="S3700" s="58"/>
    </row>
    <row r="3701" spans="2:19" x14ac:dyDescent="0.25">
      <c r="B3701" s="52"/>
      <c r="C3701" s="53"/>
      <c r="D3701" s="54"/>
      <c r="E3701" s="55"/>
      <c r="F3701" s="55"/>
      <c r="G3701" s="55"/>
      <c r="H3701" s="55"/>
      <c r="I3701" s="55"/>
      <c r="J3701" s="55"/>
      <c r="K3701" s="56"/>
      <c r="L3701" s="55"/>
      <c r="M3701" s="55"/>
      <c r="N3701" s="55"/>
      <c r="O3701" s="55"/>
      <c r="P3701" s="55"/>
      <c r="Q3701" s="55"/>
      <c r="R3701" s="57"/>
      <c r="S3701" s="58"/>
    </row>
    <row r="3702" spans="2:19" x14ac:dyDescent="0.25">
      <c r="B3702" s="52"/>
      <c r="C3702" s="53"/>
      <c r="D3702" s="54"/>
      <c r="E3702" s="55"/>
      <c r="F3702" s="55"/>
      <c r="G3702" s="55"/>
      <c r="H3702" s="55"/>
      <c r="I3702" s="55"/>
      <c r="J3702" s="55"/>
      <c r="K3702" s="56"/>
      <c r="L3702" s="55"/>
      <c r="M3702" s="55"/>
      <c r="N3702" s="55"/>
      <c r="O3702" s="55"/>
      <c r="P3702" s="55"/>
      <c r="Q3702" s="55"/>
      <c r="R3702" s="57"/>
      <c r="S3702" s="58"/>
    </row>
    <row r="3703" spans="2:19" x14ac:dyDescent="0.25">
      <c r="B3703" s="52"/>
      <c r="C3703" s="53"/>
      <c r="D3703" s="54"/>
      <c r="E3703" s="55"/>
      <c r="F3703" s="55"/>
      <c r="G3703" s="55"/>
      <c r="H3703" s="55"/>
      <c r="I3703" s="55"/>
      <c r="J3703" s="55"/>
      <c r="K3703" s="56"/>
      <c r="L3703" s="55"/>
      <c r="M3703" s="55"/>
      <c r="N3703" s="55"/>
      <c r="O3703" s="55"/>
      <c r="P3703" s="55"/>
      <c r="Q3703" s="55"/>
      <c r="R3703" s="57"/>
      <c r="S3703" s="58"/>
    </row>
    <row r="3704" spans="2:19" x14ac:dyDescent="0.25">
      <c r="B3704" s="52"/>
      <c r="C3704" s="53"/>
      <c r="D3704" s="54"/>
      <c r="E3704" s="55"/>
      <c r="F3704" s="55"/>
      <c r="G3704" s="55"/>
      <c r="H3704" s="55"/>
      <c r="I3704" s="55"/>
      <c r="J3704" s="55"/>
      <c r="K3704" s="56"/>
      <c r="L3704" s="55"/>
      <c r="M3704" s="55"/>
      <c r="N3704" s="55"/>
      <c r="O3704" s="55"/>
      <c r="P3704" s="55"/>
      <c r="Q3704" s="55"/>
      <c r="R3704" s="57"/>
      <c r="S3704" s="58"/>
    </row>
    <row r="3705" spans="2:19" x14ac:dyDescent="0.25">
      <c r="B3705" s="52"/>
      <c r="C3705" s="53"/>
      <c r="D3705" s="54"/>
      <c r="E3705" s="55"/>
      <c r="F3705" s="55"/>
      <c r="G3705" s="55"/>
      <c r="H3705" s="55"/>
      <c r="I3705" s="55"/>
      <c r="J3705" s="55"/>
      <c r="K3705" s="56"/>
      <c r="L3705" s="55"/>
      <c r="M3705" s="55"/>
      <c r="N3705" s="55"/>
      <c r="O3705" s="55"/>
      <c r="P3705" s="55"/>
      <c r="Q3705" s="55"/>
      <c r="R3705" s="57"/>
      <c r="S3705" s="58"/>
    </row>
    <row r="3706" spans="2:19" x14ac:dyDescent="0.25">
      <c r="B3706" s="52"/>
      <c r="C3706" s="53"/>
      <c r="D3706" s="54"/>
      <c r="E3706" s="55"/>
      <c r="F3706" s="55"/>
      <c r="G3706" s="55"/>
      <c r="H3706" s="55"/>
      <c r="I3706" s="55"/>
      <c r="J3706" s="55"/>
      <c r="K3706" s="56"/>
      <c r="L3706" s="55"/>
      <c r="M3706" s="55"/>
      <c r="N3706" s="55"/>
      <c r="O3706" s="55"/>
      <c r="P3706" s="55"/>
      <c r="Q3706" s="55"/>
      <c r="R3706" s="57"/>
      <c r="S3706" s="58"/>
    </row>
    <row r="3707" spans="2:19" x14ac:dyDescent="0.25">
      <c r="B3707" s="52"/>
      <c r="C3707" s="60"/>
      <c r="E3707" s="61"/>
      <c r="F3707" s="62"/>
      <c r="G3707" s="63"/>
      <c r="H3707" s="64"/>
      <c r="I3707" s="64"/>
      <c r="J3707" s="64"/>
      <c r="K3707" s="65"/>
      <c r="L3707" s="64"/>
      <c r="M3707" s="64"/>
      <c r="N3707" s="64"/>
      <c r="P3707" s="63"/>
      <c r="Q3707" s="61"/>
      <c r="R3707" s="64"/>
      <c r="S3707" s="64"/>
    </row>
    <row r="3708" spans="2:19" x14ac:dyDescent="0.25">
      <c r="B3708" s="52"/>
      <c r="C3708" s="53"/>
      <c r="D3708" s="54"/>
      <c r="E3708" s="55"/>
      <c r="F3708" s="55"/>
      <c r="G3708" s="55"/>
      <c r="H3708" s="55"/>
      <c r="I3708" s="55"/>
      <c r="J3708" s="55"/>
      <c r="K3708" s="56"/>
      <c r="L3708" s="55"/>
      <c r="M3708" s="55"/>
      <c r="N3708" s="55"/>
      <c r="O3708" s="55"/>
      <c r="P3708" s="55"/>
      <c r="Q3708" s="55"/>
      <c r="R3708" s="57"/>
      <c r="S3708" s="58"/>
    </row>
    <row r="3709" spans="2:19" x14ac:dyDescent="0.25">
      <c r="B3709" s="52"/>
      <c r="C3709" s="53"/>
      <c r="D3709" s="54"/>
      <c r="E3709" s="55"/>
      <c r="F3709" s="55"/>
      <c r="G3709" s="55"/>
      <c r="H3709" s="55"/>
      <c r="I3709" s="55"/>
      <c r="J3709" s="55"/>
      <c r="K3709" s="56"/>
      <c r="L3709" s="55"/>
      <c r="M3709" s="55"/>
      <c r="N3709" s="55"/>
      <c r="O3709" s="55"/>
      <c r="P3709" s="55"/>
      <c r="Q3709" s="55"/>
      <c r="R3709" s="57"/>
      <c r="S3709" s="58"/>
    </row>
    <row r="3710" spans="2:19" x14ac:dyDescent="0.25">
      <c r="B3710" s="52"/>
      <c r="C3710" s="53"/>
      <c r="D3710" s="54"/>
      <c r="E3710" s="55"/>
      <c r="F3710" s="55"/>
      <c r="G3710" s="55"/>
      <c r="H3710" s="55"/>
      <c r="I3710" s="55"/>
      <c r="J3710" s="55"/>
      <c r="K3710" s="56"/>
      <c r="L3710" s="55"/>
      <c r="M3710" s="55"/>
      <c r="N3710" s="55"/>
      <c r="O3710" s="55"/>
      <c r="P3710" s="55"/>
      <c r="Q3710" s="55"/>
      <c r="R3710" s="57"/>
      <c r="S3710" s="58"/>
    </row>
    <row r="3711" spans="2:19" x14ac:dyDescent="0.25">
      <c r="B3711" s="52"/>
      <c r="C3711" s="53"/>
      <c r="D3711" s="54"/>
      <c r="E3711" s="55"/>
      <c r="F3711" s="55"/>
      <c r="G3711" s="55"/>
      <c r="H3711" s="55"/>
      <c r="I3711" s="55"/>
      <c r="J3711" s="55"/>
      <c r="K3711" s="56"/>
      <c r="L3711" s="55"/>
      <c r="M3711" s="55"/>
      <c r="N3711" s="55"/>
      <c r="O3711" s="55"/>
      <c r="P3711" s="55"/>
      <c r="Q3711" s="55"/>
      <c r="R3711" s="57"/>
      <c r="S3711" s="58"/>
    </row>
    <row r="3712" spans="2:19" x14ac:dyDescent="0.25">
      <c r="B3712" s="52"/>
      <c r="C3712" s="53"/>
      <c r="D3712" s="54"/>
      <c r="E3712" s="55"/>
      <c r="F3712" s="55"/>
      <c r="G3712" s="55"/>
      <c r="H3712" s="55"/>
      <c r="I3712" s="55"/>
      <c r="J3712" s="55"/>
      <c r="K3712" s="56"/>
      <c r="L3712" s="55"/>
      <c r="M3712" s="55"/>
      <c r="N3712" s="55"/>
      <c r="O3712" s="55"/>
      <c r="P3712" s="55"/>
      <c r="Q3712" s="55"/>
      <c r="R3712" s="57"/>
      <c r="S3712" s="58"/>
    </row>
    <row r="3713" spans="2:19" x14ac:dyDescent="0.25">
      <c r="B3713" s="52"/>
      <c r="C3713" s="53"/>
      <c r="D3713" s="54"/>
      <c r="E3713" s="55"/>
      <c r="F3713" s="55"/>
      <c r="G3713" s="55"/>
      <c r="H3713" s="55"/>
      <c r="I3713" s="55"/>
      <c r="J3713" s="55"/>
      <c r="K3713" s="56"/>
      <c r="L3713" s="55"/>
      <c r="M3713" s="55"/>
      <c r="N3713" s="55"/>
      <c r="O3713" s="55"/>
      <c r="P3713" s="55"/>
      <c r="Q3713" s="55"/>
      <c r="R3713" s="57"/>
      <c r="S3713" s="58"/>
    </row>
    <row r="3714" spans="2:19" x14ac:dyDescent="0.25">
      <c r="B3714" s="52"/>
      <c r="C3714" s="53"/>
      <c r="D3714" s="54"/>
      <c r="E3714" s="55"/>
      <c r="F3714" s="55"/>
      <c r="G3714" s="55"/>
      <c r="H3714" s="55"/>
      <c r="I3714" s="55"/>
      <c r="J3714" s="55"/>
      <c r="K3714" s="56"/>
      <c r="L3714" s="55"/>
      <c r="M3714" s="55"/>
      <c r="N3714" s="55"/>
      <c r="O3714" s="55"/>
      <c r="P3714" s="55"/>
      <c r="Q3714" s="55"/>
      <c r="R3714" s="57"/>
      <c r="S3714" s="58"/>
    </row>
    <row r="3715" spans="2:19" x14ac:dyDescent="0.25">
      <c r="B3715" s="52"/>
      <c r="C3715" s="53"/>
      <c r="D3715" s="54"/>
      <c r="E3715" s="55"/>
      <c r="F3715" s="55"/>
      <c r="G3715" s="55"/>
      <c r="H3715" s="55"/>
      <c r="I3715" s="55"/>
      <c r="J3715" s="55"/>
      <c r="K3715" s="56"/>
      <c r="L3715" s="55"/>
      <c r="M3715" s="55"/>
      <c r="N3715" s="55"/>
      <c r="O3715" s="55"/>
      <c r="P3715" s="55"/>
      <c r="Q3715" s="55"/>
      <c r="R3715" s="57"/>
      <c r="S3715" s="58"/>
    </row>
    <row r="3716" spans="2:19" ht="15.75" x14ac:dyDescent="0.25">
      <c r="B3716" s="52"/>
      <c r="C3716" s="53"/>
      <c r="D3716" s="54"/>
      <c r="E3716" s="55"/>
      <c r="F3716" s="55"/>
      <c r="G3716" s="55"/>
      <c r="H3716" s="55"/>
      <c r="I3716" s="55"/>
      <c r="J3716" s="55"/>
      <c r="K3716" s="59"/>
      <c r="L3716" s="55"/>
      <c r="M3716" s="55"/>
      <c r="N3716" s="55"/>
      <c r="O3716" s="55"/>
      <c r="P3716" s="55"/>
      <c r="Q3716" s="55"/>
      <c r="R3716" s="57"/>
      <c r="S3716" s="58"/>
    </row>
    <row r="3717" spans="2:19" x14ac:dyDescent="0.25">
      <c r="B3717" s="52"/>
      <c r="C3717" s="53"/>
      <c r="D3717" s="54"/>
      <c r="E3717" s="55"/>
      <c r="F3717" s="55"/>
      <c r="G3717" s="55"/>
      <c r="H3717" s="55"/>
      <c r="I3717" s="55"/>
      <c r="J3717" s="55"/>
      <c r="K3717" s="56"/>
      <c r="L3717" s="55"/>
      <c r="M3717" s="55"/>
      <c r="N3717" s="55"/>
      <c r="O3717" s="55"/>
      <c r="P3717" s="55"/>
      <c r="Q3717" s="55"/>
      <c r="R3717" s="57"/>
      <c r="S3717" s="58"/>
    </row>
    <row r="3718" spans="2:19" x14ac:dyDescent="0.25">
      <c r="B3718" s="52"/>
      <c r="C3718" s="53"/>
      <c r="D3718" s="54"/>
      <c r="E3718" s="55"/>
      <c r="F3718" s="55"/>
      <c r="G3718" s="55"/>
      <c r="H3718" s="55"/>
      <c r="I3718" s="55"/>
      <c r="J3718" s="55"/>
      <c r="K3718" s="56"/>
      <c r="L3718" s="55"/>
      <c r="M3718" s="55"/>
      <c r="N3718" s="55"/>
      <c r="O3718" s="55"/>
      <c r="P3718" s="55"/>
      <c r="Q3718" s="55"/>
      <c r="R3718" s="57"/>
      <c r="S3718" s="58"/>
    </row>
    <row r="3719" spans="2:19" x14ac:dyDescent="0.25">
      <c r="B3719" s="52"/>
      <c r="C3719" s="53"/>
      <c r="D3719" s="54"/>
      <c r="E3719" s="55"/>
      <c r="F3719" s="55"/>
      <c r="G3719" s="55"/>
      <c r="H3719" s="55"/>
      <c r="I3719" s="55"/>
      <c r="J3719" s="55"/>
      <c r="K3719" s="56"/>
      <c r="L3719" s="55"/>
      <c r="M3719" s="55"/>
      <c r="N3719" s="55"/>
      <c r="O3719" s="55"/>
      <c r="P3719" s="55"/>
      <c r="Q3719" s="55"/>
      <c r="R3719" s="57"/>
      <c r="S3719" s="58"/>
    </row>
    <row r="3720" spans="2:19" x14ac:dyDescent="0.25">
      <c r="B3720" s="52"/>
      <c r="C3720" s="53"/>
      <c r="D3720" s="54"/>
      <c r="E3720" s="55"/>
      <c r="F3720" s="55"/>
      <c r="G3720" s="55"/>
      <c r="H3720" s="55"/>
      <c r="I3720" s="55"/>
      <c r="J3720" s="55"/>
      <c r="K3720" s="56"/>
      <c r="L3720" s="55"/>
      <c r="M3720" s="55"/>
      <c r="N3720" s="55"/>
      <c r="O3720" s="55"/>
      <c r="P3720" s="55"/>
      <c r="Q3720" s="55"/>
      <c r="R3720" s="57"/>
      <c r="S3720" s="58"/>
    </row>
    <row r="3721" spans="2:19" x14ac:dyDescent="0.25">
      <c r="B3721" s="52"/>
      <c r="C3721" s="53"/>
      <c r="D3721" s="54"/>
      <c r="E3721" s="55"/>
      <c r="F3721" s="55"/>
      <c r="G3721" s="55"/>
      <c r="H3721" s="55"/>
      <c r="I3721" s="55"/>
      <c r="J3721" s="55"/>
      <c r="K3721" s="56"/>
      <c r="L3721" s="55"/>
      <c r="M3721" s="55"/>
      <c r="N3721" s="55"/>
      <c r="O3721" s="55"/>
      <c r="P3721" s="55"/>
      <c r="Q3721" s="55"/>
      <c r="R3721" s="57"/>
      <c r="S3721" s="58"/>
    </row>
    <row r="3722" spans="2:19" x14ac:dyDescent="0.25">
      <c r="B3722" s="52"/>
      <c r="C3722" s="53"/>
      <c r="D3722" s="54"/>
      <c r="E3722" s="55"/>
      <c r="F3722" s="55"/>
      <c r="G3722" s="55"/>
      <c r="H3722" s="55"/>
      <c r="I3722" s="55"/>
      <c r="J3722" s="55"/>
      <c r="K3722" s="56"/>
      <c r="L3722" s="55"/>
      <c r="M3722" s="55"/>
      <c r="N3722" s="55"/>
      <c r="O3722" s="55"/>
      <c r="P3722" s="55"/>
      <c r="Q3722" s="55"/>
      <c r="R3722" s="57"/>
      <c r="S3722" s="58"/>
    </row>
    <row r="3723" spans="2:19" x14ac:dyDescent="0.25">
      <c r="B3723" s="52"/>
      <c r="C3723" s="53"/>
      <c r="D3723" s="54"/>
      <c r="E3723" s="55"/>
      <c r="F3723" s="55"/>
      <c r="G3723" s="55"/>
      <c r="H3723" s="55"/>
      <c r="I3723" s="55"/>
      <c r="J3723" s="55"/>
      <c r="K3723" s="56"/>
      <c r="L3723" s="55"/>
      <c r="M3723" s="55"/>
      <c r="N3723" s="55"/>
      <c r="O3723" s="55"/>
      <c r="P3723" s="55"/>
      <c r="Q3723" s="55"/>
      <c r="R3723" s="57"/>
      <c r="S3723" s="58"/>
    </row>
    <row r="3724" spans="2:19" x14ac:dyDescent="0.25">
      <c r="B3724" s="52"/>
      <c r="C3724" s="60"/>
      <c r="E3724" s="61"/>
      <c r="F3724" s="62"/>
      <c r="G3724" s="63"/>
      <c r="H3724" s="64"/>
      <c r="I3724" s="64"/>
      <c r="J3724" s="64"/>
      <c r="K3724" s="65"/>
      <c r="L3724" s="64"/>
      <c r="M3724" s="64"/>
      <c r="N3724" s="64"/>
      <c r="P3724" s="63"/>
      <c r="Q3724" s="61"/>
      <c r="R3724" s="64"/>
      <c r="S3724" s="64"/>
    </row>
    <row r="3725" spans="2:19" x14ac:dyDescent="0.25">
      <c r="B3725" s="52"/>
      <c r="C3725" s="53"/>
      <c r="D3725" s="54"/>
      <c r="E3725" s="55"/>
      <c r="F3725" s="55"/>
      <c r="G3725" s="55"/>
      <c r="H3725" s="55"/>
      <c r="I3725" s="55"/>
      <c r="J3725" s="55"/>
      <c r="K3725" s="56"/>
      <c r="L3725" s="55"/>
      <c r="M3725" s="55"/>
      <c r="N3725" s="55"/>
      <c r="O3725" s="55"/>
      <c r="P3725" s="55"/>
      <c r="Q3725" s="55"/>
      <c r="R3725" s="57"/>
      <c r="S3725" s="58"/>
    </row>
    <row r="3726" spans="2:19" x14ac:dyDescent="0.25">
      <c r="B3726" s="52"/>
      <c r="C3726" s="53"/>
      <c r="D3726" s="54"/>
      <c r="E3726" s="55"/>
      <c r="F3726" s="55"/>
      <c r="G3726" s="55"/>
      <c r="H3726" s="55"/>
      <c r="I3726" s="55"/>
      <c r="J3726" s="55"/>
      <c r="K3726" s="56"/>
      <c r="L3726" s="55"/>
      <c r="M3726" s="55"/>
      <c r="N3726" s="55"/>
      <c r="O3726" s="55"/>
      <c r="P3726" s="55"/>
      <c r="Q3726" s="55"/>
      <c r="R3726" s="57"/>
      <c r="S3726" s="58"/>
    </row>
    <row r="3727" spans="2:19" x14ac:dyDescent="0.25">
      <c r="B3727" s="52"/>
      <c r="C3727" s="53"/>
      <c r="D3727" s="54"/>
      <c r="E3727" s="55"/>
      <c r="F3727" s="55"/>
      <c r="G3727" s="55"/>
      <c r="H3727" s="55"/>
      <c r="I3727" s="55"/>
      <c r="J3727" s="55"/>
      <c r="K3727" s="56"/>
      <c r="L3727" s="55"/>
      <c r="M3727" s="55"/>
      <c r="N3727" s="55"/>
      <c r="O3727" s="55"/>
      <c r="P3727" s="55"/>
      <c r="Q3727" s="55"/>
      <c r="R3727" s="57"/>
      <c r="S3727" s="58"/>
    </row>
    <row r="3728" spans="2:19" x14ac:dyDescent="0.25">
      <c r="B3728" s="52"/>
      <c r="C3728" s="53"/>
      <c r="D3728" s="54"/>
      <c r="E3728" s="55"/>
      <c r="F3728" s="55"/>
      <c r="G3728" s="55"/>
      <c r="H3728" s="55"/>
      <c r="I3728" s="55"/>
      <c r="J3728" s="55"/>
      <c r="K3728" s="56"/>
      <c r="L3728" s="55"/>
      <c r="M3728" s="55"/>
      <c r="N3728" s="55"/>
      <c r="O3728" s="55"/>
      <c r="P3728" s="55"/>
      <c r="Q3728" s="55"/>
      <c r="R3728" s="57"/>
      <c r="S3728" s="58"/>
    </row>
    <row r="3729" spans="2:19" x14ac:dyDescent="0.25">
      <c r="B3729" s="52"/>
      <c r="C3729" s="53"/>
      <c r="D3729" s="54"/>
      <c r="E3729" s="55"/>
      <c r="F3729" s="55"/>
      <c r="G3729" s="55"/>
      <c r="H3729" s="55"/>
      <c r="I3729" s="55"/>
      <c r="J3729" s="55"/>
      <c r="K3729" s="56"/>
      <c r="L3729" s="55"/>
      <c r="M3729" s="55"/>
      <c r="N3729" s="55"/>
      <c r="O3729" s="55"/>
      <c r="P3729" s="55"/>
      <c r="Q3729" s="55"/>
      <c r="R3729" s="57"/>
      <c r="S3729" s="58"/>
    </row>
    <row r="3730" spans="2:19" x14ac:dyDescent="0.25">
      <c r="B3730" s="52"/>
      <c r="C3730" s="53"/>
      <c r="D3730" s="54"/>
      <c r="E3730" s="55"/>
      <c r="F3730" s="55"/>
      <c r="G3730" s="55"/>
      <c r="H3730" s="55"/>
      <c r="I3730" s="55"/>
      <c r="J3730" s="55"/>
      <c r="K3730" s="56"/>
      <c r="L3730" s="55"/>
      <c r="M3730" s="55"/>
      <c r="N3730" s="55"/>
      <c r="O3730" s="55"/>
      <c r="P3730" s="55"/>
      <c r="Q3730" s="55"/>
      <c r="R3730" s="57"/>
      <c r="S3730" s="58"/>
    </row>
    <row r="3731" spans="2:19" x14ac:dyDescent="0.25">
      <c r="B3731" s="52"/>
      <c r="C3731" s="53"/>
      <c r="D3731" s="54"/>
      <c r="E3731" s="55"/>
      <c r="F3731" s="55"/>
      <c r="G3731" s="55"/>
      <c r="H3731" s="55"/>
      <c r="I3731" s="55"/>
      <c r="J3731" s="55"/>
      <c r="K3731" s="56"/>
      <c r="L3731" s="55"/>
      <c r="M3731" s="55"/>
      <c r="N3731" s="55"/>
      <c r="O3731" s="55"/>
      <c r="P3731" s="55"/>
      <c r="Q3731" s="55"/>
      <c r="R3731" s="57"/>
      <c r="S3731" s="58"/>
    </row>
    <row r="3732" spans="2:19" x14ac:dyDescent="0.25">
      <c r="B3732" s="52"/>
      <c r="C3732" s="53"/>
      <c r="D3732" s="54"/>
      <c r="E3732" s="55"/>
      <c r="F3732" s="55"/>
      <c r="G3732" s="55"/>
      <c r="H3732" s="55"/>
      <c r="I3732" s="55"/>
      <c r="J3732" s="55"/>
      <c r="K3732" s="56"/>
      <c r="L3732" s="55"/>
      <c r="M3732" s="55"/>
      <c r="N3732" s="55"/>
      <c r="O3732" s="55"/>
      <c r="P3732" s="55"/>
      <c r="Q3732" s="55"/>
      <c r="R3732" s="57"/>
      <c r="S3732" s="58"/>
    </row>
    <row r="3733" spans="2:19" ht="15.75" x14ac:dyDescent="0.25">
      <c r="B3733" s="52"/>
      <c r="C3733" s="53"/>
      <c r="D3733" s="54"/>
      <c r="E3733" s="55"/>
      <c r="F3733" s="55"/>
      <c r="G3733" s="55"/>
      <c r="H3733" s="55"/>
      <c r="I3733" s="55"/>
      <c r="J3733" s="55"/>
      <c r="K3733" s="59"/>
      <c r="L3733" s="55"/>
      <c r="M3733" s="55"/>
      <c r="N3733" s="55"/>
      <c r="O3733" s="55"/>
      <c r="P3733" s="55"/>
      <c r="Q3733" s="55"/>
      <c r="R3733" s="57"/>
      <c r="S3733" s="58"/>
    </row>
    <row r="3734" spans="2:19" x14ac:dyDescent="0.25">
      <c r="B3734" s="52"/>
      <c r="C3734" s="53"/>
      <c r="D3734" s="54"/>
      <c r="E3734" s="55"/>
      <c r="F3734" s="55"/>
      <c r="G3734" s="55"/>
      <c r="H3734" s="55"/>
      <c r="I3734" s="55"/>
      <c r="J3734" s="55"/>
      <c r="K3734" s="56"/>
      <c r="L3734" s="55"/>
      <c r="M3734" s="55"/>
      <c r="N3734" s="55"/>
      <c r="O3734" s="55"/>
      <c r="P3734" s="55"/>
      <c r="Q3734" s="55"/>
      <c r="R3734" s="57"/>
      <c r="S3734" s="58"/>
    </row>
    <row r="3735" spans="2:19" x14ac:dyDescent="0.25">
      <c r="B3735" s="52"/>
      <c r="C3735" s="53"/>
      <c r="D3735" s="54"/>
      <c r="E3735" s="55"/>
      <c r="F3735" s="55"/>
      <c r="G3735" s="55"/>
      <c r="H3735" s="55"/>
      <c r="I3735" s="55"/>
      <c r="J3735" s="55"/>
      <c r="K3735" s="56"/>
      <c r="L3735" s="55"/>
      <c r="M3735" s="55"/>
      <c r="N3735" s="55"/>
      <c r="O3735" s="55"/>
      <c r="P3735" s="55"/>
      <c r="Q3735" s="55"/>
      <c r="R3735" s="57"/>
      <c r="S3735" s="58"/>
    </row>
    <row r="3736" spans="2:19" x14ac:dyDescent="0.25">
      <c r="B3736" s="52"/>
      <c r="C3736" s="53"/>
      <c r="D3736" s="54"/>
      <c r="E3736" s="55"/>
      <c r="F3736" s="55"/>
      <c r="G3736" s="55"/>
      <c r="H3736" s="55"/>
      <c r="I3736" s="55"/>
      <c r="J3736" s="55"/>
      <c r="K3736" s="56"/>
      <c r="L3736" s="55"/>
      <c r="M3736" s="55"/>
      <c r="N3736" s="55"/>
      <c r="O3736" s="55"/>
      <c r="P3736" s="55"/>
      <c r="Q3736" s="55"/>
      <c r="R3736" s="57"/>
      <c r="S3736" s="58"/>
    </row>
    <row r="3737" spans="2:19" x14ac:dyDescent="0.25">
      <c r="B3737" s="52"/>
      <c r="C3737" s="53"/>
      <c r="D3737" s="54"/>
      <c r="E3737" s="55"/>
      <c r="F3737" s="55"/>
      <c r="G3737" s="55"/>
      <c r="H3737" s="55"/>
      <c r="I3737" s="55"/>
      <c r="J3737" s="55"/>
      <c r="K3737" s="56"/>
      <c r="L3737" s="55"/>
      <c r="M3737" s="55"/>
      <c r="N3737" s="55"/>
      <c r="O3737" s="55"/>
      <c r="P3737" s="55"/>
      <c r="Q3737" s="55"/>
      <c r="R3737" s="57"/>
      <c r="S3737" s="58"/>
    </row>
    <row r="3738" spans="2:19" x14ac:dyDescent="0.25">
      <c r="B3738" s="52"/>
      <c r="C3738" s="53"/>
      <c r="D3738" s="54"/>
      <c r="E3738" s="55"/>
      <c r="F3738" s="55"/>
      <c r="G3738" s="55"/>
      <c r="H3738" s="55"/>
      <c r="I3738" s="55"/>
      <c r="J3738" s="55"/>
      <c r="K3738" s="56"/>
      <c r="L3738" s="55"/>
      <c r="M3738" s="55"/>
      <c r="N3738" s="55"/>
      <c r="O3738" s="55"/>
      <c r="P3738" s="55"/>
      <c r="Q3738" s="55"/>
      <c r="R3738" s="57"/>
      <c r="S3738" s="58"/>
    </row>
    <row r="3739" spans="2:19" x14ac:dyDescent="0.25">
      <c r="B3739" s="52"/>
      <c r="C3739" s="53"/>
      <c r="D3739" s="54"/>
      <c r="E3739" s="55"/>
      <c r="F3739" s="55"/>
      <c r="G3739" s="55"/>
      <c r="H3739" s="55"/>
      <c r="I3739" s="55"/>
      <c r="J3739" s="55"/>
      <c r="K3739" s="56"/>
      <c r="L3739" s="55"/>
      <c r="M3739" s="55"/>
      <c r="N3739" s="55"/>
      <c r="O3739" s="55"/>
      <c r="P3739" s="55"/>
      <c r="Q3739" s="55"/>
      <c r="R3739" s="57"/>
      <c r="S3739" s="58"/>
    </row>
    <row r="3740" spans="2:19" x14ac:dyDescent="0.25">
      <c r="B3740" s="52"/>
      <c r="C3740" s="53"/>
      <c r="D3740" s="54"/>
      <c r="E3740" s="55"/>
      <c r="F3740" s="55"/>
      <c r="G3740" s="55"/>
      <c r="H3740" s="55"/>
      <c r="I3740" s="55"/>
      <c r="J3740" s="55"/>
      <c r="K3740" s="56"/>
      <c r="L3740" s="55"/>
      <c r="M3740" s="55"/>
      <c r="N3740" s="55"/>
      <c r="O3740" s="55"/>
      <c r="P3740" s="55"/>
      <c r="Q3740" s="55"/>
      <c r="R3740" s="57"/>
      <c r="S3740" s="58"/>
    </row>
    <row r="3741" spans="2:19" x14ac:dyDescent="0.25">
      <c r="B3741" s="52"/>
      <c r="C3741" s="60"/>
      <c r="E3741" s="61"/>
      <c r="F3741" s="62"/>
      <c r="G3741" s="63"/>
      <c r="H3741" s="64"/>
      <c r="I3741" s="64"/>
      <c r="J3741" s="64"/>
      <c r="K3741" s="65"/>
      <c r="L3741" s="64"/>
      <c r="M3741" s="64"/>
      <c r="N3741" s="64"/>
      <c r="P3741" s="63"/>
      <c r="Q3741" s="61"/>
      <c r="R3741" s="64"/>
      <c r="S3741" s="64"/>
    </row>
    <row r="3742" spans="2:19" x14ac:dyDescent="0.25">
      <c r="B3742" s="52"/>
      <c r="C3742" s="53"/>
      <c r="D3742" s="54"/>
      <c r="E3742" s="55"/>
      <c r="F3742" s="55"/>
      <c r="G3742" s="55"/>
      <c r="H3742" s="55"/>
      <c r="I3742" s="55"/>
      <c r="J3742" s="55"/>
      <c r="K3742" s="56"/>
      <c r="L3742" s="55"/>
      <c r="M3742" s="55"/>
      <c r="N3742" s="55"/>
      <c r="O3742" s="55"/>
      <c r="P3742" s="55"/>
      <c r="Q3742" s="55"/>
      <c r="R3742" s="57"/>
      <c r="S3742" s="58"/>
    </row>
    <row r="3743" spans="2:19" x14ac:dyDescent="0.25">
      <c r="B3743" s="52"/>
      <c r="C3743" s="53"/>
      <c r="D3743" s="54"/>
      <c r="E3743" s="55"/>
      <c r="F3743" s="55"/>
      <c r="G3743" s="55"/>
      <c r="H3743" s="55"/>
      <c r="I3743" s="55"/>
      <c r="J3743" s="55"/>
      <c r="K3743" s="56"/>
      <c r="L3743" s="55"/>
      <c r="M3743" s="55"/>
      <c r="N3743" s="55"/>
      <c r="O3743" s="55"/>
      <c r="P3743" s="55"/>
      <c r="Q3743" s="55"/>
      <c r="R3743" s="57"/>
      <c r="S3743" s="58"/>
    </row>
    <row r="3744" spans="2:19" x14ac:dyDescent="0.25">
      <c r="B3744" s="52"/>
      <c r="C3744" s="53"/>
      <c r="D3744" s="54"/>
      <c r="E3744" s="55"/>
      <c r="F3744" s="55"/>
      <c r="G3744" s="55"/>
      <c r="H3744" s="55"/>
      <c r="I3744" s="55"/>
      <c r="J3744" s="55"/>
      <c r="K3744" s="56"/>
      <c r="L3744" s="55"/>
      <c r="M3744" s="55"/>
      <c r="N3744" s="55"/>
      <c r="O3744" s="55"/>
      <c r="P3744" s="55"/>
      <c r="Q3744" s="55"/>
      <c r="R3744" s="57"/>
      <c r="S3744" s="58"/>
    </row>
    <row r="3745" spans="2:19" x14ac:dyDescent="0.25">
      <c r="B3745" s="52"/>
      <c r="C3745" s="53"/>
      <c r="D3745" s="54"/>
      <c r="E3745" s="55"/>
      <c r="F3745" s="55"/>
      <c r="G3745" s="55"/>
      <c r="H3745" s="55"/>
      <c r="I3745" s="55"/>
      <c r="J3745" s="55"/>
      <c r="K3745" s="56"/>
      <c r="L3745" s="55"/>
      <c r="M3745" s="55"/>
      <c r="N3745" s="55"/>
      <c r="O3745" s="55"/>
      <c r="P3745" s="55"/>
      <c r="Q3745" s="55"/>
      <c r="R3745" s="57"/>
      <c r="S3745" s="58"/>
    </row>
    <row r="3746" spans="2:19" x14ac:dyDescent="0.25">
      <c r="B3746" s="52"/>
      <c r="C3746" s="53"/>
      <c r="D3746" s="54"/>
      <c r="E3746" s="55"/>
      <c r="F3746" s="55"/>
      <c r="G3746" s="55"/>
      <c r="H3746" s="55"/>
      <c r="I3746" s="55"/>
      <c r="J3746" s="55"/>
      <c r="K3746" s="56"/>
      <c r="L3746" s="55"/>
      <c r="M3746" s="55"/>
      <c r="N3746" s="55"/>
      <c r="O3746" s="55"/>
      <c r="P3746" s="55"/>
      <c r="Q3746" s="55"/>
      <c r="R3746" s="57"/>
      <c r="S3746" s="58"/>
    </row>
    <row r="3747" spans="2:19" x14ac:dyDescent="0.25">
      <c r="B3747" s="52"/>
      <c r="C3747" s="53"/>
      <c r="D3747" s="54"/>
      <c r="E3747" s="55"/>
      <c r="F3747" s="55"/>
      <c r="G3747" s="55"/>
      <c r="H3747" s="55"/>
      <c r="I3747" s="55"/>
      <c r="J3747" s="55"/>
      <c r="K3747" s="56"/>
      <c r="L3747" s="55"/>
      <c r="M3747" s="55"/>
      <c r="N3747" s="55"/>
      <c r="O3747" s="55"/>
      <c r="P3747" s="55"/>
      <c r="Q3747" s="55"/>
      <c r="R3747" s="57"/>
      <c r="S3747" s="58"/>
    </row>
    <row r="3748" spans="2:19" x14ac:dyDescent="0.25">
      <c r="B3748" s="52"/>
      <c r="C3748" s="53"/>
      <c r="D3748" s="54"/>
      <c r="E3748" s="55"/>
      <c r="F3748" s="55"/>
      <c r="G3748" s="55"/>
      <c r="H3748" s="55"/>
      <c r="I3748" s="55"/>
      <c r="J3748" s="55"/>
      <c r="K3748" s="56"/>
      <c r="L3748" s="55"/>
      <c r="M3748" s="55"/>
      <c r="N3748" s="55"/>
      <c r="O3748" s="55"/>
      <c r="P3748" s="55"/>
      <c r="Q3748" s="55"/>
      <c r="R3748" s="57"/>
      <c r="S3748" s="58"/>
    </row>
    <row r="3749" spans="2:19" x14ac:dyDescent="0.25">
      <c r="B3749" s="52"/>
      <c r="C3749" s="53"/>
      <c r="D3749" s="54"/>
      <c r="E3749" s="55"/>
      <c r="F3749" s="55"/>
      <c r="G3749" s="55"/>
      <c r="H3749" s="55"/>
      <c r="I3749" s="55"/>
      <c r="J3749" s="55"/>
      <c r="K3749" s="56"/>
      <c r="L3749" s="55"/>
      <c r="M3749" s="55"/>
      <c r="N3749" s="55"/>
      <c r="O3749" s="55"/>
      <c r="P3749" s="55"/>
      <c r="Q3749" s="55"/>
      <c r="R3749" s="57"/>
      <c r="S3749" s="58"/>
    </row>
    <row r="3750" spans="2:19" ht="15.75" x14ac:dyDescent="0.25">
      <c r="B3750" s="52"/>
      <c r="C3750" s="53"/>
      <c r="D3750" s="54"/>
      <c r="E3750" s="55"/>
      <c r="F3750" s="55"/>
      <c r="G3750" s="55"/>
      <c r="H3750" s="55"/>
      <c r="I3750" s="55"/>
      <c r="J3750" s="55"/>
      <c r="K3750" s="59"/>
      <c r="L3750" s="55"/>
      <c r="M3750" s="55"/>
      <c r="N3750" s="55"/>
      <c r="O3750" s="55"/>
      <c r="P3750" s="55"/>
      <c r="Q3750" s="55"/>
      <c r="R3750" s="57"/>
      <c r="S3750" s="58"/>
    </row>
    <row r="3751" spans="2:19" x14ac:dyDescent="0.25">
      <c r="B3751" s="52"/>
      <c r="C3751" s="53"/>
      <c r="D3751" s="54"/>
      <c r="E3751" s="55"/>
      <c r="F3751" s="55"/>
      <c r="G3751" s="55"/>
      <c r="H3751" s="55"/>
      <c r="I3751" s="55"/>
      <c r="J3751" s="55"/>
      <c r="K3751" s="56"/>
      <c r="L3751" s="55"/>
      <c r="M3751" s="55"/>
      <c r="N3751" s="55"/>
      <c r="O3751" s="55"/>
      <c r="P3751" s="55"/>
      <c r="Q3751" s="55"/>
      <c r="R3751" s="57"/>
      <c r="S3751" s="58"/>
    </row>
    <row r="3752" spans="2:19" x14ac:dyDescent="0.25">
      <c r="B3752" s="52"/>
      <c r="C3752" s="53"/>
      <c r="D3752" s="54"/>
      <c r="E3752" s="55"/>
      <c r="F3752" s="55"/>
      <c r="G3752" s="55"/>
      <c r="H3752" s="55"/>
      <c r="I3752" s="55"/>
      <c r="J3752" s="55"/>
      <c r="K3752" s="56"/>
      <c r="L3752" s="55"/>
      <c r="M3752" s="55"/>
      <c r="N3752" s="55"/>
      <c r="O3752" s="55"/>
      <c r="P3752" s="55"/>
      <c r="Q3752" s="55"/>
      <c r="R3752" s="57"/>
      <c r="S3752" s="58"/>
    </row>
    <row r="3753" spans="2:19" x14ac:dyDescent="0.25">
      <c r="B3753" s="52"/>
      <c r="C3753" s="53"/>
      <c r="D3753" s="54"/>
      <c r="E3753" s="55"/>
      <c r="F3753" s="55"/>
      <c r="G3753" s="55"/>
      <c r="H3753" s="55"/>
      <c r="I3753" s="55"/>
      <c r="J3753" s="55"/>
      <c r="K3753" s="56"/>
      <c r="L3753" s="55"/>
      <c r="M3753" s="55"/>
      <c r="N3753" s="55"/>
      <c r="O3753" s="55"/>
      <c r="P3753" s="55"/>
      <c r="Q3753" s="55"/>
      <c r="R3753" s="57"/>
      <c r="S3753" s="58"/>
    </row>
    <row r="3754" spans="2:19" x14ac:dyDescent="0.25">
      <c r="B3754" s="52"/>
      <c r="C3754" s="53"/>
      <c r="D3754" s="54"/>
      <c r="E3754" s="55"/>
      <c r="F3754" s="55"/>
      <c r="G3754" s="55"/>
      <c r="H3754" s="55"/>
      <c r="I3754" s="55"/>
      <c r="J3754" s="55"/>
      <c r="K3754" s="56"/>
      <c r="L3754" s="55"/>
      <c r="M3754" s="55"/>
      <c r="N3754" s="55"/>
      <c r="O3754" s="55"/>
      <c r="P3754" s="55"/>
      <c r="Q3754" s="55"/>
      <c r="R3754" s="57"/>
      <c r="S3754" s="58"/>
    </row>
    <row r="3755" spans="2:19" x14ac:dyDescent="0.25">
      <c r="B3755" s="52"/>
      <c r="C3755" s="53"/>
      <c r="D3755" s="54"/>
      <c r="E3755" s="55"/>
      <c r="F3755" s="55"/>
      <c r="G3755" s="55"/>
      <c r="H3755" s="55"/>
      <c r="I3755" s="55"/>
      <c r="J3755" s="55"/>
      <c r="K3755" s="56"/>
      <c r="L3755" s="55"/>
      <c r="M3755" s="55"/>
      <c r="N3755" s="55"/>
      <c r="O3755" s="55"/>
      <c r="P3755" s="55"/>
      <c r="Q3755" s="55"/>
      <c r="R3755" s="57"/>
      <c r="S3755" s="58"/>
    </row>
    <row r="3756" spans="2:19" x14ac:dyDescent="0.25">
      <c r="B3756" s="52"/>
      <c r="C3756" s="53"/>
      <c r="D3756" s="54"/>
      <c r="E3756" s="55"/>
      <c r="F3756" s="55"/>
      <c r="G3756" s="55"/>
      <c r="H3756" s="55"/>
      <c r="I3756" s="55"/>
      <c r="J3756" s="55"/>
      <c r="K3756" s="56"/>
      <c r="L3756" s="55"/>
      <c r="M3756" s="55"/>
      <c r="N3756" s="55"/>
      <c r="O3756" s="55"/>
      <c r="P3756" s="55"/>
      <c r="Q3756" s="55"/>
      <c r="R3756" s="57"/>
      <c r="S3756" s="58"/>
    </row>
    <row r="3757" spans="2:19" x14ac:dyDescent="0.25">
      <c r="B3757" s="52"/>
      <c r="C3757" s="53"/>
      <c r="D3757" s="54"/>
      <c r="E3757" s="55"/>
      <c r="F3757" s="55"/>
      <c r="G3757" s="55"/>
      <c r="H3757" s="55"/>
      <c r="I3757" s="55"/>
      <c r="J3757" s="55"/>
      <c r="K3757" s="56"/>
      <c r="L3757" s="55"/>
      <c r="M3757" s="55"/>
      <c r="N3757" s="55"/>
      <c r="O3757" s="55"/>
      <c r="P3757" s="55"/>
      <c r="Q3757" s="55"/>
      <c r="R3757" s="57"/>
      <c r="S3757" s="58"/>
    </row>
    <row r="3758" spans="2:19" x14ac:dyDescent="0.25">
      <c r="B3758" s="52"/>
      <c r="C3758" s="60"/>
      <c r="E3758" s="61"/>
      <c r="F3758" s="62"/>
      <c r="G3758" s="63"/>
      <c r="H3758" s="64"/>
      <c r="I3758" s="64"/>
      <c r="J3758" s="64"/>
      <c r="K3758" s="65"/>
      <c r="L3758" s="64"/>
      <c r="M3758" s="64"/>
      <c r="N3758" s="64"/>
      <c r="P3758" s="63"/>
      <c r="Q3758" s="61"/>
      <c r="R3758" s="64"/>
      <c r="S3758" s="64"/>
    </row>
    <row r="3759" spans="2:19" x14ac:dyDescent="0.25">
      <c r="B3759" s="52"/>
      <c r="C3759" s="53"/>
      <c r="D3759" s="54"/>
      <c r="E3759" s="55"/>
      <c r="F3759" s="55"/>
      <c r="G3759" s="55"/>
      <c r="H3759" s="55"/>
      <c r="I3759" s="55"/>
      <c r="J3759" s="55"/>
      <c r="K3759" s="56"/>
      <c r="L3759" s="55"/>
      <c r="M3759" s="55"/>
      <c r="N3759" s="55"/>
      <c r="O3759" s="55"/>
      <c r="P3759" s="55"/>
      <c r="Q3759" s="55"/>
      <c r="R3759" s="57"/>
      <c r="S3759" s="58"/>
    </row>
    <row r="3760" spans="2:19" x14ac:dyDescent="0.25">
      <c r="B3760" s="52"/>
      <c r="C3760" s="53"/>
      <c r="D3760" s="54"/>
      <c r="E3760" s="55"/>
      <c r="F3760" s="55"/>
      <c r="G3760" s="55"/>
      <c r="H3760" s="55"/>
      <c r="I3760" s="55"/>
      <c r="J3760" s="55"/>
      <c r="K3760" s="56"/>
      <c r="L3760" s="55"/>
      <c r="M3760" s="55"/>
      <c r="N3760" s="55"/>
      <c r="O3760" s="55"/>
      <c r="P3760" s="55"/>
      <c r="Q3760" s="55"/>
      <c r="R3760" s="57"/>
      <c r="S3760" s="58"/>
    </row>
    <row r="3761" spans="2:19" x14ac:dyDescent="0.25">
      <c r="B3761" s="52"/>
      <c r="C3761" s="53"/>
      <c r="D3761" s="54"/>
      <c r="E3761" s="55"/>
      <c r="F3761" s="55"/>
      <c r="G3761" s="55"/>
      <c r="H3761" s="55"/>
      <c r="I3761" s="55"/>
      <c r="J3761" s="55"/>
      <c r="K3761" s="56"/>
      <c r="L3761" s="55"/>
      <c r="M3761" s="55"/>
      <c r="N3761" s="55"/>
      <c r="O3761" s="55"/>
      <c r="P3761" s="55"/>
      <c r="Q3761" s="55"/>
      <c r="R3761" s="57"/>
      <c r="S3761" s="58"/>
    </row>
    <row r="3762" spans="2:19" x14ac:dyDescent="0.25">
      <c r="B3762" s="52"/>
      <c r="C3762" s="53"/>
      <c r="D3762" s="54"/>
      <c r="E3762" s="55"/>
      <c r="F3762" s="55"/>
      <c r="G3762" s="55"/>
      <c r="H3762" s="55"/>
      <c r="I3762" s="55"/>
      <c r="J3762" s="55"/>
      <c r="K3762" s="56"/>
      <c r="L3762" s="55"/>
      <c r="M3762" s="55"/>
      <c r="N3762" s="55"/>
      <c r="O3762" s="55"/>
      <c r="P3762" s="55"/>
      <c r="Q3762" s="55"/>
      <c r="R3762" s="57"/>
      <c r="S3762" s="58"/>
    </row>
    <row r="3763" spans="2:19" x14ac:dyDescent="0.25">
      <c r="B3763" s="52"/>
      <c r="C3763" s="53"/>
      <c r="D3763" s="54"/>
      <c r="E3763" s="55"/>
      <c r="F3763" s="55"/>
      <c r="G3763" s="55"/>
      <c r="H3763" s="55"/>
      <c r="I3763" s="55"/>
      <c r="J3763" s="55"/>
      <c r="K3763" s="56"/>
      <c r="L3763" s="55"/>
      <c r="M3763" s="55"/>
      <c r="N3763" s="55"/>
      <c r="O3763" s="55"/>
      <c r="P3763" s="55"/>
      <c r="Q3763" s="55"/>
      <c r="R3763" s="57"/>
      <c r="S3763" s="58"/>
    </row>
    <row r="3764" spans="2:19" x14ac:dyDescent="0.25">
      <c r="B3764" s="52"/>
      <c r="C3764" s="53"/>
      <c r="D3764" s="54"/>
      <c r="E3764" s="55"/>
      <c r="F3764" s="55"/>
      <c r="G3764" s="55"/>
      <c r="H3764" s="55"/>
      <c r="I3764" s="55"/>
      <c r="J3764" s="55"/>
      <c r="K3764" s="56"/>
      <c r="L3764" s="55"/>
      <c r="M3764" s="55"/>
      <c r="N3764" s="55"/>
      <c r="O3764" s="55"/>
      <c r="P3764" s="55"/>
      <c r="Q3764" s="55"/>
      <c r="R3764" s="57"/>
      <c r="S3764" s="58"/>
    </row>
    <row r="3765" spans="2:19" x14ac:dyDescent="0.25">
      <c r="B3765" s="52"/>
      <c r="C3765" s="53"/>
      <c r="D3765" s="54"/>
      <c r="E3765" s="55"/>
      <c r="F3765" s="55"/>
      <c r="G3765" s="55"/>
      <c r="H3765" s="55"/>
      <c r="I3765" s="55"/>
      <c r="J3765" s="55"/>
      <c r="K3765" s="56"/>
      <c r="L3765" s="55"/>
      <c r="M3765" s="55"/>
      <c r="N3765" s="55"/>
      <c r="O3765" s="55"/>
      <c r="P3765" s="55"/>
      <c r="Q3765" s="55"/>
      <c r="R3765" s="57"/>
      <c r="S3765" s="58"/>
    </row>
    <row r="3766" spans="2:19" x14ac:dyDescent="0.25">
      <c r="B3766" s="52"/>
      <c r="C3766" s="53"/>
      <c r="D3766" s="54"/>
      <c r="E3766" s="55"/>
      <c r="F3766" s="55"/>
      <c r="G3766" s="55"/>
      <c r="H3766" s="55"/>
      <c r="I3766" s="55"/>
      <c r="J3766" s="55"/>
      <c r="K3766" s="56"/>
      <c r="L3766" s="55"/>
      <c r="M3766" s="55"/>
      <c r="N3766" s="55"/>
      <c r="O3766" s="55"/>
      <c r="P3766" s="55"/>
      <c r="Q3766" s="55"/>
      <c r="R3766" s="57"/>
      <c r="S3766" s="58"/>
    </row>
    <row r="3767" spans="2:19" ht="15.75" x14ac:dyDescent="0.25">
      <c r="B3767" s="52"/>
      <c r="C3767" s="53"/>
      <c r="D3767" s="54"/>
      <c r="E3767" s="55"/>
      <c r="F3767" s="55"/>
      <c r="G3767" s="55"/>
      <c r="H3767" s="55"/>
      <c r="I3767" s="55"/>
      <c r="J3767" s="55"/>
      <c r="K3767" s="59"/>
      <c r="L3767" s="55"/>
      <c r="M3767" s="55"/>
      <c r="N3767" s="55"/>
      <c r="O3767" s="55"/>
      <c r="P3767" s="55"/>
      <c r="Q3767" s="55"/>
      <c r="R3767" s="57"/>
      <c r="S3767" s="58"/>
    </row>
    <row r="3768" spans="2:19" x14ac:dyDescent="0.25">
      <c r="B3768" s="52"/>
      <c r="C3768" s="53"/>
      <c r="D3768" s="54"/>
      <c r="E3768" s="55"/>
      <c r="F3768" s="55"/>
      <c r="G3768" s="55"/>
      <c r="H3768" s="55"/>
      <c r="I3768" s="55"/>
      <c r="J3768" s="55"/>
      <c r="K3768" s="56"/>
      <c r="L3768" s="55"/>
      <c r="M3768" s="55"/>
      <c r="N3768" s="55"/>
      <c r="O3768" s="55"/>
      <c r="P3768" s="55"/>
      <c r="Q3768" s="55"/>
      <c r="R3768" s="57"/>
      <c r="S3768" s="58"/>
    </row>
    <row r="3769" spans="2:19" x14ac:dyDescent="0.25">
      <c r="B3769" s="52"/>
      <c r="C3769" s="53"/>
      <c r="D3769" s="54"/>
      <c r="E3769" s="55"/>
      <c r="F3769" s="55"/>
      <c r="G3769" s="55"/>
      <c r="H3769" s="55"/>
      <c r="I3769" s="55"/>
      <c r="J3769" s="55"/>
      <c r="K3769" s="56"/>
      <c r="L3769" s="55"/>
      <c r="M3769" s="55"/>
      <c r="N3769" s="55"/>
      <c r="O3769" s="55"/>
      <c r="P3769" s="55"/>
      <c r="Q3769" s="55"/>
      <c r="R3769" s="57"/>
      <c r="S3769" s="58"/>
    </row>
    <row r="3770" spans="2:19" x14ac:dyDescent="0.25">
      <c r="B3770" s="52"/>
      <c r="C3770" s="53"/>
      <c r="D3770" s="54"/>
      <c r="E3770" s="55"/>
      <c r="F3770" s="55"/>
      <c r="G3770" s="55"/>
      <c r="H3770" s="55"/>
      <c r="I3770" s="55"/>
      <c r="J3770" s="55"/>
      <c r="K3770" s="56"/>
      <c r="L3770" s="55"/>
      <c r="M3770" s="55"/>
      <c r="N3770" s="55"/>
      <c r="O3770" s="55"/>
      <c r="P3770" s="55"/>
      <c r="Q3770" s="55"/>
      <c r="R3770" s="57"/>
      <c r="S3770" s="58"/>
    </row>
    <row r="3771" spans="2:19" x14ac:dyDescent="0.25">
      <c r="B3771" s="52"/>
      <c r="C3771" s="53"/>
      <c r="D3771" s="54"/>
      <c r="E3771" s="55"/>
      <c r="F3771" s="55"/>
      <c r="G3771" s="55"/>
      <c r="H3771" s="55"/>
      <c r="I3771" s="55"/>
      <c r="J3771" s="55"/>
      <c r="K3771" s="56"/>
      <c r="L3771" s="55"/>
      <c r="M3771" s="55"/>
      <c r="N3771" s="55"/>
      <c r="O3771" s="55"/>
      <c r="P3771" s="55"/>
      <c r="Q3771" s="55"/>
      <c r="R3771" s="57"/>
      <c r="S3771" s="58"/>
    </row>
    <row r="3772" spans="2:19" x14ac:dyDescent="0.25">
      <c r="B3772" s="52"/>
      <c r="C3772" s="53"/>
      <c r="D3772" s="54"/>
      <c r="E3772" s="55"/>
      <c r="F3772" s="55"/>
      <c r="G3772" s="55"/>
      <c r="H3772" s="55"/>
      <c r="I3772" s="55"/>
      <c r="J3772" s="55"/>
      <c r="K3772" s="56"/>
      <c r="L3772" s="55"/>
      <c r="M3772" s="55"/>
      <c r="N3772" s="55"/>
      <c r="O3772" s="55"/>
      <c r="P3772" s="55"/>
      <c r="Q3772" s="55"/>
      <c r="R3772" s="57"/>
      <c r="S3772" s="58"/>
    </row>
    <row r="3773" spans="2:19" x14ac:dyDescent="0.25">
      <c r="B3773" s="52"/>
      <c r="C3773" s="53"/>
      <c r="D3773" s="54"/>
      <c r="E3773" s="55"/>
      <c r="F3773" s="55"/>
      <c r="G3773" s="55"/>
      <c r="H3773" s="55"/>
      <c r="I3773" s="55"/>
      <c r="J3773" s="55"/>
      <c r="K3773" s="56"/>
      <c r="L3773" s="55"/>
      <c r="M3773" s="55"/>
      <c r="N3773" s="55"/>
      <c r="O3773" s="55"/>
      <c r="P3773" s="55"/>
      <c r="Q3773" s="55"/>
      <c r="R3773" s="57"/>
      <c r="S3773" s="58"/>
    </row>
    <row r="3774" spans="2:19" x14ac:dyDescent="0.25">
      <c r="B3774" s="52"/>
      <c r="C3774" s="53"/>
      <c r="D3774" s="54"/>
      <c r="E3774" s="55"/>
      <c r="F3774" s="55"/>
      <c r="G3774" s="55"/>
      <c r="H3774" s="55"/>
      <c r="I3774" s="55"/>
      <c r="J3774" s="55"/>
      <c r="K3774" s="56"/>
      <c r="L3774" s="55"/>
      <c r="M3774" s="55"/>
      <c r="N3774" s="55"/>
      <c r="O3774" s="55"/>
      <c r="P3774" s="55"/>
      <c r="Q3774" s="55"/>
      <c r="R3774" s="57"/>
      <c r="S3774" s="58"/>
    </row>
    <row r="3775" spans="2:19" x14ac:dyDescent="0.25">
      <c r="B3775" s="52"/>
      <c r="C3775" s="60"/>
      <c r="E3775" s="61"/>
      <c r="F3775" s="62"/>
      <c r="G3775" s="63"/>
      <c r="H3775" s="64"/>
      <c r="I3775" s="64"/>
      <c r="J3775" s="64"/>
      <c r="K3775" s="65"/>
      <c r="L3775" s="64"/>
      <c r="M3775" s="64"/>
      <c r="N3775" s="64"/>
      <c r="P3775" s="63"/>
      <c r="Q3775" s="61"/>
      <c r="R3775" s="64"/>
      <c r="S3775" s="64"/>
    </row>
    <row r="3776" spans="2:19" x14ac:dyDescent="0.25">
      <c r="B3776" s="52"/>
      <c r="C3776" s="53"/>
      <c r="D3776" s="54"/>
      <c r="E3776" s="55"/>
      <c r="F3776" s="55"/>
      <c r="G3776" s="55"/>
      <c r="H3776" s="55"/>
      <c r="I3776" s="55"/>
      <c r="J3776" s="55"/>
      <c r="K3776" s="56"/>
      <c r="L3776" s="55"/>
      <c r="M3776" s="55"/>
      <c r="N3776" s="55"/>
      <c r="O3776" s="55"/>
      <c r="P3776" s="55"/>
      <c r="Q3776" s="55"/>
      <c r="R3776" s="57"/>
      <c r="S3776" s="58"/>
    </row>
    <row r="3777" spans="2:19" x14ac:dyDescent="0.25">
      <c r="B3777" s="52"/>
      <c r="C3777" s="53"/>
      <c r="D3777" s="54"/>
      <c r="E3777" s="55"/>
      <c r="F3777" s="55"/>
      <c r="G3777" s="55"/>
      <c r="H3777" s="55"/>
      <c r="I3777" s="55"/>
      <c r="J3777" s="55"/>
      <c r="K3777" s="56"/>
      <c r="L3777" s="55"/>
      <c r="M3777" s="55"/>
      <c r="N3777" s="55"/>
      <c r="O3777" s="55"/>
      <c r="P3777" s="55"/>
      <c r="Q3777" s="55"/>
      <c r="R3777" s="57"/>
      <c r="S3777" s="58"/>
    </row>
    <row r="3778" spans="2:19" x14ac:dyDescent="0.25">
      <c r="B3778" s="52"/>
      <c r="C3778" s="53"/>
      <c r="D3778" s="54"/>
      <c r="E3778" s="55"/>
      <c r="F3778" s="55"/>
      <c r="G3778" s="55"/>
      <c r="H3778" s="55"/>
      <c r="I3778" s="55"/>
      <c r="J3778" s="55"/>
      <c r="K3778" s="56"/>
      <c r="L3778" s="55"/>
      <c r="M3778" s="55"/>
      <c r="N3778" s="55"/>
      <c r="O3778" s="55"/>
      <c r="P3778" s="55"/>
      <c r="Q3778" s="55"/>
      <c r="R3778" s="57"/>
      <c r="S3778" s="58"/>
    </row>
    <row r="3779" spans="2:19" x14ac:dyDescent="0.25">
      <c r="B3779" s="52"/>
      <c r="C3779" s="53"/>
      <c r="D3779" s="54"/>
      <c r="E3779" s="55"/>
      <c r="F3779" s="55"/>
      <c r="G3779" s="55"/>
      <c r="H3779" s="55"/>
      <c r="I3779" s="55"/>
      <c r="J3779" s="55"/>
      <c r="K3779" s="56"/>
      <c r="L3779" s="55"/>
      <c r="M3779" s="55"/>
      <c r="N3779" s="55"/>
      <c r="O3779" s="55"/>
      <c r="P3779" s="55"/>
      <c r="Q3779" s="55"/>
      <c r="R3779" s="57"/>
      <c r="S3779" s="58"/>
    </row>
    <row r="3780" spans="2:19" x14ac:dyDescent="0.25">
      <c r="B3780" s="52"/>
      <c r="C3780" s="53"/>
      <c r="D3780" s="54"/>
      <c r="E3780" s="55"/>
      <c r="F3780" s="55"/>
      <c r="G3780" s="55"/>
      <c r="H3780" s="55"/>
      <c r="I3780" s="55"/>
      <c r="J3780" s="55"/>
      <c r="K3780" s="56"/>
      <c r="L3780" s="55"/>
      <c r="M3780" s="55"/>
      <c r="N3780" s="55"/>
      <c r="O3780" s="55"/>
      <c r="P3780" s="55"/>
      <c r="Q3780" s="55"/>
      <c r="R3780" s="57"/>
      <c r="S3780" s="58"/>
    </row>
    <row r="3781" spans="2:19" x14ac:dyDescent="0.25">
      <c r="B3781" s="52"/>
      <c r="C3781" s="53"/>
      <c r="D3781" s="54"/>
      <c r="E3781" s="55"/>
      <c r="F3781" s="55"/>
      <c r="G3781" s="55"/>
      <c r="H3781" s="55"/>
      <c r="I3781" s="55"/>
      <c r="J3781" s="55"/>
      <c r="K3781" s="56"/>
      <c r="L3781" s="55"/>
      <c r="M3781" s="55"/>
      <c r="N3781" s="55"/>
      <c r="O3781" s="55"/>
      <c r="P3781" s="55"/>
      <c r="Q3781" s="55"/>
      <c r="R3781" s="57"/>
      <c r="S3781" s="58"/>
    </row>
    <row r="3782" spans="2:19" x14ac:dyDescent="0.25">
      <c r="B3782" s="52"/>
      <c r="C3782" s="53"/>
      <c r="D3782" s="54"/>
      <c r="E3782" s="55"/>
      <c r="F3782" s="55"/>
      <c r="G3782" s="55"/>
      <c r="H3782" s="55"/>
      <c r="I3782" s="55"/>
      <c r="J3782" s="55"/>
      <c r="K3782" s="56"/>
      <c r="L3782" s="55"/>
      <c r="M3782" s="55"/>
      <c r="N3782" s="55"/>
      <c r="O3782" s="55"/>
      <c r="P3782" s="55"/>
      <c r="Q3782" s="55"/>
      <c r="R3782" s="57"/>
      <c r="S3782" s="58"/>
    </row>
    <row r="3783" spans="2:19" x14ac:dyDescent="0.25">
      <c r="B3783" s="52"/>
      <c r="C3783" s="53"/>
      <c r="D3783" s="54"/>
      <c r="E3783" s="55"/>
      <c r="F3783" s="55"/>
      <c r="G3783" s="55"/>
      <c r="H3783" s="55"/>
      <c r="I3783" s="55"/>
      <c r="J3783" s="55"/>
      <c r="K3783" s="56"/>
      <c r="L3783" s="55"/>
      <c r="M3783" s="55"/>
      <c r="N3783" s="55"/>
      <c r="O3783" s="55"/>
      <c r="P3783" s="55"/>
      <c r="Q3783" s="55"/>
      <c r="R3783" s="57"/>
      <c r="S3783" s="58"/>
    </row>
    <row r="3784" spans="2:19" ht="15.75" x14ac:dyDescent="0.25">
      <c r="B3784" s="52"/>
      <c r="C3784" s="53"/>
      <c r="D3784" s="54"/>
      <c r="E3784" s="55"/>
      <c r="F3784" s="55"/>
      <c r="G3784" s="55"/>
      <c r="H3784" s="55"/>
      <c r="I3784" s="55"/>
      <c r="J3784" s="55"/>
      <c r="K3784" s="59"/>
      <c r="L3784" s="55"/>
      <c r="M3784" s="55"/>
      <c r="N3784" s="55"/>
      <c r="O3784" s="55"/>
      <c r="P3784" s="55"/>
      <c r="Q3784" s="55"/>
      <c r="R3784" s="57"/>
      <c r="S3784" s="58"/>
    </row>
    <row r="3785" spans="2:19" x14ac:dyDescent="0.25">
      <c r="B3785" s="52"/>
      <c r="C3785" s="53"/>
      <c r="D3785" s="54"/>
      <c r="E3785" s="55"/>
      <c r="F3785" s="55"/>
      <c r="G3785" s="55"/>
      <c r="H3785" s="55"/>
      <c r="I3785" s="55"/>
      <c r="J3785" s="55"/>
      <c r="K3785" s="56"/>
      <c r="L3785" s="55"/>
      <c r="M3785" s="55"/>
      <c r="N3785" s="55"/>
      <c r="O3785" s="55"/>
      <c r="P3785" s="55"/>
      <c r="Q3785" s="55"/>
      <c r="R3785" s="57"/>
      <c r="S3785" s="58"/>
    </row>
    <row r="3786" spans="2:19" x14ac:dyDescent="0.25">
      <c r="B3786" s="52"/>
      <c r="C3786" s="53"/>
      <c r="D3786" s="54"/>
      <c r="E3786" s="55"/>
      <c r="F3786" s="55"/>
      <c r="G3786" s="55"/>
      <c r="H3786" s="55"/>
      <c r="I3786" s="55"/>
      <c r="J3786" s="55"/>
      <c r="K3786" s="56"/>
      <c r="L3786" s="55"/>
      <c r="M3786" s="55"/>
      <c r="N3786" s="55"/>
      <c r="O3786" s="55"/>
      <c r="P3786" s="55"/>
      <c r="Q3786" s="55"/>
      <c r="R3786" s="57"/>
      <c r="S3786" s="58"/>
    </row>
    <row r="3787" spans="2:19" x14ac:dyDescent="0.25">
      <c r="B3787" s="52"/>
      <c r="C3787" s="53"/>
      <c r="D3787" s="54"/>
      <c r="E3787" s="55"/>
      <c r="F3787" s="55"/>
      <c r="G3787" s="55"/>
      <c r="H3787" s="55"/>
      <c r="I3787" s="55"/>
      <c r="J3787" s="55"/>
      <c r="K3787" s="56"/>
      <c r="L3787" s="55"/>
      <c r="M3787" s="55"/>
      <c r="N3787" s="55"/>
      <c r="O3787" s="55"/>
      <c r="P3787" s="55"/>
      <c r="Q3787" s="55"/>
      <c r="R3787" s="57"/>
      <c r="S3787" s="58"/>
    </row>
    <row r="3788" spans="2:19" x14ac:dyDescent="0.25">
      <c r="B3788" s="52"/>
      <c r="C3788" s="53"/>
      <c r="D3788" s="54"/>
      <c r="E3788" s="55"/>
      <c r="F3788" s="55"/>
      <c r="G3788" s="55"/>
      <c r="H3788" s="55"/>
      <c r="I3788" s="55"/>
      <c r="J3788" s="55"/>
      <c r="K3788" s="56"/>
      <c r="L3788" s="55"/>
      <c r="M3788" s="55"/>
      <c r="N3788" s="55"/>
      <c r="O3788" s="55"/>
      <c r="P3788" s="55"/>
      <c r="Q3788" s="55"/>
      <c r="R3788" s="57"/>
      <c r="S3788" s="58"/>
    </row>
    <row r="3789" spans="2:19" x14ac:dyDescent="0.25">
      <c r="B3789" s="52"/>
      <c r="C3789" s="53"/>
      <c r="D3789" s="54"/>
      <c r="E3789" s="55"/>
      <c r="F3789" s="55"/>
      <c r="G3789" s="55"/>
      <c r="H3789" s="55"/>
      <c r="I3789" s="55"/>
      <c r="J3789" s="55"/>
      <c r="K3789" s="56"/>
      <c r="L3789" s="55"/>
      <c r="M3789" s="55"/>
      <c r="N3789" s="55"/>
      <c r="O3789" s="55"/>
      <c r="P3789" s="55"/>
      <c r="Q3789" s="55"/>
      <c r="R3789" s="57"/>
      <c r="S3789" s="58"/>
    </row>
    <row r="3790" spans="2:19" x14ac:dyDescent="0.25">
      <c r="B3790" s="52"/>
      <c r="C3790" s="53"/>
      <c r="D3790" s="54"/>
      <c r="E3790" s="55"/>
      <c r="F3790" s="55"/>
      <c r="G3790" s="55"/>
      <c r="H3790" s="55"/>
      <c r="I3790" s="55"/>
      <c r="J3790" s="55"/>
      <c r="K3790" s="56"/>
      <c r="L3790" s="55"/>
      <c r="M3790" s="55"/>
      <c r="N3790" s="55"/>
      <c r="O3790" s="55"/>
      <c r="P3790" s="55"/>
      <c r="Q3790" s="55"/>
      <c r="R3790" s="57"/>
      <c r="S3790" s="58"/>
    </row>
    <row r="3791" spans="2:19" x14ac:dyDescent="0.25">
      <c r="B3791" s="52"/>
      <c r="C3791" s="53"/>
      <c r="D3791" s="54"/>
      <c r="E3791" s="55"/>
      <c r="F3791" s="55"/>
      <c r="G3791" s="55"/>
      <c r="H3791" s="55"/>
      <c r="I3791" s="55"/>
      <c r="J3791" s="55"/>
      <c r="K3791" s="56"/>
      <c r="L3791" s="55"/>
      <c r="M3791" s="55"/>
      <c r="N3791" s="55"/>
      <c r="O3791" s="55"/>
      <c r="P3791" s="55"/>
      <c r="Q3791" s="55"/>
      <c r="R3791" s="57"/>
      <c r="S3791" s="58"/>
    </row>
    <row r="3792" spans="2:19" x14ac:dyDescent="0.25">
      <c r="B3792" s="52"/>
      <c r="C3792" s="60"/>
      <c r="E3792" s="61"/>
      <c r="F3792" s="62"/>
      <c r="G3792" s="63"/>
      <c r="H3792" s="64"/>
      <c r="I3792" s="64"/>
      <c r="J3792" s="64"/>
      <c r="K3792" s="65"/>
      <c r="L3792" s="64"/>
      <c r="M3792" s="64"/>
      <c r="N3792" s="64"/>
      <c r="P3792" s="63"/>
      <c r="Q3792" s="61"/>
      <c r="R3792" s="64"/>
      <c r="S3792" s="64"/>
    </row>
    <row r="3793" spans="2:19" x14ac:dyDescent="0.25">
      <c r="B3793" s="52"/>
      <c r="C3793" s="53"/>
      <c r="D3793" s="54"/>
      <c r="E3793" s="55"/>
      <c r="F3793" s="55"/>
      <c r="G3793" s="55"/>
      <c r="H3793" s="55"/>
      <c r="I3793" s="55"/>
      <c r="J3793" s="55"/>
      <c r="K3793" s="56"/>
      <c r="L3793" s="55"/>
      <c r="M3793" s="55"/>
      <c r="N3793" s="55"/>
      <c r="O3793" s="55"/>
      <c r="P3793" s="55"/>
      <c r="Q3793" s="55"/>
      <c r="R3793" s="57"/>
      <c r="S3793" s="58"/>
    </row>
    <row r="3794" spans="2:19" x14ac:dyDescent="0.25">
      <c r="B3794" s="52"/>
      <c r="C3794" s="53"/>
      <c r="D3794" s="54"/>
      <c r="E3794" s="55"/>
      <c r="F3794" s="55"/>
      <c r="G3794" s="55"/>
      <c r="H3794" s="55"/>
      <c r="I3794" s="55"/>
      <c r="J3794" s="55"/>
      <c r="K3794" s="56"/>
      <c r="L3794" s="55"/>
      <c r="M3794" s="55"/>
      <c r="N3794" s="55"/>
      <c r="O3794" s="55"/>
      <c r="P3794" s="55"/>
      <c r="Q3794" s="55"/>
      <c r="R3794" s="57"/>
      <c r="S3794" s="58"/>
    </row>
    <row r="3795" spans="2:19" x14ac:dyDescent="0.25">
      <c r="B3795" s="52"/>
      <c r="C3795" s="53"/>
      <c r="D3795" s="54"/>
      <c r="E3795" s="55"/>
      <c r="F3795" s="55"/>
      <c r="G3795" s="55"/>
      <c r="H3795" s="55"/>
      <c r="I3795" s="55"/>
      <c r="J3795" s="55"/>
      <c r="K3795" s="56"/>
      <c r="L3795" s="55"/>
      <c r="M3795" s="55"/>
      <c r="N3795" s="55"/>
      <c r="O3795" s="55"/>
      <c r="P3795" s="55"/>
      <c r="Q3795" s="55"/>
      <c r="R3795" s="57"/>
      <c r="S3795" s="58"/>
    </row>
    <row r="3796" spans="2:19" x14ac:dyDescent="0.25">
      <c r="B3796" s="52"/>
      <c r="C3796" s="53"/>
      <c r="D3796" s="54"/>
      <c r="E3796" s="55"/>
      <c r="F3796" s="55"/>
      <c r="G3796" s="55"/>
      <c r="H3796" s="55"/>
      <c r="I3796" s="55"/>
      <c r="J3796" s="55"/>
      <c r="K3796" s="56"/>
      <c r="L3796" s="55"/>
      <c r="M3796" s="55"/>
      <c r="N3796" s="55"/>
      <c r="O3796" s="55"/>
      <c r="P3796" s="55"/>
      <c r="Q3796" s="55"/>
      <c r="R3796" s="57"/>
      <c r="S3796" s="58"/>
    </row>
    <row r="3797" spans="2:19" x14ac:dyDescent="0.25">
      <c r="B3797" s="52"/>
      <c r="C3797" s="53"/>
      <c r="D3797" s="54"/>
      <c r="E3797" s="55"/>
      <c r="F3797" s="55"/>
      <c r="G3797" s="55"/>
      <c r="H3797" s="55"/>
      <c r="I3797" s="55"/>
      <c r="J3797" s="55"/>
      <c r="K3797" s="56"/>
      <c r="L3797" s="55"/>
      <c r="M3797" s="55"/>
      <c r="N3797" s="55"/>
      <c r="O3797" s="55"/>
      <c r="P3797" s="55"/>
      <c r="Q3797" s="55"/>
      <c r="R3797" s="57"/>
      <c r="S3797" s="58"/>
    </row>
    <row r="3798" spans="2:19" x14ac:dyDescent="0.25">
      <c r="B3798" s="52"/>
      <c r="C3798" s="53"/>
      <c r="D3798" s="54"/>
      <c r="E3798" s="55"/>
      <c r="F3798" s="55"/>
      <c r="G3798" s="55"/>
      <c r="H3798" s="55"/>
      <c r="I3798" s="55"/>
      <c r="J3798" s="55"/>
      <c r="K3798" s="56"/>
      <c r="L3798" s="55"/>
      <c r="M3798" s="55"/>
      <c r="N3798" s="55"/>
      <c r="O3798" s="55"/>
      <c r="P3798" s="55"/>
      <c r="Q3798" s="55"/>
      <c r="R3798" s="57"/>
      <c r="S3798" s="58"/>
    </row>
    <row r="3799" spans="2:19" x14ac:dyDescent="0.25">
      <c r="B3799" s="52"/>
      <c r="C3799" s="53"/>
      <c r="D3799" s="54"/>
      <c r="E3799" s="55"/>
      <c r="F3799" s="55"/>
      <c r="G3799" s="55"/>
      <c r="H3799" s="55"/>
      <c r="I3799" s="55"/>
      <c r="J3799" s="55"/>
      <c r="K3799" s="56"/>
      <c r="L3799" s="55"/>
      <c r="M3799" s="55"/>
      <c r="N3799" s="55"/>
      <c r="O3799" s="55"/>
      <c r="P3799" s="55"/>
      <c r="Q3799" s="55"/>
      <c r="R3799" s="57"/>
      <c r="S3799" s="58"/>
    </row>
    <row r="3800" spans="2:19" x14ac:dyDescent="0.25">
      <c r="B3800" s="52"/>
      <c r="C3800" s="53"/>
      <c r="D3800" s="54"/>
      <c r="E3800" s="55"/>
      <c r="F3800" s="55"/>
      <c r="G3800" s="55"/>
      <c r="H3800" s="55"/>
      <c r="I3800" s="55"/>
      <c r="J3800" s="55"/>
      <c r="K3800" s="56"/>
      <c r="L3800" s="55"/>
      <c r="M3800" s="55"/>
      <c r="N3800" s="55"/>
      <c r="O3800" s="55"/>
      <c r="P3800" s="55"/>
      <c r="Q3800" s="55"/>
      <c r="R3800" s="57"/>
      <c r="S3800" s="58"/>
    </row>
    <row r="3801" spans="2:19" ht="15.75" x14ac:dyDescent="0.25">
      <c r="B3801" s="52"/>
      <c r="C3801" s="53"/>
      <c r="D3801" s="54"/>
      <c r="E3801" s="55"/>
      <c r="F3801" s="55"/>
      <c r="G3801" s="55"/>
      <c r="H3801" s="55"/>
      <c r="I3801" s="55"/>
      <c r="J3801" s="55"/>
      <c r="K3801" s="59"/>
      <c r="L3801" s="55"/>
      <c r="M3801" s="55"/>
      <c r="N3801" s="55"/>
      <c r="O3801" s="55"/>
      <c r="P3801" s="55"/>
      <c r="Q3801" s="55"/>
      <c r="R3801" s="57"/>
      <c r="S3801" s="58"/>
    </row>
    <row r="3802" spans="2:19" x14ac:dyDescent="0.25">
      <c r="B3802" s="52"/>
      <c r="C3802" s="53"/>
      <c r="D3802" s="54"/>
      <c r="E3802" s="55"/>
      <c r="F3802" s="55"/>
      <c r="G3802" s="55"/>
      <c r="H3802" s="55"/>
      <c r="I3802" s="55"/>
      <c r="J3802" s="55"/>
      <c r="K3802" s="56"/>
      <c r="L3802" s="55"/>
      <c r="M3802" s="55"/>
      <c r="N3802" s="55"/>
      <c r="O3802" s="55"/>
      <c r="P3802" s="55"/>
      <c r="Q3802" s="55"/>
      <c r="R3802" s="57"/>
      <c r="S3802" s="58"/>
    </row>
    <row r="3803" spans="2:19" x14ac:dyDescent="0.25">
      <c r="B3803" s="52"/>
      <c r="C3803" s="53"/>
      <c r="D3803" s="54"/>
      <c r="E3803" s="55"/>
      <c r="F3803" s="55"/>
      <c r="G3803" s="55"/>
      <c r="H3803" s="55"/>
      <c r="I3803" s="55"/>
      <c r="J3803" s="55"/>
      <c r="K3803" s="56"/>
      <c r="L3803" s="55"/>
      <c r="M3803" s="55"/>
      <c r="N3803" s="55"/>
      <c r="O3803" s="55"/>
      <c r="P3803" s="55"/>
      <c r="Q3803" s="55"/>
      <c r="R3803" s="57"/>
      <c r="S3803" s="58"/>
    </row>
    <row r="3804" spans="2:19" x14ac:dyDescent="0.25">
      <c r="B3804" s="52"/>
      <c r="C3804" s="53"/>
      <c r="D3804" s="54"/>
      <c r="E3804" s="55"/>
      <c r="F3804" s="55"/>
      <c r="G3804" s="55"/>
      <c r="H3804" s="55"/>
      <c r="I3804" s="55"/>
      <c r="J3804" s="55"/>
      <c r="K3804" s="56"/>
      <c r="L3804" s="55"/>
      <c r="M3804" s="55"/>
      <c r="N3804" s="55"/>
      <c r="O3804" s="55"/>
      <c r="P3804" s="55"/>
      <c r="Q3804" s="55"/>
      <c r="R3804" s="57"/>
      <c r="S3804" s="58"/>
    </row>
    <row r="3805" spans="2:19" x14ac:dyDescent="0.25">
      <c r="B3805" s="52"/>
      <c r="C3805" s="53"/>
      <c r="D3805" s="54"/>
      <c r="E3805" s="55"/>
      <c r="F3805" s="55"/>
      <c r="G3805" s="55"/>
      <c r="H3805" s="55"/>
      <c r="I3805" s="55"/>
      <c r="J3805" s="55"/>
      <c r="K3805" s="56"/>
      <c r="L3805" s="55"/>
      <c r="M3805" s="55"/>
      <c r="N3805" s="55"/>
      <c r="O3805" s="55"/>
      <c r="P3805" s="55"/>
      <c r="Q3805" s="55"/>
      <c r="R3805" s="57"/>
      <c r="S3805" s="58"/>
    </row>
    <row r="3806" spans="2:19" x14ac:dyDescent="0.25">
      <c r="B3806" s="52"/>
      <c r="C3806" s="53"/>
      <c r="D3806" s="54"/>
      <c r="E3806" s="55"/>
      <c r="F3806" s="55"/>
      <c r="G3806" s="55"/>
      <c r="H3806" s="55"/>
      <c r="I3806" s="55"/>
      <c r="J3806" s="55"/>
      <c r="K3806" s="56"/>
      <c r="L3806" s="55"/>
      <c r="M3806" s="55"/>
      <c r="N3806" s="55"/>
      <c r="O3806" s="55"/>
      <c r="P3806" s="55"/>
      <c r="Q3806" s="55"/>
      <c r="R3806" s="57"/>
      <c r="S3806" s="58"/>
    </row>
    <row r="3807" spans="2:19" x14ac:dyDescent="0.25">
      <c r="B3807" s="52"/>
      <c r="C3807" s="53"/>
      <c r="D3807" s="54"/>
      <c r="E3807" s="55"/>
      <c r="F3807" s="55"/>
      <c r="G3807" s="55"/>
      <c r="H3807" s="55"/>
      <c r="I3807" s="55"/>
      <c r="J3807" s="55"/>
      <c r="K3807" s="56"/>
      <c r="L3807" s="55"/>
      <c r="M3807" s="55"/>
      <c r="N3807" s="55"/>
      <c r="O3807" s="55"/>
      <c r="P3807" s="55"/>
      <c r="Q3807" s="55"/>
      <c r="R3807" s="57"/>
      <c r="S3807" s="58"/>
    </row>
    <row r="3808" spans="2:19" x14ac:dyDescent="0.25">
      <c r="B3808" s="52"/>
      <c r="C3808" s="53"/>
      <c r="D3808" s="54"/>
      <c r="E3808" s="55"/>
      <c r="F3808" s="55"/>
      <c r="G3808" s="55"/>
      <c r="H3808" s="55"/>
      <c r="I3808" s="55"/>
      <c r="J3808" s="55"/>
      <c r="K3808" s="56"/>
      <c r="L3808" s="55"/>
      <c r="M3808" s="55"/>
      <c r="N3808" s="55"/>
      <c r="O3808" s="55"/>
      <c r="P3808" s="55"/>
      <c r="Q3808" s="55"/>
      <c r="R3808" s="57"/>
      <c r="S3808" s="58"/>
    </row>
    <row r="3809" spans="2:19" x14ac:dyDescent="0.25">
      <c r="B3809" s="52"/>
      <c r="C3809" s="60"/>
      <c r="E3809" s="61"/>
      <c r="F3809" s="62"/>
      <c r="G3809" s="63"/>
      <c r="H3809" s="64"/>
      <c r="I3809" s="64"/>
      <c r="J3809" s="64"/>
      <c r="K3809" s="65"/>
      <c r="L3809" s="64"/>
      <c r="M3809" s="64"/>
      <c r="N3809" s="64"/>
      <c r="P3809" s="63"/>
      <c r="Q3809" s="61"/>
      <c r="R3809" s="64"/>
      <c r="S3809" s="64"/>
    </row>
    <row r="3810" spans="2:19" x14ac:dyDescent="0.25">
      <c r="B3810" s="52"/>
      <c r="C3810" s="53"/>
      <c r="D3810" s="54"/>
      <c r="E3810" s="55"/>
      <c r="F3810" s="55"/>
      <c r="G3810" s="55"/>
      <c r="H3810" s="55"/>
      <c r="I3810" s="55"/>
      <c r="J3810" s="55"/>
      <c r="K3810" s="56"/>
      <c r="L3810" s="55"/>
      <c r="M3810" s="55"/>
      <c r="N3810" s="55"/>
      <c r="O3810" s="55"/>
      <c r="P3810" s="55"/>
      <c r="Q3810" s="55"/>
      <c r="R3810" s="57"/>
      <c r="S3810" s="58"/>
    </row>
    <row r="3811" spans="2:19" x14ac:dyDescent="0.25">
      <c r="B3811" s="52"/>
      <c r="C3811" s="53"/>
      <c r="D3811" s="54"/>
      <c r="E3811" s="55"/>
      <c r="F3811" s="55"/>
      <c r="G3811" s="55"/>
      <c r="H3811" s="55"/>
      <c r="I3811" s="55"/>
      <c r="J3811" s="55"/>
      <c r="K3811" s="56"/>
      <c r="L3811" s="55"/>
      <c r="M3811" s="55"/>
      <c r="N3811" s="55"/>
      <c r="O3811" s="55"/>
      <c r="P3811" s="55"/>
      <c r="Q3811" s="55"/>
      <c r="R3811" s="57"/>
      <c r="S3811" s="58"/>
    </row>
    <row r="3812" spans="2:19" x14ac:dyDescent="0.25">
      <c r="B3812" s="52"/>
      <c r="C3812" s="53"/>
      <c r="D3812" s="54"/>
      <c r="E3812" s="55"/>
      <c r="F3812" s="55"/>
      <c r="G3812" s="55"/>
      <c r="H3812" s="55"/>
      <c r="I3812" s="55"/>
      <c r="J3812" s="55"/>
      <c r="K3812" s="56"/>
      <c r="L3812" s="55"/>
      <c r="M3812" s="55"/>
      <c r="N3812" s="55"/>
      <c r="O3812" s="55"/>
      <c r="P3812" s="55"/>
      <c r="Q3812" s="55"/>
      <c r="R3812" s="57"/>
      <c r="S3812" s="58"/>
    </row>
    <row r="3813" spans="2:19" x14ac:dyDescent="0.25">
      <c r="B3813" s="52"/>
      <c r="C3813" s="53"/>
      <c r="D3813" s="54"/>
      <c r="E3813" s="55"/>
      <c r="F3813" s="55"/>
      <c r="G3813" s="55"/>
      <c r="H3813" s="55"/>
      <c r="I3813" s="55"/>
      <c r="J3813" s="55"/>
      <c r="K3813" s="56"/>
      <c r="L3813" s="55"/>
      <c r="M3813" s="55"/>
      <c r="N3813" s="55"/>
      <c r="O3813" s="55"/>
      <c r="P3813" s="55"/>
      <c r="Q3813" s="55"/>
      <c r="R3813" s="57"/>
      <c r="S3813" s="58"/>
    </row>
    <row r="3814" spans="2:19" x14ac:dyDescent="0.25">
      <c r="B3814" s="52"/>
      <c r="C3814" s="53"/>
      <c r="D3814" s="54"/>
      <c r="E3814" s="55"/>
      <c r="F3814" s="55"/>
      <c r="G3814" s="55"/>
      <c r="H3814" s="55"/>
      <c r="I3814" s="55"/>
      <c r="J3814" s="55"/>
      <c r="K3814" s="56"/>
      <c r="L3814" s="55"/>
      <c r="M3814" s="55"/>
      <c r="N3814" s="55"/>
      <c r="O3814" s="55"/>
      <c r="P3814" s="55"/>
      <c r="Q3814" s="55"/>
      <c r="R3814" s="57"/>
      <c r="S3814" s="58"/>
    </row>
    <row r="3815" spans="2:19" x14ac:dyDescent="0.25">
      <c r="B3815" s="52"/>
      <c r="C3815" s="53"/>
      <c r="D3815" s="54"/>
      <c r="E3815" s="55"/>
      <c r="F3815" s="55"/>
      <c r="G3815" s="55"/>
      <c r="H3815" s="55"/>
      <c r="I3815" s="55"/>
      <c r="J3815" s="55"/>
      <c r="K3815" s="56"/>
      <c r="L3815" s="55"/>
      <c r="M3815" s="55"/>
      <c r="N3815" s="55"/>
      <c r="O3815" s="55"/>
      <c r="P3815" s="55"/>
      <c r="Q3815" s="55"/>
      <c r="R3815" s="57"/>
      <c r="S3815" s="58"/>
    </row>
    <row r="3816" spans="2:19" x14ac:dyDescent="0.25">
      <c r="B3816" s="52"/>
      <c r="C3816" s="53"/>
      <c r="D3816" s="54"/>
      <c r="E3816" s="55"/>
      <c r="F3816" s="55"/>
      <c r="G3816" s="55"/>
      <c r="H3816" s="55"/>
      <c r="I3816" s="55"/>
      <c r="J3816" s="55"/>
      <c r="K3816" s="56"/>
      <c r="L3816" s="55"/>
      <c r="M3816" s="55"/>
      <c r="N3816" s="55"/>
      <c r="O3816" s="55"/>
      <c r="P3816" s="55"/>
      <c r="Q3816" s="55"/>
      <c r="R3816" s="57"/>
      <c r="S3816" s="58"/>
    </row>
    <row r="3817" spans="2:19" x14ac:dyDescent="0.25">
      <c r="B3817" s="52"/>
      <c r="C3817" s="53"/>
      <c r="D3817" s="54"/>
      <c r="E3817" s="55"/>
      <c r="F3817" s="55"/>
      <c r="G3817" s="55"/>
      <c r="H3817" s="55"/>
      <c r="I3817" s="55"/>
      <c r="J3817" s="55"/>
      <c r="K3817" s="56"/>
      <c r="L3817" s="55"/>
      <c r="M3817" s="55"/>
      <c r="N3817" s="55"/>
      <c r="O3817" s="55"/>
      <c r="P3817" s="55"/>
      <c r="Q3817" s="55"/>
      <c r="R3817" s="57"/>
      <c r="S3817" s="58"/>
    </row>
    <row r="3818" spans="2:19" ht="15.75" x14ac:dyDescent="0.25">
      <c r="B3818" s="52"/>
      <c r="C3818" s="53"/>
      <c r="D3818" s="54"/>
      <c r="E3818" s="55"/>
      <c r="F3818" s="55"/>
      <c r="G3818" s="55"/>
      <c r="H3818" s="55"/>
      <c r="I3818" s="55"/>
      <c r="J3818" s="55"/>
      <c r="K3818" s="59"/>
      <c r="L3818" s="55"/>
      <c r="M3818" s="55"/>
      <c r="N3818" s="55"/>
      <c r="O3818" s="55"/>
      <c r="P3818" s="55"/>
      <c r="Q3818" s="55"/>
      <c r="R3818" s="57"/>
      <c r="S3818" s="58"/>
    </row>
    <row r="3819" spans="2:19" x14ac:dyDescent="0.25">
      <c r="B3819" s="52"/>
      <c r="C3819" s="53"/>
      <c r="D3819" s="54"/>
      <c r="E3819" s="55"/>
      <c r="F3819" s="55"/>
      <c r="G3819" s="55"/>
      <c r="H3819" s="55"/>
      <c r="I3819" s="55"/>
      <c r="J3819" s="55"/>
      <c r="K3819" s="56"/>
      <c r="L3819" s="55"/>
      <c r="M3819" s="55"/>
      <c r="N3819" s="55"/>
      <c r="O3819" s="55"/>
      <c r="P3819" s="55"/>
      <c r="Q3819" s="55"/>
      <c r="R3819" s="57"/>
      <c r="S3819" s="58"/>
    </row>
    <row r="3820" spans="2:19" x14ac:dyDescent="0.25">
      <c r="B3820" s="52"/>
      <c r="C3820" s="53"/>
      <c r="D3820" s="54"/>
      <c r="E3820" s="55"/>
      <c r="F3820" s="55"/>
      <c r="G3820" s="55"/>
      <c r="H3820" s="55"/>
      <c r="I3820" s="55"/>
      <c r="J3820" s="55"/>
      <c r="K3820" s="56"/>
      <c r="L3820" s="55"/>
      <c r="M3820" s="55"/>
      <c r="N3820" s="55"/>
      <c r="O3820" s="55"/>
      <c r="P3820" s="55"/>
      <c r="Q3820" s="55"/>
      <c r="R3820" s="57"/>
      <c r="S3820" s="58"/>
    </row>
    <row r="3821" spans="2:19" x14ac:dyDescent="0.25">
      <c r="B3821" s="52"/>
      <c r="C3821" s="53"/>
      <c r="D3821" s="54"/>
      <c r="E3821" s="55"/>
      <c r="F3821" s="55"/>
      <c r="G3821" s="55"/>
      <c r="H3821" s="55"/>
      <c r="I3821" s="55"/>
      <c r="J3821" s="55"/>
      <c r="K3821" s="56"/>
      <c r="L3821" s="55"/>
      <c r="M3821" s="55"/>
      <c r="N3821" s="55"/>
      <c r="O3821" s="55"/>
      <c r="P3821" s="55"/>
      <c r="Q3821" s="55"/>
      <c r="R3821" s="57"/>
      <c r="S3821" s="58"/>
    </row>
    <row r="3822" spans="2:19" x14ac:dyDescent="0.25">
      <c r="B3822" s="52"/>
      <c r="C3822" s="53"/>
      <c r="D3822" s="54"/>
      <c r="E3822" s="55"/>
      <c r="F3822" s="55"/>
      <c r="G3822" s="55"/>
      <c r="H3822" s="55"/>
      <c r="I3822" s="55"/>
      <c r="J3822" s="55"/>
      <c r="K3822" s="56"/>
      <c r="L3822" s="55"/>
      <c r="M3822" s="55"/>
      <c r="N3822" s="55"/>
      <c r="O3822" s="55"/>
      <c r="P3822" s="55"/>
      <c r="Q3822" s="55"/>
      <c r="R3822" s="57"/>
      <c r="S3822" s="58"/>
    </row>
    <row r="3823" spans="2:19" x14ac:dyDescent="0.25">
      <c r="B3823" s="52"/>
      <c r="C3823" s="53"/>
      <c r="D3823" s="54"/>
      <c r="E3823" s="55"/>
      <c r="F3823" s="55"/>
      <c r="G3823" s="55"/>
      <c r="H3823" s="55"/>
      <c r="I3823" s="55"/>
      <c r="J3823" s="55"/>
      <c r="K3823" s="56"/>
      <c r="L3823" s="55"/>
      <c r="M3823" s="55"/>
      <c r="N3823" s="55"/>
      <c r="O3823" s="55"/>
      <c r="P3823" s="55"/>
      <c r="Q3823" s="55"/>
      <c r="R3823" s="57"/>
      <c r="S3823" s="58"/>
    </row>
    <row r="3824" spans="2:19" x14ac:dyDescent="0.25">
      <c r="B3824" s="52"/>
      <c r="C3824" s="53"/>
      <c r="D3824" s="54"/>
      <c r="E3824" s="55"/>
      <c r="F3824" s="55"/>
      <c r="G3824" s="55"/>
      <c r="H3824" s="55"/>
      <c r="I3824" s="55"/>
      <c r="J3824" s="55"/>
      <c r="K3824" s="56"/>
      <c r="L3824" s="55"/>
      <c r="M3824" s="55"/>
      <c r="N3824" s="55"/>
      <c r="O3824" s="55"/>
      <c r="P3824" s="55"/>
      <c r="Q3824" s="55"/>
      <c r="R3824" s="57"/>
      <c r="S3824" s="58"/>
    </row>
    <row r="3825" spans="2:19" x14ac:dyDescent="0.25">
      <c r="B3825" s="52"/>
      <c r="C3825" s="53"/>
      <c r="D3825" s="54"/>
      <c r="E3825" s="55"/>
      <c r="F3825" s="55"/>
      <c r="G3825" s="55"/>
      <c r="H3825" s="55"/>
      <c r="I3825" s="55"/>
      <c r="J3825" s="55"/>
      <c r="K3825" s="56"/>
      <c r="L3825" s="55"/>
      <c r="M3825" s="55"/>
      <c r="N3825" s="55"/>
      <c r="O3825" s="55"/>
      <c r="P3825" s="55"/>
      <c r="Q3825" s="55"/>
      <c r="R3825" s="57"/>
      <c r="S3825" s="58"/>
    </row>
    <row r="3826" spans="2:19" x14ac:dyDescent="0.25">
      <c r="B3826" s="52"/>
      <c r="C3826" s="60"/>
      <c r="E3826" s="61"/>
      <c r="F3826" s="62"/>
      <c r="G3826" s="63"/>
      <c r="H3826" s="64"/>
      <c r="I3826" s="64"/>
      <c r="J3826" s="64"/>
      <c r="K3826" s="65"/>
      <c r="L3826" s="64"/>
      <c r="M3826" s="64"/>
      <c r="N3826" s="64"/>
      <c r="P3826" s="63"/>
      <c r="Q3826" s="61"/>
      <c r="R3826" s="64"/>
      <c r="S3826" s="64"/>
    </row>
    <row r="3827" spans="2:19" x14ac:dyDescent="0.25">
      <c r="B3827" s="52"/>
      <c r="C3827" s="53"/>
      <c r="D3827" s="54"/>
      <c r="E3827" s="55"/>
      <c r="F3827" s="55"/>
      <c r="G3827" s="55"/>
      <c r="H3827" s="55"/>
      <c r="I3827" s="55"/>
      <c r="J3827" s="55"/>
      <c r="K3827" s="56"/>
      <c r="L3827" s="55"/>
      <c r="M3827" s="55"/>
      <c r="N3827" s="55"/>
      <c r="O3827" s="55"/>
      <c r="P3827" s="55"/>
      <c r="Q3827" s="55"/>
      <c r="R3827" s="57"/>
      <c r="S3827" s="58"/>
    </row>
    <row r="3828" spans="2:19" x14ac:dyDescent="0.25">
      <c r="B3828" s="52"/>
      <c r="C3828" s="53"/>
      <c r="D3828" s="54"/>
      <c r="E3828" s="55"/>
      <c r="F3828" s="55"/>
      <c r="G3828" s="55"/>
      <c r="H3828" s="55"/>
      <c r="I3828" s="55"/>
      <c r="J3828" s="55"/>
      <c r="K3828" s="56"/>
      <c r="L3828" s="55"/>
      <c r="M3828" s="55"/>
      <c r="N3828" s="55"/>
      <c r="O3828" s="55"/>
      <c r="P3828" s="55"/>
      <c r="Q3828" s="55"/>
      <c r="R3828" s="57"/>
      <c r="S3828" s="58"/>
    </row>
    <row r="3829" spans="2:19" x14ac:dyDescent="0.25">
      <c r="B3829" s="52"/>
      <c r="C3829" s="53"/>
      <c r="D3829" s="54"/>
      <c r="E3829" s="55"/>
      <c r="F3829" s="55"/>
      <c r="G3829" s="55"/>
      <c r="H3829" s="55"/>
      <c r="I3829" s="55"/>
      <c r="J3829" s="55"/>
      <c r="K3829" s="56"/>
      <c r="L3829" s="55"/>
      <c r="M3829" s="55"/>
      <c r="N3829" s="55"/>
      <c r="O3829" s="55"/>
      <c r="P3829" s="55"/>
      <c r="Q3829" s="55"/>
      <c r="R3829" s="57"/>
      <c r="S3829" s="58"/>
    </row>
    <row r="3830" spans="2:19" x14ac:dyDescent="0.25">
      <c r="B3830" s="52"/>
      <c r="C3830" s="53"/>
      <c r="D3830" s="54"/>
      <c r="E3830" s="55"/>
      <c r="F3830" s="55"/>
      <c r="G3830" s="55"/>
      <c r="H3830" s="55"/>
      <c r="I3830" s="55"/>
      <c r="J3830" s="55"/>
      <c r="K3830" s="56"/>
      <c r="L3830" s="55"/>
      <c r="M3830" s="55"/>
      <c r="N3830" s="55"/>
      <c r="O3830" s="55"/>
      <c r="P3830" s="55"/>
      <c r="Q3830" s="55"/>
      <c r="R3830" s="57"/>
      <c r="S3830" s="58"/>
    </row>
    <row r="3831" spans="2:19" x14ac:dyDescent="0.25">
      <c r="B3831" s="52"/>
      <c r="C3831" s="53"/>
      <c r="D3831" s="54"/>
      <c r="E3831" s="55"/>
      <c r="F3831" s="55"/>
      <c r="G3831" s="55"/>
      <c r="H3831" s="55"/>
      <c r="I3831" s="55"/>
      <c r="J3831" s="55"/>
      <c r="K3831" s="56"/>
      <c r="L3831" s="55"/>
      <c r="M3831" s="55"/>
      <c r="N3831" s="55"/>
      <c r="O3831" s="55"/>
      <c r="P3831" s="55"/>
      <c r="Q3831" s="55"/>
      <c r="R3831" s="57"/>
      <c r="S3831" s="58"/>
    </row>
    <row r="3832" spans="2:19" x14ac:dyDescent="0.25">
      <c r="B3832" s="52"/>
      <c r="C3832" s="53"/>
      <c r="D3832" s="54"/>
      <c r="E3832" s="55"/>
      <c r="F3832" s="55"/>
      <c r="G3832" s="55"/>
      <c r="H3832" s="55"/>
      <c r="I3832" s="55"/>
      <c r="J3832" s="55"/>
      <c r="K3832" s="56"/>
      <c r="L3832" s="55"/>
      <c r="M3832" s="55"/>
      <c r="N3832" s="55"/>
      <c r="O3832" s="55"/>
      <c r="P3832" s="55"/>
      <c r="Q3832" s="55"/>
      <c r="R3832" s="57"/>
      <c r="S3832" s="58"/>
    </row>
    <row r="3833" spans="2:19" x14ac:dyDescent="0.25">
      <c r="B3833" s="52"/>
      <c r="C3833" s="53"/>
      <c r="D3833" s="54"/>
      <c r="E3833" s="55"/>
      <c r="F3833" s="55"/>
      <c r="G3833" s="55"/>
      <c r="H3833" s="55"/>
      <c r="I3833" s="55"/>
      <c r="J3833" s="55"/>
      <c r="K3833" s="56"/>
      <c r="L3833" s="55"/>
      <c r="M3833" s="55"/>
      <c r="N3833" s="55"/>
      <c r="O3833" s="55"/>
      <c r="P3833" s="55"/>
      <c r="Q3833" s="55"/>
      <c r="R3833" s="57"/>
      <c r="S3833" s="58"/>
    </row>
    <row r="3834" spans="2:19" x14ac:dyDescent="0.25">
      <c r="B3834" s="52"/>
      <c r="C3834" s="53"/>
      <c r="D3834" s="54"/>
      <c r="E3834" s="55"/>
      <c r="F3834" s="55"/>
      <c r="G3834" s="55"/>
      <c r="H3834" s="55"/>
      <c r="I3834" s="55"/>
      <c r="J3834" s="55"/>
      <c r="K3834" s="56"/>
      <c r="L3834" s="55"/>
      <c r="M3834" s="55"/>
      <c r="N3834" s="55"/>
      <c r="O3834" s="55"/>
      <c r="P3834" s="55"/>
      <c r="Q3834" s="55"/>
      <c r="R3834" s="57"/>
      <c r="S3834" s="58"/>
    </row>
    <row r="3835" spans="2:19" ht="15.75" x14ac:dyDescent="0.25">
      <c r="B3835" s="52"/>
      <c r="C3835" s="53"/>
      <c r="D3835" s="54"/>
      <c r="E3835" s="55"/>
      <c r="F3835" s="55"/>
      <c r="G3835" s="55"/>
      <c r="H3835" s="55"/>
      <c r="I3835" s="55"/>
      <c r="J3835" s="55"/>
      <c r="K3835" s="59"/>
      <c r="L3835" s="55"/>
      <c r="M3835" s="55"/>
      <c r="N3835" s="55"/>
      <c r="O3835" s="55"/>
      <c r="P3835" s="55"/>
      <c r="Q3835" s="55"/>
      <c r="R3835" s="57"/>
      <c r="S3835" s="58"/>
    </row>
    <row r="3836" spans="2:19" x14ac:dyDescent="0.25">
      <c r="B3836" s="52"/>
      <c r="C3836" s="53"/>
      <c r="D3836" s="54"/>
      <c r="E3836" s="55"/>
      <c r="F3836" s="55"/>
      <c r="G3836" s="55"/>
      <c r="H3836" s="55"/>
      <c r="I3836" s="55"/>
      <c r="J3836" s="55"/>
      <c r="K3836" s="56"/>
      <c r="L3836" s="55"/>
      <c r="M3836" s="55"/>
      <c r="N3836" s="55"/>
      <c r="O3836" s="55"/>
      <c r="P3836" s="55"/>
      <c r="Q3836" s="55"/>
      <c r="R3836" s="57"/>
      <c r="S3836" s="58"/>
    </row>
    <row r="3837" spans="2:19" x14ac:dyDescent="0.25">
      <c r="B3837" s="52"/>
      <c r="C3837" s="53"/>
      <c r="D3837" s="54"/>
      <c r="E3837" s="55"/>
      <c r="F3837" s="55"/>
      <c r="G3837" s="55"/>
      <c r="H3837" s="55"/>
      <c r="I3837" s="55"/>
      <c r="J3837" s="55"/>
      <c r="K3837" s="56"/>
      <c r="L3837" s="55"/>
      <c r="M3837" s="55"/>
      <c r="N3837" s="55"/>
      <c r="O3837" s="55"/>
      <c r="P3837" s="55"/>
      <c r="Q3837" s="55"/>
      <c r="R3837" s="57"/>
      <c r="S3837" s="58"/>
    </row>
    <row r="3838" spans="2:19" x14ac:dyDescent="0.25">
      <c r="B3838" s="52"/>
      <c r="C3838" s="53"/>
      <c r="D3838" s="54"/>
      <c r="E3838" s="55"/>
      <c r="F3838" s="55"/>
      <c r="G3838" s="55"/>
      <c r="H3838" s="55"/>
      <c r="I3838" s="55"/>
      <c r="J3838" s="55"/>
      <c r="K3838" s="56"/>
      <c r="L3838" s="55"/>
      <c r="M3838" s="55"/>
      <c r="N3838" s="55"/>
      <c r="O3838" s="55"/>
      <c r="P3838" s="55"/>
      <c r="Q3838" s="55"/>
      <c r="R3838" s="57"/>
      <c r="S3838" s="58"/>
    </row>
    <row r="3839" spans="2:19" x14ac:dyDescent="0.25">
      <c r="B3839" s="52"/>
      <c r="C3839" s="53"/>
      <c r="D3839" s="54"/>
      <c r="E3839" s="55"/>
      <c r="F3839" s="55"/>
      <c r="G3839" s="55"/>
      <c r="H3839" s="55"/>
      <c r="I3839" s="55"/>
      <c r="J3839" s="55"/>
      <c r="K3839" s="56"/>
      <c r="L3839" s="55"/>
      <c r="M3839" s="55"/>
      <c r="N3839" s="55"/>
      <c r="O3839" s="55"/>
      <c r="P3839" s="55"/>
      <c r="Q3839" s="55"/>
      <c r="R3839" s="57"/>
      <c r="S3839" s="58"/>
    </row>
    <row r="3840" spans="2:19" x14ac:dyDescent="0.25">
      <c r="B3840" s="52"/>
      <c r="C3840" s="53"/>
      <c r="D3840" s="54"/>
      <c r="E3840" s="55"/>
      <c r="F3840" s="55"/>
      <c r="G3840" s="55"/>
      <c r="H3840" s="55"/>
      <c r="I3840" s="55"/>
      <c r="J3840" s="55"/>
      <c r="K3840" s="56"/>
      <c r="L3840" s="55"/>
      <c r="M3840" s="55"/>
      <c r="N3840" s="55"/>
      <c r="O3840" s="55"/>
      <c r="P3840" s="55"/>
      <c r="Q3840" s="55"/>
      <c r="R3840" s="57"/>
      <c r="S3840" s="58"/>
    </row>
    <row r="3841" spans="2:19" x14ac:dyDescent="0.25">
      <c r="B3841" s="52"/>
      <c r="C3841" s="53"/>
      <c r="D3841" s="54"/>
      <c r="E3841" s="55"/>
      <c r="F3841" s="55"/>
      <c r="G3841" s="55"/>
      <c r="H3841" s="55"/>
      <c r="I3841" s="55"/>
      <c r="J3841" s="55"/>
      <c r="K3841" s="56"/>
      <c r="L3841" s="55"/>
      <c r="M3841" s="55"/>
      <c r="N3841" s="55"/>
      <c r="O3841" s="55"/>
      <c r="P3841" s="55"/>
      <c r="Q3841" s="55"/>
      <c r="R3841" s="57"/>
      <c r="S3841" s="58"/>
    </row>
    <row r="3842" spans="2:19" x14ac:dyDescent="0.25">
      <c r="B3842" s="52"/>
      <c r="C3842" s="53"/>
      <c r="D3842" s="54"/>
      <c r="E3842" s="55"/>
      <c r="F3842" s="55"/>
      <c r="G3842" s="55"/>
      <c r="H3842" s="55"/>
      <c r="I3842" s="55"/>
      <c r="J3842" s="55"/>
      <c r="K3842" s="56"/>
      <c r="L3842" s="55"/>
      <c r="M3842" s="55"/>
      <c r="N3842" s="55"/>
      <c r="O3842" s="55"/>
      <c r="P3842" s="55"/>
      <c r="Q3842" s="55"/>
      <c r="R3842" s="57"/>
      <c r="S3842" s="58"/>
    </row>
    <row r="3843" spans="2:19" x14ac:dyDescent="0.25">
      <c r="B3843" s="52"/>
      <c r="C3843" s="60"/>
      <c r="E3843" s="61"/>
      <c r="F3843" s="62"/>
      <c r="G3843" s="63"/>
      <c r="H3843" s="64"/>
      <c r="I3843" s="64"/>
      <c r="J3843" s="64"/>
      <c r="K3843" s="65"/>
      <c r="L3843" s="64"/>
      <c r="M3843" s="64"/>
      <c r="N3843" s="64"/>
      <c r="P3843" s="63"/>
      <c r="Q3843" s="61"/>
      <c r="R3843" s="64"/>
      <c r="S3843" s="64"/>
    </row>
    <row r="3844" spans="2:19" x14ac:dyDescent="0.25">
      <c r="B3844" s="52"/>
      <c r="C3844" s="53"/>
      <c r="D3844" s="54"/>
      <c r="E3844" s="55"/>
      <c r="F3844" s="55"/>
      <c r="G3844" s="55"/>
      <c r="H3844" s="55"/>
      <c r="I3844" s="55"/>
      <c r="J3844" s="55"/>
      <c r="K3844" s="56"/>
      <c r="L3844" s="55"/>
      <c r="M3844" s="55"/>
      <c r="N3844" s="55"/>
      <c r="O3844" s="55"/>
      <c r="P3844" s="55"/>
      <c r="Q3844" s="55"/>
      <c r="R3844" s="57"/>
      <c r="S3844" s="58"/>
    </row>
    <row r="3845" spans="2:19" x14ac:dyDescent="0.25">
      <c r="B3845" s="52"/>
      <c r="C3845" s="53"/>
      <c r="D3845" s="54"/>
      <c r="E3845" s="55"/>
      <c r="F3845" s="55"/>
      <c r="G3845" s="55"/>
      <c r="H3845" s="55"/>
      <c r="I3845" s="55"/>
      <c r="J3845" s="55"/>
      <c r="K3845" s="56"/>
      <c r="L3845" s="55"/>
      <c r="M3845" s="55"/>
      <c r="N3845" s="55"/>
      <c r="O3845" s="55"/>
      <c r="P3845" s="55"/>
      <c r="Q3845" s="55"/>
      <c r="R3845" s="57"/>
      <c r="S3845" s="58"/>
    </row>
    <row r="3846" spans="2:19" x14ac:dyDescent="0.25">
      <c r="B3846" s="52"/>
      <c r="C3846" s="53"/>
      <c r="D3846" s="54"/>
      <c r="E3846" s="55"/>
      <c r="F3846" s="55"/>
      <c r="G3846" s="55"/>
      <c r="H3846" s="55"/>
      <c r="I3846" s="55"/>
      <c r="J3846" s="55"/>
      <c r="K3846" s="56"/>
      <c r="L3846" s="55"/>
      <c r="M3846" s="55"/>
      <c r="N3846" s="55"/>
      <c r="O3846" s="55"/>
      <c r="P3846" s="55"/>
      <c r="Q3846" s="55"/>
      <c r="R3846" s="57"/>
      <c r="S3846" s="58"/>
    </row>
    <row r="3847" spans="2:19" x14ac:dyDescent="0.25">
      <c r="B3847" s="52"/>
      <c r="C3847" s="53"/>
      <c r="D3847" s="54"/>
      <c r="E3847" s="55"/>
      <c r="F3847" s="55"/>
      <c r="G3847" s="55"/>
      <c r="H3847" s="55"/>
      <c r="I3847" s="55"/>
      <c r="J3847" s="55"/>
      <c r="K3847" s="56"/>
      <c r="L3847" s="55"/>
      <c r="M3847" s="55"/>
      <c r="N3847" s="55"/>
      <c r="O3847" s="55"/>
      <c r="P3847" s="55"/>
      <c r="Q3847" s="55"/>
      <c r="R3847" s="57"/>
      <c r="S3847" s="58"/>
    </row>
    <row r="3848" spans="2:19" x14ac:dyDescent="0.25">
      <c r="B3848" s="52"/>
      <c r="C3848" s="53"/>
      <c r="D3848" s="54"/>
      <c r="E3848" s="55"/>
      <c r="F3848" s="55"/>
      <c r="G3848" s="55"/>
      <c r="H3848" s="55"/>
      <c r="I3848" s="55"/>
      <c r="J3848" s="55"/>
      <c r="K3848" s="56"/>
      <c r="L3848" s="55"/>
      <c r="M3848" s="55"/>
      <c r="N3848" s="55"/>
      <c r="O3848" s="55"/>
      <c r="P3848" s="55"/>
      <c r="Q3848" s="55"/>
      <c r="R3848" s="57"/>
      <c r="S3848" s="58"/>
    </row>
    <row r="3849" spans="2:19" x14ac:dyDescent="0.25">
      <c r="B3849" s="52"/>
      <c r="C3849" s="53"/>
      <c r="D3849" s="54"/>
      <c r="E3849" s="55"/>
      <c r="F3849" s="55"/>
      <c r="G3849" s="55"/>
      <c r="H3849" s="55"/>
      <c r="I3849" s="55"/>
      <c r="J3849" s="55"/>
      <c r="K3849" s="56"/>
      <c r="L3849" s="55"/>
      <c r="M3849" s="55"/>
      <c r="N3849" s="55"/>
      <c r="O3849" s="55"/>
      <c r="P3849" s="55"/>
      <c r="Q3849" s="55"/>
      <c r="R3849" s="57"/>
      <c r="S3849" s="58"/>
    </row>
    <row r="3850" spans="2:19" x14ac:dyDescent="0.25">
      <c r="B3850" s="52"/>
      <c r="C3850" s="53"/>
      <c r="D3850" s="54"/>
      <c r="E3850" s="55"/>
      <c r="F3850" s="55"/>
      <c r="G3850" s="55"/>
      <c r="H3850" s="55"/>
      <c r="I3850" s="55"/>
      <c r="J3850" s="55"/>
      <c r="K3850" s="56"/>
      <c r="L3850" s="55"/>
      <c r="M3850" s="55"/>
      <c r="N3850" s="55"/>
      <c r="O3850" s="55"/>
      <c r="P3850" s="55"/>
      <c r="Q3850" s="55"/>
      <c r="R3850" s="57"/>
      <c r="S3850" s="58"/>
    </row>
    <row r="3851" spans="2:19" x14ac:dyDescent="0.25">
      <c r="B3851" s="52"/>
      <c r="C3851" s="53"/>
      <c r="D3851" s="54"/>
      <c r="E3851" s="55"/>
      <c r="F3851" s="55"/>
      <c r="G3851" s="55"/>
      <c r="H3851" s="55"/>
      <c r="I3851" s="55"/>
      <c r="J3851" s="55"/>
      <c r="K3851" s="56"/>
      <c r="L3851" s="55"/>
      <c r="M3851" s="55"/>
      <c r="N3851" s="55"/>
      <c r="O3851" s="55"/>
      <c r="P3851" s="55"/>
      <c r="Q3851" s="55"/>
      <c r="R3851" s="57"/>
      <c r="S3851" s="58"/>
    </row>
    <row r="3852" spans="2:19" ht="15.75" x14ac:dyDescent="0.25">
      <c r="B3852" s="52"/>
      <c r="C3852" s="53"/>
      <c r="D3852" s="54"/>
      <c r="E3852" s="55"/>
      <c r="F3852" s="55"/>
      <c r="G3852" s="55"/>
      <c r="H3852" s="55"/>
      <c r="I3852" s="55"/>
      <c r="J3852" s="55"/>
      <c r="K3852" s="59"/>
      <c r="L3852" s="55"/>
      <c r="M3852" s="55"/>
      <c r="N3852" s="55"/>
      <c r="O3852" s="55"/>
      <c r="P3852" s="55"/>
      <c r="Q3852" s="55"/>
      <c r="R3852" s="57"/>
      <c r="S3852" s="58"/>
    </row>
    <row r="3853" spans="2:19" x14ac:dyDescent="0.25">
      <c r="B3853" s="52"/>
      <c r="C3853" s="53"/>
      <c r="D3853" s="54"/>
      <c r="E3853" s="55"/>
      <c r="F3853" s="55"/>
      <c r="G3853" s="55"/>
      <c r="H3853" s="55"/>
      <c r="I3853" s="55"/>
      <c r="J3853" s="55"/>
      <c r="K3853" s="56"/>
      <c r="L3853" s="55"/>
      <c r="M3853" s="55"/>
      <c r="N3853" s="55"/>
      <c r="O3853" s="55"/>
      <c r="P3853" s="55"/>
      <c r="Q3853" s="55"/>
      <c r="R3853" s="57"/>
      <c r="S3853" s="58"/>
    </row>
    <row r="3854" spans="2:19" x14ac:dyDescent="0.25">
      <c r="B3854" s="52"/>
      <c r="C3854" s="53"/>
      <c r="D3854" s="54"/>
      <c r="E3854" s="55"/>
      <c r="F3854" s="55"/>
      <c r="G3854" s="55"/>
      <c r="H3854" s="55"/>
      <c r="I3854" s="55"/>
      <c r="J3854" s="55"/>
      <c r="K3854" s="56"/>
      <c r="L3854" s="55"/>
      <c r="M3854" s="55"/>
      <c r="N3854" s="55"/>
      <c r="O3854" s="55"/>
      <c r="P3854" s="55"/>
      <c r="Q3854" s="55"/>
      <c r="R3854" s="57"/>
      <c r="S3854" s="58"/>
    </row>
    <row r="3855" spans="2:19" x14ac:dyDescent="0.25">
      <c r="B3855" s="52"/>
      <c r="C3855" s="53"/>
      <c r="D3855" s="54"/>
      <c r="E3855" s="55"/>
      <c r="F3855" s="55"/>
      <c r="G3855" s="55"/>
      <c r="H3855" s="55"/>
      <c r="I3855" s="55"/>
      <c r="J3855" s="55"/>
      <c r="K3855" s="56"/>
      <c r="L3855" s="55"/>
      <c r="M3855" s="55"/>
      <c r="N3855" s="55"/>
      <c r="O3855" s="55"/>
      <c r="P3855" s="55"/>
      <c r="Q3855" s="55"/>
      <c r="R3855" s="57"/>
      <c r="S3855" s="58"/>
    </row>
    <row r="3856" spans="2:19" x14ac:dyDescent="0.25">
      <c r="B3856" s="52"/>
      <c r="C3856" s="53"/>
      <c r="D3856" s="54"/>
      <c r="E3856" s="55"/>
      <c r="F3856" s="55"/>
      <c r="G3856" s="55"/>
      <c r="H3856" s="55"/>
      <c r="I3856" s="55"/>
      <c r="J3856" s="55"/>
      <c r="K3856" s="56"/>
      <c r="L3856" s="55"/>
      <c r="M3856" s="55"/>
      <c r="N3856" s="55"/>
      <c r="O3856" s="55"/>
      <c r="P3856" s="55"/>
      <c r="Q3856" s="55"/>
      <c r="R3856" s="57"/>
      <c r="S3856" s="58"/>
    </row>
    <row r="3857" spans="2:19" x14ac:dyDescent="0.25">
      <c r="B3857" s="52"/>
      <c r="C3857" s="53"/>
      <c r="D3857" s="54"/>
      <c r="E3857" s="55"/>
      <c r="F3857" s="55"/>
      <c r="G3857" s="55"/>
      <c r="H3857" s="55"/>
      <c r="I3857" s="55"/>
      <c r="J3857" s="55"/>
      <c r="K3857" s="56"/>
      <c r="L3857" s="55"/>
      <c r="M3857" s="55"/>
      <c r="N3857" s="55"/>
      <c r="O3857" s="55"/>
      <c r="P3857" s="55"/>
      <c r="Q3857" s="55"/>
      <c r="R3857" s="57"/>
      <c r="S3857" s="58"/>
    </row>
    <row r="3858" spans="2:19" x14ac:dyDescent="0.25">
      <c r="B3858" s="52"/>
      <c r="C3858" s="53"/>
      <c r="D3858" s="54"/>
      <c r="E3858" s="55"/>
      <c r="F3858" s="55"/>
      <c r="G3858" s="55"/>
      <c r="H3858" s="55"/>
      <c r="I3858" s="55"/>
      <c r="J3858" s="55"/>
      <c r="K3858" s="56"/>
      <c r="L3858" s="55"/>
      <c r="M3858" s="55"/>
      <c r="N3858" s="55"/>
      <c r="O3858" s="55"/>
      <c r="P3858" s="55"/>
      <c r="Q3858" s="55"/>
      <c r="R3858" s="57"/>
      <c r="S3858" s="58"/>
    </row>
    <row r="3859" spans="2:19" x14ac:dyDescent="0.25">
      <c r="B3859" s="52"/>
      <c r="C3859" s="53"/>
      <c r="D3859" s="54"/>
      <c r="E3859" s="55"/>
      <c r="F3859" s="55"/>
      <c r="G3859" s="55"/>
      <c r="H3859" s="55"/>
      <c r="I3859" s="55"/>
      <c r="J3859" s="55"/>
      <c r="K3859" s="56"/>
      <c r="L3859" s="55"/>
      <c r="M3859" s="55"/>
      <c r="N3859" s="55"/>
      <c r="O3859" s="55"/>
      <c r="P3859" s="55"/>
      <c r="Q3859" s="55"/>
      <c r="R3859" s="57"/>
      <c r="S3859" s="58"/>
    </row>
    <row r="3860" spans="2:19" x14ac:dyDescent="0.25">
      <c r="B3860" s="52"/>
      <c r="C3860" s="60"/>
      <c r="E3860" s="61"/>
      <c r="F3860" s="62"/>
      <c r="G3860" s="63"/>
      <c r="H3860" s="64"/>
      <c r="I3860" s="64"/>
      <c r="J3860" s="64"/>
      <c r="K3860" s="65"/>
      <c r="L3860" s="64"/>
      <c r="M3860" s="64"/>
      <c r="N3860" s="64"/>
      <c r="P3860" s="63"/>
      <c r="Q3860" s="61"/>
      <c r="R3860" s="64"/>
      <c r="S3860" s="64"/>
    </row>
    <row r="3861" spans="2:19" x14ac:dyDescent="0.25">
      <c r="B3861" s="52"/>
      <c r="C3861" s="53"/>
      <c r="D3861" s="54"/>
      <c r="E3861" s="55"/>
      <c r="F3861" s="55"/>
      <c r="G3861" s="55"/>
      <c r="H3861" s="55"/>
      <c r="I3861" s="55"/>
      <c r="J3861" s="55"/>
      <c r="K3861" s="56"/>
      <c r="L3861" s="55"/>
      <c r="M3861" s="55"/>
      <c r="N3861" s="55"/>
      <c r="O3861" s="55"/>
      <c r="P3861" s="55"/>
      <c r="Q3861" s="55"/>
      <c r="R3861" s="57"/>
      <c r="S3861" s="58"/>
    </row>
    <row r="3862" spans="2:19" x14ac:dyDescent="0.25">
      <c r="B3862" s="52"/>
      <c r="C3862" s="53"/>
      <c r="D3862" s="54"/>
      <c r="E3862" s="55"/>
      <c r="F3862" s="55"/>
      <c r="G3862" s="55"/>
      <c r="H3862" s="55"/>
      <c r="I3862" s="55"/>
      <c r="J3862" s="55"/>
      <c r="K3862" s="56"/>
      <c r="L3862" s="55"/>
      <c r="M3862" s="55"/>
      <c r="N3862" s="55"/>
      <c r="O3862" s="55"/>
      <c r="P3862" s="55"/>
      <c r="Q3862" s="55"/>
      <c r="R3862" s="57"/>
      <c r="S3862" s="58"/>
    </row>
    <row r="3863" spans="2:19" x14ac:dyDescent="0.25">
      <c r="B3863" s="52"/>
      <c r="C3863" s="53"/>
      <c r="D3863" s="54"/>
      <c r="E3863" s="55"/>
      <c r="F3863" s="55"/>
      <c r="G3863" s="55"/>
      <c r="H3863" s="55"/>
      <c r="I3863" s="55"/>
      <c r="J3863" s="55"/>
      <c r="K3863" s="56"/>
      <c r="L3863" s="55"/>
      <c r="M3863" s="55"/>
      <c r="N3863" s="55"/>
      <c r="O3863" s="55"/>
      <c r="P3863" s="55"/>
      <c r="Q3863" s="55"/>
      <c r="R3863" s="57"/>
      <c r="S3863" s="58"/>
    </row>
    <row r="3864" spans="2:19" x14ac:dyDescent="0.25">
      <c r="B3864" s="52"/>
      <c r="C3864" s="53"/>
      <c r="D3864" s="54"/>
      <c r="E3864" s="55"/>
      <c r="F3864" s="55"/>
      <c r="G3864" s="55"/>
      <c r="H3864" s="55"/>
      <c r="I3864" s="55"/>
      <c r="J3864" s="55"/>
      <c r="K3864" s="56"/>
      <c r="L3864" s="55"/>
      <c r="M3864" s="55"/>
      <c r="N3864" s="55"/>
      <c r="O3864" s="55"/>
      <c r="P3864" s="55"/>
      <c r="Q3864" s="55"/>
      <c r="R3864" s="57"/>
      <c r="S3864" s="58"/>
    </row>
    <row r="3865" spans="2:19" x14ac:dyDescent="0.25">
      <c r="B3865" s="52"/>
      <c r="C3865" s="53"/>
      <c r="D3865" s="54"/>
      <c r="E3865" s="55"/>
      <c r="F3865" s="55"/>
      <c r="G3865" s="55"/>
      <c r="H3865" s="55"/>
      <c r="I3865" s="55"/>
      <c r="J3865" s="55"/>
      <c r="K3865" s="56"/>
      <c r="L3865" s="55"/>
      <c r="M3865" s="55"/>
      <c r="N3865" s="55"/>
      <c r="O3865" s="55"/>
      <c r="P3865" s="55"/>
      <c r="Q3865" s="55"/>
      <c r="R3865" s="57"/>
      <c r="S3865" s="58"/>
    </row>
    <row r="3866" spans="2:19" x14ac:dyDescent="0.25">
      <c r="B3866" s="52"/>
      <c r="C3866" s="53"/>
      <c r="D3866" s="54"/>
      <c r="E3866" s="55"/>
      <c r="F3866" s="55"/>
      <c r="G3866" s="55"/>
      <c r="H3866" s="55"/>
      <c r="I3866" s="55"/>
      <c r="J3866" s="55"/>
      <c r="K3866" s="56"/>
      <c r="L3866" s="55"/>
      <c r="M3866" s="55"/>
      <c r="N3866" s="55"/>
      <c r="O3866" s="55"/>
      <c r="P3866" s="55"/>
      <c r="Q3866" s="55"/>
      <c r="R3866" s="57"/>
      <c r="S3866" s="58"/>
    </row>
    <row r="3867" spans="2:19" x14ac:dyDescent="0.25">
      <c r="B3867" s="52"/>
      <c r="C3867" s="53"/>
      <c r="D3867" s="54"/>
      <c r="E3867" s="55"/>
      <c r="F3867" s="55"/>
      <c r="G3867" s="55"/>
      <c r="H3867" s="55"/>
      <c r="I3867" s="55"/>
      <c r="J3867" s="55"/>
      <c r="K3867" s="56"/>
      <c r="L3867" s="55"/>
      <c r="M3867" s="55"/>
      <c r="N3867" s="55"/>
      <c r="O3867" s="55"/>
      <c r="P3867" s="55"/>
      <c r="Q3867" s="55"/>
      <c r="R3867" s="57"/>
      <c r="S3867" s="58"/>
    </row>
    <row r="3868" spans="2:19" x14ac:dyDescent="0.25">
      <c r="B3868" s="52"/>
      <c r="C3868" s="53"/>
      <c r="D3868" s="54"/>
      <c r="E3868" s="55"/>
      <c r="F3868" s="55"/>
      <c r="G3868" s="55"/>
      <c r="H3868" s="55"/>
      <c r="I3868" s="55"/>
      <c r="J3868" s="55"/>
      <c r="K3868" s="56"/>
      <c r="L3868" s="55"/>
      <c r="M3868" s="55"/>
      <c r="N3868" s="55"/>
      <c r="O3868" s="55"/>
      <c r="P3868" s="55"/>
      <c r="Q3868" s="55"/>
      <c r="R3868" s="57"/>
      <c r="S3868" s="58"/>
    </row>
    <row r="3869" spans="2:19" ht="15.75" x14ac:dyDescent="0.25">
      <c r="B3869" s="52"/>
      <c r="C3869" s="53"/>
      <c r="D3869" s="54"/>
      <c r="E3869" s="55"/>
      <c r="F3869" s="55"/>
      <c r="G3869" s="55"/>
      <c r="H3869" s="55"/>
      <c r="I3869" s="55"/>
      <c r="J3869" s="55"/>
      <c r="K3869" s="59"/>
      <c r="L3869" s="55"/>
      <c r="M3869" s="55"/>
      <c r="N3869" s="55"/>
      <c r="O3869" s="55"/>
      <c r="P3869" s="55"/>
      <c r="Q3869" s="55"/>
      <c r="R3869" s="57"/>
      <c r="S3869" s="58"/>
    </row>
    <row r="3870" spans="2:19" x14ac:dyDescent="0.25">
      <c r="B3870" s="52"/>
      <c r="C3870" s="53"/>
      <c r="D3870" s="54"/>
      <c r="E3870" s="55"/>
      <c r="F3870" s="55"/>
      <c r="G3870" s="55"/>
      <c r="H3870" s="55"/>
      <c r="I3870" s="55"/>
      <c r="J3870" s="55"/>
      <c r="K3870" s="56"/>
      <c r="L3870" s="55"/>
      <c r="M3870" s="55"/>
      <c r="N3870" s="55"/>
      <c r="O3870" s="55"/>
      <c r="P3870" s="55"/>
      <c r="Q3870" s="55"/>
      <c r="R3870" s="57"/>
      <c r="S3870" s="58"/>
    </row>
    <row r="3871" spans="2:19" x14ac:dyDescent="0.25">
      <c r="B3871" s="52"/>
      <c r="C3871" s="53"/>
      <c r="D3871" s="54"/>
      <c r="E3871" s="55"/>
      <c r="F3871" s="55"/>
      <c r="G3871" s="55"/>
      <c r="H3871" s="55"/>
      <c r="I3871" s="55"/>
      <c r="J3871" s="55"/>
      <c r="K3871" s="56"/>
      <c r="L3871" s="55"/>
      <c r="M3871" s="55"/>
      <c r="N3871" s="55"/>
      <c r="O3871" s="55"/>
      <c r="P3871" s="55"/>
      <c r="Q3871" s="55"/>
      <c r="R3871" s="57"/>
      <c r="S3871" s="58"/>
    </row>
    <row r="3872" spans="2:19" x14ac:dyDescent="0.25">
      <c r="B3872" s="52"/>
      <c r="C3872" s="53"/>
      <c r="D3872" s="54"/>
      <c r="E3872" s="55"/>
      <c r="F3872" s="55"/>
      <c r="G3872" s="55"/>
      <c r="H3872" s="55"/>
      <c r="I3872" s="55"/>
      <c r="J3872" s="55"/>
      <c r="K3872" s="56"/>
      <c r="L3872" s="55"/>
      <c r="M3872" s="55"/>
      <c r="N3872" s="55"/>
      <c r="O3872" s="55"/>
      <c r="P3872" s="55"/>
      <c r="Q3872" s="55"/>
      <c r="R3872" s="57"/>
      <c r="S3872" s="58"/>
    </row>
    <row r="3873" spans="2:19" x14ac:dyDescent="0.25">
      <c r="B3873" s="52"/>
      <c r="C3873" s="53"/>
      <c r="D3873" s="54"/>
      <c r="E3873" s="55"/>
      <c r="F3873" s="55"/>
      <c r="G3873" s="55"/>
      <c r="H3873" s="55"/>
      <c r="I3873" s="55"/>
      <c r="J3873" s="55"/>
      <c r="K3873" s="56"/>
      <c r="L3873" s="55"/>
      <c r="M3873" s="55"/>
      <c r="N3873" s="55"/>
      <c r="O3873" s="55"/>
      <c r="P3873" s="55"/>
      <c r="Q3873" s="55"/>
      <c r="R3873" s="57"/>
      <c r="S3873" s="58"/>
    </row>
    <row r="3874" spans="2:19" x14ac:dyDescent="0.25">
      <c r="B3874" s="52"/>
      <c r="C3874" s="53"/>
      <c r="D3874" s="54"/>
      <c r="E3874" s="55"/>
      <c r="F3874" s="55"/>
      <c r="G3874" s="55"/>
      <c r="H3874" s="55"/>
      <c r="I3874" s="55"/>
      <c r="J3874" s="55"/>
      <c r="K3874" s="56"/>
      <c r="L3874" s="55"/>
      <c r="M3874" s="55"/>
      <c r="N3874" s="55"/>
      <c r="O3874" s="55"/>
      <c r="P3874" s="55"/>
      <c r="Q3874" s="55"/>
      <c r="R3874" s="57"/>
      <c r="S3874" s="58"/>
    </row>
    <row r="3875" spans="2:19" x14ac:dyDescent="0.25">
      <c r="B3875" s="52"/>
      <c r="C3875" s="53"/>
      <c r="D3875" s="54"/>
      <c r="E3875" s="55"/>
      <c r="F3875" s="55"/>
      <c r="G3875" s="55"/>
      <c r="H3875" s="55"/>
      <c r="I3875" s="55"/>
      <c r="J3875" s="55"/>
      <c r="K3875" s="56"/>
      <c r="L3875" s="55"/>
      <c r="M3875" s="55"/>
      <c r="N3875" s="55"/>
      <c r="O3875" s="55"/>
      <c r="P3875" s="55"/>
      <c r="Q3875" s="55"/>
      <c r="R3875" s="57"/>
      <c r="S3875" s="58"/>
    </row>
    <row r="3876" spans="2:19" x14ac:dyDescent="0.25">
      <c r="B3876" s="52"/>
      <c r="C3876" s="53"/>
      <c r="D3876" s="54"/>
      <c r="E3876" s="55"/>
      <c r="F3876" s="55"/>
      <c r="G3876" s="55"/>
      <c r="H3876" s="55"/>
      <c r="I3876" s="55"/>
      <c r="J3876" s="55"/>
      <c r="K3876" s="56"/>
      <c r="L3876" s="55"/>
      <c r="M3876" s="55"/>
      <c r="N3876" s="55"/>
      <c r="O3876" s="55"/>
      <c r="P3876" s="55"/>
      <c r="Q3876" s="55"/>
      <c r="R3876" s="57"/>
      <c r="S3876" s="58"/>
    </row>
    <row r="3877" spans="2:19" x14ac:dyDescent="0.25">
      <c r="B3877" s="52"/>
      <c r="C3877" s="60"/>
      <c r="E3877" s="61"/>
      <c r="F3877" s="62"/>
      <c r="G3877" s="63"/>
      <c r="H3877" s="64"/>
      <c r="I3877" s="64"/>
      <c r="J3877" s="64"/>
      <c r="K3877" s="65"/>
      <c r="L3877" s="64"/>
      <c r="M3877" s="64"/>
      <c r="N3877" s="64"/>
      <c r="P3877" s="63"/>
      <c r="Q3877" s="61"/>
      <c r="R3877" s="64"/>
      <c r="S3877" s="64"/>
    </row>
    <row r="3878" spans="2:19" x14ac:dyDescent="0.25">
      <c r="B3878" s="52"/>
      <c r="C3878" s="53"/>
      <c r="D3878" s="54"/>
      <c r="E3878" s="55"/>
      <c r="F3878" s="55"/>
      <c r="G3878" s="55"/>
      <c r="H3878" s="55"/>
      <c r="I3878" s="55"/>
      <c r="J3878" s="55"/>
      <c r="K3878" s="56"/>
      <c r="L3878" s="55"/>
      <c r="M3878" s="55"/>
      <c r="N3878" s="55"/>
      <c r="O3878" s="55"/>
      <c r="P3878" s="55"/>
      <c r="Q3878" s="55"/>
      <c r="R3878" s="57"/>
      <c r="S3878" s="58"/>
    </row>
    <row r="3879" spans="2:19" x14ac:dyDescent="0.25">
      <c r="B3879" s="52"/>
      <c r="C3879" s="53"/>
      <c r="D3879" s="54"/>
      <c r="E3879" s="55"/>
      <c r="F3879" s="55"/>
      <c r="G3879" s="55"/>
      <c r="H3879" s="55"/>
      <c r="I3879" s="55"/>
      <c r="J3879" s="55"/>
      <c r="K3879" s="56"/>
      <c r="L3879" s="55"/>
      <c r="M3879" s="55"/>
      <c r="N3879" s="55"/>
      <c r="O3879" s="55"/>
      <c r="P3879" s="55"/>
      <c r="Q3879" s="55"/>
      <c r="R3879" s="57"/>
      <c r="S3879" s="58"/>
    </row>
    <row r="3880" spans="2:19" x14ac:dyDescent="0.25">
      <c r="B3880" s="52"/>
      <c r="C3880" s="53"/>
      <c r="D3880" s="54"/>
      <c r="E3880" s="55"/>
      <c r="F3880" s="55"/>
      <c r="G3880" s="55"/>
      <c r="H3880" s="55"/>
      <c r="I3880" s="55"/>
      <c r="J3880" s="55"/>
      <c r="K3880" s="56"/>
      <c r="L3880" s="55"/>
      <c r="M3880" s="55"/>
      <c r="N3880" s="55"/>
      <c r="O3880" s="55"/>
      <c r="P3880" s="55"/>
      <c r="Q3880" s="55"/>
      <c r="R3880" s="57"/>
      <c r="S3880" s="58"/>
    </row>
    <row r="3881" spans="2:19" x14ac:dyDescent="0.25">
      <c r="B3881" s="52"/>
      <c r="C3881" s="53"/>
      <c r="D3881" s="54"/>
      <c r="E3881" s="55"/>
      <c r="F3881" s="55"/>
      <c r="G3881" s="55"/>
      <c r="H3881" s="55"/>
      <c r="I3881" s="55"/>
      <c r="J3881" s="55"/>
      <c r="K3881" s="56"/>
      <c r="L3881" s="55"/>
      <c r="M3881" s="55"/>
      <c r="N3881" s="55"/>
      <c r="O3881" s="55"/>
      <c r="P3881" s="55"/>
      <c r="Q3881" s="55"/>
      <c r="R3881" s="57"/>
      <c r="S3881" s="58"/>
    </row>
    <row r="3882" spans="2:19" x14ac:dyDescent="0.25">
      <c r="B3882" s="52"/>
      <c r="C3882" s="53"/>
      <c r="D3882" s="54"/>
      <c r="E3882" s="55"/>
      <c r="F3882" s="55"/>
      <c r="G3882" s="55"/>
      <c r="H3882" s="55"/>
      <c r="I3882" s="55"/>
      <c r="J3882" s="55"/>
      <c r="K3882" s="56"/>
      <c r="L3882" s="55"/>
      <c r="M3882" s="55"/>
      <c r="N3882" s="55"/>
      <c r="O3882" s="55"/>
      <c r="P3882" s="55"/>
      <c r="Q3882" s="55"/>
      <c r="R3882" s="57"/>
      <c r="S3882" s="58"/>
    </row>
    <row r="3883" spans="2:19" x14ac:dyDescent="0.25">
      <c r="B3883" s="52"/>
      <c r="C3883" s="53"/>
      <c r="D3883" s="54"/>
      <c r="E3883" s="55"/>
      <c r="F3883" s="55"/>
      <c r="G3883" s="55"/>
      <c r="H3883" s="55"/>
      <c r="I3883" s="55"/>
      <c r="J3883" s="55"/>
      <c r="K3883" s="56"/>
      <c r="L3883" s="55"/>
      <c r="M3883" s="55"/>
      <c r="N3883" s="55"/>
      <c r="O3883" s="55"/>
      <c r="P3883" s="55"/>
      <c r="Q3883" s="55"/>
      <c r="R3883" s="57"/>
      <c r="S3883" s="58"/>
    </row>
    <row r="3884" spans="2:19" x14ac:dyDescent="0.25">
      <c r="B3884" s="52"/>
      <c r="C3884" s="53"/>
      <c r="D3884" s="54"/>
      <c r="E3884" s="55"/>
      <c r="F3884" s="55"/>
      <c r="G3884" s="55"/>
      <c r="H3884" s="55"/>
      <c r="I3884" s="55"/>
      <c r="J3884" s="55"/>
      <c r="K3884" s="56"/>
      <c r="L3884" s="55"/>
      <c r="M3884" s="55"/>
      <c r="N3884" s="55"/>
      <c r="O3884" s="55"/>
      <c r="P3884" s="55"/>
      <c r="Q3884" s="55"/>
      <c r="R3884" s="57"/>
      <c r="S3884" s="58"/>
    </row>
    <row r="3885" spans="2:19" x14ac:dyDescent="0.25">
      <c r="B3885" s="52"/>
      <c r="C3885" s="53"/>
      <c r="D3885" s="54"/>
      <c r="E3885" s="55"/>
      <c r="F3885" s="55"/>
      <c r="G3885" s="55"/>
      <c r="H3885" s="55"/>
      <c r="I3885" s="55"/>
      <c r="J3885" s="55"/>
      <c r="K3885" s="56"/>
      <c r="L3885" s="55"/>
      <c r="M3885" s="55"/>
      <c r="N3885" s="55"/>
      <c r="O3885" s="55"/>
      <c r="P3885" s="55"/>
      <c r="Q3885" s="55"/>
      <c r="R3885" s="57"/>
      <c r="S3885" s="58"/>
    </row>
    <row r="3886" spans="2:19" ht="15.75" x14ac:dyDescent="0.25">
      <c r="B3886" s="52"/>
      <c r="C3886" s="53"/>
      <c r="D3886" s="54"/>
      <c r="E3886" s="55"/>
      <c r="F3886" s="55"/>
      <c r="G3886" s="55"/>
      <c r="H3886" s="55"/>
      <c r="I3886" s="55"/>
      <c r="J3886" s="55"/>
      <c r="K3886" s="59"/>
      <c r="L3886" s="55"/>
      <c r="M3886" s="55"/>
      <c r="N3886" s="55"/>
      <c r="O3886" s="55"/>
      <c r="P3886" s="55"/>
      <c r="Q3886" s="55"/>
      <c r="R3886" s="57"/>
      <c r="S3886" s="58"/>
    </row>
    <row r="3887" spans="2:19" x14ac:dyDescent="0.25">
      <c r="B3887" s="52"/>
      <c r="C3887" s="53"/>
      <c r="D3887" s="54"/>
      <c r="E3887" s="55"/>
      <c r="F3887" s="55"/>
      <c r="G3887" s="55"/>
      <c r="H3887" s="55"/>
      <c r="I3887" s="55"/>
      <c r="J3887" s="55"/>
      <c r="K3887" s="56"/>
      <c r="L3887" s="55"/>
      <c r="M3887" s="55"/>
      <c r="N3887" s="55"/>
      <c r="O3887" s="55"/>
      <c r="P3887" s="55"/>
      <c r="Q3887" s="55"/>
      <c r="R3887" s="57"/>
      <c r="S3887" s="58"/>
    </row>
    <row r="3888" spans="2:19" x14ac:dyDescent="0.25">
      <c r="B3888" s="52"/>
      <c r="C3888" s="53"/>
      <c r="D3888" s="54"/>
      <c r="E3888" s="55"/>
      <c r="F3888" s="55"/>
      <c r="G3888" s="55"/>
      <c r="H3888" s="55"/>
      <c r="I3888" s="55"/>
      <c r="J3888" s="55"/>
      <c r="K3888" s="56"/>
      <c r="L3888" s="55"/>
      <c r="M3888" s="55"/>
      <c r="N3888" s="55"/>
      <c r="O3888" s="55"/>
      <c r="P3888" s="55"/>
      <c r="Q3888" s="55"/>
      <c r="R3888" s="57"/>
      <c r="S3888" s="58"/>
    </row>
    <row r="3889" spans="2:19" x14ac:dyDescent="0.25">
      <c r="B3889" s="52"/>
      <c r="C3889" s="53"/>
      <c r="D3889" s="54"/>
      <c r="E3889" s="55"/>
      <c r="F3889" s="55"/>
      <c r="G3889" s="55"/>
      <c r="H3889" s="55"/>
      <c r="I3889" s="55"/>
      <c r="J3889" s="55"/>
      <c r="K3889" s="56"/>
      <c r="L3889" s="55"/>
      <c r="M3889" s="55"/>
      <c r="N3889" s="55"/>
      <c r="O3889" s="55"/>
      <c r="P3889" s="55"/>
      <c r="Q3889" s="55"/>
      <c r="R3889" s="57"/>
      <c r="S3889" s="58"/>
    </row>
    <row r="3890" spans="2:19" x14ac:dyDescent="0.25">
      <c r="B3890" s="52"/>
      <c r="C3890" s="53"/>
      <c r="D3890" s="54"/>
      <c r="E3890" s="55"/>
      <c r="F3890" s="55"/>
      <c r="G3890" s="55"/>
      <c r="H3890" s="55"/>
      <c r="I3890" s="55"/>
      <c r="J3890" s="55"/>
      <c r="K3890" s="56"/>
      <c r="L3890" s="55"/>
      <c r="M3890" s="55"/>
      <c r="N3890" s="55"/>
      <c r="O3890" s="55"/>
      <c r="P3890" s="55"/>
      <c r="Q3890" s="55"/>
      <c r="R3890" s="57"/>
      <c r="S3890" s="58"/>
    </row>
    <row r="3891" spans="2:19" x14ac:dyDescent="0.25">
      <c r="B3891" s="52"/>
      <c r="C3891" s="53"/>
      <c r="D3891" s="54"/>
      <c r="E3891" s="55"/>
      <c r="F3891" s="55"/>
      <c r="G3891" s="55"/>
      <c r="H3891" s="55"/>
      <c r="I3891" s="55"/>
      <c r="J3891" s="55"/>
      <c r="K3891" s="56"/>
      <c r="L3891" s="55"/>
      <c r="M3891" s="55"/>
      <c r="N3891" s="55"/>
      <c r="O3891" s="55"/>
      <c r="P3891" s="55"/>
      <c r="Q3891" s="55"/>
      <c r="R3891" s="57"/>
      <c r="S3891" s="58"/>
    </row>
    <row r="3892" spans="2:19" x14ac:dyDescent="0.25">
      <c r="B3892" s="52"/>
      <c r="C3892" s="53"/>
      <c r="D3892" s="54"/>
      <c r="E3892" s="55"/>
      <c r="F3892" s="55"/>
      <c r="G3892" s="55"/>
      <c r="H3892" s="55"/>
      <c r="I3892" s="55"/>
      <c r="J3892" s="55"/>
      <c r="K3892" s="56"/>
      <c r="L3892" s="55"/>
      <c r="M3892" s="55"/>
      <c r="N3892" s="55"/>
      <c r="O3892" s="55"/>
      <c r="P3892" s="55"/>
      <c r="Q3892" s="55"/>
      <c r="R3892" s="57"/>
      <c r="S3892" s="58"/>
    </row>
    <row r="3893" spans="2:19" x14ac:dyDescent="0.25">
      <c r="B3893" s="52"/>
      <c r="C3893" s="53"/>
      <c r="D3893" s="54"/>
      <c r="E3893" s="55"/>
      <c r="F3893" s="55"/>
      <c r="G3893" s="55"/>
      <c r="H3893" s="55"/>
      <c r="I3893" s="55"/>
      <c r="J3893" s="55"/>
      <c r="K3893" s="56"/>
      <c r="L3893" s="55"/>
      <c r="M3893" s="55"/>
      <c r="N3893" s="55"/>
      <c r="O3893" s="55"/>
      <c r="P3893" s="55"/>
      <c r="Q3893" s="55"/>
      <c r="R3893" s="57"/>
      <c r="S3893" s="58"/>
    </row>
    <row r="3894" spans="2:19" x14ac:dyDescent="0.25">
      <c r="B3894" s="52"/>
      <c r="C3894" s="60"/>
      <c r="E3894" s="61"/>
      <c r="F3894" s="62"/>
      <c r="G3894" s="63"/>
      <c r="H3894" s="64"/>
      <c r="I3894" s="64"/>
      <c r="J3894" s="64"/>
      <c r="K3894" s="65"/>
      <c r="L3894" s="64"/>
      <c r="M3894" s="64"/>
      <c r="N3894" s="64"/>
      <c r="P3894" s="63"/>
      <c r="Q3894" s="61"/>
      <c r="R3894" s="64"/>
      <c r="S3894" s="64"/>
    </row>
    <row r="3895" spans="2:19" x14ac:dyDescent="0.25">
      <c r="B3895" s="52"/>
      <c r="C3895" s="53"/>
      <c r="D3895" s="54"/>
      <c r="E3895" s="55"/>
      <c r="F3895" s="55"/>
      <c r="G3895" s="55"/>
      <c r="H3895" s="55"/>
      <c r="I3895" s="55"/>
      <c r="J3895" s="55"/>
      <c r="K3895" s="56"/>
      <c r="L3895" s="55"/>
      <c r="M3895" s="55"/>
      <c r="N3895" s="55"/>
      <c r="O3895" s="55"/>
      <c r="P3895" s="55"/>
      <c r="Q3895" s="55"/>
      <c r="R3895" s="57"/>
      <c r="S3895" s="58"/>
    </row>
    <row r="3896" spans="2:19" x14ac:dyDescent="0.25">
      <c r="B3896" s="52"/>
      <c r="C3896" s="53"/>
      <c r="D3896" s="54"/>
      <c r="E3896" s="55"/>
      <c r="F3896" s="55"/>
      <c r="G3896" s="55"/>
      <c r="H3896" s="55"/>
      <c r="I3896" s="55"/>
      <c r="J3896" s="55"/>
      <c r="K3896" s="56"/>
      <c r="L3896" s="55"/>
      <c r="M3896" s="55"/>
      <c r="N3896" s="55"/>
      <c r="O3896" s="55"/>
      <c r="P3896" s="55"/>
      <c r="Q3896" s="55"/>
      <c r="R3896" s="57"/>
      <c r="S3896" s="58"/>
    </row>
    <row r="3897" spans="2:19" x14ac:dyDescent="0.25">
      <c r="B3897" s="52"/>
      <c r="C3897" s="53"/>
      <c r="D3897" s="54"/>
      <c r="E3897" s="55"/>
      <c r="F3897" s="55"/>
      <c r="G3897" s="55"/>
      <c r="H3897" s="55"/>
      <c r="I3897" s="55"/>
      <c r="J3897" s="55"/>
      <c r="K3897" s="56"/>
      <c r="L3897" s="55"/>
      <c r="M3897" s="55"/>
      <c r="N3897" s="55"/>
      <c r="O3897" s="55"/>
      <c r="P3897" s="55"/>
      <c r="Q3897" s="55"/>
      <c r="R3897" s="57"/>
      <c r="S3897" s="58"/>
    </row>
    <row r="3898" spans="2:19" x14ac:dyDescent="0.25">
      <c r="B3898" s="52"/>
      <c r="C3898" s="53"/>
      <c r="D3898" s="54"/>
      <c r="E3898" s="55"/>
      <c r="F3898" s="55"/>
      <c r="G3898" s="55"/>
      <c r="H3898" s="55"/>
      <c r="I3898" s="55"/>
      <c r="J3898" s="55"/>
      <c r="K3898" s="56"/>
      <c r="L3898" s="55"/>
      <c r="M3898" s="55"/>
      <c r="N3898" s="55"/>
      <c r="O3898" s="55"/>
      <c r="P3898" s="55"/>
      <c r="Q3898" s="55"/>
      <c r="R3898" s="57"/>
      <c r="S3898" s="58"/>
    </row>
    <row r="3899" spans="2:19" x14ac:dyDescent="0.25">
      <c r="B3899" s="52"/>
      <c r="C3899" s="53"/>
      <c r="D3899" s="54"/>
      <c r="E3899" s="55"/>
      <c r="F3899" s="55"/>
      <c r="G3899" s="55"/>
      <c r="H3899" s="55"/>
      <c r="I3899" s="55"/>
      <c r="J3899" s="55"/>
      <c r="K3899" s="56"/>
      <c r="L3899" s="55"/>
      <c r="M3899" s="55"/>
      <c r="N3899" s="55"/>
      <c r="O3899" s="55"/>
      <c r="P3899" s="55"/>
      <c r="Q3899" s="55"/>
      <c r="R3899" s="57"/>
      <c r="S3899" s="58"/>
    </row>
    <row r="3900" spans="2:19" x14ac:dyDescent="0.25">
      <c r="B3900" s="52"/>
      <c r="C3900" s="53"/>
      <c r="D3900" s="54"/>
      <c r="E3900" s="55"/>
      <c r="F3900" s="55"/>
      <c r="G3900" s="55"/>
      <c r="H3900" s="55"/>
      <c r="I3900" s="55"/>
      <c r="J3900" s="55"/>
      <c r="K3900" s="56"/>
      <c r="L3900" s="55"/>
      <c r="M3900" s="55"/>
      <c r="N3900" s="55"/>
      <c r="O3900" s="55"/>
      <c r="P3900" s="55"/>
      <c r="Q3900" s="55"/>
      <c r="R3900" s="57"/>
      <c r="S3900" s="58"/>
    </row>
    <row r="3901" spans="2:19" x14ac:dyDescent="0.25">
      <c r="B3901" s="52"/>
      <c r="C3901" s="53"/>
      <c r="D3901" s="54"/>
      <c r="E3901" s="55"/>
      <c r="F3901" s="55"/>
      <c r="G3901" s="55"/>
      <c r="H3901" s="55"/>
      <c r="I3901" s="55"/>
      <c r="J3901" s="55"/>
      <c r="K3901" s="56"/>
      <c r="L3901" s="55"/>
      <c r="M3901" s="55"/>
      <c r="N3901" s="55"/>
      <c r="O3901" s="55"/>
      <c r="P3901" s="55"/>
      <c r="Q3901" s="55"/>
      <c r="R3901" s="57"/>
      <c r="S3901" s="58"/>
    </row>
    <row r="3902" spans="2:19" x14ac:dyDescent="0.25">
      <c r="B3902" s="52"/>
      <c r="C3902" s="53"/>
      <c r="D3902" s="54"/>
      <c r="E3902" s="55"/>
      <c r="F3902" s="55"/>
      <c r="G3902" s="55"/>
      <c r="H3902" s="55"/>
      <c r="I3902" s="55"/>
      <c r="J3902" s="55"/>
      <c r="K3902" s="56"/>
      <c r="L3902" s="55"/>
      <c r="M3902" s="55"/>
      <c r="N3902" s="55"/>
      <c r="O3902" s="55"/>
      <c r="P3902" s="55"/>
      <c r="Q3902" s="55"/>
      <c r="R3902" s="57"/>
      <c r="S3902" s="58"/>
    </row>
    <row r="3903" spans="2:19" ht="15.75" x14ac:dyDescent="0.25">
      <c r="B3903" s="52"/>
      <c r="C3903" s="53"/>
      <c r="D3903" s="54"/>
      <c r="E3903" s="55"/>
      <c r="F3903" s="55"/>
      <c r="G3903" s="55"/>
      <c r="H3903" s="55"/>
      <c r="I3903" s="55"/>
      <c r="J3903" s="55"/>
      <c r="K3903" s="59"/>
      <c r="L3903" s="55"/>
      <c r="M3903" s="55"/>
      <c r="N3903" s="55"/>
      <c r="O3903" s="55"/>
      <c r="P3903" s="55"/>
      <c r="Q3903" s="55"/>
      <c r="R3903" s="57"/>
      <c r="S3903" s="58"/>
    </row>
    <row r="3904" spans="2:19" x14ac:dyDescent="0.25">
      <c r="B3904" s="52"/>
      <c r="C3904" s="53"/>
      <c r="D3904" s="54"/>
      <c r="E3904" s="55"/>
      <c r="F3904" s="55"/>
      <c r="G3904" s="55"/>
      <c r="H3904" s="55"/>
      <c r="I3904" s="55"/>
      <c r="J3904" s="55"/>
      <c r="K3904" s="56"/>
      <c r="L3904" s="55"/>
      <c r="M3904" s="55"/>
      <c r="N3904" s="55"/>
      <c r="O3904" s="55"/>
      <c r="P3904" s="55"/>
      <c r="Q3904" s="55"/>
      <c r="R3904" s="57"/>
      <c r="S3904" s="58"/>
    </row>
    <row r="3905" spans="2:19" x14ac:dyDescent="0.25">
      <c r="B3905" s="52"/>
      <c r="C3905" s="53"/>
      <c r="D3905" s="54"/>
      <c r="E3905" s="55"/>
      <c r="F3905" s="55"/>
      <c r="G3905" s="55"/>
      <c r="H3905" s="55"/>
      <c r="I3905" s="55"/>
      <c r="J3905" s="55"/>
      <c r="K3905" s="56"/>
      <c r="L3905" s="55"/>
      <c r="M3905" s="55"/>
      <c r="N3905" s="55"/>
      <c r="O3905" s="55"/>
      <c r="P3905" s="55"/>
      <c r="Q3905" s="55"/>
      <c r="R3905" s="57"/>
      <c r="S3905" s="58"/>
    </row>
    <row r="3906" spans="2:19" x14ac:dyDescent="0.25">
      <c r="B3906" s="52"/>
      <c r="C3906" s="53"/>
      <c r="D3906" s="54"/>
      <c r="E3906" s="55"/>
      <c r="F3906" s="55"/>
      <c r="G3906" s="55"/>
      <c r="H3906" s="55"/>
      <c r="I3906" s="55"/>
      <c r="J3906" s="55"/>
      <c r="K3906" s="56"/>
      <c r="L3906" s="55"/>
      <c r="M3906" s="55"/>
      <c r="N3906" s="55"/>
      <c r="O3906" s="55"/>
      <c r="P3906" s="55"/>
      <c r="Q3906" s="55"/>
      <c r="R3906" s="57"/>
      <c r="S3906" s="58"/>
    </row>
    <row r="3907" spans="2:19" x14ac:dyDescent="0.25">
      <c r="B3907" s="52"/>
      <c r="C3907" s="53"/>
      <c r="D3907" s="54"/>
      <c r="E3907" s="55"/>
      <c r="F3907" s="55"/>
      <c r="G3907" s="55"/>
      <c r="H3907" s="55"/>
      <c r="I3907" s="55"/>
      <c r="J3907" s="55"/>
      <c r="K3907" s="56"/>
      <c r="L3907" s="55"/>
      <c r="M3907" s="55"/>
      <c r="N3907" s="55"/>
      <c r="O3907" s="55"/>
      <c r="P3907" s="55"/>
      <c r="Q3907" s="55"/>
      <c r="R3907" s="57"/>
      <c r="S3907" s="58"/>
    </row>
    <row r="3908" spans="2:19" x14ac:dyDescent="0.25">
      <c r="B3908" s="52"/>
      <c r="C3908" s="53"/>
      <c r="D3908" s="54"/>
      <c r="E3908" s="55"/>
      <c r="F3908" s="55"/>
      <c r="G3908" s="55"/>
      <c r="H3908" s="55"/>
      <c r="I3908" s="55"/>
      <c r="J3908" s="55"/>
      <c r="K3908" s="56"/>
      <c r="L3908" s="55"/>
      <c r="M3908" s="55"/>
      <c r="N3908" s="55"/>
      <c r="O3908" s="55"/>
      <c r="P3908" s="55"/>
      <c r="Q3908" s="55"/>
      <c r="R3908" s="57"/>
      <c r="S3908" s="58"/>
    </row>
    <row r="3909" spans="2:19" x14ac:dyDescent="0.25">
      <c r="B3909" s="52"/>
      <c r="C3909" s="53"/>
      <c r="D3909" s="54"/>
      <c r="E3909" s="55"/>
      <c r="F3909" s="55"/>
      <c r="G3909" s="55"/>
      <c r="H3909" s="55"/>
      <c r="I3909" s="55"/>
      <c r="J3909" s="55"/>
      <c r="K3909" s="56"/>
      <c r="L3909" s="55"/>
      <c r="M3909" s="55"/>
      <c r="N3909" s="55"/>
      <c r="O3909" s="55"/>
      <c r="P3909" s="55"/>
      <c r="Q3909" s="55"/>
      <c r="R3909" s="57"/>
      <c r="S3909" s="58"/>
    </row>
    <row r="3910" spans="2:19" x14ac:dyDescent="0.25">
      <c r="B3910" s="52"/>
      <c r="C3910" s="53"/>
      <c r="D3910" s="54"/>
      <c r="E3910" s="55"/>
      <c r="F3910" s="55"/>
      <c r="G3910" s="55"/>
      <c r="H3910" s="55"/>
      <c r="I3910" s="55"/>
      <c r="J3910" s="55"/>
      <c r="K3910" s="56"/>
      <c r="L3910" s="55"/>
      <c r="M3910" s="55"/>
      <c r="N3910" s="55"/>
      <c r="O3910" s="55"/>
      <c r="P3910" s="55"/>
      <c r="Q3910" s="55"/>
      <c r="R3910" s="57"/>
      <c r="S3910" s="58"/>
    </row>
    <row r="3911" spans="2:19" x14ac:dyDescent="0.25">
      <c r="B3911" s="52"/>
      <c r="C3911" s="60"/>
      <c r="E3911" s="61"/>
      <c r="F3911" s="62"/>
      <c r="G3911" s="63"/>
      <c r="H3911" s="64"/>
      <c r="I3911" s="64"/>
      <c r="J3911" s="64"/>
      <c r="K3911" s="65"/>
      <c r="L3911" s="64"/>
      <c r="M3911" s="64"/>
      <c r="N3911" s="64"/>
      <c r="P3911" s="63"/>
      <c r="Q3911" s="61"/>
      <c r="R3911" s="64"/>
      <c r="S3911" s="64"/>
    </row>
    <row r="3912" spans="2:19" x14ac:dyDescent="0.25">
      <c r="B3912" s="52"/>
      <c r="C3912" s="53"/>
      <c r="D3912" s="54"/>
      <c r="E3912" s="55"/>
      <c r="F3912" s="55"/>
      <c r="G3912" s="55"/>
      <c r="H3912" s="55"/>
      <c r="I3912" s="55"/>
      <c r="J3912" s="55"/>
      <c r="K3912" s="56"/>
      <c r="L3912" s="55"/>
      <c r="M3912" s="55"/>
      <c r="N3912" s="55"/>
      <c r="O3912" s="55"/>
      <c r="P3912" s="55"/>
      <c r="Q3912" s="55"/>
      <c r="R3912" s="57"/>
      <c r="S3912" s="58"/>
    </row>
    <row r="3913" spans="2:19" x14ac:dyDescent="0.25">
      <c r="B3913" s="52"/>
      <c r="C3913" s="53"/>
      <c r="D3913" s="54"/>
      <c r="E3913" s="55"/>
      <c r="F3913" s="55"/>
      <c r="G3913" s="55"/>
      <c r="H3913" s="55"/>
      <c r="I3913" s="55"/>
      <c r="J3913" s="55"/>
      <c r="K3913" s="56"/>
      <c r="L3913" s="55"/>
      <c r="M3913" s="55"/>
      <c r="N3913" s="55"/>
      <c r="O3913" s="55"/>
      <c r="P3913" s="55"/>
      <c r="Q3913" s="55"/>
      <c r="R3913" s="57"/>
      <c r="S3913" s="58"/>
    </row>
    <row r="3914" spans="2:19" x14ac:dyDescent="0.25">
      <c r="B3914" s="52"/>
      <c r="C3914" s="53"/>
      <c r="D3914" s="54"/>
      <c r="E3914" s="55"/>
      <c r="F3914" s="55"/>
      <c r="G3914" s="55"/>
      <c r="H3914" s="55"/>
      <c r="I3914" s="55"/>
      <c r="J3914" s="55"/>
      <c r="K3914" s="56"/>
      <c r="L3914" s="55"/>
      <c r="M3914" s="55"/>
      <c r="N3914" s="55"/>
      <c r="O3914" s="55"/>
      <c r="P3914" s="55"/>
      <c r="Q3914" s="55"/>
      <c r="R3914" s="57"/>
      <c r="S3914" s="58"/>
    </row>
    <row r="3915" spans="2:19" x14ac:dyDescent="0.25">
      <c r="B3915" s="52"/>
      <c r="C3915" s="53"/>
      <c r="D3915" s="54"/>
      <c r="E3915" s="55"/>
      <c r="F3915" s="55"/>
      <c r="G3915" s="55"/>
      <c r="H3915" s="55"/>
      <c r="I3915" s="55"/>
      <c r="J3915" s="55"/>
      <c r="K3915" s="56"/>
      <c r="L3915" s="55"/>
      <c r="M3915" s="55"/>
      <c r="N3915" s="55"/>
      <c r="O3915" s="55"/>
      <c r="P3915" s="55"/>
      <c r="Q3915" s="55"/>
      <c r="R3915" s="57"/>
      <c r="S3915" s="58"/>
    </row>
    <row r="3916" spans="2:19" x14ac:dyDescent="0.25">
      <c r="B3916" s="52"/>
      <c r="C3916" s="53"/>
      <c r="D3916" s="54"/>
      <c r="E3916" s="55"/>
      <c r="F3916" s="55"/>
      <c r="G3916" s="55"/>
      <c r="H3916" s="55"/>
      <c r="I3916" s="55"/>
      <c r="J3916" s="55"/>
      <c r="K3916" s="56"/>
      <c r="L3916" s="55"/>
      <c r="M3916" s="55"/>
      <c r="N3916" s="55"/>
      <c r="O3916" s="55"/>
      <c r="P3916" s="55"/>
      <c r="Q3916" s="55"/>
      <c r="R3916" s="57"/>
      <c r="S3916" s="58"/>
    </row>
    <row r="3917" spans="2:19" x14ac:dyDescent="0.25">
      <c r="B3917" s="52"/>
      <c r="C3917" s="53"/>
      <c r="D3917" s="54"/>
      <c r="E3917" s="55"/>
      <c r="F3917" s="55"/>
      <c r="G3917" s="55"/>
      <c r="H3917" s="55"/>
      <c r="I3917" s="55"/>
      <c r="J3917" s="55"/>
      <c r="K3917" s="56"/>
      <c r="L3917" s="55"/>
      <c r="M3917" s="55"/>
      <c r="N3917" s="55"/>
      <c r="O3917" s="55"/>
      <c r="P3917" s="55"/>
      <c r="Q3917" s="55"/>
      <c r="R3917" s="57"/>
      <c r="S3917" s="58"/>
    </row>
    <row r="3918" spans="2:19" x14ac:dyDescent="0.25">
      <c r="B3918" s="52"/>
      <c r="C3918" s="53"/>
      <c r="D3918" s="54"/>
      <c r="E3918" s="55"/>
      <c r="F3918" s="55"/>
      <c r="G3918" s="55"/>
      <c r="H3918" s="55"/>
      <c r="I3918" s="55"/>
      <c r="J3918" s="55"/>
      <c r="K3918" s="56"/>
      <c r="L3918" s="55"/>
      <c r="M3918" s="55"/>
      <c r="N3918" s="55"/>
      <c r="O3918" s="55"/>
      <c r="P3918" s="55"/>
      <c r="Q3918" s="55"/>
      <c r="R3918" s="57"/>
      <c r="S3918" s="58"/>
    </row>
    <row r="3919" spans="2:19" x14ac:dyDescent="0.25">
      <c r="B3919" s="52"/>
      <c r="C3919" s="53"/>
      <c r="D3919" s="54"/>
      <c r="E3919" s="55"/>
      <c r="F3919" s="55"/>
      <c r="G3919" s="55"/>
      <c r="H3919" s="55"/>
      <c r="I3919" s="55"/>
      <c r="J3919" s="55"/>
      <c r="K3919" s="56"/>
      <c r="L3919" s="55"/>
      <c r="M3919" s="55"/>
      <c r="N3919" s="55"/>
      <c r="O3919" s="55"/>
      <c r="P3919" s="55"/>
      <c r="Q3919" s="55"/>
      <c r="R3919" s="57"/>
      <c r="S3919" s="58"/>
    </row>
    <row r="3920" spans="2:19" ht="15.75" x14ac:dyDescent="0.25">
      <c r="B3920" s="52"/>
      <c r="C3920" s="53"/>
      <c r="D3920" s="54"/>
      <c r="E3920" s="55"/>
      <c r="F3920" s="55"/>
      <c r="G3920" s="55"/>
      <c r="H3920" s="55"/>
      <c r="I3920" s="55"/>
      <c r="J3920" s="55"/>
      <c r="K3920" s="59"/>
      <c r="L3920" s="55"/>
      <c r="M3920" s="55"/>
      <c r="N3920" s="55"/>
      <c r="O3920" s="55"/>
      <c r="P3920" s="55"/>
      <c r="Q3920" s="55"/>
      <c r="R3920" s="57"/>
      <c r="S3920" s="58"/>
    </row>
    <row r="3921" spans="2:19" x14ac:dyDescent="0.25">
      <c r="B3921" s="52"/>
      <c r="C3921" s="53"/>
      <c r="D3921" s="54"/>
      <c r="E3921" s="55"/>
      <c r="F3921" s="55"/>
      <c r="G3921" s="55"/>
      <c r="H3921" s="55"/>
      <c r="I3921" s="55"/>
      <c r="J3921" s="55"/>
      <c r="K3921" s="56"/>
      <c r="L3921" s="55"/>
      <c r="M3921" s="55"/>
      <c r="N3921" s="55"/>
      <c r="O3921" s="55"/>
      <c r="P3921" s="55"/>
      <c r="Q3921" s="55"/>
      <c r="R3921" s="57"/>
      <c r="S3921" s="58"/>
    </row>
    <row r="3922" spans="2:19" x14ac:dyDescent="0.25">
      <c r="B3922" s="52"/>
      <c r="C3922" s="53"/>
      <c r="D3922" s="54"/>
      <c r="E3922" s="55"/>
      <c r="F3922" s="55"/>
      <c r="G3922" s="55"/>
      <c r="H3922" s="55"/>
      <c r="I3922" s="55"/>
      <c r="J3922" s="55"/>
      <c r="K3922" s="56"/>
      <c r="L3922" s="55"/>
      <c r="M3922" s="55"/>
      <c r="N3922" s="55"/>
      <c r="O3922" s="55"/>
      <c r="P3922" s="55"/>
      <c r="Q3922" s="55"/>
      <c r="R3922" s="57"/>
      <c r="S3922" s="58"/>
    </row>
    <row r="3923" spans="2:19" x14ac:dyDescent="0.25">
      <c r="B3923" s="52"/>
      <c r="C3923" s="53"/>
      <c r="D3923" s="54"/>
      <c r="E3923" s="55"/>
      <c r="F3923" s="55"/>
      <c r="G3923" s="55"/>
      <c r="H3923" s="55"/>
      <c r="I3923" s="55"/>
      <c r="J3923" s="55"/>
      <c r="K3923" s="56"/>
      <c r="L3923" s="55"/>
      <c r="M3923" s="55"/>
      <c r="N3923" s="55"/>
      <c r="O3923" s="55"/>
      <c r="P3923" s="55"/>
      <c r="Q3923" s="55"/>
      <c r="R3923" s="57"/>
      <c r="S3923" s="58"/>
    </row>
    <row r="3924" spans="2:19" x14ac:dyDescent="0.25">
      <c r="B3924" s="52"/>
      <c r="C3924" s="53"/>
      <c r="D3924" s="54"/>
      <c r="E3924" s="55"/>
      <c r="F3924" s="55"/>
      <c r="G3924" s="55"/>
      <c r="H3924" s="55"/>
      <c r="I3924" s="55"/>
      <c r="J3924" s="55"/>
      <c r="K3924" s="56"/>
      <c r="L3924" s="55"/>
      <c r="M3924" s="55"/>
      <c r="N3924" s="55"/>
      <c r="O3924" s="55"/>
      <c r="P3924" s="55"/>
      <c r="Q3924" s="55"/>
      <c r="R3924" s="57"/>
      <c r="S3924" s="58"/>
    </row>
    <row r="3925" spans="2:19" x14ac:dyDescent="0.25">
      <c r="B3925" s="52"/>
      <c r="C3925" s="53"/>
      <c r="D3925" s="54"/>
      <c r="E3925" s="55"/>
      <c r="F3925" s="55"/>
      <c r="G3925" s="55"/>
      <c r="H3925" s="55"/>
      <c r="I3925" s="55"/>
      <c r="J3925" s="55"/>
      <c r="K3925" s="56"/>
      <c r="L3925" s="55"/>
      <c r="M3925" s="55"/>
      <c r="N3925" s="55"/>
      <c r="O3925" s="55"/>
      <c r="P3925" s="55"/>
      <c r="Q3925" s="55"/>
      <c r="R3925" s="57"/>
      <c r="S3925" s="58"/>
    </row>
    <row r="3926" spans="2:19" x14ac:dyDescent="0.25">
      <c r="B3926" s="52"/>
      <c r="C3926" s="53"/>
      <c r="D3926" s="54"/>
      <c r="E3926" s="55"/>
      <c r="F3926" s="55"/>
      <c r="G3926" s="55"/>
      <c r="H3926" s="55"/>
      <c r="I3926" s="55"/>
      <c r="J3926" s="55"/>
      <c r="K3926" s="56"/>
      <c r="L3926" s="55"/>
      <c r="M3926" s="55"/>
      <c r="N3926" s="55"/>
      <c r="O3926" s="55"/>
      <c r="P3926" s="55"/>
      <c r="Q3926" s="55"/>
      <c r="R3926" s="57"/>
      <c r="S3926" s="58"/>
    </row>
    <row r="3927" spans="2:19" x14ac:dyDescent="0.25">
      <c r="B3927" s="52"/>
      <c r="C3927" s="53"/>
      <c r="D3927" s="54"/>
      <c r="E3927" s="55"/>
      <c r="F3927" s="55"/>
      <c r="G3927" s="55"/>
      <c r="H3927" s="55"/>
      <c r="I3927" s="55"/>
      <c r="J3927" s="55"/>
      <c r="K3927" s="56"/>
      <c r="L3927" s="55"/>
      <c r="M3927" s="55"/>
      <c r="N3927" s="55"/>
      <c r="O3927" s="55"/>
      <c r="P3927" s="55"/>
      <c r="Q3927" s="55"/>
      <c r="R3927" s="57"/>
      <c r="S3927" s="58"/>
    </row>
    <row r="3928" spans="2:19" x14ac:dyDescent="0.25">
      <c r="B3928" s="52"/>
      <c r="C3928" s="60"/>
      <c r="E3928" s="61"/>
      <c r="F3928" s="62"/>
      <c r="G3928" s="63"/>
      <c r="H3928" s="64"/>
      <c r="I3928" s="64"/>
      <c r="J3928" s="64"/>
      <c r="K3928" s="65"/>
      <c r="L3928" s="64"/>
      <c r="M3928" s="64"/>
      <c r="N3928" s="64"/>
      <c r="P3928" s="63"/>
      <c r="Q3928" s="61"/>
      <c r="R3928" s="64"/>
      <c r="S3928" s="64"/>
    </row>
    <row r="3929" spans="2:19" x14ac:dyDescent="0.25">
      <c r="B3929" s="52"/>
      <c r="C3929" s="53"/>
      <c r="D3929" s="54"/>
      <c r="E3929" s="55"/>
      <c r="F3929" s="55"/>
      <c r="G3929" s="55"/>
      <c r="H3929" s="55"/>
      <c r="I3929" s="55"/>
      <c r="J3929" s="55"/>
      <c r="K3929" s="56"/>
      <c r="L3929" s="55"/>
      <c r="M3929" s="55"/>
      <c r="N3929" s="55"/>
      <c r="O3929" s="55"/>
      <c r="P3929" s="55"/>
      <c r="Q3929" s="55"/>
      <c r="R3929" s="57"/>
      <c r="S3929" s="58"/>
    </row>
    <row r="3930" spans="2:19" x14ac:dyDescent="0.25">
      <c r="B3930" s="52"/>
      <c r="C3930" s="53"/>
      <c r="D3930" s="54"/>
      <c r="E3930" s="55"/>
      <c r="F3930" s="55"/>
      <c r="G3930" s="55"/>
      <c r="H3930" s="55"/>
      <c r="I3930" s="55"/>
      <c r="J3930" s="55"/>
      <c r="K3930" s="56"/>
      <c r="L3930" s="55"/>
      <c r="M3930" s="55"/>
      <c r="N3930" s="55"/>
      <c r="O3930" s="55"/>
      <c r="P3930" s="55"/>
      <c r="Q3930" s="55"/>
      <c r="R3930" s="57"/>
      <c r="S3930" s="58"/>
    </row>
    <row r="3931" spans="2:19" x14ac:dyDescent="0.25">
      <c r="B3931" s="52"/>
      <c r="C3931" s="53"/>
      <c r="D3931" s="54"/>
      <c r="E3931" s="55"/>
      <c r="F3931" s="55"/>
      <c r="G3931" s="55"/>
      <c r="H3931" s="55"/>
      <c r="I3931" s="55"/>
      <c r="J3931" s="55"/>
      <c r="K3931" s="56"/>
      <c r="L3931" s="55"/>
      <c r="M3931" s="55"/>
      <c r="N3931" s="55"/>
      <c r="O3931" s="55"/>
      <c r="P3931" s="55"/>
      <c r="Q3931" s="55"/>
      <c r="R3931" s="57"/>
      <c r="S3931" s="58"/>
    </row>
    <row r="3932" spans="2:19" x14ac:dyDescent="0.25">
      <c r="B3932" s="52"/>
      <c r="C3932" s="53"/>
      <c r="D3932" s="54"/>
      <c r="E3932" s="55"/>
      <c r="F3932" s="55"/>
      <c r="G3932" s="55"/>
      <c r="H3932" s="55"/>
      <c r="I3932" s="55"/>
      <c r="J3932" s="55"/>
      <c r="K3932" s="56"/>
      <c r="L3932" s="55"/>
      <c r="M3932" s="55"/>
      <c r="N3932" s="55"/>
      <c r="O3932" s="55"/>
      <c r="P3932" s="55"/>
      <c r="Q3932" s="55"/>
      <c r="R3932" s="57"/>
      <c r="S3932" s="58"/>
    </row>
    <row r="3933" spans="2:19" x14ac:dyDescent="0.25">
      <c r="B3933" s="52"/>
      <c r="C3933" s="53"/>
      <c r="D3933" s="54"/>
      <c r="E3933" s="55"/>
      <c r="F3933" s="55"/>
      <c r="G3933" s="55"/>
      <c r="H3933" s="55"/>
      <c r="I3933" s="55"/>
      <c r="J3933" s="55"/>
      <c r="K3933" s="56"/>
      <c r="L3933" s="55"/>
      <c r="M3933" s="55"/>
      <c r="N3933" s="55"/>
      <c r="O3933" s="55"/>
      <c r="P3933" s="55"/>
      <c r="Q3933" s="55"/>
      <c r="R3933" s="57"/>
      <c r="S3933" s="58"/>
    </row>
    <row r="3934" spans="2:19" x14ac:dyDescent="0.25">
      <c r="B3934" s="52"/>
      <c r="C3934" s="53"/>
      <c r="D3934" s="54"/>
      <c r="E3934" s="55"/>
      <c r="F3934" s="55"/>
      <c r="G3934" s="55"/>
      <c r="H3934" s="55"/>
      <c r="I3934" s="55"/>
      <c r="J3934" s="55"/>
      <c r="K3934" s="56"/>
      <c r="L3934" s="55"/>
      <c r="M3934" s="55"/>
      <c r="N3934" s="55"/>
      <c r="O3934" s="55"/>
      <c r="P3934" s="55"/>
      <c r="Q3934" s="55"/>
      <c r="R3934" s="57"/>
      <c r="S3934" s="58"/>
    </row>
    <row r="3935" spans="2:19" x14ac:dyDescent="0.25">
      <c r="B3935" s="52"/>
      <c r="C3935" s="53"/>
      <c r="D3935" s="54"/>
      <c r="E3935" s="55"/>
      <c r="F3935" s="55"/>
      <c r="G3935" s="55"/>
      <c r="H3935" s="55"/>
      <c r="I3935" s="55"/>
      <c r="J3935" s="55"/>
      <c r="K3935" s="56"/>
      <c r="L3935" s="55"/>
      <c r="M3935" s="55"/>
      <c r="N3935" s="55"/>
      <c r="O3935" s="55"/>
      <c r="P3935" s="55"/>
      <c r="Q3935" s="55"/>
      <c r="R3935" s="57"/>
      <c r="S3935" s="58"/>
    </row>
    <row r="3936" spans="2:19" x14ac:dyDescent="0.25">
      <c r="B3936" s="52"/>
      <c r="C3936" s="53"/>
      <c r="D3936" s="54"/>
      <c r="E3936" s="55"/>
      <c r="F3936" s="55"/>
      <c r="G3936" s="55"/>
      <c r="H3936" s="55"/>
      <c r="I3936" s="55"/>
      <c r="J3936" s="55"/>
      <c r="K3936" s="56"/>
      <c r="L3936" s="55"/>
      <c r="M3936" s="55"/>
      <c r="N3936" s="55"/>
      <c r="O3936" s="55"/>
      <c r="P3936" s="55"/>
      <c r="Q3936" s="55"/>
      <c r="R3936" s="57"/>
      <c r="S3936" s="58"/>
    </row>
    <row r="3937" spans="2:19" ht="15.75" x14ac:dyDescent="0.25">
      <c r="B3937" s="52"/>
      <c r="C3937" s="53"/>
      <c r="D3937" s="54"/>
      <c r="E3937" s="55"/>
      <c r="F3937" s="55"/>
      <c r="G3937" s="55"/>
      <c r="H3937" s="55"/>
      <c r="I3937" s="55"/>
      <c r="J3937" s="55"/>
      <c r="K3937" s="59"/>
      <c r="L3937" s="55"/>
      <c r="M3937" s="55"/>
      <c r="N3937" s="55"/>
      <c r="O3937" s="55"/>
      <c r="P3937" s="55"/>
      <c r="Q3937" s="55"/>
      <c r="R3937" s="57"/>
      <c r="S3937" s="58"/>
    </row>
    <row r="3938" spans="2:19" x14ac:dyDescent="0.25">
      <c r="B3938" s="52"/>
      <c r="C3938" s="53"/>
      <c r="D3938" s="54"/>
      <c r="E3938" s="55"/>
      <c r="F3938" s="55"/>
      <c r="G3938" s="55"/>
      <c r="H3938" s="55"/>
      <c r="I3938" s="55"/>
      <c r="J3938" s="55"/>
      <c r="K3938" s="56"/>
      <c r="L3938" s="55"/>
      <c r="M3938" s="55"/>
      <c r="N3938" s="55"/>
      <c r="O3938" s="55"/>
      <c r="P3938" s="55"/>
      <c r="Q3938" s="55"/>
      <c r="R3938" s="57"/>
      <c r="S3938" s="58"/>
    </row>
    <row r="3939" spans="2:19" x14ac:dyDescent="0.25">
      <c r="B3939" s="52"/>
      <c r="C3939" s="53"/>
      <c r="D3939" s="54"/>
      <c r="E3939" s="55"/>
      <c r="F3939" s="55"/>
      <c r="G3939" s="55"/>
      <c r="H3939" s="55"/>
      <c r="I3939" s="55"/>
      <c r="J3939" s="55"/>
      <c r="K3939" s="56"/>
      <c r="L3939" s="55"/>
      <c r="M3939" s="55"/>
      <c r="N3939" s="55"/>
      <c r="O3939" s="55"/>
      <c r="P3939" s="55"/>
      <c r="Q3939" s="55"/>
      <c r="R3939" s="57"/>
      <c r="S3939" s="58"/>
    </row>
    <row r="3940" spans="2:19" x14ac:dyDescent="0.25">
      <c r="B3940" s="52"/>
      <c r="C3940" s="53"/>
      <c r="D3940" s="54"/>
      <c r="E3940" s="55"/>
      <c r="F3940" s="55"/>
      <c r="G3940" s="55"/>
      <c r="H3940" s="55"/>
      <c r="I3940" s="55"/>
      <c r="J3940" s="55"/>
      <c r="K3940" s="56"/>
      <c r="L3940" s="55"/>
      <c r="M3940" s="55"/>
      <c r="N3940" s="55"/>
      <c r="O3940" s="55"/>
      <c r="P3940" s="55"/>
      <c r="Q3940" s="55"/>
      <c r="R3940" s="57"/>
      <c r="S3940" s="58"/>
    </row>
    <row r="3941" spans="2:19" x14ac:dyDescent="0.25">
      <c r="B3941" s="52"/>
      <c r="C3941" s="53"/>
      <c r="D3941" s="54"/>
      <c r="E3941" s="55"/>
      <c r="F3941" s="55"/>
      <c r="G3941" s="55"/>
      <c r="H3941" s="55"/>
      <c r="I3941" s="55"/>
      <c r="J3941" s="55"/>
      <c r="K3941" s="56"/>
      <c r="L3941" s="55"/>
      <c r="M3941" s="55"/>
      <c r="N3941" s="55"/>
      <c r="O3941" s="55"/>
      <c r="P3941" s="55"/>
      <c r="Q3941" s="55"/>
      <c r="R3941" s="57"/>
      <c r="S3941" s="58"/>
    </row>
    <row r="3942" spans="2:19" x14ac:dyDescent="0.25">
      <c r="B3942" s="52"/>
      <c r="C3942" s="53"/>
      <c r="D3942" s="54"/>
      <c r="E3942" s="55"/>
      <c r="F3942" s="55"/>
      <c r="G3942" s="55"/>
      <c r="H3942" s="55"/>
      <c r="I3942" s="55"/>
      <c r="J3942" s="55"/>
      <c r="K3942" s="56"/>
      <c r="L3942" s="55"/>
      <c r="M3942" s="55"/>
      <c r="N3942" s="55"/>
      <c r="O3942" s="55"/>
      <c r="P3942" s="55"/>
      <c r="Q3942" s="55"/>
      <c r="R3942" s="57"/>
      <c r="S3942" s="58"/>
    </row>
    <row r="3943" spans="2:19" x14ac:dyDescent="0.25">
      <c r="B3943" s="52"/>
      <c r="C3943" s="53"/>
      <c r="D3943" s="54"/>
      <c r="E3943" s="55"/>
      <c r="F3943" s="55"/>
      <c r="G3943" s="55"/>
      <c r="H3943" s="55"/>
      <c r="I3943" s="55"/>
      <c r="J3943" s="55"/>
      <c r="K3943" s="56"/>
      <c r="L3943" s="55"/>
      <c r="M3943" s="55"/>
      <c r="N3943" s="55"/>
      <c r="O3943" s="55"/>
      <c r="P3943" s="55"/>
      <c r="Q3943" s="55"/>
      <c r="R3943" s="57"/>
      <c r="S3943" s="58"/>
    </row>
    <row r="3944" spans="2:19" x14ac:dyDescent="0.25">
      <c r="B3944" s="52"/>
      <c r="C3944" s="53"/>
      <c r="D3944" s="54"/>
      <c r="E3944" s="55"/>
      <c r="F3944" s="55"/>
      <c r="G3944" s="55"/>
      <c r="H3944" s="55"/>
      <c r="I3944" s="55"/>
      <c r="J3944" s="55"/>
      <c r="K3944" s="56"/>
      <c r="L3944" s="55"/>
      <c r="M3944" s="55"/>
      <c r="N3944" s="55"/>
      <c r="O3944" s="55"/>
      <c r="P3944" s="55"/>
      <c r="Q3944" s="55"/>
      <c r="R3944" s="57"/>
      <c r="S3944" s="58"/>
    </row>
    <row r="3945" spans="2:19" x14ac:dyDescent="0.25">
      <c r="B3945" s="52"/>
      <c r="C3945" s="60"/>
      <c r="E3945" s="61"/>
      <c r="F3945" s="62"/>
      <c r="G3945" s="63"/>
      <c r="H3945" s="64"/>
      <c r="I3945" s="64"/>
      <c r="J3945" s="64"/>
      <c r="K3945" s="65"/>
      <c r="L3945" s="64"/>
      <c r="M3945" s="64"/>
      <c r="N3945" s="64"/>
      <c r="P3945" s="63"/>
      <c r="Q3945" s="61"/>
      <c r="R3945" s="64"/>
      <c r="S3945" s="64"/>
    </row>
    <row r="3946" spans="2:19" x14ac:dyDescent="0.25">
      <c r="B3946" s="52"/>
      <c r="C3946" s="53"/>
      <c r="D3946" s="54"/>
      <c r="E3946" s="55"/>
      <c r="F3946" s="55"/>
      <c r="G3946" s="55"/>
      <c r="H3946" s="55"/>
      <c r="I3946" s="55"/>
      <c r="J3946" s="55"/>
      <c r="K3946" s="56"/>
      <c r="L3946" s="55"/>
      <c r="M3946" s="55"/>
      <c r="N3946" s="55"/>
      <c r="O3946" s="55"/>
      <c r="P3946" s="55"/>
      <c r="Q3946" s="55"/>
      <c r="R3946" s="57"/>
      <c r="S3946" s="58"/>
    </row>
    <row r="3947" spans="2:19" x14ac:dyDescent="0.25">
      <c r="B3947" s="52"/>
      <c r="C3947" s="53"/>
      <c r="D3947" s="54"/>
      <c r="E3947" s="55"/>
      <c r="F3947" s="55"/>
      <c r="G3947" s="55"/>
      <c r="H3947" s="55"/>
      <c r="I3947" s="55"/>
      <c r="J3947" s="55"/>
      <c r="K3947" s="56"/>
      <c r="L3947" s="55"/>
      <c r="M3947" s="55"/>
      <c r="N3947" s="55"/>
      <c r="O3947" s="55"/>
      <c r="P3947" s="55"/>
      <c r="Q3947" s="55"/>
      <c r="R3947" s="57"/>
      <c r="S3947" s="58"/>
    </row>
    <row r="3948" spans="2:19" x14ac:dyDescent="0.25">
      <c r="B3948" s="52"/>
      <c r="C3948" s="53"/>
      <c r="D3948" s="54"/>
      <c r="E3948" s="55"/>
      <c r="F3948" s="55"/>
      <c r="G3948" s="55"/>
      <c r="H3948" s="55"/>
      <c r="I3948" s="55"/>
      <c r="J3948" s="55"/>
      <c r="K3948" s="56"/>
      <c r="L3948" s="55"/>
      <c r="M3948" s="55"/>
      <c r="N3948" s="55"/>
      <c r="O3948" s="55"/>
      <c r="P3948" s="55"/>
      <c r="Q3948" s="55"/>
      <c r="R3948" s="57"/>
      <c r="S3948" s="58"/>
    </row>
    <row r="3949" spans="2:19" x14ac:dyDescent="0.25">
      <c r="B3949" s="52"/>
      <c r="C3949" s="53"/>
      <c r="D3949" s="54"/>
      <c r="E3949" s="55"/>
      <c r="F3949" s="55"/>
      <c r="G3949" s="55"/>
      <c r="H3949" s="55"/>
      <c r="I3949" s="55"/>
      <c r="J3949" s="55"/>
      <c r="K3949" s="56"/>
      <c r="L3949" s="55"/>
      <c r="M3949" s="55"/>
      <c r="N3949" s="55"/>
      <c r="O3949" s="55"/>
      <c r="P3949" s="55"/>
      <c r="Q3949" s="55"/>
      <c r="R3949" s="57"/>
      <c r="S3949" s="58"/>
    </row>
    <row r="3950" spans="2:19" x14ac:dyDescent="0.25">
      <c r="B3950" s="52"/>
      <c r="C3950" s="53"/>
      <c r="D3950" s="54"/>
      <c r="E3950" s="55"/>
      <c r="F3950" s="55"/>
      <c r="G3950" s="55"/>
      <c r="H3950" s="55"/>
      <c r="I3950" s="55"/>
      <c r="J3950" s="55"/>
      <c r="K3950" s="56"/>
      <c r="L3950" s="55"/>
      <c r="M3950" s="55"/>
      <c r="N3950" s="55"/>
      <c r="O3950" s="55"/>
      <c r="P3950" s="55"/>
      <c r="Q3950" s="55"/>
      <c r="R3950" s="57"/>
      <c r="S3950" s="58"/>
    </row>
    <row r="3951" spans="2:19" x14ac:dyDescent="0.25">
      <c r="B3951" s="52"/>
      <c r="C3951" s="53"/>
      <c r="D3951" s="54"/>
      <c r="E3951" s="55"/>
      <c r="F3951" s="55"/>
      <c r="G3951" s="55"/>
      <c r="H3951" s="55"/>
      <c r="I3951" s="55"/>
      <c r="J3951" s="55"/>
      <c r="K3951" s="56"/>
      <c r="L3951" s="55"/>
      <c r="M3951" s="55"/>
      <c r="N3951" s="55"/>
      <c r="O3951" s="55"/>
      <c r="P3951" s="55"/>
      <c r="Q3951" s="55"/>
      <c r="R3951" s="57"/>
      <c r="S3951" s="58"/>
    </row>
    <row r="3952" spans="2:19" x14ac:dyDescent="0.25">
      <c r="B3952" s="52"/>
      <c r="C3952" s="53"/>
      <c r="D3952" s="54"/>
      <c r="E3952" s="55"/>
      <c r="F3952" s="55"/>
      <c r="G3952" s="55"/>
      <c r="H3952" s="55"/>
      <c r="I3952" s="55"/>
      <c r="J3952" s="55"/>
      <c r="K3952" s="56"/>
      <c r="L3952" s="55"/>
      <c r="M3952" s="55"/>
      <c r="N3952" s="55"/>
      <c r="O3952" s="55"/>
      <c r="P3952" s="55"/>
      <c r="Q3952" s="55"/>
      <c r="R3952" s="57"/>
      <c r="S3952" s="58"/>
    </row>
    <row r="3953" spans="2:19" x14ac:dyDescent="0.25">
      <c r="B3953" s="52"/>
      <c r="C3953" s="53"/>
      <c r="D3953" s="54"/>
      <c r="E3953" s="55"/>
      <c r="F3953" s="55"/>
      <c r="G3953" s="55"/>
      <c r="H3953" s="55"/>
      <c r="I3953" s="55"/>
      <c r="J3953" s="55"/>
      <c r="K3953" s="56"/>
      <c r="L3953" s="55"/>
      <c r="M3953" s="55"/>
      <c r="N3953" s="55"/>
      <c r="O3953" s="55"/>
      <c r="P3953" s="55"/>
      <c r="Q3953" s="55"/>
      <c r="R3953" s="57"/>
      <c r="S3953" s="58"/>
    </row>
    <row r="3954" spans="2:19" ht="15.75" x14ac:dyDescent="0.25">
      <c r="B3954" s="52"/>
      <c r="C3954" s="53"/>
      <c r="D3954" s="54"/>
      <c r="E3954" s="55"/>
      <c r="F3954" s="55"/>
      <c r="G3954" s="55"/>
      <c r="H3954" s="55"/>
      <c r="I3954" s="55"/>
      <c r="J3954" s="55"/>
      <c r="K3954" s="59"/>
      <c r="L3954" s="55"/>
      <c r="M3954" s="55"/>
      <c r="N3954" s="55"/>
      <c r="O3954" s="55"/>
      <c r="P3954" s="55"/>
      <c r="Q3954" s="55"/>
      <c r="R3954" s="57"/>
      <c r="S3954" s="58"/>
    </row>
    <row r="3955" spans="2:19" x14ac:dyDescent="0.25">
      <c r="B3955" s="52"/>
      <c r="C3955" s="53"/>
      <c r="D3955" s="54"/>
      <c r="E3955" s="55"/>
      <c r="F3955" s="55"/>
      <c r="G3955" s="55"/>
      <c r="H3955" s="55"/>
      <c r="I3955" s="55"/>
      <c r="J3955" s="55"/>
      <c r="K3955" s="56"/>
      <c r="L3955" s="55"/>
      <c r="M3955" s="55"/>
      <c r="N3955" s="55"/>
      <c r="O3955" s="55"/>
      <c r="P3955" s="55"/>
      <c r="Q3955" s="55"/>
      <c r="R3955" s="57"/>
      <c r="S3955" s="58"/>
    </row>
    <row r="3956" spans="2:19" x14ac:dyDescent="0.25">
      <c r="B3956" s="52"/>
      <c r="C3956" s="53"/>
      <c r="D3956" s="54"/>
      <c r="E3956" s="55"/>
      <c r="F3956" s="55"/>
      <c r="G3956" s="55"/>
      <c r="H3956" s="55"/>
      <c r="I3956" s="55"/>
      <c r="J3956" s="55"/>
      <c r="K3956" s="56"/>
      <c r="L3956" s="55"/>
      <c r="M3956" s="55"/>
      <c r="N3956" s="55"/>
      <c r="O3956" s="55"/>
      <c r="P3956" s="55"/>
      <c r="Q3956" s="55"/>
      <c r="R3956" s="57"/>
      <c r="S3956" s="58"/>
    </row>
    <row r="3957" spans="2:19" x14ac:dyDescent="0.25">
      <c r="B3957" s="52"/>
      <c r="C3957" s="53"/>
      <c r="D3957" s="54"/>
      <c r="E3957" s="55"/>
      <c r="F3957" s="55"/>
      <c r="G3957" s="55"/>
      <c r="H3957" s="55"/>
      <c r="I3957" s="55"/>
      <c r="J3957" s="55"/>
      <c r="K3957" s="56"/>
      <c r="L3957" s="55"/>
      <c r="M3957" s="55"/>
      <c r="N3957" s="55"/>
      <c r="O3957" s="55"/>
      <c r="P3957" s="55"/>
      <c r="Q3957" s="55"/>
      <c r="R3957" s="57"/>
      <c r="S3957" s="58"/>
    </row>
    <row r="3958" spans="2:19" x14ac:dyDescent="0.25">
      <c r="B3958" s="52"/>
      <c r="C3958" s="53"/>
      <c r="D3958" s="54"/>
      <c r="E3958" s="55"/>
      <c r="F3958" s="55"/>
      <c r="G3958" s="55"/>
      <c r="H3958" s="55"/>
      <c r="I3958" s="55"/>
      <c r="J3958" s="55"/>
      <c r="K3958" s="56"/>
      <c r="L3958" s="55"/>
      <c r="M3958" s="55"/>
      <c r="N3958" s="55"/>
      <c r="O3958" s="55"/>
      <c r="P3958" s="55"/>
      <c r="Q3958" s="55"/>
      <c r="R3958" s="57"/>
      <c r="S3958" s="58"/>
    </row>
    <row r="3959" spans="2:19" x14ac:dyDescent="0.25">
      <c r="B3959" s="52"/>
      <c r="C3959" s="53"/>
      <c r="D3959" s="54"/>
      <c r="E3959" s="55"/>
      <c r="F3959" s="55"/>
      <c r="G3959" s="55"/>
      <c r="H3959" s="55"/>
      <c r="I3959" s="55"/>
      <c r="J3959" s="55"/>
      <c r="K3959" s="56"/>
      <c r="L3959" s="55"/>
      <c r="M3959" s="55"/>
      <c r="N3959" s="55"/>
      <c r="O3959" s="55"/>
      <c r="P3959" s="55"/>
      <c r="Q3959" s="55"/>
      <c r="R3959" s="57"/>
      <c r="S3959" s="58"/>
    </row>
    <row r="3960" spans="2:19" x14ac:dyDescent="0.25">
      <c r="B3960" s="52"/>
      <c r="C3960" s="53"/>
      <c r="D3960" s="54"/>
      <c r="E3960" s="55"/>
      <c r="F3960" s="55"/>
      <c r="G3960" s="55"/>
      <c r="H3960" s="55"/>
      <c r="I3960" s="55"/>
      <c r="J3960" s="55"/>
      <c r="K3960" s="56"/>
      <c r="L3960" s="55"/>
      <c r="M3960" s="55"/>
      <c r="N3960" s="55"/>
      <c r="O3960" s="55"/>
      <c r="P3960" s="55"/>
      <c r="Q3960" s="55"/>
      <c r="R3960" s="57"/>
      <c r="S3960" s="58"/>
    </row>
    <row r="3961" spans="2:19" x14ac:dyDescent="0.25">
      <c r="B3961" s="52"/>
      <c r="C3961" s="53"/>
      <c r="D3961" s="54"/>
      <c r="E3961" s="55"/>
      <c r="F3961" s="55"/>
      <c r="G3961" s="55"/>
      <c r="H3961" s="55"/>
      <c r="I3961" s="55"/>
      <c r="J3961" s="55"/>
      <c r="K3961" s="56"/>
      <c r="L3961" s="55"/>
      <c r="M3961" s="55"/>
      <c r="N3961" s="55"/>
      <c r="O3961" s="55"/>
      <c r="P3961" s="55"/>
      <c r="Q3961" s="55"/>
      <c r="R3961" s="57"/>
      <c r="S3961" s="58"/>
    </row>
    <row r="3962" spans="2:19" x14ac:dyDescent="0.25">
      <c r="B3962" s="52"/>
      <c r="C3962" s="60"/>
      <c r="E3962" s="61"/>
      <c r="F3962" s="62"/>
      <c r="G3962" s="63"/>
      <c r="H3962" s="64"/>
      <c r="I3962" s="64"/>
      <c r="J3962" s="64"/>
      <c r="K3962" s="65"/>
      <c r="L3962" s="64"/>
      <c r="M3962" s="64"/>
      <c r="N3962" s="64"/>
      <c r="P3962" s="63"/>
      <c r="Q3962" s="61"/>
      <c r="R3962" s="64"/>
      <c r="S3962" s="64"/>
    </row>
    <row r="3963" spans="2:19" x14ac:dyDescent="0.25">
      <c r="B3963" s="52"/>
      <c r="C3963" s="53"/>
      <c r="D3963" s="54"/>
      <c r="E3963" s="55"/>
      <c r="F3963" s="55"/>
      <c r="G3963" s="55"/>
      <c r="H3963" s="55"/>
      <c r="I3963" s="55"/>
      <c r="J3963" s="55"/>
      <c r="K3963" s="56"/>
      <c r="L3963" s="55"/>
      <c r="M3963" s="55"/>
      <c r="N3963" s="55"/>
      <c r="O3963" s="55"/>
      <c r="P3963" s="55"/>
      <c r="Q3963" s="55"/>
      <c r="R3963" s="57"/>
      <c r="S3963" s="58"/>
    </row>
    <row r="3964" spans="2:19" x14ac:dyDescent="0.25">
      <c r="B3964" s="52"/>
      <c r="C3964" s="53"/>
      <c r="D3964" s="54"/>
      <c r="E3964" s="55"/>
      <c r="F3964" s="55"/>
      <c r="G3964" s="55"/>
      <c r="H3964" s="55"/>
      <c r="I3964" s="55"/>
      <c r="J3964" s="55"/>
      <c r="K3964" s="56"/>
      <c r="L3964" s="55"/>
      <c r="M3964" s="55"/>
      <c r="N3964" s="55"/>
      <c r="O3964" s="55"/>
      <c r="P3964" s="55"/>
      <c r="Q3964" s="55"/>
      <c r="R3964" s="57"/>
      <c r="S3964" s="58"/>
    </row>
    <row r="3965" spans="2:19" x14ac:dyDescent="0.25">
      <c r="B3965" s="52"/>
      <c r="C3965" s="53"/>
      <c r="D3965" s="54"/>
      <c r="E3965" s="55"/>
      <c r="F3965" s="55"/>
      <c r="G3965" s="55"/>
      <c r="H3965" s="55"/>
      <c r="I3965" s="55"/>
      <c r="J3965" s="55"/>
      <c r="K3965" s="56"/>
      <c r="L3965" s="55"/>
      <c r="M3965" s="55"/>
      <c r="N3965" s="55"/>
      <c r="O3965" s="55"/>
      <c r="P3965" s="55"/>
      <c r="Q3965" s="55"/>
      <c r="R3965" s="57"/>
      <c r="S3965" s="58"/>
    </row>
    <row r="3966" spans="2:19" x14ac:dyDescent="0.25">
      <c r="B3966" s="52"/>
      <c r="C3966" s="53"/>
      <c r="D3966" s="54"/>
      <c r="E3966" s="55"/>
      <c r="F3966" s="55"/>
      <c r="G3966" s="55"/>
      <c r="H3966" s="55"/>
      <c r="I3966" s="55"/>
      <c r="J3966" s="55"/>
      <c r="K3966" s="56"/>
      <c r="L3966" s="55"/>
      <c r="M3966" s="55"/>
      <c r="N3966" s="55"/>
      <c r="O3966" s="55"/>
      <c r="P3966" s="55"/>
      <c r="Q3966" s="55"/>
      <c r="R3966" s="57"/>
      <c r="S3966" s="58"/>
    </row>
    <row r="3967" spans="2:19" x14ac:dyDescent="0.25">
      <c r="B3967" s="52"/>
      <c r="C3967" s="53"/>
      <c r="D3967" s="54"/>
      <c r="E3967" s="55"/>
      <c r="F3967" s="55"/>
      <c r="G3967" s="55"/>
      <c r="H3967" s="55"/>
      <c r="I3967" s="55"/>
      <c r="J3967" s="55"/>
      <c r="K3967" s="56"/>
      <c r="L3967" s="55"/>
      <c r="M3967" s="55"/>
      <c r="N3967" s="55"/>
      <c r="O3967" s="55"/>
      <c r="P3967" s="55"/>
      <c r="Q3967" s="55"/>
      <c r="R3967" s="57"/>
      <c r="S3967" s="58"/>
    </row>
    <row r="3968" spans="2:19" x14ac:dyDescent="0.25">
      <c r="B3968" s="52"/>
      <c r="C3968" s="53"/>
      <c r="D3968" s="54"/>
      <c r="E3968" s="55"/>
      <c r="F3968" s="55"/>
      <c r="G3968" s="55"/>
      <c r="H3968" s="55"/>
      <c r="I3968" s="55"/>
      <c r="J3968" s="55"/>
      <c r="K3968" s="56"/>
      <c r="L3968" s="55"/>
      <c r="M3968" s="55"/>
      <c r="N3968" s="55"/>
      <c r="O3968" s="55"/>
      <c r="P3968" s="55"/>
      <c r="Q3968" s="55"/>
      <c r="R3968" s="57"/>
      <c r="S3968" s="58"/>
    </row>
    <row r="3969" spans="2:19" x14ac:dyDescent="0.25">
      <c r="B3969" s="52"/>
      <c r="C3969" s="53"/>
      <c r="D3969" s="54"/>
      <c r="E3969" s="55"/>
      <c r="F3969" s="55"/>
      <c r="G3969" s="55"/>
      <c r="H3969" s="55"/>
      <c r="I3969" s="55"/>
      <c r="J3969" s="55"/>
      <c r="K3969" s="56"/>
      <c r="L3969" s="55"/>
      <c r="M3969" s="55"/>
      <c r="N3969" s="55"/>
      <c r="O3969" s="55"/>
      <c r="P3969" s="55"/>
      <c r="Q3969" s="55"/>
      <c r="R3969" s="57"/>
      <c r="S3969" s="58"/>
    </row>
    <row r="3970" spans="2:19" x14ac:dyDescent="0.25">
      <c r="B3970" s="52"/>
      <c r="C3970" s="53"/>
      <c r="D3970" s="54"/>
      <c r="E3970" s="55"/>
      <c r="F3970" s="55"/>
      <c r="G3970" s="55"/>
      <c r="H3970" s="55"/>
      <c r="I3970" s="55"/>
      <c r="J3970" s="55"/>
      <c r="K3970" s="56"/>
      <c r="L3970" s="55"/>
      <c r="M3970" s="55"/>
      <c r="N3970" s="55"/>
      <c r="O3970" s="55"/>
      <c r="P3970" s="55"/>
      <c r="Q3970" s="55"/>
      <c r="R3970" s="57"/>
      <c r="S3970" s="58"/>
    </row>
    <row r="3971" spans="2:19" ht="15.75" x14ac:dyDescent="0.25">
      <c r="B3971" s="52"/>
      <c r="C3971" s="53"/>
      <c r="D3971" s="54"/>
      <c r="E3971" s="55"/>
      <c r="F3971" s="55"/>
      <c r="G3971" s="55"/>
      <c r="H3971" s="55"/>
      <c r="I3971" s="55"/>
      <c r="J3971" s="55"/>
      <c r="K3971" s="59"/>
      <c r="L3971" s="55"/>
      <c r="M3971" s="55"/>
      <c r="N3971" s="55"/>
      <c r="O3971" s="55"/>
      <c r="P3971" s="55"/>
      <c r="Q3971" s="55"/>
      <c r="R3971" s="57"/>
      <c r="S3971" s="58"/>
    </row>
    <row r="3972" spans="2:19" x14ac:dyDescent="0.25">
      <c r="B3972" s="52"/>
      <c r="C3972" s="53"/>
      <c r="D3972" s="54"/>
      <c r="E3972" s="55"/>
      <c r="F3972" s="55"/>
      <c r="G3972" s="55"/>
      <c r="H3972" s="55"/>
      <c r="I3972" s="55"/>
      <c r="J3972" s="55"/>
      <c r="K3972" s="56"/>
      <c r="L3972" s="55"/>
      <c r="M3972" s="55"/>
      <c r="N3972" s="55"/>
      <c r="O3972" s="55"/>
      <c r="P3972" s="55"/>
      <c r="Q3972" s="55"/>
      <c r="R3972" s="57"/>
      <c r="S3972" s="58"/>
    </row>
    <row r="3973" spans="2:19" x14ac:dyDescent="0.25">
      <c r="B3973" s="52"/>
      <c r="C3973" s="53"/>
      <c r="D3973" s="54"/>
      <c r="E3973" s="55"/>
      <c r="F3973" s="55"/>
      <c r="G3973" s="55"/>
      <c r="H3973" s="55"/>
      <c r="I3973" s="55"/>
      <c r="J3973" s="55"/>
      <c r="K3973" s="56"/>
      <c r="L3973" s="55"/>
      <c r="M3973" s="55"/>
      <c r="N3973" s="55"/>
      <c r="O3973" s="55"/>
      <c r="P3973" s="55"/>
      <c r="Q3973" s="55"/>
      <c r="R3973" s="57"/>
      <c r="S3973" s="58"/>
    </row>
    <row r="3974" spans="2:19" x14ac:dyDescent="0.25">
      <c r="B3974" s="52"/>
      <c r="C3974" s="53"/>
      <c r="D3974" s="54"/>
      <c r="E3974" s="55"/>
      <c r="F3974" s="55"/>
      <c r="G3974" s="55"/>
      <c r="H3974" s="55"/>
      <c r="I3974" s="55"/>
      <c r="J3974" s="55"/>
      <c r="K3974" s="56"/>
      <c r="L3974" s="55"/>
      <c r="M3974" s="55"/>
      <c r="N3974" s="55"/>
      <c r="O3974" s="55"/>
      <c r="P3974" s="55"/>
      <c r="Q3974" s="55"/>
      <c r="R3974" s="57"/>
      <c r="S3974" s="58"/>
    </row>
    <row r="3975" spans="2:19" x14ac:dyDescent="0.25">
      <c r="B3975" s="52"/>
      <c r="C3975" s="53"/>
      <c r="D3975" s="54"/>
      <c r="E3975" s="55"/>
      <c r="F3975" s="55"/>
      <c r="G3975" s="55"/>
      <c r="H3975" s="55"/>
      <c r="I3975" s="55"/>
      <c r="J3975" s="55"/>
      <c r="K3975" s="56"/>
      <c r="L3975" s="55"/>
      <c r="M3975" s="55"/>
      <c r="N3975" s="55"/>
      <c r="O3975" s="55"/>
      <c r="P3975" s="55"/>
      <c r="Q3975" s="55"/>
      <c r="R3975" s="57"/>
      <c r="S3975" s="58"/>
    </row>
    <row r="3976" spans="2:19" x14ac:dyDescent="0.25">
      <c r="B3976" s="52"/>
      <c r="C3976" s="53"/>
      <c r="D3976" s="54"/>
      <c r="E3976" s="55"/>
      <c r="F3976" s="55"/>
      <c r="G3976" s="55"/>
      <c r="H3976" s="55"/>
      <c r="I3976" s="55"/>
      <c r="J3976" s="55"/>
      <c r="K3976" s="56"/>
      <c r="L3976" s="55"/>
      <c r="M3976" s="55"/>
      <c r="N3976" s="55"/>
      <c r="O3976" s="55"/>
      <c r="P3976" s="55"/>
      <c r="Q3976" s="55"/>
      <c r="R3976" s="57"/>
      <c r="S3976" s="58"/>
    </row>
    <row r="3977" spans="2:19" x14ac:dyDescent="0.25">
      <c r="B3977" s="52"/>
      <c r="C3977" s="53"/>
      <c r="D3977" s="54"/>
      <c r="E3977" s="55"/>
      <c r="F3977" s="55"/>
      <c r="G3977" s="55"/>
      <c r="H3977" s="55"/>
      <c r="I3977" s="55"/>
      <c r="J3977" s="55"/>
      <c r="K3977" s="56"/>
      <c r="L3977" s="55"/>
      <c r="M3977" s="55"/>
      <c r="N3977" s="55"/>
      <c r="O3977" s="55"/>
      <c r="P3977" s="55"/>
      <c r="Q3977" s="55"/>
      <c r="R3977" s="57"/>
      <c r="S3977" s="58"/>
    </row>
    <row r="3978" spans="2:19" x14ac:dyDescent="0.25">
      <c r="B3978" s="52"/>
      <c r="C3978" s="53"/>
      <c r="D3978" s="54"/>
      <c r="E3978" s="55"/>
      <c r="F3978" s="55"/>
      <c r="G3978" s="55"/>
      <c r="H3978" s="55"/>
      <c r="I3978" s="55"/>
      <c r="J3978" s="55"/>
      <c r="K3978" s="56"/>
      <c r="L3978" s="55"/>
      <c r="M3978" s="55"/>
      <c r="N3978" s="55"/>
      <c r="O3978" s="55"/>
      <c r="P3978" s="55"/>
      <c r="Q3978" s="55"/>
      <c r="R3978" s="57"/>
      <c r="S3978" s="58"/>
    </row>
    <row r="3979" spans="2:19" x14ac:dyDescent="0.25">
      <c r="B3979" s="52"/>
      <c r="C3979" s="60"/>
      <c r="E3979" s="61"/>
      <c r="F3979" s="62"/>
      <c r="G3979" s="63"/>
      <c r="H3979" s="64"/>
      <c r="I3979" s="64"/>
      <c r="J3979" s="64"/>
      <c r="K3979" s="65"/>
      <c r="L3979" s="64"/>
      <c r="M3979" s="64"/>
      <c r="N3979" s="64"/>
      <c r="P3979" s="63"/>
      <c r="Q3979" s="61"/>
      <c r="R3979" s="64"/>
      <c r="S3979" s="64"/>
    </row>
    <row r="3980" spans="2:19" x14ac:dyDescent="0.25">
      <c r="B3980" s="52"/>
      <c r="C3980" s="53"/>
      <c r="D3980" s="54"/>
      <c r="E3980" s="55"/>
      <c r="F3980" s="55"/>
      <c r="G3980" s="55"/>
      <c r="H3980" s="55"/>
      <c r="I3980" s="55"/>
      <c r="J3980" s="55"/>
      <c r="K3980" s="56"/>
      <c r="L3980" s="55"/>
      <c r="M3980" s="55"/>
      <c r="N3980" s="55"/>
      <c r="O3980" s="55"/>
      <c r="P3980" s="55"/>
      <c r="Q3980" s="55"/>
      <c r="R3980" s="57"/>
      <c r="S3980" s="58"/>
    </row>
    <row r="3981" spans="2:19" x14ac:dyDescent="0.25">
      <c r="B3981" s="52"/>
      <c r="C3981" s="53"/>
      <c r="D3981" s="54"/>
      <c r="E3981" s="55"/>
      <c r="F3981" s="55"/>
      <c r="G3981" s="55"/>
      <c r="H3981" s="55"/>
      <c r="I3981" s="55"/>
      <c r="J3981" s="55"/>
      <c r="K3981" s="56"/>
      <c r="L3981" s="55"/>
      <c r="M3981" s="55"/>
      <c r="N3981" s="55"/>
      <c r="O3981" s="55"/>
      <c r="P3981" s="55"/>
      <c r="Q3981" s="55"/>
      <c r="R3981" s="57"/>
      <c r="S3981" s="58"/>
    </row>
    <row r="3982" spans="2:19" x14ac:dyDescent="0.25">
      <c r="B3982" s="52"/>
      <c r="C3982" s="53"/>
      <c r="D3982" s="54"/>
      <c r="E3982" s="55"/>
      <c r="F3982" s="55"/>
      <c r="G3982" s="55"/>
      <c r="H3982" s="55"/>
      <c r="I3982" s="55"/>
      <c r="J3982" s="55"/>
      <c r="K3982" s="56"/>
      <c r="L3982" s="55"/>
      <c r="M3982" s="55"/>
      <c r="N3982" s="55"/>
      <c r="O3982" s="55"/>
      <c r="P3982" s="55"/>
      <c r="Q3982" s="55"/>
      <c r="R3982" s="57"/>
      <c r="S3982" s="58"/>
    </row>
    <row r="3983" spans="2:19" x14ac:dyDescent="0.25">
      <c r="B3983" s="52"/>
      <c r="C3983" s="53"/>
      <c r="D3983" s="54"/>
      <c r="E3983" s="55"/>
      <c r="F3983" s="55"/>
      <c r="G3983" s="55"/>
      <c r="H3983" s="55"/>
      <c r="I3983" s="55"/>
      <c r="J3983" s="55"/>
      <c r="K3983" s="56"/>
      <c r="L3983" s="55"/>
      <c r="M3983" s="55"/>
      <c r="N3983" s="55"/>
      <c r="O3983" s="55"/>
      <c r="P3983" s="55"/>
      <c r="Q3983" s="55"/>
      <c r="R3983" s="57"/>
      <c r="S3983" s="58"/>
    </row>
    <row r="3984" spans="2:19" x14ac:dyDescent="0.25">
      <c r="B3984" s="52"/>
      <c r="C3984" s="53"/>
      <c r="D3984" s="54"/>
      <c r="E3984" s="55"/>
      <c r="F3984" s="55"/>
      <c r="G3984" s="55"/>
      <c r="H3984" s="55"/>
      <c r="I3984" s="55"/>
      <c r="J3984" s="55"/>
      <c r="K3984" s="56"/>
      <c r="L3984" s="55"/>
      <c r="M3984" s="55"/>
      <c r="N3984" s="55"/>
      <c r="O3984" s="55"/>
      <c r="P3984" s="55"/>
      <c r="Q3984" s="55"/>
      <c r="R3984" s="57"/>
      <c r="S3984" s="58"/>
    </row>
    <row r="3985" spans="2:19" x14ac:dyDescent="0.25">
      <c r="B3985" s="52"/>
      <c r="C3985" s="53"/>
      <c r="D3985" s="54"/>
      <c r="E3985" s="55"/>
      <c r="F3985" s="55"/>
      <c r="G3985" s="55"/>
      <c r="H3985" s="55"/>
      <c r="I3985" s="55"/>
      <c r="J3985" s="55"/>
      <c r="K3985" s="56"/>
      <c r="L3985" s="55"/>
      <c r="M3985" s="55"/>
      <c r="N3985" s="55"/>
      <c r="O3985" s="55"/>
      <c r="P3985" s="55"/>
      <c r="Q3985" s="55"/>
      <c r="R3985" s="57"/>
      <c r="S3985" s="58"/>
    </row>
    <row r="3986" spans="2:19" x14ac:dyDescent="0.25">
      <c r="B3986" s="52"/>
      <c r="C3986" s="53"/>
      <c r="D3986" s="54"/>
      <c r="E3986" s="55"/>
      <c r="F3986" s="55"/>
      <c r="G3986" s="55"/>
      <c r="H3986" s="55"/>
      <c r="I3986" s="55"/>
      <c r="J3986" s="55"/>
      <c r="K3986" s="56"/>
      <c r="L3986" s="55"/>
      <c r="M3986" s="55"/>
      <c r="N3986" s="55"/>
      <c r="O3986" s="55"/>
      <c r="P3986" s="55"/>
      <c r="Q3986" s="55"/>
      <c r="R3986" s="57"/>
      <c r="S3986" s="58"/>
    </row>
    <row r="3987" spans="2:19" x14ac:dyDescent="0.25">
      <c r="B3987" s="52"/>
      <c r="C3987" s="53"/>
      <c r="D3987" s="54"/>
      <c r="E3987" s="55"/>
      <c r="F3987" s="55"/>
      <c r="G3987" s="55"/>
      <c r="H3987" s="55"/>
      <c r="I3987" s="55"/>
      <c r="J3987" s="55"/>
      <c r="K3987" s="56"/>
      <c r="L3987" s="55"/>
      <c r="M3987" s="55"/>
      <c r="N3987" s="55"/>
      <c r="O3987" s="55"/>
      <c r="P3987" s="55"/>
      <c r="Q3987" s="55"/>
      <c r="R3987" s="57"/>
      <c r="S3987" s="58"/>
    </row>
    <row r="3988" spans="2:19" ht="15.75" x14ac:dyDescent="0.25">
      <c r="B3988" s="52"/>
      <c r="C3988" s="53"/>
      <c r="D3988" s="54"/>
      <c r="E3988" s="55"/>
      <c r="F3988" s="55"/>
      <c r="G3988" s="55"/>
      <c r="H3988" s="55"/>
      <c r="I3988" s="55"/>
      <c r="J3988" s="55"/>
      <c r="K3988" s="59"/>
      <c r="L3988" s="55"/>
      <c r="M3988" s="55"/>
      <c r="N3988" s="55"/>
      <c r="O3988" s="55"/>
      <c r="P3988" s="55"/>
      <c r="Q3988" s="55"/>
      <c r="R3988" s="57"/>
      <c r="S3988" s="58"/>
    </row>
    <row r="3989" spans="2:19" x14ac:dyDescent="0.25">
      <c r="B3989" s="52"/>
      <c r="C3989" s="53"/>
      <c r="D3989" s="54"/>
      <c r="E3989" s="55"/>
      <c r="F3989" s="55"/>
      <c r="G3989" s="55"/>
      <c r="H3989" s="55"/>
      <c r="I3989" s="55"/>
      <c r="J3989" s="55"/>
      <c r="K3989" s="56"/>
      <c r="L3989" s="55"/>
      <c r="M3989" s="55"/>
      <c r="N3989" s="55"/>
      <c r="O3989" s="55"/>
      <c r="P3989" s="55"/>
      <c r="Q3989" s="55"/>
      <c r="R3989" s="57"/>
      <c r="S3989" s="58"/>
    </row>
    <row r="3990" spans="2:19" x14ac:dyDescent="0.25">
      <c r="B3990" s="52"/>
      <c r="C3990" s="53"/>
      <c r="D3990" s="54"/>
      <c r="E3990" s="55"/>
      <c r="F3990" s="55"/>
      <c r="G3990" s="55"/>
      <c r="H3990" s="55"/>
      <c r="I3990" s="55"/>
      <c r="J3990" s="55"/>
      <c r="K3990" s="56"/>
      <c r="L3990" s="55"/>
      <c r="M3990" s="55"/>
      <c r="N3990" s="55"/>
      <c r="O3990" s="55"/>
      <c r="P3990" s="55"/>
      <c r="Q3990" s="55"/>
      <c r="R3990" s="57"/>
      <c r="S3990" s="58"/>
    </row>
    <row r="3991" spans="2:19" x14ac:dyDescent="0.25">
      <c r="B3991" s="52"/>
      <c r="C3991" s="53"/>
      <c r="D3991" s="54"/>
      <c r="E3991" s="55"/>
      <c r="F3991" s="55"/>
      <c r="G3991" s="55"/>
      <c r="H3991" s="55"/>
      <c r="I3991" s="55"/>
      <c r="J3991" s="55"/>
      <c r="K3991" s="56"/>
      <c r="L3991" s="55"/>
      <c r="M3991" s="55"/>
      <c r="N3991" s="55"/>
      <c r="O3991" s="55"/>
      <c r="P3991" s="55"/>
      <c r="Q3991" s="55"/>
      <c r="R3991" s="57"/>
      <c r="S3991" s="58"/>
    </row>
    <row r="3992" spans="2:19" x14ac:dyDescent="0.25">
      <c r="B3992" s="52"/>
      <c r="C3992" s="53"/>
      <c r="D3992" s="54"/>
      <c r="E3992" s="55"/>
      <c r="F3992" s="55"/>
      <c r="G3992" s="55"/>
      <c r="H3992" s="55"/>
      <c r="I3992" s="55"/>
      <c r="J3992" s="55"/>
      <c r="K3992" s="56"/>
      <c r="L3992" s="55"/>
      <c r="M3992" s="55"/>
      <c r="N3992" s="55"/>
      <c r="O3992" s="55"/>
      <c r="P3992" s="55"/>
      <c r="Q3992" s="55"/>
      <c r="R3992" s="57"/>
      <c r="S3992" s="58"/>
    </row>
    <row r="3993" spans="2:19" x14ac:dyDescent="0.25">
      <c r="B3993" s="52"/>
      <c r="C3993" s="53"/>
      <c r="D3993" s="54"/>
      <c r="E3993" s="55"/>
      <c r="F3993" s="55"/>
      <c r="G3993" s="55"/>
      <c r="H3993" s="55"/>
      <c r="I3993" s="55"/>
      <c r="J3993" s="55"/>
      <c r="K3993" s="56"/>
      <c r="L3993" s="55"/>
      <c r="M3993" s="55"/>
      <c r="N3993" s="55"/>
      <c r="O3993" s="55"/>
      <c r="P3993" s="55"/>
      <c r="Q3993" s="55"/>
      <c r="R3993" s="57"/>
      <c r="S3993" s="58"/>
    </row>
    <row r="3994" spans="2:19" x14ac:dyDescent="0.25">
      <c r="B3994" s="52"/>
      <c r="C3994" s="53"/>
      <c r="D3994" s="54"/>
      <c r="E3994" s="55"/>
      <c r="F3994" s="55"/>
      <c r="G3994" s="55"/>
      <c r="H3994" s="55"/>
      <c r="I3994" s="55"/>
      <c r="J3994" s="55"/>
      <c r="K3994" s="56"/>
      <c r="L3994" s="55"/>
      <c r="M3994" s="55"/>
      <c r="N3994" s="55"/>
      <c r="O3994" s="55"/>
      <c r="P3994" s="55"/>
      <c r="Q3994" s="55"/>
      <c r="R3994" s="57"/>
      <c r="S3994" s="58"/>
    </row>
    <row r="3995" spans="2:19" x14ac:dyDescent="0.25">
      <c r="B3995" s="52"/>
      <c r="C3995" s="53"/>
      <c r="D3995" s="54"/>
      <c r="E3995" s="55"/>
      <c r="F3995" s="55"/>
      <c r="G3995" s="55"/>
      <c r="H3995" s="55"/>
      <c r="I3995" s="55"/>
      <c r="J3995" s="55"/>
      <c r="K3995" s="56"/>
      <c r="L3995" s="55"/>
      <c r="M3995" s="55"/>
      <c r="N3995" s="55"/>
      <c r="O3995" s="55"/>
      <c r="P3995" s="55"/>
      <c r="Q3995" s="55"/>
      <c r="R3995" s="57"/>
      <c r="S3995" s="58"/>
    </row>
    <row r="3996" spans="2:19" x14ac:dyDescent="0.25">
      <c r="B3996" s="52"/>
      <c r="C3996" s="60"/>
      <c r="E3996" s="61"/>
      <c r="F3996" s="62"/>
      <c r="G3996" s="63"/>
      <c r="H3996" s="64"/>
      <c r="I3996" s="64"/>
      <c r="J3996" s="64"/>
      <c r="K3996" s="65"/>
      <c r="L3996" s="64"/>
      <c r="M3996" s="64"/>
      <c r="N3996" s="64"/>
      <c r="P3996" s="63"/>
      <c r="Q3996" s="61"/>
      <c r="R3996" s="64"/>
      <c r="S3996" s="64"/>
    </row>
    <row r="3997" spans="2:19" x14ac:dyDescent="0.25">
      <c r="B3997" s="52"/>
      <c r="C3997" s="53"/>
      <c r="D3997" s="54"/>
      <c r="E3997" s="55"/>
      <c r="F3997" s="55"/>
      <c r="G3997" s="55"/>
      <c r="H3997" s="55"/>
      <c r="I3997" s="55"/>
      <c r="J3997" s="55"/>
      <c r="K3997" s="56"/>
      <c r="L3997" s="55"/>
      <c r="M3997" s="55"/>
      <c r="N3997" s="55"/>
      <c r="O3997" s="55"/>
      <c r="P3997" s="55"/>
      <c r="Q3997" s="55"/>
      <c r="R3997" s="57"/>
      <c r="S3997" s="58"/>
    </row>
    <row r="3998" spans="2:19" x14ac:dyDescent="0.25">
      <c r="B3998" s="52"/>
      <c r="C3998" s="53"/>
      <c r="D3998" s="54"/>
      <c r="E3998" s="55"/>
      <c r="F3998" s="55"/>
      <c r="G3998" s="55"/>
      <c r="H3998" s="55"/>
      <c r="I3998" s="55"/>
      <c r="J3998" s="55"/>
      <c r="K3998" s="56"/>
      <c r="L3998" s="55"/>
      <c r="M3998" s="55"/>
      <c r="N3998" s="55"/>
      <c r="O3998" s="55"/>
      <c r="P3998" s="55"/>
      <c r="Q3998" s="55"/>
      <c r="R3998" s="57"/>
      <c r="S3998" s="58"/>
    </row>
    <row r="3999" spans="2:19" x14ac:dyDescent="0.25">
      <c r="B3999" s="52"/>
      <c r="C3999" s="53"/>
      <c r="D3999" s="54"/>
      <c r="E3999" s="55"/>
      <c r="F3999" s="55"/>
      <c r="G3999" s="55"/>
      <c r="H3999" s="55"/>
      <c r="I3999" s="55"/>
      <c r="J3999" s="55"/>
      <c r="K3999" s="56"/>
      <c r="L3999" s="55"/>
      <c r="M3999" s="55"/>
      <c r="N3999" s="55"/>
      <c r="O3999" s="55"/>
      <c r="P3999" s="55"/>
      <c r="Q3999" s="55"/>
      <c r="R3999" s="57"/>
      <c r="S3999" s="58"/>
    </row>
    <row r="4000" spans="2:19" x14ac:dyDescent="0.25">
      <c r="B4000" s="52"/>
      <c r="C4000" s="53"/>
      <c r="D4000" s="54"/>
      <c r="E4000" s="55"/>
      <c r="F4000" s="55"/>
      <c r="G4000" s="55"/>
      <c r="H4000" s="55"/>
      <c r="I4000" s="55"/>
      <c r="J4000" s="55"/>
      <c r="K4000" s="56"/>
      <c r="L4000" s="55"/>
      <c r="M4000" s="55"/>
      <c r="N4000" s="55"/>
      <c r="O4000" s="55"/>
      <c r="P4000" s="55"/>
      <c r="Q4000" s="55"/>
      <c r="R4000" s="57"/>
      <c r="S4000" s="58"/>
    </row>
    <row r="4001" spans="2:19" x14ac:dyDescent="0.25">
      <c r="B4001" s="52"/>
      <c r="C4001" s="53"/>
      <c r="D4001" s="54"/>
      <c r="E4001" s="55"/>
      <c r="F4001" s="55"/>
      <c r="G4001" s="55"/>
      <c r="H4001" s="55"/>
      <c r="I4001" s="55"/>
      <c r="J4001" s="55"/>
      <c r="K4001" s="56"/>
      <c r="L4001" s="55"/>
      <c r="M4001" s="55"/>
      <c r="N4001" s="55"/>
      <c r="O4001" s="55"/>
      <c r="P4001" s="55"/>
      <c r="Q4001" s="55"/>
      <c r="R4001" s="57"/>
      <c r="S4001" s="58"/>
    </row>
    <row r="4002" spans="2:19" x14ac:dyDescent="0.25">
      <c r="B4002" s="52"/>
      <c r="C4002" s="53"/>
      <c r="D4002" s="54"/>
      <c r="E4002" s="55"/>
      <c r="F4002" s="55"/>
      <c r="G4002" s="55"/>
      <c r="H4002" s="55"/>
      <c r="I4002" s="55"/>
      <c r="J4002" s="55"/>
      <c r="K4002" s="56"/>
      <c r="L4002" s="55"/>
      <c r="M4002" s="55"/>
      <c r="N4002" s="55"/>
      <c r="O4002" s="55"/>
      <c r="P4002" s="55"/>
      <c r="Q4002" s="55"/>
      <c r="R4002" s="57"/>
      <c r="S4002" s="58"/>
    </row>
    <row r="4003" spans="2:19" x14ac:dyDescent="0.25">
      <c r="B4003" s="52"/>
      <c r="C4003" s="53"/>
      <c r="D4003" s="54"/>
      <c r="E4003" s="55"/>
      <c r="F4003" s="55"/>
      <c r="G4003" s="55"/>
      <c r="H4003" s="55"/>
      <c r="I4003" s="55"/>
      <c r="J4003" s="55"/>
      <c r="K4003" s="56"/>
      <c r="L4003" s="55"/>
      <c r="M4003" s="55"/>
      <c r="N4003" s="55"/>
      <c r="O4003" s="55"/>
      <c r="P4003" s="55"/>
      <c r="Q4003" s="55"/>
      <c r="R4003" s="57"/>
      <c r="S4003" s="58"/>
    </row>
    <row r="4004" spans="2:19" x14ac:dyDescent="0.25">
      <c r="B4004" s="52"/>
      <c r="C4004" s="53"/>
      <c r="D4004" s="54"/>
      <c r="E4004" s="55"/>
      <c r="F4004" s="55"/>
      <c r="G4004" s="55"/>
      <c r="H4004" s="55"/>
      <c r="I4004" s="55"/>
      <c r="J4004" s="55"/>
      <c r="K4004" s="56"/>
      <c r="L4004" s="55"/>
      <c r="M4004" s="55"/>
      <c r="N4004" s="55"/>
      <c r="O4004" s="55"/>
      <c r="P4004" s="55"/>
      <c r="Q4004" s="55"/>
      <c r="R4004" s="57"/>
      <c r="S4004" s="58"/>
    </row>
    <row r="4005" spans="2:19" ht="15.75" x14ac:dyDescent="0.25">
      <c r="B4005" s="52"/>
      <c r="C4005" s="53"/>
      <c r="D4005" s="54"/>
      <c r="E4005" s="55"/>
      <c r="F4005" s="55"/>
      <c r="G4005" s="55"/>
      <c r="H4005" s="55"/>
      <c r="I4005" s="55"/>
      <c r="J4005" s="55"/>
      <c r="K4005" s="59"/>
      <c r="L4005" s="55"/>
      <c r="M4005" s="55"/>
      <c r="N4005" s="55"/>
      <c r="O4005" s="55"/>
      <c r="P4005" s="55"/>
      <c r="Q4005" s="55"/>
      <c r="R4005" s="57"/>
      <c r="S4005" s="58"/>
    </row>
    <row r="4006" spans="2:19" x14ac:dyDescent="0.25">
      <c r="B4006" s="52"/>
      <c r="C4006" s="53"/>
      <c r="D4006" s="54"/>
      <c r="E4006" s="55"/>
      <c r="F4006" s="55"/>
      <c r="G4006" s="55"/>
      <c r="H4006" s="55"/>
      <c r="I4006" s="55"/>
      <c r="J4006" s="55"/>
      <c r="K4006" s="56"/>
      <c r="L4006" s="55"/>
      <c r="M4006" s="55"/>
      <c r="N4006" s="55"/>
      <c r="O4006" s="55"/>
      <c r="P4006" s="55"/>
      <c r="Q4006" s="55"/>
      <c r="R4006" s="57"/>
      <c r="S4006" s="58"/>
    </row>
    <row r="4007" spans="2:19" x14ac:dyDescent="0.25">
      <c r="B4007" s="52"/>
      <c r="C4007" s="53"/>
      <c r="D4007" s="54"/>
      <c r="E4007" s="55"/>
      <c r="F4007" s="55"/>
      <c r="G4007" s="55"/>
      <c r="H4007" s="55"/>
      <c r="I4007" s="55"/>
      <c r="J4007" s="55"/>
      <c r="K4007" s="56"/>
      <c r="L4007" s="55"/>
      <c r="M4007" s="55"/>
      <c r="N4007" s="55"/>
      <c r="O4007" s="55"/>
      <c r="P4007" s="55"/>
      <c r="Q4007" s="55"/>
      <c r="R4007" s="57"/>
      <c r="S4007" s="58"/>
    </row>
    <row r="4008" spans="2:19" x14ac:dyDescent="0.25">
      <c r="B4008" s="52"/>
      <c r="C4008" s="53"/>
      <c r="D4008" s="54"/>
      <c r="E4008" s="55"/>
      <c r="F4008" s="55"/>
      <c r="G4008" s="55"/>
      <c r="H4008" s="55"/>
      <c r="I4008" s="55"/>
      <c r="J4008" s="55"/>
      <c r="K4008" s="56"/>
      <c r="L4008" s="55"/>
      <c r="M4008" s="55"/>
      <c r="N4008" s="55"/>
      <c r="O4008" s="55"/>
      <c r="P4008" s="55"/>
      <c r="Q4008" s="55"/>
      <c r="R4008" s="57"/>
      <c r="S4008" s="58"/>
    </row>
    <row r="4009" spans="2:19" x14ac:dyDescent="0.25">
      <c r="B4009" s="52"/>
      <c r="C4009" s="53"/>
      <c r="D4009" s="54"/>
      <c r="E4009" s="55"/>
      <c r="F4009" s="55"/>
      <c r="G4009" s="55"/>
      <c r="H4009" s="55"/>
      <c r="I4009" s="55"/>
      <c r="J4009" s="55"/>
      <c r="K4009" s="56"/>
      <c r="L4009" s="55"/>
      <c r="M4009" s="55"/>
      <c r="N4009" s="55"/>
      <c r="O4009" s="55"/>
      <c r="P4009" s="55"/>
      <c r="Q4009" s="55"/>
      <c r="R4009" s="57"/>
      <c r="S4009" s="58"/>
    </row>
    <row r="4010" spans="2:19" x14ac:dyDescent="0.25">
      <c r="B4010" s="52"/>
      <c r="C4010" s="53"/>
      <c r="D4010" s="54"/>
      <c r="E4010" s="55"/>
      <c r="F4010" s="55"/>
      <c r="G4010" s="55"/>
      <c r="H4010" s="55"/>
      <c r="I4010" s="55"/>
      <c r="J4010" s="55"/>
      <c r="K4010" s="56"/>
      <c r="L4010" s="55"/>
      <c r="M4010" s="55"/>
      <c r="N4010" s="55"/>
      <c r="O4010" s="55"/>
      <c r="P4010" s="55"/>
      <c r="Q4010" s="55"/>
      <c r="R4010" s="57"/>
      <c r="S4010" s="58"/>
    </row>
    <row r="4011" spans="2:19" x14ac:dyDescent="0.25">
      <c r="B4011" s="52"/>
      <c r="C4011" s="53"/>
      <c r="D4011" s="54"/>
      <c r="E4011" s="55"/>
      <c r="F4011" s="55"/>
      <c r="G4011" s="55"/>
      <c r="H4011" s="55"/>
      <c r="I4011" s="55"/>
      <c r="J4011" s="55"/>
      <c r="K4011" s="56"/>
      <c r="L4011" s="55"/>
      <c r="M4011" s="55"/>
      <c r="N4011" s="55"/>
      <c r="O4011" s="55"/>
      <c r="P4011" s="55"/>
      <c r="Q4011" s="55"/>
      <c r="R4011" s="57"/>
      <c r="S4011" s="58"/>
    </row>
    <row r="4012" spans="2:19" x14ac:dyDescent="0.25">
      <c r="B4012" s="52"/>
      <c r="C4012" s="53"/>
      <c r="D4012" s="54"/>
      <c r="E4012" s="55"/>
      <c r="F4012" s="55"/>
      <c r="G4012" s="55"/>
      <c r="H4012" s="55"/>
      <c r="I4012" s="55"/>
      <c r="J4012" s="55"/>
      <c r="K4012" s="56"/>
      <c r="L4012" s="55"/>
      <c r="M4012" s="55"/>
      <c r="N4012" s="55"/>
      <c r="O4012" s="55"/>
      <c r="P4012" s="55"/>
      <c r="Q4012" s="55"/>
      <c r="R4012" s="57"/>
      <c r="S4012" s="58"/>
    </row>
    <row r="4013" spans="2:19" x14ac:dyDescent="0.25">
      <c r="B4013" s="52"/>
      <c r="C4013" s="60"/>
      <c r="E4013" s="61"/>
      <c r="F4013" s="62"/>
      <c r="G4013" s="63"/>
      <c r="H4013" s="64"/>
      <c r="I4013" s="64"/>
      <c r="J4013" s="64"/>
      <c r="K4013" s="65"/>
      <c r="L4013" s="64"/>
      <c r="M4013" s="64"/>
      <c r="N4013" s="64"/>
      <c r="P4013" s="63"/>
      <c r="Q4013" s="61"/>
      <c r="R4013" s="64"/>
      <c r="S4013" s="64"/>
    </row>
    <row r="4014" spans="2:19" x14ac:dyDescent="0.25">
      <c r="B4014" s="52"/>
      <c r="C4014" s="53"/>
      <c r="D4014" s="54"/>
      <c r="E4014" s="55"/>
      <c r="F4014" s="55"/>
      <c r="G4014" s="55"/>
      <c r="H4014" s="55"/>
      <c r="I4014" s="55"/>
      <c r="J4014" s="55"/>
      <c r="K4014" s="56"/>
      <c r="L4014" s="55"/>
      <c r="M4014" s="55"/>
      <c r="N4014" s="55"/>
      <c r="O4014" s="55"/>
      <c r="P4014" s="55"/>
      <c r="Q4014" s="55"/>
      <c r="R4014" s="57"/>
      <c r="S4014" s="58"/>
    </row>
    <row r="4015" spans="2:19" x14ac:dyDescent="0.25">
      <c r="B4015" s="52"/>
      <c r="C4015" s="53"/>
      <c r="D4015" s="54"/>
      <c r="E4015" s="55"/>
      <c r="F4015" s="55"/>
      <c r="G4015" s="55"/>
      <c r="H4015" s="55"/>
      <c r="I4015" s="55"/>
      <c r="J4015" s="55"/>
      <c r="K4015" s="56"/>
      <c r="L4015" s="55"/>
      <c r="M4015" s="55"/>
      <c r="N4015" s="55"/>
      <c r="O4015" s="55"/>
      <c r="P4015" s="55"/>
      <c r="Q4015" s="55"/>
      <c r="R4015" s="57"/>
      <c r="S4015" s="58"/>
    </row>
    <row r="4016" spans="2:19" x14ac:dyDescent="0.25">
      <c r="B4016" s="52"/>
      <c r="C4016" s="53"/>
      <c r="D4016" s="54"/>
      <c r="E4016" s="55"/>
      <c r="F4016" s="55"/>
      <c r="G4016" s="55"/>
      <c r="H4016" s="55"/>
      <c r="I4016" s="55"/>
      <c r="J4016" s="55"/>
      <c r="K4016" s="56"/>
      <c r="L4016" s="55"/>
      <c r="M4016" s="55"/>
      <c r="N4016" s="55"/>
      <c r="O4016" s="55"/>
      <c r="P4016" s="55"/>
      <c r="Q4016" s="55"/>
      <c r="R4016" s="57"/>
      <c r="S4016" s="58"/>
    </row>
    <row r="4017" spans="2:19" x14ac:dyDescent="0.25">
      <c r="B4017" s="52"/>
      <c r="C4017" s="53"/>
      <c r="D4017" s="54"/>
      <c r="E4017" s="55"/>
      <c r="F4017" s="55"/>
      <c r="G4017" s="55"/>
      <c r="H4017" s="55"/>
      <c r="I4017" s="55"/>
      <c r="J4017" s="55"/>
      <c r="K4017" s="56"/>
      <c r="L4017" s="55"/>
      <c r="M4017" s="55"/>
      <c r="N4017" s="55"/>
      <c r="O4017" s="55"/>
      <c r="P4017" s="55"/>
      <c r="Q4017" s="55"/>
      <c r="R4017" s="57"/>
      <c r="S4017" s="58"/>
    </row>
    <row r="4018" spans="2:19" x14ac:dyDescent="0.25">
      <c r="B4018" s="52"/>
      <c r="C4018" s="53"/>
      <c r="D4018" s="54"/>
      <c r="E4018" s="55"/>
      <c r="F4018" s="55"/>
      <c r="G4018" s="55"/>
      <c r="H4018" s="55"/>
      <c r="I4018" s="55"/>
      <c r="J4018" s="55"/>
      <c r="K4018" s="56"/>
      <c r="L4018" s="55"/>
      <c r="M4018" s="55"/>
      <c r="N4018" s="55"/>
      <c r="O4018" s="55"/>
      <c r="P4018" s="55"/>
      <c r="Q4018" s="55"/>
      <c r="R4018" s="57"/>
      <c r="S4018" s="58"/>
    </row>
    <row r="4019" spans="2:19" x14ac:dyDescent="0.25">
      <c r="B4019" s="52"/>
      <c r="C4019" s="53"/>
      <c r="D4019" s="54"/>
      <c r="E4019" s="55"/>
      <c r="F4019" s="55"/>
      <c r="G4019" s="55"/>
      <c r="H4019" s="55"/>
      <c r="I4019" s="55"/>
      <c r="J4019" s="55"/>
      <c r="K4019" s="56"/>
      <c r="L4019" s="55"/>
      <c r="M4019" s="55"/>
      <c r="N4019" s="55"/>
      <c r="O4019" s="55"/>
      <c r="P4019" s="55"/>
      <c r="Q4019" s="55"/>
      <c r="R4019" s="57"/>
      <c r="S4019" s="58"/>
    </row>
    <row r="4020" spans="2:19" x14ac:dyDescent="0.25">
      <c r="B4020" s="52"/>
      <c r="C4020" s="53"/>
      <c r="D4020" s="54"/>
      <c r="E4020" s="55"/>
      <c r="F4020" s="55"/>
      <c r="G4020" s="55"/>
      <c r="H4020" s="55"/>
      <c r="I4020" s="55"/>
      <c r="J4020" s="55"/>
      <c r="K4020" s="56"/>
      <c r="L4020" s="55"/>
      <c r="M4020" s="55"/>
      <c r="N4020" s="55"/>
      <c r="O4020" s="55"/>
      <c r="P4020" s="55"/>
      <c r="Q4020" s="55"/>
      <c r="R4020" s="57"/>
      <c r="S4020" s="58"/>
    </row>
    <row r="4021" spans="2:19" x14ac:dyDescent="0.25">
      <c r="B4021" s="52"/>
      <c r="C4021" s="53"/>
      <c r="D4021" s="54"/>
      <c r="E4021" s="55"/>
      <c r="F4021" s="55"/>
      <c r="G4021" s="55"/>
      <c r="H4021" s="55"/>
      <c r="I4021" s="55"/>
      <c r="J4021" s="55"/>
      <c r="K4021" s="56"/>
      <c r="L4021" s="55"/>
      <c r="M4021" s="55"/>
      <c r="N4021" s="55"/>
      <c r="O4021" s="55"/>
      <c r="P4021" s="55"/>
      <c r="Q4021" s="55"/>
      <c r="R4021" s="57"/>
      <c r="S4021" s="58"/>
    </row>
    <row r="4022" spans="2:19" ht="15.75" x14ac:dyDescent="0.25">
      <c r="B4022" s="52"/>
      <c r="C4022" s="53"/>
      <c r="D4022" s="54"/>
      <c r="E4022" s="55"/>
      <c r="F4022" s="55"/>
      <c r="G4022" s="55"/>
      <c r="H4022" s="55"/>
      <c r="I4022" s="55"/>
      <c r="J4022" s="55"/>
      <c r="K4022" s="59"/>
      <c r="L4022" s="55"/>
      <c r="M4022" s="55"/>
      <c r="N4022" s="55"/>
      <c r="O4022" s="55"/>
      <c r="P4022" s="55"/>
      <c r="Q4022" s="55"/>
      <c r="R4022" s="57"/>
      <c r="S4022" s="58"/>
    </row>
    <row r="4023" spans="2:19" x14ac:dyDescent="0.25">
      <c r="B4023" s="52"/>
      <c r="C4023" s="53"/>
      <c r="D4023" s="54"/>
      <c r="E4023" s="55"/>
      <c r="F4023" s="55"/>
      <c r="G4023" s="55"/>
      <c r="H4023" s="55"/>
      <c r="I4023" s="55"/>
      <c r="J4023" s="55"/>
      <c r="K4023" s="56"/>
      <c r="L4023" s="55"/>
      <c r="M4023" s="55"/>
      <c r="N4023" s="55"/>
      <c r="O4023" s="55"/>
      <c r="P4023" s="55"/>
      <c r="Q4023" s="55"/>
      <c r="R4023" s="57"/>
      <c r="S4023" s="58"/>
    </row>
    <row r="4024" spans="2:19" x14ac:dyDescent="0.25">
      <c r="B4024" s="52"/>
      <c r="C4024" s="53"/>
      <c r="D4024" s="54"/>
      <c r="E4024" s="55"/>
      <c r="F4024" s="55"/>
      <c r="G4024" s="55"/>
      <c r="H4024" s="55"/>
      <c r="I4024" s="55"/>
      <c r="J4024" s="55"/>
      <c r="K4024" s="56"/>
      <c r="L4024" s="55"/>
      <c r="M4024" s="55"/>
      <c r="N4024" s="55"/>
      <c r="O4024" s="55"/>
      <c r="P4024" s="55"/>
      <c r="Q4024" s="55"/>
      <c r="R4024" s="57"/>
      <c r="S4024" s="58"/>
    </row>
    <row r="4025" spans="2:19" x14ac:dyDescent="0.25">
      <c r="B4025" s="52"/>
      <c r="C4025" s="53"/>
      <c r="D4025" s="54"/>
      <c r="E4025" s="55"/>
      <c r="F4025" s="55"/>
      <c r="G4025" s="55"/>
      <c r="H4025" s="55"/>
      <c r="I4025" s="55"/>
      <c r="J4025" s="55"/>
      <c r="K4025" s="56"/>
      <c r="L4025" s="55"/>
      <c r="M4025" s="55"/>
      <c r="N4025" s="55"/>
      <c r="O4025" s="55"/>
      <c r="P4025" s="55"/>
      <c r="Q4025" s="55"/>
      <c r="R4025" s="57"/>
      <c r="S4025" s="58"/>
    </row>
    <row r="4026" spans="2:19" x14ac:dyDescent="0.25">
      <c r="B4026" s="52"/>
      <c r="C4026" s="53"/>
      <c r="D4026" s="54"/>
      <c r="E4026" s="55"/>
      <c r="F4026" s="55"/>
      <c r="G4026" s="55"/>
      <c r="H4026" s="55"/>
      <c r="I4026" s="55"/>
      <c r="J4026" s="55"/>
      <c r="K4026" s="56"/>
      <c r="L4026" s="55"/>
      <c r="M4026" s="55"/>
      <c r="N4026" s="55"/>
      <c r="O4026" s="55"/>
      <c r="P4026" s="55"/>
      <c r="Q4026" s="55"/>
      <c r="R4026" s="57"/>
      <c r="S4026" s="58"/>
    </row>
    <row r="4027" spans="2:19" x14ac:dyDescent="0.25">
      <c r="B4027" s="52"/>
      <c r="C4027" s="53"/>
      <c r="D4027" s="54"/>
      <c r="E4027" s="55"/>
      <c r="F4027" s="55"/>
      <c r="G4027" s="55"/>
      <c r="H4027" s="55"/>
      <c r="I4027" s="55"/>
      <c r="J4027" s="55"/>
      <c r="K4027" s="56"/>
      <c r="L4027" s="55"/>
      <c r="M4027" s="55"/>
      <c r="N4027" s="55"/>
      <c r="O4027" s="55"/>
      <c r="P4027" s="55"/>
      <c r="Q4027" s="55"/>
      <c r="R4027" s="57"/>
      <c r="S4027" s="58"/>
    </row>
    <row r="4028" spans="2:19" x14ac:dyDescent="0.25">
      <c r="B4028" s="52"/>
      <c r="C4028" s="53"/>
      <c r="D4028" s="54"/>
      <c r="E4028" s="55"/>
      <c r="F4028" s="55"/>
      <c r="G4028" s="55"/>
      <c r="H4028" s="55"/>
      <c r="I4028" s="55"/>
      <c r="J4028" s="55"/>
      <c r="K4028" s="56"/>
      <c r="L4028" s="55"/>
      <c r="M4028" s="55"/>
      <c r="N4028" s="55"/>
      <c r="O4028" s="55"/>
      <c r="P4028" s="55"/>
      <c r="Q4028" s="55"/>
      <c r="R4028" s="57"/>
      <c r="S4028" s="58"/>
    </row>
    <row r="4029" spans="2:19" x14ac:dyDescent="0.25">
      <c r="B4029" s="52"/>
      <c r="C4029" s="53"/>
      <c r="D4029" s="54"/>
      <c r="E4029" s="55"/>
      <c r="F4029" s="55"/>
      <c r="G4029" s="55"/>
      <c r="H4029" s="55"/>
      <c r="I4029" s="55"/>
      <c r="J4029" s="55"/>
      <c r="K4029" s="56"/>
      <c r="L4029" s="55"/>
      <c r="M4029" s="55"/>
      <c r="N4029" s="55"/>
      <c r="O4029" s="55"/>
      <c r="P4029" s="55"/>
      <c r="Q4029" s="55"/>
      <c r="R4029" s="57"/>
      <c r="S4029" s="58"/>
    </row>
    <row r="4030" spans="2:19" x14ac:dyDescent="0.25">
      <c r="B4030" s="52"/>
      <c r="C4030" s="60"/>
      <c r="E4030" s="61"/>
      <c r="F4030" s="62"/>
      <c r="G4030" s="63"/>
      <c r="H4030" s="64"/>
      <c r="I4030" s="64"/>
      <c r="J4030" s="64"/>
      <c r="K4030" s="65"/>
      <c r="L4030" s="64"/>
      <c r="M4030" s="64"/>
      <c r="N4030" s="64"/>
      <c r="P4030" s="63"/>
      <c r="Q4030" s="61"/>
      <c r="R4030" s="64"/>
      <c r="S4030" s="64"/>
    </row>
    <row r="4031" spans="2:19" x14ac:dyDescent="0.25">
      <c r="B4031" s="52"/>
      <c r="C4031" s="53"/>
      <c r="D4031" s="54"/>
      <c r="E4031" s="55"/>
      <c r="F4031" s="55"/>
      <c r="G4031" s="55"/>
      <c r="H4031" s="55"/>
      <c r="I4031" s="55"/>
      <c r="J4031" s="55"/>
      <c r="K4031" s="56"/>
      <c r="L4031" s="55"/>
      <c r="M4031" s="55"/>
      <c r="N4031" s="55"/>
      <c r="O4031" s="55"/>
      <c r="P4031" s="55"/>
      <c r="Q4031" s="55"/>
      <c r="R4031" s="57"/>
      <c r="S4031" s="58"/>
    </row>
    <row r="4032" spans="2:19" x14ac:dyDescent="0.25">
      <c r="B4032" s="52"/>
      <c r="C4032" s="53"/>
      <c r="D4032" s="54"/>
      <c r="E4032" s="55"/>
      <c r="F4032" s="55"/>
      <c r="G4032" s="55"/>
      <c r="H4032" s="55"/>
      <c r="I4032" s="55"/>
      <c r="J4032" s="55"/>
      <c r="K4032" s="56"/>
      <c r="L4032" s="55"/>
      <c r="M4032" s="55"/>
      <c r="N4032" s="55"/>
      <c r="O4032" s="55"/>
      <c r="P4032" s="55"/>
      <c r="Q4032" s="55"/>
      <c r="R4032" s="57"/>
      <c r="S4032" s="58"/>
    </row>
    <row r="4033" spans="2:19" x14ac:dyDescent="0.25">
      <c r="B4033" s="52"/>
      <c r="C4033" s="53"/>
      <c r="D4033" s="54"/>
      <c r="E4033" s="55"/>
      <c r="F4033" s="55"/>
      <c r="G4033" s="55"/>
      <c r="H4033" s="55"/>
      <c r="I4033" s="55"/>
      <c r="J4033" s="55"/>
      <c r="K4033" s="56"/>
      <c r="L4033" s="55"/>
      <c r="M4033" s="55"/>
      <c r="N4033" s="55"/>
      <c r="O4033" s="55"/>
      <c r="P4033" s="55"/>
      <c r="Q4033" s="55"/>
      <c r="R4033" s="57"/>
      <c r="S4033" s="58"/>
    </row>
    <row r="4034" spans="2:19" x14ac:dyDescent="0.25">
      <c r="B4034" s="52"/>
      <c r="C4034" s="53"/>
      <c r="D4034" s="54"/>
      <c r="E4034" s="55"/>
      <c r="F4034" s="55"/>
      <c r="G4034" s="55"/>
      <c r="H4034" s="55"/>
      <c r="I4034" s="55"/>
      <c r="J4034" s="55"/>
      <c r="K4034" s="56"/>
      <c r="L4034" s="55"/>
      <c r="M4034" s="55"/>
      <c r="N4034" s="55"/>
      <c r="O4034" s="55"/>
      <c r="P4034" s="55"/>
      <c r="Q4034" s="55"/>
      <c r="R4034" s="57"/>
      <c r="S4034" s="58"/>
    </row>
    <row r="4035" spans="2:19" x14ac:dyDescent="0.25">
      <c r="B4035" s="52"/>
      <c r="C4035" s="53"/>
      <c r="D4035" s="54"/>
      <c r="E4035" s="55"/>
      <c r="F4035" s="55"/>
      <c r="G4035" s="55"/>
      <c r="H4035" s="55"/>
      <c r="I4035" s="55"/>
      <c r="J4035" s="55"/>
      <c r="K4035" s="56"/>
      <c r="L4035" s="55"/>
      <c r="M4035" s="55"/>
      <c r="N4035" s="55"/>
      <c r="O4035" s="55"/>
      <c r="P4035" s="55"/>
      <c r="Q4035" s="55"/>
      <c r="R4035" s="57"/>
      <c r="S4035" s="58"/>
    </row>
    <row r="4036" spans="2:19" x14ac:dyDescent="0.25">
      <c r="B4036" s="52"/>
      <c r="C4036" s="53"/>
      <c r="D4036" s="54"/>
      <c r="E4036" s="55"/>
      <c r="F4036" s="55"/>
      <c r="G4036" s="55"/>
      <c r="H4036" s="55"/>
      <c r="I4036" s="55"/>
      <c r="J4036" s="55"/>
      <c r="K4036" s="56"/>
      <c r="L4036" s="55"/>
      <c r="M4036" s="55"/>
      <c r="N4036" s="55"/>
      <c r="O4036" s="55"/>
      <c r="P4036" s="55"/>
      <c r="Q4036" s="55"/>
      <c r="R4036" s="57"/>
      <c r="S4036" s="58"/>
    </row>
    <row r="4037" spans="2:19" x14ac:dyDescent="0.25">
      <c r="B4037" s="52"/>
      <c r="C4037" s="53"/>
      <c r="D4037" s="54"/>
      <c r="E4037" s="55"/>
      <c r="F4037" s="55"/>
      <c r="G4037" s="55"/>
      <c r="H4037" s="55"/>
      <c r="I4037" s="55"/>
      <c r="J4037" s="55"/>
      <c r="K4037" s="56"/>
      <c r="L4037" s="55"/>
      <c r="M4037" s="55"/>
      <c r="N4037" s="55"/>
      <c r="O4037" s="55"/>
      <c r="P4037" s="55"/>
      <c r="Q4037" s="55"/>
      <c r="R4037" s="57"/>
      <c r="S4037" s="58"/>
    </row>
    <row r="4038" spans="2:19" x14ac:dyDescent="0.25">
      <c r="B4038" s="52"/>
      <c r="C4038" s="53"/>
      <c r="D4038" s="54"/>
      <c r="E4038" s="55"/>
      <c r="F4038" s="55"/>
      <c r="G4038" s="55"/>
      <c r="H4038" s="55"/>
      <c r="I4038" s="55"/>
      <c r="J4038" s="55"/>
      <c r="K4038" s="56"/>
      <c r="L4038" s="55"/>
      <c r="M4038" s="55"/>
      <c r="N4038" s="55"/>
      <c r="O4038" s="55"/>
      <c r="P4038" s="55"/>
      <c r="Q4038" s="55"/>
      <c r="R4038" s="57"/>
      <c r="S4038" s="58"/>
    </row>
    <row r="4039" spans="2:19" ht="15.75" x14ac:dyDescent="0.25">
      <c r="B4039" s="52"/>
      <c r="C4039" s="53"/>
      <c r="D4039" s="54"/>
      <c r="E4039" s="55"/>
      <c r="F4039" s="55"/>
      <c r="G4039" s="55"/>
      <c r="H4039" s="55"/>
      <c r="I4039" s="55"/>
      <c r="J4039" s="55"/>
      <c r="K4039" s="59"/>
      <c r="L4039" s="55"/>
      <c r="M4039" s="55"/>
      <c r="N4039" s="55"/>
      <c r="O4039" s="55"/>
      <c r="P4039" s="55"/>
      <c r="Q4039" s="55"/>
      <c r="R4039" s="57"/>
      <c r="S4039" s="58"/>
    </row>
    <row r="4040" spans="2:19" x14ac:dyDescent="0.25">
      <c r="B4040" s="52"/>
      <c r="C4040" s="53"/>
      <c r="D4040" s="54"/>
      <c r="E4040" s="55"/>
      <c r="F4040" s="55"/>
      <c r="G4040" s="55"/>
      <c r="H4040" s="55"/>
      <c r="I4040" s="55"/>
      <c r="J4040" s="55"/>
      <c r="K4040" s="56"/>
      <c r="L4040" s="55"/>
      <c r="M4040" s="55"/>
      <c r="N4040" s="55"/>
      <c r="O4040" s="55"/>
      <c r="P4040" s="55"/>
      <c r="Q4040" s="55"/>
      <c r="R4040" s="57"/>
      <c r="S4040" s="58"/>
    </row>
    <row r="4041" spans="2:19" x14ac:dyDescent="0.25">
      <c r="B4041" s="52"/>
      <c r="C4041" s="53"/>
      <c r="D4041" s="54"/>
      <c r="E4041" s="55"/>
      <c r="F4041" s="55"/>
      <c r="G4041" s="55"/>
      <c r="H4041" s="55"/>
      <c r="I4041" s="55"/>
      <c r="J4041" s="55"/>
      <c r="K4041" s="56"/>
      <c r="L4041" s="55"/>
      <c r="M4041" s="55"/>
      <c r="N4041" s="55"/>
      <c r="O4041" s="55"/>
      <c r="P4041" s="55"/>
      <c r="Q4041" s="55"/>
      <c r="R4041" s="57"/>
      <c r="S4041" s="58"/>
    </row>
    <row r="4042" spans="2:19" x14ac:dyDescent="0.25">
      <c r="B4042" s="52"/>
      <c r="C4042" s="53"/>
      <c r="D4042" s="54"/>
      <c r="E4042" s="55"/>
      <c r="F4042" s="55"/>
      <c r="G4042" s="55"/>
      <c r="H4042" s="55"/>
      <c r="I4042" s="55"/>
      <c r="J4042" s="55"/>
      <c r="K4042" s="56"/>
      <c r="L4042" s="55"/>
      <c r="M4042" s="55"/>
      <c r="N4042" s="55"/>
      <c r="O4042" s="55"/>
      <c r="P4042" s="55"/>
      <c r="Q4042" s="55"/>
      <c r="R4042" s="57"/>
      <c r="S4042" s="58"/>
    </row>
    <row r="4043" spans="2:19" x14ac:dyDescent="0.25">
      <c r="B4043" s="52"/>
      <c r="C4043" s="53"/>
      <c r="D4043" s="54"/>
      <c r="E4043" s="55"/>
      <c r="F4043" s="55"/>
      <c r="G4043" s="55"/>
      <c r="H4043" s="55"/>
      <c r="I4043" s="55"/>
      <c r="J4043" s="55"/>
      <c r="K4043" s="56"/>
      <c r="L4043" s="55"/>
      <c r="M4043" s="55"/>
      <c r="N4043" s="55"/>
      <c r="O4043" s="55"/>
      <c r="P4043" s="55"/>
      <c r="Q4043" s="55"/>
      <c r="R4043" s="57"/>
      <c r="S4043" s="58"/>
    </row>
    <row r="4044" spans="2:19" x14ac:dyDescent="0.25">
      <c r="B4044" s="52"/>
      <c r="C4044" s="53"/>
      <c r="D4044" s="54"/>
      <c r="E4044" s="55"/>
      <c r="F4044" s="55"/>
      <c r="G4044" s="55"/>
      <c r="H4044" s="55"/>
      <c r="I4044" s="55"/>
      <c r="J4044" s="55"/>
      <c r="K4044" s="56"/>
      <c r="L4044" s="55"/>
      <c r="M4044" s="55"/>
      <c r="N4044" s="55"/>
      <c r="O4044" s="55"/>
      <c r="P4044" s="55"/>
      <c r="Q4044" s="55"/>
      <c r="R4044" s="57"/>
      <c r="S4044" s="58"/>
    </row>
    <row r="4045" spans="2:19" x14ac:dyDescent="0.25">
      <c r="B4045" s="52"/>
      <c r="C4045" s="53"/>
      <c r="D4045" s="54"/>
      <c r="E4045" s="55"/>
      <c r="F4045" s="55"/>
      <c r="G4045" s="55"/>
      <c r="H4045" s="55"/>
      <c r="I4045" s="55"/>
      <c r="J4045" s="55"/>
      <c r="K4045" s="56"/>
      <c r="L4045" s="55"/>
      <c r="M4045" s="55"/>
      <c r="N4045" s="55"/>
      <c r="O4045" s="55"/>
      <c r="P4045" s="55"/>
      <c r="Q4045" s="55"/>
      <c r="R4045" s="57"/>
      <c r="S4045" s="58"/>
    </row>
    <row r="4046" spans="2:19" x14ac:dyDescent="0.25">
      <c r="B4046" s="52"/>
      <c r="C4046" s="53"/>
      <c r="D4046" s="54"/>
      <c r="E4046" s="55"/>
      <c r="F4046" s="55"/>
      <c r="G4046" s="55"/>
      <c r="H4046" s="55"/>
      <c r="I4046" s="55"/>
      <c r="J4046" s="55"/>
      <c r="K4046" s="56"/>
      <c r="L4046" s="55"/>
      <c r="M4046" s="55"/>
      <c r="N4046" s="55"/>
      <c r="O4046" s="55"/>
      <c r="P4046" s="55"/>
      <c r="Q4046" s="55"/>
      <c r="R4046" s="57"/>
      <c r="S4046" s="58"/>
    </row>
    <row r="4047" spans="2:19" x14ac:dyDescent="0.25">
      <c r="B4047" s="52"/>
      <c r="C4047" s="60"/>
      <c r="E4047" s="61"/>
      <c r="F4047" s="62"/>
      <c r="G4047" s="63"/>
      <c r="H4047" s="64"/>
      <c r="I4047" s="64"/>
      <c r="J4047" s="64"/>
      <c r="K4047" s="65"/>
      <c r="L4047" s="64"/>
      <c r="M4047" s="64"/>
      <c r="N4047" s="64"/>
      <c r="P4047" s="63"/>
      <c r="Q4047" s="61"/>
      <c r="R4047" s="64"/>
      <c r="S4047" s="64"/>
    </row>
    <row r="4048" spans="2:19" x14ac:dyDescent="0.25">
      <c r="B4048" s="52"/>
      <c r="C4048" s="53"/>
      <c r="D4048" s="54"/>
      <c r="E4048" s="55"/>
      <c r="F4048" s="55"/>
      <c r="G4048" s="55"/>
      <c r="H4048" s="55"/>
      <c r="I4048" s="55"/>
      <c r="J4048" s="55"/>
      <c r="K4048" s="56"/>
      <c r="L4048" s="55"/>
      <c r="M4048" s="55"/>
      <c r="N4048" s="55"/>
      <c r="O4048" s="55"/>
      <c r="P4048" s="55"/>
      <c r="Q4048" s="55"/>
      <c r="R4048" s="57"/>
      <c r="S4048" s="58"/>
    </row>
    <row r="4049" spans="2:19" x14ac:dyDescent="0.25">
      <c r="B4049" s="52"/>
      <c r="C4049" s="53"/>
      <c r="D4049" s="54"/>
      <c r="E4049" s="55"/>
      <c r="F4049" s="55"/>
      <c r="G4049" s="55"/>
      <c r="H4049" s="55"/>
      <c r="I4049" s="55"/>
      <c r="J4049" s="55"/>
      <c r="K4049" s="56"/>
      <c r="L4049" s="55"/>
      <c r="M4049" s="55"/>
      <c r="N4049" s="55"/>
      <c r="O4049" s="55"/>
      <c r="P4049" s="55"/>
      <c r="Q4049" s="55"/>
      <c r="R4049" s="57"/>
      <c r="S4049" s="58"/>
    </row>
    <row r="4050" spans="2:19" x14ac:dyDescent="0.25">
      <c r="B4050" s="52"/>
      <c r="C4050" s="53"/>
      <c r="D4050" s="54"/>
      <c r="E4050" s="55"/>
      <c r="F4050" s="55"/>
      <c r="G4050" s="55"/>
      <c r="H4050" s="55"/>
      <c r="I4050" s="55"/>
      <c r="J4050" s="55"/>
      <c r="K4050" s="56"/>
      <c r="L4050" s="55"/>
      <c r="M4050" s="55"/>
      <c r="N4050" s="55"/>
      <c r="O4050" s="55"/>
      <c r="P4050" s="55"/>
      <c r="Q4050" s="55"/>
      <c r="R4050" s="57"/>
      <c r="S4050" s="58"/>
    </row>
    <row r="4051" spans="2:19" x14ac:dyDescent="0.25">
      <c r="B4051" s="52"/>
      <c r="C4051" s="53"/>
      <c r="D4051" s="54"/>
      <c r="E4051" s="55"/>
      <c r="F4051" s="55"/>
      <c r="G4051" s="55"/>
      <c r="H4051" s="55"/>
      <c r="I4051" s="55"/>
      <c r="J4051" s="55"/>
      <c r="K4051" s="56"/>
      <c r="L4051" s="55"/>
      <c r="M4051" s="55"/>
      <c r="N4051" s="55"/>
      <c r="O4051" s="55"/>
      <c r="P4051" s="55"/>
      <c r="Q4051" s="55"/>
      <c r="R4051" s="57"/>
      <c r="S4051" s="58"/>
    </row>
    <row r="4052" spans="2:19" x14ac:dyDescent="0.25">
      <c r="B4052" s="52"/>
      <c r="C4052" s="53"/>
      <c r="D4052" s="54"/>
      <c r="E4052" s="55"/>
      <c r="F4052" s="55"/>
      <c r="G4052" s="55"/>
      <c r="H4052" s="55"/>
      <c r="I4052" s="55"/>
      <c r="J4052" s="55"/>
      <c r="K4052" s="56"/>
      <c r="L4052" s="55"/>
      <c r="M4052" s="55"/>
      <c r="N4052" s="55"/>
      <c r="O4052" s="55"/>
      <c r="P4052" s="55"/>
      <c r="Q4052" s="55"/>
      <c r="R4052" s="57"/>
      <c r="S4052" s="58"/>
    </row>
    <row r="4053" spans="2:19" x14ac:dyDescent="0.25">
      <c r="B4053" s="52"/>
      <c r="C4053" s="53"/>
      <c r="D4053" s="54"/>
      <c r="E4053" s="55"/>
      <c r="F4053" s="55"/>
      <c r="G4053" s="55"/>
      <c r="H4053" s="55"/>
      <c r="I4053" s="55"/>
      <c r="J4053" s="55"/>
      <c r="K4053" s="56"/>
      <c r="L4053" s="55"/>
      <c r="M4053" s="55"/>
      <c r="N4053" s="55"/>
      <c r="O4053" s="55"/>
      <c r="P4053" s="55"/>
      <c r="Q4053" s="55"/>
      <c r="R4053" s="57"/>
      <c r="S4053" s="58"/>
    </row>
    <row r="4054" spans="2:19" x14ac:dyDescent="0.25">
      <c r="B4054" s="52"/>
      <c r="C4054" s="53"/>
      <c r="D4054" s="54"/>
      <c r="E4054" s="55"/>
      <c r="F4054" s="55"/>
      <c r="G4054" s="55"/>
      <c r="H4054" s="55"/>
      <c r="I4054" s="55"/>
      <c r="J4054" s="55"/>
      <c r="K4054" s="56"/>
      <c r="L4054" s="55"/>
      <c r="M4054" s="55"/>
      <c r="N4054" s="55"/>
      <c r="O4054" s="55"/>
      <c r="P4054" s="55"/>
      <c r="Q4054" s="55"/>
      <c r="R4054" s="57"/>
      <c r="S4054" s="58"/>
    </row>
    <row r="4055" spans="2:19" x14ac:dyDescent="0.25">
      <c r="B4055" s="52"/>
      <c r="C4055" s="53"/>
      <c r="D4055" s="54"/>
      <c r="E4055" s="55"/>
      <c r="F4055" s="55"/>
      <c r="G4055" s="55"/>
      <c r="H4055" s="55"/>
      <c r="I4055" s="55"/>
      <c r="J4055" s="55"/>
      <c r="K4055" s="56"/>
      <c r="L4055" s="55"/>
      <c r="M4055" s="55"/>
      <c r="N4055" s="55"/>
      <c r="O4055" s="55"/>
      <c r="P4055" s="55"/>
      <c r="Q4055" s="55"/>
      <c r="R4055" s="57"/>
      <c r="S4055" s="58"/>
    </row>
    <row r="4056" spans="2:19" ht="15.75" x14ac:dyDescent="0.25">
      <c r="B4056" s="52"/>
      <c r="C4056" s="53"/>
      <c r="D4056" s="54"/>
      <c r="E4056" s="55"/>
      <c r="F4056" s="55"/>
      <c r="G4056" s="55"/>
      <c r="H4056" s="55"/>
      <c r="I4056" s="55"/>
      <c r="J4056" s="55"/>
      <c r="K4056" s="59"/>
      <c r="L4056" s="55"/>
      <c r="M4056" s="55"/>
      <c r="N4056" s="55"/>
      <c r="O4056" s="55"/>
      <c r="P4056" s="55"/>
      <c r="Q4056" s="55"/>
      <c r="R4056" s="57"/>
      <c r="S4056" s="58"/>
    </row>
    <row r="4057" spans="2:19" x14ac:dyDescent="0.25">
      <c r="B4057" s="52"/>
      <c r="C4057" s="53"/>
      <c r="D4057" s="54"/>
      <c r="E4057" s="55"/>
      <c r="F4057" s="55"/>
      <c r="G4057" s="55"/>
      <c r="H4057" s="55"/>
      <c r="I4057" s="55"/>
      <c r="J4057" s="55"/>
      <c r="K4057" s="56"/>
      <c r="L4057" s="55"/>
      <c r="M4057" s="55"/>
      <c r="N4057" s="55"/>
      <c r="O4057" s="55"/>
      <c r="P4057" s="55"/>
      <c r="Q4057" s="55"/>
      <c r="R4057" s="57"/>
      <c r="S4057" s="58"/>
    </row>
    <row r="4058" spans="2:19" x14ac:dyDescent="0.25">
      <c r="B4058" s="52"/>
      <c r="C4058" s="53"/>
      <c r="D4058" s="54"/>
      <c r="E4058" s="55"/>
      <c r="F4058" s="55"/>
      <c r="G4058" s="55"/>
      <c r="H4058" s="55"/>
      <c r="I4058" s="55"/>
      <c r="J4058" s="55"/>
      <c r="K4058" s="56"/>
      <c r="L4058" s="55"/>
      <c r="M4058" s="55"/>
      <c r="N4058" s="55"/>
      <c r="O4058" s="55"/>
      <c r="P4058" s="55"/>
      <c r="Q4058" s="55"/>
      <c r="R4058" s="57"/>
      <c r="S4058" s="58"/>
    </row>
    <row r="4059" spans="2:19" x14ac:dyDescent="0.25">
      <c r="B4059" s="52"/>
      <c r="C4059" s="53"/>
      <c r="D4059" s="54"/>
      <c r="E4059" s="55"/>
      <c r="F4059" s="55"/>
      <c r="G4059" s="55"/>
      <c r="H4059" s="55"/>
      <c r="I4059" s="55"/>
      <c r="J4059" s="55"/>
      <c r="K4059" s="56"/>
      <c r="L4059" s="55"/>
      <c r="M4059" s="55"/>
      <c r="N4059" s="55"/>
      <c r="O4059" s="55"/>
      <c r="P4059" s="55"/>
      <c r="Q4059" s="55"/>
      <c r="R4059" s="57"/>
      <c r="S4059" s="58"/>
    </row>
    <row r="4060" spans="2:19" x14ac:dyDescent="0.25">
      <c r="B4060" s="52"/>
      <c r="C4060" s="53"/>
      <c r="D4060" s="54"/>
      <c r="E4060" s="55"/>
      <c r="F4060" s="55"/>
      <c r="G4060" s="55"/>
      <c r="H4060" s="55"/>
      <c r="I4060" s="55"/>
      <c r="J4060" s="55"/>
      <c r="K4060" s="56"/>
      <c r="L4060" s="55"/>
      <c r="M4060" s="55"/>
      <c r="N4060" s="55"/>
      <c r="O4060" s="55"/>
      <c r="P4060" s="55"/>
      <c r="Q4060" s="55"/>
      <c r="R4060" s="57"/>
      <c r="S4060" s="58"/>
    </row>
    <row r="4061" spans="2:19" x14ac:dyDescent="0.25">
      <c r="B4061" s="52"/>
      <c r="C4061" s="53"/>
      <c r="D4061" s="54"/>
      <c r="E4061" s="55"/>
      <c r="F4061" s="55"/>
      <c r="G4061" s="55"/>
      <c r="H4061" s="55"/>
      <c r="I4061" s="55"/>
      <c r="J4061" s="55"/>
      <c r="K4061" s="56"/>
      <c r="L4061" s="55"/>
      <c r="M4061" s="55"/>
      <c r="N4061" s="55"/>
      <c r="O4061" s="55"/>
      <c r="P4061" s="55"/>
      <c r="Q4061" s="55"/>
      <c r="R4061" s="57"/>
      <c r="S4061" s="58"/>
    </row>
    <row r="4062" spans="2:19" x14ac:dyDescent="0.25">
      <c r="B4062" s="52"/>
      <c r="C4062" s="53"/>
      <c r="D4062" s="54"/>
      <c r="E4062" s="55"/>
      <c r="F4062" s="55"/>
      <c r="G4062" s="55"/>
      <c r="H4062" s="55"/>
      <c r="I4062" s="55"/>
      <c r="J4062" s="55"/>
      <c r="K4062" s="56"/>
      <c r="L4062" s="55"/>
      <c r="M4062" s="55"/>
      <c r="N4062" s="55"/>
      <c r="O4062" s="55"/>
      <c r="P4062" s="55"/>
      <c r="Q4062" s="55"/>
      <c r="R4062" s="57"/>
      <c r="S4062" s="58"/>
    </row>
    <row r="4063" spans="2:19" x14ac:dyDescent="0.25">
      <c r="B4063" s="52"/>
      <c r="C4063" s="53"/>
      <c r="D4063" s="54"/>
      <c r="E4063" s="55"/>
      <c r="F4063" s="55"/>
      <c r="G4063" s="55"/>
      <c r="H4063" s="55"/>
      <c r="I4063" s="55"/>
      <c r="J4063" s="55"/>
      <c r="K4063" s="56"/>
      <c r="L4063" s="55"/>
      <c r="M4063" s="55"/>
      <c r="N4063" s="55"/>
      <c r="O4063" s="55"/>
      <c r="P4063" s="55"/>
      <c r="Q4063" s="55"/>
      <c r="R4063" s="57"/>
      <c r="S4063" s="58"/>
    </row>
    <row r="4064" spans="2:19" x14ac:dyDescent="0.25">
      <c r="B4064" s="52"/>
      <c r="C4064" s="60"/>
      <c r="E4064" s="61"/>
      <c r="F4064" s="62"/>
      <c r="G4064" s="63"/>
      <c r="H4064" s="64"/>
      <c r="I4064" s="64"/>
      <c r="J4064" s="64"/>
      <c r="K4064" s="65"/>
      <c r="L4064" s="64"/>
      <c r="M4064" s="64"/>
      <c r="N4064" s="64"/>
      <c r="P4064" s="63"/>
      <c r="Q4064" s="61"/>
      <c r="R4064" s="64"/>
      <c r="S4064" s="64"/>
    </row>
    <row r="4065" spans="2:19" x14ac:dyDescent="0.25">
      <c r="B4065" s="52"/>
      <c r="C4065" s="53"/>
      <c r="D4065" s="54"/>
      <c r="E4065" s="55"/>
      <c r="F4065" s="55"/>
      <c r="G4065" s="55"/>
      <c r="H4065" s="55"/>
      <c r="I4065" s="55"/>
      <c r="J4065" s="55"/>
      <c r="K4065" s="56"/>
      <c r="L4065" s="55"/>
      <c r="M4065" s="55"/>
      <c r="N4065" s="55"/>
      <c r="O4065" s="55"/>
      <c r="P4065" s="55"/>
      <c r="Q4065" s="55"/>
      <c r="R4065" s="57"/>
      <c r="S4065" s="58"/>
    </row>
    <row r="4066" spans="2:19" x14ac:dyDescent="0.25">
      <c r="B4066" s="52"/>
      <c r="C4066" s="53"/>
      <c r="D4066" s="54"/>
      <c r="E4066" s="55"/>
      <c r="F4066" s="55"/>
      <c r="G4066" s="55"/>
      <c r="H4066" s="55"/>
      <c r="I4066" s="55"/>
      <c r="J4066" s="55"/>
      <c r="K4066" s="56"/>
      <c r="L4066" s="55"/>
      <c r="M4066" s="55"/>
      <c r="N4066" s="55"/>
      <c r="O4066" s="55"/>
      <c r="P4066" s="55"/>
      <c r="Q4066" s="55"/>
      <c r="R4066" s="57"/>
      <c r="S4066" s="58"/>
    </row>
    <row r="4067" spans="2:19" x14ac:dyDescent="0.25">
      <c r="B4067" s="52"/>
      <c r="C4067" s="53"/>
      <c r="D4067" s="54"/>
      <c r="E4067" s="55"/>
      <c r="F4067" s="55"/>
      <c r="G4067" s="55"/>
      <c r="H4067" s="55"/>
      <c r="I4067" s="55"/>
      <c r="J4067" s="55"/>
      <c r="K4067" s="56"/>
      <c r="L4067" s="55"/>
      <c r="M4067" s="55"/>
      <c r="N4067" s="55"/>
      <c r="O4067" s="55"/>
      <c r="P4067" s="55"/>
      <c r="Q4067" s="55"/>
      <c r="R4067" s="57"/>
      <c r="S4067" s="58"/>
    </row>
    <row r="4068" spans="2:19" x14ac:dyDescent="0.25">
      <c r="B4068" s="52"/>
      <c r="C4068" s="53"/>
      <c r="D4068" s="54"/>
      <c r="E4068" s="55"/>
      <c r="F4068" s="55"/>
      <c r="G4068" s="55"/>
      <c r="H4068" s="55"/>
      <c r="I4068" s="55"/>
      <c r="J4068" s="55"/>
      <c r="K4068" s="56"/>
      <c r="L4068" s="55"/>
      <c r="M4068" s="55"/>
      <c r="N4068" s="55"/>
      <c r="O4068" s="55"/>
      <c r="P4068" s="55"/>
      <c r="Q4068" s="55"/>
      <c r="R4068" s="57"/>
      <c r="S4068" s="58"/>
    </row>
    <row r="4069" spans="2:19" x14ac:dyDescent="0.25">
      <c r="B4069" s="52"/>
      <c r="C4069" s="53"/>
      <c r="D4069" s="54"/>
      <c r="E4069" s="55"/>
      <c r="F4069" s="55"/>
      <c r="G4069" s="55"/>
      <c r="H4069" s="55"/>
      <c r="I4069" s="55"/>
      <c r="J4069" s="55"/>
      <c r="K4069" s="56"/>
      <c r="L4069" s="55"/>
      <c r="M4069" s="55"/>
      <c r="N4069" s="55"/>
      <c r="O4069" s="55"/>
      <c r="P4069" s="55"/>
      <c r="Q4069" s="55"/>
      <c r="R4069" s="57"/>
      <c r="S4069" s="58"/>
    </row>
    <row r="4070" spans="2:19" x14ac:dyDescent="0.25">
      <c r="B4070" s="52"/>
      <c r="C4070" s="53"/>
      <c r="D4070" s="54"/>
      <c r="E4070" s="55"/>
      <c r="F4070" s="55"/>
      <c r="G4070" s="55"/>
      <c r="H4070" s="55"/>
      <c r="I4070" s="55"/>
      <c r="J4070" s="55"/>
      <c r="K4070" s="56"/>
      <c r="L4070" s="55"/>
      <c r="M4070" s="55"/>
      <c r="N4070" s="55"/>
      <c r="O4070" s="55"/>
      <c r="P4070" s="55"/>
      <c r="Q4070" s="55"/>
      <c r="R4070" s="57"/>
      <c r="S4070" s="58"/>
    </row>
    <row r="4071" spans="2:19" x14ac:dyDescent="0.25">
      <c r="B4071" s="52"/>
      <c r="C4071" s="53"/>
      <c r="D4071" s="54"/>
      <c r="E4071" s="55"/>
      <c r="F4071" s="55"/>
      <c r="G4071" s="55"/>
      <c r="H4071" s="55"/>
      <c r="I4071" s="55"/>
      <c r="J4071" s="55"/>
      <c r="K4071" s="56"/>
      <c r="L4071" s="55"/>
      <c r="M4071" s="55"/>
      <c r="N4071" s="55"/>
      <c r="O4071" s="55"/>
      <c r="P4071" s="55"/>
      <c r="Q4071" s="55"/>
      <c r="R4071" s="57"/>
      <c r="S4071" s="58"/>
    </row>
    <row r="4072" spans="2:19" x14ac:dyDescent="0.25">
      <c r="B4072" s="52"/>
      <c r="C4072" s="53"/>
      <c r="D4072" s="54"/>
      <c r="E4072" s="55"/>
      <c r="F4072" s="55"/>
      <c r="G4072" s="55"/>
      <c r="H4072" s="55"/>
      <c r="I4072" s="55"/>
      <c r="J4072" s="55"/>
      <c r="K4072" s="56"/>
      <c r="L4072" s="55"/>
      <c r="M4072" s="55"/>
      <c r="N4072" s="55"/>
      <c r="O4072" s="55"/>
      <c r="P4072" s="55"/>
      <c r="Q4072" s="55"/>
      <c r="R4072" s="57"/>
      <c r="S4072" s="58"/>
    </row>
    <row r="4073" spans="2:19" ht="15.75" x14ac:dyDescent="0.25">
      <c r="B4073" s="52"/>
      <c r="C4073" s="53"/>
      <c r="D4073" s="54"/>
      <c r="E4073" s="55"/>
      <c r="F4073" s="55"/>
      <c r="G4073" s="55"/>
      <c r="H4073" s="55"/>
      <c r="I4073" s="55"/>
      <c r="J4073" s="55"/>
      <c r="K4073" s="59"/>
      <c r="L4073" s="55"/>
      <c r="M4073" s="55"/>
      <c r="N4073" s="55"/>
      <c r="O4073" s="55"/>
      <c r="P4073" s="55"/>
      <c r="Q4073" s="55"/>
      <c r="R4073" s="57"/>
      <c r="S4073" s="58"/>
    </row>
    <row r="4074" spans="2:19" x14ac:dyDescent="0.25">
      <c r="B4074" s="52"/>
      <c r="C4074" s="53"/>
      <c r="D4074" s="54"/>
      <c r="E4074" s="55"/>
      <c r="F4074" s="55"/>
      <c r="G4074" s="55"/>
      <c r="H4074" s="55"/>
      <c r="I4074" s="55"/>
      <c r="J4074" s="55"/>
      <c r="K4074" s="56"/>
      <c r="L4074" s="55"/>
      <c r="M4074" s="55"/>
      <c r="N4074" s="55"/>
      <c r="O4074" s="55"/>
      <c r="P4074" s="55"/>
      <c r="Q4074" s="55"/>
      <c r="R4074" s="57"/>
      <c r="S4074" s="58"/>
    </row>
    <row r="4075" spans="2:19" x14ac:dyDescent="0.25">
      <c r="B4075" s="52"/>
      <c r="C4075" s="53"/>
      <c r="D4075" s="54"/>
      <c r="E4075" s="55"/>
      <c r="F4075" s="55"/>
      <c r="G4075" s="55"/>
      <c r="H4075" s="55"/>
      <c r="I4075" s="55"/>
      <c r="J4075" s="55"/>
      <c r="K4075" s="56"/>
      <c r="L4075" s="55"/>
      <c r="M4075" s="55"/>
      <c r="N4075" s="55"/>
      <c r="O4075" s="55"/>
      <c r="P4075" s="55"/>
      <c r="Q4075" s="55"/>
      <c r="R4075" s="57"/>
      <c r="S4075" s="58"/>
    </row>
    <row r="4076" spans="2:19" x14ac:dyDescent="0.25">
      <c r="B4076" s="52"/>
      <c r="C4076" s="53"/>
      <c r="D4076" s="54"/>
      <c r="E4076" s="55"/>
      <c r="F4076" s="55"/>
      <c r="G4076" s="55"/>
      <c r="H4076" s="55"/>
      <c r="I4076" s="55"/>
      <c r="J4076" s="55"/>
      <c r="K4076" s="56"/>
      <c r="L4076" s="55"/>
      <c r="M4076" s="55"/>
      <c r="N4076" s="55"/>
      <c r="O4076" s="55"/>
      <c r="P4076" s="55"/>
      <c r="Q4076" s="55"/>
      <c r="R4076" s="57"/>
      <c r="S4076" s="58"/>
    </row>
    <row r="4077" spans="2:19" x14ac:dyDescent="0.25">
      <c r="B4077" s="52"/>
      <c r="C4077" s="53"/>
      <c r="D4077" s="54"/>
      <c r="E4077" s="55"/>
      <c r="F4077" s="55"/>
      <c r="G4077" s="55"/>
      <c r="H4077" s="55"/>
      <c r="I4077" s="55"/>
      <c r="J4077" s="55"/>
      <c r="K4077" s="56"/>
      <c r="L4077" s="55"/>
      <c r="M4077" s="55"/>
      <c r="N4077" s="55"/>
      <c r="O4077" s="55"/>
      <c r="P4077" s="55"/>
      <c r="Q4077" s="55"/>
      <c r="R4077" s="57"/>
      <c r="S4077" s="58"/>
    </row>
    <row r="4078" spans="2:19" x14ac:dyDescent="0.25">
      <c r="B4078" s="52"/>
      <c r="C4078" s="53"/>
      <c r="D4078" s="54"/>
      <c r="E4078" s="55"/>
      <c r="F4078" s="55"/>
      <c r="G4078" s="55"/>
      <c r="H4078" s="55"/>
      <c r="I4078" s="55"/>
      <c r="J4078" s="55"/>
      <c r="K4078" s="56"/>
      <c r="L4078" s="55"/>
      <c r="M4078" s="55"/>
      <c r="N4078" s="55"/>
      <c r="O4078" s="55"/>
      <c r="P4078" s="55"/>
      <c r="Q4078" s="55"/>
      <c r="R4078" s="57"/>
      <c r="S4078" s="58"/>
    </row>
    <row r="4079" spans="2:19" x14ac:dyDescent="0.25">
      <c r="B4079" s="52"/>
      <c r="C4079" s="53"/>
      <c r="D4079" s="54"/>
      <c r="E4079" s="55"/>
      <c r="F4079" s="55"/>
      <c r="G4079" s="55"/>
      <c r="H4079" s="55"/>
      <c r="I4079" s="55"/>
      <c r="J4079" s="55"/>
      <c r="K4079" s="56"/>
      <c r="L4079" s="55"/>
      <c r="M4079" s="55"/>
      <c r="N4079" s="55"/>
      <c r="O4079" s="55"/>
      <c r="P4079" s="55"/>
      <c r="Q4079" s="55"/>
      <c r="R4079" s="57"/>
      <c r="S4079" s="58"/>
    </row>
    <row r="4080" spans="2:19" x14ac:dyDescent="0.25">
      <c r="B4080" s="52"/>
      <c r="C4080" s="53"/>
      <c r="D4080" s="54"/>
      <c r="E4080" s="55"/>
      <c r="F4080" s="55"/>
      <c r="G4080" s="55"/>
      <c r="H4080" s="55"/>
      <c r="I4080" s="55"/>
      <c r="J4080" s="55"/>
      <c r="K4080" s="56"/>
      <c r="L4080" s="55"/>
      <c r="M4080" s="55"/>
      <c r="N4080" s="55"/>
      <c r="O4080" s="55"/>
      <c r="P4080" s="55"/>
      <c r="Q4080" s="55"/>
      <c r="R4080" s="57"/>
      <c r="S4080" s="58"/>
    </row>
    <row r="4081" spans="2:19" x14ac:dyDescent="0.25">
      <c r="B4081" s="52"/>
      <c r="C4081" s="60"/>
      <c r="E4081" s="61"/>
      <c r="F4081" s="62"/>
      <c r="G4081" s="63"/>
      <c r="H4081" s="64"/>
      <c r="I4081" s="64"/>
      <c r="J4081" s="64"/>
      <c r="K4081" s="65"/>
      <c r="L4081" s="64"/>
      <c r="M4081" s="64"/>
      <c r="N4081" s="64"/>
      <c r="P4081" s="63"/>
      <c r="Q4081" s="61"/>
      <c r="R4081" s="64"/>
      <c r="S4081" s="64"/>
    </row>
    <row r="4082" spans="2:19" x14ac:dyDescent="0.25">
      <c r="B4082" s="52"/>
      <c r="C4082" s="53"/>
      <c r="D4082" s="54"/>
      <c r="E4082" s="55"/>
      <c r="F4082" s="55"/>
      <c r="G4082" s="55"/>
      <c r="H4082" s="55"/>
      <c r="I4082" s="55"/>
      <c r="J4082" s="55"/>
      <c r="K4082" s="56"/>
      <c r="L4082" s="55"/>
      <c r="M4082" s="55"/>
      <c r="N4082" s="55"/>
      <c r="O4082" s="55"/>
      <c r="P4082" s="55"/>
      <c r="Q4082" s="55"/>
      <c r="R4082" s="57"/>
      <c r="S4082" s="58"/>
    </row>
    <row r="4083" spans="2:19" x14ac:dyDescent="0.25">
      <c r="B4083" s="52"/>
      <c r="C4083" s="53"/>
      <c r="D4083" s="54"/>
      <c r="E4083" s="55"/>
      <c r="F4083" s="55"/>
      <c r="G4083" s="55"/>
      <c r="H4083" s="55"/>
      <c r="I4083" s="55"/>
      <c r="J4083" s="55"/>
      <c r="K4083" s="56"/>
      <c r="L4083" s="55"/>
      <c r="M4083" s="55"/>
      <c r="N4083" s="55"/>
      <c r="O4083" s="55"/>
      <c r="P4083" s="55"/>
      <c r="Q4083" s="55"/>
      <c r="R4083" s="57"/>
      <c r="S4083" s="58"/>
    </row>
    <row r="4084" spans="2:19" x14ac:dyDescent="0.25">
      <c r="B4084" s="52"/>
      <c r="C4084" s="53"/>
      <c r="D4084" s="54"/>
      <c r="E4084" s="55"/>
      <c r="F4084" s="55"/>
      <c r="G4084" s="55"/>
      <c r="H4084" s="55"/>
      <c r="I4084" s="55"/>
      <c r="J4084" s="55"/>
      <c r="K4084" s="56"/>
      <c r="L4084" s="55"/>
      <c r="M4084" s="55"/>
      <c r="N4084" s="55"/>
      <c r="O4084" s="55"/>
      <c r="P4084" s="55"/>
      <c r="Q4084" s="55"/>
      <c r="R4084" s="57"/>
      <c r="S4084" s="58"/>
    </row>
    <row r="4085" spans="2:19" x14ac:dyDescent="0.25">
      <c r="B4085" s="52"/>
      <c r="C4085" s="53"/>
      <c r="D4085" s="54"/>
      <c r="E4085" s="55"/>
      <c r="F4085" s="55"/>
      <c r="G4085" s="55"/>
      <c r="H4085" s="55"/>
      <c r="I4085" s="55"/>
      <c r="J4085" s="55"/>
      <c r="K4085" s="56"/>
      <c r="L4085" s="55"/>
      <c r="M4085" s="55"/>
      <c r="N4085" s="55"/>
      <c r="O4085" s="55"/>
      <c r="P4085" s="55"/>
      <c r="Q4085" s="55"/>
      <c r="R4085" s="57"/>
      <c r="S4085" s="58"/>
    </row>
    <row r="4086" spans="2:19" x14ac:dyDescent="0.25">
      <c r="B4086" s="52"/>
      <c r="C4086" s="53"/>
      <c r="D4086" s="54"/>
      <c r="E4086" s="55"/>
      <c r="F4086" s="55"/>
      <c r="G4086" s="55"/>
      <c r="H4086" s="55"/>
      <c r="I4086" s="55"/>
      <c r="J4086" s="55"/>
      <c r="K4086" s="56"/>
      <c r="L4086" s="55"/>
      <c r="M4086" s="55"/>
      <c r="N4086" s="55"/>
      <c r="O4086" s="55"/>
      <c r="P4086" s="55"/>
      <c r="Q4086" s="55"/>
      <c r="R4086" s="57"/>
      <c r="S4086" s="58"/>
    </row>
    <row r="4087" spans="2:19" x14ac:dyDescent="0.25">
      <c r="B4087" s="52"/>
      <c r="C4087" s="53"/>
      <c r="D4087" s="54"/>
      <c r="E4087" s="55"/>
      <c r="F4087" s="55"/>
      <c r="G4087" s="55"/>
      <c r="H4087" s="55"/>
      <c r="I4087" s="55"/>
      <c r="J4087" s="55"/>
      <c r="K4087" s="56"/>
      <c r="L4087" s="55"/>
      <c r="M4087" s="55"/>
      <c r="N4087" s="55"/>
      <c r="O4087" s="55"/>
      <c r="P4087" s="55"/>
      <c r="Q4087" s="55"/>
      <c r="R4087" s="57"/>
      <c r="S4087" s="58"/>
    </row>
    <row r="4088" spans="2:19" x14ac:dyDescent="0.25">
      <c r="B4088" s="52"/>
      <c r="C4088" s="53"/>
      <c r="D4088" s="54"/>
      <c r="E4088" s="55"/>
      <c r="F4088" s="55"/>
      <c r="G4088" s="55"/>
      <c r="H4088" s="55"/>
      <c r="I4088" s="55"/>
      <c r="J4088" s="55"/>
      <c r="K4088" s="56"/>
      <c r="L4088" s="55"/>
      <c r="M4088" s="55"/>
      <c r="N4088" s="55"/>
      <c r="O4088" s="55"/>
      <c r="P4088" s="55"/>
      <c r="Q4088" s="55"/>
      <c r="R4088" s="57"/>
      <c r="S4088" s="58"/>
    </row>
    <row r="4089" spans="2:19" x14ac:dyDescent="0.25">
      <c r="B4089" s="52"/>
      <c r="C4089" s="53"/>
      <c r="D4089" s="54"/>
      <c r="E4089" s="55"/>
      <c r="F4089" s="55"/>
      <c r="G4089" s="55"/>
      <c r="H4089" s="55"/>
      <c r="I4089" s="55"/>
      <c r="J4089" s="55"/>
      <c r="K4089" s="56"/>
      <c r="L4089" s="55"/>
      <c r="M4089" s="55"/>
      <c r="N4089" s="55"/>
      <c r="O4089" s="55"/>
      <c r="P4089" s="55"/>
      <c r="Q4089" s="55"/>
      <c r="R4089" s="57"/>
      <c r="S4089" s="58"/>
    </row>
    <row r="4090" spans="2:19" ht="15.75" x14ac:dyDescent="0.25">
      <c r="B4090" s="52"/>
      <c r="C4090" s="53"/>
      <c r="D4090" s="54"/>
      <c r="E4090" s="55"/>
      <c r="F4090" s="55"/>
      <c r="G4090" s="55"/>
      <c r="H4090" s="55"/>
      <c r="I4090" s="55"/>
      <c r="J4090" s="55"/>
      <c r="K4090" s="59"/>
      <c r="L4090" s="55"/>
      <c r="M4090" s="55"/>
      <c r="N4090" s="55"/>
      <c r="O4090" s="55"/>
      <c r="P4090" s="55"/>
      <c r="Q4090" s="55"/>
      <c r="R4090" s="57"/>
      <c r="S4090" s="58"/>
    </row>
    <row r="4091" spans="2:19" x14ac:dyDescent="0.25">
      <c r="B4091" s="52"/>
      <c r="C4091" s="53"/>
      <c r="D4091" s="54"/>
      <c r="E4091" s="55"/>
      <c r="F4091" s="55"/>
      <c r="G4091" s="55"/>
      <c r="H4091" s="55"/>
      <c r="I4091" s="55"/>
      <c r="J4091" s="55"/>
      <c r="K4091" s="56"/>
      <c r="L4091" s="55"/>
      <c r="M4091" s="55"/>
      <c r="N4091" s="55"/>
      <c r="O4091" s="55"/>
      <c r="P4091" s="55"/>
      <c r="Q4091" s="55"/>
      <c r="R4091" s="57"/>
      <c r="S4091" s="58"/>
    </row>
    <row r="4092" spans="2:19" x14ac:dyDescent="0.25">
      <c r="B4092" s="52"/>
      <c r="C4092" s="53"/>
      <c r="D4092" s="54"/>
      <c r="E4092" s="55"/>
      <c r="F4092" s="55"/>
      <c r="G4092" s="55"/>
      <c r="H4092" s="55"/>
      <c r="I4092" s="55"/>
      <c r="J4092" s="55"/>
      <c r="K4092" s="56"/>
      <c r="L4092" s="55"/>
      <c r="M4092" s="55"/>
      <c r="N4092" s="55"/>
      <c r="O4092" s="55"/>
      <c r="P4092" s="55"/>
      <c r="Q4092" s="55"/>
      <c r="R4092" s="57"/>
      <c r="S4092" s="58"/>
    </row>
    <row r="4093" spans="2:19" x14ac:dyDescent="0.25">
      <c r="B4093" s="52"/>
      <c r="C4093" s="53"/>
      <c r="D4093" s="54"/>
      <c r="E4093" s="55"/>
      <c r="F4093" s="55"/>
      <c r="G4093" s="55"/>
      <c r="H4093" s="55"/>
      <c r="I4093" s="55"/>
      <c r="J4093" s="55"/>
      <c r="K4093" s="56"/>
      <c r="L4093" s="55"/>
      <c r="M4093" s="55"/>
      <c r="N4093" s="55"/>
      <c r="O4093" s="55"/>
      <c r="P4093" s="55"/>
      <c r="Q4093" s="55"/>
      <c r="R4093" s="57"/>
      <c r="S4093" s="58"/>
    </row>
    <row r="4094" spans="2:19" x14ac:dyDescent="0.25">
      <c r="B4094" s="52"/>
      <c r="C4094" s="53"/>
      <c r="D4094" s="54"/>
      <c r="E4094" s="55"/>
      <c r="F4094" s="55"/>
      <c r="G4094" s="55"/>
      <c r="H4094" s="55"/>
      <c r="I4094" s="55"/>
      <c r="J4094" s="55"/>
      <c r="K4094" s="56"/>
      <c r="L4094" s="55"/>
      <c r="M4094" s="55"/>
      <c r="N4094" s="55"/>
      <c r="O4094" s="55"/>
      <c r="P4094" s="55"/>
      <c r="Q4094" s="55"/>
      <c r="R4094" s="57"/>
      <c r="S4094" s="58"/>
    </row>
    <row r="4095" spans="2:19" x14ac:dyDescent="0.25">
      <c r="B4095" s="52"/>
      <c r="C4095" s="53"/>
      <c r="D4095" s="54"/>
      <c r="E4095" s="55"/>
      <c r="F4095" s="55"/>
      <c r="G4095" s="55"/>
      <c r="H4095" s="55"/>
      <c r="I4095" s="55"/>
      <c r="J4095" s="55"/>
      <c r="K4095" s="56"/>
      <c r="L4095" s="55"/>
      <c r="M4095" s="55"/>
      <c r="N4095" s="55"/>
      <c r="O4095" s="55"/>
      <c r="P4095" s="55"/>
      <c r="Q4095" s="55"/>
      <c r="R4095" s="57"/>
      <c r="S4095" s="58"/>
    </row>
    <row r="4096" spans="2:19" x14ac:dyDescent="0.25">
      <c r="B4096" s="52"/>
      <c r="C4096" s="53"/>
      <c r="D4096" s="54"/>
      <c r="E4096" s="55"/>
      <c r="F4096" s="55"/>
      <c r="G4096" s="55"/>
      <c r="H4096" s="55"/>
      <c r="I4096" s="55"/>
      <c r="J4096" s="55"/>
      <c r="K4096" s="56"/>
      <c r="L4096" s="55"/>
      <c r="M4096" s="55"/>
      <c r="N4096" s="55"/>
      <c r="O4096" s="55"/>
      <c r="P4096" s="55"/>
      <c r="Q4096" s="55"/>
      <c r="R4096" s="57"/>
      <c r="S4096" s="58"/>
    </row>
    <row r="4097" spans="2:19" x14ac:dyDescent="0.25">
      <c r="B4097" s="52"/>
      <c r="C4097" s="53"/>
      <c r="D4097" s="54"/>
      <c r="E4097" s="55"/>
      <c r="F4097" s="55"/>
      <c r="G4097" s="55"/>
      <c r="H4097" s="55"/>
      <c r="I4097" s="55"/>
      <c r="J4097" s="55"/>
      <c r="K4097" s="56"/>
      <c r="L4097" s="55"/>
      <c r="M4097" s="55"/>
      <c r="N4097" s="55"/>
      <c r="O4097" s="55"/>
      <c r="P4097" s="55"/>
      <c r="Q4097" s="55"/>
      <c r="R4097" s="57"/>
      <c r="S4097" s="58"/>
    </row>
    <row r="4098" spans="2:19" x14ac:dyDescent="0.25">
      <c r="B4098" s="52"/>
      <c r="C4098" s="60"/>
      <c r="E4098" s="61"/>
      <c r="F4098" s="62"/>
      <c r="G4098" s="63"/>
      <c r="H4098" s="64"/>
      <c r="I4098" s="64"/>
      <c r="J4098" s="64"/>
      <c r="K4098" s="65"/>
      <c r="L4098" s="64"/>
      <c r="M4098" s="64"/>
      <c r="N4098" s="64"/>
      <c r="P4098" s="63"/>
      <c r="Q4098" s="61"/>
      <c r="R4098" s="64"/>
      <c r="S4098" s="64"/>
    </row>
    <row r="4099" spans="2:19" x14ac:dyDescent="0.25">
      <c r="B4099" s="52"/>
      <c r="C4099" s="53"/>
      <c r="D4099" s="54"/>
      <c r="E4099" s="55"/>
      <c r="F4099" s="55"/>
      <c r="G4099" s="55"/>
      <c r="H4099" s="55"/>
      <c r="I4099" s="55"/>
      <c r="J4099" s="55"/>
      <c r="K4099" s="56"/>
      <c r="L4099" s="55"/>
      <c r="M4099" s="55"/>
      <c r="N4099" s="55"/>
      <c r="O4099" s="55"/>
      <c r="P4099" s="55"/>
      <c r="Q4099" s="55"/>
      <c r="R4099" s="57"/>
      <c r="S4099" s="58"/>
    </row>
    <row r="4100" spans="2:19" x14ac:dyDescent="0.25">
      <c r="B4100" s="52"/>
      <c r="C4100" s="53"/>
      <c r="D4100" s="54"/>
      <c r="E4100" s="55"/>
      <c r="F4100" s="55"/>
      <c r="G4100" s="55"/>
      <c r="H4100" s="55"/>
      <c r="I4100" s="55"/>
      <c r="J4100" s="55"/>
      <c r="K4100" s="56"/>
      <c r="L4100" s="55"/>
      <c r="M4100" s="55"/>
      <c r="N4100" s="55"/>
      <c r="O4100" s="55"/>
      <c r="P4100" s="55"/>
      <c r="Q4100" s="55"/>
      <c r="R4100" s="57"/>
      <c r="S4100" s="58"/>
    </row>
    <row r="4101" spans="2:19" x14ac:dyDescent="0.25">
      <c r="B4101" s="52"/>
      <c r="C4101" s="53"/>
      <c r="D4101" s="54"/>
      <c r="E4101" s="55"/>
      <c r="F4101" s="55"/>
      <c r="G4101" s="55"/>
      <c r="H4101" s="55"/>
      <c r="I4101" s="55"/>
      <c r="J4101" s="55"/>
      <c r="K4101" s="56"/>
      <c r="L4101" s="55"/>
      <c r="M4101" s="55"/>
      <c r="N4101" s="55"/>
      <c r="O4101" s="55"/>
      <c r="P4101" s="55"/>
      <c r="Q4101" s="55"/>
      <c r="R4101" s="57"/>
      <c r="S4101" s="58"/>
    </row>
    <row r="4102" spans="2:19" x14ac:dyDescent="0.25">
      <c r="B4102" s="52"/>
      <c r="C4102" s="53"/>
      <c r="D4102" s="54"/>
      <c r="E4102" s="55"/>
      <c r="F4102" s="55"/>
      <c r="G4102" s="55"/>
      <c r="H4102" s="55"/>
      <c r="I4102" s="55"/>
      <c r="J4102" s="55"/>
      <c r="K4102" s="56"/>
      <c r="L4102" s="55"/>
      <c r="M4102" s="55"/>
      <c r="N4102" s="55"/>
      <c r="O4102" s="55"/>
      <c r="P4102" s="55"/>
      <c r="Q4102" s="55"/>
      <c r="R4102" s="57"/>
      <c r="S4102" s="58"/>
    </row>
    <row r="4103" spans="2:19" x14ac:dyDescent="0.25">
      <c r="B4103" s="52"/>
      <c r="C4103" s="53"/>
      <c r="D4103" s="54"/>
      <c r="E4103" s="55"/>
      <c r="F4103" s="55"/>
      <c r="G4103" s="55"/>
      <c r="H4103" s="55"/>
      <c r="I4103" s="55"/>
      <c r="J4103" s="55"/>
      <c r="K4103" s="56"/>
      <c r="L4103" s="55"/>
      <c r="M4103" s="55"/>
      <c r="N4103" s="55"/>
      <c r="O4103" s="55"/>
      <c r="P4103" s="55"/>
      <c r="Q4103" s="55"/>
      <c r="R4103" s="57"/>
      <c r="S4103" s="58"/>
    </row>
    <row r="4104" spans="2:19" x14ac:dyDescent="0.25">
      <c r="B4104" s="52"/>
      <c r="C4104" s="53"/>
      <c r="D4104" s="54"/>
      <c r="E4104" s="55"/>
      <c r="F4104" s="55"/>
      <c r="G4104" s="55"/>
      <c r="H4104" s="55"/>
      <c r="I4104" s="55"/>
      <c r="J4104" s="55"/>
      <c r="K4104" s="56"/>
      <c r="L4104" s="55"/>
      <c r="M4104" s="55"/>
      <c r="N4104" s="55"/>
      <c r="O4104" s="55"/>
      <c r="P4104" s="55"/>
      <c r="Q4104" s="55"/>
      <c r="R4104" s="57"/>
      <c r="S4104" s="58"/>
    </row>
    <row r="4105" spans="2:19" x14ac:dyDescent="0.25">
      <c r="B4105" s="52"/>
      <c r="C4105" s="53"/>
      <c r="D4105" s="54"/>
      <c r="E4105" s="55"/>
      <c r="F4105" s="55"/>
      <c r="G4105" s="55"/>
      <c r="H4105" s="55"/>
      <c r="I4105" s="55"/>
      <c r="J4105" s="55"/>
      <c r="K4105" s="56"/>
      <c r="L4105" s="55"/>
      <c r="M4105" s="55"/>
      <c r="N4105" s="55"/>
      <c r="O4105" s="55"/>
      <c r="P4105" s="55"/>
      <c r="Q4105" s="55"/>
      <c r="R4105" s="57"/>
      <c r="S4105" s="58"/>
    </row>
    <row r="4106" spans="2:19" x14ac:dyDescent="0.25">
      <c r="B4106" s="52"/>
      <c r="C4106" s="53"/>
      <c r="D4106" s="54"/>
      <c r="E4106" s="55"/>
      <c r="F4106" s="55"/>
      <c r="G4106" s="55"/>
      <c r="H4106" s="55"/>
      <c r="I4106" s="55"/>
      <c r="J4106" s="55"/>
      <c r="K4106" s="56"/>
      <c r="L4106" s="55"/>
      <c r="M4106" s="55"/>
      <c r="N4106" s="55"/>
      <c r="O4106" s="55"/>
      <c r="P4106" s="55"/>
      <c r="Q4106" s="55"/>
      <c r="R4106" s="57"/>
      <c r="S4106" s="58"/>
    </row>
    <row r="4107" spans="2:19" ht="15.75" x14ac:dyDescent="0.25">
      <c r="B4107" s="52"/>
      <c r="C4107" s="53"/>
      <c r="D4107" s="54"/>
      <c r="E4107" s="55"/>
      <c r="F4107" s="55"/>
      <c r="G4107" s="55"/>
      <c r="H4107" s="55"/>
      <c r="I4107" s="55"/>
      <c r="J4107" s="55"/>
      <c r="K4107" s="59"/>
      <c r="L4107" s="55"/>
      <c r="M4107" s="55"/>
      <c r="N4107" s="55"/>
      <c r="O4107" s="55"/>
      <c r="P4107" s="55"/>
      <c r="Q4107" s="55"/>
      <c r="R4107" s="57"/>
      <c r="S4107" s="58"/>
    </row>
    <row r="4108" spans="2:19" x14ac:dyDescent="0.25">
      <c r="B4108" s="52"/>
      <c r="C4108" s="53"/>
      <c r="D4108" s="54"/>
      <c r="E4108" s="55"/>
      <c r="F4108" s="55"/>
      <c r="G4108" s="55"/>
      <c r="H4108" s="55"/>
      <c r="I4108" s="55"/>
      <c r="J4108" s="55"/>
      <c r="K4108" s="56"/>
      <c r="L4108" s="55"/>
      <c r="M4108" s="55"/>
      <c r="N4108" s="55"/>
      <c r="O4108" s="55"/>
      <c r="P4108" s="55"/>
      <c r="Q4108" s="55"/>
      <c r="R4108" s="57"/>
      <c r="S4108" s="58"/>
    </row>
    <row r="4109" spans="2:19" x14ac:dyDescent="0.25">
      <c r="B4109" s="52"/>
      <c r="C4109" s="53"/>
      <c r="D4109" s="54"/>
      <c r="E4109" s="55"/>
      <c r="F4109" s="55"/>
      <c r="G4109" s="55"/>
      <c r="H4109" s="55"/>
      <c r="I4109" s="55"/>
      <c r="J4109" s="55"/>
      <c r="K4109" s="56"/>
      <c r="L4109" s="55"/>
      <c r="M4109" s="55"/>
      <c r="N4109" s="55"/>
      <c r="O4109" s="55"/>
      <c r="P4109" s="55"/>
      <c r="Q4109" s="55"/>
      <c r="R4109" s="57"/>
      <c r="S4109" s="58"/>
    </row>
    <row r="4110" spans="2:19" x14ac:dyDescent="0.25">
      <c r="B4110" s="52"/>
      <c r="C4110" s="53"/>
      <c r="D4110" s="54"/>
      <c r="E4110" s="55"/>
      <c r="F4110" s="55"/>
      <c r="G4110" s="55"/>
      <c r="H4110" s="55"/>
      <c r="I4110" s="55"/>
      <c r="J4110" s="55"/>
      <c r="K4110" s="56"/>
      <c r="L4110" s="55"/>
      <c r="M4110" s="55"/>
      <c r="N4110" s="55"/>
      <c r="O4110" s="55"/>
      <c r="P4110" s="55"/>
      <c r="Q4110" s="55"/>
      <c r="R4110" s="57"/>
      <c r="S4110" s="58"/>
    </row>
    <row r="4111" spans="2:19" x14ac:dyDescent="0.25">
      <c r="B4111" s="52"/>
      <c r="C4111" s="53"/>
      <c r="D4111" s="54"/>
      <c r="E4111" s="55"/>
      <c r="F4111" s="55"/>
      <c r="G4111" s="55"/>
      <c r="H4111" s="55"/>
      <c r="I4111" s="55"/>
      <c r="J4111" s="55"/>
      <c r="K4111" s="56"/>
      <c r="L4111" s="55"/>
      <c r="M4111" s="55"/>
      <c r="N4111" s="55"/>
      <c r="O4111" s="55"/>
      <c r="P4111" s="55"/>
      <c r="Q4111" s="55"/>
      <c r="R4111" s="57"/>
      <c r="S4111" s="58"/>
    </row>
    <row r="4112" spans="2:19" x14ac:dyDescent="0.25">
      <c r="B4112" s="52"/>
      <c r="C4112" s="53"/>
      <c r="D4112" s="54"/>
      <c r="E4112" s="55"/>
      <c r="F4112" s="55"/>
      <c r="G4112" s="55"/>
      <c r="H4112" s="55"/>
      <c r="I4112" s="55"/>
      <c r="J4112" s="55"/>
      <c r="K4112" s="56"/>
      <c r="L4112" s="55"/>
      <c r="M4112" s="55"/>
      <c r="N4112" s="55"/>
      <c r="O4112" s="55"/>
      <c r="P4112" s="55"/>
      <c r="Q4112" s="55"/>
      <c r="R4112" s="57"/>
      <c r="S4112" s="58"/>
    </row>
    <row r="4113" spans="2:19" x14ac:dyDescent="0.25">
      <c r="B4113" s="52"/>
      <c r="C4113" s="53"/>
      <c r="D4113" s="54"/>
      <c r="E4113" s="55"/>
      <c r="F4113" s="55"/>
      <c r="G4113" s="55"/>
      <c r="H4113" s="55"/>
      <c r="I4113" s="55"/>
      <c r="J4113" s="55"/>
      <c r="K4113" s="56"/>
      <c r="L4113" s="55"/>
      <c r="M4113" s="55"/>
      <c r="N4113" s="55"/>
      <c r="O4113" s="55"/>
      <c r="P4113" s="55"/>
      <c r="Q4113" s="55"/>
      <c r="R4113" s="57"/>
      <c r="S4113" s="58"/>
    </row>
    <row r="4114" spans="2:19" x14ac:dyDescent="0.25">
      <c r="B4114" s="52"/>
      <c r="C4114" s="53"/>
      <c r="D4114" s="54"/>
      <c r="E4114" s="55"/>
      <c r="F4114" s="55"/>
      <c r="G4114" s="55"/>
      <c r="H4114" s="55"/>
      <c r="I4114" s="55"/>
      <c r="J4114" s="55"/>
      <c r="K4114" s="56"/>
      <c r="L4114" s="55"/>
      <c r="M4114" s="55"/>
      <c r="N4114" s="55"/>
      <c r="O4114" s="55"/>
      <c r="P4114" s="55"/>
      <c r="Q4114" s="55"/>
      <c r="R4114" s="57"/>
      <c r="S4114" s="58"/>
    </row>
    <row r="4115" spans="2:19" x14ac:dyDescent="0.25">
      <c r="B4115" s="52"/>
      <c r="C4115" s="60"/>
      <c r="E4115" s="61"/>
      <c r="F4115" s="62"/>
      <c r="G4115" s="63"/>
      <c r="H4115" s="64"/>
      <c r="I4115" s="64"/>
      <c r="J4115" s="64"/>
      <c r="K4115" s="65"/>
      <c r="L4115" s="64"/>
      <c r="M4115" s="64"/>
      <c r="N4115" s="64"/>
      <c r="P4115" s="63"/>
      <c r="Q4115" s="61"/>
      <c r="R4115" s="64"/>
      <c r="S4115" s="64"/>
    </row>
  </sheetData>
  <sheetProtection sheet="1" selectLockedCells="1" sort="0" autoFilter="0" pivotTables="0"/>
  <conditionalFormatting sqref="R3555:R3571 D3555:D3570 C3571">
    <cfRule type="containsText" dxfId="6550" priority="21382" operator="containsText" text="DOWN">
      <formula>NOT(ISERROR(SEARCH("DOWN",C3555)))</formula>
    </cfRule>
  </conditionalFormatting>
  <conditionalFormatting sqref="R3555:R3571 D3555:D3570 C3571">
    <cfRule type="containsText" dxfId="6549" priority="21381" operator="containsText" text="UP">
      <formula>NOT(ISERROR(SEARCH("UP",C3555)))</formula>
    </cfRule>
  </conditionalFormatting>
  <conditionalFormatting sqref="I3571">
    <cfRule type="colorScale" priority="21380">
      <colorScale>
        <cfvo type="min"/>
        <cfvo type="max"/>
        <color rgb="FFFFEF9C"/>
        <color rgb="FF63BE7B"/>
      </colorScale>
    </cfRule>
  </conditionalFormatting>
  <conditionalFormatting sqref="M3571">
    <cfRule type="colorScale" priority="21379">
      <colorScale>
        <cfvo type="min"/>
        <cfvo type="max"/>
        <color rgb="FFFF7128"/>
        <color rgb="FFFFEF9C"/>
      </colorScale>
    </cfRule>
  </conditionalFormatting>
  <conditionalFormatting sqref="Q3571">
    <cfRule type="dataBar" priority="21378">
      <dataBar>
        <cfvo type="min"/>
        <cfvo type="max"/>
        <color rgb="FFFF555A"/>
      </dataBar>
    </cfRule>
  </conditionalFormatting>
  <conditionalFormatting sqref="E3555:E3571">
    <cfRule type="dataBar" priority="21377">
      <dataBar>
        <cfvo type="min"/>
        <cfvo type="max"/>
        <color rgb="FFFF555A"/>
      </dataBar>
    </cfRule>
  </conditionalFormatting>
  <conditionalFormatting sqref="F3571">
    <cfRule type="top10" dxfId="6548" priority="21376" rank="1"/>
  </conditionalFormatting>
  <conditionalFormatting sqref="G3571 P3571">
    <cfRule type="cellIs" dxfId="6547" priority="21375" operator="equal">
      <formula>$G$135</formula>
    </cfRule>
  </conditionalFormatting>
  <conditionalFormatting sqref="P3571">
    <cfRule type="cellIs" dxfId="6546" priority="21374" operator="equal">
      <formula>$J$135</formula>
    </cfRule>
  </conditionalFormatting>
  <conditionalFormatting sqref="G3571 P3571">
    <cfRule type="cellIs" dxfId="6545" priority="21373" operator="equal">
      <formula>#REF!</formula>
    </cfRule>
  </conditionalFormatting>
  <conditionalFormatting sqref="G3571">
    <cfRule type="top10" dxfId="6544" priority="21371" rank="1"/>
    <cfRule type="cellIs" dxfId="6543" priority="21372" operator="equal">
      <formula>$G$133</formula>
    </cfRule>
  </conditionalFormatting>
  <conditionalFormatting sqref="P3571">
    <cfRule type="top10" dxfId="6542" priority="21369" rank="1"/>
    <cfRule type="cellIs" dxfId="6541" priority="21370" operator="equal">
      <formula>$G$133</formula>
    </cfRule>
  </conditionalFormatting>
  <conditionalFormatting sqref="C3555:C3570">
    <cfRule type="containsText" dxfId="6540" priority="21365" operator="containsText" text="Short Buildup">
      <formula>NOT(ISERROR(SEARCH("Short Buildup",C3555)))</formula>
    </cfRule>
    <cfRule type="containsText" dxfId="6539" priority="21366" operator="containsText" text="Long Liquidation">
      <formula>NOT(ISERROR(SEARCH("Long Liquidation",C3555)))</formula>
    </cfRule>
    <cfRule type="containsText" dxfId="6538" priority="21367" operator="containsText" text="Short covering">
      <formula>NOT(ISERROR(SEARCH("Short covering",C3555)))</formula>
    </cfRule>
    <cfRule type="containsText" dxfId="6537" priority="21368" operator="containsText" text="Long Buildup">
      <formula>NOT(ISERROR(SEARCH("Long Buildup",C3555)))</formula>
    </cfRule>
  </conditionalFormatting>
  <conditionalFormatting sqref="H3571">
    <cfRule type="colorScale" priority="21360">
      <colorScale>
        <cfvo type="min"/>
        <cfvo type="percentile" val="20"/>
        <cfvo type="max"/>
        <color rgb="FF92D050"/>
        <color theme="5" tint="0.79998168889431442"/>
        <color rgb="FFFF0000"/>
      </colorScale>
    </cfRule>
    <cfRule type="colorScale" priority="21361">
      <colorScale>
        <cfvo type="min"/>
        <cfvo type="max"/>
        <color rgb="FFFF0000"/>
        <color rgb="FF92D050"/>
      </colorScale>
    </cfRule>
    <cfRule type="colorScale" priority="21362">
      <colorScale>
        <cfvo type="min"/>
        <cfvo type="percentile" val="50"/>
        <cfvo type="max"/>
        <color rgb="FF5A8AC6"/>
        <color rgb="FFFCFCFF"/>
        <color rgb="FFF8696B"/>
      </colorScale>
    </cfRule>
    <cfRule type="colorScale" priority="21363">
      <colorScale>
        <cfvo type="formula" val="&quot;&gt;20&quot;"/>
        <cfvo type="formula" val="35"/>
        <color rgb="FFF8696B"/>
        <color rgb="FFFCFCFF"/>
      </colorScale>
    </cfRule>
    <cfRule type="colorScale" priority="21364">
      <colorScale>
        <cfvo type="min"/>
        <cfvo type="max"/>
        <color rgb="FFFFEF9C"/>
        <color rgb="FF63BE7B"/>
      </colorScale>
    </cfRule>
  </conditionalFormatting>
  <conditionalFormatting sqref="N3571">
    <cfRule type="colorScale" priority="21355">
      <colorScale>
        <cfvo type="min"/>
        <cfvo type="percentile" val="20"/>
        <cfvo type="max"/>
        <color rgb="FF92D050"/>
        <color theme="5" tint="0.79998168889431442"/>
        <color rgb="FFFF0000"/>
      </colorScale>
    </cfRule>
    <cfRule type="colorScale" priority="21356">
      <colorScale>
        <cfvo type="min"/>
        <cfvo type="max"/>
        <color rgb="FFFF0000"/>
        <color rgb="FF92D050"/>
      </colorScale>
    </cfRule>
    <cfRule type="colorScale" priority="21357">
      <colorScale>
        <cfvo type="min"/>
        <cfvo type="percentile" val="50"/>
        <cfvo type="max"/>
        <color rgb="FF5A8AC6"/>
        <color rgb="FFFCFCFF"/>
        <color rgb="FFF8696B"/>
      </colorScale>
    </cfRule>
    <cfRule type="colorScale" priority="21358">
      <colorScale>
        <cfvo type="formula" val="&quot;&gt;20&quot;"/>
        <cfvo type="formula" val="35"/>
        <color rgb="FFF8696B"/>
        <color rgb="FFFCFCFF"/>
      </colorScale>
    </cfRule>
    <cfRule type="colorScale" priority="21359">
      <colorScale>
        <cfvo type="min"/>
        <cfvo type="max"/>
        <color rgb="FFFFEF9C"/>
        <color rgb="FF63BE7B"/>
      </colorScale>
    </cfRule>
  </conditionalFormatting>
  <conditionalFormatting sqref="S3555:S3571">
    <cfRule type="containsText" dxfId="6536" priority="21351" operator="containsText" text="Short Buildup">
      <formula>NOT(ISERROR(SEARCH("Short Buildup",S3555)))</formula>
    </cfRule>
    <cfRule type="containsText" dxfId="6535" priority="21352" operator="containsText" text="Long Liquidation">
      <formula>NOT(ISERROR(SEARCH("Long Liquidation",S3555)))</formula>
    </cfRule>
    <cfRule type="containsText" dxfId="6534" priority="21353" operator="containsText" text="Short covering">
      <formula>NOT(ISERROR(SEARCH("Short covering",S3555)))</formula>
    </cfRule>
    <cfRule type="containsText" dxfId="6533" priority="21354" operator="containsText" text="Long Buildup">
      <formula>NOT(ISERROR(SEARCH("Long Buildup",S3555)))</formula>
    </cfRule>
  </conditionalFormatting>
  <conditionalFormatting sqref="F3555:F3570">
    <cfRule type="dataBar" priority="21350">
      <dataBar>
        <cfvo type="min"/>
        <cfvo type="max"/>
        <color rgb="FFFF555A"/>
      </dataBar>
    </cfRule>
  </conditionalFormatting>
  <conditionalFormatting sqref="G3555:G3570">
    <cfRule type="dataBar" priority="21349">
      <dataBar>
        <cfvo type="min"/>
        <cfvo type="max"/>
        <color rgb="FFFF555A"/>
      </dataBar>
    </cfRule>
  </conditionalFormatting>
  <conditionalFormatting sqref="H3555">
    <cfRule type="dataBar" priority="21348">
      <dataBar>
        <cfvo type="min"/>
        <cfvo type="max"/>
        <color rgb="FFFF555A"/>
      </dataBar>
    </cfRule>
  </conditionalFormatting>
  <conditionalFormatting sqref="I3555">
    <cfRule type="dataBar" priority="21347">
      <dataBar>
        <cfvo type="min"/>
        <cfvo type="max"/>
        <color rgb="FFFF555A"/>
      </dataBar>
    </cfRule>
  </conditionalFormatting>
  <conditionalFormatting sqref="J3555">
    <cfRule type="dataBar" priority="21346">
      <dataBar>
        <cfvo type="min"/>
        <cfvo type="max"/>
        <color rgb="FFFF555A"/>
      </dataBar>
    </cfRule>
  </conditionalFormatting>
  <conditionalFormatting sqref="E3556:E3570">
    <cfRule type="dataBar" priority="21345">
      <dataBar>
        <cfvo type="min"/>
        <cfvo type="max"/>
        <color rgb="FFFF555A"/>
      </dataBar>
    </cfRule>
  </conditionalFormatting>
  <conditionalFormatting sqref="H3556:H3570">
    <cfRule type="dataBar" priority="21344">
      <dataBar>
        <cfvo type="min"/>
        <cfvo type="max"/>
        <color rgb="FFFF555A"/>
      </dataBar>
    </cfRule>
  </conditionalFormatting>
  <conditionalFormatting sqref="I3556:I3570">
    <cfRule type="dataBar" priority="21343">
      <dataBar>
        <cfvo type="min"/>
        <cfvo type="max"/>
        <color rgb="FFFF555A"/>
      </dataBar>
    </cfRule>
  </conditionalFormatting>
  <conditionalFormatting sqref="J3556:J3570">
    <cfRule type="dataBar" priority="21342">
      <dataBar>
        <cfvo type="min"/>
        <cfvo type="max"/>
        <color rgb="FFFF555A"/>
      </dataBar>
    </cfRule>
  </conditionalFormatting>
  <conditionalFormatting sqref="L3555:L3570">
    <cfRule type="dataBar" priority="21341">
      <dataBar>
        <cfvo type="min"/>
        <cfvo type="max"/>
        <color rgb="FFFF555A"/>
      </dataBar>
    </cfRule>
  </conditionalFormatting>
  <conditionalFormatting sqref="M3555:M3570">
    <cfRule type="dataBar" priority="21340">
      <dataBar>
        <cfvo type="min"/>
        <cfvo type="max"/>
        <color rgb="FFFF555A"/>
      </dataBar>
    </cfRule>
  </conditionalFormatting>
  <conditionalFormatting sqref="N3555:N3570">
    <cfRule type="dataBar" priority="21339">
      <dataBar>
        <cfvo type="min"/>
        <cfvo type="max"/>
        <color rgb="FFFF555A"/>
      </dataBar>
    </cfRule>
  </conditionalFormatting>
  <conditionalFormatting sqref="Q3555:Q3570">
    <cfRule type="dataBar" priority="21338">
      <dataBar>
        <cfvo type="min"/>
        <cfvo type="max"/>
        <color rgb="FFFF555A"/>
      </dataBar>
    </cfRule>
  </conditionalFormatting>
  <conditionalFormatting sqref="O3555:O3570">
    <cfRule type="dataBar" priority="21337">
      <dataBar>
        <cfvo type="min"/>
        <cfvo type="max"/>
        <color rgb="FFFF555A"/>
      </dataBar>
    </cfRule>
  </conditionalFormatting>
  <conditionalFormatting sqref="P3555:P3570">
    <cfRule type="dataBar" priority="21336">
      <dataBar>
        <cfvo type="min"/>
        <cfvo type="max"/>
        <color rgb="FFFF555A"/>
      </dataBar>
    </cfRule>
  </conditionalFormatting>
  <conditionalFormatting sqref="R3572:R3588 D3572:D3587 C3588">
    <cfRule type="containsText" dxfId="6532" priority="21335" operator="containsText" text="DOWN">
      <formula>NOT(ISERROR(SEARCH("DOWN",C3572)))</formula>
    </cfRule>
  </conditionalFormatting>
  <conditionalFormatting sqref="R3572:R3588 D3572:D3587 C3588">
    <cfRule type="containsText" dxfId="6531" priority="21334" operator="containsText" text="UP">
      <formula>NOT(ISERROR(SEARCH("UP",C3572)))</formula>
    </cfRule>
  </conditionalFormatting>
  <conditionalFormatting sqref="I3588">
    <cfRule type="colorScale" priority="21333">
      <colorScale>
        <cfvo type="min"/>
        <cfvo type="max"/>
        <color rgb="FFFFEF9C"/>
        <color rgb="FF63BE7B"/>
      </colorScale>
    </cfRule>
  </conditionalFormatting>
  <conditionalFormatting sqref="M3588">
    <cfRule type="colorScale" priority="21332">
      <colorScale>
        <cfvo type="min"/>
        <cfvo type="max"/>
        <color rgb="FFFF7128"/>
        <color rgb="FFFFEF9C"/>
      </colorScale>
    </cfRule>
  </conditionalFormatting>
  <conditionalFormatting sqref="Q3588">
    <cfRule type="dataBar" priority="21331">
      <dataBar>
        <cfvo type="min"/>
        <cfvo type="max"/>
        <color rgb="FFFF555A"/>
      </dataBar>
    </cfRule>
  </conditionalFormatting>
  <conditionalFormatting sqref="E3572:E3588">
    <cfRule type="dataBar" priority="21330">
      <dataBar>
        <cfvo type="min"/>
        <cfvo type="max"/>
        <color rgb="FFFF555A"/>
      </dataBar>
    </cfRule>
  </conditionalFormatting>
  <conditionalFormatting sqref="F3588">
    <cfRule type="top10" dxfId="6530" priority="21329" rank="1"/>
  </conditionalFormatting>
  <conditionalFormatting sqref="G3588 P3588">
    <cfRule type="cellIs" dxfId="6529" priority="21328" operator="equal">
      <formula>$G$135</formula>
    </cfRule>
  </conditionalFormatting>
  <conditionalFormatting sqref="P3588">
    <cfRule type="cellIs" dxfId="6528" priority="21327" operator="equal">
      <formula>$J$135</formula>
    </cfRule>
  </conditionalFormatting>
  <conditionalFormatting sqref="G3588 P3588">
    <cfRule type="cellIs" dxfId="6527" priority="21326" operator="equal">
      <formula>#REF!</formula>
    </cfRule>
  </conditionalFormatting>
  <conditionalFormatting sqref="G3588">
    <cfRule type="top10" dxfId="6526" priority="21324" rank="1"/>
    <cfRule type="cellIs" dxfId="6525" priority="21325" operator="equal">
      <formula>$G$133</formula>
    </cfRule>
  </conditionalFormatting>
  <conditionalFormatting sqref="P3588">
    <cfRule type="top10" dxfId="6524" priority="21322" rank="1"/>
    <cfRule type="cellIs" dxfId="6523" priority="21323" operator="equal">
      <formula>$G$133</formula>
    </cfRule>
  </conditionalFormatting>
  <conditionalFormatting sqref="C3572:C3587">
    <cfRule type="containsText" dxfId="6522" priority="21318" operator="containsText" text="Short Buildup">
      <formula>NOT(ISERROR(SEARCH("Short Buildup",C3572)))</formula>
    </cfRule>
    <cfRule type="containsText" dxfId="6521" priority="21319" operator="containsText" text="Long Liquidation">
      <formula>NOT(ISERROR(SEARCH("Long Liquidation",C3572)))</formula>
    </cfRule>
    <cfRule type="containsText" dxfId="6520" priority="21320" operator="containsText" text="Short covering">
      <formula>NOT(ISERROR(SEARCH("Short covering",C3572)))</formula>
    </cfRule>
    <cfRule type="containsText" dxfId="6519" priority="21321" operator="containsText" text="Long Buildup">
      <formula>NOT(ISERROR(SEARCH("Long Buildup",C3572)))</formula>
    </cfRule>
  </conditionalFormatting>
  <conditionalFormatting sqref="H3588">
    <cfRule type="colorScale" priority="21313">
      <colorScale>
        <cfvo type="min"/>
        <cfvo type="percentile" val="20"/>
        <cfvo type="max"/>
        <color rgb="FF92D050"/>
        <color theme="5" tint="0.79998168889431442"/>
        <color rgb="FFFF0000"/>
      </colorScale>
    </cfRule>
    <cfRule type="colorScale" priority="21314">
      <colorScale>
        <cfvo type="min"/>
        <cfvo type="max"/>
        <color rgb="FFFF0000"/>
        <color rgb="FF92D050"/>
      </colorScale>
    </cfRule>
    <cfRule type="colorScale" priority="21315">
      <colorScale>
        <cfvo type="min"/>
        <cfvo type="percentile" val="50"/>
        <cfvo type="max"/>
        <color rgb="FF5A8AC6"/>
        <color rgb="FFFCFCFF"/>
        <color rgb="FFF8696B"/>
      </colorScale>
    </cfRule>
    <cfRule type="colorScale" priority="21316">
      <colorScale>
        <cfvo type="formula" val="&quot;&gt;20&quot;"/>
        <cfvo type="formula" val="35"/>
        <color rgb="FFF8696B"/>
        <color rgb="FFFCFCFF"/>
      </colorScale>
    </cfRule>
    <cfRule type="colorScale" priority="21317">
      <colorScale>
        <cfvo type="min"/>
        <cfvo type="max"/>
        <color rgb="FFFFEF9C"/>
        <color rgb="FF63BE7B"/>
      </colorScale>
    </cfRule>
  </conditionalFormatting>
  <conditionalFormatting sqref="N3588">
    <cfRule type="colorScale" priority="21308">
      <colorScale>
        <cfvo type="min"/>
        <cfvo type="percentile" val="20"/>
        <cfvo type="max"/>
        <color rgb="FF92D050"/>
        <color theme="5" tint="0.79998168889431442"/>
        <color rgb="FFFF0000"/>
      </colorScale>
    </cfRule>
    <cfRule type="colorScale" priority="21309">
      <colorScale>
        <cfvo type="min"/>
        <cfvo type="max"/>
        <color rgb="FFFF0000"/>
        <color rgb="FF92D050"/>
      </colorScale>
    </cfRule>
    <cfRule type="colorScale" priority="21310">
      <colorScale>
        <cfvo type="min"/>
        <cfvo type="percentile" val="50"/>
        <cfvo type="max"/>
        <color rgb="FF5A8AC6"/>
        <color rgb="FFFCFCFF"/>
        <color rgb="FFF8696B"/>
      </colorScale>
    </cfRule>
    <cfRule type="colorScale" priority="21311">
      <colorScale>
        <cfvo type="formula" val="&quot;&gt;20&quot;"/>
        <cfvo type="formula" val="35"/>
        <color rgb="FFF8696B"/>
        <color rgb="FFFCFCFF"/>
      </colorScale>
    </cfRule>
    <cfRule type="colorScale" priority="21312">
      <colorScale>
        <cfvo type="min"/>
        <cfvo type="max"/>
        <color rgb="FFFFEF9C"/>
        <color rgb="FF63BE7B"/>
      </colorScale>
    </cfRule>
  </conditionalFormatting>
  <conditionalFormatting sqref="S3572:S3588">
    <cfRule type="containsText" dxfId="6518" priority="21304" operator="containsText" text="Short Buildup">
      <formula>NOT(ISERROR(SEARCH("Short Buildup",S3572)))</formula>
    </cfRule>
    <cfRule type="containsText" dxfId="6517" priority="21305" operator="containsText" text="Long Liquidation">
      <formula>NOT(ISERROR(SEARCH("Long Liquidation",S3572)))</formula>
    </cfRule>
    <cfRule type="containsText" dxfId="6516" priority="21306" operator="containsText" text="Short covering">
      <formula>NOT(ISERROR(SEARCH("Short covering",S3572)))</formula>
    </cfRule>
    <cfRule type="containsText" dxfId="6515" priority="21307" operator="containsText" text="Long Buildup">
      <formula>NOT(ISERROR(SEARCH("Long Buildup",S3572)))</formula>
    </cfRule>
  </conditionalFormatting>
  <conditionalFormatting sqref="F3572:F3587">
    <cfRule type="dataBar" priority="21303">
      <dataBar>
        <cfvo type="min"/>
        <cfvo type="max"/>
        <color rgb="FFFF555A"/>
      </dataBar>
    </cfRule>
  </conditionalFormatting>
  <conditionalFormatting sqref="G3572:G3587">
    <cfRule type="dataBar" priority="21302">
      <dataBar>
        <cfvo type="min"/>
        <cfvo type="max"/>
        <color rgb="FFFF555A"/>
      </dataBar>
    </cfRule>
  </conditionalFormatting>
  <conditionalFormatting sqref="H3572">
    <cfRule type="dataBar" priority="21301">
      <dataBar>
        <cfvo type="min"/>
        <cfvo type="max"/>
        <color rgb="FFFF555A"/>
      </dataBar>
    </cfRule>
  </conditionalFormatting>
  <conditionalFormatting sqref="I3572">
    <cfRule type="dataBar" priority="21300">
      <dataBar>
        <cfvo type="min"/>
        <cfvo type="max"/>
        <color rgb="FFFF555A"/>
      </dataBar>
    </cfRule>
  </conditionalFormatting>
  <conditionalFormatting sqref="J3572">
    <cfRule type="dataBar" priority="21299">
      <dataBar>
        <cfvo type="min"/>
        <cfvo type="max"/>
        <color rgb="FFFF555A"/>
      </dataBar>
    </cfRule>
  </conditionalFormatting>
  <conditionalFormatting sqref="E3573:E3587">
    <cfRule type="dataBar" priority="21298">
      <dataBar>
        <cfvo type="min"/>
        <cfvo type="max"/>
        <color rgb="FFFF555A"/>
      </dataBar>
    </cfRule>
  </conditionalFormatting>
  <conditionalFormatting sqref="H3573:H3587">
    <cfRule type="dataBar" priority="21297">
      <dataBar>
        <cfvo type="min"/>
        <cfvo type="max"/>
        <color rgb="FFFF555A"/>
      </dataBar>
    </cfRule>
  </conditionalFormatting>
  <conditionalFormatting sqref="I3573:I3587">
    <cfRule type="dataBar" priority="21296">
      <dataBar>
        <cfvo type="min"/>
        <cfvo type="max"/>
        <color rgb="FFFF555A"/>
      </dataBar>
    </cfRule>
  </conditionalFormatting>
  <conditionalFormatting sqref="J3573:J3587">
    <cfRule type="dataBar" priority="21295">
      <dataBar>
        <cfvo type="min"/>
        <cfvo type="max"/>
        <color rgb="FFFF555A"/>
      </dataBar>
    </cfRule>
  </conditionalFormatting>
  <conditionalFormatting sqref="L3572:L3587">
    <cfRule type="dataBar" priority="21294">
      <dataBar>
        <cfvo type="min"/>
        <cfvo type="max"/>
        <color rgb="FFFF555A"/>
      </dataBar>
    </cfRule>
  </conditionalFormatting>
  <conditionalFormatting sqref="M3572:M3587">
    <cfRule type="dataBar" priority="21293">
      <dataBar>
        <cfvo type="min"/>
        <cfvo type="max"/>
        <color rgb="FFFF555A"/>
      </dataBar>
    </cfRule>
  </conditionalFormatting>
  <conditionalFormatting sqref="N3572:N3587">
    <cfRule type="dataBar" priority="21292">
      <dataBar>
        <cfvo type="min"/>
        <cfvo type="max"/>
        <color rgb="FFFF555A"/>
      </dataBar>
    </cfRule>
  </conditionalFormatting>
  <conditionalFormatting sqref="Q3572:Q3587">
    <cfRule type="dataBar" priority="21291">
      <dataBar>
        <cfvo type="min"/>
        <cfvo type="max"/>
        <color rgb="FFFF555A"/>
      </dataBar>
    </cfRule>
  </conditionalFormatting>
  <conditionalFormatting sqref="O3572:O3587">
    <cfRule type="dataBar" priority="21290">
      <dataBar>
        <cfvo type="min"/>
        <cfvo type="max"/>
        <color rgb="FFFF555A"/>
      </dataBar>
    </cfRule>
  </conditionalFormatting>
  <conditionalFormatting sqref="P3572:P3587">
    <cfRule type="dataBar" priority="21289">
      <dataBar>
        <cfvo type="min"/>
        <cfvo type="max"/>
        <color rgb="FFFF555A"/>
      </dataBar>
    </cfRule>
  </conditionalFormatting>
  <conditionalFormatting sqref="R3589:R3605 D3589:D3604 C3605">
    <cfRule type="containsText" dxfId="6514" priority="21288" operator="containsText" text="DOWN">
      <formula>NOT(ISERROR(SEARCH("DOWN",C3589)))</formula>
    </cfRule>
  </conditionalFormatting>
  <conditionalFormatting sqref="R3589:R3605 D3589:D3604 C3605">
    <cfRule type="containsText" dxfId="6513" priority="21287" operator="containsText" text="UP">
      <formula>NOT(ISERROR(SEARCH("UP",C3589)))</formula>
    </cfRule>
  </conditionalFormatting>
  <conditionalFormatting sqref="I3605">
    <cfRule type="colorScale" priority="21286">
      <colorScale>
        <cfvo type="min"/>
        <cfvo type="max"/>
        <color rgb="FFFFEF9C"/>
        <color rgb="FF63BE7B"/>
      </colorScale>
    </cfRule>
  </conditionalFormatting>
  <conditionalFormatting sqref="M3605">
    <cfRule type="colorScale" priority="21285">
      <colorScale>
        <cfvo type="min"/>
        <cfvo type="max"/>
        <color rgb="FFFF7128"/>
        <color rgb="FFFFEF9C"/>
      </colorScale>
    </cfRule>
  </conditionalFormatting>
  <conditionalFormatting sqref="Q3605">
    <cfRule type="dataBar" priority="21284">
      <dataBar>
        <cfvo type="min"/>
        <cfvo type="max"/>
        <color rgb="FFFF555A"/>
      </dataBar>
    </cfRule>
  </conditionalFormatting>
  <conditionalFormatting sqref="E3589:E3605">
    <cfRule type="dataBar" priority="21283">
      <dataBar>
        <cfvo type="min"/>
        <cfvo type="max"/>
        <color rgb="FFFF555A"/>
      </dataBar>
    </cfRule>
  </conditionalFormatting>
  <conditionalFormatting sqref="F3605">
    <cfRule type="top10" dxfId="6512" priority="21282" rank="1"/>
  </conditionalFormatting>
  <conditionalFormatting sqref="G3605 P3605">
    <cfRule type="cellIs" dxfId="6511" priority="21281" operator="equal">
      <formula>$G$135</formula>
    </cfRule>
  </conditionalFormatting>
  <conditionalFormatting sqref="P3605">
    <cfRule type="cellIs" dxfId="6510" priority="21280" operator="equal">
      <formula>$J$135</formula>
    </cfRule>
  </conditionalFormatting>
  <conditionalFormatting sqref="G3605 P3605">
    <cfRule type="cellIs" dxfId="6509" priority="21279" operator="equal">
      <formula>#REF!</formula>
    </cfRule>
  </conditionalFormatting>
  <conditionalFormatting sqref="G3605">
    <cfRule type="top10" dxfId="6508" priority="21277" rank="1"/>
    <cfRule type="cellIs" dxfId="6507" priority="21278" operator="equal">
      <formula>$G$133</formula>
    </cfRule>
  </conditionalFormatting>
  <conditionalFormatting sqref="P3605">
    <cfRule type="top10" dxfId="6506" priority="21275" rank="1"/>
    <cfRule type="cellIs" dxfId="6505" priority="21276" operator="equal">
      <formula>$G$133</formula>
    </cfRule>
  </conditionalFormatting>
  <conditionalFormatting sqref="C3589:C3604">
    <cfRule type="containsText" dxfId="6504" priority="21271" operator="containsText" text="Short Buildup">
      <formula>NOT(ISERROR(SEARCH("Short Buildup",C3589)))</formula>
    </cfRule>
    <cfRule type="containsText" dxfId="6503" priority="21272" operator="containsText" text="Long Liquidation">
      <formula>NOT(ISERROR(SEARCH("Long Liquidation",C3589)))</formula>
    </cfRule>
    <cfRule type="containsText" dxfId="6502" priority="21273" operator="containsText" text="Short covering">
      <formula>NOT(ISERROR(SEARCH("Short covering",C3589)))</formula>
    </cfRule>
    <cfRule type="containsText" dxfId="6501" priority="21274" operator="containsText" text="Long Buildup">
      <formula>NOT(ISERROR(SEARCH("Long Buildup",C3589)))</formula>
    </cfRule>
  </conditionalFormatting>
  <conditionalFormatting sqref="H3605">
    <cfRule type="colorScale" priority="21266">
      <colorScale>
        <cfvo type="min"/>
        <cfvo type="percentile" val="20"/>
        <cfvo type="max"/>
        <color rgb="FF92D050"/>
        <color theme="5" tint="0.79998168889431442"/>
        <color rgb="FFFF0000"/>
      </colorScale>
    </cfRule>
    <cfRule type="colorScale" priority="21267">
      <colorScale>
        <cfvo type="min"/>
        <cfvo type="max"/>
        <color rgb="FFFF0000"/>
        <color rgb="FF92D050"/>
      </colorScale>
    </cfRule>
    <cfRule type="colorScale" priority="21268">
      <colorScale>
        <cfvo type="min"/>
        <cfvo type="percentile" val="50"/>
        <cfvo type="max"/>
        <color rgb="FF5A8AC6"/>
        <color rgb="FFFCFCFF"/>
        <color rgb="FFF8696B"/>
      </colorScale>
    </cfRule>
    <cfRule type="colorScale" priority="21269">
      <colorScale>
        <cfvo type="formula" val="&quot;&gt;20&quot;"/>
        <cfvo type="formula" val="35"/>
        <color rgb="FFF8696B"/>
        <color rgb="FFFCFCFF"/>
      </colorScale>
    </cfRule>
    <cfRule type="colorScale" priority="21270">
      <colorScale>
        <cfvo type="min"/>
        <cfvo type="max"/>
        <color rgb="FFFFEF9C"/>
        <color rgb="FF63BE7B"/>
      </colorScale>
    </cfRule>
  </conditionalFormatting>
  <conditionalFormatting sqref="N3605">
    <cfRule type="colorScale" priority="21261">
      <colorScale>
        <cfvo type="min"/>
        <cfvo type="percentile" val="20"/>
        <cfvo type="max"/>
        <color rgb="FF92D050"/>
        <color theme="5" tint="0.79998168889431442"/>
        <color rgb="FFFF0000"/>
      </colorScale>
    </cfRule>
    <cfRule type="colorScale" priority="21262">
      <colorScale>
        <cfvo type="min"/>
        <cfvo type="max"/>
        <color rgb="FFFF0000"/>
        <color rgb="FF92D050"/>
      </colorScale>
    </cfRule>
    <cfRule type="colorScale" priority="21263">
      <colorScale>
        <cfvo type="min"/>
        <cfvo type="percentile" val="50"/>
        <cfvo type="max"/>
        <color rgb="FF5A8AC6"/>
        <color rgb="FFFCFCFF"/>
        <color rgb="FFF8696B"/>
      </colorScale>
    </cfRule>
    <cfRule type="colorScale" priority="21264">
      <colorScale>
        <cfvo type="formula" val="&quot;&gt;20&quot;"/>
        <cfvo type="formula" val="35"/>
        <color rgb="FFF8696B"/>
        <color rgb="FFFCFCFF"/>
      </colorScale>
    </cfRule>
    <cfRule type="colorScale" priority="21265">
      <colorScale>
        <cfvo type="min"/>
        <cfvo type="max"/>
        <color rgb="FFFFEF9C"/>
        <color rgb="FF63BE7B"/>
      </colorScale>
    </cfRule>
  </conditionalFormatting>
  <conditionalFormatting sqref="S3589:S3605">
    <cfRule type="containsText" dxfId="6500" priority="21257" operator="containsText" text="Short Buildup">
      <formula>NOT(ISERROR(SEARCH("Short Buildup",S3589)))</formula>
    </cfRule>
    <cfRule type="containsText" dxfId="6499" priority="21258" operator="containsText" text="Long Liquidation">
      <formula>NOT(ISERROR(SEARCH("Long Liquidation",S3589)))</formula>
    </cfRule>
    <cfRule type="containsText" dxfId="6498" priority="21259" operator="containsText" text="Short covering">
      <formula>NOT(ISERROR(SEARCH("Short covering",S3589)))</formula>
    </cfRule>
    <cfRule type="containsText" dxfId="6497" priority="21260" operator="containsText" text="Long Buildup">
      <formula>NOT(ISERROR(SEARCH("Long Buildup",S3589)))</formula>
    </cfRule>
  </conditionalFormatting>
  <conditionalFormatting sqref="F3589:F3604">
    <cfRule type="dataBar" priority="21256">
      <dataBar>
        <cfvo type="min"/>
        <cfvo type="max"/>
        <color rgb="FFFF555A"/>
      </dataBar>
    </cfRule>
  </conditionalFormatting>
  <conditionalFormatting sqref="G3589:G3604">
    <cfRule type="dataBar" priority="21255">
      <dataBar>
        <cfvo type="min"/>
        <cfvo type="max"/>
        <color rgb="FFFF555A"/>
      </dataBar>
    </cfRule>
  </conditionalFormatting>
  <conditionalFormatting sqref="H3589">
    <cfRule type="dataBar" priority="21254">
      <dataBar>
        <cfvo type="min"/>
        <cfvo type="max"/>
        <color rgb="FFFF555A"/>
      </dataBar>
    </cfRule>
  </conditionalFormatting>
  <conditionalFormatting sqref="I3589">
    <cfRule type="dataBar" priority="21253">
      <dataBar>
        <cfvo type="min"/>
        <cfvo type="max"/>
        <color rgb="FFFF555A"/>
      </dataBar>
    </cfRule>
  </conditionalFormatting>
  <conditionalFormatting sqref="J3589">
    <cfRule type="dataBar" priority="21252">
      <dataBar>
        <cfvo type="min"/>
        <cfvo type="max"/>
        <color rgb="FFFF555A"/>
      </dataBar>
    </cfRule>
  </conditionalFormatting>
  <conditionalFormatting sqref="E3590:E3604">
    <cfRule type="dataBar" priority="21251">
      <dataBar>
        <cfvo type="min"/>
        <cfvo type="max"/>
        <color rgb="FFFF555A"/>
      </dataBar>
    </cfRule>
  </conditionalFormatting>
  <conditionalFormatting sqref="H3590:H3604">
    <cfRule type="dataBar" priority="21250">
      <dataBar>
        <cfvo type="min"/>
        <cfvo type="max"/>
        <color rgb="FFFF555A"/>
      </dataBar>
    </cfRule>
  </conditionalFormatting>
  <conditionalFormatting sqref="I3590:I3604">
    <cfRule type="dataBar" priority="21249">
      <dataBar>
        <cfvo type="min"/>
        <cfvo type="max"/>
        <color rgb="FFFF555A"/>
      </dataBar>
    </cfRule>
  </conditionalFormatting>
  <conditionalFormatting sqref="J3590:J3604">
    <cfRule type="dataBar" priority="21248">
      <dataBar>
        <cfvo type="min"/>
        <cfvo type="max"/>
        <color rgb="FFFF555A"/>
      </dataBar>
    </cfRule>
  </conditionalFormatting>
  <conditionalFormatting sqref="L3589:L3604">
    <cfRule type="dataBar" priority="21247">
      <dataBar>
        <cfvo type="min"/>
        <cfvo type="max"/>
        <color rgb="FFFF555A"/>
      </dataBar>
    </cfRule>
  </conditionalFormatting>
  <conditionalFormatting sqref="M3589:M3604">
    <cfRule type="dataBar" priority="21246">
      <dataBar>
        <cfvo type="min"/>
        <cfvo type="max"/>
        <color rgb="FFFF555A"/>
      </dataBar>
    </cfRule>
  </conditionalFormatting>
  <conditionalFormatting sqref="N3589:N3604">
    <cfRule type="dataBar" priority="21245">
      <dataBar>
        <cfvo type="min"/>
        <cfvo type="max"/>
        <color rgb="FFFF555A"/>
      </dataBar>
    </cfRule>
  </conditionalFormatting>
  <conditionalFormatting sqref="Q3589:Q3604">
    <cfRule type="dataBar" priority="21244">
      <dataBar>
        <cfvo type="min"/>
        <cfvo type="max"/>
        <color rgb="FFFF555A"/>
      </dataBar>
    </cfRule>
  </conditionalFormatting>
  <conditionalFormatting sqref="O3589:O3604">
    <cfRule type="dataBar" priority="21243">
      <dataBar>
        <cfvo type="min"/>
        <cfvo type="max"/>
        <color rgb="FFFF555A"/>
      </dataBar>
    </cfRule>
  </conditionalFormatting>
  <conditionalFormatting sqref="P3589:P3604">
    <cfRule type="dataBar" priority="21242">
      <dataBar>
        <cfvo type="min"/>
        <cfvo type="max"/>
        <color rgb="FFFF555A"/>
      </dataBar>
    </cfRule>
  </conditionalFormatting>
  <conditionalFormatting sqref="R3606:R3622 D3606:D3621 C3622">
    <cfRule type="containsText" dxfId="6496" priority="21241" operator="containsText" text="DOWN">
      <formula>NOT(ISERROR(SEARCH("DOWN",C3606)))</formula>
    </cfRule>
  </conditionalFormatting>
  <conditionalFormatting sqref="R3606:R3622 D3606:D3621 C3622">
    <cfRule type="containsText" dxfId="6495" priority="21240" operator="containsText" text="UP">
      <formula>NOT(ISERROR(SEARCH("UP",C3606)))</formula>
    </cfRule>
  </conditionalFormatting>
  <conditionalFormatting sqref="I3622">
    <cfRule type="colorScale" priority="21239">
      <colorScale>
        <cfvo type="min"/>
        <cfvo type="max"/>
        <color rgb="FFFFEF9C"/>
        <color rgb="FF63BE7B"/>
      </colorScale>
    </cfRule>
  </conditionalFormatting>
  <conditionalFormatting sqref="M3622">
    <cfRule type="colorScale" priority="21238">
      <colorScale>
        <cfvo type="min"/>
        <cfvo type="max"/>
        <color rgb="FFFF7128"/>
        <color rgb="FFFFEF9C"/>
      </colorScale>
    </cfRule>
  </conditionalFormatting>
  <conditionalFormatting sqref="Q3622">
    <cfRule type="dataBar" priority="21237">
      <dataBar>
        <cfvo type="min"/>
        <cfvo type="max"/>
        <color rgb="FFFF555A"/>
      </dataBar>
    </cfRule>
  </conditionalFormatting>
  <conditionalFormatting sqref="E3606:E3622">
    <cfRule type="dataBar" priority="21236">
      <dataBar>
        <cfvo type="min"/>
        <cfvo type="max"/>
        <color rgb="FFFF555A"/>
      </dataBar>
    </cfRule>
  </conditionalFormatting>
  <conditionalFormatting sqref="F3622">
    <cfRule type="top10" dxfId="6494" priority="21235" rank="1"/>
  </conditionalFormatting>
  <conditionalFormatting sqref="G3622 P3622">
    <cfRule type="cellIs" dxfId="6493" priority="21234" operator="equal">
      <formula>$G$135</formula>
    </cfRule>
  </conditionalFormatting>
  <conditionalFormatting sqref="P3622">
    <cfRule type="cellIs" dxfId="6492" priority="21233" operator="equal">
      <formula>$J$135</formula>
    </cfRule>
  </conditionalFormatting>
  <conditionalFormatting sqref="G3622 P3622">
    <cfRule type="cellIs" dxfId="6491" priority="21232" operator="equal">
      <formula>#REF!</formula>
    </cfRule>
  </conditionalFormatting>
  <conditionalFormatting sqref="G3622">
    <cfRule type="top10" dxfId="6490" priority="21230" rank="1"/>
    <cfRule type="cellIs" dxfId="6489" priority="21231" operator="equal">
      <formula>$G$133</formula>
    </cfRule>
  </conditionalFormatting>
  <conditionalFormatting sqref="P3622">
    <cfRule type="top10" dxfId="6488" priority="21228" rank="1"/>
    <cfRule type="cellIs" dxfId="6487" priority="21229" operator="equal">
      <formula>$G$133</formula>
    </cfRule>
  </conditionalFormatting>
  <conditionalFormatting sqref="C3606:C3621">
    <cfRule type="containsText" dxfId="6486" priority="21224" operator="containsText" text="Short Buildup">
      <formula>NOT(ISERROR(SEARCH("Short Buildup",C3606)))</formula>
    </cfRule>
    <cfRule type="containsText" dxfId="6485" priority="21225" operator="containsText" text="Long Liquidation">
      <formula>NOT(ISERROR(SEARCH("Long Liquidation",C3606)))</formula>
    </cfRule>
    <cfRule type="containsText" dxfId="6484" priority="21226" operator="containsText" text="Short covering">
      <formula>NOT(ISERROR(SEARCH("Short covering",C3606)))</formula>
    </cfRule>
    <cfRule type="containsText" dxfId="6483" priority="21227" operator="containsText" text="Long Buildup">
      <formula>NOT(ISERROR(SEARCH("Long Buildup",C3606)))</formula>
    </cfRule>
  </conditionalFormatting>
  <conditionalFormatting sqref="H3622">
    <cfRule type="colorScale" priority="21219">
      <colorScale>
        <cfvo type="min"/>
        <cfvo type="percentile" val="20"/>
        <cfvo type="max"/>
        <color rgb="FF92D050"/>
        <color theme="5" tint="0.79998168889431442"/>
        <color rgb="FFFF0000"/>
      </colorScale>
    </cfRule>
    <cfRule type="colorScale" priority="21220">
      <colorScale>
        <cfvo type="min"/>
        <cfvo type="max"/>
        <color rgb="FFFF0000"/>
        <color rgb="FF92D050"/>
      </colorScale>
    </cfRule>
    <cfRule type="colorScale" priority="21221">
      <colorScale>
        <cfvo type="min"/>
        <cfvo type="percentile" val="50"/>
        <cfvo type="max"/>
        <color rgb="FF5A8AC6"/>
        <color rgb="FFFCFCFF"/>
        <color rgb="FFF8696B"/>
      </colorScale>
    </cfRule>
    <cfRule type="colorScale" priority="21222">
      <colorScale>
        <cfvo type="formula" val="&quot;&gt;20&quot;"/>
        <cfvo type="formula" val="35"/>
        <color rgb="FFF8696B"/>
        <color rgb="FFFCFCFF"/>
      </colorScale>
    </cfRule>
    <cfRule type="colorScale" priority="21223">
      <colorScale>
        <cfvo type="min"/>
        <cfvo type="max"/>
        <color rgb="FFFFEF9C"/>
        <color rgb="FF63BE7B"/>
      </colorScale>
    </cfRule>
  </conditionalFormatting>
  <conditionalFormatting sqref="N3622">
    <cfRule type="colorScale" priority="21214">
      <colorScale>
        <cfvo type="min"/>
        <cfvo type="percentile" val="20"/>
        <cfvo type="max"/>
        <color rgb="FF92D050"/>
        <color theme="5" tint="0.79998168889431442"/>
        <color rgb="FFFF0000"/>
      </colorScale>
    </cfRule>
    <cfRule type="colorScale" priority="21215">
      <colorScale>
        <cfvo type="min"/>
        <cfvo type="max"/>
        <color rgb="FFFF0000"/>
        <color rgb="FF92D050"/>
      </colorScale>
    </cfRule>
    <cfRule type="colorScale" priority="21216">
      <colorScale>
        <cfvo type="min"/>
        <cfvo type="percentile" val="50"/>
        <cfvo type="max"/>
        <color rgb="FF5A8AC6"/>
        <color rgb="FFFCFCFF"/>
        <color rgb="FFF8696B"/>
      </colorScale>
    </cfRule>
    <cfRule type="colorScale" priority="21217">
      <colorScale>
        <cfvo type="formula" val="&quot;&gt;20&quot;"/>
        <cfvo type="formula" val="35"/>
        <color rgb="FFF8696B"/>
        <color rgb="FFFCFCFF"/>
      </colorScale>
    </cfRule>
    <cfRule type="colorScale" priority="21218">
      <colorScale>
        <cfvo type="min"/>
        <cfvo type="max"/>
        <color rgb="FFFFEF9C"/>
        <color rgb="FF63BE7B"/>
      </colorScale>
    </cfRule>
  </conditionalFormatting>
  <conditionalFormatting sqref="S3606:S3622">
    <cfRule type="containsText" dxfId="6482" priority="21210" operator="containsText" text="Short Buildup">
      <formula>NOT(ISERROR(SEARCH("Short Buildup",S3606)))</formula>
    </cfRule>
    <cfRule type="containsText" dxfId="6481" priority="21211" operator="containsText" text="Long Liquidation">
      <formula>NOT(ISERROR(SEARCH("Long Liquidation",S3606)))</formula>
    </cfRule>
    <cfRule type="containsText" dxfId="6480" priority="21212" operator="containsText" text="Short covering">
      <formula>NOT(ISERROR(SEARCH("Short covering",S3606)))</formula>
    </cfRule>
    <cfRule type="containsText" dxfId="6479" priority="21213" operator="containsText" text="Long Buildup">
      <formula>NOT(ISERROR(SEARCH("Long Buildup",S3606)))</formula>
    </cfRule>
  </conditionalFormatting>
  <conditionalFormatting sqref="F3606:F3621">
    <cfRule type="dataBar" priority="21209">
      <dataBar>
        <cfvo type="min"/>
        <cfvo type="max"/>
        <color rgb="FFFF555A"/>
      </dataBar>
    </cfRule>
  </conditionalFormatting>
  <conditionalFormatting sqref="G3606:G3621">
    <cfRule type="dataBar" priority="21208">
      <dataBar>
        <cfvo type="min"/>
        <cfvo type="max"/>
        <color rgb="FFFF555A"/>
      </dataBar>
    </cfRule>
  </conditionalFormatting>
  <conditionalFormatting sqref="H3606">
    <cfRule type="dataBar" priority="21207">
      <dataBar>
        <cfvo type="min"/>
        <cfvo type="max"/>
        <color rgb="FFFF555A"/>
      </dataBar>
    </cfRule>
  </conditionalFormatting>
  <conditionalFormatting sqref="I3606">
    <cfRule type="dataBar" priority="21206">
      <dataBar>
        <cfvo type="min"/>
        <cfvo type="max"/>
        <color rgb="FFFF555A"/>
      </dataBar>
    </cfRule>
  </conditionalFormatting>
  <conditionalFormatting sqref="J3606">
    <cfRule type="dataBar" priority="21205">
      <dataBar>
        <cfvo type="min"/>
        <cfvo type="max"/>
        <color rgb="FFFF555A"/>
      </dataBar>
    </cfRule>
  </conditionalFormatting>
  <conditionalFormatting sqref="E3607:E3621">
    <cfRule type="dataBar" priority="21204">
      <dataBar>
        <cfvo type="min"/>
        <cfvo type="max"/>
        <color rgb="FFFF555A"/>
      </dataBar>
    </cfRule>
  </conditionalFormatting>
  <conditionalFormatting sqref="H3607:H3621">
    <cfRule type="dataBar" priority="21203">
      <dataBar>
        <cfvo type="min"/>
        <cfvo type="max"/>
        <color rgb="FFFF555A"/>
      </dataBar>
    </cfRule>
  </conditionalFormatting>
  <conditionalFormatting sqref="I3607:I3621">
    <cfRule type="dataBar" priority="21202">
      <dataBar>
        <cfvo type="min"/>
        <cfvo type="max"/>
        <color rgb="FFFF555A"/>
      </dataBar>
    </cfRule>
  </conditionalFormatting>
  <conditionalFormatting sqref="J3607:J3621">
    <cfRule type="dataBar" priority="21201">
      <dataBar>
        <cfvo type="min"/>
        <cfvo type="max"/>
        <color rgb="FFFF555A"/>
      </dataBar>
    </cfRule>
  </conditionalFormatting>
  <conditionalFormatting sqref="L3606:L3621">
    <cfRule type="dataBar" priority="21200">
      <dataBar>
        <cfvo type="min"/>
        <cfvo type="max"/>
        <color rgb="FFFF555A"/>
      </dataBar>
    </cfRule>
  </conditionalFormatting>
  <conditionalFormatting sqref="M3606:M3621">
    <cfRule type="dataBar" priority="21199">
      <dataBar>
        <cfvo type="min"/>
        <cfvo type="max"/>
        <color rgb="FFFF555A"/>
      </dataBar>
    </cfRule>
  </conditionalFormatting>
  <conditionalFormatting sqref="N3606:N3621">
    <cfRule type="dataBar" priority="21198">
      <dataBar>
        <cfvo type="min"/>
        <cfvo type="max"/>
        <color rgb="FFFF555A"/>
      </dataBar>
    </cfRule>
  </conditionalFormatting>
  <conditionalFormatting sqref="Q3606:Q3621">
    <cfRule type="dataBar" priority="21197">
      <dataBar>
        <cfvo type="min"/>
        <cfvo type="max"/>
        <color rgb="FFFF555A"/>
      </dataBar>
    </cfRule>
  </conditionalFormatting>
  <conditionalFormatting sqref="O3606:O3621">
    <cfRule type="dataBar" priority="21196">
      <dataBar>
        <cfvo type="min"/>
        <cfvo type="max"/>
        <color rgb="FFFF555A"/>
      </dataBar>
    </cfRule>
  </conditionalFormatting>
  <conditionalFormatting sqref="P3606:P3621">
    <cfRule type="dataBar" priority="21195">
      <dataBar>
        <cfvo type="min"/>
        <cfvo type="max"/>
        <color rgb="FFFF555A"/>
      </dataBar>
    </cfRule>
  </conditionalFormatting>
  <conditionalFormatting sqref="R3623:R3639 D3623:D3638 C3639">
    <cfRule type="containsText" dxfId="6478" priority="21194" operator="containsText" text="DOWN">
      <formula>NOT(ISERROR(SEARCH("DOWN",C3623)))</formula>
    </cfRule>
  </conditionalFormatting>
  <conditionalFormatting sqref="R3623:R3639 D3623:D3638 C3639">
    <cfRule type="containsText" dxfId="6477" priority="21193" operator="containsText" text="UP">
      <formula>NOT(ISERROR(SEARCH("UP",C3623)))</formula>
    </cfRule>
  </conditionalFormatting>
  <conditionalFormatting sqref="I3639">
    <cfRule type="colorScale" priority="21192">
      <colorScale>
        <cfvo type="min"/>
        <cfvo type="max"/>
        <color rgb="FFFFEF9C"/>
        <color rgb="FF63BE7B"/>
      </colorScale>
    </cfRule>
  </conditionalFormatting>
  <conditionalFormatting sqref="M3639">
    <cfRule type="colorScale" priority="21191">
      <colorScale>
        <cfvo type="min"/>
        <cfvo type="max"/>
        <color rgb="FFFF7128"/>
        <color rgb="FFFFEF9C"/>
      </colorScale>
    </cfRule>
  </conditionalFormatting>
  <conditionalFormatting sqref="Q3639">
    <cfRule type="dataBar" priority="21190">
      <dataBar>
        <cfvo type="min"/>
        <cfvo type="max"/>
        <color rgb="FFFF555A"/>
      </dataBar>
    </cfRule>
  </conditionalFormatting>
  <conditionalFormatting sqref="E3623:E3639">
    <cfRule type="dataBar" priority="21189">
      <dataBar>
        <cfvo type="min"/>
        <cfvo type="max"/>
        <color rgb="FFFF555A"/>
      </dataBar>
    </cfRule>
  </conditionalFormatting>
  <conditionalFormatting sqref="F3639">
    <cfRule type="top10" dxfId="6476" priority="21188" rank="1"/>
  </conditionalFormatting>
  <conditionalFormatting sqref="G3639 P3639">
    <cfRule type="cellIs" dxfId="6475" priority="21187" operator="equal">
      <formula>$G$135</formula>
    </cfRule>
  </conditionalFormatting>
  <conditionalFormatting sqref="P3639">
    <cfRule type="cellIs" dxfId="6474" priority="21186" operator="equal">
      <formula>$J$135</formula>
    </cfRule>
  </conditionalFormatting>
  <conditionalFormatting sqref="G3639 P3639">
    <cfRule type="cellIs" dxfId="6473" priority="21185" operator="equal">
      <formula>#REF!</formula>
    </cfRule>
  </conditionalFormatting>
  <conditionalFormatting sqref="G3639">
    <cfRule type="top10" dxfId="6472" priority="21183" rank="1"/>
    <cfRule type="cellIs" dxfId="6471" priority="21184" operator="equal">
      <formula>$G$133</formula>
    </cfRule>
  </conditionalFormatting>
  <conditionalFormatting sqref="P3639">
    <cfRule type="top10" dxfId="6470" priority="21181" rank="1"/>
    <cfRule type="cellIs" dxfId="6469" priority="21182" operator="equal">
      <formula>$G$133</formula>
    </cfRule>
  </conditionalFormatting>
  <conditionalFormatting sqref="C3623:C3638">
    <cfRule type="containsText" dxfId="6468" priority="21177" operator="containsText" text="Short Buildup">
      <formula>NOT(ISERROR(SEARCH("Short Buildup",C3623)))</formula>
    </cfRule>
    <cfRule type="containsText" dxfId="6467" priority="21178" operator="containsText" text="Long Liquidation">
      <formula>NOT(ISERROR(SEARCH("Long Liquidation",C3623)))</formula>
    </cfRule>
    <cfRule type="containsText" dxfId="6466" priority="21179" operator="containsText" text="Short covering">
      <formula>NOT(ISERROR(SEARCH("Short covering",C3623)))</formula>
    </cfRule>
    <cfRule type="containsText" dxfId="6465" priority="21180" operator="containsText" text="Long Buildup">
      <formula>NOT(ISERROR(SEARCH("Long Buildup",C3623)))</formula>
    </cfRule>
  </conditionalFormatting>
  <conditionalFormatting sqref="H3639">
    <cfRule type="colorScale" priority="21172">
      <colorScale>
        <cfvo type="min"/>
        <cfvo type="percentile" val="20"/>
        <cfvo type="max"/>
        <color rgb="FF92D050"/>
        <color theme="5" tint="0.79998168889431442"/>
        <color rgb="FFFF0000"/>
      </colorScale>
    </cfRule>
    <cfRule type="colorScale" priority="21173">
      <colorScale>
        <cfvo type="min"/>
        <cfvo type="max"/>
        <color rgb="FFFF0000"/>
        <color rgb="FF92D050"/>
      </colorScale>
    </cfRule>
    <cfRule type="colorScale" priority="21174">
      <colorScale>
        <cfvo type="min"/>
        <cfvo type="percentile" val="50"/>
        <cfvo type="max"/>
        <color rgb="FF5A8AC6"/>
        <color rgb="FFFCFCFF"/>
        <color rgb="FFF8696B"/>
      </colorScale>
    </cfRule>
    <cfRule type="colorScale" priority="21175">
      <colorScale>
        <cfvo type="formula" val="&quot;&gt;20&quot;"/>
        <cfvo type="formula" val="35"/>
        <color rgb="FFF8696B"/>
        <color rgb="FFFCFCFF"/>
      </colorScale>
    </cfRule>
    <cfRule type="colorScale" priority="21176">
      <colorScale>
        <cfvo type="min"/>
        <cfvo type="max"/>
        <color rgb="FFFFEF9C"/>
        <color rgb="FF63BE7B"/>
      </colorScale>
    </cfRule>
  </conditionalFormatting>
  <conditionalFormatting sqref="N3639">
    <cfRule type="colorScale" priority="21167">
      <colorScale>
        <cfvo type="min"/>
        <cfvo type="percentile" val="20"/>
        <cfvo type="max"/>
        <color rgb="FF92D050"/>
        <color theme="5" tint="0.79998168889431442"/>
        <color rgb="FFFF0000"/>
      </colorScale>
    </cfRule>
    <cfRule type="colorScale" priority="21168">
      <colorScale>
        <cfvo type="min"/>
        <cfvo type="max"/>
        <color rgb="FFFF0000"/>
        <color rgb="FF92D050"/>
      </colorScale>
    </cfRule>
    <cfRule type="colorScale" priority="21169">
      <colorScale>
        <cfvo type="min"/>
        <cfvo type="percentile" val="50"/>
        <cfvo type="max"/>
        <color rgb="FF5A8AC6"/>
        <color rgb="FFFCFCFF"/>
        <color rgb="FFF8696B"/>
      </colorScale>
    </cfRule>
    <cfRule type="colorScale" priority="21170">
      <colorScale>
        <cfvo type="formula" val="&quot;&gt;20&quot;"/>
        <cfvo type="formula" val="35"/>
        <color rgb="FFF8696B"/>
        <color rgb="FFFCFCFF"/>
      </colorScale>
    </cfRule>
    <cfRule type="colorScale" priority="21171">
      <colorScale>
        <cfvo type="min"/>
        <cfvo type="max"/>
        <color rgb="FFFFEF9C"/>
        <color rgb="FF63BE7B"/>
      </colorScale>
    </cfRule>
  </conditionalFormatting>
  <conditionalFormatting sqref="S3623:S3639">
    <cfRule type="containsText" dxfId="6464" priority="21163" operator="containsText" text="Short Buildup">
      <formula>NOT(ISERROR(SEARCH("Short Buildup",S3623)))</formula>
    </cfRule>
    <cfRule type="containsText" dxfId="6463" priority="21164" operator="containsText" text="Long Liquidation">
      <formula>NOT(ISERROR(SEARCH("Long Liquidation",S3623)))</formula>
    </cfRule>
    <cfRule type="containsText" dxfId="6462" priority="21165" operator="containsText" text="Short covering">
      <formula>NOT(ISERROR(SEARCH("Short covering",S3623)))</formula>
    </cfRule>
    <cfRule type="containsText" dxfId="6461" priority="21166" operator="containsText" text="Long Buildup">
      <formula>NOT(ISERROR(SEARCH("Long Buildup",S3623)))</formula>
    </cfRule>
  </conditionalFormatting>
  <conditionalFormatting sqref="F3623:F3638">
    <cfRule type="dataBar" priority="21162">
      <dataBar>
        <cfvo type="min"/>
        <cfvo type="max"/>
        <color rgb="FFFF555A"/>
      </dataBar>
    </cfRule>
  </conditionalFormatting>
  <conditionalFormatting sqref="G3623:G3638">
    <cfRule type="dataBar" priority="21161">
      <dataBar>
        <cfvo type="min"/>
        <cfvo type="max"/>
        <color rgb="FFFF555A"/>
      </dataBar>
    </cfRule>
  </conditionalFormatting>
  <conditionalFormatting sqref="H3623">
    <cfRule type="dataBar" priority="21160">
      <dataBar>
        <cfvo type="min"/>
        <cfvo type="max"/>
        <color rgb="FFFF555A"/>
      </dataBar>
    </cfRule>
  </conditionalFormatting>
  <conditionalFormatting sqref="I3623">
    <cfRule type="dataBar" priority="21159">
      <dataBar>
        <cfvo type="min"/>
        <cfvo type="max"/>
        <color rgb="FFFF555A"/>
      </dataBar>
    </cfRule>
  </conditionalFormatting>
  <conditionalFormatting sqref="J3623">
    <cfRule type="dataBar" priority="21158">
      <dataBar>
        <cfvo type="min"/>
        <cfvo type="max"/>
        <color rgb="FFFF555A"/>
      </dataBar>
    </cfRule>
  </conditionalFormatting>
  <conditionalFormatting sqref="E3624:E3638">
    <cfRule type="dataBar" priority="21157">
      <dataBar>
        <cfvo type="min"/>
        <cfvo type="max"/>
        <color rgb="FFFF555A"/>
      </dataBar>
    </cfRule>
  </conditionalFormatting>
  <conditionalFormatting sqref="H3624:H3638">
    <cfRule type="dataBar" priority="21156">
      <dataBar>
        <cfvo type="min"/>
        <cfvo type="max"/>
        <color rgb="FFFF555A"/>
      </dataBar>
    </cfRule>
  </conditionalFormatting>
  <conditionalFormatting sqref="I3624:I3638">
    <cfRule type="dataBar" priority="21155">
      <dataBar>
        <cfvo type="min"/>
        <cfvo type="max"/>
        <color rgb="FFFF555A"/>
      </dataBar>
    </cfRule>
  </conditionalFormatting>
  <conditionalFormatting sqref="J3624:J3638">
    <cfRule type="dataBar" priority="21154">
      <dataBar>
        <cfvo type="min"/>
        <cfvo type="max"/>
        <color rgb="FFFF555A"/>
      </dataBar>
    </cfRule>
  </conditionalFormatting>
  <conditionalFormatting sqref="L3623:L3638">
    <cfRule type="dataBar" priority="21153">
      <dataBar>
        <cfvo type="min"/>
        <cfvo type="max"/>
        <color rgb="FFFF555A"/>
      </dataBar>
    </cfRule>
  </conditionalFormatting>
  <conditionalFormatting sqref="M3623:M3638">
    <cfRule type="dataBar" priority="21152">
      <dataBar>
        <cfvo type="min"/>
        <cfvo type="max"/>
        <color rgb="FFFF555A"/>
      </dataBar>
    </cfRule>
  </conditionalFormatting>
  <conditionalFormatting sqref="N3623:N3638">
    <cfRule type="dataBar" priority="21151">
      <dataBar>
        <cfvo type="min"/>
        <cfvo type="max"/>
        <color rgb="FFFF555A"/>
      </dataBar>
    </cfRule>
  </conditionalFormatting>
  <conditionalFormatting sqref="Q3623:Q3638">
    <cfRule type="dataBar" priority="21150">
      <dataBar>
        <cfvo type="min"/>
        <cfvo type="max"/>
        <color rgb="FFFF555A"/>
      </dataBar>
    </cfRule>
  </conditionalFormatting>
  <conditionalFormatting sqref="O3623:O3638">
    <cfRule type="dataBar" priority="21149">
      <dataBar>
        <cfvo type="min"/>
        <cfvo type="max"/>
        <color rgb="FFFF555A"/>
      </dataBar>
    </cfRule>
  </conditionalFormatting>
  <conditionalFormatting sqref="P3623:P3638">
    <cfRule type="dataBar" priority="21148">
      <dataBar>
        <cfvo type="min"/>
        <cfvo type="max"/>
        <color rgb="FFFF555A"/>
      </dataBar>
    </cfRule>
  </conditionalFormatting>
  <conditionalFormatting sqref="R3640:R3656 D3640:D3655 C3656">
    <cfRule type="containsText" dxfId="6460" priority="21147" operator="containsText" text="DOWN">
      <formula>NOT(ISERROR(SEARCH("DOWN",C3640)))</formula>
    </cfRule>
  </conditionalFormatting>
  <conditionalFormatting sqref="R3640:R3656 D3640:D3655 C3656">
    <cfRule type="containsText" dxfId="6459" priority="21146" operator="containsText" text="UP">
      <formula>NOT(ISERROR(SEARCH("UP",C3640)))</formula>
    </cfRule>
  </conditionalFormatting>
  <conditionalFormatting sqref="I3656">
    <cfRule type="colorScale" priority="21145">
      <colorScale>
        <cfvo type="min"/>
        <cfvo type="max"/>
        <color rgb="FFFFEF9C"/>
        <color rgb="FF63BE7B"/>
      </colorScale>
    </cfRule>
  </conditionalFormatting>
  <conditionalFormatting sqref="M3656">
    <cfRule type="colorScale" priority="21144">
      <colorScale>
        <cfvo type="min"/>
        <cfvo type="max"/>
        <color rgb="FFFF7128"/>
        <color rgb="FFFFEF9C"/>
      </colorScale>
    </cfRule>
  </conditionalFormatting>
  <conditionalFormatting sqref="Q3656">
    <cfRule type="dataBar" priority="21143">
      <dataBar>
        <cfvo type="min"/>
        <cfvo type="max"/>
        <color rgb="FFFF555A"/>
      </dataBar>
    </cfRule>
  </conditionalFormatting>
  <conditionalFormatting sqref="E3640:E3656">
    <cfRule type="dataBar" priority="21142">
      <dataBar>
        <cfvo type="min"/>
        <cfvo type="max"/>
        <color rgb="FFFF555A"/>
      </dataBar>
    </cfRule>
  </conditionalFormatting>
  <conditionalFormatting sqref="F3656">
    <cfRule type="top10" dxfId="6458" priority="21141" rank="1"/>
  </conditionalFormatting>
  <conditionalFormatting sqref="G3656 P3656">
    <cfRule type="cellIs" dxfId="6457" priority="21140" operator="equal">
      <formula>$G$135</formula>
    </cfRule>
  </conditionalFormatting>
  <conditionalFormatting sqref="P3656">
    <cfRule type="cellIs" dxfId="6456" priority="21139" operator="equal">
      <formula>$J$135</formula>
    </cfRule>
  </conditionalFormatting>
  <conditionalFormatting sqref="G3656 P3656">
    <cfRule type="cellIs" dxfId="6455" priority="21138" operator="equal">
      <formula>#REF!</formula>
    </cfRule>
  </conditionalFormatting>
  <conditionalFormatting sqref="G3656">
    <cfRule type="top10" dxfId="6454" priority="21136" rank="1"/>
    <cfRule type="cellIs" dxfId="6453" priority="21137" operator="equal">
      <formula>$G$133</formula>
    </cfRule>
  </conditionalFormatting>
  <conditionalFormatting sqref="P3656">
    <cfRule type="top10" dxfId="6452" priority="21134" rank="1"/>
    <cfRule type="cellIs" dxfId="6451" priority="21135" operator="equal">
      <formula>$G$133</formula>
    </cfRule>
  </conditionalFormatting>
  <conditionalFormatting sqref="C3640:C3655">
    <cfRule type="containsText" dxfId="6450" priority="21130" operator="containsText" text="Short Buildup">
      <formula>NOT(ISERROR(SEARCH("Short Buildup",C3640)))</formula>
    </cfRule>
    <cfRule type="containsText" dxfId="6449" priority="21131" operator="containsText" text="Long Liquidation">
      <formula>NOT(ISERROR(SEARCH("Long Liquidation",C3640)))</formula>
    </cfRule>
    <cfRule type="containsText" dxfId="6448" priority="21132" operator="containsText" text="Short covering">
      <formula>NOT(ISERROR(SEARCH("Short covering",C3640)))</formula>
    </cfRule>
    <cfRule type="containsText" dxfId="6447" priority="21133" operator="containsText" text="Long Buildup">
      <formula>NOT(ISERROR(SEARCH("Long Buildup",C3640)))</formula>
    </cfRule>
  </conditionalFormatting>
  <conditionalFormatting sqref="H3656">
    <cfRule type="colorScale" priority="21125">
      <colorScale>
        <cfvo type="min"/>
        <cfvo type="percentile" val="20"/>
        <cfvo type="max"/>
        <color rgb="FF92D050"/>
        <color theme="5" tint="0.79998168889431442"/>
        <color rgb="FFFF0000"/>
      </colorScale>
    </cfRule>
    <cfRule type="colorScale" priority="21126">
      <colorScale>
        <cfvo type="min"/>
        <cfvo type="max"/>
        <color rgb="FFFF0000"/>
        <color rgb="FF92D050"/>
      </colorScale>
    </cfRule>
    <cfRule type="colorScale" priority="21127">
      <colorScale>
        <cfvo type="min"/>
        <cfvo type="percentile" val="50"/>
        <cfvo type="max"/>
        <color rgb="FF5A8AC6"/>
        <color rgb="FFFCFCFF"/>
        <color rgb="FFF8696B"/>
      </colorScale>
    </cfRule>
    <cfRule type="colorScale" priority="21128">
      <colorScale>
        <cfvo type="formula" val="&quot;&gt;20&quot;"/>
        <cfvo type="formula" val="35"/>
        <color rgb="FFF8696B"/>
        <color rgb="FFFCFCFF"/>
      </colorScale>
    </cfRule>
    <cfRule type="colorScale" priority="21129">
      <colorScale>
        <cfvo type="min"/>
        <cfvo type="max"/>
        <color rgb="FFFFEF9C"/>
        <color rgb="FF63BE7B"/>
      </colorScale>
    </cfRule>
  </conditionalFormatting>
  <conditionalFormatting sqref="N3656">
    <cfRule type="colorScale" priority="21120">
      <colorScale>
        <cfvo type="min"/>
        <cfvo type="percentile" val="20"/>
        <cfvo type="max"/>
        <color rgb="FF92D050"/>
        <color theme="5" tint="0.79998168889431442"/>
        <color rgb="FFFF0000"/>
      </colorScale>
    </cfRule>
    <cfRule type="colorScale" priority="21121">
      <colorScale>
        <cfvo type="min"/>
        <cfvo type="max"/>
        <color rgb="FFFF0000"/>
        <color rgb="FF92D050"/>
      </colorScale>
    </cfRule>
    <cfRule type="colorScale" priority="21122">
      <colorScale>
        <cfvo type="min"/>
        <cfvo type="percentile" val="50"/>
        <cfvo type="max"/>
        <color rgb="FF5A8AC6"/>
        <color rgb="FFFCFCFF"/>
        <color rgb="FFF8696B"/>
      </colorScale>
    </cfRule>
    <cfRule type="colorScale" priority="21123">
      <colorScale>
        <cfvo type="formula" val="&quot;&gt;20&quot;"/>
        <cfvo type="formula" val="35"/>
        <color rgb="FFF8696B"/>
        <color rgb="FFFCFCFF"/>
      </colorScale>
    </cfRule>
    <cfRule type="colorScale" priority="21124">
      <colorScale>
        <cfvo type="min"/>
        <cfvo type="max"/>
        <color rgb="FFFFEF9C"/>
        <color rgb="FF63BE7B"/>
      </colorScale>
    </cfRule>
  </conditionalFormatting>
  <conditionalFormatting sqref="S3640:S3656">
    <cfRule type="containsText" dxfId="6446" priority="21116" operator="containsText" text="Short Buildup">
      <formula>NOT(ISERROR(SEARCH("Short Buildup",S3640)))</formula>
    </cfRule>
    <cfRule type="containsText" dxfId="6445" priority="21117" operator="containsText" text="Long Liquidation">
      <formula>NOT(ISERROR(SEARCH("Long Liquidation",S3640)))</formula>
    </cfRule>
    <cfRule type="containsText" dxfId="6444" priority="21118" operator="containsText" text="Short covering">
      <formula>NOT(ISERROR(SEARCH("Short covering",S3640)))</formula>
    </cfRule>
    <cfRule type="containsText" dxfId="6443" priority="21119" operator="containsText" text="Long Buildup">
      <formula>NOT(ISERROR(SEARCH("Long Buildup",S3640)))</formula>
    </cfRule>
  </conditionalFormatting>
  <conditionalFormatting sqref="F3640:F3655">
    <cfRule type="dataBar" priority="21115">
      <dataBar>
        <cfvo type="min"/>
        <cfvo type="max"/>
        <color rgb="FFFF555A"/>
      </dataBar>
    </cfRule>
  </conditionalFormatting>
  <conditionalFormatting sqref="G3640:G3655">
    <cfRule type="dataBar" priority="21114">
      <dataBar>
        <cfvo type="min"/>
        <cfvo type="max"/>
        <color rgb="FFFF555A"/>
      </dataBar>
    </cfRule>
  </conditionalFormatting>
  <conditionalFormatting sqref="H3640">
    <cfRule type="dataBar" priority="21113">
      <dataBar>
        <cfvo type="min"/>
        <cfvo type="max"/>
        <color rgb="FFFF555A"/>
      </dataBar>
    </cfRule>
  </conditionalFormatting>
  <conditionalFormatting sqref="I3640">
    <cfRule type="dataBar" priority="21112">
      <dataBar>
        <cfvo type="min"/>
        <cfvo type="max"/>
        <color rgb="FFFF555A"/>
      </dataBar>
    </cfRule>
  </conditionalFormatting>
  <conditionalFormatting sqref="J3640">
    <cfRule type="dataBar" priority="21111">
      <dataBar>
        <cfvo type="min"/>
        <cfvo type="max"/>
        <color rgb="FFFF555A"/>
      </dataBar>
    </cfRule>
  </conditionalFormatting>
  <conditionalFormatting sqref="E3641:E3655">
    <cfRule type="dataBar" priority="21110">
      <dataBar>
        <cfvo type="min"/>
        <cfvo type="max"/>
        <color rgb="FFFF555A"/>
      </dataBar>
    </cfRule>
  </conditionalFormatting>
  <conditionalFormatting sqref="H3641:H3655">
    <cfRule type="dataBar" priority="21109">
      <dataBar>
        <cfvo type="min"/>
        <cfvo type="max"/>
        <color rgb="FFFF555A"/>
      </dataBar>
    </cfRule>
  </conditionalFormatting>
  <conditionalFormatting sqref="I3641:I3655">
    <cfRule type="dataBar" priority="21108">
      <dataBar>
        <cfvo type="min"/>
        <cfvo type="max"/>
        <color rgb="FFFF555A"/>
      </dataBar>
    </cfRule>
  </conditionalFormatting>
  <conditionalFormatting sqref="J3641:J3655">
    <cfRule type="dataBar" priority="21107">
      <dataBar>
        <cfvo type="min"/>
        <cfvo type="max"/>
        <color rgb="FFFF555A"/>
      </dataBar>
    </cfRule>
  </conditionalFormatting>
  <conditionalFormatting sqref="L3640:L3655">
    <cfRule type="dataBar" priority="21106">
      <dataBar>
        <cfvo type="min"/>
        <cfvo type="max"/>
        <color rgb="FFFF555A"/>
      </dataBar>
    </cfRule>
  </conditionalFormatting>
  <conditionalFormatting sqref="M3640:M3655">
    <cfRule type="dataBar" priority="21105">
      <dataBar>
        <cfvo type="min"/>
        <cfvo type="max"/>
        <color rgb="FFFF555A"/>
      </dataBar>
    </cfRule>
  </conditionalFormatting>
  <conditionalFormatting sqref="N3640:N3655">
    <cfRule type="dataBar" priority="21104">
      <dataBar>
        <cfvo type="min"/>
        <cfvo type="max"/>
        <color rgb="FFFF555A"/>
      </dataBar>
    </cfRule>
  </conditionalFormatting>
  <conditionalFormatting sqref="Q3640:Q3655">
    <cfRule type="dataBar" priority="21103">
      <dataBar>
        <cfvo type="min"/>
        <cfvo type="max"/>
        <color rgb="FFFF555A"/>
      </dataBar>
    </cfRule>
  </conditionalFormatting>
  <conditionalFormatting sqref="O3640:O3655">
    <cfRule type="dataBar" priority="21102">
      <dataBar>
        <cfvo type="min"/>
        <cfvo type="max"/>
        <color rgb="FFFF555A"/>
      </dataBar>
    </cfRule>
  </conditionalFormatting>
  <conditionalFormatting sqref="P3640:P3655">
    <cfRule type="dataBar" priority="21101">
      <dataBar>
        <cfvo type="min"/>
        <cfvo type="max"/>
        <color rgb="FFFF555A"/>
      </dataBar>
    </cfRule>
  </conditionalFormatting>
  <conditionalFormatting sqref="R3657:R3673 D3657:D3672 C3673">
    <cfRule type="containsText" dxfId="6442" priority="21100" operator="containsText" text="DOWN">
      <formula>NOT(ISERROR(SEARCH("DOWN",C3657)))</formula>
    </cfRule>
  </conditionalFormatting>
  <conditionalFormatting sqref="R3657:R3673 D3657:D3672 C3673">
    <cfRule type="containsText" dxfId="6441" priority="21099" operator="containsText" text="UP">
      <formula>NOT(ISERROR(SEARCH("UP",C3657)))</formula>
    </cfRule>
  </conditionalFormatting>
  <conditionalFormatting sqref="I3673">
    <cfRule type="colorScale" priority="21098">
      <colorScale>
        <cfvo type="min"/>
        <cfvo type="max"/>
        <color rgb="FFFFEF9C"/>
        <color rgb="FF63BE7B"/>
      </colorScale>
    </cfRule>
  </conditionalFormatting>
  <conditionalFormatting sqref="M3673">
    <cfRule type="colorScale" priority="21097">
      <colorScale>
        <cfvo type="min"/>
        <cfvo type="max"/>
        <color rgb="FFFF7128"/>
        <color rgb="FFFFEF9C"/>
      </colorScale>
    </cfRule>
  </conditionalFormatting>
  <conditionalFormatting sqref="Q3673">
    <cfRule type="dataBar" priority="21096">
      <dataBar>
        <cfvo type="min"/>
        <cfvo type="max"/>
        <color rgb="FFFF555A"/>
      </dataBar>
    </cfRule>
  </conditionalFormatting>
  <conditionalFormatting sqref="E3657:E3673">
    <cfRule type="dataBar" priority="21095">
      <dataBar>
        <cfvo type="min"/>
        <cfvo type="max"/>
        <color rgb="FFFF555A"/>
      </dataBar>
    </cfRule>
  </conditionalFormatting>
  <conditionalFormatting sqref="F3673">
    <cfRule type="top10" dxfId="6440" priority="21094" rank="1"/>
  </conditionalFormatting>
  <conditionalFormatting sqref="G3673 P3673">
    <cfRule type="cellIs" dxfId="6439" priority="21093" operator="equal">
      <formula>$G$135</formula>
    </cfRule>
  </conditionalFormatting>
  <conditionalFormatting sqref="P3673">
    <cfRule type="cellIs" dxfId="6438" priority="21092" operator="equal">
      <formula>$J$135</formula>
    </cfRule>
  </conditionalFormatting>
  <conditionalFormatting sqref="G3673 P3673">
    <cfRule type="cellIs" dxfId="6437" priority="21091" operator="equal">
      <formula>#REF!</formula>
    </cfRule>
  </conditionalFormatting>
  <conditionalFormatting sqref="G3673">
    <cfRule type="top10" dxfId="6436" priority="21089" rank="1"/>
    <cfRule type="cellIs" dxfId="6435" priority="21090" operator="equal">
      <formula>$G$133</formula>
    </cfRule>
  </conditionalFormatting>
  <conditionalFormatting sqref="P3673">
    <cfRule type="top10" dxfId="6434" priority="21087" rank="1"/>
    <cfRule type="cellIs" dxfId="6433" priority="21088" operator="equal">
      <formula>$G$133</formula>
    </cfRule>
  </conditionalFormatting>
  <conditionalFormatting sqref="C3657:C3672">
    <cfRule type="containsText" dxfId="6432" priority="21083" operator="containsText" text="Short Buildup">
      <formula>NOT(ISERROR(SEARCH("Short Buildup",C3657)))</formula>
    </cfRule>
    <cfRule type="containsText" dxfId="6431" priority="21084" operator="containsText" text="Long Liquidation">
      <formula>NOT(ISERROR(SEARCH("Long Liquidation",C3657)))</formula>
    </cfRule>
    <cfRule type="containsText" dxfId="6430" priority="21085" operator="containsText" text="Short covering">
      <formula>NOT(ISERROR(SEARCH("Short covering",C3657)))</formula>
    </cfRule>
    <cfRule type="containsText" dxfId="6429" priority="21086" operator="containsText" text="Long Buildup">
      <formula>NOT(ISERROR(SEARCH("Long Buildup",C3657)))</formula>
    </cfRule>
  </conditionalFormatting>
  <conditionalFormatting sqref="H3673">
    <cfRule type="colorScale" priority="21078">
      <colorScale>
        <cfvo type="min"/>
        <cfvo type="percentile" val="20"/>
        <cfvo type="max"/>
        <color rgb="FF92D050"/>
        <color theme="5" tint="0.79998168889431442"/>
        <color rgb="FFFF0000"/>
      </colorScale>
    </cfRule>
    <cfRule type="colorScale" priority="21079">
      <colorScale>
        <cfvo type="min"/>
        <cfvo type="max"/>
        <color rgb="FFFF0000"/>
        <color rgb="FF92D050"/>
      </colorScale>
    </cfRule>
    <cfRule type="colorScale" priority="21080">
      <colorScale>
        <cfvo type="min"/>
        <cfvo type="percentile" val="50"/>
        <cfvo type="max"/>
        <color rgb="FF5A8AC6"/>
        <color rgb="FFFCFCFF"/>
        <color rgb="FFF8696B"/>
      </colorScale>
    </cfRule>
    <cfRule type="colorScale" priority="21081">
      <colorScale>
        <cfvo type="formula" val="&quot;&gt;20&quot;"/>
        <cfvo type="formula" val="35"/>
        <color rgb="FFF8696B"/>
        <color rgb="FFFCFCFF"/>
      </colorScale>
    </cfRule>
    <cfRule type="colorScale" priority="21082">
      <colorScale>
        <cfvo type="min"/>
        <cfvo type="max"/>
        <color rgb="FFFFEF9C"/>
        <color rgb="FF63BE7B"/>
      </colorScale>
    </cfRule>
  </conditionalFormatting>
  <conditionalFormatting sqref="N3673">
    <cfRule type="colorScale" priority="21073">
      <colorScale>
        <cfvo type="min"/>
        <cfvo type="percentile" val="20"/>
        <cfvo type="max"/>
        <color rgb="FF92D050"/>
        <color theme="5" tint="0.79998168889431442"/>
        <color rgb="FFFF0000"/>
      </colorScale>
    </cfRule>
    <cfRule type="colorScale" priority="21074">
      <colorScale>
        <cfvo type="min"/>
        <cfvo type="max"/>
        <color rgb="FFFF0000"/>
        <color rgb="FF92D050"/>
      </colorScale>
    </cfRule>
    <cfRule type="colorScale" priority="21075">
      <colorScale>
        <cfvo type="min"/>
        <cfvo type="percentile" val="50"/>
        <cfvo type="max"/>
        <color rgb="FF5A8AC6"/>
        <color rgb="FFFCFCFF"/>
        <color rgb="FFF8696B"/>
      </colorScale>
    </cfRule>
    <cfRule type="colorScale" priority="21076">
      <colorScale>
        <cfvo type="formula" val="&quot;&gt;20&quot;"/>
        <cfvo type="formula" val="35"/>
        <color rgb="FFF8696B"/>
        <color rgb="FFFCFCFF"/>
      </colorScale>
    </cfRule>
    <cfRule type="colorScale" priority="21077">
      <colorScale>
        <cfvo type="min"/>
        <cfvo type="max"/>
        <color rgb="FFFFEF9C"/>
        <color rgb="FF63BE7B"/>
      </colorScale>
    </cfRule>
  </conditionalFormatting>
  <conditionalFormatting sqref="S3657:S3673">
    <cfRule type="containsText" dxfId="6428" priority="21069" operator="containsText" text="Short Buildup">
      <formula>NOT(ISERROR(SEARCH("Short Buildup",S3657)))</formula>
    </cfRule>
    <cfRule type="containsText" dxfId="6427" priority="21070" operator="containsText" text="Long Liquidation">
      <formula>NOT(ISERROR(SEARCH("Long Liquidation",S3657)))</formula>
    </cfRule>
    <cfRule type="containsText" dxfId="6426" priority="21071" operator="containsText" text="Short covering">
      <formula>NOT(ISERROR(SEARCH("Short covering",S3657)))</formula>
    </cfRule>
    <cfRule type="containsText" dxfId="6425" priority="21072" operator="containsText" text="Long Buildup">
      <formula>NOT(ISERROR(SEARCH("Long Buildup",S3657)))</formula>
    </cfRule>
  </conditionalFormatting>
  <conditionalFormatting sqref="F3657:F3672">
    <cfRule type="dataBar" priority="21068">
      <dataBar>
        <cfvo type="min"/>
        <cfvo type="max"/>
        <color rgb="FFFF555A"/>
      </dataBar>
    </cfRule>
  </conditionalFormatting>
  <conditionalFormatting sqref="G3657:G3672">
    <cfRule type="dataBar" priority="21067">
      <dataBar>
        <cfvo type="min"/>
        <cfvo type="max"/>
        <color rgb="FFFF555A"/>
      </dataBar>
    </cfRule>
  </conditionalFormatting>
  <conditionalFormatting sqref="H3657">
    <cfRule type="dataBar" priority="21066">
      <dataBar>
        <cfvo type="min"/>
        <cfvo type="max"/>
        <color rgb="FFFF555A"/>
      </dataBar>
    </cfRule>
  </conditionalFormatting>
  <conditionalFormatting sqref="I3657">
    <cfRule type="dataBar" priority="21065">
      <dataBar>
        <cfvo type="min"/>
        <cfvo type="max"/>
        <color rgb="FFFF555A"/>
      </dataBar>
    </cfRule>
  </conditionalFormatting>
  <conditionalFormatting sqref="J3657">
    <cfRule type="dataBar" priority="21064">
      <dataBar>
        <cfvo type="min"/>
        <cfvo type="max"/>
        <color rgb="FFFF555A"/>
      </dataBar>
    </cfRule>
  </conditionalFormatting>
  <conditionalFormatting sqref="E3658:E3672">
    <cfRule type="dataBar" priority="21063">
      <dataBar>
        <cfvo type="min"/>
        <cfvo type="max"/>
        <color rgb="FFFF555A"/>
      </dataBar>
    </cfRule>
  </conditionalFormatting>
  <conditionalFormatting sqref="H3658:H3672">
    <cfRule type="dataBar" priority="21062">
      <dataBar>
        <cfvo type="min"/>
        <cfvo type="max"/>
        <color rgb="FFFF555A"/>
      </dataBar>
    </cfRule>
  </conditionalFormatting>
  <conditionalFormatting sqref="I3658:I3672">
    <cfRule type="dataBar" priority="21061">
      <dataBar>
        <cfvo type="min"/>
        <cfvo type="max"/>
        <color rgb="FFFF555A"/>
      </dataBar>
    </cfRule>
  </conditionalFormatting>
  <conditionalFormatting sqref="J3658:J3672">
    <cfRule type="dataBar" priority="21060">
      <dataBar>
        <cfvo type="min"/>
        <cfvo type="max"/>
        <color rgb="FFFF555A"/>
      </dataBar>
    </cfRule>
  </conditionalFormatting>
  <conditionalFormatting sqref="L3657:L3672">
    <cfRule type="dataBar" priority="21059">
      <dataBar>
        <cfvo type="min"/>
        <cfvo type="max"/>
        <color rgb="FFFF555A"/>
      </dataBar>
    </cfRule>
  </conditionalFormatting>
  <conditionalFormatting sqref="M3657:M3672">
    <cfRule type="dataBar" priority="21058">
      <dataBar>
        <cfvo type="min"/>
        <cfvo type="max"/>
        <color rgb="FFFF555A"/>
      </dataBar>
    </cfRule>
  </conditionalFormatting>
  <conditionalFormatting sqref="N3657:N3672">
    <cfRule type="dataBar" priority="21057">
      <dataBar>
        <cfvo type="min"/>
        <cfvo type="max"/>
        <color rgb="FFFF555A"/>
      </dataBar>
    </cfRule>
  </conditionalFormatting>
  <conditionalFormatting sqref="Q3657:Q3672">
    <cfRule type="dataBar" priority="21056">
      <dataBar>
        <cfvo type="min"/>
        <cfvo type="max"/>
        <color rgb="FFFF555A"/>
      </dataBar>
    </cfRule>
  </conditionalFormatting>
  <conditionalFormatting sqref="O3657:O3672">
    <cfRule type="dataBar" priority="21055">
      <dataBar>
        <cfvo type="min"/>
        <cfvo type="max"/>
        <color rgb="FFFF555A"/>
      </dataBar>
    </cfRule>
  </conditionalFormatting>
  <conditionalFormatting sqref="P3657:P3672">
    <cfRule type="dataBar" priority="21054">
      <dataBar>
        <cfvo type="min"/>
        <cfvo type="max"/>
        <color rgb="FFFF555A"/>
      </dataBar>
    </cfRule>
  </conditionalFormatting>
  <conditionalFormatting sqref="R3674:R3690 D3674:D3689 C3690">
    <cfRule type="containsText" dxfId="6424" priority="21053" operator="containsText" text="DOWN">
      <formula>NOT(ISERROR(SEARCH("DOWN",C3674)))</formula>
    </cfRule>
  </conditionalFormatting>
  <conditionalFormatting sqref="R3674:R3690 D3674:D3689 C3690">
    <cfRule type="containsText" dxfId="6423" priority="21052" operator="containsText" text="UP">
      <formula>NOT(ISERROR(SEARCH("UP",C3674)))</formula>
    </cfRule>
  </conditionalFormatting>
  <conditionalFormatting sqref="I3690">
    <cfRule type="colorScale" priority="21051">
      <colorScale>
        <cfvo type="min"/>
        <cfvo type="max"/>
        <color rgb="FFFFEF9C"/>
        <color rgb="FF63BE7B"/>
      </colorScale>
    </cfRule>
  </conditionalFormatting>
  <conditionalFormatting sqref="M3690">
    <cfRule type="colorScale" priority="21050">
      <colorScale>
        <cfvo type="min"/>
        <cfvo type="max"/>
        <color rgb="FFFF7128"/>
        <color rgb="FFFFEF9C"/>
      </colorScale>
    </cfRule>
  </conditionalFormatting>
  <conditionalFormatting sqref="Q3690">
    <cfRule type="dataBar" priority="21049">
      <dataBar>
        <cfvo type="min"/>
        <cfvo type="max"/>
        <color rgb="FFFF555A"/>
      </dataBar>
    </cfRule>
  </conditionalFormatting>
  <conditionalFormatting sqref="E3674:E3690">
    <cfRule type="dataBar" priority="21048">
      <dataBar>
        <cfvo type="min"/>
        <cfvo type="max"/>
        <color rgb="FFFF555A"/>
      </dataBar>
    </cfRule>
  </conditionalFormatting>
  <conditionalFormatting sqref="F3690">
    <cfRule type="top10" dxfId="6422" priority="21047" rank="1"/>
  </conditionalFormatting>
  <conditionalFormatting sqref="G3690 P3690">
    <cfRule type="cellIs" dxfId="6421" priority="21046" operator="equal">
      <formula>$G$135</formula>
    </cfRule>
  </conditionalFormatting>
  <conditionalFormatting sqref="P3690">
    <cfRule type="cellIs" dxfId="6420" priority="21045" operator="equal">
      <formula>$J$135</formula>
    </cfRule>
  </conditionalFormatting>
  <conditionalFormatting sqref="G3690 P3690">
    <cfRule type="cellIs" dxfId="6419" priority="21044" operator="equal">
      <formula>#REF!</formula>
    </cfRule>
  </conditionalFormatting>
  <conditionalFormatting sqref="G3690">
    <cfRule type="top10" dxfId="6418" priority="21042" rank="1"/>
    <cfRule type="cellIs" dxfId="6417" priority="21043" operator="equal">
      <formula>$G$133</formula>
    </cfRule>
  </conditionalFormatting>
  <conditionalFormatting sqref="P3690">
    <cfRule type="top10" dxfId="6416" priority="21040" rank="1"/>
    <cfRule type="cellIs" dxfId="6415" priority="21041" operator="equal">
      <formula>$G$133</formula>
    </cfRule>
  </conditionalFormatting>
  <conditionalFormatting sqref="C3674:C3689">
    <cfRule type="containsText" dxfId="6414" priority="21036" operator="containsText" text="Short Buildup">
      <formula>NOT(ISERROR(SEARCH("Short Buildup",C3674)))</formula>
    </cfRule>
    <cfRule type="containsText" dxfId="6413" priority="21037" operator="containsText" text="Long Liquidation">
      <formula>NOT(ISERROR(SEARCH("Long Liquidation",C3674)))</formula>
    </cfRule>
    <cfRule type="containsText" dxfId="6412" priority="21038" operator="containsText" text="Short covering">
      <formula>NOT(ISERROR(SEARCH("Short covering",C3674)))</formula>
    </cfRule>
    <cfRule type="containsText" dxfId="6411" priority="21039" operator="containsText" text="Long Buildup">
      <formula>NOT(ISERROR(SEARCH("Long Buildup",C3674)))</formula>
    </cfRule>
  </conditionalFormatting>
  <conditionalFormatting sqref="H3690">
    <cfRule type="colorScale" priority="21031">
      <colorScale>
        <cfvo type="min"/>
        <cfvo type="percentile" val="20"/>
        <cfvo type="max"/>
        <color rgb="FF92D050"/>
        <color theme="5" tint="0.79998168889431442"/>
        <color rgb="FFFF0000"/>
      </colorScale>
    </cfRule>
    <cfRule type="colorScale" priority="21032">
      <colorScale>
        <cfvo type="min"/>
        <cfvo type="max"/>
        <color rgb="FFFF0000"/>
        <color rgb="FF92D050"/>
      </colorScale>
    </cfRule>
    <cfRule type="colorScale" priority="21033">
      <colorScale>
        <cfvo type="min"/>
        <cfvo type="percentile" val="50"/>
        <cfvo type="max"/>
        <color rgb="FF5A8AC6"/>
        <color rgb="FFFCFCFF"/>
        <color rgb="FFF8696B"/>
      </colorScale>
    </cfRule>
    <cfRule type="colorScale" priority="21034">
      <colorScale>
        <cfvo type="formula" val="&quot;&gt;20&quot;"/>
        <cfvo type="formula" val="35"/>
        <color rgb="FFF8696B"/>
        <color rgb="FFFCFCFF"/>
      </colorScale>
    </cfRule>
    <cfRule type="colorScale" priority="21035">
      <colorScale>
        <cfvo type="min"/>
        <cfvo type="max"/>
        <color rgb="FFFFEF9C"/>
        <color rgb="FF63BE7B"/>
      </colorScale>
    </cfRule>
  </conditionalFormatting>
  <conditionalFormatting sqref="N3690">
    <cfRule type="colorScale" priority="21026">
      <colorScale>
        <cfvo type="min"/>
        <cfvo type="percentile" val="20"/>
        <cfvo type="max"/>
        <color rgb="FF92D050"/>
        <color theme="5" tint="0.79998168889431442"/>
        <color rgb="FFFF0000"/>
      </colorScale>
    </cfRule>
    <cfRule type="colorScale" priority="21027">
      <colorScale>
        <cfvo type="min"/>
        <cfvo type="max"/>
        <color rgb="FFFF0000"/>
        <color rgb="FF92D050"/>
      </colorScale>
    </cfRule>
    <cfRule type="colorScale" priority="21028">
      <colorScale>
        <cfvo type="min"/>
        <cfvo type="percentile" val="50"/>
        <cfvo type="max"/>
        <color rgb="FF5A8AC6"/>
        <color rgb="FFFCFCFF"/>
        <color rgb="FFF8696B"/>
      </colorScale>
    </cfRule>
    <cfRule type="colorScale" priority="21029">
      <colorScale>
        <cfvo type="formula" val="&quot;&gt;20&quot;"/>
        <cfvo type="formula" val="35"/>
        <color rgb="FFF8696B"/>
        <color rgb="FFFCFCFF"/>
      </colorScale>
    </cfRule>
    <cfRule type="colorScale" priority="21030">
      <colorScale>
        <cfvo type="min"/>
        <cfvo type="max"/>
        <color rgb="FFFFEF9C"/>
        <color rgb="FF63BE7B"/>
      </colorScale>
    </cfRule>
  </conditionalFormatting>
  <conditionalFormatting sqref="S3674:S3690">
    <cfRule type="containsText" dxfId="6410" priority="21022" operator="containsText" text="Short Buildup">
      <formula>NOT(ISERROR(SEARCH("Short Buildup",S3674)))</formula>
    </cfRule>
    <cfRule type="containsText" dxfId="6409" priority="21023" operator="containsText" text="Long Liquidation">
      <formula>NOT(ISERROR(SEARCH("Long Liquidation",S3674)))</formula>
    </cfRule>
    <cfRule type="containsText" dxfId="6408" priority="21024" operator="containsText" text="Short covering">
      <formula>NOT(ISERROR(SEARCH("Short covering",S3674)))</formula>
    </cfRule>
    <cfRule type="containsText" dxfId="6407" priority="21025" operator="containsText" text="Long Buildup">
      <formula>NOT(ISERROR(SEARCH("Long Buildup",S3674)))</formula>
    </cfRule>
  </conditionalFormatting>
  <conditionalFormatting sqref="F3674:F3689">
    <cfRule type="dataBar" priority="21021">
      <dataBar>
        <cfvo type="min"/>
        <cfvo type="max"/>
        <color rgb="FFFF555A"/>
      </dataBar>
    </cfRule>
  </conditionalFormatting>
  <conditionalFormatting sqref="G3674:G3689">
    <cfRule type="dataBar" priority="21020">
      <dataBar>
        <cfvo type="min"/>
        <cfvo type="max"/>
        <color rgb="FFFF555A"/>
      </dataBar>
    </cfRule>
  </conditionalFormatting>
  <conditionalFormatting sqref="H3674">
    <cfRule type="dataBar" priority="21019">
      <dataBar>
        <cfvo type="min"/>
        <cfvo type="max"/>
        <color rgb="FFFF555A"/>
      </dataBar>
    </cfRule>
  </conditionalFormatting>
  <conditionalFormatting sqref="I3674">
    <cfRule type="dataBar" priority="21018">
      <dataBar>
        <cfvo type="min"/>
        <cfvo type="max"/>
        <color rgb="FFFF555A"/>
      </dataBar>
    </cfRule>
  </conditionalFormatting>
  <conditionalFormatting sqref="J3674">
    <cfRule type="dataBar" priority="21017">
      <dataBar>
        <cfvo type="min"/>
        <cfvo type="max"/>
        <color rgb="FFFF555A"/>
      </dataBar>
    </cfRule>
  </conditionalFormatting>
  <conditionalFormatting sqref="E3675:E3689">
    <cfRule type="dataBar" priority="21016">
      <dataBar>
        <cfvo type="min"/>
        <cfvo type="max"/>
        <color rgb="FFFF555A"/>
      </dataBar>
    </cfRule>
  </conditionalFormatting>
  <conditionalFormatting sqref="H3675:H3689">
    <cfRule type="dataBar" priority="21015">
      <dataBar>
        <cfvo type="min"/>
        <cfvo type="max"/>
        <color rgb="FFFF555A"/>
      </dataBar>
    </cfRule>
  </conditionalFormatting>
  <conditionalFormatting sqref="I3675:I3689">
    <cfRule type="dataBar" priority="21014">
      <dataBar>
        <cfvo type="min"/>
        <cfvo type="max"/>
        <color rgb="FFFF555A"/>
      </dataBar>
    </cfRule>
  </conditionalFormatting>
  <conditionalFormatting sqref="J3675:J3689">
    <cfRule type="dataBar" priority="21013">
      <dataBar>
        <cfvo type="min"/>
        <cfvo type="max"/>
        <color rgb="FFFF555A"/>
      </dataBar>
    </cfRule>
  </conditionalFormatting>
  <conditionalFormatting sqref="L3674:L3689">
    <cfRule type="dataBar" priority="21012">
      <dataBar>
        <cfvo type="min"/>
        <cfvo type="max"/>
        <color rgb="FFFF555A"/>
      </dataBar>
    </cfRule>
  </conditionalFormatting>
  <conditionalFormatting sqref="M3674:M3689">
    <cfRule type="dataBar" priority="21011">
      <dataBar>
        <cfvo type="min"/>
        <cfvo type="max"/>
        <color rgb="FFFF555A"/>
      </dataBar>
    </cfRule>
  </conditionalFormatting>
  <conditionalFormatting sqref="N3674:N3689">
    <cfRule type="dataBar" priority="21010">
      <dataBar>
        <cfvo type="min"/>
        <cfvo type="max"/>
        <color rgb="FFFF555A"/>
      </dataBar>
    </cfRule>
  </conditionalFormatting>
  <conditionalFormatting sqref="Q3674:Q3689">
    <cfRule type="dataBar" priority="21009">
      <dataBar>
        <cfvo type="min"/>
        <cfvo type="max"/>
        <color rgb="FFFF555A"/>
      </dataBar>
    </cfRule>
  </conditionalFormatting>
  <conditionalFormatting sqref="O3674:O3689">
    <cfRule type="dataBar" priority="21008">
      <dataBar>
        <cfvo type="min"/>
        <cfvo type="max"/>
        <color rgb="FFFF555A"/>
      </dataBar>
    </cfRule>
  </conditionalFormatting>
  <conditionalFormatting sqref="P3674:P3689">
    <cfRule type="dataBar" priority="21007">
      <dataBar>
        <cfvo type="min"/>
        <cfvo type="max"/>
        <color rgb="FFFF555A"/>
      </dataBar>
    </cfRule>
  </conditionalFormatting>
  <conditionalFormatting sqref="R3691:R3707 D3691:D3706 C3707">
    <cfRule type="containsText" dxfId="6406" priority="21006" operator="containsText" text="DOWN">
      <formula>NOT(ISERROR(SEARCH("DOWN",C3691)))</formula>
    </cfRule>
  </conditionalFormatting>
  <conditionalFormatting sqref="R3691:R3707 D3691:D3706 C3707">
    <cfRule type="containsText" dxfId="6405" priority="21005" operator="containsText" text="UP">
      <formula>NOT(ISERROR(SEARCH("UP",C3691)))</formula>
    </cfRule>
  </conditionalFormatting>
  <conditionalFormatting sqref="I3707">
    <cfRule type="colorScale" priority="21004">
      <colorScale>
        <cfvo type="min"/>
        <cfvo type="max"/>
        <color rgb="FFFFEF9C"/>
        <color rgb="FF63BE7B"/>
      </colorScale>
    </cfRule>
  </conditionalFormatting>
  <conditionalFormatting sqref="M3707">
    <cfRule type="colorScale" priority="21003">
      <colorScale>
        <cfvo type="min"/>
        <cfvo type="max"/>
        <color rgb="FFFF7128"/>
        <color rgb="FFFFEF9C"/>
      </colorScale>
    </cfRule>
  </conditionalFormatting>
  <conditionalFormatting sqref="Q3707">
    <cfRule type="dataBar" priority="21002">
      <dataBar>
        <cfvo type="min"/>
        <cfvo type="max"/>
        <color rgb="FFFF555A"/>
      </dataBar>
    </cfRule>
  </conditionalFormatting>
  <conditionalFormatting sqref="E3691:E3707">
    <cfRule type="dataBar" priority="21001">
      <dataBar>
        <cfvo type="min"/>
        <cfvo type="max"/>
        <color rgb="FFFF555A"/>
      </dataBar>
    </cfRule>
  </conditionalFormatting>
  <conditionalFormatting sqref="F3707">
    <cfRule type="top10" dxfId="6404" priority="21000" rank="1"/>
  </conditionalFormatting>
  <conditionalFormatting sqref="G3707 P3707">
    <cfRule type="cellIs" dxfId="6403" priority="20999" operator="equal">
      <formula>$G$135</formula>
    </cfRule>
  </conditionalFormatting>
  <conditionalFormatting sqref="P3707">
    <cfRule type="cellIs" dxfId="6402" priority="20998" operator="equal">
      <formula>$J$135</formula>
    </cfRule>
  </conditionalFormatting>
  <conditionalFormatting sqref="G3707 P3707">
    <cfRule type="cellIs" dxfId="6401" priority="20997" operator="equal">
      <formula>#REF!</formula>
    </cfRule>
  </conditionalFormatting>
  <conditionalFormatting sqref="G3707">
    <cfRule type="top10" dxfId="6400" priority="20995" rank="1"/>
    <cfRule type="cellIs" dxfId="6399" priority="20996" operator="equal">
      <formula>$G$133</formula>
    </cfRule>
  </conditionalFormatting>
  <conditionalFormatting sqref="P3707">
    <cfRule type="top10" dxfId="6398" priority="20993" rank="1"/>
    <cfRule type="cellIs" dxfId="6397" priority="20994" operator="equal">
      <formula>$G$133</formula>
    </cfRule>
  </conditionalFormatting>
  <conditionalFormatting sqref="C3691:C3706">
    <cfRule type="containsText" dxfId="6396" priority="20989" operator="containsText" text="Short Buildup">
      <formula>NOT(ISERROR(SEARCH("Short Buildup",C3691)))</formula>
    </cfRule>
    <cfRule type="containsText" dxfId="6395" priority="20990" operator="containsText" text="Long Liquidation">
      <formula>NOT(ISERROR(SEARCH("Long Liquidation",C3691)))</formula>
    </cfRule>
    <cfRule type="containsText" dxfId="6394" priority="20991" operator="containsText" text="Short covering">
      <formula>NOT(ISERROR(SEARCH("Short covering",C3691)))</formula>
    </cfRule>
    <cfRule type="containsText" dxfId="6393" priority="20992" operator="containsText" text="Long Buildup">
      <formula>NOT(ISERROR(SEARCH("Long Buildup",C3691)))</formula>
    </cfRule>
  </conditionalFormatting>
  <conditionalFormatting sqref="H3707">
    <cfRule type="colorScale" priority="20984">
      <colorScale>
        <cfvo type="min"/>
        <cfvo type="percentile" val="20"/>
        <cfvo type="max"/>
        <color rgb="FF92D050"/>
        <color theme="5" tint="0.79998168889431442"/>
        <color rgb="FFFF0000"/>
      </colorScale>
    </cfRule>
    <cfRule type="colorScale" priority="20985">
      <colorScale>
        <cfvo type="min"/>
        <cfvo type="max"/>
        <color rgb="FFFF0000"/>
        <color rgb="FF92D050"/>
      </colorScale>
    </cfRule>
    <cfRule type="colorScale" priority="20986">
      <colorScale>
        <cfvo type="min"/>
        <cfvo type="percentile" val="50"/>
        <cfvo type="max"/>
        <color rgb="FF5A8AC6"/>
        <color rgb="FFFCFCFF"/>
        <color rgb="FFF8696B"/>
      </colorScale>
    </cfRule>
    <cfRule type="colorScale" priority="20987">
      <colorScale>
        <cfvo type="formula" val="&quot;&gt;20&quot;"/>
        <cfvo type="formula" val="35"/>
        <color rgb="FFF8696B"/>
        <color rgb="FFFCFCFF"/>
      </colorScale>
    </cfRule>
    <cfRule type="colorScale" priority="20988">
      <colorScale>
        <cfvo type="min"/>
        <cfvo type="max"/>
        <color rgb="FFFFEF9C"/>
        <color rgb="FF63BE7B"/>
      </colorScale>
    </cfRule>
  </conditionalFormatting>
  <conditionalFormatting sqref="N3707">
    <cfRule type="colorScale" priority="20979">
      <colorScale>
        <cfvo type="min"/>
        <cfvo type="percentile" val="20"/>
        <cfvo type="max"/>
        <color rgb="FF92D050"/>
        <color theme="5" tint="0.79998168889431442"/>
        <color rgb="FFFF0000"/>
      </colorScale>
    </cfRule>
    <cfRule type="colorScale" priority="20980">
      <colorScale>
        <cfvo type="min"/>
        <cfvo type="max"/>
        <color rgb="FFFF0000"/>
        <color rgb="FF92D050"/>
      </colorScale>
    </cfRule>
    <cfRule type="colorScale" priority="20981">
      <colorScale>
        <cfvo type="min"/>
        <cfvo type="percentile" val="50"/>
        <cfvo type="max"/>
        <color rgb="FF5A8AC6"/>
        <color rgb="FFFCFCFF"/>
        <color rgb="FFF8696B"/>
      </colorScale>
    </cfRule>
    <cfRule type="colorScale" priority="20982">
      <colorScale>
        <cfvo type="formula" val="&quot;&gt;20&quot;"/>
        <cfvo type="formula" val="35"/>
        <color rgb="FFF8696B"/>
        <color rgb="FFFCFCFF"/>
      </colorScale>
    </cfRule>
    <cfRule type="colorScale" priority="20983">
      <colorScale>
        <cfvo type="min"/>
        <cfvo type="max"/>
        <color rgb="FFFFEF9C"/>
        <color rgb="FF63BE7B"/>
      </colorScale>
    </cfRule>
  </conditionalFormatting>
  <conditionalFormatting sqref="S3691:S3707">
    <cfRule type="containsText" dxfId="6392" priority="20975" operator="containsText" text="Short Buildup">
      <formula>NOT(ISERROR(SEARCH("Short Buildup",S3691)))</formula>
    </cfRule>
    <cfRule type="containsText" dxfId="6391" priority="20976" operator="containsText" text="Long Liquidation">
      <formula>NOT(ISERROR(SEARCH("Long Liquidation",S3691)))</formula>
    </cfRule>
    <cfRule type="containsText" dxfId="6390" priority="20977" operator="containsText" text="Short covering">
      <formula>NOT(ISERROR(SEARCH("Short covering",S3691)))</formula>
    </cfRule>
    <cfRule type="containsText" dxfId="6389" priority="20978" operator="containsText" text="Long Buildup">
      <formula>NOT(ISERROR(SEARCH("Long Buildup",S3691)))</formula>
    </cfRule>
  </conditionalFormatting>
  <conditionalFormatting sqref="F3691:F3706">
    <cfRule type="dataBar" priority="20974">
      <dataBar>
        <cfvo type="min"/>
        <cfvo type="max"/>
        <color rgb="FFFF555A"/>
      </dataBar>
    </cfRule>
  </conditionalFormatting>
  <conditionalFormatting sqref="G3691:G3706">
    <cfRule type="dataBar" priority="20973">
      <dataBar>
        <cfvo type="min"/>
        <cfvo type="max"/>
        <color rgb="FFFF555A"/>
      </dataBar>
    </cfRule>
  </conditionalFormatting>
  <conditionalFormatting sqref="H3691">
    <cfRule type="dataBar" priority="20972">
      <dataBar>
        <cfvo type="min"/>
        <cfvo type="max"/>
        <color rgb="FFFF555A"/>
      </dataBar>
    </cfRule>
  </conditionalFormatting>
  <conditionalFormatting sqref="I3691">
    <cfRule type="dataBar" priority="20971">
      <dataBar>
        <cfvo type="min"/>
        <cfvo type="max"/>
        <color rgb="FFFF555A"/>
      </dataBar>
    </cfRule>
  </conditionalFormatting>
  <conditionalFormatting sqref="J3691">
    <cfRule type="dataBar" priority="20970">
      <dataBar>
        <cfvo type="min"/>
        <cfvo type="max"/>
        <color rgb="FFFF555A"/>
      </dataBar>
    </cfRule>
  </conditionalFormatting>
  <conditionalFormatting sqref="E3692:E3706">
    <cfRule type="dataBar" priority="20969">
      <dataBar>
        <cfvo type="min"/>
        <cfvo type="max"/>
        <color rgb="FFFF555A"/>
      </dataBar>
    </cfRule>
  </conditionalFormatting>
  <conditionalFormatting sqref="H3692:H3706">
    <cfRule type="dataBar" priority="20968">
      <dataBar>
        <cfvo type="min"/>
        <cfvo type="max"/>
        <color rgb="FFFF555A"/>
      </dataBar>
    </cfRule>
  </conditionalFormatting>
  <conditionalFormatting sqref="I3692:I3706">
    <cfRule type="dataBar" priority="20967">
      <dataBar>
        <cfvo type="min"/>
        <cfvo type="max"/>
        <color rgb="FFFF555A"/>
      </dataBar>
    </cfRule>
  </conditionalFormatting>
  <conditionalFormatting sqref="J3692:J3706">
    <cfRule type="dataBar" priority="20966">
      <dataBar>
        <cfvo type="min"/>
        <cfvo type="max"/>
        <color rgb="FFFF555A"/>
      </dataBar>
    </cfRule>
  </conditionalFormatting>
  <conditionalFormatting sqref="L3691:L3706">
    <cfRule type="dataBar" priority="20965">
      <dataBar>
        <cfvo type="min"/>
        <cfvo type="max"/>
        <color rgb="FFFF555A"/>
      </dataBar>
    </cfRule>
  </conditionalFormatting>
  <conditionalFormatting sqref="M3691:M3706">
    <cfRule type="dataBar" priority="20964">
      <dataBar>
        <cfvo type="min"/>
        <cfvo type="max"/>
        <color rgb="FFFF555A"/>
      </dataBar>
    </cfRule>
  </conditionalFormatting>
  <conditionalFormatting sqref="N3691:N3706">
    <cfRule type="dataBar" priority="20963">
      <dataBar>
        <cfvo type="min"/>
        <cfvo type="max"/>
        <color rgb="FFFF555A"/>
      </dataBar>
    </cfRule>
  </conditionalFormatting>
  <conditionalFormatting sqref="Q3691:Q3706">
    <cfRule type="dataBar" priority="20962">
      <dataBar>
        <cfvo type="min"/>
        <cfvo type="max"/>
        <color rgb="FFFF555A"/>
      </dataBar>
    </cfRule>
  </conditionalFormatting>
  <conditionalFormatting sqref="O3691:O3706">
    <cfRule type="dataBar" priority="20961">
      <dataBar>
        <cfvo type="min"/>
        <cfvo type="max"/>
        <color rgb="FFFF555A"/>
      </dataBar>
    </cfRule>
  </conditionalFormatting>
  <conditionalFormatting sqref="P3691:P3706">
    <cfRule type="dataBar" priority="20960">
      <dataBar>
        <cfvo type="min"/>
        <cfvo type="max"/>
        <color rgb="FFFF555A"/>
      </dataBar>
    </cfRule>
  </conditionalFormatting>
  <conditionalFormatting sqref="R3708:R3724 D3708:D3723 C3724">
    <cfRule type="containsText" dxfId="6388" priority="20959" operator="containsText" text="DOWN">
      <formula>NOT(ISERROR(SEARCH("DOWN",C3708)))</formula>
    </cfRule>
  </conditionalFormatting>
  <conditionalFormatting sqref="R3708:R3724 D3708:D3723 C3724">
    <cfRule type="containsText" dxfId="6387" priority="20958" operator="containsText" text="UP">
      <formula>NOT(ISERROR(SEARCH("UP",C3708)))</formula>
    </cfRule>
  </conditionalFormatting>
  <conditionalFormatting sqref="I3724">
    <cfRule type="colorScale" priority="20957">
      <colorScale>
        <cfvo type="min"/>
        <cfvo type="max"/>
        <color rgb="FFFFEF9C"/>
        <color rgb="FF63BE7B"/>
      </colorScale>
    </cfRule>
  </conditionalFormatting>
  <conditionalFormatting sqref="M3724">
    <cfRule type="colorScale" priority="20956">
      <colorScale>
        <cfvo type="min"/>
        <cfvo type="max"/>
        <color rgb="FFFF7128"/>
        <color rgb="FFFFEF9C"/>
      </colorScale>
    </cfRule>
  </conditionalFormatting>
  <conditionalFormatting sqref="Q3724">
    <cfRule type="dataBar" priority="20955">
      <dataBar>
        <cfvo type="min"/>
        <cfvo type="max"/>
        <color rgb="FFFF555A"/>
      </dataBar>
    </cfRule>
  </conditionalFormatting>
  <conditionalFormatting sqref="E3708:E3724">
    <cfRule type="dataBar" priority="20954">
      <dataBar>
        <cfvo type="min"/>
        <cfvo type="max"/>
        <color rgb="FFFF555A"/>
      </dataBar>
    </cfRule>
  </conditionalFormatting>
  <conditionalFormatting sqref="F3724">
    <cfRule type="top10" dxfId="6386" priority="20953" rank="1"/>
  </conditionalFormatting>
  <conditionalFormatting sqref="G3724 P3724">
    <cfRule type="cellIs" dxfId="6385" priority="20952" operator="equal">
      <formula>$G$135</formula>
    </cfRule>
  </conditionalFormatting>
  <conditionalFormatting sqref="P3724">
    <cfRule type="cellIs" dxfId="6384" priority="20951" operator="equal">
      <formula>$J$135</formula>
    </cfRule>
  </conditionalFormatting>
  <conditionalFormatting sqref="G3724 P3724">
    <cfRule type="cellIs" dxfId="6383" priority="20950" operator="equal">
      <formula>#REF!</formula>
    </cfRule>
  </conditionalFormatting>
  <conditionalFormatting sqref="G3724">
    <cfRule type="top10" dxfId="6382" priority="20948" rank="1"/>
    <cfRule type="cellIs" dxfId="6381" priority="20949" operator="equal">
      <formula>$G$133</formula>
    </cfRule>
  </conditionalFormatting>
  <conditionalFormatting sqref="P3724">
    <cfRule type="top10" dxfId="6380" priority="20946" rank="1"/>
    <cfRule type="cellIs" dxfId="6379" priority="20947" operator="equal">
      <formula>$G$133</formula>
    </cfRule>
  </conditionalFormatting>
  <conditionalFormatting sqref="C3708:C3723">
    <cfRule type="containsText" dxfId="6378" priority="20942" operator="containsText" text="Short Buildup">
      <formula>NOT(ISERROR(SEARCH("Short Buildup",C3708)))</formula>
    </cfRule>
    <cfRule type="containsText" dxfId="6377" priority="20943" operator="containsText" text="Long Liquidation">
      <formula>NOT(ISERROR(SEARCH("Long Liquidation",C3708)))</formula>
    </cfRule>
    <cfRule type="containsText" dxfId="6376" priority="20944" operator="containsText" text="Short covering">
      <formula>NOT(ISERROR(SEARCH("Short covering",C3708)))</formula>
    </cfRule>
    <cfRule type="containsText" dxfId="6375" priority="20945" operator="containsText" text="Long Buildup">
      <formula>NOT(ISERROR(SEARCH("Long Buildup",C3708)))</formula>
    </cfRule>
  </conditionalFormatting>
  <conditionalFormatting sqref="H3724">
    <cfRule type="colorScale" priority="20937">
      <colorScale>
        <cfvo type="min"/>
        <cfvo type="percentile" val="20"/>
        <cfvo type="max"/>
        <color rgb="FF92D050"/>
        <color theme="5" tint="0.79998168889431442"/>
        <color rgb="FFFF0000"/>
      </colorScale>
    </cfRule>
    <cfRule type="colorScale" priority="20938">
      <colorScale>
        <cfvo type="min"/>
        <cfvo type="max"/>
        <color rgb="FFFF0000"/>
        <color rgb="FF92D050"/>
      </colorScale>
    </cfRule>
    <cfRule type="colorScale" priority="20939">
      <colorScale>
        <cfvo type="min"/>
        <cfvo type="percentile" val="50"/>
        <cfvo type="max"/>
        <color rgb="FF5A8AC6"/>
        <color rgb="FFFCFCFF"/>
        <color rgb="FFF8696B"/>
      </colorScale>
    </cfRule>
    <cfRule type="colorScale" priority="20940">
      <colorScale>
        <cfvo type="formula" val="&quot;&gt;20&quot;"/>
        <cfvo type="formula" val="35"/>
        <color rgb="FFF8696B"/>
        <color rgb="FFFCFCFF"/>
      </colorScale>
    </cfRule>
    <cfRule type="colorScale" priority="20941">
      <colorScale>
        <cfvo type="min"/>
        <cfvo type="max"/>
        <color rgb="FFFFEF9C"/>
        <color rgb="FF63BE7B"/>
      </colorScale>
    </cfRule>
  </conditionalFormatting>
  <conditionalFormatting sqref="N3724">
    <cfRule type="colorScale" priority="20932">
      <colorScale>
        <cfvo type="min"/>
        <cfvo type="percentile" val="20"/>
        <cfvo type="max"/>
        <color rgb="FF92D050"/>
        <color theme="5" tint="0.79998168889431442"/>
        <color rgb="FFFF0000"/>
      </colorScale>
    </cfRule>
    <cfRule type="colorScale" priority="20933">
      <colorScale>
        <cfvo type="min"/>
        <cfvo type="max"/>
        <color rgb="FFFF0000"/>
        <color rgb="FF92D050"/>
      </colorScale>
    </cfRule>
    <cfRule type="colorScale" priority="20934">
      <colorScale>
        <cfvo type="min"/>
        <cfvo type="percentile" val="50"/>
        <cfvo type="max"/>
        <color rgb="FF5A8AC6"/>
        <color rgb="FFFCFCFF"/>
        <color rgb="FFF8696B"/>
      </colorScale>
    </cfRule>
    <cfRule type="colorScale" priority="20935">
      <colorScale>
        <cfvo type="formula" val="&quot;&gt;20&quot;"/>
        <cfvo type="formula" val="35"/>
        <color rgb="FFF8696B"/>
        <color rgb="FFFCFCFF"/>
      </colorScale>
    </cfRule>
    <cfRule type="colorScale" priority="20936">
      <colorScale>
        <cfvo type="min"/>
        <cfvo type="max"/>
        <color rgb="FFFFEF9C"/>
        <color rgb="FF63BE7B"/>
      </colorScale>
    </cfRule>
  </conditionalFormatting>
  <conditionalFormatting sqref="S3708:S3724">
    <cfRule type="containsText" dxfId="6374" priority="20928" operator="containsText" text="Short Buildup">
      <formula>NOT(ISERROR(SEARCH("Short Buildup",S3708)))</formula>
    </cfRule>
    <cfRule type="containsText" dxfId="6373" priority="20929" operator="containsText" text="Long Liquidation">
      <formula>NOT(ISERROR(SEARCH("Long Liquidation",S3708)))</formula>
    </cfRule>
    <cfRule type="containsText" dxfId="6372" priority="20930" operator="containsText" text="Short covering">
      <formula>NOT(ISERROR(SEARCH("Short covering",S3708)))</formula>
    </cfRule>
    <cfRule type="containsText" dxfId="6371" priority="20931" operator="containsText" text="Long Buildup">
      <formula>NOT(ISERROR(SEARCH("Long Buildup",S3708)))</formula>
    </cfRule>
  </conditionalFormatting>
  <conditionalFormatting sqref="F3708:F3723">
    <cfRule type="dataBar" priority="20927">
      <dataBar>
        <cfvo type="min"/>
        <cfvo type="max"/>
        <color rgb="FFFF555A"/>
      </dataBar>
    </cfRule>
  </conditionalFormatting>
  <conditionalFormatting sqref="G3708:G3723">
    <cfRule type="dataBar" priority="20926">
      <dataBar>
        <cfvo type="min"/>
        <cfvo type="max"/>
        <color rgb="FFFF555A"/>
      </dataBar>
    </cfRule>
  </conditionalFormatting>
  <conditionalFormatting sqref="H3708">
    <cfRule type="dataBar" priority="20925">
      <dataBar>
        <cfvo type="min"/>
        <cfvo type="max"/>
        <color rgb="FFFF555A"/>
      </dataBar>
    </cfRule>
  </conditionalFormatting>
  <conditionalFormatting sqref="I3708">
    <cfRule type="dataBar" priority="20924">
      <dataBar>
        <cfvo type="min"/>
        <cfvo type="max"/>
        <color rgb="FFFF555A"/>
      </dataBar>
    </cfRule>
  </conditionalFormatting>
  <conditionalFormatting sqref="J3708">
    <cfRule type="dataBar" priority="20923">
      <dataBar>
        <cfvo type="min"/>
        <cfvo type="max"/>
        <color rgb="FFFF555A"/>
      </dataBar>
    </cfRule>
  </conditionalFormatting>
  <conditionalFormatting sqref="E3709:E3723">
    <cfRule type="dataBar" priority="20922">
      <dataBar>
        <cfvo type="min"/>
        <cfvo type="max"/>
        <color rgb="FFFF555A"/>
      </dataBar>
    </cfRule>
  </conditionalFormatting>
  <conditionalFormatting sqref="H3709:H3723">
    <cfRule type="dataBar" priority="20921">
      <dataBar>
        <cfvo type="min"/>
        <cfvo type="max"/>
        <color rgb="FFFF555A"/>
      </dataBar>
    </cfRule>
  </conditionalFormatting>
  <conditionalFormatting sqref="I3709:I3723">
    <cfRule type="dataBar" priority="20920">
      <dataBar>
        <cfvo type="min"/>
        <cfvo type="max"/>
        <color rgb="FFFF555A"/>
      </dataBar>
    </cfRule>
  </conditionalFormatting>
  <conditionalFormatting sqref="J3709:J3723">
    <cfRule type="dataBar" priority="20919">
      <dataBar>
        <cfvo type="min"/>
        <cfvo type="max"/>
        <color rgb="FFFF555A"/>
      </dataBar>
    </cfRule>
  </conditionalFormatting>
  <conditionalFormatting sqref="L3708:L3723">
    <cfRule type="dataBar" priority="20918">
      <dataBar>
        <cfvo type="min"/>
        <cfvo type="max"/>
        <color rgb="FFFF555A"/>
      </dataBar>
    </cfRule>
  </conditionalFormatting>
  <conditionalFormatting sqref="M3708:M3723">
    <cfRule type="dataBar" priority="20917">
      <dataBar>
        <cfvo type="min"/>
        <cfvo type="max"/>
        <color rgb="FFFF555A"/>
      </dataBar>
    </cfRule>
  </conditionalFormatting>
  <conditionalFormatting sqref="N3708:N3723">
    <cfRule type="dataBar" priority="20916">
      <dataBar>
        <cfvo type="min"/>
        <cfvo type="max"/>
        <color rgb="FFFF555A"/>
      </dataBar>
    </cfRule>
  </conditionalFormatting>
  <conditionalFormatting sqref="Q3708:Q3723">
    <cfRule type="dataBar" priority="20915">
      <dataBar>
        <cfvo type="min"/>
        <cfvo type="max"/>
        <color rgb="FFFF555A"/>
      </dataBar>
    </cfRule>
  </conditionalFormatting>
  <conditionalFormatting sqref="O3708:O3723">
    <cfRule type="dataBar" priority="20914">
      <dataBar>
        <cfvo type="min"/>
        <cfvo type="max"/>
        <color rgb="FFFF555A"/>
      </dataBar>
    </cfRule>
  </conditionalFormatting>
  <conditionalFormatting sqref="P3708:P3723">
    <cfRule type="dataBar" priority="20913">
      <dataBar>
        <cfvo type="min"/>
        <cfvo type="max"/>
        <color rgb="FFFF555A"/>
      </dataBar>
    </cfRule>
  </conditionalFormatting>
  <conditionalFormatting sqref="R3725:R3741 D3725:D3740 C3741">
    <cfRule type="containsText" dxfId="6370" priority="20912" operator="containsText" text="DOWN">
      <formula>NOT(ISERROR(SEARCH("DOWN",C3725)))</formula>
    </cfRule>
  </conditionalFormatting>
  <conditionalFormatting sqref="R3725:R3741 D3725:D3740 C3741">
    <cfRule type="containsText" dxfId="6369" priority="20911" operator="containsText" text="UP">
      <formula>NOT(ISERROR(SEARCH("UP",C3725)))</formula>
    </cfRule>
  </conditionalFormatting>
  <conditionalFormatting sqref="I3741">
    <cfRule type="colorScale" priority="20910">
      <colorScale>
        <cfvo type="min"/>
        <cfvo type="max"/>
        <color rgb="FFFFEF9C"/>
        <color rgb="FF63BE7B"/>
      </colorScale>
    </cfRule>
  </conditionalFormatting>
  <conditionalFormatting sqref="M3741">
    <cfRule type="colorScale" priority="20909">
      <colorScale>
        <cfvo type="min"/>
        <cfvo type="max"/>
        <color rgb="FFFF7128"/>
        <color rgb="FFFFEF9C"/>
      </colorScale>
    </cfRule>
  </conditionalFormatting>
  <conditionalFormatting sqref="Q3741">
    <cfRule type="dataBar" priority="20908">
      <dataBar>
        <cfvo type="min"/>
        <cfvo type="max"/>
        <color rgb="FFFF555A"/>
      </dataBar>
    </cfRule>
  </conditionalFormatting>
  <conditionalFormatting sqref="E3725:E3741">
    <cfRule type="dataBar" priority="20907">
      <dataBar>
        <cfvo type="min"/>
        <cfvo type="max"/>
        <color rgb="FFFF555A"/>
      </dataBar>
    </cfRule>
  </conditionalFormatting>
  <conditionalFormatting sqref="F3741">
    <cfRule type="top10" dxfId="6368" priority="20906" rank="1"/>
  </conditionalFormatting>
  <conditionalFormatting sqref="G3741 P3741">
    <cfRule type="cellIs" dxfId="6367" priority="20905" operator="equal">
      <formula>$G$135</formula>
    </cfRule>
  </conditionalFormatting>
  <conditionalFormatting sqref="P3741">
    <cfRule type="cellIs" dxfId="6366" priority="20904" operator="equal">
      <formula>$J$135</formula>
    </cfRule>
  </conditionalFormatting>
  <conditionalFormatting sqref="G3741 P3741">
    <cfRule type="cellIs" dxfId="6365" priority="20903" operator="equal">
      <formula>#REF!</formula>
    </cfRule>
  </conditionalFormatting>
  <conditionalFormatting sqref="G3741">
    <cfRule type="top10" dxfId="6364" priority="20901" rank="1"/>
    <cfRule type="cellIs" dxfId="6363" priority="20902" operator="equal">
      <formula>$G$133</formula>
    </cfRule>
  </conditionalFormatting>
  <conditionalFormatting sqref="P3741">
    <cfRule type="top10" dxfId="6362" priority="20899" rank="1"/>
    <cfRule type="cellIs" dxfId="6361" priority="20900" operator="equal">
      <formula>$G$133</formula>
    </cfRule>
  </conditionalFormatting>
  <conditionalFormatting sqref="C3725:C3740">
    <cfRule type="containsText" dxfId="6360" priority="20895" operator="containsText" text="Short Buildup">
      <formula>NOT(ISERROR(SEARCH("Short Buildup",C3725)))</formula>
    </cfRule>
    <cfRule type="containsText" dxfId="6359" priority="20896" operator="containsText" text="Long Liquidation">
      <formula>NOT(ISERROR(SEARCH("Long Liquidation",C3725)))</formula>
    </cfRule>
    <cfRule type="containsText" dxfId="6358" priority="20897" operator="containsText" text="Short covering">
      <formula>NOT(ISERROR(SEARCH("Short covering",C3725)))</formula>
    </cfRule>
    <cfRule type="containsText" dxfId="6357" priority="20898" operator="containsText" text="Long Buildup">
      <formula>NOT(ISERROR(SEARCH("Long Buildup",C3725)))</formula>
    </cfRule>
  </conditionalFormatting>
  <conditionalFormatting sqref="H3741">
    <cfRule type="colorScale" priority="20890">
      <colorScale>
        <cfvo type="min"/>
        <cfvo type="percentile" val="20"/>
        <cfvo type="max"/>
        <color rgb="FF92D050"/>
        <color theme="5" tint="0.79998168889431442"/>
        <color rgb="FFFF0000"/>
      </colorScale>
    </cfRule>
    <cfRule type="colorScale" priority="20891">
      <colorScale>
        <cfvo type="min"/>
        <cfvo type="max"/>
        <color rgb="FFFF0000"/>
        <color rgb="FF92D050"/>
      </colorScale>
    </cfRule>
    <cfRule type="colorScale" priority="20892">
      <colorScale>
        <cfvo type="min"/>
        <cfvo type="percentile" val="50"/>
        <cfvo type="max"/>
        <color rgb="FF5A8AC6"/>
        <color rgb="FFFCFCFF"/>
        <color rgb="FFF8696B"/>
      </colorScale>
    </cfRule>
    <cfRule type="colorScale" priority="20893">
      <colorScale>
        <cfvo type="formula" val="&quot;&gt;20&quot;"/>
        <cfvo type="formula" val="35"/>
        <color rgb="FFF8696B"/>
        <color rgb="FFFCFCFF"/>
      </colorScale>
    </cfRule>
    <cfRule type="colorScale" priority="20894">
      <colorScale>
        <cfvo type="min"/>
        <cfvo type="max"/>
        <color rgb="FFFFEF9C"/>
        <color rgb="FF63BE7B"/>
      </colorScale>
    </cfRule>
  </conditionalFormatting>
  <conditionalFormatting sqref="N3741">
    <cfRule type="colorScale" priority="20885">
      <colorScale>
        <cfvo type="min"/>
        <cfvo type="percentile" val="20"/>
        <cfvo type="max"/>
        <color rgb="FF92D050"/>
        <color theme="5" tint="0.79998168889431442"/>
        <color rgb="FFFF0000"/>
      </colorScale>
    </cfRule>
    <cfRule type="colorScale" priority="20886">
      <colorScale>
        <cfvo type="min"/>
        <cfvo type="max"/>
        <color rgb="FFFF0000"/>
        <color rgb="FF92D050"/>
      </colorScale>
    </cfRule>
    <cfRule type="colorScale" priority="20887">
      <colorScale>
        <cfvo type="min"/>
        <cfvo type="percentile" val="50"/>
        <cfvo type="max"/>
        <color rgb="FF5A8AC6"/>
        <color rgb="FFFCFCFF"/>
        <color rgb="FFF8696B"/>
      </colorScale>
    </cfRule>
    <cfRule type="colorScale" priority="20888">
      <colorScale>
        <cfvo type="formula" val="&quot;&gt;20&quot;"/>
        <cfvo type="formula" val="35"/>
        <color rgb="FFF8696B"/>
        <color rgb="FFFCFCFF"/>
      </colorScale>
    </cfRule>
    <cfRule type="colorScale" priority="20889">
      <colorScale>
        <cfvo type="min"/>
        <cfvo type="max"/>
        <color rgb="FFFFEF9C"/>
        <color rgb="FF63BE7B"/>
      </colorScale>
    </cfRule>
  </conditionalFormatting>
  <conditionalFormatting sqref="S3725:S3741">
    <cfRule type="containsText" dxfId="6356" priority="20881" operator="containsText" text="Short Buildup">
      <formula>NOT(ISERROR(SEARCH("Short Buildup",S3725)))</formula>
    </cfRule>
    <cfRule type="containsText" dxfId="6355" priority="20882" operator="containsText" text="Long Liquidation">
      <formula>NOT(ISERROR(SEARCH("Long Liquidation",S3725)))</formula>
    </cfRule>
    <cfRule type="containsText" dxfId="6354" priority="20883" operator="containsText" text="Short covering">
      <formula>NOT(ISERROR(SEARCH("Short covering",S3725)))</formula>
    </cfRule>
    <cfRule type="containsText" dxfId="6353" priority="20884" operator="containsText" text="Long Buildup">
      <formula>NOT(ISERROR(SEARCH("Long Buildup",S3725)))</formula>
    </cfRule>
  </conditionalFormatting>
  <conditionalFormatting sqref="F3725:F3740">
    <cfRule type="dataBar" priority="20880">
      <dataBar>
        <cfvo type="min"/>
        <cfvo type="max"/>
        <color rgb="FFFF555A"/>
      </dataBar>
    </cfRule>
  </conditionalFormatting>
  <conditionalFormatting sqref="G3725:G3740">
    <cfRule type="dataBar" priority="20879">
      <dataBar>
        <cfvo type="min"/>
        <cfvo type="max"/>
        <color rgb="FFFF555A"/>
      </dataBar>
    </cfRule>
  </conditionalFormatting>
  <conditionalFormatting sqref="H3725">
    <cfRule type="dataBar" priority="20878">
      <dataBar>
        <cfvo type="min"/>
        <cfvo type="max"/>
        <color rgb="FFFF555A"/>
      </dataBar>
    </cfRule>
  </conditionalFormatting>
  <conditionalFormatting sqref="I3725">
    <cfRule type="dataBar" priority="20877">
      <dataBar>
        <cfvo type="min"/>
        <cfvo type="max"/>
        <color rgb="FFFF555A"/>
      </dataBar>
    </cfRule>
  </conditionalFormatting>
  <conditionalFormatting sqref="J3725">
    <cfRule type="dataBar" priority="20876">
      <dataBar>
        <cfvo type="min"/>
        <cfvo type="max"/>
        <color rgb="FFFF555A"/>
      </dataBar>
    </cfRule>
  </conditionalFormatting>
  <conditionalFormatting sqref="E3726:E3740">
    <cfRule type="dataBar" priority="20875">
      <dataBar>
        <cfvo type="min"/>
        <cfvo type="max"/>
        <color rgb="FFFF555A"/>
      </dataBar>
    </cfRule>
  </conditionalFormatting>
  <conditionalFormatting sqref="H3726:H3740">
    <cfRule type="dataBar" priority="20874">
      <dataBar>
        <cfvo type="min"/>
        <cfvo type="max"/>
        <color rgb="FFFF555A"/>
      </dataBar>
    </cfRule>
  </conditionalFormatting>
  <conditionalFormatting sqref="I3726:I3740">
    <cfRule type="dataBar" priority="20873">
      <dataBar>
        <cfvo type="min"/>
        <cfvo type="max"/>
        <color rgb="FFFF555A"/>
      </dataBar>
    </cfRule>
  </conditionalFormatting>
  <conditionalFormatting sqref="J3726:J3740">
    <cfRule type="dataBar" priority="20872">
      <dataBar>
        <cfvo type="min"/>
        <cfvo type="max"/>
        <color rgb="FFFF555A"/>
      </dataBar>
    </cfRule>
  </conditionalFormatting>
  <conditionalFormatting sqref="L3725:L3740">
    <cfRule type="dataBar" priority="20871">
      <dataBar>
        <cfvo type="min"/>
        <cfvo type="max"/>
        <color rgb="FFFF555A"/>
      </dataBar>
    </cfRule>
  </conditionalFormatting>
  <conditionalFormatting sqref="M3725:M3740">
    <cfRule type="dataBar" priority="20870">
      <dataBar>
        <cfvo type="min"/>
        <cfvo type="max"/>
        <color rgb="FFFF555A"/>
      </dataBar>
    </cfRule>
  </conditionalFormatting>
  <conditionalFormatting sqref="N3725:N3740">
    <cfRule type="dataBar" priority="20869">
      <dataBar>
        <cfvo type="min"/>
        <cfvo type="max"/>
        <color rgb="FFFF555A"/>
      </dataBar>
    </cfRule>
  </conditionalFormatting>
  <conditionalFormatting sqref="Q3725:Q3740">
    <cfRule type="dataBar" priority="20868">
      <dataBar>
        <cfvo type="min"/>
        <cfvo type="max"/>
        <color rgb="FFFF555A"/>
      </dataBar>
    </cfRule>
  </conditionalFormatting>
  <conditionalFormatting sqref="O3725:O3740">
    <cfRule type="dataBar" priority="20867">
      <dataBar>
        <cfvo type="min"/>
        <cfvo type="max"/>
        <color rgb="FFFF555A"/>
      </dataBar>
    </cfRule>
  </conditionalFormatting>
  <conditionalFormatting sqref="P3725:P3740">
    <cfRule type="dataBar" priority="20866">
      <dataBar>
        <cfvo type="min"/>
        <cfvo type="max"/>
        <color rgb="FFFF555A"/>
      </dataBar>
    </cfRule>
  </conditionalFormatting>
  <conditionalFormatting sqref="R3742:R3758 D3742:D3757 C3758">
    <cfRule type="containsText" dxfId="6352" priority="20865" operator="containsText" text="DOWN">
      <formula>NOT(ISERROR(SEARCH("DOWN",C3742)))</formula>
    </cfRule>
  </conditionalFormatting>
  <conditionalFormatting sqref="R3742:R3758 D3742:D3757 C3758">
    <cfRule type="containsText" dxfId="6351" priority="20864" operator="containsText" text="UP">
      <formula>NOT(ISERROR(SEARCH("UP",C3742)))</formula>
    </cfRule>
  </conditionalFormatting>
  <conditionalFormatting sqref="I3758">
    <cfRule type="colorScale" priority="20863">
      <colorScale>
        <cfvo type="min"/>
        <cfvo type="max"/>
        <color rgb="FFFFEF9C"/>
        <color rgb="FF63BE7B"/>
      </colorScale>
    </cfRule>
  </conditionalFormatting>
  <conditionalFormatting sqref="M3758">
    <cfRule type="colorScale" priority="20862">
      <colorScale>
        <cfvo type="min"/>
        <cfvo type="max"/>
        <color rgb="FFFF7128"/>
        <color rgb="FFFFEF9C"/>
      </colorScale>
    </cfRule>
  </conditionalFormatting>
  <conditionalFormatting sqref="Q3758">
    <cfRule type="dataBar" priority="20861">
      <dataBar>
        <cfvo type="min"/>
        <cfvo type="max"/>
        <color rgb="FFFF555A"/>
      </dataBar>
    </cfRule>
  </conditionalFormatting>
  <conditionalFormatting sqref="E3742:E3758">
    <cfRule type="dataBar" priority="20860">
      <dataBar>
        <cfvo type="min"/>
        <cfvo type="max"/>
        <color rgb="FFFF555A"/>
      </dataBar>
    </cfRule>
  </conditionalFormatting>
  <conditionalFormatting sqref="F3758">
    <cfRule type="top10" dxfId="6350" priority="20859" rank="1"/>
  </conditionalFormatting>
  <conditionalFormatting sqref="G3758 P3758">
    <cfRule type="cellIs" dxfId="6349" priority="20858" operator="equal">
      <formula>$G$135</formula>
    </cfRule>
  </conditionalFormatting>
  <conditionalFormatting sqref="P3758">
    <cfRule type="cellIs" dxfId="6348" priority="20857" operator="equal">
      <formula>$J$135</formula>
    </cfRule>
  </conditionalFormatting>
  <conditionalFormatting sqref="G3758 P3758">
    <cfRule type="cellIs" dxfId="6347" priority="20856" operator="equal">
      <formula>#REF!</formula>
    </cfRule>
  </conditionalFormatting>
  <conditionalFormatting sqref="G3758">
    <cfRule type="top10" dxfId="6346" priority="20854" rank="1"/>
    <cfRule type="cellIs" dxfId="6345" priority="20855" operator="equal">
      <formula>$G$133</formula>
    </cfRule>
  </conditionalFormatting>
  <conditionalFormatting sqref="P3758">
    <cfRule type="top10" dxfId="6344" priority="20852" rank="1"/>
    <cfRule type="cellIs" dxfId="6343" priority="20853" operator="equal">
      <formula>$G$133</formula>
    </cfRule>
  </conditionalFormatting>
  <conditionalFormatting sqref="C3742:C3757">
    <cfRule type="containsText" dxfId="6342" priority="20848" operator="containsText" text="Short Buildup">
      <formula>NOT(ISERROR(SEARCH("Short Buildup",C3742)))</formula>
    </cfRule>
    <cfRule type="containsText" dxfId="6341" priority="20849" operator="containsText" text="Long Liquidation">
      <formula>NOT(ISERROR(SEARCH("Long Liquidation",C3742)))</formula>
    </cfRule>
    <cfRule type="containsText" dxfId="6340" priority="20850" operator="containsText" text="Short covering">
      <formula>NOT(ISERROR(SEARCH("Short covering",C3742)))</formula>
    </cfRule>
    <cfRule type="containsText" dxfId="6339" priority="20851" operator="containsText" text="Long Buildup">
      <formula>NOT(ISERROR(SEARCH("Long Buildup",C3742)))</formula>
    </cfRule>
  </conditionalFormatting>
  <conditionalFormatting sqref="H3758">
    <cfRule type="colorScale" priority="20843">
      <colorScale>
        <cfvo type="min"/>
        <cfvo type="percentile" val="20"/>
        <cfvo type="max"/>
        <color rgb="FF92D050"/>
        <color theme="5" tint="0.79998168889431442"/>
        <color rgb="FFFF0000"/>
      </colorScale>
    </cfRule>
    <cfRule type="colorScale" priority="20844">
      <colorScale>
        <cfvo type="min"/>
        <cfvo type="max"/>
        <color rgb="FFFF0000"/>
        <color rgb="FF92D050"/>
      </colorScale>
    </cfRule>
    <cfRule type="colorScale" priority="20845">
      <colorScale>
        <cfvo type="min"/>
        <cfvo type="percentile" val="50"/>
        <cfvo type="max"/>
        <color rgb="FF5A8AC6"/>
        <color rgb="FFFCFCFF"/>
        <color rgb="FFF8696B"/>
      </colorScale>
    </cfRule>
    <cfRule type="colorScale" priority="20846">
      <colorScale>
        <cfvo type="formula" val="&quot;&gt;20&quot;"/>
        <cfvo type="formula" val="35"/>
        <color rgb="FFF8696B"/>
        <color rgb="FFFCFCFF"/>
      </colorScale>
    </cfRule>
    <cfRule type="colorScale" priority="20847">
      <colorScale>
        <cfvo type="min"/>
        <cfvo type="max"/>
        <color rgb="FFFFEF9C"/>
        <color rgb="FF63BE7B"/>
      </colorScale>
    </cfRule>
  </conditionalFormatting>
  <conditionalFormatting sqref="N3758">
    <cfRule type="colorScale" priority="20838">
      <colorScale>
        <cfvo type="min"/>
        <cfvo type="percentile" val="20"/>
        <cfvo type="max"/>
        <color rgb="FF92D050"/>
        <color theme="5" tint="0.79998168889431442"/>
        <color rgb="FFFF0000"/>
      </colorScale>
    </cfRule>
    <cfRule type="colorScale" priority="20839">
      <colorScale>
        <cfvo type="min"/>
        <cfvo type="max"/>
        <color rgb="FFFF0000"/>
        <color rgb="FF92D050"/>
      </colorScale>
    </cfRule>
    <cfRule type="colorScale" priority="20840">
      <colorScale>
        <cfvo type="min"/>
        <cfvo type="percentile" val="50"/>
        <cfvo type="max"/>
        <color rgb="FF5A8AC6"/>
        <color rgb="FFFCFCFF"/>
        <color rgb="FFF8696B"/>
      </colorScale>
    </cfRule>
    <cfRule type="colorScale" priority="20841">
      <colorScale>
        <cfvo type="formula" val="&quot;&gt;20&quot;"/>
        <cfvo type="formula" val="35"/>
        <color rgb="FFF8696B"/>
        <color rgb="FFFCFCFF"/>
      </colorScale>
    </cfRule>
    <cfRule type="colorScale" priority="20842">
      <colorScale>
        <cfvo type="min"/>
        <cfvo type="max"/>
        <color rgb="FFFFEF9C"/>
        <color rgb="FF63BE7B"/>
      </colorScale>
    </cfRule>
  </conditionalFormatting>
  <conditionalFormatting sqref="S3742:S3758">
    <cfRule type="containsText" dxfId="6338" priority="20834" operator="containsText" text="Short Buildup">
      <formula>NOT(ISERROR(SEARCH("Short Buildup",S3742)))</formula>
    </cfRule>
    <cfRule type="containsText" dxfId="6337" priority="20835" operator="containsText" text="Long Liquidation">
      <formula>NOT(ISERROR(SEARCH("Long Liquidation",S3742)))</formula>
    </cfRule>
    <cfRule type="containsText" dxfId="6336" priority="20836" operator="containsText" text="Short covering">
      <formula>NOT(ISERROR(SEARCH("Short covering",S3742)))</formula>
    </cfRule>
    <cfRule type="containsText" dxfId="6335" priority="20837" operator="containsText" text="Long Buildup">
      <formula>NOT(ISERROR(SEARCH("Long Buildup",S3742)))</formula>
    </cfRule>
  </conditionalFormatting>
  <conditionalFormatting sqref="F3742:F3757">
    <cfRule type="dataBar" priority="20833">
      <dataBar>
        <cfvo type="min"/>
        <cfvo type="max"/>
        <color rgb="FFFF555A"/>
      </dataBar>
    </cfRule>
  </conditionalFormatting>
  <conditionalFormatting sqref="G3742:G3757">
    <cfRule type="dataBar" priority="20832">
      <dataBar>
        <cfvo type="min"/>
        <cfvo type="max"/>
        <color rgb="FFFF555A"/>
      </dataBar>
    </cfRule>
  </conditionalFormatting>
  <conditionalFormatting sqref="H3742">
    <cfRule type="dataBar" priority="20831">
      <dataBar>
        <cfvo type="min"/>
        <cfvo type="max"/>
        <color rgb="FFFF555A"/>
      </dataBar>
    </cfRule>
  </conditionalFormatting>
  <conditionalFormatting sqref="I3742">
    <cfRule type="dataBar" priority="20830">
      <dataBar>
        <cfvo type="min"/>
        <cfvo type="max"/>
        <color rgb="FFFF555A"/>
      </dataBar>
    </cfRule>
  </conditionalFormatting>
  <conditionalFormatting sqref="J3742">
    <cfRule type="dataBar" priority="20829">
      <dataBar>
        <cfvo type="min"/>
        <cfvo type="max"/>
        <color rgb="FFFF555A"/>
      </dataBar>
    </cfRule>
  </conditionalFormatting>
  <conditionalFormatting sqref="E3743:E3757">
    <cfRule type="dataBar" priority="20828">
      <dataBar>
        <cfvo type="min"/>
        <cfvo type="max"/>
        <color rgb="FFFF555A"/>
      </dataBar>
    </cfRule>
  </conditionalFormatting>
  <conditionalFormatting sqref="H3743:H3757">
    <cfRule type="dataBar" priority="20827">
      <dataBar>
        <cfvo type="min"/>
        <cfvo type="max"/>
        <color rgb="FFFF555A"/>
      </dataBar>
    </cfRule>
  </conditionalFormatting>
  <conditionalFormatting sqref="I3743:I3757">
    <cfRule type="dataBar" priority="20826">
      <dataBar>
        <cfvo type="min"/>
        <cfvo type="max"/>
        <color rgb="FFFF555A"/>
      </dataBar>
    </cfRule>
  </conditionalFormatting>
  <conditionalFormatting sqref="J3743:J3757">
    <cfRule type="dataBar" priority="20825">
      <dataBar>
        <cfvo type="min"/>
        <cfvo type="max"/>
        <color rgb="FFFF555A"/>
      </dataBar>
    </cfRule>
  </conditionalFormatting>
  <conditionalFormatting sqref="L3742:L3757">
    <cfRule type="dataBar" priority="20824">
      <dataBar>
        <cfvo type="min"/>
        <cfvo type="max"/>
        <color rgb="FFFF555A"/>
      </dataBar>
    </cfRule>
  </conditionalFormatting>
  <conditionalFormatting sqref="M3742:M3757">
    <cfRule type="dataBar" priority="20823">
      <dataBar>
        <cfvo type="min"/>
        <cfvo type="max"/>
        <color rgb="FFFF555A"/>
      </dataBar>
    </cfRule>
  </conditionalFormatting>
  <conditionalFormatting sqref="N3742:N3757">
    <cfRule type="dataBar" priority="20822">
      <dataBar>
        <cfvo type="min"/>
        <cfvo type="max"/>
        <color rgb="FFFF555A"/>
      </dataBar>
    </cfRule>
  </conditionalFormatting>
  <conditionalFormatting sqref="Q3742:Q3757">
    <cfRule type="dataBar" priority="20821">
      <dataBar>
        <cfvo type="min"/>
        <cfvo type="max"/>
        <color rgb="FFFF555A"/>
      </dataBar>
    </cfRule>
  </conditionalFormatting>
  <conditionalFormatting sqref="O3742:O3757">
    <cfRule type="dataBar" priority="20820">
      <dataBar>
        <cfvo type="min"/>
        <cfvo type="max"/>
        <color rgb="FFFF555A"/>
      </dataBar>
    </cfRule>
  </conditionalFormatting>
  <conditionalFormatting sqref="P3742:P3757">
    <cfRule type="dataBar" priority="20819">
      <dataBar>
        <cfvo type="min"/>
        <cfvo type="max"/>
        <color rgb="FFFF555A"/>
      </dataBar>
    </cfRule>
  </conditionalFormatting>
  <conditionalFormatting sqref="R3759:R3775 D3759:D3774 C3775">
    <cfRule type="containsText" dxfId="6334" priority="20818" operator="containsText" text="DOWN">
      <formula>NOT(ISERROR(SEARCH("DOWN",C3759)))</formula>
    </cfRule>
  </conditionalFormatting>
  <conditionalFormatting sqref="R3759:R3775 D3759:D3774 C3775">
    <cfRule type="containsText" dxfId="6333" priority="20817" operator="containsText" text="UP">
      <formula>NOT(ISERROR(SEARCH("UP",C3759)))</formula>
    </cfRule>
  </conditionalFormatting>
  <conditionalFormatting sqref="I3775">
    <cfRule type="colorScale" priority="20816">
      <colorScale>
        <cfvo type="min"/>
        <cfvo type="max"/>
        <color rgb="FFFFEF9C"/>
        <color rgb="FF63BE7B"/>
      </colorScale>
    </cfRule>
  </conditionalFormatting>
  <conditionalFormatting sqref="M3775">
    <cfRule type="colorScale" priority="20815">
      <colorScale>
        <cfvo type="min"/>
        <cfvo type="max"/>
        <color rgb="FFFF7128"/>
        <color rgb="FFFFEF9C"/>
      </colorScale>
    </cfRule>
  </conditionalFormatting>
  <conditionalFormatting sqref="Q3775">
    <cfRule type="dataBar" priority="20814">
      <dataBar>
        <cfvo type="min"/>
        <cfvo type="max"/>
        <color rgb="FFFF555A"/>
      </dataBar>
    </cfRule>
  </conditionalFormatting>
  <conditionalFormatting sqref="E3759:E3775">
    <cfRule type="dataBar" priority="20813">
      <dataBar>
        <cfvo type="min"/>
        <cfvo type="max"/>
        <color rgb="FFFF555A"/>
      </dataBar>
    </cfRule>
  </conditionalFormatting>
  <conditionalFormatting sqref="F3775">
    <cfRule type="top10" dxfId="6332" priority="20812" rank="1"/>
  </conditionalFormatting>
  <conditionalFormatting sqref="G3775 P3775">
    <cfRule type="cellIs" dxfId="6331" priority="20811" operator="equal">
      <formula>$G$135</formula>
    </cfRule>
  </conditionalFormatting>
  <conditionalFormatting sqref="P3775">
    <cfRule type="cellIs" dxfId="6330" priority="20810" operator="equal">
      <formula>$J$135</formula>
    </cfRule>
  </conditionalFormatting>
  <conditionalFormatting sqref="G3775 P3775">
    <cfRule type="cellIs" dxfId="6329" priority="20809" operator="equal">
      <formula>#REF!</formula>
    </cfRule>
  </conditionalFormatting>
  <conditionalFormatting sqref="G3775">
    <cfRule type="top10" dxfId="6328" priority="20807" rank="1"/>
    <cfRule type="cellIs" dxfId="6327" priority="20808" operator="equal">
      <formula>$G$133</formula>
    </cfRule>
  </conditionalFormatting>
  <conditionalFormatting sqref="P3775">
    <cfRule type="top10" dxfId="6326" priority="20805" rank="1"/>
    <cfRule type="cellIs" dxfId="6325" priority="20806" operator="equal">
      <formula>$G$133</formula>
    </cfRule>
  </conditionalFormatting>
  <conditionalFormatting sqref="C3759:C3774">
    <cfRule type="containsText" dxfId="6324" priority="20801" operator="containsText" text="Short Buildup">
      <formula>NOT(ISERROR(SEARCH("Short Buildup",C3759)))</formula>
    </cfRule>
    <cfRule type="containsText" dxfId="6323" priority="20802" operator="containsText" text="Long Liquidation">
      <formula>NOT(ISERROR(SEARCH("Long Liquidation",C3759)))</formula>
    </cfRule>
    <cfRule type="containsText" dxfId="6322" priority="20803" operator="containsText" text="Short covering">
      <formula>NOT(ISERROR(SEARCH("Short covering",C3759)))</formula>
    </cfRule>
    <cfRule type="containsText" dxfId="6321" priority="20804" operator="containsText" text="Long Buildup">
      <formula>NOT(ISERROR(SEARCH("Long Buildup",C3759)))</formula>
    </cfRule>
  </conditionalFormatting>
  <conditionalFormatting sqref="H3775">
    <cfRule type="colorScale" priority="20796">
      <colorScale>
        <cfvo type="min"/>
        <cfvo type="percentile" val="20"/>
        <cfvo type="max"/>
        <color rgb="FF92D050"/>
        <color theme="5" tint="0.79998168889431442"/>
        <color rgb="FFFF0000"/>
      </colorScale>
    </cfRule>
    <cfRule type="colorScale" priority="20797">
      <colorScale>
        <cfvo type="min"/>
        <cfvo type="max"/>
        <color rgb="FFFF0000"/>
        <color rgb="FF92D050"/>
      </colorScale>
    </cfRule>
    <cfRule type="colorScale" priority="20798">
      <colorScale>
        <cfvo type="min"/>
        <cfvo type="percentile" val="50"/>
        <cfvo type="max"/>
        <color rgb="FF5A8AC6"/>
        <color rgb="FFFCFCFF"/>
        <color rgb="FFF8696B"/>
      </colorScale>
    </cfRule>
    <cfRule type="colorScale" priority="20799">
      <colorScale>
        <cfvo type="formula" val="&quot;&gt;20&quot;"/>
        <cfvo type="formula" val="35"/>
        <color rgb="FFF8696B"/>
        <color rgb="FFFCFCFF"/>
      </colorScale>
    </cfRule>
    <cfRule type="colorScale" priority="20800">
      <colorScale>
        <cfvo type="min"/>
        <cfvo type="max"/>
        <color rgb="FFFFEF9C"/>
        <color rgb="FF63BE7B"/>
      </colorScale>
    </cfRule>
  </conditionalFormatting>
  <conditionalFormatting sqref="N3775">
    <cfRule type="colorScale" priority="20791">
      <colorScale>
        <cfvo type="min"/>
        <cfvo type="percentile" val="20"/>
        <cfvo type="max"/>
        <color rgb="FF92D050"/>
        <color theme="5" tint="0.79998168889431442"/>
        <color rgb="FFFF0000"/>
      </colorScale>
    </cfRule>
    <cfRule type="colorScale" priority="20792">
      <colorScale>
        <cfvo type="min"/>
        <cfvo type="max"/>
        <color rgb="FFFF0000"/>
        <color rgb="FF92D050"/>
      </colorScale>
    </cfRule>
    <cfRule type="colorScale" priority="20793">
      <colorScale>
        <cfvo type="min"/>
        <cfvo type="percentile" val="50"/>
        <cfvo type="max"/>
        <color rgb="FF5A8AC6"/>
        <color rgb="FFFCFCFF"/>
        <color rgb="FFF8696B"/>
      </colorScale>
    </cfRule>
    <cfRule type="colorScale" priority="20794">
      <colorScale>
        <cfvo type="formula" val="&quot;&gt;20&quot;"/>
        <cfvo type="formula" val="35"/>
        <color rgb="FFF8696B"/>
        <color rgb="FFFCFCFF"/>
      </colorScale>
    </cfRule>
    <cfRule type="colorScale" priority="20795">
      <colorScale>
        <cfvo type="min"/>
        <cfvo type="max"/>
        <color rgb="FFFFEF9C"/>
        <color rgb="FF63BE7B"/>
      </colorScale>
    </cfRule>
  </conditionalFormatting>
  <conditionalFormatting sqref="S3759:S3775">
    <cfRule type="containsText" dxfId="6320" priority="20787" operator="containsText" text="Short Buildup">
      <formula>NOT(ISERROR(SEARCH("Short Buildup",S3759)))</formula>
    </cfRule>
    <cfRule type="containsText" dxfId="6319" priority="20788" operator="containsText" text="Long Liquidation">
      <formula>NOT(ISERROR(SEARCH("Long Liquidation",S3759)))</formula>
    </cfRule>
    <cfRule type="containsText" dxfId="6318" priority="20789" operator="containsText" text="Short covering">
      <formula>NOT(ISERROR(SEARCH("Short covering",S3759)))</formula>
    </cfRule>
    <cfRule type="containsText" dxfId="6317" priority="20790" operator="containsText" text="Long Buildup">
      <formula>NOT(ISERROR(SEARCH("Long Buildup",S3759)))</formula>
    </cfRule>
  </conditionalFormatting>
  <conditionalFormatting sqref="F3759:F3774">
    <cfRule type="dataBar" priority="20786">
      <dataBar>
        <cfvo type="min"/>
        <cfvo type="max"/>
        <color rgb="FFFF555A"/>
      </dataBar>
    </cfRule>
  </conditionalFormatting>
  <conditionalFormatting sqref="G3759:G3774">
    <cfRule type="dataBar" priority="20785">
      <dataBar>
        <cfvo type="min"/>
        <cfvo type="max"/>
        <color rgb="FFFF555A"/>
      </dataBar>
    </cfRule>
  </conditionalFormatting>
  <conditionalFormatting sqref="H3759">
    <cfRule type="dataBar" priority="20784">
      <dataBar>
        <cfvo type="min"/>
        <cfvo type="max"/>
        <color rgb="FFFF555A"/>
      </dataBar>
    </cfRule>
  </conditionalFormatting>
  <conditionalFormatting sqref="I3759">
    <cfRule type="dataBar" priority="20783">
      <dataBar>
        <cfvo type="min"/>
        <cfvo type="max"/>
        <color rgb="FFFF555A"/>
      </dataBar>
    </cfRule>
  </conditionalFormatting>
  <conditionalFormatting sqref="J3759">
    <cfRule type="dataBar" priority="20782">
      <dataBar>
        <cfvo type="min"/>
        <cfvo type="max"/>
        <color rgb="FFFF555A"/>
      </dataBar>
    </cfRule>
  </conditionalFormatting>
  <conditionalFormatting sqref="E3760:E3774">
    <cfRule type="dataBar" priority="20781">
      <dataBar>
        <cfvo type="min"/>
        <cfvo type="max"/>
        <color rgb="FFFF555A"/>
      </dataBar>
    </cfRule>
  </conditionalFormatting>
  <conditionalFormatting sqref="H3760:H3774">
    <cfRule type="dataBar" priority="20780">
      <dataBar>
        <cfvo type="min"/>
        <cfvo type="max"/>
        <color rgb="FFFF555A"/>
      </dataBar>
    </cfRule>
  </conditionalFormatting>
  <conditionalFormatting sqref="I3760:I3774">
    <cfRule type="dataBar" priority="20779">
      <dataBar>
        <cfvo type="min"/>
        <cfvo type="max"/>
        <color rgb="FFFF555A"/>
      </dataBar>
    </cfRule>
  </conditionalFormatting>
  <conditionalFormatting sqref="J3760:J3774">
    <cfRule type="dataBar" priority="20778">
      <dataBar>
        <cfvo type="min"/>
        <cfvo type="max"/>
        <color rgb="FFFF555A"/>
      </dataBar>
    </cfRule>
  </conditionalFormatting>
  <conditionalFormatting sqref="L3759:L3774">
    <cfRule type="dataBar" priority="20777">
      <dataBar>
        <cfvo type="min"/>
        <cfvo type="max"/>
        <color rgb="FFFF555A"/>
      </dataBar>
    </cfRule>
  </conditionalFormatting>
  <conditionalFormatting sqref="M3759:M3774">
    <cfRule type="dataBar" priority="20776">
      <dataBar>
        <cfvo type="min"/>
        <cfvo type="max"/>
        <color rgb="FFFF555A"/>
      </dataBar>
    </cfRule>
  </conditionalFormatting>
  <conditionalFormatting sqref="N3759:N3774">
    <cfRule type="dataBar" priority="20775">
      <dataBar>
        <cfvo type="min"/>
        <cfvo type="max"/>
        <color rgb="FFFF555A"/>
      </dataBar>
    </cfRule>
  </conditionalFormatting>
  <conditionalFormatting sqref="Q3759:Q3774">
    <cfRule type="dataBar" priority="20774">
      <dataBar>
        <cfvo type="min"/>
        <cfvo type="max"/>
        <color rgb="FFFF555A"/>
      </dataBar>
    </cfRule>
  </conditionalFormatting>
  <conditionalFormatting sqref="O3759:O3774">
    <cfRule type="dataBar" priority="20773">
      <dataBar>
        <cfvo type="min"/>
        <cfvo type="max"/>
        <color rgb="FFFF555A"/>
      </dataBar>
    </cfRule>
  </conditionalFormatting>
  <conditionalFormatting sqref="P3759:P3774">
    <cfRule type="dataBar" priority="20772">
      <dataBar>
        <cfvo type="min"/>
        <cfvo type="max"/>
        <color rgb="FFFF555A"/>
      </dataBar>
    </cfRule>
  </conditionalFormatting>
  <conditionalFormatting sqref="R3776:R3792 D3776:D3791 C3792">
    <cfRule type="containsText" dxfId="6316" priority="20771" operator="containsText" text="DOWN">
      <formula>NOT(ISERROR(SEARCH("DOWN",C3776)))</formula>
    </cfRule>
  </conditionalFormatting>
  <conditionalFormatting sqref="R3776:R3792 D3776:D3791 C3792">
    <cfRule type="containsText" dxfId="6315" priority="20770" operator="containsText" text="UP">
      <formula>NOT(ISERROR(SEARCH("UP",C3776)))</formula>
    </cfRule>
  </conditionalFormatting>
  <conditionalFormatting sqref="I3792">
    <cfRule type="colorScale" priority="20769">
      <colorScale>
        <cfvo type="min"/>
        <cfvo type="max"/>
        <color rgb="FFFFEF9C"/>
        <color rgb="FF63BE7B"/>
      </colorScale>
    </cfRule>
  </conditionalFormatting>
  <conditionalFormatting sqref="M3792">
    <cfRule type="colorScale" priority="20768">
      <colorScale>
        <cfvo type="min"/>
        <cfvo type="max"/>
        <color rgb="FFFF7128"/>
        <color rgb="FFFFEF9C"/>
      </colorScale>
    </cfRule>
  </conditionalFormatting>
  <conditionalFormatting sqref="Q3792">
    <cfRule type="dataBar" priority="20767">
      <dataBar>
        <cfvo type="min"/>
        <cfvo type="max"/>
        <color rgb="FFFF555A"/>
      </dataBar>
    </cfRule>
  </conditionalFormatting>
  <conditionalFormatting sqref="E3776:E3792">
    <cfRule type="dataBar" priority="20766">
      <dataBar>
        <cfvo type="min"/>
        <cfvo type="max"/>
        <color rgb="FFFF555A"/>
      </dataBar>
    </cfRule>
  </conditionalFormatting>
  <conditionalFormatting sqref="F3792">
    <cfRule type="top10" dxfId="6314" priority="20765" rank="1"/>
  </conditionalFormatting>
  <conditionalFormatting sqref="G3792 P3792">
    <cfRule type="cellIs" dxfId="6313" priority="20764" operator="equal">
      <formula>$G$135</formula>
    </cfRule>
  </conditionalFormatting>
  <conditionalFormatting sqref="P3792">
    <cfRule type="cellIs" dxfId="6312" priority="20763" operator="equal">
      <formula>$J$135</formula>
    </cfRule>
  </conditionalFormatting>
  <conditionalFormatting sqref="G3792 P3792">
    <cfRule type="cellIs" dxfId="6311" priority="20762" operator="equal">
      <formula>#REF!</formula>
    </cfRule>
  </conditionalFormatting>
  <conditionalFormatting sqref="G3792">
    <cfRule type="top10" dxfId="6310" priority="20760" rank="1"/>
    <cfRule type="cellIs" dxfId="6309" priority="20761" operator="equal">
      <formula>$G$133</formula>
    </cfRule>
  </conditionalFormatting>
  <conditionalFormatting sqref="P3792">
    <cfRule type="top10" dxfId="6308" priority="20758" rank="1"/>
    <cfRule type="cellIs" dxfId="6307" priority="20759" operator="equal">
      <formula>$G$133</formula>
    </cfRule>
  </conditionalFormatting>
  <conditionalFormatting sqref="C3776:C3791">
    <cfRule type="containsText" dxfId="6306" priority="20754" operator="containsText" text="Short Buildup">
      <formula>NOT(ISERROR(SEARCH("Short Buildup",C3776)))</formula>
    </cfRule>
    <cfRule type="containsText" dxfId="6305" priority="20755" operator="containsText" text="Long Liquidation">
      <formula>NOT(ISERROR(SEARCH("Long Liquidation",C3776)))</formula>
    </cfRule>
    <cfRule type="containsText" dxfId="6304" priority="20756" operator="containsText" text="Short covering">
      <formula>NOT(ISERROR(SEARCH("Short covering",C3776)))</formula>
    </cfRule>
    <cfRule type="containsText" dxfId="6303" priority="20757" operator="containsText" text="Long Buildup">
      <formula>NOT(ISERROR(SEARCH("Long Buildup",C3776)))</formula>
    </cfRule>
  </conditionalFormatting>
  <conditionalFormatting sqref="H3792">
    <cfRule type="colorScale" priority="20749">
      <colorScale>
        <cfvo type="min"/>
        <cfvo type="percentile" val="20"/>
        <cfvo type="max"/>
        <color rgb="FF92D050"/>
        <color theme="5" tint="0.79998168889431442"/>
        <color rgb="FFFF0000"/>
      </colorScale>
    </cfRule>
    <cfRule type="colorScale" priority="20750">
      <colorScale>
        <cfvo type="min"/>
        <cfvo type="max"/>
        <color rgb="FFFF0000"/>
        <color rgb="FF92D050"/>
      </colorScale>
    </cfRule>
    <cfRule type="colorScale" priority="20751">
      <colorScale>
        <cfvo type="min"/>
        <cfvo type="percentile" val="50"/>
        <cfvo type="max"/>
        <color rgb="FF5A8AC6"/>
        <color rgb="FFFCFCFF"/>
        <color rgb="FFF8696B"/>
      </colorScale>
    </cfRule>
    <cfRule type="colorScale" priority="20752">
      <colorScale>
        <cfvo type="formula" val="&quot;&gt;20&quot;"/>
        <cfvo type="formula" val="35"/>
        <color rgb="FFF8696B"/>
        <color rgb="FFFCFCFF"/>
      </colorScale>
    </cfRule>
    <cfRule type="colorScale" priority="20753">
      <colorScale>
        <cfvo type="min"/>
        <cfvo type="max"/>
        <color rgb="FFFFEF9C"/>
        <color rgb="FF63BE7B"/>
      </colorScale>
    </cfRule>
  </conditionalFormatting>
  <conditionalFormatting sqref="N3792">
    <cfRule type="colorScale" priority="20744">
      <colorScale>
        <cfvo type="min"/>
        <cfvo type="percentile" val="20"/>
        <cfvo type="max"/>
        <color rgb="FF92D050"/>
        <color theme="5" tint="0.79998168889431442"/>
        <color rgb="FFFF0000"/>
      </colorScale>
    </cfRule>
    <cfRule type="colorScale" priority="20745">
      <colorScale>
        <cfvo type="min"/>
        <cfvo type="max"/>
        <color rgb="FFFF0000"/>
        <color rgb="FF92D050"/>
      </colorScale>
    </cfRule>
    <cfRule type="colorScale" priority="20746">
      <colorScale>
        <cfvo type="min"/>
        <cfvo type="percentile" val="50"/>
        <cfvo type="max"/>
        <color rgb="FF5A8AC6"/>
        <color rgb="FFFCFCFF"/>
        <color rgb="FFF8696B"/>
      </colorScale>
    </cfRule>
    <cfRule type="colorScale" priority="20747">
      <colorScale>
        <cfvo type="formula" val="&quot;&gt;20&quot;"/>
        <cfvo type="formula" val="35"/>
        <color rgb="FFF8696B"/>
        <color rgb="FFFCFCFF"/>
      </colorScale>
    </cfRule>
    <cfRule type="colorScale" priority="20748">
      <colorScale>
        <cfvo type="min"/>
        <cfvo type="max"/>
        <color rgb="FFFFEF9C"/>
        <color rgb="FF63BE7B"/>
      </colorScale>
    </cfRule>
  </conditionalFormatting>
  <conditionalFormatting sqref="S3776:S3792">
    <cfRule type="containsText" dxfId="6302" priority="20740" operator="containsText" text="Short Buildup">
      <formula>NOT(ISERROR(SEARCH("Short Buildup",S3776)))</formula>
    </cfRule>
    <cfRule type="containsText" dxfId="6301" priority="20741" operator="containsText" text="Long Liquidation">
      <formula>NOT(ISERROR(SEARCH("Long Liquidation",S3776)))</formula>
    </cfRule>
    <cfRule type="containsText" dxfId="6300" priority="20742" operator="containsText" text="Short covering">
      <formula>NOT(ISERROR(SEARCH("Short covering",S3776)))</formula>
    </cfRule>
    <cfRule type="containsText" dxfId="6299" priority="20743" operator="containsText" text="Long Buildup">
      <formula>NOT(ISERROR(SEARCH("Long Buildup",S3776)))</formula>
    </cfRule>
  </conditionalFormatting>
  <conditionalFormatting sqref="F3776:F3791">
    <cfRule type="dataBar" priority="20739">
      <dataBar>
        <cfvo type="min"/>
        <cfvo type="max"/>
        <color rgb="FFFF555A"/>
      </dataBar>
    </cfRule>
  </conditionalFormatting>
  <conditionalFormatting sqref="G3776:G3791">
    <cfRule type="dataBar" priority="20738">
      <dataBar>
        <cfvo type="min"/>
        <cfvo type="max"/>
        <color rgb="FFFF555A"/>
      </dataBar>
    </cfRule>
  </conditionalFormatting>
  <conditionalFormatting sqref="H3776">
    <cfRule type="dataBar" priority="20737">
      <dataBar>
        <cfvo type="min"/>
        <cfvo type="max"/>
        <color rgb="FFFF555A"/>
      </dataBar>
    </cfRule>
  </conditionalFormatting>
  <conditionalFormatting sqref="I3776">
    <cfRule type="dataBar" priority="20736">
      <dataBar>
        <cfvo type="min"/>
        <cfvo type="max"/>
        <color rgb="FFFF555A"/>
      </dataBar>
    </cfRule>
  </conditionalFormatting>
  <conditionalFormatting sqref="J3776">
    <cfRule type="dataBar" priority="20735">
      <dataBar>
        <cfvo type="min"/>
        <cfvo type="max"/>
        <color rgb="FFFF555A"/>
      </dataBar>
    </cfRule>
  </conditionalFormatting>
  <conditionalFormatting sqref="E3777:E3791">
    <cfRule type="dataBar" priority="20734">
      <dataBar>
        <cfvo type="min"/>
        <cfvo type="max"/>
        <color rgb="FFFF555A"/>
      </dataBar>
    </cfRule>
  </conditionalFormatting>
  <conditionalFormatting sqref="H3777:H3791">
    <cfRule type="dataBar" priority="20733">
      <dataBar>
        <cfvo type="min"/>
        <cfvo type="max"/>
        <color rgb="FFFF555A"/>
      </dataBar>
    </cfRule>
  </conditionalFormatting>
  <conditionalFormatting sqref="I3777:I3791">
    <cfRule type="dataBar" priority="20732">
      <dataBar>
        <cfvo type="min"/>
        <cfvo type="max"/>
        <color rgb="FFFF555A"/>
      </dataBar>
    </cfRule>
  </conditionalFormatting>
  <conditionalFormatting sqref="J3777:J3791">
    <cfRule type="dataBar" priority="20731">
      <dataBar>
        <cfvo type="min"/>
        <cfvo type="max"/>
        <color rgb="FFFF555A"/>
      </dataBar>
    </cfRule>
  </conditionalFormatting>
  <conditionalFormatting sqref="L3776:L3791">
    <cfRule type="dataBar" priority="20730">
      <dataBar>
        <cfvo type="min"/>
        <cfvo type="max"/>
        <color rgb="FFFF555A"/>
      </dataBar>
    </cfRule>
  </conditionalFormatting>
  <conditionalFormatting sqref="M3776:M3791">
    <cfRule type="dataBar" priority="20729">
      <dataBar>
        <cfvo type="min"/>
        <cfvo type="max"/>
        <color rgb="FFFF555A"/>
      </dataBar>
    </cfRule>
  </conditionalFormatting>
  <conditionalFormatting sqref="N3776:N3791">
    <cfRule type="dataBar" priority="20728">
      <dataBar>
        <cfvo type="min"/>
        <cfvo type="max"/>
        <color rgb="FFFF555A"/>
      </dataBar>
    </cfRule>
  </conditionalFormatting>
  <conditionalFormatting sqref="Q3776:Q3791">
    <cfRule type="dataBar" priority="20727">
      <dataBar>
        <cfvo type="min"/>
        <cfvo type="max"/>
        <color rgb="FFFF555A"/>
      </dataBar>
    </cfRule>
  </conditionalFormatting>
  <conditionalFormatting sqref="O3776:O3791">
    <cfRule type="dataBar" priority="20726">
      <dataBar>
        <cfvo type="min"/>
        <cfvo type="max"/>
        <color rgb="FFFF555A"/>
      </dataBar>
    </cfRule>
  </conditionalFormatting>
  <conditionalFormatting sqref="P3776:P3791">
    <cfRule type="dataBar" priority="20725">
      <dataBar>
        <cfvo type="min"/>
        <cfvo type="max"/>
        <color rgb="FFFF555A"/>
      </dataBar>
    </cfRule>
  </conditionalFormatting>
  <conditionalFormatting sqref="R3793:R3809 D3793:D3808 C3809">
    <cfRule type="containsText" dxfId="6298" priority="20724" operator="containsText" text="DOWN">
      <formula>NOT(ISERROR(SEARCH("DOWN",C3793)))</formula>
    </cfRule>
  </conditionalFormatting>
  <conditionalFormatting sqref="R3793:R3809 D3793:D3808 C3809">
    <cfRule type="containsText" dxfId="6297" priority="20723" operator="containsText" text="UP">
      <formula>NOT(ISERROR(SEARCH("UP",C3793)))</formula>
    </cfRule>
  </conditionalFormatting>
  <conditionalFormatting sqref="I3809">
    <cfRule type="colorScale" priority="20722">
      <colorScale>
        <cfvo type="min"/>
        <cfvo type="max"/>
        <color rgb="FFFFEF9C"/>
        <color rgb="FF63BE7B"/>
      </colorScale>
    </cfRule>
  </conditionalFormatting>
  <conditionalFormatting sqref="M3809">
    <cfRule type="colorScale" priority="20721">
      <colorScale>
        <cfvo type="min"/>
        <cfvo type="max"/>
        <color rgb="FFFF7128"/>
        <color rgb="FFFFEF9C"/>
      </colorScale>
    </cfRule>
  </conditionalFormatting>
  <conditionalFormatting sqref="Q3809">
    <cfRule type="dataBar" priority="20720">
      <dataBar>
        <cfvo type="min"/>
        <cfvo type="max"/>
        <color rgb="FFFF555A"/>
      </dataBar>
    </cfRule>
  </conditionalFormatting>
  <conditionalFormatting sqref="E3793:E3809">
    <cfRule type="dataBar" priority="20719">
      <dataBar>
        <cfvo type="min"/>
        <cfvo type="max"/>
        <color rgb="FFFF555A"/>
      </dataBar>
    </cfRule>
  </conditionalFormatting>
  <conditionalFormatting sqref="F3809">
    <cfRule type="top10" dxfId="6296" priority="20718" rank="1"/>
  </conditionalFormatting>
  <conditionalFormatting sqref="G3809 P3809">
    <cfRule type="cellIs" dxfId="6295" priority="20717" operator="equal">
      <formula>$G$135</formula>
    </cfRule>
  </conditionalFormatting>
  <conditionalFormatting sqref="P3809">
    <cfRule type="cellIs" dxfId="6294" priority="20716" operator="equal">
      <formula>$J$135</formula>
    </cfRule>
  </conditionalFormatting>
  <conditionalFormatting sqref="G3809 P3809">
    <cfRule type="cellIs" dxfId="6293" priority="20715" operator="equal">
      <formula>#REF!</formula>
    </cfRule>
  </conditionalFormatting>
  <conditionalFormatting sqref="G3809">
    <cfRule type="top10" dxfId="6292" priority="20713" rank="1"/>
    <cfRule type="cellIs" dxfId="6291" priority="20714" operator="equal">
      <formula>$G$133</formula>
    </cfRule>
  </conditionalFormatting>
  <conditionalFormatting sqref="P3809">
    <cfRule type="top10" dxfId="6290" priority="20711" rank="1"/>
    <cfRule type="cellIs" dxfId="6289" priority="20712" operator="equal">
      <formula>$G$133</formula>
    </cfRule>
  </conditionalFormatting>
  <conditionalFormatting sqref="C3793:C3808">
    <cfRule type="containsText" dxfId="6288" priority="20707" operator="containsText" text="Short Buildup">
      <formula>NOT(ISERROR(SEARCH("Short Buildup",C3793)))</formula>
    </cfRule>
    <cfRule type="containsText" dxfId="6287" priority="20708" operator="containsText" text="Long Liquidation">
      <formula>NOT(ISERROR(SEARCH("Long Liquidation",C3793)))</formula>
    </cfRule>
    <cfRule type="containsText" dxfId="6286" priority="20709" operator="containsText" text="Short covering">
      <formula>NOT(ISERROR(SEARCH("Short covering",C3793)))</formula>
    </cfRule>
    <cfRule type="containsText" dxfId="6285" priority="20710" operator="containsText" text="Long Buildup">
      <formula>NOT(ISERROR(SEARCH("Long Buildup",C3793)))</formula>
    </cfRule>
  </conditionalFormatting>
  <conditionalFormatting sqref="H3809">
    <cfRule type="colorScale" priority="20702">
      <colorScale>
        <cfvo type="min"/>
        <cfvo type="percentile" val="20"/>
        <cfvo type="max"/>
        <color rgb="FF92D050"/>
        <color theme="5" tint="0.79998168889431442"/>
        <color rgb="FFFF0000"/>
      </colorScale>
    </cfRule>
    <cfRule type="colorScale" priority="20703">
      <colorScale>
        <cfvo type="min"/>
        <cfvo type="max"/>
        <color rgb="FFFF0000"/>
        <color rgb="FF92D050"/>
      </colorScale>
    </cfRule>
    <cfRule type="colorScale" priority="20704">
      <colorScale>
        <cfvo type="min"/>
        <cfvo type="percentile" val="50"/>
        <cfvo type="max"/>
        <color rgb="FF5A8AC6"/>
        <color rgb="FFFCFCFF"/>
        <color rgb="FFF8696B"/>
      </colorScale>
    </cfRule>
    <cfRule type="colorScale" priority="20705">
      <colorScale>
        <cfvo type="formula" val="&quot;&gt;20&quot;"/>
        <cfvo type="formula" val="35"/>
        <color rgb="FFF8696B"/>
        <color rgb="FFFCFCFF"/>
      </colorScale>
    </cfRule>
    <cfRule type="colorScale" priority="20706">
      <colorScale>
        <cfvo type="min"/>
        <cfvo type="max"/>
        <color rgb="FFFFEF9C"/>
        <color rgb="FF63BE7B"/>
      </colorScale>
    </cfRule>
  </conditionalFormatting>
  <conditionalFormatting sqref="N3809">
    <cfRule type="colorScale" priority="20697">
      <colorScale>
        <cfvo type="min"/>
        <cfvo type="percentile" val="20"/>
        <cfvo type="max"/>
        <color rgb="FF92D050"/>
        <color theme="5" tint="0.79998168889431442"/>
        <color rgb="FFFF0000"/>
      </colorScale>
    </cfRule>
    <cfRule type="colorScale" priority="20698">
      <colorScale>
        <cfvo type="min"/>
        <cfvo type="max"/>
        <color rgb="FFFF0000"/>
        <color rgb="FF92D050"/>
      </colorScale>
    </cfRule>
    <cfRule type="colorScale" priority="20699">
      <colorScale>
        <cfvo type="min"/>
        <cfvo type="percentile" val="50"/>
        <cfvo type="max"/>
        <color rgb="FF5A8AC6"/>
        <color rgb="FFFCFCFF"/>
        <color rgb="FFF8696B"/>
      </colorScale>
    </cfRule>
    <cfRule type="colorScale" priority="20700">
      <colorScale>
        <cfvo type="formula" val="&quot;&gt;20&quot;"/>
        <cfvo type="formula" val="35"/>
        <color rgb="FFF8696B"/>
        <color rgb="FFFCFCFF"/>
      </colorScale>
    </cfRule>
    <cfRule type="colorScale" priority="20701">
      <colorScale>
        <cfvo type="min"/>
        <cfvo type="max"/>
        <color rgb="FFFFEF9C"/>
        <color rgb="FF63BE7B"/>
      </colorScale>
    </cfRule>
  </conditionalFormatting>
  <conditionalFormatting sqref="S3793:S3809">
    <cfRule type="containsText" dxfId="6284" priority="20693" operator="containsText" text="Short Buildup">
      <formula>NOT(ISERROR(SEARCH("Short Buildup",S3793)))</formula>
    </cfRule>
    <cfRule type="containsText" dxfId="6283" priority="20694" operator="containsText" text="Long Liquidation">
      <formula>NOT(ISERROR(SEARCH("Long Liquidation",S3793)))</formula>
    </cfRule>
    <cfRule type="containsText" dxfId="6282" priority="20695" operator="containsText" text="Short covering">
      <formula>NOT(ISERROR(SEARCH("Short covering",S3793)))</formula>
    </cfRule>
    <cfRule type="containsText" dxfId="6281" priority="20696" operator="containsText" text="Long Buildup">
      <formula>NOT(ISERROR(SEARCH("Long Buildup",S3793)))</formula>
    </cfRule>
  </conditionalFormatting>
  <conditionalFormatting sqref="F3793:F3808">
    <cfRule type="dataBar" priority="20692">
      <dataBar>
        <cfvo type="min"/>
        <cfvo type="max"/>
        <color rgb="FFFF555A"/>
      </dataBar>
    </cfRule>
  </conditionalFormatting>
  <conditionalFormatting sqref="G3793:G3808">
    <cfRule type="dataBar" priority="20691">
      <dataBar>
        <cfvo type="min"/>
        <cfvo type="max"/>
        <color rgb="FFFF555A"/>
      </dataBar>
    </cfRule>
  </conditionalFormatting>
  <conditionalFormatting sqref="H3793">
    <cfRule type="dataBar" priority="20690">
      <dataBar>
        <cfvo type="min"/>
        <cfvo type="max"/>
        <color rgb="FFFF555A"/>
      </dataBar>
    </cfRule>
  </conditionalFormatting>
  <conditionalFormatting sqref="I3793">
    <cfRule type="dataBar" priority="20689">
      <dataBar>
        <cfvo type="min"/>
        <cfvo type="max"/>
        <color rgb="FFFF555A"/>
      </dataBar>
    </cfRule>
  </conditionalFormatting>
  <conditionalFormatting sqref="J3793">
    <cfRule type="dataBar" priority="20688">
      <dataBar>
        <cfvo type="min"/>
        <cfvo type="max"/>
        <color rgb="FFFF555A"/>
      </dataBar>
    </cfRule>
  </conditionalFormatting>
  <conditionalFormatting sqref="E3794:E3808">
    <cfRule type="dataBar" priority="20687">
      <dataBar>
        <cfvo type="min"/>
        <cfvo type="max"/>
        <color rgb="FFFF555A"/>
      </dataBar>
    </cfRule>
  </conditionalFormatting>
  <conditionalFormatting sqref="H3794:H3808">
    <cfRule type="dataBar" priority="20686">
      <dataBar>
        <cfvo type="min"/>
        <cfvo type="max"/>
        <color rgb="FFFF555A"/>
      </dataBar>
    </cfRule>
  </conditionalFormatting>
  <conditionalFormatting sqref="I3794:I3808">
    <cfRule type="dataBar" priority="20685">
      <dataBar>
        <cfvo type="min"/>
        <cfvo type="max"/>
        <color rgb="FFFF555A"/>
      </dataBar>
    </cfRule>
  </conditionalFormatting>
  <conditionalFormatting sqref="J3794:J3808">
    <cfRule type="dataBar" priority="20684">
      <dataBar>
        <cfvo type="min"/>
        <cfvo type="max"/>
        <color rgb="FFFF555A"/>
      </dataBar>
    </cfRule>
  </conditionalFormatting>
  <conditionalFormatting sqref="L3793:L3808">
    <cfRule type="dataBar" priority="20683">
      <dataBar>
        <cfvo type="min"/>
        <cfvo type="max"/>
        <color rgb="FFFF555A"/>
      </dataBar>
    </cfRule>
  </conditionalFormatting>
  <conditionalFormatting sqref="M3793:M3808">
    <cfRule type="dataBar" priority="20682">
      <dataBar>
        <cfvo type="min"/>
        <cfvo type="max"/>
        <color rgb="FFFF555A"/>
      </dataBar>
    </cfRule>
  </conditionalFormatting>
  <conditionalFormatting sqref="N3793:N3808">
    <cfRule type="dataBar" priority="20681">
      <dataBar>
        <cfvo type="min"/>
        <cfvo type="max"/>
        <color rgb="FFFF555A"/>
      </dataBar>
    </cfRule>
  </conditionalFormatting>
  <conditionalFormatting sqref="Q3793:Q3808">
    <cfRule type="dataBar" priority="20680">
      <dataBar>
        <cfvo type="min"/>
        <cfvo type="max"/>
        <color rgb="FFFF555A"/>
      </dataBar>
    </cfRule>
  </conditionalFormatting>
  <conditionalFormatting sqref="O3793:O3808">
    <cfRule type="dataBar" priority="20679">
      <dataBar>
        <cfvo type="min"/>
        <cfvo type="max"/>
        <color rgb="FFFF555A"/>
      </dataBar>
    </cfRule>
  </conditionalFormatting>
  <conditionalFormatting sqref="P3793:P3808">
    <cfRule type="dataBar" priority="20678">
      <dataBar>
        <cfvo type="min"/>
        <cfvo type="max"/>
        <color rgb="FFFF555A"/>
      </dataBar>
    </cfRule>
  </conditionalFormatting>
  <conditionalFormatting sqref="R3810:R3826 D3810:D3825 C3826">
    <cfRule type="containsText" dxfId="6280" priority="20677" operator="containsText" text="DOWN">
      <formula>NOT(ISERROR(SEARCH("DOWN",C3810)))</formula>
    </cfRule>
  </conditionalFormatting>
  <conditionalFormatting sqref="R3810:R3826 D3810:D3825 C3826">
    <cfRule type="containsText" dxfId="6279" priority="20676" operator="containsText" text="UP">
      <formula>NOT(ISERROR(SEARCH("UP",C3810)))</formula>
    </cfRule>
  </conditionalFormatting>
  <conditionalFormatting sqref="I3826">
    <cfRule type="colorScale" priority="20675">
      <colorScale>
        <cfvo type="min"/>
        <cfvo type="max"/>
        <color rgb="FFFFEF9C"/>
        <color rgb="FF63BE7B"/>
      </colorScale>
    </cfRule>
  </conditionalFormatting>
  <conditionalFormatting sqref="M3826">
    <cfRule type="colorScale" priority="20674">
      <colorScale>
        <cfvo type="min"/>
        <cfvo type="max"/>
        <color rgb="FFFF7128"/>
        <color rgb="FFFFEF9C"/>
      </colorScale>
    </cfRule>
  </conditionalFormatting>
  <conditionalFormatting sqref="Q3826">
    <cfRule type="dataBar" priority="20673">
      <dataBar>
        <cfvo type="min"/>
        <cfvo type="max"/>
        <color rgb="FFFF555A"/>
      </dataBar>
    </cfRule>
  </conditionalFormatting>
  <conditionalFormatting sqref="E3810:E3826">
    <cfRule type="dataBar" priority="20672">
      <dataBar>
        <cfvo type="min"/>
        <cfvo type="max"/>
        <color rgb="FFFF555A"/>
      </dataBar>
    </cfRule>
  </conditionalFormatting>
  <conditionalFormatting sqref="F3826">
    <cfRule type="top10" dxfId="6278" priority="20671" rank="1"/>
  </conditionalFormatting>
  <conditionalFormatting sqref="G3826 P3826">
    <cfRule type="cellIs" dxfId="6277" priority="20670" operator="equal">
      <formula>$G$135</formula>
    </cfRule>
  </conditionalFormatting>
  <conditionalFormatting sqref="P3826">
    <cfRule type="cellIs" dxfId="6276" priority="20669" operator="equal">
      <formula>$J$135</formula>
    </cfRule>
  </conditionalFormatting>
  <conditionalFormatting sqref="G3826 P3826">
    <cfRule type="cellIs" dxfId="6275" priority="20668" operator="equal">
      <formula>#REF!</formula>
    </cfRule>
  </conditionalFormatting>
  <conditionalFormatting sqref="G3826">
    <cfRule type="top10" dxfId="6274" priority="20666" rank="1"/>
    <cfRule type="cellIs" dxfId="6273" priority="20667" operator="equal">
      <formula>$G$133</formula>
    </cfRule>
  </conditionalFormatting>
  <conditionalFormatting sqref="P3826">
    <cfRule type="top10" dxfId="6272" priority="20664" rank="1"/>
    <cfRule type="cellIs" dxfId="6271" priority="20665" operator="equal">
      <formula>$G$133</formula>
    </cfRule>
  </conditionalFormatting>
  <conditionalFormatting sqref="C3810:C3825">
    <cfRule type="containsText" dxfId="6270" priority="20660" operator="containsText" text="Short Buildup">
      <formula>NOT(ISERROR(SEARCH("Short Buildup",C3810)))</formula>
    </cfRule>
    <cfRule type="containsText" dxfId="6269" priority="20661" operator="containsText" text="Long Liquidation">
      <formula>NOT(ISERROR(SEARCH("Long Liquidation",C3810)))</formula>
    </cfRule>
    <cfRule type="containsText" dxfId="6268" priority="20662" operator="containsText" text="Short covering">
      <formula>NOT(ISERROR(SEARCH("Short covering",C3810)))</formula>
    </cfRule>
    <cfRule type="containsText" dxfId="6267" priority="20663" operator="containsText" text="Long Buildup">
      <formula>NOT(ISERROR(SEARCH("Long Buildup",C3810)))</formula>
    </cfRule>
  </conditionalFormatting>
  <conditionalFormatting sqref="H3826">
    <cfRule type="colorScale" priority="20655">
      <colorScale>
        <cfvo type="min"/>
        <cfvo type="percentile" val="20"/>
        <cfvo type="max"/>
        <color rgb="FF92D050"/>
        <color theme="5" tint="0.79998168889431442"/>
        <color rgb="FFFF0000"/>
      </colorScale>
    </cfRule>
    <cfRule type="colorScale" priority="20656">
      <colorScale>
        <cfvo type="min"/>
        <cfvo type="max"/>
        <color rgb="FFFF0000"/>
        <color rgb="FF92D050"/>
      </colorScale>
    </cfRule>
    <cfRule type="colorScale" priority="20657">
      <colorScale>
        <cfvo type="min"/>
        <cfvo type="percentile" val="50"/>
        <cfvo type="max"/>
        <color rgb="FF5A8AC6"/>
        <color rgb="FFFCFCFF"/>
        <color rgb="FFF8696B"/>
      </colorScale>
    </cfRule>
    <cfRule type="colorScale" priority="20658">
      <colorScale>
        <cfvo type="formula" val="&quot;&gt;20&quot;"/>
        <cfvo type="formula" val="35"/>
        <color rgb="FFF8696B"/>
        <color rgb="FFFCFCFF"/>
      </colorScale>
    </cfRule>
    <cfRule type="colorScale" priority="20659">
      <colorScale>
        <cfvo type="min"/>
        <cfvo type="max"/>
        <color rgb="FFFFEF9C"/>
        <color rgb="FF63BE7B"/>
      </colorScale>
    </cfRule>
  </conditionalFormatting>
  <conditionalFormatting sqref="N3826">
    <cfRule type="colorScale" priority="20650">
      <colorScale>
        <cfvo type="min"/>
        <cfvo type="percentile" val="20"/>
        <cfvo type="max"/>
        <color rgb="FF92D050"/>
        <color theme="5" tint="0.79998168889431442"/>
        <color rgb="FFFF0000"/>
      </colorScale>
    </cfRule>
    <cfRule type="colorScale" priority="20651">
      <colorScale>
        <cfvo type="min"/>
        <cfvo type="max"/>
        <color rgb="FFFF0000"/>
        <color rgb="FF92D050"/>
      </colorScale>
    </cfRule>
    <cfRule type="colorScale" priority="20652">
      <colorScale>
        <cfvo type="min"/>
        <cfvo type="percentile" val="50"/>
        <cfvo type="max"/>
        <color rgb="FF5A8AC6"/>
        <color rgb="FFFCFCFF"/>
        <color rgb="FFF8696B"/>
      </colorScale>
    </cfRule>
    <cfRule type="colorScale" priority="20653">
      <colorScale>
        <cfvo type="formula" val="&quot;&gt;20&quot;"/>
        <cfvo type="formula" val="35"/>
        <color rgb="FFF8696B"/>
        <color rgb="FFFCFCFF"/>
      </colorScale>
    </cfRule>
    <cfRule type="colorScale" priority="20654">
      <colorScale>
        <cfvo type="min"/>
        <cfvo type="max"/>
        <color rgb="FFFFEF9C"/>
        <color rgb="FF63BE7B"/>
      </colorScale>
    </cfRule>
  </conditionalFormatting>
  <conditionalFormatting sqref="S3810:S3826">
    <cfRule type="containsText" dxfId="6266" priority="20646" operator="containsText" text="Short Buildup">
      <formula>NOT(ISERROR(SEARCH("Short Buildup",S3810)))</formula>
    </cfRule>
    <cfRule type="containsText" dxfId="6265" priority="20647" operator="containsText" text="Long Liquidation">
      <formula>NOT(ISERROR(SEARCH("Long Liquidation",S3810)))</formula>
    </cfRule>
    <cfRule type="containsText" dxfId="6264" priority="20648" operator="containsText" text="Short covering">
      <formula>NOT(ISERROR(SEARCH("Short covering",S3810)))</formula>
    </cfRule>
    <cfRule type="containsText" dxfId="6263" priority="20649" operator="containsText" text="Long Buildup">
      <formula>NOT(ISERROR(SEARCH("Long Buildup",S3810)))</formula>
    </cfRule>
  </conditionalFormatting>
  <conditionalFormatting sqref="F3810:F3825">
    <cfRule type="dataBar" priority="20645">
      <dataBar>
        <cfvo type="min"/>
        <cfvo type="max"/>
        <color rgb="FFFF555A"/>
      </dataBar>
    </cfRule>
  </conditionalFormatting>
  <conditionalFormatting sqref="G3810:G3825">
    <cfRule type="dataBar" priority="20644">
      <dataBar>
        <cfvo type="min"/>
        <cfvo type="max"/>
        <color rgb="FFFF555A"/>
      </dataBar>
    </cfRule>
  </conditionalFormatting>
  <conditionalFormatting sqref="H3810">
    <cfRule type="dataBar" priority="20643">
      <dataBar>
        <cfvo type="min"/>
        <cfvo type="max"/>
        <color rgb="FFFF555A"/>
      </dataBar>
    </cfRule>
  </conditionalFormatting>
  <conditionalFormatting sqref="I3810">
    <cfRule type="dataBar" priority="20642">
      <dataBar>
        <cfvo type="min"/>
        <cfvo type="max"/>
        <color rgb="FFFF555A"/>
      </dataBar>
    </cfRule>
  </conditionalFormatting>
  <conditionalFormatting sqref="J3810">
    <cfRule type="dataBar" priority="20641">
      <dataBar>
        <cfvo type="min"/>
        <cfvo type="max"/>
        <color rgb="FFFF555A"/>
      </dataBar>
    </cfRule>
  </conditionalFormatting>
  <conditionalFormatting sqref="E3811:E3825">
    <cfRule type="dataBar" priority="20640">
      <dataBar>
        <cfvo type="min"/>
        <cfvo type="max"/>
        <color rgb="FFFF555A"/>
      </dataBar>
    </cfRule>
  </conditionalFormatting>
  <conditionalFormatting sqref="H3811:H3825">
    <cfRule type="dataBar" priority="20639">
      <dataBar>
        <cfvo type="min"/>
        <cfvo type="max"/>
        <color rgb="FFFF555A"/>
      </dataBar>
    </cfRule>
  </conditionalFormatting>
  <conditionalFormatting sqref="I3811:I3825">
    <cfRule type="dataBar" priority="20638">
      <dataBar>
        <cfvo type="min"/>
        <cfvo type="max"/>
        <color rgb="FFFF555A"/>
      </dataBar>
    </cfRule>
  </conditionalFormatting>
  <conditionalFormatting sqref="J3811:J3825">
    <cfRule type="dataBar" priority="20637">
      <dataBar>
        <cfvo type="min"/>
        <cfvo type="max"/>
        <color rgb="FFFF555A"/>
      </dataBar>
    </cfRule>
  </conditionalFormatting>
  <conditionalFormatting sqref="L3810:L3825">
    <cfRule type="dataBar" priority="20636">
      <dataBar>
        <cfvo type="min"/>
        <cfvo type="max"/>
        <color rgb="FFFF555A"/>
      </dataBar>
    </cfRule>
  </conditionalFormatting>
  <conditionalFormatting sqref="M3810:M3825">
    <cfRule type="dataBar" priority="20635">
      <dataBar>
        <cfvo type="min"/>
        <cfvo type="max"/>
        <color rgb="FFFF555A"/>
      </dataBar>
    </cfRule>
  </conditionalFormatting>
  <conditionalFormatting sqref="N3810:N3825">
    <cfRule type="dataBar" priority="20634">
      <dataBar>
        <cfvo type="min"/>
        <cfvo type="max"/>
        <color rgb="FFFF555A"/>
      </dataBar>
    </cfRule>
  </conditionalFormatting>
  <conditionalFormatting sqref="Q3810:Q3825">
    <cfRule type="dataBar" priority="20633">
      <dataBar>
        <cfvo type="min"/>
        <cfvo type="max"/>
        <color rgb="FFFF555A"/>
      </dataBar>
    </cfRule>
  </conditionalFormatting>
  <conditionalFormatting sqref="O3810:O3825">
    <cfRule type="dataBar" priority="20632">
      <dataBar>
        <cfvo type="min"/>
        <cfvo type="max"/>
        <color rgb="FFFF555A"/>
      </dataBar>
    </cfRule>
  </conditionalFormatting>
  <conditionalFormatting sqref="P3810:P3825">
    <cfRule type="dataBar" priority="20631">
      <dataBar>
        <cfvo type="min"/>
        <cfvo type="max"/>
        <color rgb="FFFF555A"/>
      </dataBar>
    </cfRule>
  </conditionalFormatting>
  <conditionalFormatting sqref="R3827:R3843 D3827:D3842 C3843">
    <cfRule type="containsText" dxfId="6262" priority="20630" operator="containsText" text="DOWN">
      <formula>NOT(ISERROR(SEARCH("DOWN",C3827)))</formula>
    </cfRule>
  </conditionalFormatting>
  <conditionalFormatting sqref="R3827:R3843 D3827:D3842 C3843">
    <cfRule type="containsText" dxfId="6261" priority="20629" operator="containsText" text="UP">
      <formula>NOT(ISERROR(SEARCH("UP",C3827)))</formula>
    </cfRule>
  </conditionalFormatting>
  <conditionalFormatting sqref="I3843">
    <cfRule type="colorScale" priority="20628">
      <colorScale>
        <cfvo type="min"/>
        <cfvo type="max"/>
        <color rgb="FFFFEF9C"/>
        <color rgb="FF63BE7B"/>
      </colorScale>
    </cfRule>
  </conditionalFormatting>
  <conditionalFormatting sqref="M3843">
    <cfRule type="colorScale" priority="20627">
      <colorScale>
        <cfvo type="min"/>
        <cfvo type="max"/>
        <color rgb="FFFF7128"/>
        <color rgb="FFFFEF9C"/>
      </colorScale>
    </cfRule>
  </conditionalFormatting>
  <conditionalFormatting sqref="Q3843">
    <cfRule type="dataBar" priority="20626">
      <dataBar>
        <cfvo type="min"/>
        <cfvo type="max"/>
        <color rgb="FFFF555A"/>
      </dataBar>
    </cfRule>
  </conditionalFormatting>
  <conditionalFormatting sqref="E3827:E3843">
    <cfRule type="dataBar" priority="20625">
      <dataBar>
        <cfvo type="min"/>
        <cfvo type="max"/>
        <color rgb="FFFF555A"/>
      </dataBar>
    </cfRule>
  </conditionalFormatting>
  <conditionalFormatting sqref="F3843">
    <cfRule type="top10" dxfId="6260" priority="20624" rank="1"/>
  </conditionalFormatting>
  <conditionalFormatting sqref="G3843 P3843">
    <cfRule type="cellIs" dxfId="6259" priority="20623" operator="equal">
      <formula>$G$135</formula>
    </cfRule>
  </conditionalFormatting>
  <conditionalFormatting sqref="P3843">
    <cfRule type="cellIs" dxfId="6258" priority="20622" operator="equal">
      <formula>$J$135</formula>
    </cfRule>
  </conditionalFormatting>
  <conditionalFormatting sqref="G3843 P3843">
    <cfRule type="cellIs" dxfId="6257" priority="20621" operator="equal">
      <formula>#REF!</formula>
    </cfRule>
  </conditionalFormatting>
  <conditionalFormatting sqref="G3843">
    <cfRule type="top10" dxfId="6256" priority="20619" rank="1"/>
    <cfRule type="cellIs" dxfId="6255" priority="20620" operator="equal">
      <formula>$G$133</formula>
    </cfRule>
  </conditionalFormatting>
  <conditionalFormatting sqref="P3843">
    <cfRule type="top10" dxfId="6254" priority="20617" rank="1"/>
    <cfRule type="cellIs" dxfId="6253" priority="20618" operator="equal">
      <formula>$G$133</formula>
    </cfRule>
  </conditionalFormatting>
  <conditionalFormatting sqref="C3827:C3842">
    <cfRule type="containsText" dxfId="6252" priority="20613" operator="containsText" text="Short Buildup">
      <formula>NOT(ISERROR(SEARCH("Short Buildup",C3827)))</formula>
    </cfRule>
    <cfRule type="containsText" dxfId="6251" priority="20614" operator="containsText" text="Long Liquidation">
      <formula>NOT(ISERROR(SEARCH("Long Liquidation",C3827)))</formula>
    </cfRule>
    <cfRule type="containsText" dxfId="6250" priority="20615" operator="containsText" text="Short covering">
      <formula>NOT(ISERROR(SEARCH("Short covering",C3827)))</formula>
    </cfRule>
    <cfRule type="containsText" dxfId="6249" priority="20616" operator="containsText" text="Long Buildup">
      <formula>NOT(ISERROR(SEARCH("Long Buildup",C3827)))</formula>
    </cfRule>
  </conditionalFormatting>
  <conditionalFormatting sqref="H3843">
    <cfRule type="colorScale" priority="20608">
      <colorScale>
        <cfvo type="min"/>
        <cfvo type="percentile" val="20"/>
        <cfvo type="max"/>
        <color rgb="FF92D050"/>
        <color theme="5" tint="0.79998168889431442"/>
        <color rgb="FFFF0000"/>
      </colorScale>
    </cfRule>
    <cfRule type="colorScale" priority="20609">
      <colorScale>
        <cfvo type="min"/>
        <cfvo type="max"/>
        <color rgb="FFFF0000"/>
        <color rgb="FF92D050"/>
      </colorScale>
    </cfRule>
    <cfRule type="colorScale" priority="20610">
      <colorScale>
        <cfvo type="min"/>
        <cfvo type="percentile" val="50"/>
        <cfvo type="max"/>
        <color rgb="FF5A8AC6"/>
        <color rgb="FFFCFCFF"/>
        <color rgb="FFF8696B"/>
      </colorScale>
    </cfRule>
    <cfRule type="colorScale" priority="20611">
      <colorScale>
        <cfvo type="formula" val="&quot;&gt;20&quot;"/>
        <cfvo type="formula" val="35"/>
        <color rgb="FFF8696B"/>
        <color rgb="FFFCFCFF"/>
      </colorScale>
    </cfRule>
    <cfRule type="colorScale" priority="20612">
      <colorScale>
        <cfvo type="min"/>
        <cfvo type="max"/>
        <color rgb="FFFFEF9C"/>
        <color rgb="FF63BE7B"/>
      </colorScale>
    </cfRule>
  </conditionalFormatting>
  <conditionalFormatting sqref="N3843">
    <cfRule type="colorScale" priority="20603">
      <colorScale>
        <cfvo type="min"/>
        <cfvo type="percentile" val="20"/>
        <cfvo type="max"/>
        <color rgb="FF92D050"/>
        <color theme="5" tint="0.79998168889431442"/>
        <color rgb="FFFF0000"/>
      </colorScale>
    </cfRule>
    <cfRule type="colorScale" priority="20604">
      <colorScale>
        <cfvo type="min"/>
        <cfvo type="max"/>
        <color rgb="FFFF0000"/>
        <color rgb="FF92D050"/>
      </colorScale>
    </cfRule>
    <cfRule type="colorScale" priority="20605">
      <colorScale>
        <cfvo type="min"/>
        <cfvo type="percentile" val="50"/>
        <cfvo type="max"/>
        <color rgb="FF5A8AC6"/>
        <color rgb="FFFCFCFF"/>
        <color rgb="FFF8696B"/>
      </colorScale>
    </cfRule>
    <cfRule type="colorScale" priority="20606">
      <colorScale>
        <cfvo type="formula" val="&quot;&gt;20&quot;"/>
        <cfvo type="formula" val="35"/>
        <color rgb="FFF8696B"/>
        <color rgb="FFFCFCFF"/>
      </colorScale>
    </cfRule>
    <cfRule type="colorScale" priority="20607">
      <colorScale>
        <cfvo type="min"/>
        <cfvo type="max"/>
        <color rgb="FFFFEF9C"/>
        <color rgb="FF63BE7B"/>
      </colorScale>
    </cfRule>
  </conditionalFormatting>
  <conditionalFormatting sqref="S3827:S3843">
    <cfRule type="containsText" dxfId="6248" priority="20599" operator="containsText" text="Short Buildup">
      <formula>NOT(ISERROR(SEARCH("Short Buildup",S3827)))</formula>
    </cfRule>
    <cfRule type="containsText" dxfId="6247" priority="20600" operator="containsText" text="Long Liquidation">
      <formula>NOT(ISERROR(SEARCH("Long Liquidation",S3827)))</formula>
    </cfRule>
    <cfRule type="containsText" dxfId="6246" priority="20601" operator="containsText" text="Short covering">
      <formula>NOT(ISERROR(SEARCH("Short covering",S3827)))</formula>
    </cfRule>
    <cfRule type="containsText" dxfId="6245" priority="20602" operator="containsText" text="Long Buildup">
      <formula>NOT(ISERROR(SEARCH("Long Buildup",S3827)))</formula>
    </cfRule>
  </conditionalFormatting>
  <conditionalFormatting sqref="F3827:F3842">
    <cfRule type="dataBar" priority="20598">
      <dataBar>
        <cfvo type="min"/>
        <cfvo type="max"/>
        <color rgb="FFFF555A"/>
      </dataBar>
    </cfRule>
  </conditionalFormatting>
  <conditionalFormatting sqref="G3827:G3842">
    <cfRule type="dataBar" priority="20597">
      <dataBar>
        <cfvo type="min"/>
        <cfvo type="max"/>
        <color rgb="FFFF555A"/>
      </dataBar>
    </cfRule>
  </conditionalFormatting>
  <conditionalFormatting sqref="H3827">
    <cfRule type="dataBar" priority="20596">
      <dataBar>
        <cfvo type="min"/>
        <cfvo type="max"/>
        <color rgb="FFFF555A"/>
      </dataBar>
    </cfRule>
  </conditionalFormatting>
  <conditionalFormatting sqref="I3827">
    <cfRule type="dataBar" priority="20595">
      <dataBar>
        <cfvo type="min"/>
        <cfvo type="max"/>
        <color rgb="FFFF555A"/>
      </dataBar>
    </cfRule>
  </conditionalFormatting>
  <conditionalFormatting sqref="J3827">
    <cfRule type="dataBar" priority="20594">
      <dataBar>
        <cfvo type="min"/>
        <cfvo type="max"/>
        <color rgb="FFFF555A"/>
      </dataBar>
    </cfRule>
  </conditionalFormatting>
  <conditionalFormatting sqref="E3828:E3842">
    <cfRule type="dataBar" priority="20593">
      <dataBar>
        <cfvo type="min"/>
        <cfvo type="max"/>
        <color rgb="FFFF555A"/>
      </dataBar>
    </cfRule>
  </conditionalFormatting>
  <conditionalFormatting sqref="H3828:H3842">
    <cfRule type="dataBar" priority="20592">
      <dataBar>
        <cfvo type="min"/>
        <cfvo type="max"/>
        <color rgb="FFFF555A"/>
      </dataBar>
    </cfRule>
  </conditionalFormatting>
  <conditionalFormatting sqref="I3828:I3842">
    <cfRule type="dataBar" priority="20591">
      <dataBar>
        <cfvo type="min"/>
        <cfvo type="max"/>
        <color rgb="FFFF555A"/>
      </dataBar>
    </cfRule>
  </conditionalFormatting>
  <conditionalFormatting sqref="J3828:J3842">
    <cfRule type="dataBar" priority="20590">
      <dataBar>
        <cfvo type="min"/>
        <cfvo type="max"/>
        <color rgb="FFFF555A"/>
      </dataBar>
    </cfRule>
  </conditionalFormatting>
  <conditionalFormatting sqref="L3827:L3842">
    <cfRule type="dataBar" priority="20589">
      <dataBar>
        <cfvo type="min"/>
        <cfvo type="max"/>
        <color rgb="FFFF555A"/>
      </dataBar>
    </cfRule>
  </conditionalFormatting>
  <conditionalFormatting sqref="M3827:M3842">
    <cfRule type="dataBar" priority="20588">
      <dataBar>
        <cfvo type="min"/>
        <cfvo type="max"/>
        <color rgb="FFFF555A"/>
      </dataBar>
    </cfRule>
  </conditionalFormatting>
  <conditionalFormatting sqref="N3827:N3842">
    <cfRule type="dataBar" priority="20587">
      <dataBar>
        <cfvo type="min"/>
        <cfvo type="max"/>
        <color rgb="FFFF555A"/>
      </dataBar>
    </cfRule>
  </conditionalFormatting>
  <conditionalFormatting sqref="Q3827:Q3842">
    <cfRule type="dataBar" priority="20586">
      <dataBar>
        <cfvo type="min"/>
        <cfvo type="max"/>
        <color rgb="FFFF555A"/>
      </dataBar>
    </cfRule>
  </conditionalFormatting>
  <conditionalFormatting sqref="O3827:O3842">
    <cfRule type="dataBar" priority="20585">
      <dataBar>
        <cfvo type="min"/>
        <cfvo type="max"/>
        <color rgb="FFFF555A"/>
      </dataBar>
    </cfRule>
  </conditionalFormatting>
  <conditionalFormatting sqref="P3827:P3842">
    <cfRule type="dataBar" priority="20584">
      <dataBar>
        <cfvo type="min"/>
        <cfvo type="max"/>
        <color rgb="FFFF555A"/>
      </dataBar>
    </cfRule>
  </conditionalFormatting>
  <conditionalFormatting sqref="R3844:R3860 D3844:D3859 C3860">
    <cfRule type="containsText" dxfId="6244" priority="20583" operator="containsText" text="DOWN">
      <formula>NOT(ISERROR(SEARCH("DOWN",C3844)))</formula>
    </cfRule>
  </conditionalFormatting>
  <conditionalFormatting sqref="R3844:R3860 D3844:D3859 C3860">
    <cfRule type="containsText" dxfId="6243" priority="20582" operator="containsText" text="UP">
      <formula>NOT(ISERROR(SEARCH("UP",C3844)))</formula>
    </cfRule>
  </conditionalFormatting>
  <conditionalFormatting sqref="I3860">
    <cfRule type="colorScale" priority="20581">
      <colorScale>
        <cfvo type="min"/>
        <cfvo type="max"/>
        <color rgb="FFFFEF9C"/>
        <color rgb="FF63BE7B"/>
      </colorScale>
    </cfRule>
  </conditionalFormatting>
  <conditionalFormatting sqref="M3860">
    <cfRule type="colorScale" priority="20580">
      <colorScale>
        <cfvo type="min"/>
        <cfvo type="max"/>
        <color rgb="FFFF7128"/>
        <color rgb="FFFFEF9C"/>
      </colorScale>
    </cfRule>
  </conditionalFormatting>
  <conditionalFormatting sqref="Q3860">
    <cfRule type="dataBar" priority="20579">
      <dataBar>
        <cfvo type="min"/>
        <cfvo type="max"/>
        <color rgb="FFFF555A"/>
      </dataBar>
    </cfRule>
  </conditionalFormatting>
  <conditionalFormatting sqref="E3844:E3860">
    <cfRule type="dataBar" priority="20578">
      <dataBar>
        <cfvo type="min"/>
        <cfvo type="max"/>
        <color rgb="FFFF555A"/>
      </dataBar>
    </cfRule>
  </conditionalFormatting>
  <conditionalFormatting sqref="F3860">
    <cfRule type="top10" dxfId="6242" priority="20577" rank="1"/>
  </conditionalFormatting>
  <conditionalFormatting sqref="G3860 P3860">
    <cfRule type="cellIs" dxfId="6241" priority="20576" operator="equal">
      <formula>$G$135</formula>
    </cfRule>
  </conditionalFormatting>
  <conditionalFormatting sqref="P3860">
    <cfRule type="cellIs" dxfId="6240" priority="20575" operator="equal">
      <formula>$J$135</formula>
    </cfRule>
  </conditionalFormatting>
  <conditionalFormatting sqref="G3860 P3860">
    <cfRule type="cellIs" dxfId="6239" priority="20574" operator="equal">
      <formula>#REF!</formula>
    </cfRule>
  </conditionalFormatting>
  <conditionalFormatting sqref="G3860">
    <cfRule type="top10" dxfId="6238" priority="20572" rank="1"/>
    <cfRule type="cellIs" dxfId="6237" priority="20573" operator="equal">
      <formula>$G$133</formula>
    </cfRule>
  </conditionalFormatting>
  <conditionalFormatting sqref="P3860">
    <cfRule type="top10" dxfId="6236" priority="20570" rank="1"/>
    <cfRule type="cellIs" dxfId="6235" priority="20571" operator="equal">
      <formula>$G$133</formula>
    </cfRule>
  </conditionalFormatting>
  <conditionalFormatting sqref="C3844:C3859">
    <cfRule type="containsText" dxfId="6234" priority="20566" operator="containsText" text="Short Buildup">
      <formula>NOT(ISERROR(SEARCH("Short Buildup",C3844)))</formula>
    </cfRule>
    <cfRule type="containsText" dxfId="6233" priority="20567" operator="containsText" text="Long Liquidation">
      <formula>NOT(ISERROR(SEARCH("Long Liquidation",C3844)))</formula>
    </cfRule>
    <cfRule type="containsText" dxfId="6232" priority="20568" operator="containsText" text="Short covering">
      <formula>NOT(ISERROR(SEARCH("Short covering",C3844)))</formula>
    </cfRule>
    <cfRule type="containsText" dxfId="6231" priority="20569" operator="containsText" text="Long Buildup">
      <formula>NOT(ISERROR(SEARCH("Long Buildup",C3844)))</formula>
    </cfRule>
  </conditionalFormatting>
  <conditionalFormatting sqref="H3860">
    <cfRule type="colorScale" priority="20561">
      <colorScale>
        <cfvo type="min"/>
        <cfvo type="percentile" val="20"/>
        <cfvo type="max"/>
        <color rgb="FF92D050"/>
        <color theme="5" tint="0.79998168889431442"/>
        <color rgb="FFFF0000"/>
      </colorScale>
    </cfRule>
    <cfRule type="colorScale" priority="20562">
      <colorScale>
        <cfvo type="min"/>
        <cfvo type="max"/>
        <color rgb="FFFF0000"/>
        <color rgb="FF92D050"/>
      </colorScale>
    </cfRule>
    <cfRule type="colorScale" priority="20563">
      <colorScale>
        <cfvo type="min"/>
        <cfvo type="percentile" val="50"/>
        <cfvo type="max"/>
        <color rgb="FF5A8AC6"/>
        <color rgb="FFFCFCFF"/>
        <color rgb="FFF8696B"/>
      </colorScale>
    </cfRule>
    <cfRule type="colorScale" priority="20564">
      <colorScale>
        <cfvo type="formula" val="&quot;&gt;20&quot;"/>
        <cfvo type="formula" val="35"/>
        <color rgb="FFF8696B"/>
        <color rgb="FFFCFCFF"/>
      </colorScale>
    </cfRule>
    <cfRule type="colorScale" priority="20565">
      <colorScale>
        <cfvo type="min"/>
        <cfvo type="max"/>
        <color rgb="FFFFEF9C"/>
        <color rgb="FF63BE7B"/>
      </colorScale>
    </cfRule>
  </conditionalFormatting>
  <conditionalFormatting sqref="N3860">
    <cfRule type="colorScale" priority="20556">
      <colorScale>
        <cfvo type="min"/>
        <cfvo type="percentile" val="20"/>
        <cfvo type="max"/>
        <color rgb="FF92D050"/>
        <color theme="5" tint="0.79998168889431442"/>
        <color rgb="FFFF0000"/>
      </colorScale>
    </cfRule>
    <cfRule type="colorScale" priority="20557">
      <colorScale>
        <cfvo type="min"/>
        <cfvo type="max"/>
        <color rgb="FFFF0000"/>
        <color rgb="FF92D050"/>
      </colorScale>
    </cfRule>
    <cfRule type="colorScale" priority="20558">
      <colorScale>
        <cfvo type="min"/>
        <cfvo type="percentile" val="50"/>
        <cfvo type="max"/>
        <color rgb="FF5A8AC6"/>
        <color rgb="FFFCFCFF"/>
        <color rgb="FFF8696B"/>
      </colorScale>
    </cfRule>
    <cfRule type="colorScale" priority="20559">
      <colorScale>
        <cfvo type="formula" val="&quot;&gt;20&quot;"/>
        <cfvo type="formula" val="35"/>
        <color rgb="FFF8696B"/>
        <color rgb="FFFCFCFF"/>
      </colorScale>
    </cfRule>
    <cfRule type="colorScale" priority="20560">
      <colorScale>
        <cfvo type="min"/>
        <cfvo type="max"/>
        <color rgb="FFFFEF9C"/>
        <color rgb="FF63BE7B"/>
      </colorScale>
    </cfRule>
  </conditionalFormatting>
  <conditionalFormatting sqref="S3844:S3860">
    <cfRule type="containsText" dxfId="6230" priority="20552" operator="containsText" text="Short Buildup">
      <formula>NOT(ISERROR(SEARCH("Short Buildup",S3844)))</formula>
    </cfRule>
    <cfRule type="containsText" dxfId="6229" priority="20553" operator="containsText" text="Long Liquidation">
      <formula>NOT(ISERROR(SEARCH("Long Liquidation",S3844)))</formula>
    </cfRule>
    <cfRule type="containsText" dxfId="6228" priority="20554" operator="containsText" text="Short covering">
      <formula>NOT(ISERROR(SEARCH("Short covering",S3844)))</formula>
    </cfRule>
    <cfRule type="containsText" dxfId="6227" priority="20555" operator="containsText" text="Long Buildup">
      <formula>NOT(ISERROR(SEARCH("Long Buildup",S3844)))</formula>
    </cfRule>
  </conditionalFormatting>
  <conditionalFormatting sqref="F3844:F3859">
    <cfRule type="dataBar" priority="20551">
      <dataBar>
        <cfvo type="min"/>
        <cfvo type="max"/>
        <color rgb="FFFF555A"/>
      </dataBar>
    </cfRule>
  </conditionalFormatting>
  <conditionalFormatting sqref="G3844:G3859">
    <cfRule type="dataBar" priority="20550">
      <dataBar>
        <cfvo type="min"/>
        <cfvo type="max"/>
        <color rgb="FFFF555A"/>
      </dataBar>
    </cfRule>
  </conditionalFormatting>
  <conditionalFormatting sqref="H3844">
    <cfRule type="dataBar" priority="20549">
      <dataBar>
        <cfvo type="min"/>
        <cfvo type="max"/>
        <color rgb="FFFF555A"/>
      </dataBar>
    </cfRule>
  </conditionalFormatting>
  <conditionalFormatting sqref="I3844">
    <cfRule type="dataBar" priority="20548">
      <dataBar>
        <cfvo type="min"/>
        <cfvo type="max"/>
        <color rgb="FFFF555A"/>
      </dataBar>
    </cfRule>
  </conditionalFormatting>
  <conditionalFormatting sqref="J3844">
    <cfRule type="dataBar" priority="20547">
      <dataBar>
        <cfvo type="min"/>
        <cfvo type="max"/>
        <color rgb="FFFF555A"/>
      </dataBar>
    </cfRule>
  </conditionalFormatting>
  <conditionalFormatting sqref="E3845:E3859">
    <cfRule type="dataBar" priority="20546">
      <dataBar>
        <cfvo type="min"/>
        <cfvo type="max"/>
        <color rgb="FFFF555A"/>
      </dataBar>
    </cfRule>
  </conditionalFormatting>
  <conditionalFormatting sqref="H3845:H3859">
    <cfRule type="dataBar" priority="20545">
      <dataBar>
        <cfvo type="min"/>
        <cfvo type="max"/>
        <color rgb="FFFF555A"/>
      </dataBar>
    </cfRule>
  </conditionalFormatting>
  <conditionalFormatting sqref="I3845:I3859">
    <cfRule type="dataBar" priority="20544">
      <dataBar>
        <cfvo type="min"/>
        <cfvo type="max"/>
        <color rgb="FFFF555A"/>
      </dataBar>
    </cfRule>
  </conditionalFormatting>
  <conditionalFormatting sqref="J3845:J3859">
    <cfRule type="dataBar" priority="20543">
      <dataBar>
        <cfvo type="min"/>
        <cfvo type="max"/>
        <color rgb="FFFF555A"/>
      </dataBar>
    </cfRule>
  </conditionalFormatting>
  <conditionalFormatting sqref="L3844:L3859">
    <cfRule type="dataBar" priority="20542">
      <dataBar>
        <cfvo type="min"/>
        <cfvo type="max"/>
        <color rgb="FFFF555A"/>
      </dataBar>
    </cfRule>
  </conditionalFormatting>
  <conditionalFormatting sqref="M3844:M3859">
    <cfRule type="dataBar" priority="20541">
      <dataBar>
        <cfvo type="min"/>
        <cfvo type="max"/>
        <color rgb="FFFF555A"/>
      </dataBar>
    </cfRule>
  </conditionalFormatting>
  <conditionalFormatting sqref="N3844:N3859">
    <cfRule type="dataBar" priority="20540">
      <dataBar>
        <cfvo type="min"/>
        <cfvo type="max"/>
        <color rgb="FFFF555A"/>
      </dataBar>
    </cfRule>
  </conditionalFormatting>
  <conditionalFormatting sqref="Q3844:Q3859">
    <cfRule type="dataBar" priority="20539">
      <dataBar>
        <cfvo type="min"/>
        <cfvo type="max"/>
        <color rgb="FFFF555A"/>
      </dataBar>
    </cfRule>
  </conditionalFormatting>
  <conditionalFormatting sqref="O3844:O3859">
    <cfRule type="dataBar" priority="20538">
      <dataBar>
        <cfvo type="min"/>
        <cfvo type="max"/>
        <color rgb="FFFF555A"/>
      </dataBar>
    </cfRule>
  </conditionalFormatting>
  <conditionalFormatting sqref="P3844:P3859">
    <cfRule type="dataBar" priority="20537">
      <dataBar>
        <cfvo type="min"/>
        <cfvo type="max"/>
        <color rgb="FFFF555A"/>
      </dataBar>
    </cfRule>
  </conditionalFormatting>
  <conditionalFormatting sqref="R3861:R3877 D3861:D3876 C3877">
    <cfRule type="containsText" dxfId="6226" priority="20536" operator="containsText" text="DOWN">
      <formula>NOT(ISERROR(SEARCH("DOWN",C3861)))</formula>
    </cfRule>
  </conditionalFormatting>
  <conditionalFormatting sqref="R3861:R3877 D3861:D3876 C3877">
    <cfRule type="containsText" dxfId="6225" priority="20535" operator="containsText" text="UP">
      <formula>NOT(ISERROR(SEARCH("UP",C3861)))</formula>
    </cfRule>
  </conditionalFormatting>
  <conditionalFormatting sqref="I3877">
    <cfRule type="colorScale" priority="20534">
      <colorScale>
        <cfvo type="min"/>
        <cfvo type="max"/>
        <color rgb="FFFFEF9C"/>
        <color rgb="FF63BE7B"/>
      </colorScale>
    </cfRule>
  </conditionalFormatting>
  <conditionalFormatting sqref="M3877">
    <cfRule type="colorScale" priority="20533">
      <colorScale>
        <cfvo type="min"/>
        <cfvo type="max"/>
        <color rgb="FFFF7128"/>
        <color rgb="FFFFEF9C"/>
      </colorScale>
    </cfRule>
  </conditionalFormatting>
  <conditionalFormatting sqref="Q3877">
    <cfRule type="dataBar" priority="20532">
      <dataBar>
        <cfvo type="min"/>
        <cfvo type="max"/>
        <color rgb="FFFF555A"/>
      </dataBar>
    </cfRule>
  </conditionalFormatting>
  <conditionalFormatting sqref="E3861:E3877">
    <cfRule type="dataBar" priority="20531">
      <dataBar>
        <cfvo type="min"/>
        <cfvo type="max"/>
        <color rgb="FFFF555A"/>
      </dataBar>
    </cfRule>
  </conditionalFormatting>
  <conditionalFormatting sqref="F3877">
    <cfRule type="top10" dxfId="6224" priority="20530" rank="1"/>
  </conditionalFormatting>
  <conditionalFormatting sqref="G3877 P3877">
    <cfRule type="cellIs" dxfId="6223" priority="20529" operator="equal">
      <formula>$G$135</formula>
    </cfRule>
  </conditionalFormatting>
  <conditionalFormatting sqref="P3877">
    <cfRule type="cellIs" dxfId="6222" priority="20528" operator="equal">
      <formula>$J$135</formula>
    </cfRule>
  </conditionalFormatting>
  <conditionalFormatting sqref="G3877 P3877">
    <cfRule type="cellIs" dxfId="6221" priority="20527" operator="equal">
      <formula>#REF!</formula>
    </cfRule>
  </conditionalFormatting>
  <conditionalFormatting sqref="G3877">
    <cfRule type="top10" dxfId="6220" priority="20525" rank="1"/>
    <cfRule type="cellIs" dxfId="6219" priority="20526" operator="equal">
      <formula>$G$133</formula>
    </cfRule>
  </conditionalFormatting>
  <conditionalFormatting sqref="P3877">
    <cfRule type="top10" dxfId="6218" priority="20523" rank="1"/>
    <cfRule type="cellIs" dxfId="6217" priority="20524" operator="equal">
      <formula>$G$133</formula>
    </cfRule>
  </conditionalFormatting>
  <conditionalFormatting sqref="C3861:C3876">
    <cfRule type="containsText" dxfId="6216" priority="20519" operator="containsText" text="Short Buildup">
      <formula>NOT(ISERROR(SEARCH("Short Buildup",C3861)))</formula>
    </cfRule>
    <cfRule type="containsText" dxfId="6215" priority="20520" operator="containsText" text="Long Liquidation">
      <formula>NOT(ISERROR(SEARCH("Long Liquidation",C3861)))</formula>
    </cfRule>
    <cfRule type="containsText" dxfId="6214" priority="20521" operator="containsText" text="Short covering">
      <formula>NOT(ISERROR(SEARCH("Short covering",C3861)))</formula>
    </cfRule>
    <cfRule type="containsText" dxfId="6213" priority="20522" operator="containsText" text="Long Buildup">
      <formula>NOT(ISERROR(SEARCH("Long Buildup",C3861)))</formula>
    </cfRule>
  </conditionalFormatting>
  <conditionalFormatting sqref="H3877">
    <cfRule type="colorScale" priority="20514">
      <colorScale>
        <cfvo type="min"/>
        <cfvo type="percentile" val="20"/>
        <cfvo type="max"/>
        <color rgb="FF92D050"/>
        <color theme="5" tint="0.79998168889431442"/>
        <color rgb="FFFF0000"/>
      </colorScale>
    </cfRule>
    <cfRule type="colorScale" priority="20515">
      <colorScale>
        <cfvo type="min"/>
        <cfvo type="max"/>
        <color rgb="FFFF0000"/>
        <color rgb="FF92D050"/>
      </colorScale>
    </cfRule>
    <cfRule type="colorScale" priority="20516">
      <colorScale>
        <cfvo type="min"/>
        <cfvo type="percentile" val="50"/>
        <cfvo type="max"/>
        <color rgb="FF5A8AC6"/>
        <color rgb="FFFCFCFF"/>
        <color rgb="FFF8696B"/>
      </colorScale>
    </cfRule>
    <cfRule type="colorScale" priority="20517">
      <colorScale>
        <cfvo type="formula" val="&quot;&gt;20&quot;"/>
        <cfvo type="formula" val="35"/>
        <color rgb="FFF8696B"/>
        <color rgb="FFFCFCFF"/>
      </colorScale>
    </cfRule>
    <cfRule type="colorScale" priority="20518">
      <colorScale>
        <cfvo type="min"/>
        <cfvo type="max"/>
        <color rgb="FFFFEF9C"/>
        <color rgb="FF63BE7B"/>
      </colorScale>
    </cfRule>
  </conditionalFormatting>
  <conditionalFormatting sqref="N3877">
    <cfRule type="colorScale" priority="20509">
      <colorScale>
        <cfvo type="min"/>
        <cfvo type="percentile" val="20"/>
        <cfvo type="max"/>
        <color rgb="FF92D050"/>
        <color theme="5" tint="0.79998168889431442"/>
        <color rgb="FFFF0000"/>
      </colorScale>
    </cfRule>
    <cfRule type="colorScale" priority="20510">
      <colorScale>
        <cfvo type="min"/>
        <cfvo type="max"/>
        <color rgb="FFFF0000"/>
        <color rgb="FF92D050"/>
      </colorScale>
    </cfRule>
    <cfRule type="colorScale" priority="20511">
      <colorScale>
        <cfvo type="min"/>
        <cfvo type="percentile" val="50"/>
        <cfvo type="max"/>
        <color rgb="FF5A8AC6"/>
        <color rgb="FFFCFCFF"/>
        <color rgb="FFF8696B"/>
      </colorScale>
    </cfRule>
    <cfRule type="colorScale" priority="20512">
      <colorScale>
        <cfvo type="formula" val="&quot;&gt;20&quot;"/>
        <cfvo type="formula" val="35"/>
        <color rgb="FFF8696B"/>
        <color rgb="FFFCFCFF"/>
      </colorScale>
    </cfRule>
    <cfRule type="colorScale" priority="20513">
      <colorScale>
        <cfvo type="min"/>
        <cfvo type="max"/>
        <color rgb="FFFFEF9C"/>
        <color rgb="FF63BE7B"/>
      </colorScale>
    </cfRule>
  </conditionalFormatting>
  <conditionalFormatting sqref="S3861:S3877">
    <cfRule type="containsText" dxfId="6212" priority="20505" operator="containsText" text="Short Buildup">
      <formula>NOT(ISERROR(SEARCH("Short Buildup",S3861)))</formula>
    </cfRule>
    <cfRule type="containsText" dxfId="6211" priority="20506" operator="containsText" text="Long Liquidation">
      <formula>NOT(ISERROR(SEARCH("Long Liquidation",S3861)))</formula>
    </cfRule>
    <cfRule type="containsText" dxfId="6210" priority="20507" operator="containsText" text="Short covering">
      <formula>NOT(ISERROR(SEARCH("Short covering",S3861)))</formula>
    </cfRule>
    <cfRule type="containsText" dxfId="6209" priority="20508" operator="containsText" text="Long Buildup">
      <formula>NOT(ISERROR(SEARCH("Long Buildup",S3861)))</formula>
    </cfRule>
  </conditionalFormatting>
  <conditionalFormatting sqref="F3861:F3876">
    <cfRule type="dataBar" priority="20504">
      <dataBar>
        <cfvo type="min"/>
        <cfvo type="max"/>
        <color rgb="FFFF555A"/>
      </dataBar>
    </cfRule>
  </conditionalFormatting>
  <conditionalFormatting sqref="G3861:G3876">
    <cfRule type="dataBar" priority="20503">
      <dataBar>
        <cfvo type="min"/>
        <cfvo type="max"/>
        <color rgb="FFFF555A"/>
      </dataBar>
    </cfRule>
  </conditionalFormatting>
  <conditionalFormatting sqref="H3861">
    <cfRule type="dataBar" priority="20502">
      <dataBar>
        <cfvo type="min"/>
        <cfvo type="max"/>
        <color rgb="FFFF555A"/>
      </dataBar>
    </cfRule>
  </conditionalFormatting>
  <conditionalFormatting sqref="I3861">
    <cfRule type="dataBar" priority="20501">
      <dataBar>
        <cfvo type="min"/>
        <cfvo type="max"/>
        <color rgb="FFFF555A"/>
      </dataBar>
    </cfRule>
  </conditionalFormatting>
  <conditionalFormatting sqref="J3861">
    <cfRule type="dataBar" priority="20500">
      <dataBar>
        <cfvo type="min"/>
        <cfvo type="max"/>
        <color rgb="FFFF555A"/>
      </dataBar>
    </cfRule>
  </conditionalFormatting>
  <conditionalFormatting sqref="E3862:E3876">
    <cfRule type="dataBar" priority="20499">
      <dataBar>
        <cfvo type="min"/>
        <cfvo type="max"/>
        <color rgb="FFFF555A"/>
      </dataBar>
    </cfRule>
  </conditionalFormatting>
  <conditionalFormatting sqref="H3862:H3876">
    <cfRule type="dataBar" priority="20498">
      <dataBar>
        <cfvo type="min"/>
        <cfvo type="max"/>
        <color rgb="FFFF555A"/>
      </dataBar>
    </cfRule>
  </conditionalFormatting>
  <conditionalFormatting sqref="I3862:I3876">
    <cfRule type="dataBar" priority="20497">
      <dataBar>
        <cfvo type="min"/>
        <cfvo type="max"/>
        <color rgb="FFFF555A"/>
      </dataBar>
    </cfRule>
  </conditionalFormatting>
  <conditionalFormatting sqref="J3862:J3876">
    <cfRule type="dataBar" priority="20496">
      <dataBar>
        <cfvo type="min"/>
        <cfvo type="max"/>
        <color rgb="FFFF555A"/>
      </dataBar>
    </cfRule>
  </conditionalFormatting>
  <conditionalFormatting sqref="L3861:L3876">
    <cfRule type="dataBar" priority="20495">
      <dataBar>
        <cfvo type="min"/>
        <cfvo type="max"/>
        <color rgb="FFFF555A"/>
      </dataBar>
    </cfRule>
  </conditionalFormatting>
  <conditionalFormatting sqref="M3861:M3876">
    <cfRule type="dataBar" priority="20494">
      <dataBar>
        <cfvo type="min"/>
        <cfvo type="max"/>
        <color rgb="FFFF555A"/>
      </dataBar>
    </cfRule>
  </conditionalFormatting>
  <conditionalFormatting sqref="N3861:N3876">
    <cfRule type="dataBar" priority="20493">
      <dataBar>
        <cfvo type="min"/>
        <cfvo type="max"/>
        <color rgb="FFFF555A"/>
      </dataBar>
    </cfRule>
  </conditionalFormatting>
  <conditionalFormatting sqref="Q3861:Q3876">
    <cfRule type="dataBar" priority="20492">
      <dataBar>
        <cfvo type="min"/>
        <cfvo type="max"/>
        <color rgb="FFFF555A"/>
      </dataBar>
    </cfRule>
  </conditionalFormatting>
  <conditionalFormatting sqref="O3861:O3876">
    <cfRule type="dataBar" priority="20491">
      <dataBar>
        <cfvo type="min"/>
        <cfvo type="max"/>
        <color rgb="FFFF555A"/>
      </dataBar>
    </cfRule>
  </conditionalFormatting>
  <conditionalFormatting sqref="P3861:P3876">
    <cfRule type="dataBar" priority="20490">
      <dataBar>
        <cfvo type="min"/>
        <cfvo type="max"/>
        <color rgb="FFFF555A"/>
      </dataBar>
    </cfRule>
  </conditionalFormatting>
  <conditionalFormatting sqref="R3878:R3894 D3878:D3893 C3894">
    <cfRule type="containsText" dxfId="6208" priority="20489" operator="containsText" text="DOWN">
      <formula>NOT(ISERROR(SEARCH("DOWN",C3878)))</formula>
    </cfRule>
  </conditionalFormatting>
  <conditionalFormatting sqref="R3878:R3894 D3878:D3893 C3894">
    <cfRule type="containsText" dxfId="6207" priority="20488" operator="containsText" text="UP">
      <formula>NOT(ISERROR(SEARCH("UP",C3878)))</formula>
    </cfRule>
  </conditionalFormatting>
  <conditionalFormatting sqref="I3894">
    <cfRule type="colorScale" priority="20487">
      <colorScale>
        <cfvo type="min"/>
        <cfvo type="max"/>
        <color rgb="FFFFEF9C"/>
        <color rgb="FF63BE7B"/>
      </colorScale>
    </cfRule>
  </conditionalFormatting>
  <conditionalFormatting sqref="M3894">
    <cfRule type="colorScale" priority="20486">
      <colorScale>
        <cfvo type="min"/>
        <cfvo type="max"/>
        <color rgb="FFFF7128"/>
        <color rgb="FFFFEF9C"/>
      </colorScale>
    </cfRule>
  </conditionalFormatting>
  <conditionalFormatting sqref="Q3894">
    <cfRule type="dataBar" priority="20485">
      <dataBar>
        <cfvo type="min"/>
        <cfvo type="max"/>
        <color rgb="FFFF555A"/>
      </dataBar>
    </cfRule>
  </conditionalFormatting>
  <conditionalFormatting sqref="E3878:E3894">
    <cfRule type="dataBar" priority="20484">
      <dataBar>
        <cfvo type="min"/>
        <cfvo type="max"/>
        <color rgb="FFFF555A"/>
      </dataBar>
    </cfRule>
  </conditionalFormatting>
  <conditionalFormatting sqref="F3894">
    <cfRule type="top10" dxfId="6206" priority="20483" rank="1"/>
  </conditionalFormatting>
  <conditionalFormatting sqref="G3894 P3894">
    <cfRule type="cellIs" dxfId="6205" priority="20482" operator="equal">
      <formula>$G$135</formula>
    </cfRule>
  </conditionalFormatting>
  <conditionalFormatting sqref="P3894">
    <cfRule type="cellIs" dxfId="6204" priority="20481" operator="equal">
      <formula>$J$135</formula>
    </cfRule>
  </conditionalFormatting>
  <conditionalFormatting sqref="G3894 P3894">
    <cfRule type="cellIs" dxfId="6203" priority="20480" operator="equal">
      <formula>#REF!</formula>
    </cfRule>
  </conditionalFormatting>
  <conditionalFormatting sqref="G3894">
    <cfRule type="top10" dxfId="6202" priority="20478" rank="1"/>
    <cfRule type="cellIs" dxfId="6201" priority="20479" operator="equal">
      <formula>$G$133</formula>
    </cfRule>
  </conditionalFormatting>
  <conditionalFormatting sqref="P3894">
    <cfRule type="top10" dxfId="6200" priority="20476" rank="1"/>
    <cfRule type="cellIs" dxfId="6199" priority="20477" operator="equal">
      <formula>$G$133</formula>
    </cfRule>
  </conditionalFormatting>
  <conditionalFormatting sqref="C3878:C3893">
    <cfRule type="containsText" dxfId="6198" priority="20472" operator="containsText" text="Short Buildup">
      <formula>NOT(ISERROR(SEARCH("Short Buildup",C3878)))</formula>
    </cfRule>
    <cfRule type="containsText" dxfId="6197" priority="20473" operator="containsText" text="Long Liquidation">
      <formula>NOT(ISERROR(SEARCH("Long Liquidation",C3878)))</formula>
    </cfRule>
    <cfRule type="containsText" dxfId="6196" priority="20474" operator="containsText" text="Short covering">
      <formula>NOT(ISERROR(SEARCH("Short covering",C3878)))</formula>
    </cfRule>
    <cfRule type="containsText" dxfId="6195" priority="20475" operator="containsText" text="Long Buildup">
      <formula>NOT(ISERROR(SEARCH("Long Buildup",C3878)))</formula>
    </cfRule>
  </conditionalFormatting>
  <conditionalFormatting sqref="H3894">
    <cfRule type="colorScale" priority="20467">
      <colorScale>
        <cfvo type="min"/>
        <cfvo type="percentile" val="20"/>
        <cfvo type="max"/>
        <color rgb="FF92D050"/>
        <color theme="5" tint="0.79998168889431442"/>
        <color rgb="FFFF0000"/>
      </colorScale>
    </cfRule>
    <cfRule type="colorScale" priority="20468">
      <colorScale>
        <cfvo type="min"/>
        <cfvo type="max"/>
        <color rgb="FFFF0000"/>
        <color rgb="FF92D050"/>
      </colorScale>
    </cfRule>
    <cfRule type="colorScale" priority="20469">
      <colorScale>
        <cfvo type="min"/>
        <cfvo type="percentile" val="50"/>
        <cfvo type="max"/>
        <color rgb="FF5A8AC6"/>
        <color rgb="FFFCFCFF"/>
        <color rgb="FFF8696B"/>
      </colorScale>
    </cfRule>
    <cfRule type="colorScale" priority="20470">
      <colorScale>
        <cfvo type="formula" val="&quot;&gt;20&quot;"/>
        <cfvo type="formula" val="35"/>
        <color rgb="FFF8696B"/>
        <color rgb="FFFCFCFF"/>
      </colorScale>
    </cfRule>
    <cfRule type="colorScale" priority="20471">
      <colorScale>
        <cfvo type="min"/>
        <cfvo type="max"/>
        <color rgb="FFFFEF9C"/>
        <color rgb="FF63BE7B"/>
      </colorScale>
    </cfRule>
  </conditionalFormatting>
  <conditionalFormatting sqref="N3894">
    <cfRule type="colorScale" priority="20462">
      <colorScale>
        <cfvo type="min"/>
        <cfvo type="percentile" val="20"/>
        <cfvo type="max"/>
        <color rgb="FF92D050"/>
        <color theme="5" tint="0.79998168889431442"/>
        <color rgb="FFFF0000"/>
      </colorScale>
    </cfRule>
    <cfRule type="colorScale" priority="20463">
      <colorScale>
        <cfvo type="min"/>
        <cfvo type="max"/>
        <color rgb="FFFF0000"/>
        <color rgb="FF92D050"/>
      </colorScale>
    </cfRule>
    <cfRule type="colorScale" priority="20464">
      <colorScale>
        <cfvo type="min"/>
        <cfvo type="percentile" val="50"/>
        <cfvo type="max"/>
        <color rgb="FF5A8AC6"/>
        <color rgb="FFFCFCFF"/>
        <color rgb="FFF8696B"/>
      </colorScale>
    </cfRule>
    <cfRule type="colorScale" priority="20465">
      <colorScale>
        <cfvo type="formula" val="&quot;&gt;20&quot;"/>
        <cfvo type="formula" val="35"/>
        <color rgb="FFF8696B"/>
        <color rgb="FFFCFCFF"/>
      </colorScale>
    </cfRule>
    <cfRule type="colorScale" priority="20466">
      <colorScale>
        <cfvo type="min"/>
        <cfvo type="max"/>
        <color rgb="FFFFEF9C"/>
        <color rgb="FF63BE7B"/>
      </colorScale>
    </cfRule>
  </conditionalFormatting>
  <conditionalFormatting sqref="S3878:S3894">
    <cfRule type="containsText" dxfId="6194" priority="20458" operator="containsText" text="Short Buildup">
      <formula>NOT(ISERROR(SEARCH("Short Buildup",S3878)))</formula>
    </cfRule>
    <cfRule type="containsText" dxfId="6193" priority="20459" operator="containsText" text="Long Liquidation">
      <formula>NOT(ISERROR(SEARCH("Long Liquidation",S3878)))</formula>
    </cfRule>
    <cfRule type="containsText" dxfId="6192" priority="20460" operator="containsText" text="Short covering">
      <formula>NOT(ISERROR(SEARCH("Short covering",S3878)))</formula>
    </cfRule>
    <cfRule type="containsText" dxfId="6191" priority="20461" operator="containsText" text="Long Buildup">
      <formula>NOT(ISERROR(SEARCH("Long Buildup",S3878)))</formula>
    </cfRule>
  </conditionalFormatting>
  <conditionalFormatting sqref="F3878:F3893">
    <cfRule type="dataBar" priority="20457">
      <dataBar>
        <cfvo type="min"/>
        <cfvo type="max"/>
        <color rgb="FFFF555A"/>
      </dataBar>
    </cfRule>
  </conditionalFormatting>
  <conditionalFormatting sqref="G3878:G3893">
    <cfRule type="dataBar" priority="20456">
      <dataBar>
        <cfvo type="min"/>
        <cfvo type="max"/>
        <color rgb="FFFF555A"/>
      </dataBar>
    </cfRule>
  </conditionalFormatting>
  <conditionalFormatting sqref="H3878">
    <cfRule type="dataBar" priority="20455">
      <dataBar>
        <cfvo type="min"/>
        <cfvo type="max"/>
        <color rgb="FFFF555A"/>
      </dataBar>
    </cfRule>
  </conditionalFormatting>
  <conditionalFormatting sqref="I3878">
    <cfRule type="dataBar" priority="20454">
      <dataBar>
        <cfvo type="min"/>
        <cfvo type="max"/>
        <color rgb="FFFF555A"/>
      </dataBar>
    </cfRule>
  </conditionalFormatting>
  <conditionalFormatting sqref="J3878">
    <cfRule type="dataBar" priority="20453">
      <dataBar>
        <cfvo type="min"/>
        <cfvo type="max"/>
        <color rgb="FFFF555A"/>
      </dataBar>
    </cfRule>
  </conditionalFormatting>
  <conditionalFormatting sqref="E3879:E3893">
    <cfRule type="dataBar" priority="20452">
      <dataBar>
        <cfvo type="min"/>
        <cfvo type="max"/>
        <color rgb="FFFF555A"/>
      </dataBar>
    </cfRule>
  </conditionalFormatting>
  <conditionalFormatting sqref="H3879:H3893">
    <cfRule type="dataBar" priority="20451">
      <dataBar>
        <cfvo type="min"/>
        <cfvo type="max"/>
        <color rgb="FFFF555A"/>
      </dataBar>
    </cfRule>
  </conditionalFormatting>
  <conditionalFormatting sqref="I3879:I3893">
    <cfRule type="dataBar" priority="20450">
      <dataBar>
        <cfvo type="min"/>
        <cfvo type="max"/>
        <color rgb="FFFF555A"/>
      </dataBar>
    </cfRule>
  </conditionalFormatting>
  <conditionalFormatting sqref="J3879:J3893">
    <cfRule type="dataBar" priority="20449">
      <dataBar>
        <cfvo type="min"/>
        <cfvo type="max"/>
        <color rgb="FFFF555A"/>
      </dataBar>
    </cfRule>
  </conditionalFormatting>
  <conditionalFormatting sqref="L3878:L3893">
    <cfRule type="dataBar" priority="20448">
      <dataBar>
        <cfvo type="min"/>
        <cfvo type="max"/>
        <color rgb="FFFF555A"/>
      </dataBar>
    </cfRule>
  </conditionalFormatting>
  <conditionalFormatting sqref="M3878:M3893">
    <cfRule type="dataBar" priority="20447">
      <dataBar>
        <cfvo type="min"/>
        <cfvo type="max"/>
        <color rgb="FFFF555A"/>
      </dataBar>
    </cfRule>
  </conditionalFormatting>
  <conditionalFormatting sqref="N3878:N3893">
    <cfRule type="dataBar" priority="20446">
      <dataBar>
        <cfvo type="min"/>
        <cfvo type="max"/>
        <color rgb="FFFF555A"/>
      </dataBar>
    </cfRule>
  </conditionalFormatting>
  <conditionalFormatting sqref="Q3878:Q3893">
    <cfRule type="dataBar" priority="20445">
      <dataBar>
        <cfvo type="min"/>
        <cfvo type="max"/>
        <color rgb="FFFF555A"/>
      </dataBar>
    </cfRule>
  </conditionalFormatting>
  <conditionalFormatting sqref="O3878:O3893">
    <cfRule type="dataBar" priority="20444">
      <dataBar>
        <cfvo type="min"/>
        <cfvo type="max"/>
        <color rgb="FFFF555A"/>
      </dataBar>
    </cfRule>
  </conditionalFormatting>
  <conditionalFormatting sqref="P3878:P3893">
    <cfRule type="dataBar" priority="20443">
      <dataBar>
        <cfvo type="min"/>
        <cfvo type="max"/>
        <color rgb="FFFF555A"/>
      </dataBar>
    </cfRule>
  </conditionalFormatting>
  <conditionalFormatting sqref="R3895:R3911 D3895:D3910 C3911">
    <cfRule type="containsText" dxfId="6190" priority="20442" operator="containsText" text="DOWN">
      <formula>NOT(ISERROR(SEARCH("DOWN",C3895)))</formula>
    </cfRule>
  </conditionalFormatting>
  <conditionalFormatting sqref="R3895:R3911 D3895:D3910 C3911">
    <cfRule type="containsText" dxfId="6189" priority="20441" operator="containsText" text="UP">
      <formula>NOT(ISERROR(SEARCH("UP",C3895)))</formula>
    </cfRule>
  </conditionalFormatting>
  <conditionalFormatting sqref="I3911">
    <cfRule type="colorScale" priority="20440">
      <colorScale>
        <cfvo type="min"/>
        <cfvo type="max"/>
        <color rgb="FFFFEF9C"/>
        <color rgb="FF63BE7B"/>
      </colorScale>
    </cfRule>
  </conditionalFormatting>
  <conditionalFormatting sqref="M3911">
    <cfRule type="colorScale" priority="20439">
      <colorScale>
        <cfvo type="min"/>
        <cfvo type="max"/>
        <color rgb="FFFF7128"/>
        <color rgb="FFFFEF9C"/>
      </colorScale>
    </cfRule>
  </conditionalFormatting>
  <conditionalFormatting sqref="Q3911">
    <cfRule type="dataBar" priority="20438">
      <dataBar>
        <cfvo type="min"/>
        <cfvo type="max"/>
        <color rgb="FFFF555A"/>
      </dataBar>
    </cfRule>
  </conditionalFormatting>
  <conditionalFormatting sqref="E3895:E3911">
    <cfRule type="dataBar" priority="20437">
      <dataBar>
        <cfvo type="min"/>
        <cfvo type="max"/>
        <color rgb="FFFF555A"/>
      </dataBar>
    </cfRule>
  </conditionalFormatting>
  <conditionalFormatting sqref="F3911">
    <cfRule type="top10" dxfId="6188" priority="20436" rank="1"/>
  </conditionalFormatting>
  <conditionalFormatting sqref="G3911 P3911">
    <cfRule type="cellIs" dxfId="6187" priority="20435" operator="equal">
      <formula>$G$135</formula>
    </cfRule>
  </conditionalFormatting>
  <conditionalFormatting sqref="P3911">
    <cfRule type="cellIs" dxfId="6186" priority="20434" operator="equal">
      <formula>$J$135</formula>
    </cfRule>
  </conditionalFormatting>
  <conditionalFormatting sqref="G3911 P3911">
    <cfRule type="cellIs" dxfId="6185" priority="20433" operator="equal">
      <formula>#REF!</formula>
    </cfRule>
  </conditionalFormatting>
  <conditionalFormatting sqref="G3911">
    <cfRule type="top10" dxfId="6184" priority="20431" rank="1"/>
    <cfRule type="cellIs" dxfId="6183" priority="20432" operator="equal">
      <formula>$G$133</formula>
    </cfRule>
  </conditionalFormatting>
  <conditionalFormatting sqref="P3911">
    <cfRule type="top10" dxfId="6182" priority="20429" rank="1"/>
    <cfRule type="cellIs" dxfId="6181" priority="20430" operator="equal">
      <formula>$G$133</formula>
    </cfRule>
  </conditionalFormatting>
  <conditionalFormatting sqref="C3895:C3910">
    <cfRule type="containsText" dxfId="6180" priority="20425" operator="containsText" text="Short Buildup">
      <formula>NOT(ISERROR(SEARCH("Short Buildup",C3895)))</formula>
    </cfRule>
    <cfRule type="containsText" dxfId="6179" priority="20426" operator="containsText" text="Long Liquidation">
      <formula>NOT(ISERROR(SEARCH("Long Liquidation",C3895)))</formula>
    </cfRule>
    <cfRule type="containsText" dxfId="6178" priority="20427" operator="containsText" text="Short covering">
      <formula>NOT(ISERROR(SEARCH("Short covering",C3895)))</formula>
    </cfRule>
    <cfRule type="containsText" dxfId="6177" priority="20428" operator="containsText" text="Long Buildup">
      <formula>NOT(ISERROR(SEARCH("Long Buildup",C3895)))</formula>
    </cfRule>
  </conditionalFormatting>
  <conditionalFormatting sqref="H3911">
    <cfRule type="colorScale" priority="20420">
      <colorScale>
        <cfvo type="min"/>
        <cfvo type="percentile" val="20"/>
        <cfvo type="max"/>
        <color rgb="FF92D050"/>
        <color theme="5" tint="0.79998168889431442"/>
        <color rgb="FFFF0000"/>
      </colorScale>
    </cfRule>
    <cfRule type="colorScale" priority="20421">
      <colorScale>
        <cfvo type="min"/>
        <cfvo type="max"/>
        <color rgb="FFFF0000"/>
        <color rgb="FF92D050"/>
      </colorScale>
    </cfRule>
    <cfRule type="colorScale" priority="20422">
      <colorScale>
        <cfvo type="min"/>
        <cfvo type="percentile" val="50"/>
        <cfvo type="max"/>
        <color rgb="FF5A8AC6"/>
        <color rgb="FFFCFCFF"/>
        <color rgb="FFF8696B"/>
      </colorScale>
    </cfRule>
    <cfRule type="colorScale" priority="20423">
      <colorScale>
        <cfvo type="formula" val="&quot;&gt;20&quot;"/>
        <cfvo type="formula" val="35"/>
        <color rgb="FFF8696B"/>
        <color rgb="FFFCFCFF"/>
      </colorScale>
    </cfRule>
    <cfRule type="colorScale" priority="20424">
      <colorScale>
        <cfvo type="min"/>
        <cfvo type="max"/>
        <color rgb="FFFFEF9C"/>
        <color rgb="FF63BE7B"/>
      </colorScale>
    </cfRule>
  </conditionalFormatting>
  <conditionalFormatting sqref="N3911">
    <cfRule type="colorScale" priority="20415">
      <colorScale>
        <cfvo type="min"/>
        <cfvo type="percentile" val="20"/>
        <cfvo type="max"/>
        <color rgb="FF92D050"/>
        <color theme="5" tint="0.79998168889431442"/>
        <color rgb="FFFF0000"/>
      </colorScale>
    </cfRule>
    <cfRule type="colorScale" priority="20416">
      <colorScale>
        <cfvo type="min"/>
        <cfvo type="max"/>
        <color rgb="FFFF0000"/>
        <color rgb="FF92D050"/>
      </colorScale>
    </cfRule>
    <cfRule type="colorScale" priority="20417">
      <colorScale>
        <cfvo type="min"/>
        <cfvo type="percentile" val="50"/>
        <cfvo type="max"/>
        <color rgb="FF5A8AC6"/>
        <color rgb="FFFCFCFF"/>
        <color rgb="FFF8696B"/>
      </colorScale>
    </cfRule>
    <cfRule type="colorScale" priority="20418">
      <colorScale>
        <cfvo type="formula" val="&quot;&gt;20&quot;"/>
        <cfvo type="formula" val="35"/>
        <color rgb="FFF8696B"/>
        <color rgb="FFFCFCFF"/>
      </colorScale>
    </cfRule>
    <cfRule type="colorScale" priority="20419">
      <colorScale>
        <cfvo type="min"/>
        <cfvo type="max"/>
        <color rgb="FFFFEF9C"/>
        <color rgb="FF63BE7B"/>
      </colorScale>
    </cfRule>
  </conditionalFormatting>
  <conditionalFormatting sqref="S3895:S3911">
    <cfRule type="containsText" dxfId="6176" priority="20411" operator="containsText" text="Short Buildup">
      <formula>NOT(ISERROR(SEARCH("Short Buildup",S3895)))</formula>
    </cfRule>
    <cfRule type="containsText" dxfId="6175" priority="20412" operator="containsText" text="Long Liquidation">
      <formula>NOT(ISERROR(SEARCH("Long Liquidation",S3895)))</formula>
    </cfRule>
    <cfRule type="containsText" dxfId="6174" priority="20413" operator="containsText" text="Short covering">
      <formula>NOT(ISERROR(SEARCH("Short covering",S3895)))</formula>
    </cfRule>
    <cfRule type="containsText" dxfId="6173" priority="20414" operator="containsText" text="Long Buildup">
      <formula>NOT(ISERROR(SEARCH("Long Buildup",S3895)))</formula>
    </cfRule>
  </conditionalFormatting>
  <conditionalFormatting sqref="F3895:F3910">
    <cfRule type="dataBar" priority="20410">
      <dataBar>
        <cfvo type="min"/>
        <cfvo type="max"/>
        <color rgb="FFFF555A"/>
      </dataBar>
    </cfRule>
  </conditionalFormatting>
  <conditionalFormatting sqref="G3895:G3910">
    <cfRule type="dataBar" priority="20409">
      <dataBar>
        <cfvo type="min"/>
        <cfvo type="max"/>
        <color rgb="FFFF555A"/>
      </dataBar>
    </cfRule>
  </conditionalFormatting>
  <conditionalFormatting sqref="H3895">
    <cfRule type="dataBar" priority="20408">
      <dataBar>
        <cfvo type="min"/>
        <cfvo type="max"/>
        <color rgb="FFFF555A"/>
      </dataBar>
    </cfRule>
  </conditionalFormatting>
  <conditionalFormatting sqref="I3895">
    <cfRule type="dataBar" priority="20407">
      <dataBar>
        <cfvo type="min"/>
        <cfvo type="max"/>
        <color rgb="FFFF555A"/>
      </dataBar>
    </cfRule>
  </conditionalFormatting>
  <conditionalFormatting sqref="J3895">
    <cfRule type="dataBar" priority="20406">
      <dataBar>
        <cfvo type="min"/>
        <cfvo type="max"/>
        <color rgb="FFFF555A"/>
      </dataBar>
    </cfRule>
  </conditionalFormatting>
  <conditionalFormatting sqref="E3896:E3910">
    <cfRule type="dataBar" priority="20405">
      <dataBar>
        <cfvo type="min"/>
        <cfvo type="max"/>
        <color rgb="FFFF555A"/>
      </dataBar>
    </cfRule>
  </conditionalFormatting>
  <conditionalFormatting sqref="H3896:H3910">
    <cfRule type="dataBar" priority="20404">
      <dataBar>
        <cfvo type="min"/>
        <cfvo type="max"/>
        <color rgb="FFFF555A"/>
      </dataBar>
    </cfRule>
  </conditionalFormatting>
  <conditionalFormatting sqref="I3896:I3910">
    <cfRule type="dataBar" priority="20403">
      <dataBar>
        <cfvo type="min"/>
        <cfvo type="max"/>
        <color rgb="FFFF555A"/>
      </dataBar>
    </cfRule>
  </conditionalFormatting>
  <conditionalFormatting sqref="J3896:J3910">
    <cfRule type="dataBar" priority="20402">
      <dataBar>
        <cfvo type="min"/>
        <cfvo type="max"/>
        <color rgb="FFFF555A"/>
      </dataBar>
    </cfRule>
  </conditionalFormatting>
  <conditionalFormatting sqref="L3895:L3910">
    <cfRule type="dataBar" priority="20401">
      <dataBar>
        <cfvo type="min"/>
        <cfvo type="max"/>
        <color rgb="FFFF555A"/>
      </dataBar>
    </cfRule>
  </conditionalFormatting>
  <conditionalFormatting sqref="M3895:M3910">
    <cfRule type="dataBar" priority="20400">
      <dataBar>
        <cfvo type="min"/>
        <cfvo type="max"/>
        <color rgb="FFFF555A"/>
      </dataBar>
    </cfRule>
  </conditionalFormatting>
  <conditionalFormatting sqref="N3895:N3910">
    <cfRule type="dataBar" priority="20399">
      <dataBar>
        <cfvo type="min"/>
        <cfvo type="max"/>
        <color rgb="FFFF555A"/>
      </dataBar>
    </cfRule>
  </conditionalFormatting>
  <conditionalFormatting sqref="Q3895:Q3910">
    <cfRule type="dataBar" priority="20398">
      <dataBar>
        <cfvo type="min"/>
        <cfvo type="max"/>
        <color rgb="FFFF555A"/>
      </dataBar>
    </cfRule>
  </conditionalFormatting>
  <conditionalFormatting sqref="O3895:O3910">
    <cfRule type="dataBar" priority="20397">
      <dataBar>
        <cfvo type="min"/>
        <cfvo type="max"/>
        <color rgb="FFFF555A"/>
      </dataBar>
    </cfRule>
  </conditionalFormatting>
  <conditionalFormatting sqref="P3895:P3910">
    <cfRule type="dataBar" priority="20396">
      <dataBar>
        <cfvo type="min"/>
        <cfvo type="max"/>
        <color rgb="FFFF555A"/>
      </dataBar>
    </cfRule>
  </conditionalFormatting>
  <conditionalFormatting sqref="R3912:R3928 D3912:D3927 C3928">
    <cfRule type="containsText" dxfId="6172" priority="20395" operator="containsText" text="DOWN">
      <formula>NOT(ISERROR(SEARCH("DOWN",C3912)))</formula>
    </cfRule>
  </conditionalFormatting>
  <conditionalFormatting sqref="R3912:R3928 D3912:D3927 C3928">
    <cfRule type="containsText" dxfId="6171" priority="20394" operator="containsText" text="UP">
      <formula>NOT(ISERROR(SEARCH("UP",C3912)))</formula>
    </cfRule>
  </conditionalFormatting>
  <conditionalFormatting sqref="I3928">
    <cfRule type="colorScale" priority="20393">
      <colorScale>
        <cfvo type="min"/>
        <cfvo type="max"/>
        <color rgb="FFFFEF9C"/>
        <color rgb="FF63BE7B"/>
      </colorScale>
    </cfRule>
  </conditionalFormatting>
  <conditionalFormatting sqref="M3928">
    <cfRule type="colorScale" priority="20392">
      <colorScale>
        <cfvo type="min"/>
        <cfvo type="max"/>
        <color rgb="FFFF7128"/>
        <color rgb="FFFFEF9C"/>
      </colorScale>
    </cfRule>
  </conditionalFormatting>
  <conditionalFormatting sqref="Q3928">
    <cfRule type="dataBar" priority="20391">
      <dataBar>
        <cfvo type="min"/>
        <cfvo type="max"/>
        <color rgb="FFFF555A"/>
      </dataBar>
    </cfRule>
  </conditionalFormatting>
  <conditionalFormatting sqref="E3912:E3928">
    <cfRule type="dataBar" priority="20390">
      <dataBar>
        <cfvo type="min"/>
        <cfvo type="max"/>
        <color rgb="FFFF555A"/>
      </dataBar>
    </cfRule>
  </conditionalFormatting>
  <conditionalFormatting sqref="F3928">
    <cfRule type="top10" dxfId="6170" priority="20389" rank="1"/>
  </conditionalFormatting>
  <conditionalFormatting sqref="G3928 P3928">
    <cfRule type="cellIs" dxfId="6169" priority="20388" operator="equal">
      <formula>$G$135</formula>
    </cfRule>
  </conditionalFormatting>
  <conditionalFormatting sqref="P3928">
    <cfRule type="cellIs" dxfId="6168" priority="20387" operator="equal">
      <formula>$J$135</formula>
    </cfRule>
  </conditionalFormatting>
  <conditionalFormatting sqref="G3928 P3928">
    <cfRule type="cellIs" dxfId="6167" priority="20386" operator="equal">
      <formula>#REF!</formula>
    </cfRule>
  </conditionalFormatting>
  <conditionalFormatting sqref="G3928">
    <cfRule type="top10" dxfId="6166" priority="20384" rank="1"/>
    <cfRule type="cellIs" dxfId="6165" priority="20385" operator="equal">
      <formula>$G$133</formula>
    </cfRule>
  </conditionalFormatting>
  <conditionalFormatting sqref="P3928">
    <cfRule type="top10" dxfId="6164" priority="20382" rank="1"/>
    <cfRule type="cellIs" dxfId="6163" priority="20383" operator="equal">
      <formula>$G$133</formula>
    </cfRule>
  </conditionalFormatting>
  <conditionalFormatting sqref="C3912:C3927">
    <cfRule type="containsText" dxfId="6162" priority="20378" operator="containsText" text="Short Buildup">
      <formula>NOT(ISERROR(SEARCH("Short Buildup",C3912)))</formula>
    </cfRule>
    <cfRule type="containsText" dxfId="6161" priority="20379" operator="containsText" text="Long Liquidation">
      <formula>NOT(ISERROR(SEARCH("Long Liquidation",C3912)))</formula>
    </cfRule>
    <cfRule type="containsText" dxfId="6160" priority="20380" operator="containsText" text="Short covering">
      <formula>NOT(ISERROR(SEARCH("Short covering",C3912)))</formula>
    </cfRule>
    <cfRule type="containsText" dxfId="6159" priority="20381" operator="containsText" text="Long Buildup">
      <formula>NOT(ISERROR(SEARCH("Long Buildup",C3912)))</formula>
    </cfRule>
  </conditionalFormatting>
  <conditionalFormatting sqref="H3928">
    <cfRule type="colorScale" priority="20373">
      <colorScale>
        <cfvo type="min"/>
        <cfvo type="percentile" val="20"/>
        <cfvo type="max"/>
        <color rgb="FF92D050"/>
        <color theme="5" tint="0.79998168889431442"/>
        <color rgb="FFFF0000"/>
      </colorScale>
    </cfRule>
    <cfRule type="colorScale" priority="20374">
      <colorScale>
        <cfvo type="min"/>
        <cfvo type="max"/>
        <color rgb="FFFF0000"/>
        <color rgb="FF92D050"/>
      </colorScale>
    </cfRule>
    <cfRule type="colorScale" priority="20375">
      <colorScale>
        <cfvo type="min"/>
        <cfvo type="percentile" val="50"/>
        <cfvo type="max"/>
        <color rgb="FF5A8AC6"/>
        <color rgb="FFFCFCFF"/>
        <color rgb="FFF8696B"/>
      </colorScale>
    </cfRule>
    <cfRule type="colorScale" priority="20376">
      <colorScale>
        <cfvo type="formula" val="&quot;&gt;20&quot;"/>
        <cfvo type="formula" val="35"/>
        <color rgb="FFF8696B"/>
        <color rgb="FFFCFCFF"/>
      </colorScale>
    </cfRule>
    <cfRule type="colorScale" priority="20377">
      <colorScale>
        <cfvo type="min"/>
        <cfvo type="max"/>
        <color rgb="FFFFEF9C"/>
        <color rgb="FF63BE7B"/>
      </colorScale>
    </cfRule>
  </conditionalFormatting>
  <conditionalFormatting sqref="N3928">
    <cfRule type="colorScale" priority="20368">
      <colorScale>
        <cfvo type="min"/>
        <cfvo type="percentile" val="20"/>
        <cfvo type="max"/>
        <color rgb="FF92D050"/>
        <color theme="5" tint="0.79998168889431442"/>
        <color rgb="FFFF0000"/>
      </colorScale>
    </cfRule>
    <cfRule type="colorScale" priority="20369">
      <colorScale>
        <cfvo type="min"/>
        <cfvo type="max"/>
        <color rgb="FFFF0000"/>
        <color rgb="FF92D050"/>
      </colorScale>
    </cfRule>
    <cfRule type="colorScale" priority="20370">
      <colorScale>
        <cfvo type="min"/>
        <cfvo type="percentile" val="50"/>
        <cfvo type="max"/>
        <color rgb="FF5A8AC6"/>
        <color rgb="FFFCFCFF"/>
        <color rgb="FFF8696B"/>
      </colorScale>
    </cfRule>
    <cfRule type="colorScale" priority="20371">
      <colorScale>
        <cfvo type="formula" val="&quot;&gt;20&quot;"/>
        <cfvo type="formula" val="35"/>
        <color rgb="FFF8696B"/>
        <color rgb="FFFCFCFF"/>
      </colorScale>
    </cfRule>
    <cfRule type="colorScale" priority="20372">
      <colorScale>
        <cfvo type="min"/>
        <cfvo type="max"/>
        <color rgb="FFFFEF9C"/>
        <color rgb="FF63BE7B"/>
      </colorScale>
    </cfRule>
  </conditionalFormatting>
  <conditionalFormatting sqref="S3912:S3928">
    <cfRule type="containsText" dxfId="6158" priority="20364" operator="containsText" text="Short Buildup">
      <formula>NOT(ISERROR(SEARCH("Short Buildup",S3912)))</formula>
    </cfRule>
    <cfRule type="containsText" dxfId="6157" priority="20365" operator="containsText" text="Long Liquidation">
      <formula>NOT(ISERROR(SEARCH("Long Liquidation",S3912)))</formula>
    </cfRule>
    <cfRule type="containsText" dxfId="6156" priority="20366" operator="containsText" text="Short covering">
      <formula>NOT(ISERROR(SEARCH("Short covering",S3912)))</formula>
    </cfRule>
    <cfRule type="containsText" dxfId="6155" priority="20367" operator="containsText" text="Long Buildup">
      <formula>NOT(ISERROR(SEARCH("Long Buildup",S3912)))</formula>
    </cfRule>
  </conditionalFormatting>
  <conditionalFormatting sqref="F3912:F3927">
    <cfRule type="dataBar" priority="20363">
      <dataBar>
        <cfvo type="min"/>
        <cfvo type="max"/>
        <color rgb="FFFF555A"/>
      </dataBar>
    </cfRule>
  </conditionalFormatting>
  <conditionalFormatting sqref="G3912:G3927">
    <cfRule type="dataBar" priority="20362">
      <dataBar>
        <cfvo type="min"/>
        <cfvo type="max"/>
        <color rgb="FFFF555A"/>
      </dataBar>
    </cfRule>
  </conditionalFormatting>
  <conditionalFormatting sqref="H3912">
    <cfRule type="dataBar" priority="20361">
      <dataBar>
        <cfvo type="min"/>
        <cfvo type="max"/>
        <color rgb="FFFF555A"/>
      </dataBar>
    </cfRule>
  </conditionalFormatting>
  <conditionalFormatting sqref="I3912">
    <cfRule type="dataBar" priority="20360">
      <dataBar>
        <cfvo type="min"/>
        <cfvo type="max"/>
        <color rgb="FFFF555A"/>
      </dataBar>
    </cfRule>
  </conditionalFormatting>
  <conditionalFormatting sqref="J3912">
    <cfRule type="dataBar" priority="20359">
      <dataBar>
        <cfvo type="min"/>
        <cfvo type="max"/>
        <color rgb="FFFF555A"/>
      </dataBar>
    </cfRule>
  </conditionalFormatting>
  <conditionalFormatting sqref="E3913:E3927">
    <cfRule type="dataBar" priority="20358">
      <dataBar>
        <cfvo type="min"/>
        <cfvo type="max"/>
        <color rgb="FFFF555A"/>
      </dataBar>
    </cfRule>
  </conditionalFormatting>
  <conditionalFormatting sqref="H3913:H3927">
    <cfRule type="dataBar" priority="20357">
      <dataBar>
        <cfvo type="min"/>
        <cfvo type="max"/>
        <color rgb="FFFF555A"/>
      </dataBar>
    </cfRule>
  </conditionalFormatting>
  <conditionalFormatting sqref="I3913:I3927">
    <cfRule type="dataBar" priority="20356">
      <dataBar>
        <cfvo type="min"/>
        <cfvo type="max"/>
        <color rgb="FFFF555A"/>
      </dataBar>
    </cfRule>
  </conditionalFormatting>
  <conditionalFormatting sqref="J3913:J3927">
    <cfRule type="dataBar" priority="20355">
      <dataBar>
        <cfvo type="min"/>
        <cfvo type="max"/>
        <color rgb="FFFF555A"/>
      </dataBar>
    </cfRule>
  </conditionalFormatting>
  <conditionalFormatting sqref="L3912:L3927">
    <cfRule type="dataBar" priority="20354">
      <dataBar>
        <cfvo type="min"/>
        <cfvo type="max"/>
        <color rgb="FFFF555A"/>
      </dataBar>
    </cfRule>
  </conditionalFormatting>
  <conditionalFormatting sqref="M3912:M3927">
    <cfRule type="dataBar" priority="20353">
      <dataBar>
        <cfvo type="min"/>
        <cfvo type="max"/>
        <color rgb="FFFF555A"/>
      </dataBar>
    </cfRule>
  </conditionalFormatting>
  <conditionalFormatting sqref="N3912:N3927">
    <cfRule type="dataBar" priority="20352">
      <dataBar>
        <cfvo type="min"/>
        <cfvo type="max"/>
        <color rgb="FFFF555A"/>
      </dataBar>
    </cfRule>
  </conditionalFormatting>
  <conditionalFormatting sqref="Q3912:Q3927">
    <cfRule type="dataBar" priority="20351">
      <dataBar>
        <cfvo type="min"/>
        <cfvo type="max"/>
        <color rgb="FFFF555A"/>
      </dataBar>
    </cfRule>
  </conditionalFormatting>
  <conditionalFormatting sqref="O3912:O3927">
    <cfRule type="dataBar" priority="20350">
      <dataBar>
        <cfvo type="min"/>
        <cfvo type="max"/>
        <color rgb="FFFF555A"/>
      </dataBar>
    </cfRule>
  </conditionalFormatting>
  <conditionalFormatting sqref="P3912:P3927">
    <cfRule type="dataBar" priority="20349">
      <dataBar>
        <cfvo type="min"/>
        <cfvo type="max"/>
        <color rgb="FFFF555A"/>
      </dataBar>
    </cfRule>
  </conditionalFormatting>
  <conditionalFormatting sqref="R3929:R3945 D3929:D3944 C3945">
    <cfRule type="containsText" dxfId="6154" priority="20348" operator="containsText" text="DOWN">
      <formula>NOT(ISERROR(SEARCH("DOWN",C3929)))</formula>
    </cfRule>
  </conditionalFormatting>
  <conditionalFormatting sqref="R3929:R3945 D3929:D3944 C3945">
    <cfRule type="containsText" dxfId="6153" priority="20347" operator="containsText" text="UP">
      <formula>NOT(ISERROR(SEARCH("UP",C3929)))</formula>
    </cfRule>
  </conditionalFormatting>
  <conditionalFormatting sqref="I3945">
    <cfRule type="colorScale" priority="20346">
      <colorScale>
        <cfvo type="min"/>
        <cfvo type="max"/>
        <color rgb="FFFFEF9C"/>
        <color rgb="FF63BE7B"/>
      </colorScale>
    </cfRule>
  </conditionalFormatting>
  <conditionalFormatting sqref="M3945">
    <cfRule type="colorScale" priority="20345">
      <colorScale>
        <cfvo type="min"/>
        <cfvo type="max"/>
        <color rgb="FFFF7128"/>
        <color rgb="FFFFEF9C"/>
      </colorScale>
    </cfRule>
  </conditionalFormatting>
  <conditionalFormatting sqref="Q3945">
    <cfRule type="dataBar" priority="20344">
      <dataBar>
        <cfvo type="min"/>
        <cfvo type="max"/>
        <color rgb="FFFF555A"/>
      </dataBar>
    </cfRule>
  </conditionalFormatting>
  <conditionalFormatting sqref="E3929:E3945">
    <cfRule type="dataBar" priority="20343">
      <dataBar>
        <cfvo type="min"/>
        <cfvo type="max"/>
        <color rgb="FFFF555A"/>
      </dataBar>
    </cfRule>
  </conditionalFormatting>
  <conditionalFormatting sqref="F3945">
    <cfRule type="top10" dxfId="6152" priority="20342" rank="1"/>
  </conditionalFormatting>
  <conditionalFormatting sqref="G3945 P3945">
    <cfRule type="cellIs" dxfId="6151" priority="20341" operator="equal">
      <formula>$G$135</formula>
    </cfRule>
  </conditionalFormatting>
  <conditionalFormatting sqref="P3945">
    <cfRule type="cellIs" dxfId="6150" priority="20340" operator="equal">
      <formula>$J$135</formula>
    </cfRule>
  </conditionalFormatting>
  <conditionalFormatting sqref="G3945 P3945">
    <cfRule type="cellIs" dxfId="6149" priority="20339" operator="equal">
      <formula>#REF!</formula>
    </cfRule>
  </conditionalFormatting>
  <conditionalFormatting sqref="G3945">
    <cfRule type="top10" dxfId="6148" priority="20337" rank="1"/>
    <cfRule type="cellIs" dxfId="6147" priority="20338" operator="equal">
      <formula>$G$133</formula>
    </cfRule>
  </conditionalFormatting>
  <conditionalFormatting sqref="P3945">
    <cfRule type="top10" dxfId="6146" priority="20335" rank="1"/>
    <cfRule type="cellIs" dxfId="6145" priority="20336" operator="equal">
      <formula>$G$133</formula>
    </cfRule>
  </conditionalFormatting>
  <conditionalFormatting sqref="C3929:C3944">
    <cfRule type="containsText" dxfId="6144" priority="20331" operator="containsText" text="Short Buildup">
      <formula>NOT(ISERROR(SEARCH("Short Buildup",C3929)))</formula>
    </cfRule>
    <cfRule type="containsText" dxfId="6143" priority="20332" operator="containsText" text="Long Liquidation">
      <formula>NOT(ISERROR(SEARCH("Long Liquidation",C3929)))</formula>
    </cfRule>
    <cfRule type="containsText" dxfId="6142" priority="20333" operator="containsText" text="Short covering">
      <formula>NOT(ISERROR(SEARCH("Short covering",C3929)))</formula>
    </cfRule>
    <cfRule type="containsText" dxfId="6141" priority="20334" operator="containsText" text="Long Buildup">
      <formula>NOT(ISERROR(SEARCH("Long Buildup",C3929)))</formula>
    </cfRule>
  </conditionalFormatting>
  <conditionalFormatting sqref="H3945">
    <cfRule type="colorScale" priority="20326">
      <colorScale>
        <cfvo type="min"/>
        <cfvo type="percentile" val="20"/>
        <cfvo type="max"/>
        <color rgb="FF92D050"/>
        <color theme="5" tint="0.79998168889431442"/>
        <color rgb="FFFF0000"/>
      </colorScale>
    </cfRule>
    <cfRule type="colorScale" priority="20327">
      <colorScale>
        <cfvo type="min"/>
        <cfvo type="max"/>
        <color rgb="FFFF0000"/>
        <color rgb="FF92D050"/>
      </colorScale>
    </cfRule>
    <cfRule type="colorScale" priority="20328">
      <colorScale>
        <cfvo type="min"/>
        <cfvo type="percentile" val="50"/>
        <cfvo type="max"/>
        <color rgb="FF5A8AC6"/>
        <color rgb="FFFCFCFF"/>
        <color rgb="FFF8696B"/>
      </colorScale>
    </cfRule>
    <cfRule type="colorScale" priority="20329">
      <colorScale>
        <cfvo type="formula" val="&quot;&gt;20&quot;"/>
        <cfvo type="formula" val="35"/>
        <color rgb="FFF8696B"/>
        <color rgb="FFFCFCFF"/>
      </colorScale>
    </cfRule>
    <cfRule type="colorScale" priority="20330">
      <colorScale>
        <cfvo type="min"/>
        <cfvo type="max"/>
        <color rgb="FFFFEF9C"/>
        <color rgb="FF63BE7B"/>
      </colorScale>
    </cfRule>
  </conditionalFormatting>
  <conditionalFormatting sqref="N3945">
    <cfRule type="colorScale" priority="20321">
      <colorScale>
        <cfvo type="min"/>
        <cfvo type="percentile" val="20"/>
        <cfvo type="max"/>
        <color rgb="FF92D050"/>
        <color theme="5" tint="0.79998168889431442"/>
        <color rgb="FFFF0000"/>
      </colorScale>
    </cfRule>
    <cfRule type="colorScale" priority="20322">
      <colorScale>
        <cfvo type="min"/>
        <cfvo type="max"/>
        <color rgb="FFFF0000"/>
        <color rgb="FF92D050"/>
      </colorScale>
    </cfRule>
    <cfRule type="colorScale" priority="20323">
      <colorScale>
        <cfvo type="min"/>
        <cfvo type="percentile" val="50"/>
        <cfvo type="max"/>
        <color rgb="FF5A8AC6"/>
        <color rgb="FFFCFCFF"/>
        <color rgb="FFF8696B"/>
      </colorScale>
    </cfRule>
    <cfRule type="colorScale" priority="20324">
      <colorScale>
        <cfvo type="formula" val="&quot;&gt;20&quot;"/>
        <cfvo type="formula" val="35"/>
        <color rgb="FFF8696B"/>
        <color rgb="FFFCFCFF"/>
      </colorScale>
    </cfRule>
    <cfRule type="colorScale" priority="20325">
      <colorScale>
        <cfvo type="min"/>
        <cfvo type="max"/>
        <color rgb="FFFFEF9C"/>
        <color rgb="FF63BE7B"/>
      </colorScale>
    </cfRule>
  </conditionalFormatting>
  <conditionalFormatting sqref="S3929:S3945">
    <cfRule type="containsText" dxfId="6140" priority="20317" operator="containsText" text="Short Buildup">
      <formula>NOT(ISERROR(SEARCH("Short Buildup",S3929)))</formula>
    </cfRule>
    <cfRule type="containsText" dxfId="6139" priority="20318" operator="containsText" text="Long Liquidation">
      <formula>NOT(ISERROR(SEARCH("Long Liquidation",S3929)))</formula>
    </cfRule>
    <cfRule type="containsText" dxfId="6138" priority="20319" operator="containsText" text="Short covering">
      <formula>NOT(ISERROR(SEARCH("Short covering",S3929)))</formula>
    </cfRule>
    <cfRule type="containsText" dxfId="6137" priority="20320" operator="containsText" text="Long Buildup">
      <formula>NOT(ISERROR(SEARCH("Long Buildup",S3929)))</formula>
    </cfRule>
  </conditionalFormatting>
  <conditionalFormatting sqref="F3929:F3944">
    <cfRule type="dataBar" priority="20316">
      <dataBar>
        <cfvo type="min"/>
        <cfvo type="max"/>
        <color rgb="FFFF555A"/>
      </dataBar>
    </cfRule>
  </conditionalFormatting>
  <conditionalFormatting sqref="G3929:G3944">
    <cfRule type="dataBar" priority="20315">
      <dataBar>
        <cfvo type="min"/>
        <cfvo type="max"/>
        <color rgb="FFFF555A"/>
      </dataBar>
    </cfRule>
  </conditionalFormatting>
  <conditionalFormatting sqref="H3929">
    <cfRule type="dataBar" priority="20314">
      <dataBar>
        <cfvo type="min"/>
        <cfvo type="max"/>
        <color rgb="FFFF555A"/>
      </dataBar>
    </cfRule>
  </conditionalFormatting>
  <conditionalFormatting sqref="I3929">
    <cfRule type="dataBar" priority="20313">
      <dataBar>
        <cfvo type="min"/>
        <cfvo type="max"/>
        <color rgb="FFFF555A"/>
      </dataBar>
    </cfRule>
  </conditionalFormatting>
  <conditionalFormatting sqref="J3929">
    <cfRule type="dataBar" priority="20312">
      <dataBar>
        <cfvo type="min"/>
        <cfvo type="max"/>
        <color rgb="FFFF555A"/>
      </dataBar>
    </cfRule>
  </conditionalFormatting>
  <conditionalFormatting sqref="E3930:E3944">
    <cfRule type="dataBar" priority="20311">
      <dataBar>
        <cfvo type="min"/>
        <cfvo type="max"/>
        <color rgb="FFFF555A"/>
      </dataBar>
    </cfRule>
  </conditionalFormatting>
  <conditionalFormatting sqref="H3930:H3944">
    <cfRule type="dataBar" priority="20310">
      <dataBar>
        <cfvo type="min"/>
        <cfvo type="max"/>
        <color rgb="FFFF555A"/>
      </dataBar>
    </cfRule>
  </conditionalFormatting>
  <conditionalFormatting sqref="I3930:I3944">
    <cfRule type="dataBar" priority="20309">
      <dataBar>
        <cfvo type="min"/>
        <cfvo type="max"/>
        <color rgb="FFFF555A"/>
      </dataBar>
    </cfRule>
  </conditionalFormatting>
  <conditionalFormatting sqref="J3930:J3944">
    <cfRule type="dataBar" priority="20308">
      <dataBar>
        <cfvo type="min"/>
        <cfvo type="max"/>
        <color rgb="FFFF555A"/>
      </dataBar>
    </cfRule>
  </conditionalFormatting>
  <conditionalFormatting sqref="L3929:L3944">
    <cfRule type="dataBar" priority="20307">
      <dataBar>
        <cfvo type="min"/>
        <cfvo type="max"/>
        <color rgb="FFFF555A"/>
      </dataBar>
    </cfRule>
  </conditionalFormatting>
  <conditionalFormatting sqref="M3929:M3944">
    <cfRule type="dataBar" priority="20306">
      <dataBar>
        <cfvo type="min"/>
        <cfvo type="max"/>
        <color rgb="FFFF555A"/>
      </dataBar>
    </cfRule>
  </conditionalFormatting>
  <conditionalFormatting sqref="N3929:N3944">
    <cfRule type="dataBar" priority="20305">
      <dataBar>
        <cfvo type="min"/>
        <cfvo type="max"/>
        <color rgb="FFFF555A"/>
      </dataBar>
    </cfRule>
  </conditionalFormatting>
  <conditionalFormatting sqref="Q3929:Q3944">
    <cfRule type="dataBar" priority="20304">
      <dataBar>
        <cfvo type="min"/>
        <cfvo type="max"/>
        <color rgb="FFFF555A"/>
      </dataBar>
    </cfRule>
  </conditionalFormatting>
  <conditionalFormatting sqref="O3929:O3944">
    <cfRule type="dataBar" priority="20303">
      <dataBar>
        <cfvo type="min"/>
        <cfvo type="max"/>
        <color rgb="FFFF555A"/>
      </dataBar>
    </cfRule>
  </conditionalFormatting>
  <conditionalFormatting sqref="P3929:P3944">
    <cfRule type="dataBar" priority="20302">
      <dataBar>
        <cfvo type="min"/>
        <cfvo type="max"/>
        <color rgb="FFFF555A"/>
      </dataBar>
    </cfRule>
  </conditionalFormatting>
  <conditionalFormatting sqref="R3946:R3962 D3946:D3961 C3962">
    <cfRule type="containsText" dxfId="6136" priority="20301" operator="containsText" text="DOWN">
      <formula>NOT(ISERROR(SEARCH("DOWN",C3946)))</formula>
    </cfRule>
  </conditionalFormatting>
  <conditionalFormatting sqref="R3946:R3962 D3946:D3961 C3962">
    <cfRule type="containsText" dxfId="6135" priority="20300" operator="containsText" text="UP">
      <formula>NOT(ISERROR(SEARCH("UP",C3946)))</formula>
    </cfRule>
  </conditionalFormatting>
  <conditionalFormatting sqref="I3962">
    <cfRule type="colorScale" priority="20299">
      <colorScale>
        <cfvo type="min"/>
        <cfvo type="max"/>
        <color rgb="FFFFEF9C"/>
        <color rgb="FF63BE7B"/>
      </colorScale>
    </cfRule>
  </conditionalFormatting>
  <conditionalFormatting sqref="M3962">
    <cfRule type="colorScale" priority="20298">
      <colorScale>
        <cfvo type="min"/>
        <cfvo type="max"/>
        <color rgb="FFFF7128"/>
        <color rgb="FFFFEF9C"/>
      </colorScale>
    </cfRule>
  </conditionalFormatting>
  <conditionalFormatting sqref="Q3962">
    <cfRule type="dataBar" priority="20297">
      <dataBar>
        <cfvo type="min"/>
        <cfvo type="max"/>
        <color rgb="FFFF555A"/>
      </dataBar>
    </cfRule>
  </conditionalFormatting>
  <conditionalFormatting sqref="E3946:E3962">
    <cfRule type="dataBar" priority="20296">
      <dataBar>
        <cfvo type="min"/>
        <cfvo type="max"/>
        <color rgb="FFFF555A"/>
      </dataBar>
    </cfRule>
  </conditionalFormatting>
  <conditionalFormatting sqref="F3962">
    <cfRule type="top10" dxfId="6134" priority="20295" rank="1"/>
  </conditionalFormatting>
  <conditionalFormatting sqref="G3962 P3962">
    <cfRule type="cellIs" dxfId="6133" priority="20294" operator="equal">
      <formula>$G$135</formula>
    </cfRule>
  </conditionalFormatting>
  <conditionalFormatting sqref="P3962">
    <cfRule type="cellIs" dxfId="6132" priority="20293" operator="equal">
      <formula>$J$135</formula>
    </cfRule>
  </conditionalFormatting>
  <conditionalFormatting sqref="G3962 P3962">
    <cfRule type="cellIs" dxfId="6131" priority="20292" operator="equal">
      <formula>#REF!</formula>
    </cfRule>
  </conditionalFormatting>
  <conditionalFormatting sqref="G3962">
    <cfRule type="top10" dxfId="6130" priority="20290" rank="1"/>
    <cfRule type="cellIs" dxfId="6129" priority="20291" operator="equal">
      <formula>$G$133</formula>
    </cfRule>
  </conditionalFormatting>
  <conditionalFormatting sqref="P3962">
    <cfRule type="top10" dxfId="6128" priority="20288" rank="1"/>
    <cfRule type="cellIs" dxfId="6127" priority="20289" operator="equal">
      <formula>$G$133</formula>
    </cfRule>
  </conditionalFormatting>
  <conditionalFormatting sqref="C3946:C3961">
    <cfRule type="containsText" dxfId="6126" priority="20284" operator="containsText" text="Short Buildup">
      <formula>NOT(ISERROR(SEARCH("Short Buildup",C3946)))</formula>
    </cfRule>
    <cfRule type="containsText" dxfId="6125" priority="20285" operator="containsText" text="Long Liquidation">
      <formula>NOT(ISERROR(SEARCH("Long Liquidation",C3946)))</formula>
    </cfRule>
    <cfRule type="containsText" dxfId="6124" priority="20286" operator="containsText" text="Short covering">
      <formula>NOT(ISERROR(SEARCH("Short covering",C3946)))</formula>
    </cfRule>
    <cfRule type="containsText" dxfId="6123" priority="20287" operator="containsText" text="Long Buildup">
      <formula>NOT(ISERROR(SEARCH("Long Buildup",C3946)))</formula>
    </cfRule>
  </conditionalFormatting>
  <conditionalFormatting sqref="H3962">
    <cfRule type="colorScale" priority="20279">
      <colorScale>
        <cfvo type="min"/>
        <cfvo type="percentile" val="20"/>
        <cfvo type="max"/>
        <color rgb="FF92D050"/>
        <color theme="5" tint="0.79998168889431442"/>
        <color rgb="FFFF0000"/>
      </colorScale>
    </cfRule>
    <cfRule type="colorScale" priority="20280">
      <colorScale>
        <cfvo type="min"/>
        <cfvo type="max"/>
        <color rgb="FFFF0000"/>
        <color rgb="FF92D050"/>
      </colorScale>
    </cfRule>
    <cfRule type="colorScale" priority="20281">
      <colorScale>
        <cfvo type="min"/>
        <cfvo type="percentile" val="50"/>
        <cfvo type="max"/>
        <color rgb="FF5A8AC6"/>
        <color rgb="FFFCFCFF"/>
        <color rgb="FFF8696B"/>
      </colorScale>
    </cfRule>
    <cfRule type="colorScale" priority="20282">
      <colorScale>
        <cfvo type="formula" val="&quot;&gt;20&quot;"/>
        <cfvo type="formula" val="35"/>
        <color rgb="FFF8696B"/>
        <color rgb="FFFCFCFF"/>
      </colorScale>
    </cfRule>
    <cfRule type="colorScale" priority="20283">
      <colorScale>
        <cfvo type="min"/>
        <cfvo type="max"/>
        <color rgb="FFFFEF9C"/>
        <color rgb="FF63BE7B"/>
      </colorScale>
    </cfRule>
  </conditionalFormatting>
  <conditionalFormatting sqref="N3962">
    <cfRule type="colorScale" priority="20274">
      <colorScale>
        <cfvo type="min"/>
        <cfvo type="percentile" val="20"/>
        <cfvo type="max"/>
        <color rgb="FF92D050"/>
        <color theme="5" tint="0.79998168889431442"/>
        <color rgb="FFFF0000"/>
      </colorScale>
    </cfRule>
    <cfRule type="colorScale" priority="20275">
      <colorScale>
        <cfvo type="min"/>
        <cfvo type="max"/>
        <color rgb="FFFF0000"/>
        <color rgb="FF92D050"/>
      </colorScale>
    </cfRule>
    <cfRule type="colorScale" priority="20276">
      <colorScale>
        <cfvo type="min"/>
        <cfvo type="percentile" val="50"/>
        <cfvo type="max"/>
        <color rgb="FF5A8AC6"/>
        <color rgb="FFFCFCFF"/>
        <color rgb="FFF8696B"/>
      </colorScale>
    </cfRule>
    <cfRule type="colorScale" priority="20277">
      <colorScale>
        <cfvo type="formula" val="&quot;&gt;20&quot;"/>
        <cfvo type="formula" val="35"/>
        <color rgb="FFF8696B"/>
        <color rgb="FFFCFCFF"/>
      </colorScale>
    </cfRule>
    <cfRule type="colorScale" priority="20278">
      <colorScale>
        <cfvo type="min"/>
        <cfvo type="max"/>
        <color rgb="FFFFEF9C"/>
        <color rgb="FF63BE7B"/>
      </colorScale>
    </cfRule>
  </conditionalFormatting>
  <conditionalFormatting sqref="S3946:S3962">
    <cfRule type="containsText" dxfId="6122" priority="20270" operator="containsText" text="Short Buildup">
      <formula>NOT(ISERROR(SEARCH("Short Buildup",S3946)))</formula>
    </cfRule>
    <cfRule type="containsText" dxfId="6121" priority="20271" operator="containsText" text="Long Liquidation">
      <formula>NOT(ISERROR(SEARCH("Long Liquidation",S3946)))</formula>
    </cfRule>
    <cfRule type="containsText" dxfId="6120" priority="20272" operator="containsText" text="Short covering">
      <formula>NOT(ISERROR(SEARCH("Short covering",S3946)))</formula>
    </cfRule>
    <cfRule type="containsText" dxfId="6119" priority="20273" operator="containsText" text="Long Buildup">
      <formula>NOT(ISERROR(SEARCH("Long Buildup",S3946)))</formula>
    </cfRule>
  </conditionalFormatting>
  <conditionalFormatting sqref="F3946:F3961">
    <cfRule type="dataBar" priority="20269">
      <dataBar>
        <cfvo type="min"/>
        <cfvo type="max"/>
        <color rgb="FFFF555A"/>
      </dataBar>
    </cfRule>
  </conditionalFormatting>
  <conditionalFormatting sqref="G3946:G3961">
    <cfRule type="dataBar" priority="20268">
      <dataBar>
        <cfvo type="min"/>
        <cfvo type="max"/>
        <color rgb="FFFF555A"/>
      </dataBar>
    </cfRule>
  </conditionalFormatting>
  <conditionalFormatting sqref="H3946">
    <cfRule type="dataBar" priority="20267">
      <dataBar>
        <cfvo type="min"/>
        <cfvo type="max"/>
        <color rgb="FFFF555A"/>
      </dataBar>
    </cfRule>
  </conditionalFormatting>
  <conditionalFormatting sqref="I3946">
    <cfRule type="dataBar" priority="20266">
      <dataBar>
        <cfvo type="min"/>
        <cfvo type="max"/>
        <color rgb="FFFF555A"/>
      </dataBar>
    </cfRule>
  </conditionalFormatting>
  <conditionalFormatting sqref="J3946">
    <cfRule type="dataBar" priority="20265">
      <dataBar>
        <cfvo type="min"/>
        <cfvo type="max"/>
        <color rgb="FFFF555A"/>
      </dataBar>
    </cfRule>
  </conditionalFormatting>
  <conditionalFormatting sqref="E3947:E3961">
    <cfRule type="dataBar" priority="20264">
      <dataBar>
        <cfvo type="min"/>
        <cfvo type="max"/>
        <color rgb="FFFF555A"/>
      </dataBar>
    </cfRule>
  </conditionalFormatting>
  <conditionalFormatting sqref="H3947:H3961">
    <cfRule type="dataBar" priority="20263">
      <dataBar>
        <cfvo type="min"/>
        <cfvo type="max"/>
        <color rgb="FFFF555A"/>
      </dataBar>
    </cfRule>
  </conditionalFormatting>
  <conditionalFormatting sqref="I3947:I3961">
    <cfRule type="dataBar" priority="20262">
      <dataBar>
        <cfvo type="min"/>
        <cfvo type="max"/>
        <color rgb="FFFF555A"/>
      </dataBar>
    </cfRule>
  </conditionalFormatting>
  <conditionalFormatting sqref="J3947:J3961">
    <cfRule type="dataBar" priority="20261">
      <dataBar>
        <cfvo type="min"/>
        <cfvo type="max"/>
        <color rgb="FFFF555A"/>
      </dataBar>
    </cfRule>
  </conditionalFormatting>
  <conditionalFormatting sqref="L3946:L3961">
    <cfRule type="dataBar" priority="20260">
      <dataBar>
        <cfvo type="min"/>
        <cfvo type="max"/>
        <color rgb="FFFF555A"/>
      </dataBar>
    </cfRule>
  </conditionalFormatting>
  <conditionalFormatting sqref="M3946:M3961">
    <cfRule type="dataBar" priority="20259">
      <dataBar>
        <cfvo type="min"/>
        <cfvo type="max"/>
        <color rgb="FFFF555A"/>
      </dataBar>
    </cfRule>
  </conditionalFormatting>
  <conditionalFormatting sqref="N3946:N3961">
    <cfRule type="dataBar" priority="20258">
      <dataBar>
        <cfvo type="min"/>
        <cfvo type="max"/>
        <color rgb="FFFF555A"/>
      </dataBar>
    </cfRule>
  </conditionalFormatting>
  <conditionalFormatting sqref="Q3946:Q3961">
    <cfRule type="dataBar" priority="20257">
      <dataBar>
        <cfvo type="min"/>
        <cfvo type="max"/>
        <color rgb="FFFF555A"/>
      </dataBar>
    </cfRule>
  </conditionalFormatting>
  <conditionalFormatting sqref="O3946:O3961">
    <cfRule type="dataBar" priority="20256">
      <dataBar>
        <cfvo type="min"/>
        <cfvo type="max"/>
        <color rgb="FFFF555A"/>
      </dataBar>
    </cfRule>
  </conditionalFormatting>
  <conditionalFormatting sqref="P3946:P3961">
    <cfRule type="dataBar" priority="20255">
      <dataBar>
        <cfvo type="min"/>
        <cfvo type="max"/>
        <color rgb="FFFF555A"/>
      </dataBar>
    </cfRule>
  </conditionalFormatting>
  <conditionalFormatting sqref="R3963:R3979 D3963:D3978 C3979">
    <cfRule type="containsText" dxfId="6118" priority="20254" operator="containsText" text="DOWN">
      <formula>NOT(ISERROR(SEARCH("DOWN",C3963)))</formula>
    </cfRule>
  </conditionalFormatting>
  <conditionalFormatting sqref="R3963:R3979 D3963:D3978 C3979">
    <cfRule type="containsText" dxfId="6117" priority="20253" operator="containsText" text="UP">
      <formula>NOT(ISERROR(SEARCH("UP",C3963)))</formula>
    </cfRule>
  </conditionalFormatting>
  <conditionalFormatting sqref="I3979">
    <cfRule type="colorScale" priority="20252">
      <colorScale>
        <cfvo type="min"/>
        <cfvo type="max"/>
        <color rgb="FFFFEF9C"/>
        <color rgb="FF63BE7B"/>
      </colorScale>
    </cfRule>
  </conditionalFormatting>
  <conditionalFormatting sqref="M3979">
    <cfRule type="colorScale" priority="20251">
      <colorScale>
        <cfvo type="min"/>
        <cfvo type="max"/>
        <color rgb="FFFF7128"/>
        <color rgb="FFFFEF9C"/>
      </colorScale>
    </cfRule>
  </conditionalFormatting>
  <conditionalFormatting sqref="Q3979">
    <cfRule type="dataBar" priority="20250">
      <dataBar>
        <cfvo type="min"/>
        <cfvo type="max"/>
        <color rgb="FFFF555A"/>
      </dataBar>
    </cfRule>
  </conditionalFormatting>
  <conditionalFormatting sqref="E3963:E3979">
    <cfRule type="dataBar" priority="20249">
      <dataBar>
        <cfvo type="min"/>
        <cfvo type="max"/>
        <color rgb="FFFF555A"/>
      </dataBar>
    </cfRule>
  </conditionalFormatting>
  <conditionalFormatting sqref="F3979">
    <cfRule type="top10" dxfId="6116" priority="20248" rank="1"/>
  </conditionalFormatting>
  <conditionalFormatting sqref="G3979 P3979">
    <cfRule type="cellIs" dxfId="6115" priority="20247" operator="equal">
      <formula>$G$135</formula>
    </cfRule>
  </conditionalFormatting>
  <conditionalFormatting sqref="P3979">
    <cfRule type="cellIs" dxfId="6114" priority="20246" operator="equal">
      <formula>$J$135</formula>
    </cfRule>
  </conditionalFormatting>
  <conditionalFormatting sqref="G3979 P3979">
    <cfRule type="cellIs" dxfId="6113" priority="20245" operator="equal">
      <formula>#REF!</formula>
    </cfRule>
  </conditionalFormatting>
  <conditionalFormatting sqref="G3979">
    <cfRule type="top10" dxfId="6112" priority="20243" rank="1"/>
    <cfRule type="cellIs" dxfId="6111" priority="20244" operator="equal">
      <formula>$G$133</formula>
    </cfRule>
  </conditionalFormatting>
  <conditionalFormatting sqref="P3979">
    <cfRule type="top10" dxfId="6110" priority="20241" rank="1"/>
    <cfRule type="cellIs" dxfId="6109" priority="20242" operator="equal">
      <formula>$G$133</formula>
    </cfRule>
  </conditionalFormatting>
  <conditionalFormatting sqref="C3963:C3978">
    <cfRule type="containsText" dxfId="6108" priority="20237" operator="containsText" text="Short Buildup">
      <formula>NOT(ISERROR(SEARCH("Short Buildup",C3963)))</formula>
    </cfRule>
    <cfRule type="containsText" dxfId="6107" priority="20238" operator="containsText" text="Long Liquidation">
      <formula>NOT(ISERROR(SEARCH("Long Liquidation",C3963)))</formula>
    </cfRule>
    <cfRule type="containsText" dxfId="6106" priority="20239" operator="containsText" text="Short covering">
      <formula>NOT(ISERROR(SEARCH("Short covering",C3963)))</formula>
    </cfRule>
    <cfRule type="containsText" dxfId="6105" priority="20240" operator="containsText" text="Long Buildup">
      <formula>NOT(ISERROR(SEARCH("Long Buildup",C3963)))</formula>
    </cfRule>
  </conditionalFormatting>
  <conditionalFormatting sqref="H3979">
    <cfRule type="colorScale" priority="20232">
      <colorScale>
        <cfvo type="min"/>
        <cfvo type="percentile" val="20"/>
        <cfvo type="max"/>
        <color rgb="FF92D050"/>
        <color theme="5" tint="0.79998168889431442"/>
        <color rgb="FFFF0000"/>
      </colorScale>
    </cfRule>
    <cfRule type="colorScale" priority="20233">
      <colorScale>
        <cfvo type="min"/>
        <cfvo type="max"/>
        <color rgb="FFFF0000"/>
        <color rgb="FF92D050"/>
      </colorScale>
    </cfRule>
    <cfRule type="colorScale" priority="20234">
      <colorScale>
        <cfvo type="min"/>
        <cfvo type="percentile" val="50"/>
        <cfvo type="max"/>
        <color rgb="FF5A8AC6"/>
        <color rgb="FFFCFCFF"/>
        <color rgb="FFF8696B"/>
      </colorScale>
    </cfRule>
    <cfRule type="colorScale" priority="20235">
      <colorScale>
        <cfvo type="formula" val="&quot;&gt;20&quot;"/>
        <cfvo type="formula" val="35"/>
        <color rgb="FFF8696B"/>
        <color rgb="FFFCFCFF"/>
      </colorScale>
    </cfRule>
    <cfRule type="colorScale" priority="20236">
      <colorScale>
        <cfvo type="min"/>
        <cfvo type="max"/>
        <color rgb="FFFFEF9C"/>
        <color rgb="FF63BE7B"/>
      </colorScale>
    </cfRule>
  </conditionalFormatting>
  <conditionalFormatting sqref="N3979">
    <cfRule type="colorScale" priority="20227">
      <colorScale>
        <cfvo type="min"/>
        <cfvo type="percentile" val="20"/>
        <cfvo type="max"/>
        <color rgb="FF92D050"/>
        <color theme="5" tint="0.79998168889431442"/>
        <color rgb="FFFF0000"/>
      </colorScale>
    </cfRule>
    <cfRule type="colorScale" priority="20228">
      <colorScale>
        <cfvo type="min"/>
        <cfvo type="max"/>
        <color rgb="FFFF0000"/>
        <color rgb="FF92D050"/>
      </colorScale>
    </cfRule>
    <cfRule type="colorScale" priority="20229">
      <colorScale>
        <cfvo type="min"/>
        <cfvo type="percentile" val="50"/>
        <cfvo type="max"/>
        <color rgb="FF5A8AC6"/>
        <color rgb="FFFCFCFF"/>
        <color rgb="FFF8696B"/>
      </colorScale>
    </cfRule>
    <cfRule type="colorScale" priority="20230">
      <colorScale>
        <cfvo type="formula" val="&quot;&gt;20&quot;"/>
        <cfvo type="formula" val="35"/>
        <color rgb="FFF8696B"/>
        <color rgb="FFFCFCFF"/>
      </colorScale>
    </cfRule>
    <cfRule type="colorScale" priority="20231">
      <colorScale>
        <cfvo type="min"/>
        <cfvo type="max"/>
        <color rgb="FFFFEF9C"/>
        <color rgb="FF63BE7B"/>
      </colorScale>
    </cfRule>
  </conditionalFormatting>
  <conditionalFormatting sqref="S3963:S3979">
    <cfRule type="containsText" dxfId="6104" priority="20223" operator="containsText" text="Short Buildup">
      <formula>NOT(ISERROR(SEARCH("Short Buildup",S3963)))</formula>
    </cfRule>
    <cfRule type="containsText" dxfId="6103" priority="20224" operator="containsText" text="Long Liquidation">
      <formula>NOT(ISERROR(SEARCH("Long Liquidation",S3963)))</formula>
    </cfRule>
    <cfRule type="containsText" dxfId="6102" priority="20225" operator="containsText" text="Short covering">
      <formula>NOT(ISERROR(SEARCH("Short covering",S3963)))</formula>
    </cfRule>
    <cfRule type="containsText" dxfId="6101" priority="20226" operator="containsText" text="Long Buildup">
      <formula>NOT(ISERROR(SEARCH("Long Buildup",S3963)))</formula>
    </cfRule>
  </conditionalFormatting>
  <conditionalFormatting sqref="F3963:F3978">
    <cfRule type="dataBar" priority="20222">
      <dataBar>
        <cfvo type="min"/>
        <cfvo type="max"/>
        <color rgb="FFFF555A"/>
      </dataBar>
    </cfRule>
  </conditionalFormatting>
  <conditionalFormatting sqref="G3963:G3978">
    <cfRule type="dataBar" priority="20221">
      <dataBar>
        <cfvo type="min"/>
        <cfvo type="max"/>
        <color rgb="FFFF555A"/>
      </dataBar>
    </cfRule>
  </conditionalFormatting>
  <conditionalFormatting sqref="H3963">
    <cfRule type="dataBar" priority="20220">
      <dataBar>
        <cfvo type="min"/>
        <cfvo type="max"/>
        <color rgb="FFFF555A"/>
      </dataBar>
    </cfRule>
  </conditionalFormatting>
  <conditionalFormatting sqref="I3963">
    <cfRule type="dataBar" priority="20219">
      <dataBar>
        <cfvo type="min"/>
        <cfvo type="max"/>
        <color rgb="FFFF555A"/>
      </dataBar>
    </cfRule>
  </conditionalFormatting>
  <conditionalFormatting sqref="J3963">
    <cfRule type="dataBar" priority="20218">
      <dataBar>
        <cfvo type="min"/>
        <cfvo type="max"/>
        <color rgb="FFFF555A"/>
      </dataBar>
    </cfRule>
  </conditionalFormatting>
  <conditionalFormatting sqref="E3964:E3978">
    <cfRule type="dataBar" priority="20217">
      <dataBar>
        <cfvo type="min"/>
        <cfvo type="max"/>
        <color rgb="FFFF555A"/>
      </dataBar>
    </cfRule>
  </conditionalFormatting>
  <conditionalFormatting sqref="H3964:H3978">
    <cfRule type="dataBar" priority="20216">
      <dataBar>
        <cfvo type="min"/>
        <cfvo type="max"/>
        <color rgb="FFFF555A"/>
      </dataBar>
    </cfRule>
  </conditionalFormatting>
  <conditionalFormatting sqref="I3964:I3978">
    <cfRule type="dataBar" priority="20215">
      <dataBar>
        <cfvo type="min"/>
        <cfvo type="max"/>
        <color rgb="FFFF555A"/>
      </dataBar>
    </cfRule>
  </conditionalFormatting>
  <conditionalFormatting sqref="J3964:J3978">
    <cfRule type="dataBar" priority="20214">
      <dataBar>
        <cfvo type="min"/>
        <cfvo type="max"/>
        <color rgb="FFFF555A"/>
      </dataBar>
    </cfRule>
  </conditionalFormatting>
  <conditionalFormatting sqref="L3963:L3978">
    <cfRule type="dataBar" priority="20213">
      <dataBar>
        <cfvo type="min"/>
        <cfvo type="max"/>
        <color rgb="FFFF555A"/>
      </dataBar>
    </cfRule>
  </conditionalFormatting>
  <conditionalFormatting sqref="M3963:M3978">
    <cfRule type="dataBar" priority="20212">
      <dataBar>
        <cfvo type="min"/>
        <cfvo type="max"/>
        <color rgb="FFFF555A"/>
      </dataBar>
    </cfRule>
  </conditionalFormatting>
  <conditionalFormatting sqref="N3963:N3978">
    <cfRule type="dataBar" priority="20211">
      <dataBar>
        <cfvo type="min"/>
        <cfvo type="max"/>
        <color rgb="FFFF555A"/>
      </dataBar>
    </cfRule>
  </conditionalFormatting>
  <conditionalFormatting sqref="Q3963:Q3978">
    <cfRule type="dataBar" priority="20210">
      <dataBar>
        <cfvo type="min"/>
        <cfvo type="max"/>
        <color rgb="FFFF555A"/>
      </dataBar>
    </cfRule>
  </conditionalFormatting>
  <conditionalFormatting sqref="O3963:O3978">
    <cfRule type="dataBar" priority="20209">
      <dataBar>
        <cfvo type="min"/>
        <cfvo type="max"/>
        <color rgb="FFFF555A"/>
      </dataBar>
    </cfRule>
  </conditionalFormatting>
  <conditionalFormatting sqref="P3963:P3978">
    <cfRule type="dataBar" priority="20208">
      <dataBar>
        <cfvo type="min"/>
        <cfvo type="max"/>
        <color rgb="FFFF555A"/>
      </dataBar>
    </cfRule>
  </conditionalFormatting>
  <conditionalFormatting sqref="R3980:R3996 D3980:D3995 C3996">
    <cfRule type="containsText" dxfId="6100" priority="20207" operator="containsText" text="DOWN">
      <formula>NOT(ISERROR(SEARCH("DOWN",C3980)))</formula>
    </cfRule>
  </conditionalFormatting>
  <conditionalFormatting sqref="R3980:R3996 D3980:D3995 C3996">
    <cfRule type="containsText" dxfId="6099" priority="20206" operator="containsText" text="UP">
      <formula>NOT(ISERROR(SEARCH("UP",C3980)))</formula>
    </cfRule>
  </conditionalFormatting>
  <conditionalFormatting sqref="I3996">
    <cfRule type="colorScale" priority="20205">
      <colorScale>
        <cfvo type="min"/>
        <cfvo type="max"/>
        <color rgb="FFFFEF9C"/>
        <color rgb="FF63BE7B"/>
      </colorScale>
    </cfRule>
  </conditionalFormatting>
  <conditionalFormatting sqref="M3996">
    <cfRule type="colorScale" priority="20204">
      <colorScale>
        <cfvo type="min"/>
        <cfvo type="max"/>
        <color rgb="FFFF7128"/>
        <color rgb="FFFFEF9C"/>
      </colorScale>
    </cfRule>
  </conditionalFormatting>
  <conditionalFormatting sqref="Q3996">
    <cfRule type="dataBar" priority="20203">
      <dataBar>
        <cfvo type="min"/>
        <cfvo type="max"/>
        <color rgb="FFFF555A"/>
      </dataBar>
    </cfRule>
  </conditionalFormatting>
  <conditionalFormatting sqref="E3980:E3996">
    <cfRule type="dataBar" priority="20202">
      <dataBar>
        <cfvo type="min"/>
        <cfvo type="max"/>
        <color rgb="FFFF555A"/>
      </dataBar>
    </cfRule>
  </conditionalFormatting>
  <conditionalFormatting sqref="F3996">
    <cfRule type="top10" dxfId="6098" priority="20201" rank="1"/>
  </conditionalFormatting>
  <conditionalFormatting sqref="G3996 P3996">
    <cfRule type="cellIs" dxfId="6097" priority="20200" operator="equal">
      <formula>$G$135</formula>
    </cfRule>
  </conditionalFormatting>
  <conditionalFormatting sqref="P3996">
    <cfRule type="cellIs" dxfId="6096" priority="20199" operator="equal">
      <formula>$J$135</formula>
    </cfRule>
  </conditionalFormatting>
  <conditionalFormatting sqref="G3996 P3996">
    <cfRule type="cellIs" dxfId="6095" priority="20198" operator="equal">
      <formula>#REF!</formula>
    </cfRule>
  </conditionalFormatting>
  <conditionalFormatting sqref="G3996">
    <cfRule type="top10" dxfId="6094" priority="20196" rank="1"/>
    <cfRule type="cellIs" dxfId="6093" priority="20197" operator="equal">
      <formula>$G$133</formula>
    </cfRule>
  </conditionalFormatting>
  <conditionalFormatting sqref="P3996">
    <cfRule type="top10" dxfId="6092" priority="20194" rank="1"/>
    <cfRule type="cellIs" dxfId="6091" priority="20195" operator="equal">
      <formula>$G$133</formula>
    </cfRule>
  </conditionalFormatting>
  <conditionalFormatting sqref="C3980:C3995">
    <cfRule type="containsText" dxfId="6090" priority="20190" operator="containsText" text="Short Buildup">
      <formula>NOT(ISERROR(SEARCH("Short Buildup",C3980)))</formula>
    </cfRule>
    <cfRule type="containsText" dxfId="6089" priority="20191" operator="containsText" text="Long Liquidation">
      <formula>NOT(ISERROR(SEARCH("Long Liquidation",C3980)))</formula>
    </cfRule>
    <cfRule type="containsText" dxfId="6088" priority="20192" operator="containsText" text="Short covering">
      <formula>NOT(ISERROR(SEARCH("Short covering",C3980)))</formula>
    </cfRule>
    <cfRule type="containsText" dxfId="6087" priority="20193" operator="containsText" text="Long Buildup">
      <formula>NOT(ISERROR(SEARCH("Long Buildup",C3980)))</formula>
    </cfRule>
  </conditionalFormatting>
  <conditionalFormatting sqref="H3996">
    <cfRule type="colorScale" priority="20185">
      <colorScale>
        <cfvo type="min"/>
        <cfvo type="percentile" val="20"/>
        <cfvo type="max"/>
        <color rgb="FF92D050"/>
        <color theme="5" tint="0.79998168889431442"/>
        <color rgb="FFFF0000"/>
      </colorScale>
    </cfRule>
    <cfRule type="colorScale" priority="20186">
      <colorScale>
        <cfvo type="min"/>
        <cfvo type="max"/>
        <color rgb="FFFF0000"/>
        <color rgb="FF92D050"/>
      </colorScale>
    </cfRule>
    <cfRule type="colorScale" priority="20187">
      <colorScale>
        <cfvo type="min"/>
        <cfvo type="percentile" val="50"/>
        <cfvo type="max"/>
        <color rgb="FF5A8AC6"/>
        <color rgb="FFFCFCFF"/>
        <color rgb="FFF8696B"/>
      </colorScale>
    </cfRule>
    <cfRule type="colorScale" priority="20188">
      <colorScale>
        <cfvo type="formula" val="&quot;&gt;20&quot;"/>
        <cfvo type="formula" val="35"/>
        <color rgb="FFF8696B"/>
        <color rgb="FFFCFCFF"/>
      </colorScale>
    </cfRule>
    <cfRule type="colorScale" priority="20189">
      <colorScale>
        <cfvo type="min"/>
        <cfvo type="max"/>
        <color rgb="FFFFEF9C"/>
        <color rgb="FF63BE7B"/>
      </colorScale>
    </cfRule>
  </conditionalFormatting>
  <conditionalFormatting sqref="N3996">
    <cfRule type="colorScale" priority="20180">
      <colorScale>
        <cfvo type="min"/>
        <cfvo type="percentile" val="20"/>
        <cfvo type="max"/>
        <color rgb="FF92D050"/>
        <color theme="5" tint="0.79998168889431442"/>
        <color rgb="FFFF0000"/>
      </colorScale>
    </cfRule>
    <cfRule type="colorScale" priority="20181">
      <colorScale>
        <cfvo type="min"/>
        <cfvo type="max"/>
        <color rgb="FFFF0000"/>
        <color rgb="FF92D050"/>
      </colorScale>
    </cfRule>
    <cfRule type="colorScale" priority="20182">
      <colorScale>
        <cfvo type="min"/>
        <cfvo type="percentile" val="50"/>
        <cfvo type="max"/>
        <color rgb="FF5A8AC6"/>
        <color rgb="FFFCFCFF"/>
        <color rgb="FFF8696B"/>
      </colorScale>
    </cfRule>
    <cfRule type="colorScale" priority="20183">
      <colorScale>
        <cfvo type="formula" val="&quot;&gt;20&quot;"/>
        <cfvo type="formula" val="35"/>
        <color rgb="FFF8696B"/>
        <color rgb="FFFCFCFF"/>
      </colorScale>
    </cfRule>
    <cfRule type="colorScale" priority="20184">
      <colorScale>
        <cfvo type="min"/>
        <cfvo type="max"/>
        <color rgb="FFFFEF9C"/>
        <color rgb="FF63BE7B"/>
      </colorScale>
    </cfRule>
  </conditionalFormatting>
  <conditionalFormatting sqref="S3980:S3996">
    <cfRule type="containsText" dxfId="6086" priority="20176" operator="containsText" text="Short Buildup">
      <formula>NOT(ISERROR(SEARCH("Short Buildup",S3980)))</formula>
    </cfRule>
    <cfRule type="containsText" dxfId="6085" priority="20177" operator="containsText" text="Long Liquidation">
      <formula>NOT(ISERROR(SEARCH("Long Liquidation",S3980)))</formula>
    </cfRule>
    <cfRule type="containsText" dxfId="6084" priority="20178" operator="containsText" text="Short covering">
      <formula>NOT(ISERROR(SEARCH("Short covering",S3980)))</formula>
    </cfRule>
    <cfRule type="containsText" dxfId="6083" priority="20179" operator="containsText" text="Long Buildup">
      <formula>NOT(ISERROR(SEARCH("Long Buildup",S3980)))</formula>
    </cfRule>
  </conditionalFormatting>
  <conditionalFormatting sqref="F3980:F3995">
    <cfRule type="dataBar" priority="20175">
      <dataBar>
        <cfvo type="min"/>
        <cfvo type="max"/>
        <color rgb="FFFF555A"/>
      </dataBar>
    </cfRule>
  </conditionalFormatting>
  <conditionalFormatting sqref="G3980:G3995">
    <cfRule type="dataBar" priority="20174">
      <dataBar>
        <cfvo type="min"/>
        <cfvo type="max"/>
        <color rgb="FFFF555A"/>
      </dataBar>
    </cfRule>
  </conditionalFormatting>
  <conditionalFormatting sqref="H3980">
    <cfRule type="dataBar" priority="20173">
      <dataBar>
        <cfvo type="min"/>
        <cfvo type="max"/>
        <color rgb="FFFF555A"/>
      </dataBar>
    </cfRule>
  </conditionalFormatting>
  <conditionalFormatting sqref="I3980">
    <cfRule type="dataBar" priority="20172">
      <dataBar>
        <cfvo type="min"/>
        <cfvo type="max"/>
        <color rgb="FFFF555A"/>
      </dataBar>
    </cfRule>
  </conditionalFormatting>
  <conditionalFormatting sqref="J3980">
    <cfRule type="dataBar" priority="20171">
      <dataBar>
        <cfvo type="min"/>
        <cfvo type="max"/>
        <color rgb="FFFF555A"/>
      </dataBar>
    </cfRule>
  </conditionalFormatting>
  <conditionalFormatting sqref="E3981:E3995">
    <cfRule type="dataBar" priority="20170">
      <dataBar>
        <cfvo type="min"/>
        <cfvo type="max"/>
        <color rgb="FFFF555A"/>
      </dataBar>
    </cfRule>
  </conditionalFormatting>
  <conditionalFormatting sqref="H3981:H3995">
    <cfRule type="dataBar" priority="20169">
      <dataBar>
        <cfvo type="min"/>
        <cfvo type="max"/>
        <color rgb="FFFF555A"/>
      </dataBar>
    </cfRule>
  </conditionalFormatting>
  <conditionalFormatting sqref="I3981:I3995">
    <cfRule type="dataBar" priority="20168">
      <dataBar>
        <cfvo type="min"/>
        <cfvo type="max"/>
        <color rgb="FFFF555A"/>
      </dataBar>
    </cfRule>
  </conditionalFormatting>
  <conditionalFormatting sqref="J3981:J3995">
    <cfRule type="dataBar" priority="20167">
      <dataBar>
        <cfvo type="min"/>
        <cfvo type="max"/>
        <color rgb="FFFF555A"/>
      </dataBar>
    </cfRule>
  </conditionalFormatting>
  <conditionalFormatting sqref="L3980:L3995">
    <cfRule type="dataBar" priority="20166">
      <dataBar>
        <cfvo type="min"/>
        <cfvo type="max"/>
        <color rgb="FFFF555A"/>
      </dataBar>
    </cfRule>
  </conditionalFormatting>
  <conditionalFormatting sqref="M3980:M3995">
    <cfRule type="dataBar" priority="20165">
      <dataBar>
        <cfvo type="min"/>
        <cfvo type="max"/>
        <color rgb="FFFF555A"/>
      </dataBar>
    </cfRule>
  </conditionalFormatting>
  <conditionalFormatting sqref="N3980:N3995">
    <cfRule type="dataBar" priority="20164">
      <dataBar>
        <cfvo type="min"/>
        <cfvo type="max"/>
        <color rgb="FFFF555A"/>
      </dataBar>
    </cfRule>
  </conditionalFormatting>
  <conditionalFormatting sqref="Q3980:Q3995">
    <cfRule type="dataBar" priority="20163">
      <dataBar>
        <cfvo type="min"/>
        <cfvo type="max"/>
        <color rgb="FFFF555A"/>
      </dataBar>
    </cfRule>
  </conditionalFormatting>
  <conditionalFormatting sqref="O3980:O3995">
    <cfRule type="dataBar" priority="20162">
      <dataBar>
        <cfvo type="min"/>
        <cfvo type="max"/>
        <color rgb="FFFF555A"/>
      </dataBar>
    </cfRule>
  </conditionalFormatting>
  <conditionalFormatting sqref="P3980:P3995">
    <cfRule type="dataBar" priority="20161">
      <dataBar>
        <cfvo type="min"/>
        <cfvo type="max"/>
        <color rgb="FFFF555A"/>
      </dataBar>
    </cfRule>
  </conditionalFormatting>
  <conditionalFormatting sqref="R3997:R4013 D3997:D4012 C4013">
    <cfRule type="containsText" dxfId="6082" priority="20160" operator="containsText" text="DOWN">
      <formula>NOT(ISERROR(SEARCH("DOWN",C3997)))</formula>
    </cfRule>
  </conditionalFormatting>
  <conditionalFormatting sqref="R3997:R4013 D3997:D4012 C4013">
    <cfRule type="containsText" dxfId="6081" priority="20159" operator="containsText" text="UP">
      <formula>NOT(ISERROR(SEARCH("UP",C3997)))</formula>
    </cfRule>
  </conditionalFormatting>
  <conditionalFormatting sqref="I4013">
    <cfRule type="colorScale" priority="20158">
      <colorScale>
        <cfvo type="min"/>
        <cfvo type="max"/>
        <color rgb="FFFFEF9C"/>
        <color rgb="FF63BE7B"/>
      </colorScale>
    </cfRule>
  </conditionalFormatting>
  <conditionalFormatting sqref="M4013">
    <cfRule type="colorScale" priority="20157">
      <colorScale>
        <cfvo type="min"/>
        <cfvo type="max"/>
        <color rgb="FFFF7128"/>
        <color rgb="FFFFEF9C"/>
      </colorScale>
    </cfRule>
  </conditionalFormatting>
  <conditionalFormatting sqref="Q4013">
    <cfRule type="dataBar" priority="20156">
      <dataBar>
        <cfvo type="min"/>
        <cfvo type="max"/>
        <color rgb="FFFF555A"/>
      </dataBar>
    </cfRule>
  </conditionalFormatting>
  <conditionalFormatting sqref="E3997:E4013">
    <cfRule type="dataBar" priority="20155">
      <dataBar>
        <cfvo type="min"/>
        <cfvo type="max"/>
        <color rgb="FFFF555A"/>
      </dataBar>
    </cfRule>
  </conditionalFormatting>
  <conditionalFormatting sqref="F4013">
    <cfRule type="top10" dxfId="6080" priority="20154" rank="1"/>
  </conditionalFormatting>
  <conditionalFormatting sqref="G4013 P4013">
    <cfRule type="cellIs" dxfId="6079" priority="20153" operator="equal">
      <formula>$G$135</formula>
    </cfRule>
  </conditionalFormatting>
  <conditionalFormatting sqref="P4013">
    <cfRule type="cellIs" dxfId="6078" priority="20152" operator="equal">
      <formula>$J$135</formula>
    </cfRule>
  </conditionalFormatting>
  <conditionalFormatting sqref="G4013 P4013">
    <cfRule type="cellIs" dxfId="6077" priority="20151" operator="equal">
      <formula>#REF!</formula>
    </cfRule>
  </conditionalFormatting>
  <conditionalFormatting sqref="G4013">
    <cfRule type="top10" dxfId="6076" priority="20149" rank="1"/>
    <cfRule type="cellIs" dxfId="6075" priority="20150" operator="equal">
      <formula>$G$133</formula>
    </cfRule>
  </conditionalFormatting>
  <conditionalFormatting sqref="P4013">
    <cfRule type="top10" dxfId="6074" priority="20147" rank="1"/>
    <cfRule type="cellIs" dxfId="6073" priority="20148" operator="equal">
      <formula>$G$133</formula>
    </cfRule>
  </conditionalFormatting>
  <conditionalFormatting sqref="C3997:C4012">
    <cfRule type="containsText" dxfId="6072" priority="20143" operator="containsText" text="Short Buildup">
      <formula>NOT(ISERROR(SEARCH("Short Buildup",C3997)))</formula>
    </cfRule>
    <cfRule type="containsText" dxfId="6071" priority="20144" operator="containsText" text="Long Liquidation">
      <formula>NOT(ISERROR(SEARCH("Long Liquidation",C3997)))</formula>
    </cfRule>
    <cfRule type="containsText" dxfId="6070" priority="20145" operator="containsText" text="Short covering">
      <formula>NOT(ISERROR(SEARCH("Short covering",C3997)))</formula>
    </cfRule>
    <cfRule type="containsText" dxfId="6069" priority="20146" operator="containsText" text="Long Buildup">
      <formula>NOT(ISERROR(SEARCH("Long Buildup",C3997)))</formula>
    </cfRule>
  </conditionalFormatting>
  <conditionalFormatting sqref="H4013">
    <cfRule type="colorScale" priority="20138">
      <colorScale>
        <cfvo type="min"/>
        <cfvo type="percentile" val="20"/>
        <cfvo type="max"/>
        <color rgb="FF92D050"/>
        <color theme="5" tint="0.79998168889431442"/>
        <color rgb="FFFF0000"/>
      </colorScale>
    </cfRule>
    <cfRule type="colorScale" priority="20139">
      <colorScale>
        <cfvo type="min"/>
        <cfvo type="max"/>
        <color rgb="FFFF0000"/>
        <color rgb="FF92D050"/>
      </colorScale>
    </cfRule>
    <cfRule type="colorScale" priority="20140">
      <colorScale>
        <cfvo type="min"/>
        <cfvo type="percentile" val="50"/>
        <cfvo type="max"/>
        <color rgb="FF5A8AC6"/>
        <color rgb="FFFCFCFF"/>
        <color rgb="FFF8696B"/>
      </colorScale>
    </cfRule>
    <cfRule type="colorScale" priority="20141">
      <colorScale>
        <cfvo type="formula" val="&quot;&gt;20&quot;"/>
        <cfvo type="formula" val="35"/>
        <color rgb="FFF8696B"/>
        <color rgb="FFFCFCFF"/>
      </colorScale>
    </cfRule>
    <cfRule type="colorScale" priority="20142">
      <colorScale>
        <cfvo type="min"/>
        <cfvo type="max"/>
        <color rgb="FFFFEF9C"/>
        <color rgb="FF63BE7B"/>
      </colorScale>
    </cfRule>
  </conditionalFormatting>
  <conditionalFormatting sqref="N4013">
    <cfRule type="colorScale" priority="20133">
      <colorScale>
        <cfvo type="min"/>
        <cfvo type="percentile" val="20"/>
        <cfvo type="max"/>
        <color rgb="FF92D050"/>
        <color theme="5" tint="0.79998168889431442"/>
        <color rgb="FFFF0000"/>
      </colorScale>
    </cfRule>
    <cfRule type="colorScale" priority="20134">
      <colorScale>
        <cfvo type="min"/>
        <cfvo type="max"/>
        <color rgb="FFFF0000"/>
        <color rgb="FF92D050"/>
      </colorScale>
    </cfRule>
    <cfRule type="colorScale" priority="20135">
      <colorScale>
        <cfvo type="min"/>
        <cfvo type="percentile" val="50"/>
        <cfvo type="max"/>
        <color rgb="FF5A8AC6"/>
        <color rgb="FFFCFCFF"/>
        <color rgb="FFF8696B"/>
      </colorScale>
    </cfRule>
    <cfRule type="colorScale" priority="20136">
      <colorScale>
        <cfvo type="formula" val="&quot;&gt;20&quot;"/>
        <cfvo type="formula" val="35"/>
        <color rgb="FFF8696B"/>
        <color rgb="FFFCFCFF"/>
      </colorScale>
    </cfRule>
    <cfRule type="colorScale" priority="20137">
      <colorScale>
        <cfvo type="min"/>
        <cfvo type="max"/>
        <color rgb="FFFFEF9C"/>
        <color rgb="FF63BE7B"/>
      </colorScale>
    </cfRule>
  </conditionalFormatting>
  <conditionalFormatting sqref="S3997:S4013">
    <cfRule type="containsText" dxfId="6068" priority="20129" operator="containsText" text="Short Buildup">
      <formula>NOT(ISERROR(SEARCH("Short Buildup",S3997)))</formula>
    </cfRule>
    <cfRule type="containsText" dxfId="6067" priority="20130" operator="containsText" text="Long Liquidation">
      <formula>NOT(ISERROR(SEARCH("Long Liquidation",S3997)))</formula>
    </cfRule>
    <cfRule type="containsText" dxfId="6066" priority="20131" operator="containsText" text="Short covering">
      <formula>NOT(ISERROR(SEARCH("Short covering",S3997)))</formula>
    </cfRule>
    <cfRule type="containsText" dxfId="6065" priority="20132" operator="containsText" text="Long Buildup">
      <formula>NOT(ISERROR(SEARCH("Long Buildup",S3997)))</formula>
    </cfRule>
  </conditionalFormatting>
  <conditionalFormatting sqref="F3997:F4012">
    <cfRule type="dataBar" priority="20128">
      <dataBar>
        <cfvo type="min"/>
        <cfvo type="max"/>
        <color rgb="FFFF555A"/>
      </dataBar>
    </cfRule>
  </conditionalFormatting>
  <conditionalFormatting sqref="G3997:G4012">
    <cfRule type="dataBar" priority="20127">
      <dataBar>
        <cfvo type="min"/>
        <cfvo type="max"/>
        <color rgb="FFFF555A"/>
      </dataBar>
    </cfRule>
  </conditionalFormatting>
  <conditionalFormatting sqref="H3997">
    <cfRule type="dataBar" priority="20126">
      <dataBar>
        <cfvo type="min"/>
        <cfvo type="max"/>
        <color rgb="FFFF555A"/>
      </dataBar>
    </cfRule>
  </conditionalFormatting>
  <conditionalFormatting sqref="I3997">
    <cfRule type="dataBar" priority="20125">
      <dataBar>
        <cfvo type="min"/>
        <cfvo type="max"/>
        <color rgb="FFFF555A"/>
      </dataBar>
    </cfRule>
  </conditionalFormatting>
  <conditionalFormatting sqref="J3997">
    <cfRule type="dataBar" priority="20124">
      <dataBar>
        <cfvo type="min"/>
        <cfvo type="max"/>
        <color rgb="FFFF555A"/>
      </dataBar>
    </cfRule>
  </conditionalFormatting>
  <conditionalFormatting sqref="E3998:E4012">
    <cfRule type="dataBar" priority="20123">
      <dataBar>
        <cfvo type="min"/>
        <cfvo type="max"/>
        <color rgb="FFFF555A"/>
      </dataBar>
    </cfRule>
  </conditionalFormatting>
  <conditionalFormatting sqref="H3998:H4012">
    <cfRule type="dataBar" priority="20122">
      <dataBar>
        <cfvo type="min"/>
        <cfvo type="max"/>
        <color rgb="FFFF555A"/>
      </dataBar>
    </cfRule>
  </conditionalFormatting>
  <conditionalFormatting sqref="I3998:I4012">
    <cfRule type="dataBar" priority="20121">
      <dataBar>
        <cfvo type="min"/>
        <cfvo type="max"/>
        <color rgb="FFFF555A"/>
      </dataBar>
    </cfRule>
  </conditionalFormatting>
  <conditionalFormatting sqref="J3998:J4012">
    <cfRule type="dataBar" priority="20120">
      <dataBar>
        <cfvo type="min"/>
        <cfvo type="max"/>
        <color rgb="FFFF555A"/>
      </dataBar>
    </cfRule>
  </conditionalFormatting>
  <conditionalFormatting sqref="L3997:L4012">
    <cfRule type="dataBar" priority="20119">
      <dataBar>
        <cfvo type="min"/>
        <cfvo type="max"/>
        <color rgb="FFFF555A"/>
      </dataBar>
    </cfRule>
  </conditionalFormatting>
  <conditionalFormatting sqref="M3997:M4012">
    <cfRule type="dataBar" priority="20118">
      <dataBar>
        <cfvo type="min"/>
        <cfvo type="max"/>
        <color rgb="FFFF555A"/>
      </dataBar>
    </cfRule>
  </conditionalFormatting>
  <conditionalFormatting sqref="N3997:N4012">
    <cfRule type="dataBar" priority="20117">
      <dataBar>
        <cfvo type="min"/>
        <cfvo type="max"/>
        <color rgb="FFFF555A"/>
      </dataBar>
    </cfRule>
  </conditionalFormatting>
  <conditionalFormatting sqref="Q3997:Q4012">
    <cfRule type="dataBar" priority="20116">
      <dataBar>
        <cfvo type="min"/>
        <cfvo type="max"/>
        <color rgb="FFFF555A"/>
      </dataBar>
    </cfRule>
  </conditionalFormatting>
  <conditionalFormatting sqref="O3997:O4012">
    <cfRule type="dataBar" priority="20115">
      <dataBar>
        <cfvo type="min"/>
        <cfvo type="max"/>
        <color rgb="FFFF555A"/>
      </dataBar>
    </cfRule>
  </conditionalFormatting>
  <conditionalFormatting sqref="P3997:P4012">
    <cfRule type="dataBar" priority="20114">
      <dataBar>
        <cfvo type="min"/>
        <cfvo type="max"/>
        <color rgb="FFFF555A"/>
      </dataBar>
    </cfRule>
  </conditionalFormatting>
  <conditionalFormatting sqref="R4014:R4030 D4014:D4029 C4030">
    <cfRule type="containsText" dxfId="6064" priority="20113" operator="containsText" text="DOWN">
      <formula>NOT(ISERROR(SEARCH("DOWN",C4014)))</formula>
    </cfRule>
  </conditionalFormatting>
  <conditionalFormatting sqref="R4014:R4030 D4014:D4029 C4030">
    <cfRule type="containsText" dxfId="6063" priority="20112" operator="containsText" text="UP">
      <formula>NOT(ISERROR(SEARCH("UP",C4014)))</formula>
    </cfRule>
  </conditionalFormatting>
  <conditionalFormatting sqref="I4030">
    <cfRule type="colorScale" priority="20111">
      <colorScale>
        <cfvo type="min"/>
        <cfvo type="max"/>
        <color rgb="FFFFEF9C"/>
        <color rgb="FF63BE7B"/>
      </colorScale>
    </cfRule>
  </conditionalFormatting>
  <conditionalFormatting sqref="M4030">
    <cfRule type="colorScale" priority="20110">
      <colorScale>
        <cfvo type="min"/>
        <cfvo type="max"/>
        <color rgb="FFFF7128"/>
        <color rgb="FFFFEF9C"/>
      </colorScale>
    </cfRule>
  </conditionalFormatting>
  <conditionalFormatting sqref="Q4030">
    <cfRule type="dataBar" priority="20109">
      <dataBar>
        <cfvo type="min"/>
        <cfvo type="max"/>
        <color rgb="FFFF555A"/>
      </dataBar>
    </cfRule>
  </conditionalFormatting>
  <conditionalFormatting sqref="E4014:E4030">
    <cfRule type="dataBar" priority="20108">
      <dataBar>
        <cfvo type="min"/>
        <cfvo type="max"/>
        <color rgb="FFFF555A"/>
      </dataBar>
    </cfRule>
  </conditionalFormatting>
  <conditionalFormatting sqref="F4030">
    <cfRule type="top10" dxfId="6062" priority="20107" rank="1"/>
  </conditionalFormatting>
  <conditionalFormatting sqref="G4030 P4030">
    <cfRule type="cellIs" dxfId="6061" priority="20106" operator="equal">
      <formula>$G$135</formula>
    </cfRule>
  </conditionalFormatting>
  <conditionalFormatting sqref="P4030">
    <cfRule type="cellIs" dxfId="6060" priority="20105" operator="equal">
      <formula>$J$135</formula>
    </cfRule>
  </conditionalFormatting>
  <conditionalFormatting sqref="G4030 P4030">
    <cfRule type="cellIs" dxfId="6059" priority="20104" operator="equal">
      <formula>#REF!</formula>
    </cfRule>
  </conditionalFormatting>
  <conditionalFormatting sqref="G4030">
    <cfRule type="top10" dxfId="6058" priority="20102" rank="1"/>
    <cfRule type="cellIs" dxfId="6057" priority="20103" operator="equal">
      <formula>$G$133</formula>
    </cfRule>
  </conditionalFormatting>
  <conditionalFormatting sqref="P4030">
    <cfRule type="top10" dxfId="6056" priority="20100" rank="1"/>
    <cfRule type="cellIs" dxfId="6055" priority="20101" operator="equal">
      <formula>$G$133</formula>
    </cfRule>
  </conditionalFormatting>
  <conditionalFormatting sqref="C4014:C4029">
    <cfRule type="containsText" dxfId="6054" priority="20096" operator="containsText" text="Short Buildup">
      <formula>NOT(ISERROR(SEARCH("Short Buildup",C4014)))</formula>
    </cfRule>
    <cfRule type="containsText" dxfId="6053" priority="20097" operator="containsText" text="Long Liquidation">
      <formula>NOT(ISERROR(SEARCH("Long Liquidation",C4014)))</formula>
    </cfRule>
    <cfRule type="containsText" dxfId="6052" priority="20098" operator="containsText" text="Short covering">
      <formula>NOT(ISERROR(SEARCH("Short covering",C4014)))</formula>
    </cfRule>
    <cfRule type="containsText" dxfId="6051" priority="20099" operator="containsText" text="Long Buildup">
      <formula>NOT(ISERROR(SEARCH("Long Buildup",C4014)))</formula>
    </cfRule>
  </conditionalFormatting>
  <conditionalFormatting sqref="H4030">
    <cfRule type="colorScale" priority="20091">
      <colorScale>
        <cfvo type="min"/>
        <cfvo type="percentile" val="20"/>
        <cfvo type="max"/>
        <color rgb="FF92D050"/>
        <color theme="5" tint="0.79998168889431442"/>
        <color rgb="FFFF0000"/>
      </colorScale>
    </cfRule>
    <cfRule type="colorScale" priority="20092">
      <colorScale>
        <cfvo type="min"/>
        <cfvo type="max"/>
        <color rgb="FFFF0000"/>
        <color rgb="FF92D050"/>
      </colorScale>
    </cfRule>
    <cfRule type="colorScale" priority="20093">
      <colorScale>
        <cfvo type="min"/>
        <cfvo type="percentile" val="50"/>
        <cfvo type="max"/>
        <color rgb="FF5A8AC6"/>
        <color rgb="FFFCFCFF"/>
        <color rgb="FFF8696B"/>
      </colorScale>
    </cfRule>
    <cfRule type="colorScale" priority="20094">
      <colorScale>
        <cfvo type="formula" val="&quot;&gt;20&quot;"/>
        <cfvo type="formula" val="35"/>
        <color rgb="FFF8696B"/>
        <color rgb="FFFCFCFF"/>
      </colorScale>
    </cfRule>
    <cfRule type="colorScale" priority="20095">
      <colorScale>
        <cfvo type="min"/>
        <cfvo type="max"/>
        <color rgb="FFFFEF9C"/>
        <color rgb="FF63BE7B"/>
      </colorScale>
    </cfRule>
  </conditionalFormatting>
  <conditionalFormatting sqref="N4030">
    <cfRule type="colorScale" priority="20086">
      <colorScale>
        <cfvo type="min"/>
        <cfvo type="percentile" val="20"/>
        <cfvo type="max"/>
        <color rgb="FF92D050"/>
        <color theme="5" tint="0.79998168889431442"/>
        <color rgb="FFFF0000"/>
      </colorScale>
    </cfRule>
    <cfRule type="colorScale" priority="20087">
      <colorScale>
        <cfvo type="min"/>
        <cfvo type="max"/>
        <color rgb="FFFF0000"/>
        <color rgb="FF92D050"/>
      </colorScale>
    </cfRule>
    <cfRule type="colorScale" priority="20088">
      <colorScale>
        <cfvo type="min"/>
        <cfvo type="percentile" val="50"/>
        <cfvo type="max"/>
        <color rgb="FF5A8AC6"/>
        <color rgb="FFFCFCFF"/>
        <color rgb="FFF8696B"/>
      </colorScale>
    </cfRule>
    <cfRule type="colorScale" priority="20089">
      <colorScale>
        <cfvo type="formula" val="&quot;&gt;20&quot;"/>
        <cfvo type="formula" val="35"/>
        <color rgb="FFF8696B"/>
        <color rgb="FFFCFCFF"/>
      </colorScale>
    </cfRule>
    <cfRule type="colorScale" priority="20090">
      <colorScale>
        <cfvo type="min"/>
        <cfvo type="max"/>
        <color rgb="FFFFEF9C"/>
        <color rgb="FF63BE7B"/>
      </colorScale>
    </cfRule>
  </conditionalFormatting>
  <conditionalFormatting sqref="S4014:S4030">
    <cfRule type="containsText" dxfId="6050" priority="20082" operator="containsText" text="Short Buildup">
      <formula>NOT(ISERROR(SEARCH("Short Buildup",S4014)))</formula>
    </cfRule>
    <cfRule type="containsText" dxfId="6049" priority="20083" operator="containsText" text="Long Liquidation">
      <formula>NOT(ISERROR(SEARCH("Long Liquidation",S4014)))</formula>
    </cfRule>
    <cfRule type="containsText" dxfId="6048" priority="20084" operator="containsText" text="Short covering">
      <formula>NOT(ISERROR(SEARCH("Short covering",S4014)))</formula>
    </cfRule>
    <cfRule type="containsText" dxfId="6047" priority="20085" operator="containsText" text="Long Buildup">
      <formula>NOT(ISERROR(SEARCH("Long Buildup",S4014)))</formula>
    </cfRule>
  </conditionalFormatting>
  <conditionalFormatting sqref="F4014:F4029">
    <cfRule type="dataBar" priority="20081">
      <dataBar>
        <cfvo type="min"/>
        <cfvo type="max"/>
        <color rgb="FFFF555A"/>
      </dataBar>
    </cfRule>
  </conditionalFormatting>
  <conditionalFormatting sqref="G4014:G4029">
    <cfRule type="dataBar" priority="20080">
      <dataBar>
        <cfvo type="min"/>
        <cfvo type="max"/>
        <color rgb="FFFF555A"/>
      </dataBar>
    </cfRule>
  </conditionalFormatting>
  <conditionalFormatting sqref="H4014">
    <cfRule type="dataBar" priority="20079">
      <dataBar>
        <cfvo type="min"/>
        <cfvo type="max"/>
        <color rgb="FFFF555A"/>
      </dataBar>
    </cfRule>
  </conditionalFormatting>
  <conditionalFormatting sqref="I4014">
    <cfRule type="dataBar" priority="20078">
      <dataBar>
        <cfvo type="min"/>
        <cfvo type="max"/>
        <color rgb="FFFF555A"/>
      </dataBar>
    </cfRule>
  </conditionalFormatting>
  <conditionalFormatting sqref="J4014">
    <cfRule type="dataBar" priority="20077">
      <dataBar>
        <cfvo type="min"/>
        <cfvo type="max"/>
        <color rgb="FFFF555A"/>
      </dataBar>
    </cfRule>
  </conditionalFormatting>
  <conditionalFormatting sqref="E4015:E4029">
    <cfRule type="dataBar" priority="20076">
      <dataBar>
        <cfvo type="min"/>
        <cfvo type="max"/>
        <color rgb="FFFF555A"/>
      </dataBar>
    </cfRule>
  </conditionalFormatting>
  <conditionalFormatting sqref="H4015:H4029">
    <cfRule type="dataBar" priority="20075">
      <dataBar>
        <cfvo type="min"/>
        <cfvo type="max"/>
        <color rgb="FFFF555A"/>
      </dataBar>
    </cfRule>
  </conditionalFormatting>
  <conditionalFormatting sqref="I4015:I4029">
    <cfRule type="dataBar" priority="20074">
      <dataBar>
        <cfvo type="min"/>
        <cfvo type="max"/>
        <color rgb="FFFF555A"/>
      </dataBar>
    </cfRule>
  </conditionalFormatting>
  <conditionalFormatting sqref="J4015:J4029">
    <cfRule type="dataBar" priority="20073">
      <dataBar>
        <cfvo type="min"/>
        <cfvo type="max"/>
        <color rgb="FFFF555A"/>
      </dataBar>
    </cfRule>
  </conditionalFormatting>
  <conditionalFormatting sqref="L4014:L4029">
    <cfRule type="dataBar" priority="20072">
      <dataBar>
        <cfvo type="min"/>
        <cfvo type="max"/>
        <color rgb="FFFF555A"/>
      </dataBar>
    </cfRule>
  </conditionalFormatting>
  <conditionalFormatting sqref="M4014:M4029">
    <cfRule type="dataBar" priority="20071">
      <dataBar>
        <cfvo type="min"/>
        <cfvo type="max"/>
        <color rgb="FFFF555A"/>
      </dataBar>
    </cfRule>
  </conditionalFormatting>
  <conditionalFormatting sqref="N4014:N4029">
    <cfRule type="dataBar" priority="20070">
      <dataBar>
        <cfvo type="min"/>
        <cfvo type="max"/>
        <color rgb="FFFF555A"/>
      </dataBar>
    </cfRule>
  </conditionalFormatting>
  <conditionalFormatting sqref="Q4014:Q4029">
    <cfRule type="dataBar" priority="20069">
      <dataBar>
        <cfvo type="min"/>
        <cfvo type="max"/>
        <color rgb="FFFF555A"/>
      </dataBar>
    </cfRule>
  </conditionalFormatting>
  <conditionalFormatting sqref="O4014:O4029">
    <cfRule type="dataBar" priority="20068">
      <dataBar>
        <cfvo type="min"/>
        <cfvo type="max"/>
        <color rgb="FFFF555A"/>
      </dataBar>
    </cfRule>
  </conditionalFormatting>
  <conditionalFormatting sqref="P4014:P4029">
    <cfRule type="dataBar" priority="20067">
      <dataBar>
        <cfvo type="min"/>
        <cfvo type="max"/>
        <color rgb="FFFF555A"/>
      </dataBar>
    </cfRule>
  </conditionalFormatting>
  <conditionalFormatting sqref="R4031:R4047 D4031:D4046 C4047">
    <cfRule type="containsText" dxfId="6046" priority="20066" operator="containsText" text="DOWN">
      <formula>NOT(ISERROR(SEARCH("DOWN",C4031)))</formula>
    </cfRule>
  </conditionalFormatting>
  <conditionalFormatting sqref="R4031:R4047 D4031:D4046 C4047">
    <cfRule type="containsText" dxfId="6045" priority="20065" operator="containsText" text="UP">
      <formula>NOT(ISERROR(SEARCH("UP",C4031)))</formula>
    </cfRule>
  </conditionalFormatting>
  <conditionalFormatting sqref="I4047">
    <cfRule type="colorScale" priority="20064">
      <colorScale>
        <cfvo type="min"/>
        <cfvo type="max"/>
        <color rgb="FFFFEF9C"/>
        <color rgb="FF63BE7B"/>
      </colorScale>
    </cfRule>
  </conditionalFormatting>
  <conditionalFormatting sqref="M4047">
    <cfRule type="colorScale" priority="20063">
      <colorScale>
        <cfvo type="min"/>
        <cfvo type="max"/>
        <color rgb="FFFF7128"/>
        <color rgb="FFFFEF9C"/>
      </colorScale>
    </cfRule>
  </conditionalFormatting>
  <conditionalFormatting sqref="Q4047">
    <cfRule type="dataBar" priority="20062">
      <dataBar>
        <cfvo type="min"/>
        <cfvo type="max"/>
        <color rgb="FFFF555A"/>
      </dataBar>
    </cfRule>
  </conditionalFormatting>
  <conditionalFormatting sqref="E4031:E4047">
    <cfRule type="dataBar" priority="20061">
      <dataBar>
        <cfvo type="min"/>
        <cfvo type="max"/>
        <color rgb="FFFF555A"/>
      </dataBar>
    </cfRule>
  </conditionalFormatting>
  <conditionalFormatting sqref="F4047">
    <cfRule type="top10" dxfId="6044" priority="20060" rank="1"/>
  </conditionalFormatting>
  <conditionalFormatting sqref="G4047 P4047">
    <cfRule type="cellIs" dxfId="6043" priority="20059" operator="equal">
      <formula>$G$135</formula>
    </cfRule>
  </conditionalFormatting>
  <conditionalFormatting sqref="P4047">
    <cfRule type="cellIs" dxfId="6042" priority="20058" operator="equal">
      <formula>$J$135</formula>
    </cfRule>
  </conditionalFormatting>
  <conditionalFormatting sqref="G4047 P4047">
    <cfRule type="cellIs" dxfId="6041" priority="20057" operator="equal">
      <formula>#REF!</formula>
    </cfRule>
  </conditionalFormatting>
  <conditionalFormatting sqref="G4047">
    <cfRule type="top10" dxfId="6040" priority="20055" rank="1"/>
    <cfRule type="cellIs" dxfId="6039" priority="20056" operator="equal">
      <formula>$G$133</formula>
    </cfRule>
  </conditionalFormatting>
  <conditionalFormatting sqref="P4047">
    <cfRule type="top10" dxfId="6038" priority="20053" rank="1"/>
    <cfRule type="cellIs" dxfId="6037" priority="20054" operator="equal">
      <formula>$G$133</formula>
    </cfRule>
  </conditionalFormatting>
  <conditionalFormatting sqref="C4031:C4046">
    <cfRule type="containsText" dxfId="6036" priority="20049" operator="containsText" text="Short Buildup">
      <formula>NOT(ISERROR(SEARCH("Short Buildup",C4031)))</formula>
    </cfRule>
    <cfRule type="containsText" dxfId="6035" priority="20050" operator="containsText" text="Long Liquidation">
      <formula>NOT(ISERROR(SEARCH("Long Liquidation",C4031)))</formula>
    </cfRule>
    <cfRule type="containsText" dxfId="6034" priority="20051" operator="containsText" text="Short covering">
      <formula>NOT(ISERROR(SEARCH("Short covering",C4031)))</formula>
    </cfRule>
    <cfRule type="containsText" dxfId="6033" priority="20052" operator="containsText" text="Long Buildup">
      <formula>NOT(ISERROR(SEARCH("Long Buildup",C4031)))</formula>
    </cfRule>
  </conditionalFormatting>
  <conditionalFormatting sqref="H4047">
    <cfRule type="colorScale" priority="20044">
      <colorScale>
        <cfvo type="min"/>
        <cfvo type="percentile" val="20"/>
        <cfvo type="max"/>
        <color rgb="FF92D050"/>
        <color theme="5" tint="0.79998168889431442"/>
        <color rgb="FFFF0000"/>
      </colorScale>
    </cfRule>
    <cfRule type="colorScale" priority="20045">
      <colorScale>
        <cfvo type="min"/>
        <cfvo type="max"/>
        <color rgb="FFFF0000"/>
        <color rgb="FF92D050"/>
      </colorScale>
    </cfRule>
    <cfRule type="colorScale" priority="20046">
      <colorScale>
        <cfvo type="min"/>
        <cfvo type="percentile" val="50"/>
        <cfvo type="max"/>
        <color rgb="FF5A8AC6"/>
        <color rgb="FFFCFCFF"/>
        <color rgb="FFF8696B"/>
      </colorScale>
    </cfRule>
    <cfRule type="colorScale" priority="20047">
      <colorScale>
        <cfvo type="formula" val="&quot;&gt;20&quot;"/>
        <cfvo type="formula" val="35"/>
        <color rgb="FFF8696B"/>
        <color rgb="FFFCFCFF"/>
      </colorScale>
    </cfRule>
    <cfRule type="colorScale" priority="20048">
      <colorScale>
        <cfvo type="min"/>
        <cfvo type="max"/>
        <color rgb="FFFFEF9C"/>
        <color rgb="FF63BE7B"/>
      </colorScale>
    </cfRule>
  </conditionalFormatting>
  <conditionalFormatting sqref="N4047">
    <cfRule type="colorScale" priority="20039">
      <colorScale>
        <cfvo type="min"/>
        <cfvo type="percentile" val="20"/>
        <cfvo type="max"/>
        <color rgb="FF92D050"/>
        <color theme="5" tint="0.79998168889431442"/>
        <color rgb="FFFF0000"/>
      </colorScale>
    </cfRule>
    <cfRule type="colorScale" priority="20040">
      <colorScale>
        <cfvo type="min"/>
        <cfvo type="max"/>
        <color rgb="FFFF0000"/>
        <color rgb="FF92D050"/>
      </colorScale>
    </cfRule>
    <cfRule type="colorScale" priority="20041">
      <colorScale>
        <cfvo type="min"/>
        <cfvo type="percentile" val="50"/>
        <cfvo type="max"/>
        <color rgb="FF5A8AC6"/>
        <color rgb="FFFCFCFF"/>
        <color rgb="FFF8696B"/>
      </colorScale>
    </cfRule>
    <cfRule type="colorScale" priority="20042">
      <colorScale>
        <cfvo type="formula" val="&quot;&gt;20&quot;"/>
        <cfvo type="formula" val="35"/>
        <color rgb="FFF8696B"/>
        <color rgb="FFFCFCFF"/>
      </colorScale>
    </cfRule>
    <cfRule type="colorScale" priority="20043">
      <colorScale>
        <cfvo type="min"/>
        <cfvo type="max"/>
        <color rgb="FFFFEF9C"/>
        <color rgb="FF63BE7B"/>
      </colorScale>
    </cfRule>
  </conditionalFormatting>
  <conditionalFormatting sqref="S4031:S4047">
    <cfRule type="containsText" dxfId="6032" priority="20035" operator="containsText" text="Short Buildup">
      <formula>NOT(ISERROR(SEARCH("Short Buildup",S4031)))</formula>
    </cfRule>
    <cfRule type="containsText" dxfId="6031" priority="20036" operator="containsText" text="Long Liquidation">
      <formula>NOT(ISERROR(SEARCH("Long Liquidation",S4031)))</formula>
    </cfRule>
    <cfRule type="containsText" dxfId="6030" priority="20037" operator="containsText" text="Short covering">
      <formula>NOT(ISERROR(SEARCH("Short covering",S4031)))</formula>
    </cfRule>
    <cfRule type="containsText" dxfId="6029" priority="20038" operator="containsText" text="Long Buildup">
      <formula>NOT(ISERROR(SEARCH("Long Buildup",S4031)))</formula>
    </cfRule>
  </conditionalFormatting>
  <conditionalFormatting sqref="F4031:F4046">
    <cfRule type="dataBar" priority="20034">
      <dataBar>
        <cfvo type="min"/>
        <cfvo type="max"/>
        <color rgb="FFFF555A"/>
      </dataBar>
    </cfRule>
  </conditionalFormatting>
  <conditionalFormatting sqref="G4031:G4046">
    <cfRule type="dataBar" priority="20033">
      <dataBar>
        <cfvo type="min"/>
        <cfvo type="max"/>
        <color rgb="FFFF555A"/>
      </dataBar>
    </cfRule>
  </conditionalFormatting>
  <conditionalFormatting sqref="H4031">
    <cfRule type="dataBar" priority="20032">
      <dataBar>
        <cfvo type="min"/>
        <cfvo type="max"/>
        <color rgb="FFFF555A"/>
      </dataBar>
    </cfRule>
  </conditionalFormatting>
  <conditionalFormatting sqref="I4031">
    <cfRule type="dataBar" priority="20031">
      <dataBar>
        <cfvo type="min"/>
        <cfvo type="max"/>
        <color rgb="FFFF555A"/>
      </dataBar>
    </cfRule>
  </conditionalFormatting>
  <conditionalFormatting sqref="J4031">
    <cfRule type="dataBar" priority="20030">
      <dataBar>
        <cfvo type="min"/>
        <cfvo type="max"/>
        <color rgb="FFFF555A"/>
      </dataBar>
    </cfRule>
  </conditionalFormatting>
  <conditionalFormatting sqref="E4032:E4046">
    <cfRule type="dataBar" priority="20029">
      <dataBar>
        <cfvo type="min"/>
        <cfvo type="max"/>
        <color rgb="FFFF555A"/>
      </dataBar>
    </cfRule>
  </conditionalFormatting>
  <conditionalFormatting sqref="H4032:H4046">
    <cfRule type="dataBar" priority="20028">
      <dataBar>
        <cfvo type="min"/>
        <cfvo type="max"/>
        <color rgb="FFFF555A"/>
      </dataBar>
    </cfRule>
  </conditionalFormatting>
  <conditionalFormatting sqref="I4032:I4046">
    <cfRule type="dataBar" priority="20027">
      <dataBar>
        <cfvo type="min"/>
        <cfvo type="max"/>
        <color rgb="FFFF555A"/>
      </dataBar>
    </cfRule>
  </conditionalFormatting>
  <conditionalFormatting sqref="J4032:J4046">
    <cfRule type="dataBar" priority="20026">
      <dataBar>
        <cfvo type="min"/>
        <cfvo type="max"/>
        <color rgb="FFFF555A"/>
      </dataBar>
    </cfRule>
  </conditionalFormatting>
  <conditionalFormatting sqref="L4031:L4046">
    <cfRule type="dataBar" priority="20025">
      <dataBar>
        <cfvo type="min"/>
        <cfvo type="max"/>
        <color rgb="FFFF555A"/>
      </dataBar>
    </cfRule>
  </conditionalFormatting>
  <conditionalFormatting sqref="M4031:M4046">
    <cfRule type="dataBar" priority="20024">
      <dataBar>
        <cfvo type="min"/>
        <cfvo type="max"/>
        <color rgb="FFFF555A"/>
      </dataBar>
    </cfRule>
  </conditionalFormatting>
  <conditionalFormatting sqref="N4031:N4046">
    <cfRule type="dataBar" priority="20023">
      <dataBar>
        <cfvo type="min"/>
        <cfvo type="max"/>
        <color rgb="FFFF555A"/>
      </dataBar>
    </cfRule>
  </conditionalFormatting>
  <conditionalFormatting sqref="Q4031:Q4046">
    <cfRule type="dataBar" priority="20022">
      <dataBar>
        <cfvo type="min"/>
        <cfvo type="max"/>
        <color rgb="FFFF555A"/>
      </dataBar>
    </cfRule>
  </conditionalFormatting>
  <conditionalFormatting sqref="O4031:O4046">
    <cfRule type="dataBar" priority="20021">
      <dataBar>
        <cfvo type="min"/>
        <cfvo type="max"/>
        <color rgb="FFFF555A"/>
      </dataBar>
    </cfRule>
  </conditionalFormatting>
  <conditionalFormatting sqref="P4031:P4046">
    <cfRule type="dataBar" priority="20020">
      <dataBar>
        <cfvo type="min"/>
        <cfvo type="max"/>
        <color rgb="FFFF555A"/>
      </dataBar>
    </cfRule>
  </conditionalFormatting>
  <conditionalFormatting sqref="R4048:R4064 D4048:D4063 C4064">
    <cfRule type="containsText" dxfId="6028" priority="20019" operator="containsText" text="DOWN">
      <formula>NOT(ISERROR(SEARCH("DOWN",C4048)))</formula>
    </cfRule>
  </conditionalFormatting>
  <conditionalFormatting sqref="R4048:R4064 D4048:D4063 C4064">
    <cfRule type="containsText" dxfId="6027" priority="20018" operator="containsText" text="UP">
      <formula>NOT(ISERROR(SEARCH("UP",C4048)))</formula>
    </cfRule>
  </conditionalFormatting>
  <conditionalFormatting sqref="I4064">
    <cfRule type="colorScale" priority="20017">
      <colorScale>
        <cfvo type="min"/>
        <cfvo type="max"/>
        <color rgb="FFFFEF9C"/>
        <color rgb="FF63BE7B"/>
      </colorScale>
    </cfRule>
  </conditionalFormatting>
  <conditionalFormatting sqref="M4064">
    <cfRule type="colorScale" priority="20016">
      <colorScale>
        <cfvo type="min"/>
        <cfvo type="max"/>
        <color rgb="FFFF7128"/>
        <color rgb="FFFFEF9C"/>
      </colorScale>
    </cfRule>
  </conditionalFormatting>
  <conditionalFormatting sqref="Q4064">
    <cfRule type="dataBar" priority="20015">
      <dataBar>
        <cfvo type="min"/>
        <cfvo type="max"/>
        <color rgb="FFFF555A"/>
      </dataBar>
    </cfRule>
  </conditionalFormatting>
  <conditionalFormatting sqref="E4048:E4064">
    <cfRule type="dataBar" priority="20014">
      <dataBar>
        <cfvo type="min"/>
        <cfvo type="max"/>
        <color rgb="FFFF555A"/>
      </dataBar>
    </cfRule>
  </conditionalFormatting>
  <conditionalFormatting sqref="F4064">
    <cfRule type="top10" dxfId="6026" priority="20013" rank="1"/>
  </conditionalFormatting>
  <conditionalFormatting sqref="G4064 P4064">
    <cfRule type="cellIs" dxfId="6025" priority="20012" operator="equal">
      <formula>$G$135</formula>
    </cfRule>
  </conditionalFormatting>
  <conditionalFormatting sqref="P4064">
    <cfRule type="cellIs" dxfId="6024" priority="20011" operator="equal">
      <formula>$J$135</formula>
    </cfRule>
  </conditionalFormatting>
  <conditionalFormatting sqref="G4064 P4064">
    <cfRule type="cellIs" dxfId="6023" priority="20010" operator="equal">
      <formula>#REF!</formula>
    </cfRule>
  </conditionalFormatting>
  <conditionalFormatting sqref="G4064">
    <cfRule type="top10" dxfId="6022" priority="20008" rank="1"/>
    <cfRule type="cellIs" dxfId="6021" priority="20009" operator="equal">
      <formula>$G$133</formula>
    </cfRule>
  </conditionalFormatting>
  <conditionalFormatting sqref="P4064">
    <cfRule type="top10" dxfId="6020" priority="20006" rank="1"/>
    <cfRule type="cellIs" dxfId="6019" priority="20007" operator="equal">
      <formula>$G$133</formula>
    </cfRule>
  </conditionalFormatting>
  <conditionalFormatting sqref="C4048:C4063">
    <cfRule type="containsText" dxfId="6018" priority="20002" operator="containsText" text="Short Buildup">
      <formula>NOT(ISERROR(SEARCH("Short Buildup",C4048)))</formula>
    </cfRule>
    <cfRule type="containsText" dxfId="6017" priority="20003" operator="containsText" text="Long Liquidation">
      <formula>NOT(ISERROR(SEARCH("Long Liquidation",C4048)))</formula>
    </cfRule>
    <cfRule type="containsText" dxfId="6016" priority="20004" operator="containsText" text="Short covering">
      <formula>NOT(ISERROR(SEARCH("Short covering",C4048)))</formula>
    </cfRule>
    <cfRule type="containsText" dxfId="6015" priority="20005" operator="containsText" text="Long Buildup">
      <formula>NOT(ISERROR(SEARCH("Long Buildup",C4048)))</formula>
    </cfRule>
  </conditionalFormatting>
  <conditionalFormatting sqref="H4064">
    <cfRule type="colorScale" priority="19997">
      <colorScale>
        <cfvo type="min"/>
        <cfvo type="percentile" val="20"/>
        <cfvo type="max"/>
        <color rgb="FF92D050"/>
        <color theme="5" tint="0.79998168889431442"/>
        <color rgb="FFFF0000"/>
      </colorScale>
    </cfRule>
    <cfRule type="colorScale" priority="19998">
      <colorScale>
        <cfvo type="min"/>
        <cfvo type="max"/>
        <color rgb="FFFF0000"/>
        <color rgb="FF92D050"/>
      </colorScale>
    </cfRule>
    <cfRule type="colorScale" priority="19999">
      <colorScale>
        <cfvo type="min"/>
        <cfvo type="percentile" val="50"/>
        <cfvo type="max"/>
        <color rgb="FF5A8AC6"/>
        <color rgb="FFFCFCFF"/>
        <color rgb="FFF8696B"/>
      </colorScale>
    </cfRule>
    <cfRule type="colorScale" priority="20000">
      <colorScale>
        <cfvo type="formula" val="&quot;&gt;20&quot;"/>
        <cfvo type="formula" val="35"/>
        <color rgb="FFF8696B"/>
        <color rgb="FFFCFCFF"/>
      </colorScale>
    </cfRule>
    <cfRule type="colorScale" priority="20001">
      <colorScale>
        <cfvo type="min"/>
        <cfvo type="max"/>
        <color rgb="FFFFEF9C"/>
        <color rgb="FF63BE7B"/>
      </colorScale>
    </cfRule>
  </conditionalFormatting>
  <conditionalFormatting sqref="N4064">
    <cfRule type="colorScale" priority="19992">
      <colorScale>
        <cfvo type="min"/>
        <cfvo type="percentile" val="20"/>
        <cfvo type="max"/>
        <color rgb="FF92D050"/>
        <color theme="5" tint="0.79998168889431442"/>
        <color rgb="FFFF0000"/>
      </colorScale>
    </cfRule>
    <cfRule type="colorScale" priority="19993">
      <colorScale>
        <cfvo type="min"/>
        <cfvo type="max"/>
        <color rgb="FFFF0000"/>
        <color rgb="FF92D050"/>
      </colorScale>
    </cfRule>
    <cfRule type="colorScale" priority="19994">
      <colorScale>
        <cfvo type="min"/>
        <cfvo type="percentile" val="50"/>
        <cfvo type="max"/>
        <color rgb="FF5A8AC6"/>
        <color rgb="FFFCFCFF"/>
        <color rgb="FFF8696B"/>
      </colorScale>
    </cfRule>
    <cfRule type="colorScale" priority="19995">
      <colorScale>
        <cfvo type="formula" val="&quot;&gt;20&quot;"/>
        <cfvo type="formula" val="35"/>
        <color rgb="FFF8696B"/>
        <color rgb="FFFCFCFF"/>
      </colorScale>
    </cfRule>
    <cfRule type="colorScale" priority="19996">
      <colorScale>
        <cfvo type="min"/>
        <cfvo type="max"/>
        <color rgb="FFFFEF9C"/>
        <color rgb="FF63BE7B"/>
      </colorScale>
    </cfRule>
  </conditionalFormatting>
  <conditionalFormatting sqref="S4048:S4064">
    <cfRule type="containsText" dxfId="6014" priority="19988" operator="containsText" text="Short Buildup">
      <formula>NOT(ISERROR(SEARCH("Short Buildup",S4048)))</formula>
    </cfRule>
    <cfRule type="containsText" dxfId="6013" priority="19989" operator="containsText" text="Long Liquidation">
      <formula>NOT(ISERROR(SEARCH("Long Liquidation",S4048)))</formula>
    </cfRule>
    <cfRule type="containsText" dxfId="6012" priority="19990" operator="containsText" text="Short covering">
      <formula>NOT(ISERROR(SEARCH("Short covering",S4048)))</formula>
    </cfRule>
    <cfRule type="containsText" dxfId="6011" priority="19991" operator="containsText" text="Long Buildup">
      <formula>NOT(ISERROR(SEARCH("Long Buildup",S4048)))</formula>
    </cfRule>
  </conditionalFormatting>
  <conditionalFormatting sqref="F4048:F4063">
    <cfRule type="dataBar" priority="19987">
      <dataBar>
        <cfvo type="min"/>
        <cfvo type="max"/>
        <color rgb="FFFF555A"/>
      </dataBar>
    </cfRule>
  </conditionalFormatting>
  <conditionalFormatting sqref="G4048:G4063">
    <cfRule type="dataBar" priority="19986">
      <dataBar>
        <cfvo type="min"/>
        <cfvo type="max"/>
        <color rgb="FFFF555A"/>
      </dataBar>
    </cfRule>
  </conditionalFormatting>
  <conditionalFormatting sqref="H4048">
    <cfRule type="dataBar" priority="19985">
      <dataBar>
        <cfvo type="min"/>
        <cfvo type="max"/>
        <color rgb="FFFF555A"/>
      </dataBar>
    </cfRule>
  </conditionalFormatting>
  <conditionalFormatting sqref="I4048">
    <cfRule type="dataBar" priority="19984">
      <dataBar>
        <cfvo type="min"/>
        <cfvo type="max"/>
        <color rgb="FFFF555A"/>
      </dataBar>
    </cfRule>
  </conditionalFormatting>
  <conditionalFormatting sqref="J4048">
    <cfRule type="dataBar" priority="19983">
      <dataBar>
        <cfvo type="min"/>
        <cfvo type="max"/>
        <color rgb="FFFF555A"/>
      </dataBar>
    </cfRule>
  </conditionalFormatting>
  <conditionalFormatting sqref="E4049:E4063">
    <cfRule type="dataBar" priority="19982">
      <dataBar>
        <cfvo type="min"/>
        <cfvo type="max"/>
        <color rgb="FFFF555A"/>
      </dataBar>
    </cfRule>
  </conditionalFormatting>
  <conditionalFormatting sqref="H4049:H4063">
    <cfRule type="dataBar" priority="19981">
      <dataBar>
        <cfvo type="min"/>
        <cfvo type="max"/>
        <color rgb="FFFF555A"/>
      </dataBar>
    </cfRule>
  </conditionalFormatting>
  <conditionalFormatting sqref="I4049:I4063">
    <cfRule type="dataBar" priority="19980">
      <dataBar>
        <cfvo type="min"/>
        <cfvo type="max"/>
        <color rgb="FFFF555A"/>
      </dataBar>
    </cfRule>
  </conditionalFormatting>
  <conditionalFormatting sqref="J4049:J4063">
    <cfRule type="dataBar" priority="19979">
      <dataBar>
        <cfvo type="min"/>
        <cfvo type="max"/>
        <color rgb="FFFF555A"/>
      </dataBar>
    </cfRule>
  </conditionalFormatting>
  <conditionalFormatting sqref="L4048:L4063">
    <cfRule type="dataBar" priority="19978">
      <dataBar>
        <cfvo type="min"/>
        <cfvo type="max"/>
        <color rgb="FFFF555A"/>
      </dataBar>
    </cfRule>
  </conditionalFormatting>
  <conditionalFormatting sqref="M4048:M4063">
    <cfRule type="dataBar" priority="19977">
      <dataBar>
        <cfvo type="min"/>
        <cfvo type="max"/>
        <color rgb="FFFF555A"/>
      </dataBar>
    </cfRule>
  </conditionalFormatting>
  <conditionalFormatting sqref="N4048:N4063">
    <cfRule type="dataBar" priority="19976">
      <dataBar>
        <cfvo type="min"/>
        <cfvo type="max"/>
        <color rgb="FFFF555A"/>
      </dataBar>
    </cfRule>
  </conditionalFormatting>
  <conditionalFormatting sqref="Q4048:Q4063">
    <cfRule type="dataBar" priority="19975">
      <dataBar>
        <cfvo type="min"/>
        <cfvo type="max"/>
        <color rgb="FFFF555A"/>
      </dataBar>
    </cfRule>
  </conditionalFormatting>
  <conditionalFormatting sqref="O4048:O4063">
    <cfRule type="dataBar" priority="19974">
      <dataBar>
        <cfvo type="min"/>
        <cfvo type="max"/>
        <color rgb="FFFF555A"/>
      </dataBar>
    </cfRule>
  </conditionalFormatting>
  <conditionalFormatting sqref="P4048:P4063">
    <cfRule type="dataBar" priority="19973">
      <dataBar>
        <cfvo type="min"/>
        <cfvo type="max"/>
        <color rgb="FFFF555A"/>
      </dataBar>
    </cfRule>
  </conditionalFormatting>
  <conditionalFormatting sqref="R4065:R4081 D4065:D4080 C4081">
    <cfRule type="containsText" dxfId="6010" priority="19972" operator="containsText" text="DOWN">
      <formula>NOT(ISERROR(SEARCH("DOWN",C4065)))</formula>
    </cfRule>
  </conditionalFormatting>
  <conditionalFormatting sqref="R4065:R4081 D4065:D4080 C4081">
    <cfRule type="containsText" dxfId="6009" priority="19971" operator="containsText" text="UP">
      <formula>NOT(ISERROR(SEARCH("UP",C4065)))</formula>
    </cfRule>
  </conditionalFormatting>
  <conditionalFormatting sqref="I4081">
    <cfRule type="colorScale" priority="19970">
      <colorScale>
        <cfvo type="min"/>
        <cfvo type="max"/>
        <color rgb="FFFFEF9C"/>
        <color rgb="FF63BE7B"/>
      </colorScale>
    </cfRule>
  </conditionalFormatting>
  <conditionalFormatting sqref="M4081">
    <cfRule type="colorScale" priority="19969">
      <colorScale>
        <cfvo type="min"/>
        <cfvo type="max"/>
        <color rgb="FFFF7128"/>
        <color rgb="FFFFEF9C"/>
      </colorScale>
    </cfRule>
  </conditionalFormatting>
  <conditionalFormatting sqref="Q4081">
    <cfRule type="dataBar" priority="19968">
      <dataBar>
        <cfvo type="min"/>
        <cfvo type="max"/>
        <color rgb="FFFF555A"/>
      </dataBar>
    </cfRule>
  </conditionalFormatting>
  <conditionalFormatting sqref="E4065:E4081">
    <cfRule type="dataBar" priority="19967">
      <dataBar>
        <cfvo type="min"/>
        <cfvo type="max"/>
        <color rgb="FFFF555A"/>
      </dataBar>
    </cfRule>
  </conditionalFormatting>
  <conditionalFormatting sqref="F4081">
    <cfRule type="top10" dxfId="6008" priority="19966" rank="1"/>
  </conditionalFormatting>
  <conditionalFormatting sqref="G4081 P4081">
    <cfRule type="cellIs" dxfId="6007" priority="19965" operator="equal">
      <formula>$G$135</formula>
    </cfRule>
  </conditionalFormatting>
  <conditionalFormatting sqref="P4081">
    <cfRule type="cellIs" dxfId="6006" priority="19964" operator="equal">
      <formula>$J$135</formula>
    </cfRule>
  </conditionalFormatting>
  <conditionalFormatting sqref="G4081 P4081">
    <cfRule type="cellIs" dxfId="6005" priority="19963" operator="equal">
      <formula>#REF!</formula>
    </cfRule>
  </conditionalFormatting>
  <conditionalFormatting sqref="G4081">
    <cfRule type="top10" dxfId="6004" priority="19961" rank="1"/>
    <cfRule type="cellIs" dxfId="6003" priority="19962" operator="equal">
      <formula>$G$133</formula>
    </cfRule>
  </conditionalFormatting>
  <conditionalFormatting sqref="P4081">
    <cfRule type="top10" dxfId="6002" priority="19959" rank="1"/>
    <cfRule type="cellIs" dxfId="6001" priority="19960" operator="equal">
      <formula>$G$133</formula>
    </cfRule>
  </conditionalFormatting>
  <conditionalFormatting sqref="C4065:C4080">
    <cfRule type="containsText" dxfId="6000" priority="19955" operator="containsText" text="Short Buildup">
      <formula>NOT(ISERROR(SEARCH("Short Buildup",C4065)))</formula>
    </cfRule>
    <cfRule type="containsText" dxfId="5999" priority="19956" operator="containsText" text="Long Liquidation">
      <formula>NOT(ISERROR(SEARCH("Long Liquidation",C4065)))</formula>
    </cfRule>
    <cfRule type="containsText" dxfId="5998" priority="19957" operator="containsText" text="Short covering">
      <formula>NOT(ISERROR(SEARCH("Short covering",C4065)))</formula>
    </cfRule>
    <cfRule type="containsText" dxfId="5997" priority="19958" operator="containsText" text="Long Buildup">
      <formula>NOT(ISERROR(SEARCH("Long Buildup",C4065)))</formula>
    </cfRule>
  </conditionalFormatting>
  <conditionalFormatting sqref="H4081">
    <cfRule type="colorScale" priority="19950">
      <colorScale>
        <cfvo type="min"/>
        <cfvo type="percentile" val="20"/>
        <cfvo type="max"/>
        <color rgb="FF92D050"/>
        <color theme="5" tint="0.79998168889431442"/>
        <color rgb="FFFF0000"/>
      </colorScale>
    </cfRule>
    <cfRule type="colorScale" priority="19951">
      <colorScale>
        <cfvo type="min"/>
        <cfvo type="max"/>
        <color rgb="FFFF0000"/>
        <color rgb="FF92D050"/>
      </colorScale>
    </cfRule>
    <cfRule type="colorScale" priority="19952">
      <colorScale>
        <cfvo type="min"/>
        <cfvo type="percentile" val="50"/>
        <cfvo type="max"/>
        <color rgb="FF5A8AC6"/>
        <color rgb="FFFCFCFF"/>
        <color rgb="FFF8696B"/>
      </colorScale>
    </cfRule>
    <cfRule type="colorScale" priority="19953">
      <colorScale>
        <cfvo type="formula" val="&quot;&gt;20&quot;"/>
        <cfvo type="formula" val="35"/>
        <color rgb="FFF8696B"/>
        <color rgb="FFFCFCFF"/>
      </colorScale>
    </cfRule>
    <cfRule type="colorScale" priority="19954">
      <colorScale>
        <cfvo type="min"/>
        <cfvo type="max"/>
        <color rgb="FFFFEF9C"/>
        <color rgb="FF63BE7B"/>
      </colorScale>
    </cfRule>
  </conditionalFormatting>
  <conditionalFormatting sqref="N4081">
    <cfRule type="colorScale" priority="19945">
      <colorScale>
        <cfvo type="min"/>
        <cfvo type="percentile" val="20"/>
        <cfvo type="max"/>
        <color rgb="FF92D050"/>
        <color theme="5" tint="0.79998168889431442"/>
        <color rgb="FFFF0000"/>
      </colorScale>
    </cfRule>
    <cfRule type="colorScale" priority="19946">
      <colorScale>
        <cfvo type="min"/>
        <cfvo type="max"/>
        <color rgb="FFFF0000"/>
        <color rgb="FF92D050"/>
      </colorScale>
    </cfRule>
    <cfRule type="colorScale" priority="19947">
      <colorScale>
        <cfvo type="min"/>
        <cfvo type="percentile" val="50"/>
        <cfvo type="max"/>
        <color rgb="FF5A8AC6"/>
        <color rgb="FFFCFCFF"/>
        <color rgb="FFF8696B"/>
      </colorScale>
    </cfRule>
    <cfRule type="colorScale" priority="19948">
      <colorScale>
        <cfvo type="formula" val="&quot;&gt;20&quot;"/>
        <cfvo type="formula" val="35"/>
        <color rgb="FFF8696B"/>
        <color rgb="FFFCFCFF"/>
      </colorScale>
    </cfRule>
    <cfRule type="colorScale" priority="19949">
      <colorScale>
        <cfvo type="min"/>
        <cfvo type="max"/>
        <color rgb="FFFFEF9C"/>
        <color rgb="FF63BE7B"/>
      </colorScale>
    </cfRule>
  </conditionalFormatting>
  <conditionalFormatting sqref="S4065:S4081">
    <cfRule type="containsText" dxfId="5996" priority="19941" operator="containsText" text="Short Buildup">
      <formula>NOT(ISERROR(SEARCH("Short Buildup",S4065)))</formula>
    </cfRule>
    <cfRule type="containsText" dxfId="5995" priority="19942" operator="containsText" text="Long Liquidation">
      <formula>NOT(ISERROR(SEARCH("Long Liquidation",S4065)))</formula>
    </cfRule>
    <cfRule type="containsText" dxfId="5994" priority="19943" operator="containsText" text="Short covering">
      <formula>NOT(ISERROR(SEARCH("Short covering",S4065)))</formula>
    </cfRule>
    <cfRule type="containsText" dxfId="5993" priority="19944" operator="containsText" text="Long Buildup">
      <formula>NOT(ISERROR(SEARCH("Long Buildup",S4065)))</formula>
    </cfRule>
  </conditionalFormatting>
  <conditionalFormatting sqref="F4065:F4080">
    <cfRule type="dataBar" priority="19940">
      <dataBar>
        <cfvo type="min"/>
        <cfvo type="max"/>
        <color rgb="FFFF555A"/>
      </dataBar>
    </cfRule>
  </conditionalFormatting>
  <conditionalFormatting sqref="G4065:G4080">
    <cfRule type="dataBar" priority="19939">
      <dataBar>
        <cfvo type="min"/>
        <cfvo type="max"/>
        <color rgb="FFFF555A"/>
      </dataBar>
    </cfRule>
  </conditionalFormatting>
  <conditionalFormatting sqref="H4065">
    <cfRule type="dataBar" priority="19938">
      <dataBar>
        <cfvo type="min"/>
        <cfvo type="max"/>
        <color rgb="FFFF555A"/>
      </dataBar>
    </cfRule>
  </conditionalFormatting>
  <conditionalFormatting sqref="I4065">
    <cfRule type="dataBar" priority="19937">
      <dataBar>
        <cfvo type="min"/>
        <cfvo type="max"/>
        <color rgb="FFFF555A"/>
      </dataBar>
    </cfRule>
  </conditionalFormatting>
  <conditionalFormatting sqref="J4065">
    <cfRule type="dataBar" priority="19936">
      <dataBar>
        <cfvo type="min"/>
        <cfvo type="max"/>
        <color rgb="FFFF555A"/>
      </dataBar>
    </cfRule>
  </conditionalFormatting>
  <conditionalFormatting sqref="E4066:E4080">
    <cfRule type="dataBar" priority="19935">
      <dataBar>
        <cfvo type="min"/>
        <cfvo type="max"/>
        <color rgb="FFFF555A"/>
      </dataBar>
    </cfRule>
  </conditionalFormatting>
  <conditionalFormatting sqref="H4066:H4080">
    <cfRule type="dataBar" priority="19934">
      <dataBar>
        <cfvo type="min"/>
        <cfvo type="max"/>
        <color rgb="FFFF555A"/>
      </dataBar>
    </cfRule>
  </conditionalFormatting>
  <conditionalFormatting sqref="I4066:I4080">
    <cfRule type="dataBar" priority="19933">
      <dataBar>
        <cfvo type="min"/>
        <cfvo type="max"/>
        <color rgb="FFFF555A"/>
      </dataBar>
    </cfRule>
  </conditionalFormatting>
  <conditionalFormatting sqref="J4066:J4080">
    <cfRule type="dataBar" priority="19932">
      <dataBar>
        <cfvo type="min"/>
        <cfvo type="max"/>
        <color rgb="FFFF555A"/>
      </dataBar>
    </cfRule>
  </conditionalFormatting>
  <conditionalFormatting sqref="L4065:L4080">
    <cfRule type="dataBar" priority="19931">
      <dataBar>
        <cfvo type="min"/>
        <cfvo type="max"/>
        <color rgb="FFFF555A"/>
      </dataBar>
    </cfRule>
  </conditionalFormatting>
  <conditionalFormatting sqref="M4065:M4080">
    <cfRule type="dataBar" priority="19930">
      <dataBar>
        <cfvo type="min"/>
        <cfvo type="max"/>
        <color rgb="FFFF555A"/>
      </dataBar>
    </cfRule>
  </conditionalFormatting>
  <conditionalFormatting sqref="N4065:N4080">
    <cfRule type="dataBar" priority="19929">
      <dataBar>
        <cfvo type="min"/>
        <cfvo type="max"/>
        <color rgb="FFFF555A"/>
      </dataBar>
    </cfRule>
  </conditionalFormatting>
  <conditionalFormatting sqref="Q4065:Q4080">
    <cfRule type="dataBar" priority="19928">
      <dataBar>
        <cfvo type="min"/>
        <cfvo type="max"/>
        <color rgb="FFFF555A"/>
      </dataBar>
    </cfRule>
  </conditionalFormatting>
  <conditionalFormatting sqref="O4065:O4080">
    <cfRule type="dataBar" priority="19927">
      <dataBar>
        <cfvo type="min"/>
        <cfvo type="max"/>
        <color rgb="FFFF555A"/>
      </dataBar>
    </cfRule>
  </conditionalFormatting>
  <conditionalFormatting sqref="P4065:P4080">
    <cfRule type="dataBar" priority="19926">
      <dataBar>
        <cfvo type="min"/>
        <cfvo type="max"/>
        <color rgb="FFFF555A"/>
      </dataBar>
    </cfRule>
  </conditionalFormatting>
  <conditionalFormatting sqref="R4082:R4098 D4082:D4097 C4098">
    <cfRule type="containsText" dxfId="5992" priority="19925" operator="containsText" text="DOWN">
      <formula>NOT(ISERROR(SEARCH("DOWN",C4082)))</formula>
    </cfRule>
  </conditionalFormatting>
  <conditionalFormatting sqref="R4082:R4098 D4082:D4097 C4098">
    <cfRule type="containsText" dxfId="5991" priority="19924" operator="containsText" text="UP">
      <formula>NOT(ISERROR(SEARCH("UP",C4082)))</formula>
    </cfRule>
  </conditionalFormatting>
  <conditionalFormatting sqref="I4098">
    <cfRule type="colorScale" priority="19923">
      <colorScale>
        <cfvo type="min"/>
        <cfvo type="max"/>
        <color rgb="FFFFEF9C"/>
        <color rgb="FF63BE7B"/>
      </colorScale>
    </cfRule>
  </conditionalFormatting>
  <conditionalFormatting sqref="M4098">
    <cfRule type="colorScale" priority="19922">
      <colorScale>
        <cfvo type="min"/>
        <cfvo type="max"/>
        <color rgb="FFFF7128"/>
        <color rgb="FFFFEF9C"/>
      </colorScale>
    </cfRule>
  </conditionalFormatting>
  <conditionalFormatting sqref="Q4098">
    <cfRule type="dataBar" priority="19921">
      <dataBar>
        <cfvo type="min"/>
        <cfvo type="max"/>
        <color rgb="FFFF555A"/>
      </dataBar>
    </cfRule>
  </conditionalFormatting>
  <conditionalFormatting sqref="E4082:E4098">
    <cfRule type="dataBar" priority="19920">
      <dataBar>
        <cfvo type="min"/>
        <cfvo type="max"/>
        <color rgb="FFFF555A"/>
      </dataBar>
    </cfRule>
  </conditionalFormatting>
  <conditionalFormatting sqref="F4098">
    <cfRule type="top10" dxfId="5990" priority="19919" rank="1"/>
  </conditionalFormatting>
  <conditionalFormatting sqref="G4098 P4098">
    <cfRule type="cellIs" dxfId="5989" priority="19918" operator="equal">
      <formula>$G$135</formula>
    </cfRule>
  </conditionalFormatting>
  <conditionalFormatting sqref="P4098">
    <cfRule type="cellIs" dxfId="5988" priority="19917" operator="equal">
      <formula>$J$135</formula>
    </cfRule>
  </conditionalFormatting>
  <conditionalFormatting sqref="G4098 P4098">
    <cfRule type="cellIs" dxfId="5987" priority="19916" operator="equal">
      <formula>#REF!</formula>
    </cfRule>
  </conditionalFormatting>
  <conditionalFormatting sqref="G4098">
    <cfRule type="top10" dxfId="5986" priority="19914" rank="1"/>
    <cfRule type="cellIs" dxfId="5985" priority="19915" operator="equal">
      <formula>$G$133</formula>
    </cfRule>
  </conditionalFormatting>
  <conditionalFormatting sqref="P4098">
    <cfRule type="top10" dxfId="5984" priority="19912" rank="1"/>
    <cfRule type="cellIs" dxfId="5983" priority="19913" operator="equal">
      <formula>$G$133</formula>
    </cfRule>
  </conditionalFormatting>
  <conditionalFormatting sqref="C4082:C4097">
    <cfRule type="containsText" dxfId="5982" priority="19908" operator="containsText" text="Short Buildup">
      <formula>NOT(ISERROR(SEARCH("Short Buildup",C4082)))</formula>
    </cfRule>
    <cfRule type="containsText" dxfId="5981" priority="19909" operator="containsText" text="Long Liquidation">
      <formula>NOT(ISERROR(SEARCH("Long Liquidation",C4082)))</formula>
    </cfRule>
    <cfRule type="containsText" dxfId="5980" priority="19910" operator="containsText" text="Short covering">
      <formula>NOT(ISERROR(SEARCH("Short covering",C4082)))</formula>
    </cfRule>
    <cfRule type="containsText" dxfId="5979" priority="19911" operator="containsText" text="Long Buildup">
      <formula>NOT(ISERROR(SEARCH("Long Buildup",C4082)))</formula>
    </cfRule>
  </conditionalFormatting>
  <conditionalFormatting sqref="H4098">
    <cfRule type="colorScale" priority="19903">
      <colorScale>
        <cfvo type="min"/>
        <cfvo type="percentile" val="20"/>
        <cfvo type="max"/>
        <color rgb="FF92D050"/>
        <color theme="5" tint="0.79998168889431442"/>
        <color rgb="FFFF0000"/>
      </colorScale>
    </cfRule>
    <cfRule type="colorScale" priority="19904">
      <colorScale>
        <cfvo type="min"/>
        <cfvo type="max"/>
        <color rgb="FFFF0000"/>
        <color rgb="FF92D050"/>
      </colorScale>
    </cfRule>
    <cfRule type="colorScale" priority="19905">
      <colorScale>
        <cfvo type="min"/>
        <cfvo type="percentile" val="50"/>
        <cfvo type="max"/>
        <color rgb="FF5A8AC6"/>
        <color rgb="FFFCFCFF"/>
        <color rgb="FFF8696B"/>
      </colorScale>
    </cfRule>
    <cfRule type="colorScale" priority="19906">
      <colorScale>
        <cfvo type="formula" val="&quot;&gt;20&quot;"/>
        <cfvo type="formula" val="35"/>
        <color rgb="FFF8696B"/>
        <color rgb="FFFCFCFF"/>
      </colorScale>
    </cfRule>
    <cfRule type="colorScale" priority="19907">
      <colorScale>
        <cfvo type="min"/>
        <cfvo type="max"/>
        <color rgb="FFFFEF9C"/>
        <color rgb="FF63BE7B"/>
      </colorScale>
    </cfRule>
  </conditionalFormatting>
  <conditionalFormatting sqref="N4098">
    <cfRule type="colorScale" priority="19898">
      <colorScale>
        <cfvo type="min"/>
        <cfvo type="percentile" val="20"/>
        <cfvo type="max"/>
        <color rgb="FF92D050"/>
        <color theme="5" tint="0.79998168889431442"/>
        <color rgb="FFFF0000"/>
      </colorScale>
    </cfRule>
    <cfRule type="colorScale" priority="19899">
      <colorScale>
        <cfvo type="min"/>
        <cfvo type="max"/>
        <color rgb="FFFF0000"/>
        <color rgb="FF92D050"/>
      </colorScale>
    </cfRule>
    <cfRule type="colorScale" priority="19900">
      <colorScale>
        <cfvo type="min"/>
        <cfvo type="percentile" val="50"/>
        <cfvo type="max"/>
        <color rgb="FF5A8AC6"/>
        <color rgb="FFFCFCFF"/>
        <color rgb="FFF8696B"/>
      </colorScale>
    </cfRule>
    <cfRule type="colorScale" priority="19901">
      <colorScale>
        <cfvo type="formula" val="&quot;&gt;20&quot;"/>
        <cfvo type="formula" val="35"/>
        <color rgb="FFF8696B"/>
        <color rgb="FFFCFCFF"/>
      </colorScale>
    </cfRule>
    <cfRule type="colorScale" priority="19902">
      <colorScale>
        <cfvo type="min"/>
        <cfvo type="max"/>
        <color rgb="FFFFEF9C"/>
        <color rgb="FF63BE7B"/>
      </colorScale>
    </cfRule>
  </conditionalFormatting>
  <conditionalFormatting sqref="S4082:S4098">
    <cfRule type="containsText" dxfId="5978" priority="19894" operator="containsText" text="Short Buildup">
      <formula>NOT(ISERROR(SEARCH("Short Buildup",S4082)))</formula>
    </cfRule>
    <cfRule type="containsText" dxfId="5977" priority="19895" operator="containsText" text="Long Liquidation">
      <formula>NOT(ISERROR(SEARCH("Long Liquidation",S4082)))</formula>
    </cfRule>
    <cfRule type="containsText" dxfId="5976" priority="19896" operator="containsText" text="Short covering">
      <formula>NOT(ISERROR(SEARCH("Short covering",S4082)))</formula>
    </cfRule>
    <cfRule type="containsText" dxfId="5975" priority="19897" operator="containsText" text="Long Buildup">
      <formula>NOT(ISERROR(SEARCH("Long Buildup",S4082)))</formula>
    </cfRule>
  </conditionalFormatting>
  <conditionalFormatting sqref="F4082:F4097">
    <cfRule type="dataBar" priority="19893">
      <dataBar>
        <cfvo type="min"/>
        <cfvo type="max"/>
        <color rgb="FFFF555A"/>
      </dataBar>
    </cfRule>
  </conditionalFormatting>
  <conditionalFormatting sqref="G4082:G4097">
    <cfRule type="dataBar" priority="19892">
      <dataBar>
        <cfvo type="min"/>
        <cfvo type="max"/>
        <color rgb="FFFF555A"/>
      </dataBar>
    </cfRule>
  </conditionalFormatting>
  <conditionalFormatting sqref="H4082">
    <cfRule type="dataBar" priority="19891">
      <dataBar>
        <cfvo type="min"/>
        <cfvo type="max"/>
        <color rgb="FFFF555A"/>
      </dataBar>
    </cfRule>
  </conditionalFormatting>
  <conditionalFormatting sqref="I4082">
    <cfRule type="dataBar" priority="19890">
      <dataBar>
        <cfvo type="min"/>
        <cfvo type="max"/>
        <color rgb="FFFF555A"/>
      </dataBar>
    </cfRule>
  </conditionalFormatting>
  <conditionalFormatting sqref="J4082">
    <cfRule type="dataBar" priority="19889">
      <dataBar>
        <cfvo type="min"/>
        <cfvo type="max"/>
        <color rgb="FFFF555A"/>
      </dataBar>
    </cfRule>
  </conditionalFormatting>
  <conditionalFormatting sqref="E4083:E4097">
    <cfRule type="dataBar" priority="19888">
      <dataBar>
        <cfvo type="min"/>
        <cfvo type="max"/>
        <color rgb="FFFF555A"/>
      </dataBar>
    </cfRule>
  </conditionalFormatting>
  <conditionalFormatting sqref="H4083:H4097">
    <cfRule type="dataBar" priority="19887">
      <dataBar>
        <cfvo type="min"/>
        <cfvo type="max"/>
        <color rgb="FFFF555A"/>
      </dataBar>
    </cfRule>
  </conditionalFormatting>
  <conditionalFormatting sqref="I4083:I4097">
    <cfRule type="dataBar" priority="19886">
      <dataBar>
        <cfvo type="min"/>
        <cfvo type="max"/>
        <color rgb="FFFF555A"/>
      </dataBar>
    </cfRule>
  </conditionalFormatting>
  <conditionalFormatting sqref="J4083:J4097">
    <cfRule type="dataBar" priority="19885">
      <dataBar>
        <cfvo type="min"/>
        <cfvo type="max"/>
        <color rgb="FFFF555A"/>
      </dataBar>
    </cfRule>
  </conditionalFormatting>
  <conditionalFormatting sqref="L4082:L4097">
    <cfRule type="dataBar" priority="19884">
      <dataBar>
        <cfvo type="min"/>
        <cfvo type="max"/>
        <color rgb="FFFF555A"/>
      </dataBar>
    </cfRule>
  </conditionalFormatting>
  <conditionalFormatting sqref="M4082:M4097">
    <cfRule type="dataBar" priority="19883">
      <dataBar>
        <cfvo type="min"/>
        <cfvo type="max"/>
        <color rgb="FFFF555A"/>
      </dataBar>
    </cfRule>
  </conditionalFormatting>
  <conditionalFormatting sqref="N4082:N4097">
    <cfRule type="dataBar" priority="19882">
      <dataBar>
        <cfvo type="min"/>
        <cfvo type="max"/>
        <color rgb="FFFF555A"/>
      </dataBar>
    </cfRule>
  </conditionalFormatting>
  <conditionalFormatting sqref="Q4082:Q4097">
    <cfRule type="dataBar" priority="19881">
      <dataBar>
        <cfvo type="min"/>
        <cfvo type="max"/>
        <color rgb="FFFF555A"/>
      </dataBar>
    </cfRule>
  </conditionalFormatting>
  <conditionalFormatting sqref="O4082:O4097">
    <cfRule type="dataBar" priority="19880">
      <dataBar>
        <cfvo type="min"/>
        <cfvo type="max"/>
        <color rgb="FFFF555A"/>
      </dataBar>
    </cfRule>
  </conditionalFormatting>
  <conditionalFormatting sqref="P4082:P4097">
    <cfRule type="dataBar" priority="19879">
      <dataBar>
        <cfvo type="min"/>
        <cfvo type="max"/>
        <color rgb="FFFF555A"/>
      </dataBar>
    </cfRule>
  </conditionalFormatting>
  <conditionalFormatting sqref="R4099:R4115 D4099:D4114 C4115">
    <cfRule type="containsText" dxfId="5974" priority="19878" operator="containsText" text="DOWN">
      <formula>NOT(ISERROR(SEARCH("DOWN",C4099)))</formula>
    </cfRule>
  </conditionalFormatting>
  <conditionalFormatting sqref="R4099:R4115 D4099:D4114 C4115">
    <cfRule type="containsText" dxfId="5973" priority="19877" operator="containsText" text="UP">
      <formula>NOT(ISERROR(SEARCH("UP",C4099)))</formula>
    </cfRule>
  </conditionalFormatting>
  <conditionalFormatting sqref="I4115">
    <cfRule type="colorScale" priority="19876">
      <colorScale>
        <cfvo type="min"/>
        <cfvo type="max"/>
        <color rgb="FFFFEF9C"/>
        <color rgb="FF63BE7B"/>
      </colorScale>
    </cfRule>
  </conditionalFormatting>
  <conditionalFormatting sqref="M4115">
    <cfRule type="colorScale" priority="19875">
      <colorScale>
        <cfvo type="min"/>
        <cfvo type="max"/>
        <color rgb="FFFF7128"/>
        <color rgb="FFFFEF9C"/>
      </colorScale>
    </cfRule>
  </conditionalFormatting>
  <conditionalFormatting sqref="Q4115">
    <cfRule type="dataBar" priority="19874">
      <dataBar>
        <cfvo type="min"/>
        <cfvo type="max"/>
        <color rgb="FFFF555A"/>
      </dataBar>
    </cfRule>
  </conditionalFormatting>
  <conditionalFormatting sqref="E4099:E4115">
    <cfRule type="dataBar" priority="19873">
      <dataBar>
        <cfvo type="min"/>
        <cfvo type="max"/>
        <color rgb="FFFF555A"/>
      </dataBar>
    </cfRule>
  </conditionalFormatting>
  <conditionalFormatting sqref="F4115">
    <cfRule type="top10" dxfId="5972" priority="19872" rank="1"/>
  </conditionalFormatting>
  <conditionalFormatting sqref="G4115 P4115">
    <cfRule type="cellIs" dxfId="5971" priority="19871" operator="equal">
      <formula>$G$135</formula>
    </cfRule>
  </conditionalFormatting>
  <conditionalFormatting sqref="P4115">
    <cfRule type="cellIs" dxfId="5970" priority="19870" operator="equal">
      <formula>$J$135</formula>
    </cfRule>
  </conditionalFormatting>
  <conditionalFormatting sqref="G4115 P4115">
    <cfRule type="cellIs" dxfId="5969" priority="19869" operator="equal">
      <formula>#REF!</formula>
    </cfRule>
  </conditionalFormatting>
  <conditionalFormatting sqref="G4115">
    <cfRule type="top10" dxfId="5968" priority="19867" rank="1"/>
    <cfRule type="cellIs" dxfId="5967" priority="19868" operator="equal">
      <formula>$G$133</formula>
    </cfRule>
  </conditionalFormatting>
  <conditionalFormatting sqref="P4115">
    <cfRule type="top10" dxfId="5966" priority="19865" rank="1"/>
    <cfRule type="cellIs" dxfId="5965" priority="19866" operator="equal">
      <formula>$G$133</formula>
    </cfRule>
  </conditionalFormatting>
  <conditionalFormatting sqref="C4099:C4114">
    <cfRule type="containsText" dxfId="5964" priority="19861" operator="containsText" text="Short Buildup">
      <formula>NOT(ISERROR(SEARCH("Short Buildup",C4099)))</formula>
    </cfRule>
    <cfRule type="containsText" dxfId="5963" priority="19862" operator="containsText" text="Long Liquidation">
      <formula>NOT(ISERROR(SEARCH("Long Liquidation",C4099)))</formula>
    </cfRule>
    <cfRule type="containsText" dxfId="5962" priority="19863" operator="containsText" text="Short covering">
      <formula>NOT(ISERROR(SEARCH("Short covering",C4099)))</formula>
    </cfRule>
    <cfRule type="containsText" dxfId="5961" priority="19864" operator="containsText" text="Long Buildup">
      <formula>NOT(ISERROR(SEARCH("Long Buildup",C4099)))</formula>
    </cfRule>
  </conditionalFormatting>
  <conditionalFormatting sqref="H4115">
    <cfRule type="colorScale" priority="19856">
      <colorScale>
        <cfvo type="min"/>
        <cfvo type="percentile" val="20"/>
        <cfvo type="max"/>
        <color rgb="FF92D050"/>
        <color theme="5" tint="0.79998168889431442"/>
        <color rgb="FFFF0000"/>
      </colorScale>
    </cfRule>
    <cfRule type="colorScale" priority="19857">
      <colorScale>
        <cfvo type="min"/>
        <cfvo type="max"/>
        <color rgb="FFFF0000"/>
        <color rgb="FF92D050"/>
      </colorScale>
    </cfRule>
    <cfRule type="colorScale" priority="19858">
      <colorScale>
        <cfvo type="min"/>
        <cfvo type="percentile" val="50"/>
        <cfvo type="max"/>
        <color rgb="FF5A8AC6"/>
        <color rgb="FFFCFCFF"/>
        <color rgb="FFF8696B"/>
      </colorScale>
    </cfRule>
    <cfRule type="colorScale" priority="19859">
      <colorScale>
        <cfvo type="formula" val="&quot;&gt;20&quot;"/>
        <cfvo type="formula" val="35"/>
        <color rgb="FFF8696B"/>
        <color rgb="FFFCFCFF"/>
      </colorScale>
    </cfRule>
    <cfRule type="colorScale" priority="19860">
      <colorScale>
        <cfvo type="min"/>
        <cfvo type="max"/>
        <color rgb="FFFFEF9C"/>
        <color rgb="FF63BE7B"/>
      </colorScale>
    </cfRule>
  </conditionalFormatting>
  <conditionalFormatting sqref="N4115">
    <cfRule type="colorScale" priority="19851">
      <colorScale>
        <cfvo type="min"/>
        <cfvo type="percentile" val="20"/>
        <cfvo type="max"/>
        <color rgb="FF92D050"/>
        <color theme="5" tint="0.79998168889431442"/>
        <color rgb="FFFF0000"/>
      </colorScale>
    </cfRule>
    <cfRule type="colorScale" priority="19852">
      <colorScale>
        <cfvo type="min"/>
        <cfvo type="max"/>
        <color rgb="FFFF0000"/>
        <color rgb="FF92D050"/>
      </colorScale>
    </cfRule>
    <cfRule type="colorScale" priority="19853">
      <colorScale>
        <cfvo type="min"/>
        <cfvo type="percentile" val="50"/>
        <cfvo type="max"/>
        <color rgb="FF5A8AC6"/>
        <color rgb="FFFCFCFF"/>
        <color rgb="FFF8696B"/>
      </colorScale>
    </cfRule>
    <cfRule type="colorScale" priority="19854">
      <colorScale>
        <cfvo type="formula" val="&quot;&gt;20&quot;"/>
        <cfvo type="formula" val="35"/>
        <color rgb="FFF8696B"/>
        <color rgb="FFFCFCFF"/>
      </colorScale>
    </cfRule>
    <cfRule type="colorScale" priority="19855">
      <colorScale>
        <cfvo type="min"/>
        <cfvo type="max"/>
        <color rgb="FFFFEF9C"/>
        <color rgb="FF63BE7B"/>
      </colorScale>
    </cfRule>
  </conditionalFormatting>
  <conditionalFormatting sqref="S4099:S4115">
    <cfRule type="containsText" dxfId="5960" priority="19847" operator="containsText" text="Short Buildup">
      <formula>NOT(ISERROR(SEARCH("Short Buildup",S4099)))</formula>
    </cfRule>
    <cfRule type="containsText" dxfId="5959" priority="19848" operator="containsText" text="Long Liquidation">
      <formula>NOT(ISERROR(SEARCH("Long Liquidation",S4099)))</formula>
    </cfRule>
    <cfRule type="containsText" dxfId="5958" priority="19849" operator="containsText" text="Short covering">
      <formula>NOT(ISERROR(SEARCH("Short covering",S4099)))</formula>
    </cfRule>
    <cfRule type="containsText" dxfId="5957" priority="19850" operator="containsText" text="Long Buildup">
      <formula>NOT(ISERROR(SEARCH("Long Buildup",S4099)))</formula>
    </cfRule>
  </conditionalFormatting>
  <conditionalFormatting sqref="F4099:F4114">
    <cfRule type="dataBar" priority="19846">
      <dataBar>
        <cfvo type="min"/>
        <cfvo type="max"/>
        <color rgb="FFFF555A"/>
      </dataBar>
    </cfRule>
  </conditionalFormatting>
  <conditionalFormatting sqref="G4099:G4114">
    <cfRule type="dataBar" priority="19845">
      <dataBar>
        <cfvo type="min"/>
        <cfvo type="max"/>
        <color rgb="FFFF555A"/>
      </dataBar>
    </cfRule>
  </conditionalFormatting>
  <conditionalFormatting sqref="H4099">
    <cfRule type="dataBar" priority="19844">
      <dataBar>
        <cfvo type="min"/>
        <cfvo type="max"/>
        <color rgb="FFFF555A"/>
      </dataBar>
    </cfRule>
  </conditionalFormatting>
  <conditionalFormatting sqref="I4099">
    <cfRule type="dataBar" priority="19843">
      <dataBar>
        <cfvo type="min"/>
        <cfvo type="max"/>
        <color rgb="FFFF555A"/>
      </dataBar>
    </cfRule>
  </conditionalFormatting>
  <conditionalFormatting sqref="J4099">
    <cfRule type="dataBar" priority="19842">
      <dataBar>
        <cfvo type="min"/>
        <cfvo type="max"/>
        <color rgb="FFFF555A"/>
      </dataBar>
    </cfRule>
  </conditionalFormatting>
  <conditionalFormatting sqref="E4100:E4114">
    <cfRule type="dataBar" priority="19841">
      <dataBar>
        <cfvo type="min"/>
        <cfvo type="max"/>
        <color rgb="FFFF555A"/>
      </dataBar>
    </cfRule>
  </conditionalFormatting>
  <conditionalFormatting sqref="H4100:H4114">
    <cfRule type="dataBar" priority="19840">
      <dataBar>
        <cfvo type="min"/>
        <cfvo type="max"/>
        <color rgb="FFFF555A"/>
      </dataBar>
    </cfRule>
  </conditionalFormatting>
  <conditionalFormatting sqref="I4100:I4114">
    <cfRule type="dataBar" priority="19839">
      <dataBar>
        <cfvo type="min"/>
        <cfvo type="max"/>
        <color rgb="FFFF555A"/>
      </dataBar>
    </cfRule>
  </conditionalFormatting>
  <conditionalFormatting sqref="J4100:J4114">
    <cfRule type="dataBar" priority="19838">
      <dataBar>
        <cfvo type="min"/>
        <cfvo type="max"/>
        <color rgb="FFFF555A"/>
      </dataBar>
    </cfRule>
  </conditionalFormatting>
  <conditionalFormatting sqref="L4099:L4114">
    <cfRule type="dataBar" priority="19837">
      <dataBar>
        <cfvo type="min"/>
        <cfvo type="max"/>
        <color rgb="FFFF555A"/>
      </dataBar>
    </cfRule>
  </conditionalFormatting>
  <conditionalFormatting sqref="M4099:M4114">
    <cfRule type="dataBar" priority="19836">
      <dataBar>
        <cfvo type="min"/>
        <cfvo type="max"/>
        <color rgb="FFFF555A"/>
      </dataBar>
    </cfRule>
  </conditionalFormatting>
  <conditionalFormatting sqref="N4099:N4114">
    <cfRule type="dataBar" priority="19835">
      <dataBar>
        <cfvo type="min"/>
        <cfvo type="max"/>
        <color rgb="FFFF555A"/>
      </dataBar>
    </cfRule>
  </conditionalFormatting>
  <conditionalFormatting sqref="Q4099:Q4114">
    <cfRule type="dataBar" priority="19834">
      <dataBar>
        <cfvo type="min"/>
        <cfvo type="max"/>
        <color rgb="FFFF555A"/>
      </dataBar>
    </cfRule>
  </conditionalFormatting>
  <conditionalFormatting sqref="O4099:O4114">
    <cfRule type="dataBar" priority="19833">
      <dataBar>
        <cfvo type="min"/>
        <cfvo type="max"/>
        <color rgb="FFFF555A"/>
      </dataBar>
    </cfRule>
  </conditionalFormatting>
  <conditionalFormatting sqref="P4099:P4114">
    <cfRule type="dataBar" priority="19832">
      <dataBar>
        <cfvo type="min"/>
        <cfvo type="max"/>
        <color rgb="FFFF555A"/>
      </dataBar>
    </cfRule>
  </conditionalFormatting>
  <conditionalFormatting sqref="R1022:R1038 D1022:D1037 C1038">
    <cfRule type="containsText" dxfId="5308" priority="11092" operator="containsText" text="DOWN">
      <formula>NOT(ISERROR(SEARCH("DOWN",C1022)))</formula>
    </cfRule>
  </conditionalFormatting>
  <conditionalFormatting sqref="R1022:R1038 D1022:D1037 C1038">
    <cfRule type="containsText" dxfId="5307" priority="11091" operator="containsText" text="UP">
      <formula>NOT(ISERROR(SEARCH("UP",C1022)))</formula>
    </cfRule>
  </conditionalFormatting>
  <conditionalFormatting sqref="I1038">
    <cfRule type="colorScale" priority="11090">
      <colorScale>
        <cfvo type="min"/>
        <cfvo type="max"/>
        <color rgb="FFFFEF9C"/>
        <color rgb="FF63BE7B"/>
      </colorScale>
    </cfRule>
  </conditionalFormatting>
  <conditionalFormatting sqref="M1038">
    <cfRule type="colorScale" priority="11089">
      <colorScale>
        <cfvo type="min"/>
        <cfvo type="max"/>
        <color rgb="FFFF7128"/>
        <color rgb="FFFFEF9C"/>
      </colorScale>
    </cfRule>
  </conditionalFormatting>
  <conditionalFormatting sqref="Q1038">
    <cfRule type="dataBar" priority="11088">
      <dataBar>
        <cfvo type="min"/>
        <cfvo type="max"/>
        <color rgb="FFFF555A"/>
      </dataBar>
    </cfRule>
  </conditionalFormatting>
  <conditionalFormatting sqref="E1022:E1038">
    <cfRule type="dataBar" priority="11087">
      <dataBar>
        <cfvo type="min"/>
        <cfvo type="max"/>
        <color rgb="FFFF555A"/>
      </dataBar>
    </cfRule>
  </conditionalFormatting>
  <conditionalFormatting sqref="F1038">
    <cfRule type="top10" dxfId="5306" priority="11086" rank="1"/>
  </conditionalFormatting>
  <conditionalFormatting sqref="G1038 P1038">
    <cfRule type="cellIs" dxfId="5305" priority="11085" operator="equal">
      <formula>$G$135</formula>
    </cfRule>
  </conditionalFormatting>
  <conditionalFormatting sqref="P1038">
    <cfRule type="cellIs" dxfId="5304" priority="11084" operator="equal">
      <formula>$J$135</formula>
    </cfRule>
  </conditionalFormatting>
  <conditionalFormatting sqref="G1038 P1038">
    <cfRule type="cellIs" dxfId="5303" priority="11083" operator="equal">
      <formula>#REF!</formula>
    </cfRule>
  </conditionalFormatting>
  <conditionalFormatting sqref="G1038">
    <cfRule type="top10" dxfId="5302" priority="11081" rank="1"/>
    <cfRule type="cellIs" dxfId="5301" priority="11082" operator="equal">
      <formula>$G$133</formula>
    </cfRule>
  </conditionalFormatting>
  <conditionalFormatting sqref="P1038">
    <cfRule type="top10" dxfId="5300" priority="11079" rank="1"/>
    <cfRule type="cellIs" dxfId="5299" priority="11080" operator="equal">
      <formula>$G$133</formula>
    </cfRule>
  </conditionalFormatting>
  <conditionalFormatting sqref="C1022:C1037">
    <cfRule type="containsText" dxfId="5298" priority="11075" operator="containsText" text="Short Buildup">
      <formula>NOT(ISERROR(SEARCH("Short Buildup",C1022)))</formula>
    </cfRule>
    <cfRule type="containsText" dxfId="5297" priority="11076" operator="containsText" text="Long Liquidation">
      <formula>NOT(ISERROR(SEARCH("Long Liquidation",C1022)))</formula>
    </cfRule>
    <cfRule type="containsText" dxfId="5296" priority="11077" operator="containsText" text="Short covering">
      <formula>NOT(ISERROR(SEARCH("Short covering",C1022)))</formula>
    </cfRule>
    <cfRule type="containsText" dxfId="5295" priority="11078" operator="containsText" text="Long Buildup">
      <formula>NOT(ISERROR(SEARCH("Long Buildup",C1022)))</formula>
    </cfRule>
  </conditionalFormatting>
  <conditionalFormatting sqref="H1038">
    <cfRule type="colorScale" priority="11070">
      <colorScale>
        <cfvo type="min"/>
        <cfvo type="percentile" val="20"/>
        <cfvo type="max"/>
        <color rgb="FF92D050"/>
        <color theme="5" tint="0.79998168889431442"/>
        <color rgb="FFFF0000"/>
      </colorScale>
    </cfRule>
    <cfRule type="colorScale" priority="11071">
      <colorScale>
        <cfvo type="min"/>
        <cfvo type="max"/>
        <color rgb="FFFF0000"/>
        <color rgb="FF92D050"/>
      </colorScale>
    </cfRule>
    <cfRule type="colorScale" priority="11072">
      <colorScale>
        <cfvo type="min"/>
        <cfvo type="percentile" val="50"/>
        <cfvo type="max"/>
        <color rgb="FF5A8AC6"/>
        <color rgb="FFFCFCFF"/>
        <color rgb="FFF8696B"/>
      </colorScale>
    </cfRule>
    <cfRule type="colorScale" priority="11073">
      <colorScale>
        <cfvo type="formula" val="&quot;&gt;20&quot;"/>
        <cfvo type="formula" val="35"/>
        <color rgb="FFF8696B"/>
        <color rgb="FFFCFCFF"/>
      </colorScale>
    </cfRule>
    <cfRule type="colorScale" priority="11074">
      <colorScale>
        <cfvo type="min"/>
        <cfvo type="max"/>
        <color rgb="FFFFEF9C"/>
        <color rgb="FF63BE7B"/>
      </colorScale>
    </cfRule>
  </conditionalFormatting>
  <conditionalFormatting sqref="N1038">
    <cfRule type="colorScale" priority="11065">
      <colorScale>
        <cfvo type="min"/>
        <cfvo type="percentile" val="20"/>
        <cfvo type="max"/>
        <color rgb="FF92D050"/>
        <color theme="5" tint="0.79998168889431442"/>
        <color rgb="FFFF0000"/>
      </colorScale>
    </cfRule>
    <cfRule type="colorScale" priority="11066">
      <colorScale>
        <cfvo type="min"/>
        <cfvo type="max"/>
        <color rgb="FFFF0000"/>
        <color rgb="FF92D050"/>
      </colorScale>
    </cfRule>
    <cfRule type="colorScale" priority="11067">
      <colorScale>
        <cfvo type="min"/>
        <cfvo type="percentile" val="50"/>
        <cfvo type="max"/>
        <color rgb="FF5A8AC6"/>
        <color rgb="FFFCFCFF"/>
        <color rgb="FFF8696B"/>
      </colorScale>
    </cfRule>
    <cfRule type="colorScale" priority="11068">
      <colorScale>
        <cfvo type="formula" val="&quot;&gt;20&quot;"/>
        <cfvo type="formula" val="35"/>
        <color rgb="FFF8696B"/>
        <color rgb="FFFCFCFF"/>
      </colorScale>
    </cfRule>
    <cfRule type="colorScale" priority="11069">
      <colorScale>
        <cfvo type="min"/>
        <cfvo type="max"/>
        <color rgb="FFFFEF9C"/>
        <color rgb="FF63BE7B"/>
      </colorScale>
    </cfRule>
  </conditionalFormatting>
  <conditionalFormatting sqref="S1022:S1038">
    <cfRule type="containsText" dxfId="5294" priority="11061" operator="containsText" text="Short Buildup">
      <formula>NOT(ISERROR(SEARCH("Short Buildup",S1022)))</formula>
    </cfRule>
    <cfRule type="containsText" dxfId="5293" priority="11062" operator="containsText" text="Long Liquidation">
      <formula>NOT(ISERROR(SEARCH("Long Liquidation",S1022)))</formula>
    </cfRule>
    <cfRule type="containsText" dxfId="5292" priority="11063" operator="containsText" text="Short covering">
      <formula>NOT(ISERROR(SEARCH("Short covering",S1022)))</formula>
    </cfRule>
    <cfRule type="containsText" dxfId="5291" priority="11064" operator="containsText" text="Long Buildup">
      <formula>NOT(ISERROR(SEARCH("Long Buildup",S1022)))</formula>
    </cfRule>
  </conditionalFormatting>
  <conditionalFormatting sqref="F1022:F1037">
    <cfRule type="dataBar" priority="11060">
      <dataBar>
        <cfvo type="min"/>
        <cfvo type="max"/>
        <color rgb="FFFF555A"/>
      </dataBar>
    </cfRule>
  </conditionalFormatting>
  <conditionalFormatting sqref="G1022:G1037">
    <cfRule type="dataBar" priority="11059">
      <dataBar>
        <cfvo type="min"/>
        <cfvo type="max"/>
        <color rgb="FFFF555A"/>
      </dataBar>
    </cfRule>
  </conditionalFormatting>
  <conditionalFormatting sqref="H1022">
    <cfRule type="dataBar" priority="11058">
      <dataBar>
        <cfvo type="min"/>
        <cfvo type="max"/>
        <color rgb="FFFF555A"/>
      </dataBar>
    </cfRule>
  </conditionalFormatting>
  <conditionalFormatting sqref="I1022">
    <cfRule type="dataBar" priority="11057">
      <dataBar>
        <cfvo type="min"/>
        <cfvo type="max"/>
        <color rgb="FFFF555A"/>
      </dataBar>
    </cfRule>
  </conditionalFormatting>
  <conditionalFormatting sqref="J1022">
    <cfRule type="dataBar" priority="11056">
      <dataBar>
        <cfvo type="min"/>
        <cfvo type="max"/>
        <color rgb="FFFF555A"/>
      </dataBar>
    </cfRule>
  </conditionalFormatting>
  <conditionalFormatting sqref="E1023:E1037">
    <cfRule type="dataBar" priority="11055">
      <dataBar>
        <cfvo type="min"/>
        <cfvo type="max"/>
        <color rgb="FFFF555A"/>
      </dataBar>
    </cfRule>
  </conditionalFormatting>
  <conditionalFormatting sqref="H1023:H1037">
    <cfRule type="dataBar" priority="11054">
      <dataBar>
        <cfvo type="min"/>
        <cfvo type="max"/>
        <color rgb="FFFF555A"/>
      </dataBar>
    </cfRule>
  </conditionalFormatting>
  <conditionalFormatting sqref="I1023:I1037">
    <cfRule type="dataBar" priority="11053">
      <dataBar>
        <cfvo type="min"/>
        <cfvo type="max"/>
        <color rgb="FFFF555A"/>
      </dataBar>
    </cfRule>
  </conditionalFormatting>
  <conditionalFormatting sqref="J1023:J1037">
    <cfRule type="dataBar" priority="11052">
      <dataBar>
        <cfvo type="min"/>
        <cfvo type="max"/>
        <color rgb="FFFF555A"/>
      </dataBar>
    </cfRule>
  </conditionalFormatting>
  <conditionalFormatting sqref="L1022:L1037">
    <cfRule type="dataBar" priority="11051">
      <dataBar>
        <cfvo type="min"/>
        <cfvo type="max"/>
        <color rgb="FFFF555A"/>
      </dataBar>
    </cfRule>
  </conditionalFormatting>
  <conditionalFormatting sqref="M1022:M1037">
    <cfRule type="dataBar" priority="11050">
      <dataBar>
        <cfvo type="min"/>
        <cfvo type="max"/>
        <color rgb="FFFF555A"/>
      </dataBar>
    </cfRule>
  </conditionalFormatting>
  <conditionalFormatting sqref="N1022:N1037">
    <cfRule type="dataBar" priority="11049">
      <dataBar>
        <cfvo type="min"/>
        <cfvo type="max"/>
        <color rgb="FFFF555A"/>
      </dataBar>
    </cfRule>
  </conditionalFormatting>
  <conditionalFormatting sqref="Q1022:Q1037">
    <cfRule type="dataBar" priority="11048">
      <dataBar>
        <cfvo type="min"/>
        <cfvo type="max"/>
        <color rgb="FFFF555A"/>
      </dataBar>
    </cfRule>
  </conditionalFormatting>
  <conditionalFormatting sqref="O1022:O1037">
    <cfRule type="dataBar" priority="11047">
      <dataBar>
        <cfvo type="min"/>
        <cfvo type="max"/>
        <color rgb="FFFF555A"/>
      </dataBar>
    </cfRule>
  </conditionalFormatting>
  <conditionalFormatting sqref="P1022:P1037">
    <cfRule type="dataBar" priority="11046">
      <dataBar>
        <cfvo type="min"/>
        <cfvo type="max"/>
        <color rgb="FFFF555A"/>
      </dataBar>
    </cfRule>
  </conditionalFormatting>
  <conditionalFormatting sqref="R1039:R1055 D1039:D1054 C1055">
    <cfRule type="containsText" dxfId="5290" priority="11045" operator="containsText" text="DOWN">
      <formula>NOT(ISERROR(SEARCH("DOWN",C1039)))</formula>
    </cfRule>
  </conditionalFormatting>
  <conditionalFormatting sqref="R1039:R1055 D1039:D1054 C1055">
    <cfRule type="containsText" dxfId="5289" priority="11044" operator="containsText" text="UP">
      <formula>NOT(ISERROR(SEARCH("UP",C1039)))</formula>
    </cfRule>
  </conditionalFormatting>
  <conditionalFormatting sqref="I1055">
    <cfRule type="colorScale" priority="11043">
      <colorScale>
        <cfvo type="min"/>
        <cfvo type="max"/>
        <color rgb="FFFFEF9C"/>
        <color rgb="FF63BE7B"/>
      </colorScale>
    </cfRule>
  </conditionalFormatting>
  <conditionalFormatting sqref="M1055">
    <cfRule type="colorScale" priority="11042">
      <colorScale>
        <cfvo type="min"/>
        <cfvo type="max"/>
        <color rgb="FFFF7128"/>
        <color rgb="FFFFEF9C"/>
      </colorScale>
    </cfRule>
  </conditionalFormatting>
  <conditionalFormatting sqref="Q1055">
    <cfRule type="dataBar" priority="11041">
      <dataBar>
        <cfvo type="min"/>
        <cfvo type="max"/>
        <color rgb="FFFF555A"/>
      </dataBar>
    </cfRule>
  </conditionalFormatting>
  <conditionalFormatting sqref="E1039:E1055">
    <cfRule type="dataBar" priority="11040">
      <dataBar>
        <cfvo type="min"/>
        <cfvo type="max"/>
        <color rgb="FFFF555A"/>
      </dataBar>
    </cfRule>
  </conditionalFormatting>
  <conditionalFormatting sqref="F1055">
    <cfRule type="top10" dxfId="5288" priority="11039" rank="1"/>
  </conditionalFormatting>
  <conditionalFormatting sqref="G1055 P1055">
    <cfRule type="cellIs" dxfId="5287" priority="11038" operator="equal">
      <formula>$G$135</formula>
    </cfRule>
  </conditionalFormatting>
  <conditionalFormatting sqref="P1055">
    <cfRule type="cellIs" dxfId="5286" priority="11037" operator="equal">
      <formula>$J$135</formula>
    </cfRule>
  </conditionalFormatting>
  <conditionalFormatting sqref="G1055 P1055">
    <cfRule type="cellIs" dxfId="5285" priority="11036" operator="equal">
      <formula>#REF!</formula>
    </cfRule>
  </conditionalFormatting>
  <conditionalFormatting sqref="G1055">
    <cfRule type="top10" dxfId="5284" priority="11034" rank="1"/>
    <cfRule type="cellIs" dxfId="5283" priority="11035" operator="equal">
      <formula>$G$133</formula>
    </cfRule>
  </conditionalFormatting>
  <conditionalFormatting sqref="P1055">
    <cfRule type="top10" dxfId="5282" priority="11032" rank="1"/>
    <cfRule type="cellIs" dxfId="5281" priority="11033" operator="equal">
      <formula>$G$133</formula>
    </cfRule>
  </conditionalFormatting>
  <conditionalFormatting sqref="C1039:C1054">
    <cfRule type="containsText" dxfId="5280" priority="11028" operator="containsText" text="Short Buildup">
      <formula>NOT(ISERROR(SEARCH("Short Buildup",C1039)))</formula>
    </cfRule>
    <cfRule type="containsText" dxfId="5279" priority="11029" operator="containsText" text="Long Liquidation">
      <formula>NOT(ISERROR(SEARCH("Long Liquidation",C1039)))</formula>
    </cfRule>
    <cfRule type="containsText" dxfId="5278" priority="11030" operator="containsText" text="Short covering">
      <formula>NOT(ISERROR(SEARCH("Short covering",C1039)))</formula>
    </cfRule>
    <cfRule type="containsText" dxfId="5277" priority="11031" operator="containsText" text="Long Buildup">
      <formula>NOT(ISERROR(SEARCH("Long Buildup",C1039)))</formula>
    </cfRule>
  </conditionalFormatting>
  <conditionalFormatting sqref="H1055">
    <cfRule type="colorScale" priority="11023">
      <colorScale>
        <cfvo type="min"/>
        <cfvo type="percentile" val="20"/>
        <cfvo type="max"/>
        <color rgb="FF92D050"/>
        <color theme="5" tint="0.79998168889431442"/>
        <color rgb="FFFF0000"/>
      </colorScale>
    </cfRule>
    <cfRule type="colorScale" priority="11024">
      <colorScale>
        <cfvo type="min"/>
        <cfvo type="max"/>
        <color rgb="FFFF0000"/>
        <color rgb="FF92D050"/>
      </colorScale>
    </cfRule>
    <cfRule type="colorScale" priority="11025">
      <colorScale>
        <cfvo type="min"/>
        <cfvo type="percentile" val="50"/>
        <cfvo type="max"/>
        <color rgb="FF5A8AC6"/>
        <color rgb="FFFCFCFF"/>
        <color rgb="FFF8696B"/>
      </colorScale>
    </cfRule>
    <cfRule type="colorScale" priority="11026">
      <colorScale>
        <cfvo type="formula" val="&quot;&gt;20&quot;"/>
        <cfvo type="formula" val="35"/>
        <color rgb="FFF8696B"/>
        <color rgb="FFFCFCFF"/>
      </colorScale>
    </cfRule>
    <cfRule type="colorScale" priority="11027">
      <colorScale>
        <cfvo type="min"/>
        <cfvo type="max"/>
        <color rgb="FFFFEF9C"/>
        <color rgb="FF63BE7B"/>
      </colorScale>
    </cfRule>
  </conditionalFormatting>
  <conditionalFormatting sqref="N1055">
    <cfRule type="colorScale" priority="11018">
      <colorScale>
        <cfvo type="min"/>
        <cfvo type="percentile" val="20"/>
        <cfvo type="max"/>
        <color rgb="FF92D050"/>
        <color theme="5" tint="0.79998168889431442"/>
        <color rgb="FFFF0000"/>
      </colorScale>
    </cfRule>
    <cfRule type="colorScale" priority="11019">
      <colorScale>
        <cfvo type="min"/>
        <cfvo type="max"/>
        <color rgb="FFFF0000"/>
        <color rgb="FF92D050"/>
      </colorScale>
    </cfRule>
    <cfRule type="colorScale" priority="11020">
      <colorScale>
        <cfvo type="min"/>
        <cfvo type="percentile" val="50"/>
        <cfvo type="max"/>
        <color rgb="FF5A8AC6"/>
        <color rgb="FFFCFCFF"/>
        <color rgb="FFF8696B"/>
      </colorScale>
    </cfRule>
    <cfRule type="colorScale" priority="11021">
      <colorScale>
        <cfvo type="formula" val="&quot;&gt;20&quot;"/>
        <cfvo type="formula" val="35"/>
        <color rgb="FFF8696B"/>
        <color rgb="FFFCFCFF"/>
      </colorScale>
    </cfRule>
    <cfRule type="colorScale" priority="11022">
      <colorScale>
        <cfvo type="min"/>
        <cfvo type="max"/>
        <color rgb="FFFFEF9C"/>
        <color rgb="FF63BE7B"/>
      </colorScale>
    </cfRule>
  </conditionalFormatting>
  <conditionalFormatting sqref="S1039:S1055">
    <cfRule type="containsText" dxfId="5276" priority="11014" operator="containsText" text="Short Buildup">
      <formula>NOT(ISERROR(SEARCH("Short Buildup",S1039)))</formula>
    </cfRule>
    <cfRule type="containsText" dxfId="5275" priority="11015" operator="containsText" text="Long Liquidation">
      <formula>NOT(ISERROR(SEARCH("Long Liquidation",S1039)))</formula>
    </cfRule>
    <cfRule type="containsText" dxfId="5274" priority="11016" operator="containsText" text="Short covering">
      <formula>NOT(ISERROR(SEARCH("Short covering",S1039)))</formula>
    </cfRule>
    <cfRule type="containsText" dxfId="5273" priority="11017" operator="containsText" text="Long Buildup">
      <formula>NOT(ISERROR(SEARCH("Long Buildup",S1039)))</formula>
    </cfRule>
  </conditionalFormatting>
  <conditionalFormatting sqref="F1039:F1054">
    <cfRule type="dataBar" priority="11013">
      <dataBar>
        <cfvo type="min"/>
        <cfvo type="max"/>
        <color rgb="FFFF555A"/>
      </dataBar>
    </cfRule>
  </conditionalFormatting>
  <conditionalFormatting sqref="G1039:G1054">
    <cfRule type="dataBar" priority="11012">
      <dataBar>
        <cfvo type="min"/>
        <cfvo type="max"/>
        <color rgb="FFFF555A"/>
      </dataBar>
    </cfRule>
  </conditionalFormatting>
  <conditionalFormatting sqref="H1039">
    <cfRule type="dataBar" priority="11011">
      <dataBar>
        <cfvo type="min"/>
        <cfvo type="max"/>
        <color rgb="FFFF555A"/>
      </dataBar>
    </cfRule>
  </conditionalFormatting>
  <conditionalFormatting sqref="I1039">
    <cfRule type="dataBar" priority="11010">
      <dataBar>
        <cfvo type="min"/>
        <cfvo type="max"/>
        <color rgb="FFFF555A"/>
      </dataBar>
    </cfRule>
  </conditionalFormatting>
  <conditionalFormatting sqref="J1039">
    <cfRule type="dataBar" priority="11009">
      <dataBar>
        <cfvo type="min"/>
        <cfvo type="max"/>
        <color rgb="FFFF555A"/>
      </dataBar>
    </cfRule>
  </conditionalFormatting>
  <conditionalFormatting sqref="E1040:E1054">
    <cfRule type="dataBar" priority="11008">
      <dataBar>
        <cfvo type="min"/>
        <cfvo type="max"/>
        <color rgb="FFFF555A"/>
      </dataBar>
    </cfRule>
  </conditionalFormatting>
  <conditionalFormatting sqref="H1040:H1054">
    <cfRule type="dataBar" priority="11007">
      <dataBar>
        <cfvo type="min"/>
        <cfvo type="max"/>
        <color rgb="FFFF555A"/>
      </dataBar>
    </cfRule>
  </conditionalFormatting>
  <conditionalFormatting sqref="I1040:I1054">
    <cfRule type="dataBar" priority="11006">
      <dataBar>
        <cfvo type="min"/>
        <cfvo type="max"/>
        <color rgb="FFFF555A"/>
      </dataBar>
    </cfRule>
  </conditionalFormatting>
  <conditionalFormatting sqref="J1040:J1054">
    <cfRule type="dataBar" priority="11005">
      <dataBar>
        <cfvo type="min"/>
        <cfvo type="max"/>
        <color rgb="FFFF555A"/>
      </dataBar>
    </cfRule>
  </conditionalFormatting>
  <conditionalFormatting sqref="L1039:L1054">
    <cfRule type="dataBar" priority="11004">
      <dataBar>
        <cfvo type="min"/>
        <cfvo type="max"/>
        <color rgb="FFFF555A"/>
      </dataBar>
    </cfRule>
  </conditionalFormatting>
  <conditionalFormatting sqref="M1039:M1054">
    <cfRule type="dataBar" priority="11003">
      <dataBar>
        <cfvo type="min"/>
        <cfvo type="max"/>
        <color rgb="FFFF555A"/>
      </dataBar>
    </cfRule>
  </conditionalFormatting>
  <conditionalFormatting sqref="N1039:N1054">
    <cfRule type="dataBar" priority="11002">
      <dataBar>
        <cfvo type="min"/>
        <cfvo type="max"/>
        <color rgb="FFFF555A"/>
      </dataBar>
    </cfRule>
  </conditionalFormatting>
  <conditionalFormatting sqref="Q1039:Q1054">
    <cfRule type="dataBar" priority="11001">
      <dataBar>
        <cfvo type="min"/>
        <cfvo type="max"/>
        <color rgb="FFFF555A"/>
      </dataBar>
    </cfRule>
  </conditionalFormatting>
  <conditionalFormatting sqref="O1039:O1054">
    <cfRule type="dataBar" priority="11000">
      <dataBar>
        <cfvo type="min"/>
        <cfvo type="max"/>
        <color rgb="FFFF555A"/>
      </dataBar>
    </cfRule>
  </conditionalFormatting>
  <conditionalFormatting sqref="P1039:P1054">
    <cfRule type="dataBar" priority="10999">
      <dataBar>
        <cfvo type="min"/>
        <cfvo type="max"/>
        <color rgb="FFFF555A"/>
      </dataBar>
    </cfRule>
  </conditionalFormatting>
  <conditionalFormatting sqref="R1056:R1072 D1056:D1071 C1072">
    <cfRule type="containsText" dxfId="5272" priority="10998" operator="containsText" text="DOWN">
      <formula>NOT(ISERROR(SEARCH("DOWN",C1056)))</formula>
    </cfRule>
  </conditionalFormatting>
  <conditionalFormatting sqref="R1056:R1072 D1056:D1071 C1072">
    <cfRule type="containsText" dxfId="5271" priority="10997" operator="containsText" text="UP">
      <formula>NOT(ISERROR(SEARCH("UP",C1056)))</formula>
    </cfRule>
  </conditionalFormatting>
  <conditionalFormatting sqref="I1072">
    <cfRule type="colorScale" priority="10996">
      <colorScale>
        <cfvo type="min"/>
        <cfvo type="max"/>
        <color rgb="FFFFEF9C"/>
        <color rgb="FF63BE7B"/>
      </colorScale>
    </cfRule>
  </conditionalFormatting>
  <conditionalFormatting sqref="M1072">
    <cfRule type="colorScale" priority="10995">
      <colorScale>
        <cfvo type="min"/>
        <cfvo type="max"/>
        <color rgb="FFFF7128"/>
        <color rgb="FFFFEF9C"/>
      </colorScale>
    </cfRule>
  </conditionalFormatting>
  <conditionalFormatting sqref="Q1072">
    <cfRule type="dataBar" priority="10994">
      <dataBar>
        <cfvo type="min"/>
        <cfvo type="max"/>
        <color rgb="FFFF555A"/>
      </dataBar>
    </cfRule>
  </conditionalFormatting>
  <conditionalFormatting sqref="E1056:E1072">
    <cfRule type="dataBar" priority="10993">
      <dataBar>
        <cfvo type="min"/>
        <cfvo type="max"/>
        <color rgb="FFFF555A"/>
      </dataBar>
    </cfRule>
  </conditionalFormatting>
  <conditionalFormatting sqref="F1072">
    <cfRule type="top10" dxfId="5270" priority="10992" rank="1"/>
  </conditionalFormatting>
  <conditionalFormatting sqref="G1072 P1072">
    <cfRule type="cellIs" dxfId="5269" priority="10991" operator="equal">
      <formula>$G$135</formula>
    </cfRule>
  </conditionalFormatting>
  <conditionalFormatting sqref="P1072">
    <cfRule type="cellIs" dxfId="5268" priority="10990" operator="equal">
      <formula>$J$135</formula>
    </cfRule>
  </conditionalFormatting>
  <conditionalFormatting sqref="G1072 P1072">
    <cfRule type="cellIs" dxfId="5267" priority="10989" operator="equal">
      <formula>#REF!</formula>
    </cfRule>
  </conditionalFormatting>
  <conditionalFormatting sqref="G1072">
    <cfRule type="top10" dxfId="5266" priority="10987" rank="1"/>
    <cfRule type="cellIs" dxfId="5265" priority="10988" operator="equal">
      <formula>$G$133</formula>
    </cfRule>
  </conditionalFormatting>
  <conditionalFormatting sqref="P1072">
    <cfRule type="top10" dxfId="5264" priority="10985" rank="1"/>
    <cfRule type="cellIs" dxfId="5263" priority="10986" operator="equal">
      <formula>$G$133</formula>
    </cfRule>
  </conditionalFormatting>
  <conditionalFormatting sqref="C1056:C1071">
    <cfRule type="containsText" dxfId="5262" priority="10981" operator="containsText" text="Short Buildup">
      <formula>NOT(ISERROR(SEARCH("Short Buildup",C1056)))</formula>
    </cfRule>
    <cfRule type="containsText" dxfId="5261" priority="10982" operator="containsText" text="Long Liquidation">
      <formula>NOT(ISERROR(SEARCH("Long Liquidation",C1056)))</formula>
    </cfRule>
    <cfRule type="containsText" dxfId="5260" priority="10983" operator="containsText" text="Short covering">
      <formula>NOT(ISERROR(SEARCH("Short covering",C1056)))</formula>
    </cfRule>
    <cfRule type="containsText" dxfId="5259" priority="10984" operator="containsText" text="Long Buildup">
      <formula>NOT(ISERROR(SEARCH("Long Buildup",C1056)))</formula>
    </cfRule>
  </conditionalFormatting>
  <conditionalFormatting sqref="H1072">
    <cfRule type="colorScale" priority="10976">
      <colorScale>
        <cfvo type="min"/>
        <cfvo type="percentile" val="20"/>
        <cfvo type="max"/>
        <color rgb="FF92D050"/>
        <color theme="5" tint="0.79998168889431442"/>
        <color rgb="FFFF0000"/>
      </colorScale>
    </cfRule>
    <cfRule type="colorScale" priority="10977">
      <colorScale>
        <cfvo type="min"/>
        <cfvo type="max"/>
        <color rgb="FFFF0000"/>
        <color rgb="FF92D050"/>
      </colorScale>
    </cfRule>
    <cfRule type="colorScale" priority="10978">
      <colorScale>
        <cfvo type="min"/>
        <cfvo type="percentile" val="50"/>
        <cfvo type="max"/>
        <color rgb="FF5A8AC6"/>
        <color rgb="FFFCFCFF"/>
        <color rgb="FFF8696B"/>
      </colorScale>
    </cfRule>
    <cfRule type="colorScale" priority="10979">
      <colorScale>
        <cfvo type="formula" val="&quot;&gt;20&quot;"/>
        <cfvo type="formula" val="35"/>
        <color rgb="FFF8696B"/>
        <color rgb="FFFCFCFF"/>
      </colorScale>
    </cfRule>
    <cfRule type="colorScale" priority="10980">
      <colorScale>
        <cfvo type="min"/>
        <cfvo type="max"/>
        <color rgb="FFFFEF9C"/>
        <color rgb="FF63BE7B"/>
      </colorScale>
    </cfRule>
  </conditionalFormatting>
  <conditionalFormatting sqref="N1072">
    <cfRule type="colorScale" priority="10971">
      <colorScale>
        <cfvo type="min"/>
        <cfvo type="percentile" val="20"/>
        <cfvo type="max"/>
        <color rgb="FF92D050"/>
        <color theme="5" tint="0.79998168889431442"/>
        <color rgb="FFFF0000"/>
      </colorScale>
    </cfRule>
    <cfRule type="colorScale" priority="10972">
      <colorScale>
        <cfvo type="min"/>
        <cfvo type="max"/>
        <color rgb="FFFF0000"/>
        <color rgb="FF92D050"/>
      </colorScale>
    </cfRule>
    <cfRule type="colorScale" priority="10973">
      <colorScale>
        <cfvo type="min"/>
        <cfvo type="percentile" val="50"/>
        <cfvo type="max"/>
        <color rgb="FF5A8AC6"/>
        <color rgb="FFFCFCFF"/>
        <color rgb="FFF8696B"/>
      </colorScale>
    </cfRule>
    <cfRule type="colorScale" priority="10974">
      <colorScale>
        <cfvo type="formula" val="&quot;&gt;20&quot;"/>
        <cfvo type="formula" val="35"/>
        <color rgb="FFF8696B"/>
        <color rgb="FFFCFCFF"/>
      </colorScale>
    </cfRule>
    <cfRule type="colorScale" priority="10975">
      <colorScale>
        <cfvo type="min"/>
        <cfvo type="max"/>
        <color rgb="FFFFEF9C"/>
        <color rgb="FF63BE7B"/>
      </colorScale>
    </cfRule>
  </conditionalFormatting>
  <conditionalFormatting sqref="S1056:S1072">
    <cfRule type="containsText" dxfId="5258" priority="10967" operator="containsText" text="Short Buildup">
      <formula>NOT(ISERROR(SEARCH("Short Buildup",S1056)))</formula>
    </cfRule>
    <cfRule type="containsText" dxfId="5257" priority="10968" operator="containsText" text="Long Liquidation">
      <formula>NOT(ISERROR(SEARCH("Long Liquidation",S1056)))</formula>
    </cfRule>
    <cfRule type="containsText" dxfId="5256" priority="10969" operator="containsText" text="Short covering">
      <formula>NOT(ISERROR(SEARCH("Short covering",S1056)))</formula>
    </cfRule>
    <cfRule type="containsText" dxfId="5255" priority="10970" operator="containsText" text="Long Buildup">
      <formula>NOT(ISERROR(SEARCH("Long Buildup",S1056)))</formula>
    </cfRule>
  </conditionalFormatting>
  <conditionalFormatting sqref="F1056:F1071">
    <cfRule type="dataBar" priority="10966">
      <dataBar>
        <cfvo type="min"/>
        <cfvo type="max"/>
        <color rgb="FFFF555A"/>
      </dataBar>
    </cfRule>
  </conditionalFormatting>
  <conditionalFormatting sqref="G1056:G1071">
    <cfRule type="dataBar" priority="10965">
      <dataBar>
        <cfvo type="min"/>
        <cfvo type="max"/>
        <color rgb="FFFF555A"/>
      </dataBar>
    </cfRule>
  </conditionalFormatting>
  <conditionalFormatting sqref="H1056">
    <cfRule type="dataBar" priority="10964">
      <dataBar>
        <cfvo type="min"/>
        <cfvo type="max"/>
        <color rgb="FFFF555A"/>
      </dataBar>
    </cfRule>
  </conditionalFormatting>
  <conditionalFormatting sqref="I1056">
    <cfRule type="dataBar" priority="10963">
      <dataBar>
        <cfvo type="min"/>
        <cfvo type="max"/>
        <color rgb="FFFF555A"/>
      </dataBar>
    </cfRule>
  </conditionalFormatting>
  <conditionalFormatting sqref="J1056">
    <cfRule type="dataBar" priority="10962">
      <dataBar>
        <cfvo type="min"/>
        <cfvo type="max"/>
        <color rgb="FFFF555A"/>
      </dataBar>
    </cfRule>
  </conditionalFormatting>
  <conditionalFormatting sqref="E1057:E1071">
    <cfRule type="dataBar" priority="10961">
      <dataBar>
        <cfvo type="min"/>
        <cfvo type="max"/>
        <color rgb="FFFF555A"/>
      </dataBar>
    </cfRule>
  </conditionalFormatting>
  <conditionalFormatting sqref="H1057:H1071">
    <cfRule type="dataBar" priority="10960">
      <dataBar>
        <cfvo type="min"/>
        <cfvo type="max"/>
        <color rgb="FFFF555A"/>
      </dataBar>
    </cfRule>
  </conditionalFormatting>
  <conditionalFormatting sqref="I1057:I1071">
    <cfRule type="dataBar" priority="10959">
      <dataBar>
        <cfvo type="min"/>
        <cfvo type="max"/>
        <color rgb="FFFF555A"/>
      </dataBar>
    </cfRule>
  </conditionalFormatting>
  <conditionalFormatting sqref="J1057:J1071">
    <cfRule type="dataBar" priority="10958">
      <dataBar>
        <cfvo type="min"/>
        <cfvo type="max"/>
        <color rgb="FFFF555A"/>
      </dataBar>
    </cfRule>
  </conditionalFormatting>
  <conditionalFormatting sqref="L1056:L1071">
    <cfRule type="dataBar" priority="10957">
      <dataBar>
        <cfvo type="min"/>
        <cfvo type="max"/>
        <color rgb="FFFF555A"/>
      </dataBar>
    </cfRule>
  </conditionalFormatting>
  <conditionalFormatting sqref="M1056:M1071">
    <cfRule type="dataBar" priority="10956">
      <dataBar>
        <cfvo type="min"/>
        <cfvo type="max"/>
        <color rgb="FFFF555A"/>
      </dataBar>
    </cfRule>
  </conditionalFormatting>
  <conditionalFormatting sqref="N1056:N1071">
    <cfRule type="dataBar" priority="10955">
      <dataBar>
        <cfvo type="min"/>
        <cfvo type="max"/>
        <color rgb="FFFF555A"/>
      </dataBar>
    </cfRule>
  </conditionalFormatting>
  <conditionalFormatting sqref="Q1056:Q1071">
    <cfRule type="dataBar" priority="10954">
      <dataBar>
        <cfvo type="min"/>
        <cfvo type="max"/>
        <color rgb="FFFF555A"/>
      </dataBar>
    </cfRule>
  </conditionalFormatting>
  <conditionalFormatting sqref="O1056:O1071">
    <cfRule type="dataBar" priority="10953">
      <dataBar>
        <cfvo type="min"/>
        <cfvo type="max"/>
        <color rgb="FFFF555A"/>
      </dataBar>
    </cfRule>
  </conditionalFormatting>
  <conditionalFormatting sqref="P1056:P1071">
    <cfRule type="dataBar" priority="10952">
      <dataBar>
        <cfvo type="min"/>
        <cfvo type="max"/>
        <color rgb="FFFF555A"/>
      </dataBar>
    </cfRule>
  </conditionalFormatting>
  <conditionalFormatting sqref="R1073:R1089 D1073:D1088 C1089">
    <cfRule type="containsText" dxfId="5254" priority="10951" operator="containsText" text="DOWN">
      <formula>NOT(ISERROR(SEARCH("DOWN",C1073)))</formula>
    </cfRule>
  </conditionalFormatting>
  <conditionalFormatting sqref="R1073:R1089 D1073:D1088 C1089">
    <cfRule type="containsText" dxfId="5253" priority="10950" operator="containsText" text="UP">
      <formula>NOT(ISERROR(SEARCH("UP",C1073)))</formula>
    </cfRule>
  </conditionalFormatting>
  <conditionalFormatting sqref="I1089">
    <cfRule type="colorScale" priority="10949">
      <colorScale>
        <cfvo type="min"/>
        <cfvo type="max"/>
        <color rgb="FFFFEF9C"/>
        <color rgb="FF63BE7B"/>
      </colorScale>
    </cfRule>
  </conditionalFormatting>
  <conditionalFormatting sqref="M1089">
    <cfRule type="colorScale" priority="10948">
      <colorScale>
        <cfvo type="min"/>
        <cfvo type="max"/>
        <color rgb="FFFF7128"/>
        <color rgb="FFFFEF9C"/>
      </colorScale>
    </cfRule>
  </conditionalFormatting>
  <conditionalFormatting sqref="Q1089">
    <cfRule type="dataBar" priority="10947">
      <dataBar>
        <cfvo type="min"/>
        <cfvo type="max"/>
        <color rgb="FFFF555A"/>
      </dataBar>
    </cfRule>
  </conditionalFormatting>
  <conditionalFormatting sqref="E1073:E1089">
    <cfRule type="dataBar" priority="10946">
      <dataBar>
        <cfvo type="min"/>
        <cfvo type="max"/>
        <color rgb="FFFF555A"/>
      </dataBar>
    </cfRule>
  </conditionalFormatting>
  <conditionalFormatting sqref="F1089">
    <cfRule type="top10" dxfId="5252" priority="10945" rank="1"/>
  </conditionalFormatting>
  <conditionalFormatting sqref="G1089 P1089">
    <cfRule type="cellIs" dxfId="5251" priority="10944" operator="equal">
      <formula>$G$135</formula>
    </cfRule>
  </conditionalFormatting>
  <conditionalFormatting sqref="P1089">
    <cfRule type="cellIs" dxfId="5250" priority="10943" operator="equal">
      <formula>$J$135</formula>
    </cfRule>
  </conditionalFormatting>
  <conditionalFormatting sqref="G1089 P1089">
    <cfRule type="cellIs" dxfId="5249" priority="10942" operator="equal">
      <formula>#REF!</formula>
    </cfRule>
  </conditionalFormatting>
  <conditionalFormatting sqref="G1089">
    <cfRule type="top10" dxfId="5248" priority="10940" rank="1"/>
    <cfRule type="cellIs" dxfId="5247" priority="10941" operator="equal">
      <formula>$G$133</formula>
    </cfRule>
  </conditionalFormatting>
  <conditionalFormatting sqref="P1089">
    <cfRule type="top10" dxfId="5246" priority="10938" rank="1"/>
    <cfRule type="cellIs" dxfId="5245" priority="10939" operator="equal">
      <formula>$G$133</formula>
    </cfRule>
  </conditionalFormatting>
  <conditionalFormatting sqref="C1073:C1088">
    <cfRule type="containsText" dxfId="5244" priority="10934" operator="containsText" text="Short Buildup">
      <formula>NOT(ISERROR(SEARCH("Short Buildup",C1073)))</formula>
    </cfRule>
    <cfRule type="containsText" dxfId="5243" priority="10935" operator="containsText" text="Long Liquidation">
      <formula>NOT(ISERROR(SEARCH("Long Liquidation",C1073)))</formula>
    </cfRule>
    <cfRule type="containsText" dxfId="5242" priority="10936" operator="containsText" text="Short covering">
      <formula>NOT(ISERROR(SEARCH("Short covering",C1073)))</formula>
    </cfRule>
    <cfRule type="containsText" dxfId="5241" priority="10937" operator="containsText" text="Long Buildup">
      <formula>NOT(ISERROR(SEARCH("Long Buildup",C1073)))</formula>
    </cfRule>
  </conditionalFormatting>
  <conditionalFormatting sqref="H1089">
    <cfRule type="colorScale" priority="10929">
      <colorScale>
        <cfvo type="min"/>
        <cfvo type="percentile" val="20"/>
        <cfvo type="max"/>
        <color rgb="FF92D050"/>
        <color theme="5" tint="0.79998168889431442"/>
        <color rgb="FFFF0000"/>
      </colorScale>
    </cfRule>
    <cfRule type="colorScale" priority="10930">
      <colorScale>
        <cfvo type="min"/>
        <cfvo type="max"/>
        <color rgb="FFFF0000"/>
        <color rgb="FF92D050"/>
      </colorScale>
    </cfRule>
    <cfRule type="colorScale" priority="10931">
      <colorScale>
        <cfvo type="min"/>
        <cfvo type="percentile" val="50"/>
        <cfvo type="max"/>
        <color rgb="FF5A8AC6"/>
        <color rgb="FFFCFCFF"/>
        <color rgb="FFF8696B"/>
      </colorScale>
    </cfRule>
    <cfRule type="colorScale" priority="10932">
      <colorScale>
        <cfvo type="formula" val="&quot;&gt;20&quot;"/>
        <cfvo type="formula" val="35"/>
        <color rgb="FFF8696B"/>
        <color rgb="FFFCFCFF"/>
      </colorScale>
    </cfRule>
    <cfRule type="colorScale" priority="10933">
      <colorScale>
        <cfvo type="min"/>
        <cfvo type="max"/>
        <color rgb="FFFFEF9C"/>
        <color rgb="FF63BE7B"/>
      </colorScale>
    </cfRule>
  </conditionalFormatting>
  <conditionalFormatting sqref="N1089">
    <cfRule type="colorScale" priority="10924">
      <colorScale>
        <cfvo type="min"/>
        <cfvo type="percentile" val="20"/>
        <cfvo type="max"/>
        <color rgb="FF92D050"/>
        <color theme="5" tint="0.79998168889431442"/>
        <color rgb="FFFF0000"/>
      </colorScale>
    </cfRule>
    <cfRule type="colorScale" priority="10925">
      <colorScale>
        <cfvo type="min"/>
        <cfvo type="max"/>
        <color rgb="FFFF0000"/>
        <color rgb="FF92D050"/>
      </colorScale>
    </cfRule>
    <cfRule type="colorScale" priority="10926">
      <colorScale>
        <cfvo type="min"/>
        <cfvo type="percentile" val="50"/>
        <cfvo type="max"/>
        <color rgb="FF5A8AC6"/>
        <color rgb="FFFCFCFF"/>
        <color rgb="FFF8696B"/>
      </colorScale>
    </cfRule>
    <cfRule type="colorScale" priority="10927">
      <colorScale>
        <cfvo type="formula" val="&quot;&gt;20&quot;"/>
        <cfvo type="formula" val="35"/>
        <color rgb="FFF8696B"/>
        <color rgb="FFFCFCFF"/>
      </colorScale>
    </cfRule>
    <cfRule type="colorScale" priority="10928">
      <colorScale>
        <cfvo type="min"/>
        <cfvo type="max"/>
        <color rgb="FFFFEF9C"/>
        <color rgb="FF63BE7B"/>
      </colorScale>
    </cfRule>
  </conditionalFormatting>
  <conditionalFormatting sqref="S1073:S1089">
    <cfRule type="containsText" dxfId="5240" priority="10920" operator="containsText" text="Short Buildup">
      <formula>NOT(ISERROR(SEARCH("Short Buildup",S1073)))</formula>
    </cfRule>
    <cfRule type="containsText" dxfId="5239" priority="10921" operator="containsText" text="Long Liquidation">
      <formula>NOT(ISERROR(SEARCH("Long Liquidation",S1073)))</formula>
    </cfRule>
    <cfRule type="containsText" dxfId="5238" priority="10922" operator="containsText" text="Short covering">
      <formula>NOT(ISERROR(SEARCH("Short covering",S1073)))</formula>
    </cfRule>
    <cfRule type="containsText" dxfId="5237" priority="10923" operator="containsText" text="Long Buildup">
      <formula>NOT(ISERROR(SEARCH("Long Buildup",S1073)))</formula>
    </cfRule>
  </conditionalFormatting>
  <conditionalFormatting sqref="F1073:F1088">
    <cfRule type="dataBar" priority="10919">
      <dataBar>
        <cfvo type="min"/>
        <cfvo type="max"/>
        <color rgb="FFFF555A"/>
      </dataBar>
    </cfRule>
  </conditionalFormatting>
  <conditionalFormatting sqref="G1073:G1088">
    <cfRule type="dataBar" priority="10918">
      <dataBar>
        <cfvo type="min"/>
        <cfvo type="max"/>
        <color rgb="FFFF555A"/>
      </dataBar>
    </cfRule>
  </conditionalFormatting>
  <conditionalFormatting sqref="H1073">
    <cfRule type="dataBar" priority="10917">
      <dataBar>
        <cfvo type="min"/>
        <cfvo type="max"/>
        <color rgb="FFFF555A"/>
      </dataBar>
    </cfRule>
  </conditionalFormatting>
  <conditionalFormatting sqref="I1073">
    <cfRule type="dataBar" priority="10916">
      <dataBar>
        <cfvo type="min"/>
        <cfvo type="max"/>
        <color rgb="FFFF555A"/>
      </dataBar>
    </cfRule>
  </conditionalFormatting>
  <conditionalFormatting sqref="J1073">
    <cfRule type="dataBar" priority="10915">
      <dataBar>
        <cfvo type="min"/>
        <cfvo type="max"/>
        <color rgb="FFFF555A"/>
      </dataBar>
    </cfRule>
  </conditionalFormatting>
  <conditionalFormatting sqref="E1074:E1088">
    <cfRule type="dataBar" priority="10914">
      <dataBar>
        <cfvo type="min"/>
        <cfvo type="max"/>
        <color rgb="FFFF555A"/>
      </dataBar>
    </cfRule>
  </conditionalFormatting>
  <conditionalFormatting sqref="H1074:H1088">
    <cfRule type="dataBar" priority="10913">
      <dataBar>
        <cfvo type="min"/>
        <cfvo type="max"/>
        <color rgb="FFFF555A"/>
      </dataBar>
    </cfRule>
  </conditionalFormatting>
  <conditionalFormatting sqref="I1074:I1088">
    <cfRule type="dataBar" priority="10912">
      <dataBar>
        <cfvo type="min"/>
        <cfvo type="max"/>
        <color rgb="FFFF555A"/>
      </dataBar>
    </cfRule>
  </conditionalFormatting>
  <conditionalFormatting sqref="J1074:J1088">
    <cfRule type="dataBar" priority="10911">
      <dataBar>
        <cfvo type="min"/>
        <cfvo type="max"/>
        <color rgb="FFFF555A"/>
      </dataBar>
    </cfRule>
  </conditionalFormatting>
  <conditionalFormatting sqref="L1073:L1088">
    <cfRule type="dataBar" priority="10910">
      <dataBar>
        <cfvo type="min"/>
        <cfvo type="max"/>
        <color rgb="FFFF555A"/>
      </dataBar>
    </cfRule>
  </conditionalFormatting>
  <conditionalFormatting sqref="M1073:M1088">
    <cfRule type="dataBar" priority="10909">
      <dataBar>
        <cfvo type="min"/>
        <cfvo type="max"/>
        <color rgb="FFFF555A"/>
      </dataBar>
    </cfRule>
  </conditionalFormatting>
  <conditionalFormatting sqref="N1073:N1088">
    <cfRule type="dataBar" priority="10908">
      <dataBar>
        <cfvo type="min"/>
        <cfvo type="max"/>
        <color rgb="FFFF555A"/>
      </dataBar>
    </cfRule>
  </conditionalFormatting>
  <conditionalFormatting sqref="Q1073:Q1088">
    <cfRule type="dataBar" priority="10907">
      <dataBar>
        <cfvo type="min"/>
        <cfvo type="max"/>
        <color rgb="FFFF555A"/>
      </dataBar>
    </cfRule>
  </conditionalFormatting>
  <conditionalFormatting sqref="O1073:O1088">
    <cfRule type="dataBar" priority="10906">
      <dataBar>
        <cfvo type="min"/>
        <cfvo type="max"/>
        <color rgb="FFFF555A"/>
      </dataBar>
    </cfRule>
  </conditionalFormatting>
  <conditionalFormatting sqref="P1073:P1088">
    <cfRule type="dataBar" priority="10905">
      <dataBar>
        <cfvo type="min"/>
        <cfvo type="max"/>
        <color rgb="FFFF555A"/>
      </dataBar>
    </cfRule>
  </conditionalFormatting>
  <conditionalFormatting sqref="R1090:R1106 D1090:D1105 C1106">
    <cfRule type="containsText" dxfId="5236" priority="10904" operator="containsText" text="DOWN">
      <formula>NOT(ISERROR(SEARCH("DOWN",C1090)))</formula>
    </cfRule>
  </conditionalFormatting>
  <conditionalFormatting sqref="R1090:R1106 D1090:D1105 C1106">
    <cfRule type="containsText" dxfId="5235" priority="10903" operator="containsText" text="UP">
      <formula>NOT(ISERROR(SEARCH("UP",C1090)))</formula>
    </cfRule>
  </conditionalFormatting>
  <conditionalFormatting sqref="I1106">
    <cfRule type="colorScale" priority="10902">
      <colorScale>
        <cfvo type="min"/>
        <cfvo type="max"/>
        <color rgb="FFFFEF9C"/>
        <color rgb="FF63BE7B"/>
      </colorScale>
    </cfRule>
  </conditionalFormatting>
  <conditionalFormatting sqref="M1106">
    <cfRule type="colorScale" priority="10901">
      <colorScale>
        <cfvo type="min"/>
        <cfvo type="max"/>
        <color rgb="FFFF7128"/>
        <color rgb="FFFFEF9C"/>
      </colorScale>
    </cfRule>
  </conditionalFormatting>
  <conditionalFormatting sqref="Q1106">
    <cfRule type="dataBar" priority="10900">
      <dataBar>
        <cfvo type="min"/>
        <cfvo type="max"/>
        <color rgb="FFFF555A"/>
      </dataBar>
    </cfRule>
  </conditionalFormatting>
  <conditionalFormatting sqref="E1090:E1106">
    <cfRule type="dataBar" priority="10899">
      <dataBar>
        <cfvo type="min"/>
        <cfvo type="max"/>
        <color rgb="FFFF555A"/>
      </dataBar>
    </cfRule>
  </conditionalFormatting>
  <conditionalFormatting sqref="F1106">
    <cfRule type="top10" dxfId="5234" priority="10898" rank="1"/>
  </conditionalFormatting>
  <conditionalFormatting sqref="G1106 P1106">
    <cfRule type="cellIs" dxfId="5233" priority="10897" operator="equal">
      <formula>$G$135</formula>
    </cfRule>
  </conditionalFormatting>
  <conditionalFormatting sqref="P1106">
    <cfRule type="cellIs" dxfId="5232" priority="10896" operator="equal">
      <formula>$J$135</formula>
    </cfRule>
  </conditionalFormatting>
  <conditionalFormatting sqref="G1106 P1106">
    <cfRule type="cellIs" dxfId="5231" priority="10895" operator="equal">
      <formula>#REF!</formula>
    </cfRule>
  </conditionalFormatting>
  <conditionalFormatting sqref="G1106">
    <cfRule type="top10" dxfId="5230" priority="10893" rank="1"/>
    <cfRule type="cellIs" dxfId="5229" priority="10894" operator="equal">
      <formula>$G$133</formula>
    </cfRule>
  </conditionalFormatting>
  <conditionalFormatting sqref="P1106">
    <cfRule type="top10" dxfId="5228" priority="10891" rank="1"/>
    <cfRule type="cellIs" dxfId="5227" priority="10892" operator="equal">
      <formula>$G$133</formula>
    </cfRule>
  </conditionalFormatting>
  <conditionalFormatting sqref="C1090:C1105">
    <cfRule type="containsText" dxfId="5226" priority="10887" operator="containsText" text="Short Buildup">
      <formula>NOT(ISERROR(SEARCH("Short Buildup",C1090)))</formula>
    </cfRule>
    <cfRule type="containsText" dxfId="5225" priority="10888" operator="containsText" text="Long Liquidation">
      <formula>NOT(ISERROR(SEARCH("Long Liquidation",C1090)))</formula>
    </cfRule>
    <cfRule type="containsText" dxfId="5224" priority="10889" operator="containsText" text="Short covering">
      <formula>NOT(ISERROR(SEARCH("Short covering",C1090)))</formula>
    </cfRule>
    <cfRule type="containsText" dxfId="5223" priority="10890" operator="containsText" text="Long Buildup">
      <formula>NOT(ISERROR(SEARCH("Long Buildup",C1090)))</formula>
    </cfRule>
  </conditionalFormatting>
  <conditionalFormatting sqref="H1106">
    <cfRule type="colorScale" priority="10882">
      <colorScale>
        <cfvo type="min"/>
        <cfvo type="percentile" val="20"/>
        <cfvo type="max"/>
        <color rgb="FF92D050"/>
        <color theme="5" tint="0.79998168889431442"/>
        <color rgb="FFFF0000"/>
      </colorScale>
    </cfRule>
    <cfRule type="colorScale" priority="10883">
      <colorScale>
        <cfvo type="min"/>
        <cfvo type="max"/>
        <color rgb="FFFF0000"/>
        <color rgb="FF92D050"/>
      </colorScale>
    </cfRule>
    <cfRule type="colorScale" priority="10884">
      <colorScale>
        <cfvo type="min"/>
        <cfvo type="percentile" val="50"/>
        <cfvo type="max"/>
        <color rgb="FF5A8AC6"/>
        <color rgb="FFFCFCFF"/>
        <color rgb="FFF8696B"/>
      </colorScale>
    </cfRule>
    <cfRule type="colorScale" priority="10885">
      <colorScale>
        <cfvo type="formula" val="&quot;&gt;20&quot;"/>
        <cfvo type="formula" val="35"/>
        <color rgb="FFF8696B"/>
        <color rgb="FFFCFCFF"/>
      </colorScale>
    </cfRule>
    <cfRule type="colorScale" priority="10886">
      <colorScale>
        <cfvo type="min"/>
        <cfvo type="max"/>
        <color rgb="FFFFEF9C"/>
        <color rgb="FF63BE7B"/>
      </colorScale>
    </cfRule>
  </conditionalFormatting>
  <conditionalFormatting sqref="N1106">
    <cfRule type="colorScale" priority="10877">
      <colorScale>
        <cfvo type="min"/>
        <cfvo type="percentile" val="20"/>
        <cfvo type="max"/>
        <color rgb="FF92D050"/>
        <color theme="5" tint="0.79998168889431442"/>
        <color rgb="FFFF0000"/>
      </colorScale>
    </cfRule>
    <cfRule type="colorScale" priority="10878">
      <colorScale>
        <cfvo type="min"/>
        <cfvo type="max"/>
        <color rgb="FFFF0000"/>
        <color rgb="FF92D050"/>
      </colorScale>
    </cfRule>
    <cfRule type="colorScale" priority="10879">
      <colorScale>
        <cfvo type="min"/>
        <cfvo type="percentile" val="50"/>
        <cfvo type="max"/>
        <color rgb="FF5A8AC6"/>
        <color rgb="FFFCFCFF"/>
        <color rgb="FFF8696B"/>
      </colorScale>
    </cfRule>
    <cfRule type="colorScale" priority="10880">
      <colorScale>
        <cfvo type="formula" val="&quot;&gt;20&quot;"/>
        <cfvo type="formula" val="35"/>
        <color rgb="FFF8696B"/>
        <color rgb="FFFCFCFF"/>
      </colorScale>
    </cfRule>
    <cfRule type="colorScale" priority="10881">
      <colorScale>
        <cfvo type="min"/>
        <cfvo type="max"/>
        <color rgb="FFFFEF9C"/>
        <color rgb="FF63BE7B"/>
      </colorScale>
    </cfRule>
  </conditionalFormatting>
  <conditionalFormatting sqref="S1090:S1106">
    <cfRule type="containsText" dxfId="5222" priority="10873" operator="containsText" text="Short Buildup">
      <formula>NOT(ISERROR(SEARCH("Short Buildup",S1090)))</formula>
    </cfRule>
    <cfRule type="containsText" dxfId="5221" priority="10874" operator="containsText" text="Long Liquidation">
      <formula>NOT(ISERROR(SEARCH("Long Liquidation",S1090)))</formula>
    </cfRule>
    <cfRule type="containsText" dxfId="5220" priority="10875" operator="containsText" text="Short covering">
      <formula>NOT(ISERROR(SEARCH("Short covering",S1090)))</formula>
    </cfRule>
    <cfRule type="containsText" dxfId="5219" priority="10876" operator="containsText" text="Long Buildup">
      <formula>NOT(ISERROR(SEARCH("Long Buildup",S1090)))</formula>
    </cfRule>
  </conditionalFormatting>
  <conditionalFormatting sqref="F1090:F1105">
    <cfRule type="dataBar" priority="10872">
      <dataBar>
        <cfvo type="min"/>
        <cfvo type="max"/>
        <color rgb="FFFF555A"/>
      </dataBar>
    </cfRule>
  </conditionalFormatting>
  <conditionalFormatting sqref="G1090:G1105">
    <cfRule type="dataBar" priority="10871">
      <dataBar>
        <cfvo type="min"/>
        <cfvo type="max"/>
        <color rgb="FFFF555A"/>
      </dataBar>
    </cfRule>
  </conditionalFormatting>
  <conditionalFormatting sqref="H1090">
    <cfRule type="dataBar" priority="10870">
      <dataBar>
        <cfvo type="min"/>
        <cfvo type="max"/>
        <color rgb="FFFF555A"/>
      </dataBar>
    </cfRule>
  </conditionalFormatting>
  <conditionalFormatting sqref="I1090">
    <cfRule type="dataBar" priority="10869">
      <dataBar>
        <cfvo type="min"/>
        <cfvo type="max"/>
        <color rgb="FFFF555A"/>
      </dataBar>
    </cfRule>
  </conditionalFormatting>
  <conditionalFormatting sqref="J1090">
    <cfRule type="dataBar" priority="10868">
      <dataBar>
        <cfvo type="min"/>
        <cfvo type="max"/>
        <color rgb="FFFF555A"/>
      </dataBar>
    </cfRule>
  </conditionalFormatting>
  <conditionalFormatting sqref="E1091:E1105">
    <cfRule type="dataBar" priority="10867">
      <dataBar>
        <cfvo type="min"/>
        <cfvo type="max"/>
        <color rgb="FFFF555A"/>
      </dataBar>
    </cfRule>
  </conditionalFormatting>
  <conditionalFormatting sqref="H1091:H1105">
    <cfRule type="dataBar" priority="10866">
      <dataBar>
        <cfvo type="min"/>
        <cfvo type="max"/>
        <color rgb="FFFF555A"/>
      </dataBar>
    </cfRule>
  </conditionalFormatting>
  <conditionalFormatting sqref="I1091:I1105">
    <cfRule type="dataBar" priority="10865">
      <dataBar>
        <cfvo type="min"/>
        <cfvo type="max"/>
        <color rgb="FFFF555A"/>
      </dataBar>
    </cfRule>
  </conditionalFormatting>
  <conditionalFormatting sqref="J1091:J1105">
    <cfRule type="dataBar" priority="10864">
      <dataBar>
        <cfvo type="min"/>
        <cfvo type="max"/>
        <color rgb="FFFF555A"/>
      </dataBar>
    </cfRule>
  </conditionalFormatting>
  <conditionalFormatting sqref="L1090:L1105">
    <cfRule type="dataBar" priority="10863">
      <dataBar>
        <cfvo type="min"/>
        <cfvo type="max"/>
        <color rgb="FFFF555A"/>
      </dataBar>
    </cfRule>
  </conditionalFormatting>
  <conditionalFormatting sqref="M1090:M1105">
    <cfRule type="dataBar" priority="10862">
      <dataBar>
        <cfvo type="min"/>
        <cfvo type="max"/>
        <color rgb="FFFF555A"/>
      </dataBar>
    </cfRule>
  </conditionalFormatting>
  <conditionalFormatting sqref="N1090:N1105">
    <cfRule type="dataBar" priority="10861">
      <dataBar>
        <cfvo type="min"/>
        <cfvo type="max"/>
        <color rgb="FFFF555A"/>
      </dataBar>
    </cfRule>
  </conditionalFormatting>
  <conditionalFormatting sqref="Q1090:Q1105">
    <cfRule type="dataBar" priority="10860">
      <dataBar>
        <cfvo type="min"/>
        <cfvo type="max"/>
        <color rgb="FFFF555A"/>
      </dataBar>
    </cfRule>
  </conditionalFormatting>
  <conditionalFormatting sqref="O1090:O1105">
    <cfRule type="dataBar" priority="10859">
      <dataBar>
        <cfvo type="min"/>
        <cfvo type="max"/>
        <color rgb="FFFF555A"/>
      </dataBar>
    </cfRule>
  </conditionalFormatting>
  <conditionalFormatting sqref="P1090:P1105">
    <cfRule type="dataBar" priority="10858">
      <dataBar>
        <cfvo type="min"/>
        <cfvo type="max"/>
        <color rgb="FFFF555A"/>
      </dataBar>
    </cfRule>
  </conditionalFormatting>
  <conditionalFormatting sqref="R1107:R1123 D1107:D1122 C1123">
    <cfRule type="containsText" dxfId="5218" priority="10857" operator="containsText" text="DOWN">
      <formula>NOT(ISERROR(SEARCH("DOWN",C1107)))</formula>
    </cfRule>
  </conditionalFormatting>
  <conditionalFormatting sqref="R1107:R1123 D1107:D1122 C1123">
    <cfRule type="containsText" dxfId="5217" priority="10856" operator="containsText" text="UP">
      <formula>NOT(ISERROR(SEARCH("UP",C1107)))</formula>
    </cfRule>
  </conditionalFormatting>
  <conditionalFormatting sqref="I1123">
    <cfRule type="colorScale" priority="10855">
      <colorScale>
        <cfvo type="min"/>
        <cfvo type="max"/>
        <color rgb="FFFFEF9C"/>
        <color rgb="FF63BE7B"/>
      </colorScale>
    </cfRule>
  </conditionalFormatting>
  <conditionalFormatting sqref="M1123">
    <cfRule type="colorScale" priority="10854">
      <colorScale>
        <cfvo type="min"/>
        <cfvo type="max"/>
        <color rgb="FFFF7128"/>
        <color rgb="FFFFEF9C"/>
      </colorScale>
    </cfRule>
  </conditionalFormatting>
  <conditionalFormatting sqref="Q1123">
    <cfRule type="dataBar" priority="10853">
      <dataBar>
        <cfvo type="min"/>
        <cfvo type="max"/>
        <color rgb="FFFF555A"/>
      </dataBar>
    </cfRule>
  </conditionalFormatting>
  <conditionalFormatting sqref="E1107:E1123">
    <cfRule type="dataBar" priority="10852">
      <dataBar>
        <cfvo type="min"/>
        <cfvo type="max"/>
        <color rgb="FFFF555A"/>
      </dataBar>
    </cfRule>
  </conditionalFormatting>
  <conditionalFormatting sqref="F1123">
    <cfRule type="top10" dxfId="5216" priority="10851" rank="1"/>
  </conditionalFormatting>
  <conditionalFormatting sqref="G1123 P1123">
    <cfRule type="cellIs" dxfId="5215" priority="10850" operator="equal">
      <formula>$G$135</formula>
    </cfRule>
  </conditionalFormatting>
  <conditionalFormatting sqref="P1123">
    <cfRule type="cellIs" dxfId="5214" priority="10849" operator="equal">
      <formula>$J$135</formula>
    </cfRule>
  </conditionalFormatting>
  <conditionalFormatting sqref="G1123 P1123">
    <cfRule type="cellIs" dxfId="5213" priority="10848" operator="equal">
      <formula>#REF!</formula>
    </cfRule>
  </conditionalFormatting>
  <conditionalFormatting sqref="G1123">
    <cfRule type="top10" dxfId="5212" priority="10846" rank="1"/>
    <cfRule type="cellIs" dxfId="5211" priority="10847" operator="equal">
      <formula>$G$133</formula>
    </cfRule>
  </conditionalFormatting>
  <conditionalFormatting sqref="P1123">
    <cfRule type="top10" dxfId="5210" priority="10844" rank="1"/>
    <cfRule type="cellIs" dxfId="5209" priority="10845" operator="equal">
      <formula>$G$133</formula>
    </cfRule>
  </conditionalFormatting>
  <conditionalFormatting sqref="C1107:C1122">
    <cfRule type="containsText" dxfId="5208" priority="10840" operator="containsText" text="Short Buildup">
      <formula>NOT(ISERROR(SEARCH("Short Buildup",C1107)))</formula>
    </cfRule>
    <cfRule type="containsText" dxfId="5207" priority="10841" operator="containsText" text="Long Liquidation">
      <formula>NOT(ISERROR(SEARCH("Long Liquidation",C1107)))</formula>
    </cfRule>
    <cfRule type="containsText" dxfId="5206" priority="10842" operator="containsText" text="Short covering">
      <formula>NOT(ISERROR(SEARCH("Short covering",C1107)))</formula>
    </cfRule>
    <cfRule type="containsText" dxfId="5205" priority="10843" operator="containsText" text="Long Buildup">
      <formula>NOT(ISERROR(SEARCH("Long Buildup",C1107)))</formula>
    </cfRule>
  </conditionalFormatting>
  <conditionalFormatting sqref="H1123">
    <cfRule type="colorScale" priority="10835">
      <colorScale>
        <cfvo type="min"/>
        <cfvo type="percentile" val="20"/>
        <cfvo type="max"/>
        <color rgb="FF92D050"/>
        <color theme="5" tint="0.79998168889431442"/>
        <color rgb="FFFF0000"/>
      </colorScale>
    </cfRule>
    <cfRule type="colorScale" priority="10836">
      <colorScale>
        <cfvo type="min"/>
        <cfvo type="max"/>
        <color rgb="FFFF0000"/>
        <color rgb="FF92D050"/>
      </colorScale>
    </cfRule>
    <cfRule type="colorScale" priority="10837">
      <colorScale>
        <cfvo type="min"/>
        <cfvo type="percentile" val="50"/>
        <cfvo type="max"/>
        <color rgb="FF5A8AC6"/>
        <color rgb="FFFCFCFF"/>
        <color rgb="FFF8696B"/>
      </colorScale>
    </cfRule>
    <cfRule type="colorScale" priority="10838">
      <colorScale>
        <cfvo type="formula" val="&quot;&gt;20&quot;"/>
        <cfvo type="formula" val="35"/>
        <color rgb="FFF8696B"/>
        <color rgb="FFFCFCFF"/>
      </colorScale>
    </cfRule>
    <cfRule type="colorScale" priority="10839">
      <colorScale>
        <cfvo type="min"/>
        <cfvo type="max"/>
        <color rgb="FFFFEF9C"/>
        <color rgb="FF63BE7B"/>
      </colorScale>
    </cfRule>
  </conditionalFormatting>
  <conditionalFormatting sqref="N1123">
    <cfRule type="colorScale" priority="10830">
      <colorScale>
        <cfvo type="min"/>
        <cfvo type="percentile" val="20"/>
        <cfvo type="max"/>
        <color rgb="FF92D050"/>
        <color theme="5" tint="0.79998168889431442"/>
        <color rgb="FFFF0000"/>
      </colorScale>
    </cfRule>
    <cfRule type="colorScale" priority="10831">
      <colorScale>
        <cfvo type="min"/>
        <cfvo type="max"/>
        <color rgb="FFFF0000"/>
        <color rgb="FF92D050"/>
      </colorScale>
    </cfRule>
    <cfRule type="colorScale" priority="10832">
      <colorScale>
        <cfvo type="min"/>
        <cfvo type="percentile" val="50"/>
        <cfvo type="max"/>
        <color rgb="FF5A8AC6"/>
        <color rgb="FFFCFCFF"/>
        <color rgb="FFF8696B"/>
      </colorScale>
    </cfRule>
    <cfRule type="colorScale" priority="10833">
      <colorScale>
        <cfvo type="formula" val="&quot;&gt;20&quot;"/>
        <cfvo type="formula" val="35"/>
        <color rgb="FFF8696B"/>
        <color rgb="FFFCFCFF"/>
      </colorScale>
    </cfRule>
    <cfRule type="colorScale" priority="10834">
      <colorScale>
        <cfvo type="min"/>
        <cfvo type="max"/>
        <color rgb="FFFFEF9C"/>
        <color rgb="FF63BE7B"/>
      </colorScale>
    </cfRule>
  </conditionalFormatting>
  <conditionalFormatting sqref="S1107:S1123">
    <cfRule type="containsText" dxfId="5204" priority="10826" operator="containsText" text="Short Buildup">
      <formula>NOT(ISERROR(SEARCH("Short Buildup",S1107)))</formula>
    </cfRule>
    <cfRule type="containsText" dxfId="5203" priority="10827" operator="containsText" text="Long Liquidation">
      <formula>NOT(ISERROR(SEARCH("Long Liquidation",S1107)))</formula>
    </cfRule>
    <cfRule type="containsText" dxfId="5202" priority="10828" operator="containsText" text="Short covering">
      <formula>NOT(ISERROR(SEARCH("Short covering",S1107)))</formula>
    </cfRule>
    <cfRule type="containsText" dxfId="5201" priority="10829" operator="containsText" text="Long Buildup">
      <formula>NOT(ISERROR(SEARCH("Long Buildup",S1107)))</formula>
    </cfRule>
  </conditionalFormatting>
  <conditionalFormatting sqref="F1107:F1122">
    <cfRule type="dataBar" priority="10825">
      <dataBar>
        <cfvo type="min"/>
        <cfvo type="max"/>
        <color rgb="FFFF555A"/>
      </dataBar>
    </cfRule>
  </conditionalFormatting>
  <conditionalFormatting sqref="G1107:G1122">
    <cfRule type="dataBar" priority="10824">
      <dataBar>
        <cfvo type="min"/>
        <cfvo type="max"/>
        <color rgb="FFFF555A"/>
      </dataBar>
    </cfRule>
  </conditionalFormatting>
  <conditionalFormatting sqref="H1107">
    <cfRule type="dataBar" priority="10823">
      <dataBar>
        <cfvo type="min"/>
        <cfvo type="max"/>
        <color rgb="FFFF555A"/>
      </dataBar>
    </cfRule>
  </conditionalFormatting>
  <conditionalFormatting sqref="I1107">
    <cfRule type="dataBar" priority="10822">
      <dataBar>
        <cfvo type="min"/>
        <cfvo type="max"/>
        <color rgb="FFFF555A"/>
      </dataBar>
    </cfRule>
  </conditionalFormatting>
  <conditionalFormatting sqref="J1107">
    <cfRule type="dataBar" priority="10821">
      <dataBar>
        <cfvo type="min"/>
        <cfvo type="max"/>
        <color rgb="FFFF555A"/>
      </dataBar>
    </cfRule>
  </conditionalFormatting>
  <conditionalFormatting sqref="E1108:E1122">
    <cfRule type="dataBar" priority="10820">
      <dataBar>
        <cfvo type="min"/>
        <cfvo type="max"/>
        <color rgb="FFFF555A"/>
      </dataBar>
    </cfRule>
  </conditionalFormatting>
  <conditionalFormatting sqref="H1108:H1122">
    <cfRule type="dataBar" priority="10819">
      <dataBar>
        <cfvo type="min"/>
        <cfvo type="max"/>
        <color rgb="FFFF555A"/>
      </dataBar>
    </cfRule>
  </conditionalFormatting>
  <conditionalFormatting sqref="I1108:I1122">
    <cfRule type="dataBar" priority="10818">
      <dataBar>
        <cfvo type="min"/>
        <cfvo type="max"/>
        <color rgb="FFFF555A"/>
      </dataBar>
    </cfRule>
  </conditionalFormatting>
  <conditionalFormatting sqref="J1108:J1122">
    <cfRule type="dataBar" priority="10817">
      <dataBar>
        <cfvo type="min"/>
        <cfvo type="max"/>
        <color rgb="FFFF555A"/>
      </dataBar>
    </cfRule>
  </conditionalFormatting>
  <conditionalFormatting sqref="L1107:L1122">
    <cfRule type="dataBar" priority="10816">
      <dataBar>
        <cfvo type="min"/>
        <cfvo type="max"/>
        <color rgb="FFFF555A"/>
      </dataBar>
    </cfRule>
  </conditionalFormatting>
  <conditionalFormatting sqref="M1107:M1122">
    <cfRule type="dataBar" priority="10815">
      <dataBar>
        <cfvo type="min"/>
        <cfvo type="max"/>
        <color rgb="FFFF555A"/>
      </dataBar>
    </cfRule>
  </conditionalFormatting>
  <conditionalFormatting sqref="N1107:N1122">
    <cfRule type="dataBar" priority="10814">
      <dataBar>
        <cfvo type="min"/>
        <cfvo type="max"/>
        <color rgb="FFFF555A"/>
      </dataBar>
    </cfRule>
  </conditionalFormatting>
  <conditionalFormatting sqref="Q1107:Q1122">
    <cfRule type="dataBar" priority="10813">
      <dataBar>
        <cfvo type="min"/>
        <cfvo type="max"/>
        <color rgb="FFFF555A"/>
      </dataBar>
    </cfRule>
  </conditionalFormatting>
  <conditionalFormatting sqref="O1107:O1122">
    <cfRule type="dataBar" priority="10812">
      <dataBar>
        <cfvo type="min"/>
        <cfvo type="max"/>
        <color rgb="FFFF555A"/>
      </dataBar>
    </cfRule>
  </conditionalFormatting>
  <conditionalFormatting sqref="P1107:P1122">
    <cfRule type="dataBar" priority="10811">
      <dataBar>
        <cfvo type="min"/>
        <cfvo type="max"/>
        <color rgb="FFFF555A"/>
      </dataBar>
    </cfRule>
  </conditionalFormatting>
  <conditionalFormatting sqref="R1124:R1140 D1124:D1139 C1140">
    <cfRule type="containsText" dxfId="5200" priority="10810" operator="containsText" text="DOWN">
      <formula>NOT(ISERROR(SEARCH("DOWN",C1124)))</formula>
    </cfRule>
  </conditionalFormatting>
  <conditionalFormatting sqref="R1124:R1140 D1124:D1139 C1140">
    <cfRule type="containsText" dxfId="5199" priority="10809" operator="containsText" text="UP">
      <formula>NOT(ISERROR(SEARCH("UP",C1124)))</formula>
    </cfRule>
  </conditionalFormatting>
  <conditionalFormatting sqref="I1140">
    <cfRule type="colorScale" priority="10808">
      <colorScale>
        <cfvo type="min"/>
        <cfvo type="max"/>
        <color rgb="FFFFEF9C"/>
        <color rgb="FF63BE7B"/>
      </colorScale>
    </cfRule>
  </conditionalFormatting>
  <conditionalFormatting sqref="M1140">
    <cfRule type="colorScale" priority="10807">
      <colorScale>
        <cfvo type="min"/>
        <cfvo type="max"/>
        <color rgb="FFFF7128"/>
        <color rgb="FFFFEF9C"/>
      </colorScale>
    </cfRule>
  </conditionalFormatting>
  <conditionalFormatting sqref="Q1140">
    <cfRule type="dataBar" priority="10806">
      <dataBar>
        <cfvo type="min"/>
        <cfvo type="max"/>
        <color rgb="FFFF555A"/>
      </dataBar>
    </cfRule>
  </conditionalFormatting>
  <conditionalFormatting sqref="E1124:E1140">
    <cfRule type="dataBar" priority="10805">
      <dataBar>
        <cfvo type="min"/>
        <cfvo type="max"/>
        <color rgb="FFFF555A"/>
      </dataBar>
    </cfRule>
  </conditionalFormatting>
  <conditionalFormatting sqref="F1140">
    <cfRule type="top10" dxfId="5198" priority="10804" rank="1"/>
  </conditionalFormatting>
  <conditionalFormatting sqref="G1140 P1140">
    <cfRule type="cellIs" dxfId="5197" priority="10803" operator="equal">
      <formula>$G$135</formula>
    </cfRule>
  </conditionalFormatting>
  <conditionalFormatting sqref="P1140">
    <cfRule type="cellIs" dxfId="5196" priority="10802" operator="equal">
      <formula>$J$135</formula>
    </cfRule>
  </conditionalFormatting>
  <conditionalFormatting sqref="G1140 P1140">
    <cfRule type="cellIs" dxfId="5195" priority="10801" operator="equal">
      <formula>#REF!</formula>
    </cfRule>
  </conditionalFormatting>
  <conditionalFormatting sqref="G1140">
    <cfRule type="top10" dxfId="5194" priority="10799" rank="1"/>
    <cfRule type="cellIs" dxfId="5193" priority="10800" operator="equal">
      <formula>$G$133</formula>
    </cfRule>
  </conditionalFormatting>
  <conditionalFormatting sqref="P1140">
    <cfRule type="top10" dxfId="5192" priority="10797" rank="1"/>
    <cfRule type="cellIs" dxfId="5191" priority="10798" operator="equal">
      <formula>$G$133</formula>
    </cfRule>
  </conditionalFormatting>
  <conditionalFormatting sqref="C1124:C1139">
    <cfRule type="containsText" dxfId="5190" priority="10793" operator="containsText" text="Short Buildup">
      <formula>NOT(ISERROR(SEARCH("Short Buildup",C1124)))</formula>
    </cfRule>
    <cfRule type="containsText" dxfId="5189" priority="10794" operator="containsText" text="Long Liquidation">
      <formula>NOT(ISERROR(SEARCH("Long Liquidation",C1124)))</formula>
    </cfRule>
    <cfRule type="containsText" dxfId="5188" priority="10795" operator="containsText" text="Short covering">
      <formula>NOT(ISERROR(SEARCH("Short covering",C1124)))</formula>
    </cfRule>
    <cfRule type="containsText" dxfId="5187" priority="10796" operator="containsText" text="Long Buildup">
      <formula>NOT(ISERROR(SEARCH("Long Buildup",C1124)))</formula>
    </cfRule>
  </conditionalFormatting>
  <conditionalFormatting sqref="H1140">
    <cfRule type="colorScale" priority="10788">
      <colorScale>
        <cfvo type="min"/>
        <cfvo type="percentile" val="20"/>
        <cfvo type="max"/>
        <color rgb="FF92D050"/>
        <color theme="5" tint="0.79998168889431442"/>
        <color rgb="FFFF0000"/>
      </colorScale>
    </cfRule>
    <cfRule type="colorScale" priority="10789">
      <colorScale>
        <cfvo type="min"/>
        <cfvo type="max"/>
        <color rgb="FFFF0000"/>
        <color rgb="FF92D050"/>
      </colorScale>
    </cfRule>
    <cfRule type="colorScale" priority="10790">
      <colorScale>
        <cfvo type="min"/>
        <cfvo type="percentile" val="50"/>
        <cfvo type="max"/>
        <color rgb="FF5A8AC6"/>
        <color rgb="FFFCFCFF"/>
        <color rgb="FFF8696B"/>
      </colorScale>
    </cfRule>
    <cfRule type="colorScale" priority="10791">
      <colorScale>
        <cfvo type="formula" val="&quot;&gt;20&quot;"/>
        <cfvo type="formula" val="35"/>
        <color rgb="FFF8696B"/>
        <color rgb="FFFCFCFF"/>
      </colorScale>
    </cfRule>
    <cfRule type="colorScale" priority="10792">
      <colorScale>
        <cfvo type="min"/>
        <cfvo type="max"/>
        <color rgb="FFFFEF9C"/>
        <color rgb="FF63BE7B"/>
      </colorScale>
    </cfRule>
  </conditionalFormatting>
  <conditionalFormatting sqref="N1140">
    <cfRule type="colorScale" priority="10783">
      <colorScale>
        <cfvo type="min"/>
        <cfvo type="percentile" val="20"/>
        <cfvo type="max"/>
        <color rgb="FF92D050"/>
        <color theme="5" tint="0.79998168889431442"/>
        <color rgb="FFFF0000"/>
      </colorScale>
    </cfRule>
    <cfRule type="colorScale" priority="10784">
      <colorScale>
        <cfvo type="min"/>
        <cfvo type="max"/>
        <color rgb="FFFF0000"/>
        <color rgb="FF92D050"/>
      </colorScale>
    </cfRule>
    <cfRule type="colorScale" priority="10785">
      <colorScale>
        <cfvo type="min"/>
        <cfvo type="percentile" val="50"/>
        <cfvo type="max"/>
        <color rgb="FF5A8AC6"/>
        <color rgb="FFFCFCFF"/>
        <color rgb="FFF8696B"/>
      </colorScale>
    </cfRule>
    <cfRule type="colorScale" priority="10786">
      <colorScale>
        <cfvo type="formula" val="&quot;&gt;20&quot;"/>
        <cfvo type="formula" val="35"/>
        <color rgb="FFF8696B"/>
        <color rgb="FFFCFCFF"/>
      </colorScale>
    </cfRule>
    <cfRule type="colorScale" priority="10787">
      <colorScale>
        <cfvo type="min"/>
        <cfvo type="max"/>
        <color rgb="FFFFEF9C"/>
        <color rgb="FF63BE7B"/>
      </colorScale>
    </cfRule>
  </conditionalFormatting>
  <conditionalFormatting sqref="S1124:S1140">
    <cfRule type="containsText" dxfId="5186" priority="10779" operator="containsText" text="Short Buildup">
      <formula>NOT(ISERROR(SEARCH("Short Buildup",S1124)))</formula>
    </cfRule>
    <cfRule type="containsText" dxfId="5185" priority="10780" operator="containsText" text="Long Liquidation">
      <formula>NOT(ISERROR(SEARCH("Long Liquidation",S1124)))</formula>
    </cfRule>
    <cfRule type="containsText" dxfId="5184" priority="10781" operator="containsText" text="Short covering">
      <formula>NOT(ISERROR(SEARCH("Short covering",S1124)))</formula>
    </cfRule>
    <cfRule type="containsText" dxfId="5183" priority="10782" operator="containsText" text="Long Buildup">
      <formula>NOT(ISERROR(SEARCH("Long Buildup",S1124)))</formula>
    </cfRule>
  </conditionalFormatting>
  <conditionalFormatting sqref="F1124:F1139">
    <cfRule type="dataBar" priority="10778">
      <dataBar>
        <cfvo type="min"/>
        <cfvo type="max"/>
        <color rgb="FFFF555A"/>
      </dataBar>
    </cfRule>
  </conditionalFormatting>
  <conditionalFormatting sqref="G1124:G1139">
    <cfRule type="dataBar" priority="10777">
      <dataBar>
        <cfvo type="min"/>
        <cfvo type="max"/>
        <color rgb="FFFF555A"/>
      </dataBar>
    </cfRule>
  </conditionalFormatting>
  <conditionalFormatting sqref="H1124">
    <cfRule type="dataBar" priority="10776">
      <dataBar>
        <cfvo type="min"/>
        <cfvo type="max"/>
        <color rgb="FFFF555A"/>
      </dataBar>
    </cfRule>
  </conditionalFormatting>
  <conditionalFormatting sqref="I1124">
    <cfRule type="dataBar" priority="10775">
      <dataBar>
        <cfvo type="min"/>
        <cfvo type="max"/>
        <color rgb="FFFF555A"/>
      </dataBar>
    </cfRule>
  </conditionalFormatting>
  <conditionalFormatting sqref="J1124">
    <cfRule type="dataBar" priority="10774">
      <dataBar>
        <cfvo type="min"/>
        <cfvo type="max"/>
        <color rgb="FFFF555A"/>
      </dataBar>
    </cfRule>
  </conditionalFormatting>
  <conditionalFormatting sqref="E1125:E1139">
    <cfRule type="dataBar" priority="10773">
      <dataBar>
        <cfvo type="min"/>
        <cfvo type="max"/>
        <color rgb="FFFF555A"/>
      </dataBar>
    </cfRule>
  </conditionalFormatting>
  <conditionalFormatting sqref="H1125:H1139">
    <cfRule type="dataBar" priority="10772">
      <dataBar>
        <cfvo type="min"/>
        <cfvo type="max"/>
        <color rgb="FFFF555A"/>
      </dataBar>
    </cfRule>
  </conditionalFormatting>
  <conditionalFormatting sqref="I1125:I1139">
    <cfRule type="dataBar" priority="10771">
      <dataBar>
        <cfvo type="min"/>
        <cfvo type="max"/>
        <color rgb="FFFF555A"/>
      </dataBar>
    </cfRule>
  </conditionalFormatting>
  <conditionalFormatting sqref="J1125:J1139">
    <cfRule type="dataBar" priority="10770">
      <dataBar>
        <cfvo type="min"/>
        <cfvo type="max"/>
        <color rgb="FFFF555A"/>
      </dataBar>
    </cfRule>
  </conditionalFormatting>
  <conditionalFormatting sqref="L1124:L1139">
    <cfRule type="dataBar" priority="10769">
      <dataBar>
        <cfvo type="min"/>
        <cfvo type="max"/>
        <color rgb="FFFF555A"/>
      </dataBar>
    </cfRule>
  </conditionalFormatting>
  <conditionalFormatting sqref="M1124:M1139">
    <cfRule type="dataBar" priority="10768">
      <dataBar>
        <cfvo type="min"/>
        <cfvo type="max"/>
        <color rgb="FFFF555A"/>
      </dataBar>
    </cfRule>
  </conditionalFormatting>
  <conditionalFormatting sqref="N1124:N1139">
    <cfRule type="dataBar" priority="10767">
      <dataBar>
        <cfvo type="min"/>
        <cfvo type="max"/>
        <color rgb="FFFF555A"/>
      </dataBar>
    </cfRule>
  </conditionalFormatting>
  <conditionalFormatting sqref="Q1124:Q1139">
    <cfRule type="dataBar" priority="10766">
      <dataBar>
        <cfvo type="min"/>
        <cfvo type="max"/>
        <color rgb="FFFF555A"/>
      </dataBar>
    </cfRule>
  </conditionalFormatting>
  <conditionalFormatting sqref="O1124:O1139">
    <cfRule type="dataBar" priority="10765">
      <dataBar>
        <cfvo type="min"/>
        <cfvo type="max"/>
        <color rgb="FFFF555A"/>
      </dataBar>
    </cfRule>
  </conditionalFormatting>
  <conditionalFormatting sqref="P1124:P1139">
    <cfRule type="dataBar" priority="10764">
      <dataBar>
        <cfvo type="min"/>
        <cfvo type="max"/>
        <color rgb="FFFF555A"/>
      </dataBar>
    </cfRule>
  </conditionalFormatting>
  <conditionalFormatting sqref="R1141:R1157 D1141:D1156 C1157">
    <cfRule type="containsText" dxfId="5182" priority="10763" operator="containsText" text="DOWN">
      <formula>NOT(ISERROR(SEARCH("DOWN",C1141)))</formula>
    </cfRule>
  </conditionalFormatting>
  <conditionalFormatting sqref="R1141:R1157 D1141:D1156 C1157">
    <cfRule type="containsText" dxfId="5181" priority="10762" operator="containsText" text="UP">
      <formula>NOT(ISERROR(SEARCH("UP",C1141)))</formula>
    </cfRule>
  </conditionalFormatting>
  <conditionalFormatting sqref="I1157">
    <cfRule type="colorScale" priority="10761">
      <colorScale>
        <cfvo type="min"/>
        <cfvo type="max"/>
        <color rgb="FFFFEF9C"/>
        <color rgb="FF63BE7B"/>
      </colorScale>
    </cfRule>
  </conditionalFormatting>
  <conditionalFormatting sqref="M1157">
    <cfRule type="colorScale" priority="10760">
      <colorScale>
        <cfvo type="min"/>
        <cfvo type="max"/>
        <color rgb="FFFF7128"/>
        <color rgb="FFFFEF9C"/>
      </colorScale>
    </cfRule>
  </conditionalFormatting>
  <conditionalFormatting sqref="Q1157">
    <cfRule type="dataBar" priority="10759">
      <dataBar>
        <cfvo type="min"/>
        <cfvo type="max"/>
        <color rgb="FFFF555A"/>
      </dataBar>
    </cfRule>
  </conditionalFormatting>
  <conditionalFormatting sqref="E1141:E1157">
    <cfRule type="dataBar" priority="10758">
      <dataBar>
        <cfvo type="min"/>
        <cfvo type="max"/>
        <color rgb="FFFF555A"/>
      </dataBar>
    </cfRule>
  </conditionalFormatting>
  <conditionalFormatting sqref="F1157">
    <cfRule type="top10" dxfId="5180" priority="10757" rank="1"/>
  </conditionalFormatting>
  <conditionalFormatting sqref="G1157 P1157">
    <cfRule type="cellIs" dxfId="5179" priority="10756" operator="equal">
      <formula>$G$135</formula>
    </cfRule>
  </conditionalFormatting>
  <conditionalFormatting sqref="P1157">
    <cfRule type="cellIs" dxfId="5178" priority="10755" operator="equal">
      <formula>$J$135</formula>
    </cfRule>
  </conditionalFormatting>
  <conditionalFormatting sqref="G1157 P1157">
    <cfRule type="cellIs" dxfId="5177" priority="10754" operator="equal">
      <formula>#REF!</formula>
    </cfRule>
  </conditionalFormatting>
  <conditionalFormatting sqref="G1157">
    <cfRule type="top10" dxfId="5176" priority="10752" rank="1"/>
    <cfRule type="cellIs" dxfId="5175" priority="10753" operator="equal">
      <formula>$G$133</formula>
    </cfRule>
  </conditionalFormatting>
  <conditionalFormatting sqref="P1157">
    <cfRule type="top10" dxfId="5174" priority="10750" rank="1"/>
    <cfRule type="cellIs" dxfId="5173" priority="10751" operator="equal">
      <formula>$G$133</formula>
    </cfRule>
  </conditionalFormatting>
  <conditionalFormatting sqref="C1141:C1156">
    <cfRule type="containsText" dxfId="5172" priority="10746" operator="containsText" text="Short Buildup">
      <formula>NOT(ISERROR(SEARCH("Short Buildup",C1141)))</formula>
    </cfRule>
    <cfRule type="containsText" dxfId="5171" priority="10747" operator="containsText" text="Long Liquidation">
      <formula>NOT(ISERROR(SEARCH("Long Liquidation",C1141)))</formula>
    </cfRule>
    <cfRule type="containsText" dxfId="5170" priority="10748" operator="containsText" text="Short covering">
      <formula>NOT(ISERROR(SEARCH("Short covering",C1141)))</formula>
    </cfRule>
    <cfRule type="containsText" dxfId="5169" priority="10749" operator="containsText" text="Long Buildup">
      <formula>NOT(ISERROR(SEARCH("Long Buildup",C1141)))</formula>
    </cfRule>
  </conditionalFormatting>
  <conditionalFormatting sqref="H1157">
    <cfRule type="colorScale" priority="10741">
      <colorScale>
        <cfvo type="min"/>
        <cfvo type="percentile" val="20"/>
        <cfvo type="max"/>
        <color rgb="FF92D050"/>
        <color theme="5" tint="0.79998168889431442"/>
        <color rgb="FFFF0000"/>
      </colorScale>
    </cfRule>
    <cfRule type="colorScale" priority="10742">
      <colorScale>
        <cfvo type="min"/>
        <cfvo type="max"/>
        <color rgb="FFFF0000"/>
        <color rgb="FF92D050"/>
      </colorScale>
    </cfRule>
    <cfRule type="colorScale" priority="10743">
      <colorScale>
        <cfvo type="min"/>
        <cfvo type="percentile" val="50"/>
        <cfvo type="max"/>
        <color rgb="FF5A8AC6"/>
        <color rgb="FFFCFCFF"/>
        <color rgb="FFF8696B"/>
      </colorScale>
    </cfRule>
    <cfRule type="colorScale" priority="10744">
      <colorScale>
        <cfvo type="formula" val="&quot;&gt;20&quot;"/>
        <cfvo type="formula" val="35"/>
        <color rgb="FFF8696B"/>
        <color rgb="FFFCFCFF"/>
      </colorScale>
    </cfRule>
    <cfRule type="colorScale" priority="10745">
      <colorScale>
        <cfvo type="min"/>
        <cfvo type="max"/>
        <color rgb="FFFFEF9C"/>
        <color rgb="FF63BE7B"/>
      </colorScale>
    </cfRule>
  </conditionalFormatting>
  <conditionalFormatting sqref="N1157">
    <cfRule type="colorScale" priority="10736">
      <colorScale>
        <cfvo type="min"/>
        <cfvo type="percentile" val="20"/>
        <cfvo type="max"/>
        <color rgb="FF92D050"/>
        <color theme="5" tint="0.79998168889431442"/>
        <color rgb="FFFF0000"/>
      </colorScale>
    </cfRule>
    <cfRule type="colorScale" priority="10737">
      <colorScale>
        <cfvo type="min"/>
        <cfvo type="max"/>
        <color rgb="FFFF0000"/>
        <color rgb="FF92D050"/>
      </colorScale>
    </cfRule>
    <cfRule type="colorScale" priority="10738">
      <colorScale>
        <cfvo type="min"/>
        <cfvo type="percentile" val="50"/>
        <cfvo type="max"/>
        <color rgb="FF5A8AC6"/>
        <color rgb="FFFCFCFF"/>
        <color rgb="FFF8696B"/>
      </colorScale>
    </cfRule>
    <cfRule type="colorScale" priority="10739">
      <colorScale>
        <cfvo type="formula" val="&quot;&gt;20&quot;"/>
        <cfvo type="formula" val="35"/>
        <color rgb="FFF8696B"/>
        <color rgb="FFFCFCFF"/>
      </colorScale>
    </cfRule>
    <cfRule type="colorScale" priority="10740">
      <colorScale>
        <cfvo type="min"/>
        <cfvo type="max"/>
        <color rgb="FFFFEF9C"/>
        <color rgb="FF63BE7B"/>
      </colorScale>
    </cfRule>
  </conditionalFormatting>
  <conditionalFormatting sqref="S1141:S1157">
    <cfRule type="containsText" dxfId="5168" priority="10732" operator="containsText" text="Short Buildup">
      <formula>NOT(ISERROR(SEARCH("Short Buildup",S1141)))</formula>
    </cfRule>
    <cfRule type="containsText" dxfId="5167" priority="10733" operator="containsText" text="Long Liquidation">
      <formula>NOT(ISERROR(SEARCH("Long Liquidation",S1141)))</formula>
    </cfRule>
    <cfRule type="containsText" dxfId="5166" priority="10734" operator="containsText" text="Short covering">
      <formula>NOT(ISERROR(SEARCH("Short covering",S1141)))</formula>
    </cfRule>
    <cfRule type="containsText" dxfId="5165" priority="10735" operator="containsText" text="Long Buildup">
      <formula>NOT(ISERROR(SEARCH("Long Buildup",S1141)))</formula>
    </cfRule>
  </conditionalFormatting>
  <conditionalFormatting sqref="F1141:F1156">
    <cfRule type="dataBar" priority="10731">
      <dataBar>
        <cfvo type="min"/>
        <cfvo type="max"/>
        <color rgb="FFFF555A"/>
      </dataBar>
    </cfRule>
  </conditionalFormatting>
  <conditionalFormatting sqref="G1141:G1156">
    <cfRule type="dataBar" priority="10730">
      <dataBar>
        <cfvo type="min"/>
        <cfvo type="max"/>
        <color rgb="FFFF555A"/>
      </dataBar>
    </cfRule>
  </conditionalFormatting>
  <conditionalFormatting sqref="H1141">
    <cfRule type="dataBar" priority="10729">
      <dataBar>
        <cfvo type="min"/>
        <cfvo type="max"/>
        <color rgb="FFFF555A"/>
      </dataBar>
    </cfRule>
  </conditionalFormatting>
  <conditionalFormatting sqref="I1141">
    <cfRule type="dataBar" priority="10728">
      <dataBar>
        <cfvo type="min"/>
        <cfvo type="max"/>
        <color rgb="FFFF555A"/>
      </dataBar>
    </cfRule>
  </conditionalFormatting>
  <conditionalFormatting sqref="J1141">
    <cfRule type="dataBar" priority="10727">
      <dataBar>
        <cfvo type="min"/>
        <cfvo type="max"/>
        <color rgb="FFFF555A"/>
      </dataBar>
    </cfRule>
  </conditionalFormatting>
  <conditionalFormatting sqref="E1142:E1156">
    <cfRule type="dataBar" priority="10726">
      <dataBar>
        <cfvo type="min"/>
        <cfvo type="max"/>
        <color rgb="FFFF555A"/>
      </dataBar>
    </cfRule>
  </conditionalFormatting>
  <conditionalFormatting sqref="H1142:H1156">
    <cfRule type="dataBar" priority="10725">
      <dataBar>
        <cfvo type="min"/>
        <cfvo type="max"/>
        <color rgb="FFFF555A"/>
      </dataBar>
    </cfRule>
  </conditionalFormatting>
  <conditionalFormatting sqref="I1142:I1156">
    <cfRule type="dataBar" priority="10724">
      <dataBar>
        <cfvo type="min"/>
        <cfvo type="max"/>
        <color rgb="FFFF555A"/>
      </dataBar>
    </cfRule>
  </conditionalFormatting>
  <conditionalFormatting sqref="J1142:J1156">
    <cfRule type="dataBar" priority="10723">
      <dataBar>
        <cfvo type="min"/>
        <cfvo type="max"/>
        <color rgb="FFFF555A"/>
      </dataBar>
    </cfRule>
  </conditionalFormatting>
  <conditionalFormatting sqref="L1141:L1156">
    <cfRule type="dataBar" priority="10722">
      <dataBar>
        <cfvo type="min"/>
        <cfvo type="max"/>
        <color rgb="FFFF555A"/>
      </dataBar>
    </cfRule>
  </conditionalFormatting>
  <conditionalFormatting sqref="M1141:M1156">
    <cfRule type="dataBar" priority="10721">
      <dataBar>
        <cfvo type="min"/>
        <cfvo type="max"/>
        <color rgb="FFFF555A"/>
      </dataBar>
    </cfRule>
  </conditionalFormatting>
  <conditionalFormatting sqref="N1141:N1156">
    <cfRule type="dataBar" priority="10720">
      <dataBar>
        <cfvo type="min"/>
        <cfvo type="max"/>
        <color rgb="FFFF555A"/>
      </dataBar>
    </cfRule>
  </conditionalFormatting>
  <conditionalFormatting sqref="Q1141:Q1156">
    <cfRule type="dataBar" priority="10719">
      <dataBar>
        <cfvo type="min"/>
        <cfvo type="max"/>
        <color rgb="FFFF555A"/>
      </dataBar>
    </cfRule>
  </conditionalFormatting>
  <conditionalFormatting sqref="O1141:O1156">
    <cfRule type="dataBar" priority="10718">
      <dataBar>
        <cfvo type="min"/>
        <cfvo type="max"/>
        <color rgb="FFFF555A"/>
      </dataBar>
    </cfRule>
  </conditionalFormatting>
  <conditionalFormatting sqref="P1141:P1156">
    <cfRule type="dataBar" priority="10717">
      <dataBar>
        <cfvo type="min"/>
        <cfvo type="max"/>
        <color rgb="FFFF555A"/>
      </dataBar>
    </cfRule>
  </conditionalFormatting>
  <conditionalFormatting sqref="R1158:R1174 D1158:D1173 C1174">
    <cfRule type="containsText" dxfId="5164" priority="10716" operator="containsText" text="DOWN">
      <formula>NOT(ISERROR(SEARCH("DOWN",C1158)))</formula>
    </cfRule>
  </conditionalFormatting>
  <conditionalFormatting sqref="R1158:R1174 D1158:D1173 C1174">
    <cfRule type="containsText" dxfId="5163" priority="10715" operator="containsText" text="UP">
      <formula>NOT(ISERROR(SEARCH("UP",C1158)))</formula>
    </cfRule>
  </conditionalFormatting>
  <conditionalFormatting sqref="I1174">
    <cfRule type="colorScale" priority="10714">
      <colorScale>
        <cfvo type="min"/>
        <cfvo type="max"/>
        <color rgb="FFFFEF9C"/>
        <color rgb="FF63BE7B"/>
      </colorScale>
    </cfRule>
  </conditionalFormatting>
  <conditionalFormatting sqref="M1174">
    <cfRule type="colorScale" priority="10713">
      <colorScale>
        <cfvo type="min"/>
        <cfvo type="max"/>
        <color rgb="FFFF7128"/>
        <color rgb="FFFFEF9C"/>
      </colorScale>
    </cfRule>
  </conditionalFormatting>
  <conditionalFormatting sqref="Q1174">
    <cfRule type="dataBar" priority="10712">
      <dataBar>
        <cfvo type="min"/>
        <cfvo type="max"/>
        <color rgb="FFFF555A"/>
      </dataBar>
    </cfRule>
  </conditionalFormatting>
  <conditionalFormatting sqref="E1158:E1174">
    <cfRule type="dataBar" priority="10711">
      <dataBar>
        <cfvo type="min"/>
        <cfvo type="max"/>
        <color rgb="FFFF555A"/>
      </dataBar>
    </cfRule>
  </conditionalFormatting>
  <conditionalFormatting sqref="F1174">
    <cfRule type="top10" dxfId="5162" priority="10710" rank="1"/>
  </conditionalFormatting>
  <conditionalFormatting sqref="G1174 P1174">
    <cfRule type="cellIs" dxfId="5161" priority="10709" operator="equal">
      <formula>$G$135</formula>
    </cfRule>
  </conditionalFormatting>
  <conditionalFormatting sqref="P1174">
    <cfRule type="cellIs" dxfId="5160" priority="10708" operator="equal">
      <formula>$J$135</formula>
    </cfRule>
  </conditionalFormatting>
  <conditionalFormatting sqref="G1174 P1174">
    <cfRule type="cellIs" dxfId="5159" priority="10707" operator="equal">
      <formula>#REF!</formula>
    </cfRule>
  </conditionalFormatting>
  <conditionalFormatting sqref="G1174">
    <cfRule type="top10" dxfId="5158" priority="10705" rank="1"/>
    <cfRule type="cellIs" dxfId="5157" priority="10706" operator="equal">
      <formula>$G$133</formula>
    </cfRule>
  </conditionalFormatting>
  <conditionalFormatting sqref="P1174">
    <cfRule type="top10" dxfId="5156" priority="10703" rank="1"/>
    <cfRule type="cellIs" dxfId="5155" priority="10704" operator="equal">
      <formula>$G$133</formula>
    </cfRule>
  </conditionalFormatting>
  <conditionalFormatting sqref="C1158:C1173">
    <cfRule type="containsText" dxfId="5154" priority="10699" operator="containsText" text="Short Buildup">
      <formula>NOT(ISERROR(SEARCH("Short Buildup",C1158)))</formula>
    </cfRule>
    <cfRule type="containsText" dxfId="5153" priority="10700" operator="containsText" text="Long Liquidation">
      <formula>NOT(ISERROR(SEARCH("Long Liquidation",C1158)))</formula>
    </cfRule>
    <cfRule type="containsText" dxfId="5152" priority="10701" operator="containsText" text="Short covering">
      <formula>NOT(ISERROR(SEARCH("Short covering",C1158)))</formula>
    </cfRule>
    <cfRule type="containsText" dxfId="5151" priority="10702" operator="containsText" text="Long Buildup">
      <formula>NOT(ISERROR(SEARCH("Long Buildup",C1158)))</formula>
    </cfRule>
  </conditionalFormatting>
  <conditionalFormatting sqref="H1174">
    <cfRule type="colorScale" priority="10694">
      <colorScale>
        <cfvo type="min"/>
        <cfvo type="percentile" val="20"/>
        <cfvo type="max"/>
        <color rgb="FF92D050"/>
        <color theme="5" tint="0.79998168889431442"/>
        <color rgb="FFFF0000"/>
      </colorScale>
    </cfRule>
    <cfRule type="colorScale" priority="10695">
      <colorScale>
        <cfvo type="min"/>
        <cfvo type="max"/>
        <color rgb="FFFF0000"/>
        <color rgb="FF92D050"/>
      </colorScale>
    </cfRule>
    <cfRule type="colorScale" priority="10696">
      <colorScale>
        <cfvo type="min"/>
        <cfvo type="percentile" val="50"/>
        <cfvo type="max"/>
        <color rgb="FF5A8AC6"/>
        <color rgb="FFFCFCFF"/>
        <color rgb="FFF8696B"/>
      </colorScale>
    </cfRule>
    <cfRule type="colorScale" priority="10697">
      <colorScale>
        <cfvo type="formula" val="&quot;&gt;20&quot;"/>
        <cfvo type="formula" val="35"/>
        <color rgb="FFF8696B"/>
        <color rgb="FFFCFCFF"/>
      </colorScale>
    </cfRule>
    <cfRule type="colorScale" priority="10698">
      <colorScale>
        <cfvo type="min"/>
        <cfvo type="max"/>
        <color rgb="FFFFEF9C"/>
        <color rgb="FF63BE7B"/>
      </colorScale>
    </cfRule>
  </conditionalFormatting>
  <conditionalFormatting sqref="N1174">
    <cfRule type="colorScale" priority="10689">
      <colorScale>
        <cfvo type="min"/>
        <cfvo type="percentile" val="20"/>
        <cfvo type="max"/>
        <color rgb="FF92D050"/>
        <color theme="5" tint="0.79998168889431442"/>
        <color rgb="FFFF0000"/>
      </colorScale>
    </cfRule>
    <cfRule type="colorScale" priority="10690">
      <colorScale>
        <cfvo type="min"/>
        <cfvo type="max"/>
        <color rgb="FFFF0000"/>
        <color rgb="FF92D050"/>
      </colorScale>
    </cfRule>
    <cfRule type="colorScale" priority="10691">
      <colorScale>
        <cfvo type="min"/>
        <cfvo type="percentile" val="50"/>
        <cfvo type="max"/>
        <color rgb="FF5A8AC6"/>
        <color rgb="FFFCFCFF"/>
        <color rgb="FFF8696B"/>
      </colorScale>
    </cfRule>
    <cfRule type="colorScale" priority="10692">
      <colorScale>
        <cfvo type="formula" val="&quot;&gt;20&quot;"/>
        <cfvo type="formula" val="35"/>
        <color rgb="FFF8696B"/>
        <color rgb="FFFCFCFF"/>
      </colorScale>
    </cfRule>
    <cfRule type="colorScale" priority="10693">
      <colorScale>
        <cfvo type="min"/>
        <cfvo type="max"/>
        <color rgb="FFFFEF9C"/>
        <color rgb="FF63BE7B"/>
      </colorScale>
    </cfRule>
  </conditionalFormatting>
  <conditionalFormatting sqref="S1158:S1174">
    <cfRule type="containsText" dxfId="5150" priority="10685" operator="containsText" text="Short Buildup">
      <formula>NOT(ISERROR(SEARCH("Short Buildup",S1158)))</formula>
    </cfRule>
    <cfRule type="containsText" dxfId="5149" priority="10686" operator="containsText" text="Long Liquidation">
      <formula>NOT(ISERROR(SEARCH("Long Liquidation",S1158)))</formula>
    </cfRule>
    <cfRule type="containsText" dxfId="5148" priority="10687" operator="containsText" text="Short covering">
      <formula>NOT(ISERROR(SEARCH("Short covering",S1158)))</formula>
    </cfRule>
    <cfRule type="containsText" dxfId="5147" priority="10688" operator="containsText" text="Long Buildup">
      <formula>NOT(ISERROR(SEARCH("Long Buildup",S1158)))</formula>
    </cfRule>
  </conditionalFormatting>
  <conditionalFormatting sqref="F1158:F1173">
    <cfRule type="dataBar" priority="10684">
      <dataBar>
        <cfvo type="min"/>
        <cfvo type="max"/>
        <color rgb="FFFF555A"/>
      </dataBar>
    </cfRule>
  </conditionalFormatting>
  <conditionalFormatting sqref="G1158:G1173">
    <cfRule type="dataBar" priority="10683">
      <dataBar>
        <cfvo type="min"/>
        <cfvo type="max"/>
        <color rgb="FFFF555A"/>
      </dataBar>
    </cfRule>
  </conditionalFormatting>
  <conditionalFormatting sqref="H1158">
    <cfRule type="dataBar" priority="10682">
      <dataBar>
        <cfvo type="min"/>
        <cfvo type="max"/>
        <color rgb="FFFF555A"/>
      </dataBar>
    </cfRule>
  </conditionalFormatting>
  <conditionalFormatting sqref="I1158">
    <cfRule type="dataBar" priority="10681">
      <dataBar>
        <cfvo type="min"/>
        <cfvo type="max"/>
        <color rgb="FFFF555A"/>
      </dataBar>
    </cfRule>
  </conditionalFormatting>
  <conditionalFormatting sqref="J1158">
    <cfRule type="dataBar" priority="10680">
      <dataBar>
        <cfvo type="min"/>
        <cfvo type="max"/>
        <color rgb="FFFF555A"/>
      </dataBar>
    </cfRule>
  </conditionalFormatting>
  <conditionalFormatting sqref="E1159:E1173">
    <cfRule type="dataBar" priority="10679">
      <dataBar>
        <cfvo type="min"/>
        <cfvo type="max"/>
        <color rgb="FFFF555A"/>
      </dataBar>
    </cfRule>
  </conditionalFormatting>
  <conditionalFormatting sqref="H1159:H1173">
    <cfRule type="dataBar" priority="10678">
      <dataBar>
        <cfvo type="min"/>
        <cfvo type="max"/>
        <color rgb="FFFF555A"/>
      </dataBar>
    </cfRule>
  </conditionalFormatting>
  <conditionalFormatting sqref="I1159:I1173">
    <cfRule type="dataBar" priority="10677">
      <dataBar>
        <cfvo type="min"/>
        <cfvo type="max"/>
        <color rgb="FFFF555A"/>
      </dataBar>
    </cfRule>
  </conditionalFormatting>
  <conditionalFormatting sqref="J1159:J1173">
    <cfRule type="dataBar" priority="10676">
      <dataBar>
        <cfvo type="min"/>
        <cfvo type="max"/>
        <color rgb="FFFF555A"/>
      </dataBar>
    </cfRule>
  </conditionalFormatting>
  <conditionalFormatting sqref="L1158:L1173">
    <cfRule type="dataBar" priority="10675">
      <dataBar>
        <cfvo type="min"/>
        <cfvo type="max"/>
        <color rgb="FFFF555A"/>
      </dataBar>
    </cfRule>
  </conditionalFormatting>
  <conditionalFormatting sqref="M1158:M1173">
    <cfRule type="dataBar" priority="10674">
      <dataBar>
        <cfvo type="min"/>
        <cfvo type="max"/>
        <color rgb="FFFF555A"/>
      </dataBar>
    </cfRule>
  </conditionalFormatting>
  <conditionalFormatting sqref="N1158:N1173">
    <cfRule type="dataBar" priority="10673">
      <dataBar>
        <cfvo type="min"/>
        <cfvo type="max"/>
        <color rgb="FFFF555A"/>
      </dataBar>
    </cfRule>
  </conditionalFormatting>
  <conditionalFormatting sqref="Q1158:Q1173">
    <cfRule type="dataBar" priority="10672">
      <dataBar>
        <cfvo type="min"/>
        <cfvo type="max"/>
        <color rgb="FFFF555A"/>
      </dataBar>
    </cfRule>
  </conditionalFormatting>
  <conditionalFormatting sqref="O1158:O1173">
    <cfRule type="dataBar" priority="10671">
      <dataBar>
        <cfvo type="min"/>
        <cfvo type="max"/>
        <color rgb="FFFF555A"/>
      </dataBar>
    </cfRule>
  </conditionalFormatting>
  <conditionalFormatting sqref="P1158:P1173">
    <cfRule type="dataBar" priority="10670">
      <dataBar>
        <cfvo type="min"/>
        <cfvo type="max"/>
        <color rgb="FFFF555A"/>
      </dataBar>
    </cfRule>
  </conditionalFormatting>
  <conditionalFormatting sqref="R1175:R1191 D1175:D1190 C1191">
    <cfRule type="containsText" dxfId="5146" priority="10669" operator="containsText" text="DOWN">
      <formula>NOT(ISERROR(SEARCH("DOWN",C1175)))</formula>
    </cfRule>
  </conditionalFormatting>
  <conditionalFormatting sqref="R1175:R1191 D1175:D1190 C1191">
    <cfRule type="containsText" dxfId="5145" priority="10668" operator="containsText" text="UP">
      <formula>NOT(ISERROR(SEARCH("UP",C1175)))</formula>
    </cfRule>
  </conditionalFormatting>
  <conditionalFormatting sqref="I1191">
    <cfRule type="colorScale" priority="10667">
      <colorScale>
        <cfvo type="min"/>
        <cfvo type="max"/>
        <color rgb="FFFFEF9C"/>
        <color rgb="FF63BE7B"/>
      </colorScale>
    </cfRule>
  </conditionalFormatting>
  <conditionalFormatting sqref="M1191">
    <cfRule type="colorScale" priority="10666">
      <colorScale>
        <cfvo type="min"/>
        <cfvo type="max"/>
        <color rgb="FFFF7128"/>
        <color rgb="FFFFEF9C"/>
      </colorScale>
    </cfRule>
  </conditionalFormatting>
  <conditionalFormatting sqref="Q1191">
    <cfRule type="dataBar" priority="10665">
      <dataBar>
        <cfvo type="min"/>
        <cfvo type="max"/>
        <color rgb="FFFF555A"/>
      </dataBar>
    </cfRule>
  </conditionalFormatting>
  <conditionalFormatting sqref="E1175:E1191">
    <cfRule type="dataBar" priority="10664">
      <dataBar>
        <cfvo type="min"/>
        <cfvo type="max"/>
        <color rgb="FFFF555A"/>
      </dataBar>
    </cfRule>
  </conditionalFormatting>
  <conditionalFormatting sqref="F1191">
    <cfRule type="top10" dxfId="5144" priority="10663" rank="1"/>
  </conditionalFormatting>
  <conditionalFormatting sqref="G1191 P1191">
    <cfRule type="cellIs" dxfId="5143" priority="10662" operator="equal">
      <formula>$G$135</formula>
    </cfRule>
  </conditionalFormatting>
  <conditionalFormatting sqref="P1191">
    <cfRule type="cellIs" dxfId="5142" priority="10661" operator="equal">
      <formula>$J$135</formula>
    </cfRule>
  </conditionalFormatting>
  <conditionalFormatting sqref="G1191 P1191">
    <cfRule type="cellIs" dxfId="5141" priority="10660" operator="equal">
      <formula>#REF!</formula>
    </cfRule>
  </conditionalFormatting>
  <conditionalFormatting sqref="G1191">
    <cfRule type="top10" dxfId="5140" priority="10658" rank="1"/>
    <cfRule type="cellIs" dxfId="5139" priority="10659" operator="equal">
      <formula>$G$133</formula>
    </cfRule>
  </conditionalFormatting>
  <conditionalFormatting sqref="P1191">
    <cfRule type="top10" dxfId="5138" priority="10656" rank="1"/>
    <cfRule type="cellIs" dxfId="5137" priority="10657" operator="equal">
      <formula>$G$133</formula>
    </cfRule>
  </conditionalFormatting>
  <conditionalFormatting sqref="C1175:C1190">
    <cfRule type="containsText" dxfId="5136" priority="10652" operator="containsText" text="Short Buildup">
      <formula>NOT(ISERROR(SEARCH("Short Buildup",C1175)))</formula>
    </cfRule>
    <cfRule type="containsText" dxfId="5135" priority="10653" operator="containsText" text="Long Liquidation">
      <formula>NOT(ISERROR(SEARCH("Long Liquidation",C1175)))</formula>
    </cfRule>
    <cfRule type="containsText" dxfId="5134" priority="10654" operator="containsText" text="Short covering">
      <formula>NOT(ISERROR(SEARCH("Short covering",C1175)))</formula>
    </cfRule>
    <cfRule type="containsText" dxfId="5133" priority="10655" operator="containsText" text="Long Buildup">
      <formula>NOT(ISERROR(SEARCH("Long Buildup",C1175)))</formula>
    </cfRule>
  </conditionalFormatting>
  <conditionalFormatting sqref="H1191">
    <cfRule type="colorScale" priority="10647">
      <colorScale>
        <cfvo type="min"/>
        <cfvo type="percentile" val="20"/>
        <cfvo type="max"/>
        <color rgb="FF92D050"/>
        <color theme="5" tint="0.79998168889431442"/>
        <color rgb="FFFF0000"/>
      </colorScale>
    </cfRule>
    <cfRule type="colorScale" priority="10648">
      <colorScale>
        <cfvo type="min"/>
        <cfvo type="max"/>
        <color rgb="FFFF0000"/>
        <color rgb="FF92D050"/>
      </colorScale>
    </cfRule>
    <cfRule type="colorScale" priority="10649">
      <colorScale>
        <cfvo type="min"/>
        <cfvo type="percentile" val="50"/>
        <cfvo type="max"/>
        <color rgb="FF5A8AC6"/>
        <color rgb="FFFCFCFF"/>
        <color rgb="FFF8696B"/>
      </colorScale>
    </cfRule>
    <cfRule type="colorScale" priority="10650">
      <colorScale>
        <cfvo type="formula" val="&quot;&gt;20&quot;"/>
        <cfvo type="formula" val="35"/>
        <color rgb="FFF8696B"/>
        <color rgb="FFFCFCFF"/>
      </colorScale>
    </cfRule>
    <cfRule type="colorScale" priority="10651">
      <colorScale>
        <cfvo type="min"/>
        <cfvo type="max"/>
        <color rgb="FFFFEF9C"/>
        <color rgb="FF63BE7B"/>
      </colorScale>
    </cfRule>
  </conditionalFormatting>
  <conditionalFormatting sqref="N1191">
    <cfRule type="colorScale" priority="10642">
      <colorScale>
        <cfvo type="min"/>
        <cfvo type="percentile" val="20"/>
        <cfvo type="max"/>
        <color rgb="FF92D050"/>
        <color theme="5" tint="0.79998168889431442"/>
        <color rgb="FFFF0000"/>
      </colorScale>
    </cfRule>
    <cfRule type="colorScale" priority="10643">
      <colorScale>
        <cfvo type="min"/>
        <cfvo type="max"/>
        <color rgb="FFFF0000"/>
        <color rgb="FF92D050"/>
      </colorScale>
    </cfRule>
    <cfRule type="colorScale" priority="10644">
      <colorScale>
        <cfvo type="min"/>
        <cfvo type="percentile" val="50"/>
        <cfvo type="max"/>
        <color rgb="FF5A8AC6"/>
        <color rgb="FFFCFCFF"/>
        <color rgb="FFF8696B"/>
      </colorScale>
    </cfRule>
    <cfRule type="colorScale" priority="10645">
      <colorScale>
        <cfvo type="formula" val="&quot;&gt;20&quot;"/>
        <cfvo type="formula" val="35"/>
        <color rgb="FFF8696B"/>
        <color rgb="FFFCFCFF"/>
      </colorScale>
    </cfRule>
    <cfRule type="colorScale" priority="10646">
      <colorScale>
        <cfvo type="min"/>
        <cfvo type="max"/>
        <color rgb="FFFFEF9C"/>
        <color rgb="FF63BE7B"/>
      </colorScale>
    </cfRule>
  </conditionalFormatting>
  <conditionalFormatting sqref="S1175:S1191">
    <cfRule type="containsText" dxfId="5132" priority="10638" operator="containsText" text="Short Buildup">
      <formula>NOT(ISERROR(SEARCH("Short Buildup",S1175)))</formula>
    </cfRule>
    <cfRule type="containsText" dxfId="5131" priority="10639" operator="containsText" text="Long Liquidation">
      <formula>NOT(ISERROR(SEARCH("Long Liquidation",S1175)))</formula>
    </cfRule>
    <cfRule type="containsText" dxfId="5130" priority="10640" operator="containsText" text="Short covering">
      <formula>NOT(ISERROR(SEARCH("Short covering",S1175)))</formula>
    </cfRule>
    <cfRule type="containsText" dxfId="5129" priority="10641" operator="containsText" text="Long Buildup">
      <formula>NOT(ISERROR(SEARCH("Long Buildup",S1175)))</formula>
    </cfRule>
  </conditionalFormatting>
  <conditionalFormatting sqref="F1175:F1190">
    <cfRule type="dataBar" priority="10637">
      <dataBar>
        <cfvo type="min"/>
        <cfvo type="max"/>
        <color rgb="FFFF555A"/>
      </dataBar>
    </cfRule>
  </conditionalFormatting>
  <conditionalFormatting sqref="G1175:G1190">
    <cfRule type="dataBar" priority="10636">
      <dataBar>
        <cfvo type="min"/>
        <cfvo type="max"/>
        <color rgb="FFFF555A"/>
      </dataBar>
    </cfRule>
  </conditionalFormatting>
  <conditionalFormatting sqref="H1175">
    <cfRule type="dataBar" priority="10635">
      <dataBar>
        <cfvo type="min"/>
        <cfvo type="max"/>
        <color rgb="FFFF555A"/>
      </dataBar>
    </cfRule>
  </conditionalFormatting>
  <conditionalFormatting sqref="I1175">
    <cfRule type="dataBar" priority="10634">
      <dataBar>
        <cfvo type="min"/>
        <cfvo type="max"/>
        <color rgb="FFFF555A"/>
      </dataBar>
    </cfRule>
  </conditionalFormatting>
  <conditionalFormatting sqref="J1175">
    <cfRule type="dataBar" priority="10633">
      <dataBar>
        <cfvo type="min"/>
        <cfvo type="max"/>
        <color rgb="FFFF555A"/>
      </dataBar>
    </cfRule>
  </conditionalFormatting>
  <conditionalFormatting sqref="E1176:E1190">
    <cfRule type="dataBar" priority="10632">
      <dataBar>
        <cfvo type="min"/>
        <cfvo type="max"/>
        <color rgb="FFFF555A"/>
      </dataBar>
    </cfRule>
  </conditionalFormatting>
  <conditionalFormatting sqref="H1176:H1190">
    <cfRule type="dataBar" priority="10631">
      <dataBar>
        <cfvo type="min"/>
        <cfvo type="max"/>
        <color rgb="FFFF555A"/>
      </dataBar>
    </cfRule>
  </conditionalFormatting>
  <conditionalFormatting sqref="I1176:I1190">
    <cfRule type="dataBar" priority="10630">
      <dataBar>
        <cfvo type="min"/>
        <cfvo type="max"/>
        <color rgb="FFFF555A"/>
      </dataBar>
    </cfRule>
  </conditionalFormatting>
  <conditionalFormatting sqref="J1176:J1190">
    <cfRule type="dataBar" priority="10629">
      <dataBar>
        <cfvo type="min"/>
        <cfvo type="max"/>
        <color rgb="FFFF555A"/>
      </dataBar>
    </cfRule>
  </conditionalFormatting>
  <conditionalFormatting sqref="L1175:L1190">
    <cfRule type="dataBar" priority="10628">
      <dataBar>
        <cfvo type="min"/>
        <cfvo type="max"/>
        <color rgb="FFFF555A"/>
      </dataBar>
    </cfRule>
  </conditionalFormatting>
  <conditionalFormatting sqref="M1175:M1190">
    <cfRule type="dataBar" priority="10627">
      <dataBar>
        <cfvo type="min"/>
        <cfvo type="max"/>
        <color rgb="FFFF555A"/>
      </dataBar>
    </cfRule>
  </conditionalFormatting>
  <conditionalFormatting sqref="N1175:N1190">
    <cfRule type="dataBar" priority="10626">
      <dataBar>
        <cfvo type="min"/>
        <cfvo type="max"/>
        <color rgb="FFFF555A"/>
      </dataBar>
    </cfRule>
  </conditionalFormatting>
  <conditionalFormatting sqref="Q1175:Q1190">
    <cfRule type="dataBar" priority="10625">
      <dataBar>
        <cfvo type="min"/>
        <cfvo type="max"/>
        <color rgb="FFFF555A"/>
      </dataBar>
    </cfRule>
  </conditionalFormatting>
  <conditionalFormatting sqref="O1175:O1190">
    <cfRule type="dataBar" priority="10624">
      <dataBar>
        <cfvo type="min"/>
        <cfvo type="max"/>
        <color rgb="FFFF555A"/>
      </dataBar>
    </cfRule>
  </conditionalFormatting>
  <conditionalFormatting sqref="P1175:P1190">
    <cfRule type="dataBar" priority="10623">
      <dataBar>
        <cfvo type="min"/>
        <cfvo type="max"/>
        <color rgb="FFFF555A"/>
      </dataBar>
    </cfRule>
  </conditionalFormatting>
  <conditionalFormatting sqref="R1192:R1208 D1192:D1207 C1208">
    <cfRule type="containsText" dxfId="5128" priority="10622" operator="containsText" text="DOWN">
      <formula>NOT(ISERROR(SEARCH("DOWN",C1192)))</formula>
    </cfRule>
  </conditionalFormatting>
  <conditionalFormatting sqref="R1192:R1208 D1192:D1207 C1208">
    <cfRule type="containsText" dxfId="5127" priority="10621" operator="containsText" text="UP">
      <formula>NOT(ISERROR(SEARCH("UP",C1192)))</formula>
    </cfRule>
  </conditionalFormatting>
  <conditionalFormatting sqref="I1208">
    <cfRule type="colorScale" priority="10620">
      <colorScale>
        <cfvo type="min"/>
        <cfvo type="max"/>
        <color rgb="FFFFEF9C"/>
        <color rgb="FF63BE7B"/>
      </colorScale>
    </cfRule>
  </conditionalFormatting>
  <conditionalFormatting sqref="M1208">
    <cfRule type="colorScale" priority="10619">
      <colorScale>
        <cfvo type="min"/>
        <cfvo type="max"/>
        <color rgb="FFFF7128"/>
        <color rgb="FFFFEF9C"/>
      </colorScale>
    </cfRule>
  </conditionalFormatting>
  <conditionalFormatting sqref="Q1208">
    <cfRule type="dataBar" priority="10618">
      <dataBar>
        <cfvo type="min"/>
        <cfvo type="max"/>
        <color rgb="FFFF555A"/>
      </dataBar>
    </cfRule>
  </conditionalFormatting>
  <conditionalFormatting sqref="E1192:E1208">
    <cfRule type="dataBar" priority="10617">
      <dataBar>
        <cfvo type="min"/>
        <cfvo type="max"/>
        <color rgb="FFFF555A"/>
      </dataBar>
    </cfRule>
  </conditionalFormatting>
  <conditionalFormatting sqref="F1208">
    <cfRule type="top10" dxfId="5126" priority="10616" rank="1"/>
  </conditionalFormatting>
  <conditionalFormatting sqref="G1208 P1208">
    <cfRule type="cellIs" dxfId="5125" priority="10615" operator="equal">
      <formula>$G$135</formula>
    </cfRule>
  </conditionalFormatting>
  <conditionalFormatting sqref="P1208">
    <cfRule type="cellIs" dxfId="5124" priority="10614" operator="equal">
      <formula>$J$135</formula>
    </cfRule>
  </conditionalFormatting>
  <conditionalFormatting sqref="G1208 P1208">
    <cfRule type="cellIs" dxfId="5123" priority="10613" operator="equal">
      <formula>#REF!</formula>
    </cfRule>
  </conditionalFormatting>
  <conditionalFormatting sqref="G1208">
    <cfRule type="top10" dxfId="5122" priority="10611" rank="1"/>
    <cfRule type="cellIs" dxfId="5121" priority="10612" operator="equal">
      <formula>$G$133</formula>
    </cfRule>
  </conditionalFormatting>
  <conditionalFormatting sqref="P1208">
    <cfRule type="top10" dxfId="5120" priority="10609" rank="1"/>
    <cfRule type="cellIs" dxfId="5119" priority="10610" operator="equal">
      <formula>$G$133</formula>
    </cfRule>
  </conditionalFormatting>
  <conditionalFormatting sqref="C1192:C1207">
    <cfRule type="containsText" dxfId="5118" priority="10605" operator="containsText" text="Short Buildup">
      <formula>NOT(ISERROR(SEARCH("Short Buildup",C1192)))</formula>
    </cfRule>
    <cfRule type="containsText" dxfId="5117" priority="10606" operator="containsText" text="Long Liquidation">
      <formula>NOT(ISERROR(SEARCH("Long Liquidation",C1192)))</formula>
    </cfRule>
    <cfRule type="containsText" dxfId="5116" priority="10607" operator="containsText" text="Short covering">
      <formula>NOT(ISERROR(SEARCH("Short covering",C1192)))</formula>
    </cfRule>
    <cfRule type="containsText" dxfId="5115" priority="10608" operator="containsText" text="Long Buildup">
      <formula>NOT(ISERROR(SEARCH("Long Buildup",C1192)))</formula>
    </cfRule>
  </conditionalFormatting>
  <conditionalFormatting sqref="H1208">
    <cfRule type="colorScale" priority="10600">
      <colorScale>
        <cfvo type="min"/>
        <cfvo type="percentile" val="20"/>
        <cfvo type="max"/>
        <color rgb="FF92D050"/>
        <color theme="5" tint="0.79998168889431442"/>
        <color rgb="FFFF0000"/>
      </colorScale>
    </cfRule>
    <cfRule type="colorScale" priority="10601">
      <colorScale>
        <cfvo type="min"/>
        <cfvo type="max"/>
        <color rgb="FFFF0000"/>
        <color rgb="FF92D050"/>
      </colorScale>
    </cfRule>
    <cfRule type="colorScale" priority="10602">
      <colorScale>
        <cfvo type="min"/>
        <cfvo type="percentile" val="50"/>
        <cfvo type="max"/>
        <color rgb="FF5A8AC6"/>
        <color rgb="FFFCFCFF"/>
        <color rgb="FFF8696B"/>
      </colorScale>
    </cfRule>
    <cfRule type="colorScale" priority="10603">
      <colorScale>
        <cfvo type="formula" val="&quot;&gt;20&quot;"/>
        <cfvo type="formula" val="35"/>
        <color rgb="FFF8696B"/>
        <color rgb="FFFCFCFF"/>
      </colorScale>
    </cfRule>
    <cfRule type="colorScale" priority="10604">
      <colorScale>
        <cfvo type="min"/>
        <cfvo type="max"/>
        <color rgb="FFFFEF9C"/>
        <color rgb="FF63BE7B"/>
      </colorScale>
    </cfRule>
  </conditionalFormatting>
  <conditionalFormatting sqref="N1208">
    <cfRule type="colorScale" priority="10595">
      <colorScale>
        <cfvo type="min"/>
        <cfvo type="percentile" val="20"/>
        <cfvo type="max"/>
        <color rgb="FF92D050"/>
        <color theme="5" tint="0.79998168889431442"/>
        <color rgb="FFFF0000"/>
      </colorScale>
    </cfRule>
    <cfRule type="colorScale" priority="10596">
      <colorScale>
        <cfvo type="min"/>
        <cfvo type="max"/>
        <color rgb="FFFF0000"/>
        <color rgb="FF92D050"/>
      </colorScale>
    </cfRule>
    <cfRule type="colorScale" priority="10597">
      <colorScale>
        <cfvo type="min"/>
        <cfvo type="percentile" val="50"/>
        <cfvo type="max"/>
        <color rgb="FF5A8AC6"/>
        <color rgb="FFFCFCFF"/>
        <color rgb="FFF8696B"/>
      </colorScale>
    </cfRule>
    <cfRule type="colorScale" priority="10598">
      <colorScale>
        <cfvo type="formula" val="&quot;&gt;20&quot;"/>
        <cfvo type="formula" val="35"/>
        <color rgb="FFF8696B"/>
        <color rgb="FFFCFCFF"/>
      </colorScale>
    </cfRule>
    <cfRule type="colorScale" priority="10599">
      <colorScale>
        <cfvo type="min"/>
        <cfvo type="max"/>
        <color rgb="FFFFEF9C"/>
        <color rgb="FF63BE7B"/>
      </colorScale>
    </cfRule>
  </conditionalFormatting>
  <conditionalFormatting sqref="S1192:S1208">
    <cfRule type="containsText" dxfId="5114" priority="10591" operator="containsText" text="Short Buildup">
      <formula>NOT(ISERROR(SEARCH("Short Buildup",S1192)))</formula>
    </cfRule>
    <cfRule type="containsText" dxfId="5113" priority="10592" operator="containsText" text="Long Liquidation">
      <formula>NOT(ISERROR(SEARCH("Long Liquidation",S1192)))</formula>
    </cfRule>
    <cfRule type="containsText" dxfId="5112" priority="10593" operator="containsText" text="Short covering">
      <formula>NOT(ISERROR(SEARCH("Short covering",S1192)))</formula>
    </cfRule>
    <cfRule type="containsText" dxfId="5111" priority="10594" operator="containsText" text="Long Buildup">
      <formula>NOT(ISERROR(SEARCH("Long Buildup",S1192)))</formula>
    </cfRule>
  </conditionalFormatting>
  <conditionalFormatting sqref="F1192:F1207">
    <cfRule type="dataBar" priority="10590">
      <dataBar>
        <cfvo type="min"/>
        <cfvo type="max"/>
        <color rgb="FFFF555A"/>
      </dataBar>
    </cfRule>
  </conditionalFormatting>
  <conditionalFormatting sqref="G1192:G1207">
    <cfRule type="dataBar" priority="10589">
      <dataBar>
        <cfvo type="min"/>
        <cfvo type="max"/>
        <color rgb="FFFF555A"/>
      </dataBar>
    </cfRule>
  </conditionalFormatting>
  <conditionalFormatting sqref="H1192">
    <cfRule type="dataBar" priority="10588">
      <dataBar>
        <cfvo type="min"/>
        <cfvo type="max"/>
        <color rgb="FFFF555A"/>
      </dataBar>
    </cfRule>
  </conditionalFormatting>
  <conditionalFormatting sqref="I1192">
    <cfRule type="dataBar" priority="10587">
      <dataBar>
        <cfvo type="min"/>
        <cfvo type="max"/>
        <color rgb="FFFF555A"/>
      </dataBar>
    </cfRule>
  </conditionalFormatting>
  <conditionalFormatting sqref="J1192">
    <cfRule type="dataBar" priority="10586">
      <dataBar>
        <cfvo type="min"/>
        <cfvo type="max"/>
        <color rgb="FFFF555A"/>
      </dataBar>
    </cfRule>
  </conditionalFormatting>
  <conditionalFormatting sqref="E1193:E1207">
    <cfRule type="dataBar" priority="10585">
      <dataBar>
        <cfvo type="min"/>
        <cfvo type="max"/>
        <color rgb="FFFF555A"/>
      </dataBar>
    </cfRule>
  </conditionalFormatting>
  <conditionalFormatting sqref="H1193:H1207">
    <cfRule type="dataBar" priority="10584">
      <dataBar>
        <cfvo type="min"/>
        <cfvo type="max"/>
        <color rgb="FFFF555A"/>
      </dataBar>
    </cfRule>
  </conditionalFormatting>
  <conditionalFormatting sqref="I1193:I1207">
    <cfRule type="dataBar" priority="10583">
      <dataBar>
        <cfvo type="min"/>
        <cfvo type="max"/>
        <color rgb="FFFF555A"/>
      </dataBar>
    </cfRule>
  </conditionalFormatting>
  <conditionalFormatting sqref="J1193:J1207">
    <cfRule type="dataBar" priority="10582">
      <dataBar>
        <cfvo type="min"/>
        <cfvo type="max"/>
        <color rgb="FFFF555A"/>
      </dataBar>
    </cfRule>
  </conditionalFormatting>
  <conditionalFormatting sqref="L1192:L1207">
    <cfRule type="dataBar" priority="10581">
      <dataBar>
        <cfvo type="min"/>
        <cfvo type="max"/>
        <color rgb="FFFF555A"/>
      </dataBar>
    </cfRule>
  </conditionalFormatting>
  <conditionalFormatting sqref="M1192:M1207">
    <cfRule type="dataBar" priority="10580">
      <dataBar>
        <cfvo type="min"/>
        <cfvo type="max"/>
        <color rgb="FFFF555A"/>
      </dataBar>
    </cfRule>
  </conditionalFormatting>
  <conditionalFormatting sqref="N1192:N1207">
    <cfRule type="dataBar" priority="10579">
      <dataBar>
        <cfvo type="min"/>
        <cfvo type="max"/>
        <color rgb="FFFF555A"/>
      </dataBar>
    </cfRule>
  </conditionalFormatting>
  <conditionalFormatting sqref="Q1192:Q1207">
    <cfRule type="dataBar" priority="10578">
      <dataBar>
        <cfvo type="min"/>
        <cfvo type="max"/>
        <color rgb="FFFF555A"/>
      </dataBar>
    </cfRule>
  </conditionalFormatting>
  <conditionalFormatting sqref="O1192:O1207">
    <cfRule type="dataBar" priority="10577">
      <dataBar>
        <cfvo type="min"/>
        <cfvo type="max"/>
        <color rgb="FFFF555A"/>
      </dataBar>
    </cfRule>
  </conditionalFormatting>
  <conditionalFormatting sqref="P1192:P1207">
    <cfRule type="dataBar" priority="10576">
      <dataBar>
        <cfvo type="min"/>
        <cfvo type="max"/>
        <color rgb="FFFF555A"/>
      </dataBar>
    </cfRule>
  </conditionalFormatting>
  <conditionalFormatting sqref="R1209:R1225 D1209:D1224 C1225">
    <cfRule type="containsText" dxfId="5110" priority="10575" operator="containsText" text="DOWN">
      <formula>NOT(ISERROR(SEARCH("DOWN",C1209)))</formula>
    </cfRule>
  </conditionalFormatting>
  <conditionalFormatting sqref="R1209:R1225 D1209:D1224 C1225">
    <cfRule type="containsText" dxfId="5109" priority="10574" operator="containsText" text="UP">
      <formula>NOT(ISERROR(SEARCH("UP",C1209)))</formula>
    </cfRule>
  </conditionalFormatting>
  <conditionalFormatting sqref="I1225">
    <cfRule type="colorScale" priority="10573">
      <colorScale>
        <cfvo type="min"/>
        <cfvo type="max"/>
        <color rgb="FFFFEF9C"/>
        <color rgb="FF63BE7B"/>
      </colorScale>
    </cfRule>
  </conditionalFormatting>
  <conditionalFormatting sqref="M1225">
    <cfRule type="colorScale" priority="10572">
      <colorScale>
        <cfvo type="min"/>
        <cfvo type="max"/>
        <color rgb="FFFF7128"/>
        <color rgb="FFFFEF9C"/>
      </colorScale>
    </cfRule>
  </conditionalFormatting>
  <conditionalFormatting sqref="Q1225">
    <cfRule type="dataBar" priority="10571">
      <dataBar>
        <cfvo type="min"/>
        <cfvo type="max"/>
        <color rgb="FFFF555A"/>
      </dataBar>
    </cfRule>
  </conditionalFormatting>
  <conditionalFormatting sqref="E1209:E1225">
    <cfRule type="dataBar" priority="10570">
      <dataBar>
        <cfvo type="min"/>
        <cfvo type="max"/>
        <color rgb="FFFF555A"/>
      </dataBar>
    </cfRule>
  </conditionalFormatting>
  <conditionalFormatting sqref="F1225">
    <cfRule type="top10" dxfId="5108" priority="10569" rank="1"/>
  </conditionalFormatting>
  <conditionalFormatting sqref="G1225 P1225">
    <cfRule type="cellIs" dxfId="5107" priority="10568" operator="equal">
      <formula>$G$135</formula>
    </cfRule>
  </conditionalFormatting>
  <conditionalFormatting sqref="P1225">
    <cfRule type="cellIs" dxfId="5106" priority="10567" operator="equal">
      <formula>$J$135</formula>
    </cfRule>
  </conditionalFormatting>
  <conditionalFormatting sqref="G1225 P1225">
    <cfRule type="cellIs" dxfId="5105" priority="10566" operator="equal">
      <formula>#REF!</formula>
    </cfRule>
  </conditionalFormatting>
  <conditionalFormatting sqref="G1225">
    <cfRule type="top10" dxfId="5104" priority="10564" rank="1"/>
    <cfRule type="cellIs" dxfId="5103" priority="10565" operator="equal">
      <formula>$G$133</formula>
    </cfRule>
  </conditionalFormatting>
  <conditionalFormatting sqref="P1225">
    <cfRule type="top10" dxfId="5102" priority="10562" rank="1"/>
    <cfRule type="cellIs" dxfId="5101" priority="10563" operator="equal">
      <formula>$G$133</formula>
    </cfRule>
  </conditionalFormatting>
  <conditionalFormatting sqref="C1209:C1224">
    <cfRule type="containsText" dxfId="5100" priority="10558" operator="containsText" text="Short Buildup">
      <formula>NOT(ISERROR(SEARCH("Short Buildup",C1209)))</formula>
    </cfRule>
    <cfRule type="containsText" dxfId="5099" priority="10559" operator="containsText" text="Long Liquidation">
      <formula>NOT(ISERROR(SEARCH("Long Liquidation",C1209)))</formula>
    </cfRule>
    <cfRule type="containsText" dxfId="5098" priority="10560" operator="containsText" text="Short covering">
      <formula>NOT(ISERROR(SEARCH("Short covering",C1209)))</formula>
    </cfRule>
    <cfRule type="containsText" dxfId="5097" priority="10561" operator="containsText" text="Long Buildup">
      <formula>NOT(ISERROR(SEARCH("Long Buildup",C1209)))</formula>
    </cfRule>
  </conditionalFormatting>
  <conditionalFormatting sqref="H1225">
    <cfRule type="colorScale" priority="10553">
      <colorScale>
        <cfvo type="min"/>
        <cfvo type="percentile" val="20"/>
        <cfvo type="max"/>
        <color rgb="FF92D050"/>
        <color theme="5" tint="0.79998168889431442"/>
        <color rgb="FFFF0000"/>
      </colorScale>
    </cfRule>
    <cfRule type="colorScale" priority="10554">
      <colorScale>
        <cfvo type="min"/>
        <cfvo type="max"/>
        <color rgb="FFFF0000"/>
        <color rgb="FF92D050"/>
      </colorScale>
    </cfRule>
    <cfRule type="colorScale" priority="10555">
      <colorScale>
        <cfvo type="min"/>
        <cfvo type="percentile" val="50"/>
        <cfvo type="max"/>
        <color rgb="FF5A8AC6"/>
        <color rgb="FFFCFCFF"/>
        <color rgb="FFF8696B"/>
      </colorScale>
    </cfRule>
    <cfRule type="colorScale" priority="10556">
      <colorScale>
        <cfvo type="formula" val="&quot;&gt;20&quot;"/>
        <cfvo type="formula" val="35"/>
        <color rgb="FFF8696B"/>
        <color rgb="FFFCFCFF"/>
      </colorScale>
    </cfRule>
    <cfRule type="colorScale" priority="10557">
      <colorScale>
        <cfvo type="min"/>
        <cfvo type="max"/>
        <color rgb="FFFFEF9C"/>
        <color rgb="FF63BE7B"/>
      </colorScale>
    </cfRule>
  </conditionalFormatting>
  <conditionalFormatting sqref="N1225">
    <cfRule type="colorScale" priority="10548">
      <colorScale>
        <cfvo type="min"/>
        <cfvo type="percentile" val="20"/>
        <cfvo type="max"/>
        <color rgb="FF92D050"/>
        <color theme="5" tint="0.79998168889431442"/>
        <color rgb="FFFF0000"/>
      </colorScale>
    </cfRule>
    <cfRule type="colorScale" priority="10549">
      <colorScale>
        <cfvo type="min"/>
        <cfvo type="max"/>
        <color rgb="FFFF0000"/>
        <color rgb="FF92D050"/>
      </colorScale>
    </cfRule>
    <cfRule type="colorScale" priority="10550">
      <colorScale>
        <cfvo type="min"/>
        <cfvo type="percentile" val="50"/>
        <cfvo type="max"/>
        <color rgb="FF5A8AC6"/>
        <color rgb="FFFCFCFF"/>
        <color rgb="FFF8696B"/>
      </colorScale>
    </cfRule>
    <cfRule type="colorScale" priority="10551">
      <colorScale>
        <cfvo type="formula" val="&quot;&gt;20&quot;"/>
        <cfvo type="formula" val="35"/>
        <color rgb="FFF8696B"/>
        <color rgb="FFFCFCFF"/>
      </colorScale>
    </cfRule>
    <cfRule type="colorScale" priority="10552">
      <colorScale>
        <cfvo type="min"/>
        <cfvo type="max"/>
        <color rgb="FFFFEF9C"/>
        <color rgb="FF63BE7B"/>
      </colorScale>
    </cfRule>
  </conditionalFormatting>
  <conditionalFormatting sqref="S1209:S1225">
    <cfRule type="containsText" dxfId="5096" priority="10544" operator="containsText" text="Short Buildup">
      <formula>NOT(ISERROR(SEARCH("Short Buildup",S1209)))</formula>
    </cfRule>
    <cfRule type="containsText" dxfId="5095" priority="10545" operator="containsText" text="Long Liquidation">
      <formula>NOT(ISERROR(SEARCH("Long Liquidation",S1209)))</formula>
    </cfRule>
    <cfRule type="containsText" dxfId="5094" priority="10546" operator="containsText" text="Short covering">
      <formula>NOT(ISERROR(SEARCH("Short covering",S1209)))</formula>
    </cfRule>
    <cfRule type="containsText" dxfId="5093" priority="10547" operator="containsText" text="Long Buildup">
      <formula>NOT(ISERROR(SEARCH("Long Buildup",S1209)))</formula>
    </cfRule>
  </conditionalFormatting>
  <conditionalFormatting sqref="F1209:F1224">
    <cfRule type="dataBar" priority="10543">
      <dataBar>
        <cfvo type="min"/>
        <cfvo type="max"/>
        <color rgb="FFFF555A"/>
      </dataBar>
    </cfRule>
  </conditionalFormatting>
  <conditionalFormatting sqref="G1209:G1224">
    <cfRule type="dataBar" priority="10542">
      <dataBar>
        <cfvo type="min"/>
        <cfvo type="max"/>
        <color rgb="FFFF555A"/>
      </dataBar>
    </cfRule>
  </conditionalFormatting>
  <conditionalFormatting sqref="H1209">
    <cfRule type="dataBar" priority="10541">
      <dataBar>
        <cfvo type="min"/>
        <cfvo type="max"/>
        <color rgb="FFFF555A"/>
      </dataBar>
    </cfRule>
  </conditionalFormatting>
  <conditionalFormatting sqref="I1209">
    <cfRule type="dataBar" priority="10540">
      <dataBar>
        <cfvo type="min"/>
        <cfvo type="max"/>
        <color rgb="FFFF555A"/>
      </dataBar>
    </cfRule>
  </conditionalFormatting>
  <conditionalFormatting sqref="J1209">
    <cfRule type="dataBar" priority="10539">
      <dataBar>
        <cfvo type="min"/>
        <cfvo type="max"/>
        <color rgb="FFFF555A"/>
      </dataBar>
    </cfRule>
  </conditionalFormatting>
  <conditionalFormatting sqref="E1210:E1224">
    <cfRule type="dataBar" priority="10538">
      <dataBar>
        <cfvo type="min"/>
        <cfvo type="max"/>
        <color rgb="FFFF555A"/>
      </dataBar>
    </cfRule>
  </conditionalFormatting>
  <conditionalFormatting sqref="H1210:H1224">
    <cfRule type="dataBar" priority="10537">
      <dataBar>
        <cfvo type="min"/>
        <cfvo type="max"/>
        <color rgb="FFFF555A"/>
      </dataBar>
    </cfRule>
  </conditionalFormatting>
  <conditionalFormatting sqref="I1210:I1224">
    <cfRule type="dataBar" priority="10536">
      <dataBar>
        <cfvo type="min"/>
        <cfvo type="max"/>
        <color rgb="FFFF555A"/>
      </dataBar>
    </cfRule>
  </conditionalFormatting>
  <conditionalFormatting sqref="J1210:J1224">
    <cfRule type="dataBar" priority="10535">
      <dataBar>
        <cfvo type="min"/>
        <cfvo type="max"/>
        <color rgb="FFFF555A"/>
      </dataBar>
    </cfRule>
  </conditionalFormatting>
  <conditionalFormatting sqref="L1209:L1224">
    <cfRule type="dataBar" priority="10534">
      <dataBar>
        <cfvo type="min"/>
        <cfvo type="max"/>
        <color rgb="FFFF555A"/>
      </dataBar>
    </cfRule>
  </conditionalFormatting>
  <conditionalFormatting sqref="M1209:M1224">
    <cfRule type="dataBar" priority="10533">
      <dataBar>
        <cfvo type="min"/>
        <cfvo type="max"/>
        <color rgb="FFFF555A"/>
      </dataBar>
    </cfRule>
  </conditionalFormatting>
  <conditionalFormatting sqref="N1209:N1224">
    <cfRule type="dataBar" priority="10532">
      <dataBar>
        <cfvo type="min"/>
        <cfvo type="max"/>
        <color rgb="FFFF555A"/>
      </dataBar>
    </cfRule>
  </conditionalFormatting>
  <conditionalFormatting sqref="Q1209:Q1224">
    <cfRule type="dataBar" priority="10531">
      <dataBar>
        <cfvo type="min"/>
        <cfvo type="max"/>
        <color rgb="FFFF555A"/>
      </dataBar>
    </cfRule>
  </conditionalFormatting>
  <conditionalFormatting sqref="O1209:O1224">
    <cfRule type="dataBar" priority="10530">
      <dataBar>
        <cfvo type="min"/>
        <cfvo type="max"/>
        <color rgb="FFFF555A"/>
      </dataBar>
    </cfRule>
  </conditionalFormatting>
  <conditionalFormatting sqref="P1209:P1224">
    <cfRule type="dataBar" priority="10529">
      <dataBar>
        <cfvo type="min"/>
        <cfvo type="max"/>
        <color rgb="FFFF555A"/>
      </dataBar>
    </cfRule>
  </conditionalFormatting>
  <conditionalFormatting sqref="R1226:R1242 D1226:D1241 C1242">
    <cfRule type="containsText" dxfId="5092" priority="10528" operator="containsText" text="DOWN">
      <formula>NOT(ISERROR(SEARCH("DOWN",C1226)))</formula>
    </cfRule>
  </conditionalFormatting>
  <conditionalFormatting sqref="R1226:R1242 D1226:D1241 C1242">
    <cfRule type="containsText" dxfId="5091" priority="10527" operator="containsText" text="UP">
      <formula>NOT(ISERROR(SEARCH("UP",C1226)))</formula>
    </cfRule>
  </conditionalFormatting>
  <conditionalFormatting sqref="I1242">
    <cfRule type="colorScale" priority="10526">
      <colorScale>
        <cfvo type="min"/>
        <cfvo type="max"/>
        <color rgb="FFFFEF9C"/>
        <color rgb="FF63BE7B"/>
      </colorScale>
    </cfRule>
  </conditionalFormatting>
  <conditionalFormatting sqref="M1242">
    <cfRule type="colorScale" priority="10525">
      <colorScale>
        <cfvo type="min"/>
        <cfvo type="max"/>
        <color rgb="FFFF7128"/>
        <color rgb="FFFFEF9C"/>
      </colorScale>
    </cfRule>
  </conditionalFormatting>
  <conditionalFormatting sqref="Q1242">
    <cfRule type="dataBar" priority="10524">
      <dataBar>
        <cfvo type="min"/>
        <cfvo type="max"/>
        <color rgb="FFFF555A"/>
      </dataBar>
    </cfRule>
  </conditionalFormatting>
  <conditionalFormatting sqref="E1226:E1242">
    <cfRule type="dataBar" priority="10523">
      <dataBar>
        <cfvo type="min"/>
        <cfvo type="max"/>
        <color rgb="FFFF555A"/>
      </dataBar>
    </cfRule>
  </conditionalFormatting>
  <conditionalFormatting sqref="F1242">
    <cfRule type="top10" dxfId="5090" priority="10522" rank="1"/>
  </conditionalFormatting>
  <conditionalFormatting sqref="G1242 P1242">
    <cfRule type="cellIs" dxfId="5089" priority="10521" operator="equal">
      <formula>$G$135</formula>
    </cfRule>
  </conditionalFormatting>
  <conditionalFormatting sqref="P1242">
    <cfRule type="cellIs" dxfId="5088" priority="10520" operator="equal">
      <formula>$J$135</formula>
    </cfRule>
  </conditionalFormatting>
  <conditionalFormatting sqref="G1242 P1242">
    <cfRule type="cellIs" dxfId="5087" priority="10519" operator="equal">
      <formula>#REF!</formula>
    </cfRule>
  </conditionalFormatting>
  <conditionalFormatting sqref="G1242">
    <cfRule type="top10" dxfId="5086" priority="10517" rank="1"/>
    <cfRule type="cellIs" dxfId="5085" priority="10518" operator="equal">
      <formula>$G$133</formula>
    </cfRule>
  </conditionalFormatting>
  <conditionalFormatting sqref="P1242">
    <cfRule type="top10" dxfId="5084" priority="10515" rank="1"/>
    <cfRule type="cellIs" dxfId="5083" priority="10516" operator="equal">
      <formula>$G$133</formula>
    </cfRule>
  </conditionalFormatting>
  <conditionalFormatting sqref="C1226:C1241">
    <cfRule type="containsText" dxfId="5082" priority="10511" operator="containsText" text="Short Buildup">
      <formula>NOT(ISERROR(SEARCH("Short Buildup",C1226)))</formula>
    </cfRule>
    <cfRule type="containsText" dxfId="5081" priority="10512" operator="containsText" text="Long Liquidation">
      <formula>NOT(ISERROR(SEARCH("Long Liquidation",C1226)))</formula>
    </cfRule>
    <cfRule type="containsText" dxfId="5080" priority="10513" operator="containsText" text="Short covering">
      <formula>NOT(ISERROR(SEARCH("Short covering",C1226)))</formula>
    </cfRule>
    <cfRule type="containsText" dxfId="5079" priority="10514" operator="containsText" text="Long Buildup">
      <formula>NOT(ISERROR(SEARCH("Long Buildup",C1226)))</formula>
    </cfRule>
  </conditionalFormatting>
  <conditionalFormatting sqref="H1242">
    <cfRule type="colorScale" priority="10506">
      <colorScale>
        <cfvo type="min"/>
        <cfvo type="percentile" val="20"/>
        <cfvo type="max"/>
        <color rgb="FF92D050"/>
        <color theme="5" tint="0.79998168889431442"/>
        <color rgb="FFFF0000"/>
      </colorScale>
    </cfRule>
    <cfRule type="colorScale" priority="10507">
      <colorScale>
        <cfvo type="min"/>
        <cfvo type="max"/>
        <color rgb="FFFF0000"/>
        <color rgb="FF92D050"/>
      </colorScale>
    </cfRule>
    <cfRule type="colorScale" priority="10508">
      <colorScale>
        <cfvo type="min"/>
        <cfvo type="percentile" val="50"/>
        <cfvo type="max"/>
        <color rgb="FF5A8AC6"/>
        <color rgb="FFFCFCFF"/>
        <color rgb="FFF8696B"/>
      </colorScale>
    </cfRule>
    <cfRule type="colorScale" priority="10509">
      <colorScale>
        <cfvo type="formula" val="&quot;&gt;20&quot;"/>
        <cfvo type="formula" val="35"/>
        <color rgb="FFF8696B"/>
        <color rgb="FFFCFCFF"/>
      </colorScale>
    </cfRule>
    <cfRule type="colorScale" priority="10510">
      <colorScale>
        <cfvo type="min"/>
        <cfvo type="max"/>
        <color rgb="FFFFEF9C"/>
        <color rgb="FF63BE7B"/>
      </colorScale>
    </cfRule>
  </conditionalFormatting>
  <conditionalFormatting sqref="N1242">
    <cfRule type="colorScale" priority="10501">
      <colorScale>
        <cfvo type="min"/>
        <cfvo type="percentile" val="20"/>
        <cfvo type="max"/>
        <color rgb="FF92D050"/>
        <color theme="5" tint="0.79998168889431442"/>
        <color rgb="FFFF0000"/>
      </colorScale>
    </cfRule>
    <cfRule type="colorScale" priority="10502">
      <colorScale>
        <cfvo type="min"/>
        <cfvo type="max"/>
        <color rgb="FFFF0000"/>
        <color rgb="FF92D050"/>
      </colorScale>
    </cfRule>
    <cfRule type="colorScale" priority="10503">
      <colorScale>
        <cfvo type="min"/>
        <cfvo type="percentile" val="50"/>
        <cfvo type="max"/>
        <color rgb="FF5A8AC6"/>
        <color rgb="FFFCFCFF"/>
        <color rgb="FFF8696B"/>
      </colorScale>
    </cfRule>
    <cfRule type="colorScale" priority="10504">
      <colorScale>
        <cfvo type="formula" val="&quot;&gt;20&quot;"/>
        <cfvo type="formula" val="35"/>
        <color rgb="FFF8696B"/>
        <color rgb="FFFCFCFF"/>
      </colorScale>
    </cfRule>
    <cfRule type="colorScale" priority="10505">
      <colorScale>
        <cfvo type="min"/>
        <cfvo type="max"/>
        <color rgb="FFFFEF9C"/>
        <color rgb="FF63BE7B"/>
      </colorScale>
    </cfRule>
  </conditionalFormatting>
  <conditionalFormatting sqref="S1226:S1242">
    <cfRule type="containsText" dxfId="5078" priority="10497" operator="containsText" text="Short Buildup">
      <formula>NOT(ISERROR(SEARCH("Short Buildup",S1226)))</formula>
    </cfRule>
    <cfRule type="containsText" dxfId="5077" priority="10498" operator="containsText" text="Long Liquidation">
      <formula>NOT(ISERROR(SEARCH("Long Liquidation",S1226)))</formula>
    </cfRule>
    <cfRule type="containsText" dxfId="5076" priority="10499" operator="containsText" text="Short covering">
      <formula>NOT(ISERROR(SEARCH("Short covering",S1226)))</formula>
    </cfRule>
    <cfRule type="containsText" dxfId="5075" priority="10500" operator="containsText" text="Long Buildup">
      <formula>NOT(ISERROR(SEARCH("Long Buildup",S1226)))</formula>
    </cfRule>
  </conditionalFormatting>
  <conditionalFormatting sqref="F1226:F1241">
    <cfRule type="dataBar" priority="10496">
      <dataBar>
        <cfvo type="min"/>
        <cfvo type="max"/>
        <color rgb="FFFF555A"/>
      </dataBar>
    </cfRule>
  </conditionalFormatting>
  <conditionalFormatting sqref="G1226:G1241">
    <cfRule type="dataBar" priority="10495">
      <dataBar>
        <cfvo type="min"/>
        <cfvo type="max"/>
        <color rgb="FFFF555A"/>
      </dataBar>
    </cfRule>
  </conditionalFormatting>
  <conditionalFormatting sqref="H1226">
    <cfRule type="dataBar" priority="10494">
      <dataBar>
        <cfvo type="min"/>
        <cfvo type="max"/>
        <color rgb="FFFF555A"/>
      </dataBar>
    </cfRule>
  </conditionalFormatting>
  <conditionalFormatting sqref="I1226">
    <cfRule type="dataBar" priority="10493">
      <dataBar>
        <cfvo type="min"/>
        <cfvo type="max"/>
        <color rgb="FFFF555A"/>
      </dataBar>
    </cfRule>
  </conditionalFormatting>
  <conditionalFormatting sqref="J1226">
    <cfRule type="dataBar" priority="10492">
      <dataBar>
        <cfvo type="min"/>
        <cfvo type="max"/>
        <color rgb="FFFF555A"/>
      </dataBar>
    </cfRule>
  </conditionalFormatting>
  <conditionalFormatting sqref="E1227:E1241">
    <cfRule type="dataBar" priority="10491">
      <dataBar>
        <cfvo type="min"/>
        <cfvo type="max"/>
        <color rgb="FFFF555A"/>
      </dataBar>
    </cfRule>
  </conditionalFormatting>
  <conditionalFormatting sqref="H1227:H1241">
    <cfRule type="dataBar" priority="10490">
      <dataBar>
        <cfvo type="min"/>
        <cfvo type="max"/>
        <color rgb="FFFF555A"/>
      </dataBar>
    </cfRule>
  </conditionalFormatting>
  <conditionalFormatting sqref="I1227:I1241">
    <cfRule type="dataBar" priority="10489">
      <dataBar>
        <cfvo type="min"/>
        <cfvo type="max"/>
        <color rgb="FFFF555A"/>
      </dataBar>
    </cfRule>
  </conditionalFormatting>
  <conditionalFormatting sqref="J1227:J1241">
    <cfRule type="dataBar" priority="10488">
      <dataBar>
        <cfvo type="min"/>
        <cfvo type="max"/>
        <color rgb="FFFF555A"/>
      </dataBar>
    </cfRule>
  </conditionalFormatting>
  <conditionalFormatting sqref="L1226:L1241">
    <cfRule type="dataBar" priority="10487">
      <dataBar>
        <cfvo type="min"/>
        <cfvo type="max"/>
        <color rgb="FFFF555A"/>
      </dataBar>
    </cfRule>
  </conditionalFormatting>
  <conditionalFormatting sqref="M1226:M1241">
    <cfRule type="dataBar" priority="10486">
      <dataBar>
        <cfvo type="min"/>
        <cfvo type="max"/>
        <color rgb="FFFF555A"/>
      </dataBar>
    </cfRule>
  </conditionalFormatting>
  <conditionalFormatting sqref="N1226:N1241">
    <cfRule type="dataBar" priority="10485">
      <dataBar>
        <cfvo type="min"/>
        <cfvo type="max"/>
        <color rgb="FFFF555A"/>
      </dataBar>
    </cfRule>
  </conditionalFormatting>
  <conditionalFormatting sqref="Q1226:Q1241">
    <cfRule type="dataBar" priority="10484">
      <dataBar>
        <cfvo type="min"/>
        <cfvo type="max"/>
        <color rgb="FFFF555A"/>
      </dataBar>
    </cfRule>
  </conditionalFormatting>
  <conditionalFormatting sqref="O1226:O1241">
    <cfRule type="dataBar" priority="10483">
      <dataBar>
        <cfvo type="min"/>
        <cfvo type="max"/>
        <color rgb="FFFF555A"/>
      </dataBar>
    </cfRule>
  </conditionalFormatting>
  <conditionalFormatting sqref="P1226:P1241">
    <cfRule type="dataBar" priority="10482">
      <dataBar>
        <cfvo type="min"/>
        <cfvo type="max"/>
        <color rgb="FFFF555A"/>
      </dataBar>
    </cfRule>
  </conditionalFormatting>
  <conditionalFormatting sqref="R1243:R1259 D1243:D1258 C1259">
    <cfRule type="containsText" dxfId="5074" priority="10481" operator="containsText" text="DOWN">
      <formula>NOT(ISERROR(SEARCH("DOWN",C1243)))</formula>
    </cfRule>
  </conditionalFormatting>
  <conditionalFormatting sqref="R1243:R1259 D1243:D1258 C1259">
    <cfRule type="containsText" dxfId="5073" priority="10480" operator="containsText" text="UP">
      <formula>NOT(ISERROR(SEARCH("UP",C1243)))</formula>
    </cfRule>
  </conditionalFormatting>
  <conditionalFormatting sqref="I1259">
    <cfRule type="colorScale" priority="10479">
      <colorScale>
        <cfvo type="min"/>
        <cfvo type="max"/>
        <color rgb="FFFFEF9C"/>
        <color rgb="FF63BE7B"/>
      </colorScale>
    </cfRule>
  </conditionalFormatting>
  <conditionalFormatting sqref="M1259">
    <cfRule type="colorScale" priority="10478">
      <colorScale>
        <cfvo type="min"/>
        <cfvo type="max"/>
        <color rgb="FFFF7128"/>
        <color rgb="FFFFEF9C"/>
      </colorScale>
    </cfRule>
  </conditionalFormatting>
  <conditionalFormatting sqref="Q1259">
    <cfRule type="dataBar" priority="10477">
      <dataBar>
        <cfvo type="min"/>
        <cfvo type="max"/>
        <color rgb="FFFF555A"/>
      </dataBar>
    </cfRule>
  </conditionalFormatting>
  <conditionalFormatting sqref="E1243:E1259">
    <cfRule type="dataBar" priority="10476">
      <dataBar>
        <cfvo type="min"/>
        <cfvo type="max"/>
        <color rgb="FFFF555A"/>
      </dataBar>
    </cfRule>
  </conditionalFormatting>
  <conditionalFormatting sqref="F1259">
    <cfRule type="top10" dxfId="5072" priority="10475" rank="1"/>
  </conditionalFormatting>
  <conditionalFormatting sqref="G1259 P1259">
    <cfRule type="cellIs" dxfId="5071" priority="10474" operator="equal">
      <formula>$G$135</formula>
    </cfRule>
  </conditionalFormatting>
  <conditionalFormatting sqref="P1259">
    <cfRule type="cellIs" dxfId="5070" priority="10473" operator="equal">
      <formula>$J$135</formula>
    </cfRule>
  </conditionalFormatting>
  <conditionalFormatting sqref="G1259 P1259">
    <cfRule type="cellIs" dxfId="5069" priority="10472" operator="equal">
      <formula>#REF!</formula>
    </cfRule>
  </conditionalFormatting>
  <conditionalFormatting sqref="G1259">
    <cfRule type="top10" dxfId="5068" priority="10470" rank="1"/>
    <cfRule type="cellIs" dxfId="5067" priority="10471" operator="equal">
      <formula>$G$133</formula>
    </cfRule>
  </conditionalFormatting>
  <conditionalFormatting sqref="P1259">
    <cfRule type="top10" dxfId="5066" priority="10468" rank="1"/>
    <cfRule type="cellIs" dxfId="5065" priority="10469" operator="equal">
      <formula>$G$133</formula>
    </cfRule>
  </conditionalFormatting>
  <conditionalFormatting sqref="C1243:C1258">
    <cfRule type="containsText" dxfId="5064" priority="10464" operator="containsText" text="Short Buildup">
      <formula>NOT(ISERROR(SEARCH("Short Buildup",C1243)))</formula>
    </cfRule>
    <cfRule type="containsText" dxfId="5063" priority="10465" operator="containsText" text="Long Liquidation">
      <formula>NOT(ISERROR(SEARCH("Long Liquidation",C1243)))</formula>
    </cfRule>
    <cfRule type="containsText" dxfId="5062" priority="10466" operator="containsText" text="Short covering">
      <formula>NOT(ISERROR(SEARCH("Short covering",C1243)))</formula>
    </cfRule>
    <cfRule type="containsText" dxfId="5061" priority="10467" operator="containsText" text="Long Buildup">
      <formula>NOT(ISERROR(SEARCH("Long Buildup",C1243)))</formula>
    </cfRule>
  </conditionalFormatting>
  <conditionalFormatting sqref="H1259">
    <cfRule type="colorScale" priority="10459">
      <colorScale>
        <cfvo type="min"/>
        <cfvo type="percentile" val="20"/>
        <cfvo type="max"/>
        <color rgb="FF92D050"/>
        <color theme="5" tint="0.79998168889431442"/>
        <color rgb="FFFF0000"/>
      </colorScale>
    </cfRule>
    <cfRule type="colorScale" priority="10460">
      <colorScale>
        <cfvo type="min"/>
        <cfvo type="max"/>
        <color rgb="FFFF0000"/>
        <color rgb="FF92D050"/>
      </colorScale>
    </cfRule>
    <cfRule type="colorScale" priority="10461">
      <colorScale>
        <cfvo type="min"/>
        <cfvo type="percentile" val="50"/>
        <cfvo type="max"/>
        <color rgb="FF5A8AC6"/>
        <color rgb="FFFCFCFF"/>
        <color rgb="FFF8696B"/>
      </colorScale>
    </cfRule>
    <cfRule type="colorScale" priority="10462">
      <colorScale>
        <cfvo type="formula" val="&quot;&gt;20&quot;"/>
        <cfvo type="formula" val="35"/>
        <color rgb="FFF8696B"/>
        <color rgb="FFFCFCFF"/>
      </colorScale>
    </cfRule>
    <cfRule type="colorScale" priority="10463">
      <colorScale>
        <cfvo type="min"/>
        <cfvo type="max"/>
        <color rgb="FFFFEF9C"/>
        <color rgb="FF63BE7B"/>
      </colorScale>
    </cfRule>
  </conditionalFormatting>
  <conditionalFormatting sqref="N1259">
    <cfRule type="colorScale" priority="10454">
      <colorScale>
        <cfvo type="min"/>
        <cfvo type="percentile" val="20"/>
        <cfvo type="max"/>
        <color rgb="FF92D050"/>
        <color theme="5" tint="0.79998168889431442"/>
        <color rgb="FFFF0000"/>
      </colorScale>
    </cfRule>
    <cfRule type="colorScale" priority="10455">
      <colorScale>
        <cfvo type="min"/>
        <cfvo type="max"/>
        <color rgb="FFFF0000"/>
        <color rgb="FF92D050"/>
      </colorScale>
    </cfRule>
    <cfRule type="colorScale" priority="10456">
      <colorScale>
        <cfvo type="min"/>
        <cfvo type="percentile" val="50"/>
        <cfvo type="max"/>
        <color rgb="FF5A8AC6"/>
        <color rgb="FFFCFCFF"/>
        <color rgb="FFF8696B"/>
      </colorScale>
    </cfRule>
    <cfRule type="colorScale" priority="10457">
      <colorScale>
        <cfvo type="formula" val="&quot;&gt;20&quot;"/>
        <cfvo type="formula" val="35"/>
        <color rgb="FFF8696B"/>
        <color rgb="FFFCFCFF"/>
      </colorScale>
    </cfRule>
    <cfRule type="colorScale" priority="10458">
      <colorScale>
        <cfvo type="min"/>
        <cfvo type="max"/>
        <color rgb="FFFFEF9C"/>
        <color rgb="FF63BE7B"/>
      </colorScale>
    </cfRule>
  </conditionalFormatting>
  <conditionalFormatting sqref="S1243:S1259">
    <cfRule type="containsText" dxfId="5060" priority="10450" operator="containsText" text="Short Buildup">
      <formula>NOT(ISERROR(SEARCH("Short Buildup",S1243)))</formula>
    </cfRule>
    <cfRule type="containsText" dxfId="5059" priority="10451" operator="containsText" text="Long Liquidation">
      <formula>NOT(ISERROR(SEARCH("Long Liquidation",S1243)))</formula>
    </cfRule>
    <cfRule type="containsText" dxfId="5058" priority="10452" operator="containsText" text="Short covering">
      <formula>NOT(ISERROR(SEARCH("Short covering",S1243)))</formula>
    </cfRule>
    <cfRule type="containsText" dxfId="5057" priority="10453" operator="containsText" text="Long Buildup">
      <formula>NOT(ISERROR(SEARCH("Long Buildup",S1243)))</formula>
    </cfRule>
  </conditionalFormatting>
  <conditionalFormatting sqref="F1243:F1258">
    <cfRule type="dataBar" priority="10449">
      <dataBar>
        <cfvo type="min"/>
        <cfvo type="max"/>
        <color rgb="FFFF555A"/>
      </dataBar>
    </cfRule>
  </conditionalFormatting>
  <conditionalFormatting sqref="G1243:G1258">
    <cfRule type="dataBar" priority="10448">
      <dataBar>
        <cfvo type="min"/>
        <cfvo type="max"/>
        <color rgb="FFFF555A"/>
      </dataBar>
    </cfRule>
  </conditionalFormatting>
  <conditionalFormatting sqref="H1243">
    <cfRule type="dataBar" priority="10447">
      <dataBar>
        <cfvo type="min"/>
        <cfvo type="max"/>
        <color rgb="FFFF555A"/>
      </dataBar>
    </cfRule>
  </conditionalFormatting>
  <conditionalFormatting sqref="I1243">
    <cfRule type="dataBar" priority="10446">
      <dataBar>
        <cfvo type="min"/>
        <cfvo type="max"/>
        <color rgb="FFFF555A"/>
      </dataBar>
    </cfRule>
  </conditionalFormatting>
  <conditionalFormatting sqref="J1243">
    <cfRule type="dataBar" priority="10445">
      <dataBar>
        <cfvo type="min"/>
        <cfvo type="max"/>
        <color rgb="FFFF555A"/>
      </dataBar>
    </cfRule>
  </conditionalFormatting>
  <conditionalFormatting sqref="E1244:E1258">
    <cfRule type="dataBar" priority="10444">
      <dataBar>
        <cfvo type="min"/>
        <cfvo type="max"/>
        <color rgb="FFFF555A"/>
      </dataBar>
    </cfRule>
  </conditionalFormatting>
  <conditionalFormatting sqref="H1244:H1258">
    <cfRule type="dataBar" priority="10443">
      <dataBar>
        <cfvo type="min"/>
        <cfvo type="max"/>
        <color rgb="FFFF555A"/>
      </dataBar>
    </cfRule>
  </conditionalFormatting>
  <conditionalFormatting sqref="I1244:I1258">
    <cfRule type="dataBar" priority="10442">
      <dataBar>
        <cfvo type="min"/>
        <cfvo type="max"/>
        <color rgb="FFFF555A"/>
      </dataBar>
    </cfRule>
  </conditionalFormatting>
  <conditionalFormatting sqref="J1244:J1258">
    <cfRule type="dataBar" priority="10441">
      <dataBar>
        <cfvo type="min"/>
        <cfvo type="max"/>
        <color rgb="FFFF555A"/>
      </dataBar>
    </cfRule>
  </conditionalFormatting>
  <conditionalFormatting sqref="L1243:L1258">
    <cfRule type="dataBar" priority="10440">
      <dataBar>
        <cfvo type="min"/>
        <cfvo type="max"/>
        <color rgb="FFFF555A"/>
      </dataBar>
    </cfRule>
  </conditionalFormatting>
  <conditionalFormatting sqref="M1243:M1258">
    <cfRule type="dataBar" priority="10439">
      <dataBar>
        <cfvo type="min"/>
        <cfvo type="max"/>
        <color rgb="FFFF555A"/>
      </dataBar>
    </cfRule>
  </conditionalFormatting>
  <conditionalFormatting sqref="N1243:N1258">
    <cfRule type="dataBar" priority="10438">
      <dataBar>
        <cfvo type="min"/>
        <cfvo type="max"/>
        <color rgb="FFFF555A"/>
      </dataBar>
    </cfRule>
  </conditionalFormatting>
  <conditionalFormatting sqref="Q1243:Q1258">
    <cfRule type="dataBar" priority="10437">
      <dataBar>
        <cfvo type="min"/>
        <cfvo type="max"/>
        <color rgb="FFFF555A"/>
      </dataBar>
    </cfRule>
  </conditionalFormatting>
  <conditionalFormatting sqref="O1243:O1258">
    <cfRule type="dataBar" priority="10436">
      <dataBar>
        <cfvo type="min"/>
        <cfvo type="max"/>
        <color rgb="FFFF555A"/>
      </dataBar>
    </cfRule>
  </conditionalFormatting>
  <conditionalFormatting sqref="P1243:P1258">
    <cfRule type="dataBar" priority="10435">
      <dataBar>
        <cfvo type="min"/>
        <cfvo type="max"/>
        <color rgb="FFFF555A"/>
      </dataBar>
    </cfRule>
  </conditionalFormatting>
  <conditionalFormatting sqref="R1260:R1276 D1260:D1275 C1276">
    <cfRule type="containsText" dxfId="5056" priority="10434" operator="containsText" text="DOWN">
      <formula>NOT(ISERROR(SEARCH("DOWN",C1260)))</formula>
    </cfRule>
  </conditionalFormatting>
  <conditionalFormatting sqref="R1260:R1276 D1260:D1275 C1276">
    <cfRule type="containsText" dxfId="5055" priority="10433" operator="containsText" text="UP">
      <formula>NOT(ISERROR(SEARCH("UP",C1260)))</formula>
    </cfRule>
  </conditionalFormatting>
  <conditionalFormatting sqref="I1276">
    <cfRule type="colorScale" priority="10432">
      <colorScale>
        <cfvo type="min"/>
        <cfvo type="max"/>
        <color rgb="FFFFEF9C"/>
        <color rgb="FF63BE7B"/>
      </colorScale>
    </cfRule>
  </conditionalFormatting>
  <conditionalFormatting sqref="M1276">
    <cfRule type="colorScale" priority="10431">
      <colorScale>
        <cfvo type="min"/>
        <cfvo type="max"/>
        <color rgb="FFFF7128"/>
        <color rgb="FFFFEF9C"/>
      </colorScale>
    </cfRule>
  </conditionalFormatting>
  <conditionalFormatting sqref="Q1276">
    <cfRule type="dataBar" priority="10430">
      <dataBar>
        <cfvo type="min"/>
        <cfvo type="max"/>
        <color rgb="FFFF555A"/>
      </dataBar>
    </cfRule>
  </conditionalFormatting>
  <conditionalFormatting sqref="E1260:E1276">
    <cfRule type="dataBar" priority="10429">
      <dataBar>
        <cfvo type="min"/>
        <cfvo type="max"/>
        <color rgb="FFFF555A"/>
      </dataBar>
    </cfRule>
  </conditionalFormatting>
  <conditionalFormatting sqref="F1276">
    <cfRule type="top10" dxfId="5054" priority="10428" rank="1"/>
  </conditionalFormatting>
  <conditionalFormatting sqref="G1276 P1276">
    <cfRule type="cellIs" dxfId="5053" priority="10427" operator="equal">
      <formula>$G$135</formula>
    </cfRule>
  </conditionalFormatting>
  <conditionalFormatting sqref="P1276">
    <cfRule type="cellIs" dxfId="5052" priority="10426" operator="equal">
      <formula>$J$135</formula>
    </cfRule>
  </conditionalFormatting>
  <conditionalFormatting sqref="G1276 P1276">
    <cfRule type="cellIs" dxfId="5051" priority="10425" operator="equal">
      <formula>#REF!</formula>
    </cfRule>
  </conditionalFormatting>
  <conditionalFormatting sqref="G1276">
    <cfRule type="top10" dxfId="5050" priority="10423" rank="1"/>
    <cfRule type="cellIs" dxfId="5049" priority="10424" operator="equal">
      <formula>$G$133</formula>
    </cfRule>
  </conditionalFormatting>
  <conditionalFormatting sqref="P1276">
    <cfRule type="top10" dxfId="5048" priority="10421" rank="1"/>
    <cfRule type="cellIs" dxfId="5047" priority="10422" operator="equal">
      <formula>$G$133</formula>
    </cfRule>
  </conditionalFormatting>
  <conditionalFormatting sqref="C1260:C1275">
    <cfRule type="containsText" dxfId="5046" priority="10417" operator="containsText" text="Short Buildup">
      <formula>NOT(ISERROR(SEARCH("Short Buildup",C1260)))</formula>
    </cfRule>
    <cfRule type="containsText" dxfId="5045" priority="10418" operator="containsText" text="Long Liquidation">
      <formula>NOT(ISERROR(SEARCH("Long Liquidation",C1260)))</formula>
    </cfRule>
    <cfRule type="containsText" dxfId="5044" priority="10419" operator="containsText" text="Short covering">
      <formula>NOT(ISERROR(SEARCH("Short covering",C1260)))</formula>
    </cfRule>
    <cfRule type="containsText" dxfId="5043" priority="10420" operator="containsText" text="Long Buildup">
      <formula>NOT(ISERROR(SEARCH("Long Buildup",C1260)))</formula>
    </cfRule>
  </conditionalFormatting>
  <conditionalFormatting sqref="H1276">
    <cfRule type="colorScale" priority="10412">
      <colorScale>
        <cfvo type="min"/>
        <cfvo type="percentile" val="20"/>
        <cfvo type="max"/>
        <color rgb="FF92D050"/>
        <color theme="5" tint="0.79998168889431442"/>
        <color rgb="FFFF0000"/>
      </colorScale>
    </cfRule>
    <cfRule type="colorScale" priority="10413">
      <colorScale>
        <cfvo type="min"/>
        <cfvo type="max"/>
        <color rgb="FFFF0000"/>
        <color rgb="FF92D050"/>
      </colorScale>
    </cfRule>
    <cfRule type="colorScale" priority="10414">
      <colorScale>
        <cfvo type="min"/>
        <cfvo type="percentile" val="50"/>
        <cfvo type="max"/>
        <color rgb="FF5A8AC6"/>
        <color rgb="FFFCFCFF"/>
        <color rgb="FFF8696B"/>
      </colorScale>
    </cfRule>
    <cfRule type="colorScale" priority="10415">
      <colorScale>
        <cfvo type="formula" val="&quot;&gt;20&quot;"/>
        <cfvo type="formula" val="35"/>
        <color rgb="FFF8696B"/>
        <color rgb="FFFCFCFF"/>
      </colorScale>
    </cfRule>
    <cfRule type="colorScale" priority="10416">
      <colorScale>
        <cfvo type="min"/>
        <cfvo type="max"/>
        <color rgb="FFFFEF9C"/>
        <color rgb="FF63BE7B"/>
      </colorScale>
    </cfRule>
  </conditionalFormatting>
  <conditionalFormatting sqref="N1276">
    <cfRule type="colorScale" priority="10407">
      <colorScale>
        <cfvo type="min"/>
        <cfvo type="percentile" val="20"/>
        <cfvo type="max"/>
        <color rgb="FF92D050"/>
        <color theme="5" tint="0.79998168889431442"/>
        <color rgb="FFFF0000"/>
      </colorScale>
    </cfRule>
    <cfRule type="colorScale" priority="10408">
      <colorScale>
        <cfvo type="min"/>
        <cfvo type="max"/>
        <color rgb="FFFF0000"/>
        <color rgb="FF92D050"/>
      </colorScale>
    </cfRule>
    <cfRule type="colorScale" priority="10409">
      <colorScale>
        <cfvo type="min"/>
        <cfvo type="percentile" val="50"/>
        <cfvo type="max"/>
        <color rgb="FF5A8AC6"/>
        <color rgb="FFFCFCFF"/>
        <color rgb="FFF8696B"/>
      </colorScale>
    </cfRule>
    <cfRule type="colorScale" priority="10410">
      <colorScale>
        <cfvo type="formula" val="&quot;&gt;20&quot;"/>
        <cfvo type="formula" val="35"/>
        <color rgb="FFF8696B"/>
        <color rgb="FFFCFCFF"/>
      </colorScale>
    </cfRule>
    <cfRule type="colorScale" priority="10411">
      <colorScale>
        <cfvo type="min"/>
        <cfvo type="max"/>
        <color rgb="FFFFEF9C"/>
        <color rgb="FF63BE7B"/>
      </colorScale>
    </cfRule>
  </conditionalFormatting>
  <conditionalFormatting sqref="S1260:S1276">
    <cfRule type="containsText" dxfId="5042" priority="10403" operator="containsText" text="Short Buildup">
      <formula>NOT(ISERROR(SEARCH("Short Buildup",S1260)))</formula>
    </cfRule>
    <cfRule type="containsText" dxfId="5041" priority="10404" operator="containsText" text="Long Liquidation">
      <formula>NOT(ISERROR(SEARCH("Long Liquidation",S1260)))</formula>
    </cfRule>
    <cfRule type="containsText" dxfId="5040" priority="10405" operator="containsText" text="Short covering">
      <formula>NOT(ISERROR(SEARCH("Short covering",S1260)))</formula>
    </cfRule>
    <cfRule type="containsText" dxfId="5039" priority="10406" operator="containsText" text="Long Buildup">
      <formula>NOT(ISERROR(SEARCH("Long Buildup",S1260)))</formula>
    </cfRule>
  </conditionalFormatting>
  <conditionalFormatting sqref="F1260:F1275">
    <cfRule type="dataBar" priority="10402">
      <dataBar>
        <cfvo type="min"/>
        <cfvo type="max"/>
        <color rgb="FFFF555A"/>
      </dataBar>
    </cfRule>
  </conditionalFormatting>
  <conditionalFormatting sqref="G1260:G1275">
    <cfRule type="dataBar" priority="10401">
      <dataBar>
        <cfvo type="min"/>
        <cfvo type="max"/>
        <color rgb="FFFF555A"/>
      </dataBar>
    </cfRule>
  </conditionalFormatting>
  <conditionalFormatting sqref="H1260">
    <cfRule type="dataBar" priority="10400">
      <dataBar>
        <cfvo type="min"/>
        <cfvo type="max"/>
        <color rgb="FFFF555A"/>
      </dataBar>
    </cfRule>
  </conditionalFormatting>
  <conditionalFormatting sqref="I1260">
    <cfRule type="dataBar" priority="10399">
      <dataBar>
        <cfvo type="min"/>
        <cfvo type="max"/>
        <color rgb="FFFF555A"/>
      </dataBar>
    </cfRule>
  </conditionalFormatting>
  <conditionalFormatting sqref="J1260">
    <cfRule type="dataBar" priority="10398">
      <dataBar>
        <cfvo type="min"/>
        <cfvo type="max"/>
        <color rgb="FFFF555A"/>
      </dataBar>
    </cfRule>
  </conditionalFormatting>
  <conditionalFormatting sqref="E1261:E1275">
    <cfRule type="dataBar" priority="10397">
      <dataBar>
        <cfvo type="min"/>
        <cfvo type="max"/>
        <color rgb="FFFF555A"/>
      </dataBar>
    </cfRule>
  </conditionalFormatting>
  <conditionalFormatting sqref="H1261:H1275">
    <cfRule type="dataBar" priority="10396">
      <dataBar>
        <cfvo type="min"/>
        <cfvo type="max"/>
        <color rgb="FFFF555A"/>
      </dataBar>
    </cfRule>
  </conditionalFormatting>
  <conditionalFormatting sqref="I1261:I1275">
    <cfRule type="dataBar" priority="10395">
      <dataBar>
        <cfvo type="min"/>
        <cfvo type="max"/>
        <color rgb="FFFF555A"/>
      </dataBar>
    </cfRule>
  </conditionalFormatting>
  <conditionalFormatting sqref="J1261:J1275">
    <cfRule type="dataBar" priority="10394">
      <dataBar>
        <cfvo type="min"/>
        <cfvo type="max"/>
        <color rgb="FFFF555A"/>
      </dataBar>
    </cfRule>
  </conditionalFormatting>
  <conditionalFormatting sqref="L1260:L1275">
    <cfRule type="dataBar" priority="10393">
      <dataBar>
        <cfvo type="min"/>
        <cfvo type="max"/>
        <color rgb="FFFF555A"/>
      </dataBar>
    </cfRule>
  </conditionalFormatting>
  <conditionalFormatting sqref="M1260:M1275">
    <cfRule type="dataBar" priority="10392">
      <dataBar>
        <cfvo type="min"/>
        <cfvo type="max"/>
        <color rgb="FFFF555A"/>
      </dataBar>
    </cfRule>
  </conditionalFormatting>
  <conditionalFormatting sqref="N1260:N1275">
    <cfRule type="dataBar" priority="10391">
      <dataBar>
        <cfvo type="min"/>
        <cfvo type="max"/>
        <color rgb="FFFF555A"/>
      </dataBar>
    </cfRule>
  </conditionalFormatting>
  <conditionalFormatting sqref="Q1260:Q1275">
    <cfRule type="dataBar" priority="10390">
      <dataBar>
        <cfvo type="min"/>
        <cfvo type="max"/>
        <color rgb="FFFF555A"/>
      </dataBar>
    </cfRule>
  </conditionalFormatting>
  <conditionalFormatting sqref="O1260:O1275">
    <cfRule type="dataBar" priority="10389">
      <dataBar>
        <cfvo type="min"/>
        <cfvo type="max"/>
        <color rgb="FFFF555A"/>
      </dataBar>
    </cfRule>
  </conditionalFormatting>
  <conditionalFormatting sqref="P1260:P1275">
    <cfRule type="dataBar" priority="10388">
      <dataBar>
        <cfvo type="min"/>
        <cfvo type="max"/>
        <color rgb="FFFF555A"/>
      </dataBar>
    </cfRule>
  </conditionalFormatting>
  <conditionalFormatting sqref="R1277:R1293 D1277:D1292 C1293">
    <cfRule type="containsText" dxfId="5038" priority="10387" operator="containsText" text="DOWN">
      <formula>NOT(ISERROR(SEARCH("DOWN",C1277)))</formula>
    </cfRule>
  </conditionalFormatting>
  <conditionalFormatting sqref="R1277:R1293 D1277:D1292 C1293">
    <cfRule type="containsText" dxfId="5037" priority="10386" operator="containsText" text="UP">
      <formula>NOT(ISERROR(SEARCH("UP",C1277)))</formula>
    </cfRule>
  </conditionalFormatting>
  <conditionalFormatting sqref="I1293">
    <cfRule type="colorScale" priority="10385">
      <colorScale>
        <cfvo type="min"/>
        <cfvo type="max"/>
        <color rgb="FFFFEF9C"/>
        <color rgb="FF63BE7B"/>
      </colorScale>
    </cfRule>
  </conditionalFormatting>
  <conditionalFormatting sqref="M1293">
    <cfRule type="colorScale" priority="10384">
      <colorScale>
        <cfvo type="min"/>
        <cfvo type="max"/>
        <color rgb="FFFF7128"/>
        <color rgb="FFFFEF9C"/>
      </colorScale>
    </cfRule>
  </conditionalFormatting>
  <conditionalFormatting sqref="Q1293">
    <cfRule type="dataBar" priority="10383">
      <dataBar>
        <cfvo type="min"/>
        <cfvo type="max"/>
        <color rgb="FFFF555A"/>
      </dataBar>
    </cfRule>
  </conditionalFormatting>
  <conditionalFormatting sqref="E1277:E1293">
    <cfRule type="dataBar" priority="10382">
      <dataBar>
        <cfvo type="min"/>
        <cfvo type="max"/>
        <color rgb="FFFF555A"/>
      </dataBar>
    </cfRule>
  </conditionalFormatting>
  <conditionalFormatting sqref="F1293">
    <cfRule type="top10" dxfId="5036" priority="10381" rank="1"/>
  </conditionalFormatting>
  <conditionalFormatting sqref="G1293 P1293">
    <cfRule type="cellIs" dxfId="5035" priority="10380" operator="equal">
      <formula>$G$135</formula>
    </cfRule>
  </conditionalFormatting>
  <conditionalFormatting sqref="P1293">
    <cfRule type="cellIs" dxfId="5034" priority="10379" operator="equal">
      <formula>$J$135</formula>
    </cfRule>
  </conditionalFormatting>
  <conditionalFormatting sqref="G1293 P1293">
    <cfRule type="cellIs" dxfId="5033" priority="10378" operator="equal">
      <formula>#REF!</formula>
    </cfRule>
  </conditionalFormatting>
  <conditionalFormatting sqref="G1293">
    <cfRule type="top10" dxfId="5032" priority="10376" rank="1"/>
    <cfRule type="cellIs" dxfId="5031" priority="10377" operator="equal">
      <formula>$G$133</formula>
    </cfRule>
  </conditionalFormatting>
  <conditionalFormatting sqref="P1293">
    <cfRule type="top10" dxfId="5030" priority="10374" rank="1"/>
    <cfRule type="cellIs" dxfId="5029" priority="10375" operator="equal">
      <formula>$G$133</formula>
    </cfRule>
  </conditionalFormatting>
  <conditionalFormatting sqref="C1277:C1292">
    <cfRule type="containsText" dxfId="5028" priority="10370" operator="containsText" text="Short Buildup">
      <formula>NOT(ISERROR(SEARCH("Short Buildup",C1277)))</formula>
    </cfRule>
    <cfRule type="containsText" dxfId="5027" priority="10371" operator="containsText" text="Long Liquidation">
      <formula>NOT(ISERROR(SEARCH("Long Liquidation",C1277)))</formula>
    </cfRule>
    <cfRule type="containsText" dxfId="5026" priority="10372" operator="containsText" text="Short covering">
      <formula>NOT(ISERROR(SEARCH("Short covering",C1277)))</formula>
    </cfRule>
    <cfRule type="containsText" dxfId="5025" priority="10373" operator="containsText" text="Long Buildup">
      <formula>NOT(ISERROR(SEARCH("Long Buildup",C1277)))</formula>
    </cfRule>
  </conditionalFormatting>
  <conditionalFormatting sqref="H1293">
    <cfRule type="colorScale" priority="10365">
      <colorScale>
        <cfvo type="min"/>
        <cfvo type="percentile" val="20"/>
        <cfvo type="max"/>
        <color rgb="FF92D050"/>
        <color theme="5" tint="0.79998168889431442"/>
        <color rgb="FFFF0000"/>
      </colorScale>
    </cfRule>
    <cfRule type="colorScale" priority="10366">
      <colorScale>
        <cfvo type="min"/>
        <cfvo type="max"/>
        <color rgb="FFFF0000"/>
        <color rgb="FF92D050"/>
      </colorScale>
    </cfRule>
    <cfRule type="colorScale" priority="10367">
      <colorScale>
        <cfvo type="min"/>
        <cfvo type="percentile" val="50"/>
        <cfvo type="max"/>
        <color rgb="FF5A8AC6"/>
        <color rgb="FFFCFCFF"/>
        <color rgb="FFF8696B"/>
      </colorScale>
    </cfRule>
    <cfRule type="colorScale" priority="10368">
      <colorScale>
        <cfvo type="formula" val="&quot;&gt;20&quot;"/>
        <cfvo type="formula" val="35"/>
        <color rgb="FFF8696B"/>
        <color rgb="FFFCFCFF"/>
      </colorScale>
    </cfRule>
    <cfRule type="colorScale" priority="10369">
      <colorScale>
        <cfvo type="min"/>
        <cfvo type="max"/>
        <color rgb="FFFFEF9C"/>
        <color rgb="FF63BE7B"/>
      </colorScale>
    </cfRule>
  </conditionalFormatting>
  <conditionalFormatting sqref="N1293">
    <cfRule type="colorScale" priority="10360">
      <colorScale>
        <cfvo type="min"/>
        <cfvo type="percentile" val="20"/>
        <cfvo type="max"/>
        <color rgb="FF92D050"/>
        <color theme="5" tint="0.79998168889431442"/>
        <color rgb="FFFF0000"/>
      </colorScale>
    </cfRule>
    <cfRule type="colorScale" priority="10361">
      <colorScale>
        <cfvo type="min"/>
        <cfvo type="max"/>
        <color rgb="FFFF0000"/>
        <color rgb="FF92D050"/>
      </colorScale>
    </cfRule>
    <cfRule type="colorScale" priority="10362">
      <colorScale>
        <cfvo type="min"/>
        <cfvo type="percentile" val="50"/>
        <cfvo type="max"/>
        <color rgb="FF5A8AC6"/>
        <color rgb="FFFCFCFF"/>
        <color rgb="FFF8696B"/>
      </colorScale>
    </cfRule>
    <cfRule type="colorScale" priority="10363">
      <colorScale>
        <cfvo type="formula" val="&quot;&gt;20&quot;"/>
        <cfvo type="formula" val="35"/>
        <color rgb="FFF8696B"/>
        <color rgb="FFFCFCFF"/>
      </colorScale>
    </cfRule>
    <cfRule type="colorScale" priority="10364">
      <colorScale>
        <cfvo type="min"/>
        <cfvo type="max"/>
        <color rgb="FFFFEF9C"/>
        <color rgb="FF63BE7B"/>
      </colorScale>
    </cfRule>
  </conditionalFormatting>
  <conditionalFormatting sqref="S1277:S1293">
    <cfRule type="containsText" dxfId="5024" priority="10356" operator="containsText" text="Short Buildup">
      <formula>NOT(ISERROR(SEARCH("Short Buildup",S1277)))</formula>
    </cfRule>
    <cfRule type="containsText" dxfId="5023" priority="10357" operator="containsText" text="Long Liquidation">
      <formula>NOT(ISERROR(SEARCH("Long Liquidation",S1277)))</formula>
    </cfRule>
    <cfRule type="containsText" dxfId="5022" priority="10358" operator="containsText" text="Short covering">
      <formula>NOT(ISERROR(SEARCH("Short covering",S1277)))</formula>
    </cfRule>
    <cfRule type="containsText" dxfId="5021" priority="10359" operator="containsText" text="Long Buildup">
      <formula>NOT(ISERROR(SEARCH("Long Buildup",S1277)))</formula>
    </cfRule>
  </conditionalFormatting>
  <conditionalFormatting sqref="F1277:F1292">
    <cfRule type="dataBar" priority="10355">
      <dataBar>
        <cfvo type="min"/>
        <cfvo type="max"/>
        <color rgb="FFFF555A"/>
      </dataBar>
    </cfRule>
  </conditionalFormatting>
  <conditionalFormatting sqref="G1277:G1292">
    <cfRule type="dataBar" priority="10354">
      <dataBar>
        <cfvo type="min"/>
        <cfvo type="max"/>
        <color rgb="FFFF555A"/>
      </dataBar>
    </cfRule>
  </conditionalFormatting>
  <conditionalFormatting sqref="H1277">
    <cfRule type="dataBar" priority="10353">
      <dataBar>
        <cfvo type="min"/>
        <cfvo type="max"/>
        <color rgb="FFFF555A"/>
      </dataBar>
    </cfRule>
  </conditionalFormatting>
  <conditionalFormatting sqref="I1277">
    <cfRule type="dataBar" priority="10352">
      <dataBar>
        <cfvo type="min"/>
        <cfvo type="max"/>
        <color rgb="FFFF555A"/>
      </dataBar>
    </cfRule>
  </conditionalFormatting>
  <conditionalFormatting sqref="J1277">
    <cfRule type="dataBar" priority="10351">
      <dataBar>
        <cfvo type="min"/>
        <cfvo type="max"/>
        <color rgb="FFFF555A"/>
      </dataBar>
    </cfRule>
  </conditionalFormatting>
  <conditionalFormatting sqref="E1278:E1292">
    <cfRule type="dataBar" priority="10350">
      <dataBar>
        <cfvo type="min"/>
        <cfvo type="max"/>
        <color rgb="FFFF555A"/>
      </dataBar>
    </cfRule>
  </conditionalFormatting>
  <conditionalFormatting sqref="H1278:H1292">
    <cfRule type="dataBar" priority="10349">
      <dataBar>
        <cfvo type="min"/>
        <cfvo type="max"/>
        <color rgb="FFFF555A"/>
      </dataBar>
    </cfRule>
  </conditionalFormatting>
  <conditionalFormatting sqref="I1278:I1292">
    <cfRule type="dataBar" priority="10348">
      <dataBar>
        <cfvo type="min"/>
        <cfvo type="max"/>
        <color rgb="FFFF555A"/>
      </dataBar>
    </cfRule>
  </conditionalFormatting>
  <conditionalFormatting sqref="J1278:J1292">
    <cfRule type="dataBar" priority="10347">
      <dataBar>
        <cfvo type="min"/>
        <cfvo type="max"/>
        <color rgb="FFFF555A"/>
      </dataBar>
    </cfRule>
  </conditionalFormatting>
  <conditionalFormatting sqref="L1277:L1292">
    <cfRule type="dataBar" priority="10346">
      <dataBar>
        <cfvo type="min"/>
        <cfvo type="max"/>
        <color rgb="FFFF555A"/>
      </dataBar>
    </cfRule>
  </conditionalFormatting>
  <conditionalFormatting sqref="M1277:M1292">
    <cfRule type="dataBar" priority="10345">
      <dataBar>
        <cfvo type="min"/>
        <cfvo type="max"/>
        <color rgb="FFFF555A"/>
      </dataBar>
    </cfRule>
  </conditionalFormatting>
  <conditionalFormatting sqref="N1277:N1292">
    <cfRule type="dataBar" priority="10344">
      <dataBar>
        <cfvo type="min"/>
        <cfvo type="max"/>
        <color rgb="FFFF555A"/>
      </dataBar>
    </cfRule>
  </conditionalFormatting>
  <conditionalFormatting sqref="Q1277:Q1292">
    <cfRule type="dataBar" priority="10343">
      <dataBar>
        <cfvo type="min"/>
        <cfvo type="max"/>
        <color rgb="FFFF555A"/>
      </dataBar>
    </cfRule>
  </conditionalFormatting>
  <conditionalFormatting sqref="O1277:O1292">
    <cfRule type="dataBar" priority="10342">
      <dataBar>
        <cfvo type="min"/>
        <cfvo type="max"/>
        <color rgb="FFFF555A"/>
      </dataBar>
    </cfRule>
  </conditionalFormatting>
  <conditionalFormatting sqref="P1277:P1292">
    <cfRule type="dataBar" priority="10341">
      <dataBar>
        <cfvo type="min"/>
        <cfvo type="max"/>
        <color rgb="FFFF555A"/>
      </dataBar>
    </cfRule>
  </conditionalFormatting>
  <conditionalFormatting sqref="R1294:R1310 D1294:D1309 C1310">
    <cfRule type="containsText" dxfId="5020" priority="10340" operator="containsText" text="DOWN">
      <formula>NOT(ISERROR(SEARCH("DOWN",C1294)))</formula>
    </cfRule>
  </conditionalFormatting>
  <conditionalFormatting sqref="R1294:R1310 D1294:D1309 C1310">
    <cfRule type="containsText" dxfId="5019" priority="10339" operator="containsText" text="UP">
      <formula>NOT(ISERROR(SEARCH("UP",C1294)))</formula>
    </cfRule>
  </conditionalFormatting>
  <conditionalFormatting sqref="I1310">
    <cfRule type="colorScale" priority="10338">
      <colorScale>
        <cfvo type="min"/>
        <cfvo type="max"/>
        <color rgb="FFFFEF9C"/>
        <color rgb="FF63BE7B"/>
      </colorScale>
    </cfRule>
  </conditionalFormatting>
  <conditionalFormatting sqref="M1310">
    <cfRule type="colorScale" priority="10337">
      <colorScale>
        <cfvo type="min"/>
        <cfvo type="max"/>
        <color rgb="FFFF7128"/>
        <color rgb="FFFFEF9C"/>
      </colorScale>
    </cfRule>
  </conditionalFormatting>
  <conditionalFormatting sqref="Q1310">
    <cfRule type="dataBar" priority="10336">
      <dataBar>
        <cfvo type="min"/>
        <cfvo type="max"/>
        <color rgb="FFFF555A"/>
      </dataBar>
    </cfRule>
  </conditionalFormatting>
  <conditionalFormatting sqref="E1294:E1310">
    <cfRule type="dataBar" priority="10335">
      <dataBar>
        <cfvo type="min"/>
        <cfvo type="max"/>
        <color rgb="FFFF555A"/>
      </dataBar>
    </cfRule>
  </conditionalFormatting>
  <conditionalFormatting sqref="F1310">
    <cfRule type="top10" dxfId="5018" priority="10334" rank="1"/>
  </conditionalFormatting>
  <conditionalFormatting sqref="G1310 P1310">
    <cfRule type="cellIs" dxfId="5017" priority="10333" operator="equal">
      <formula>$G$135</formula>
    </cfRule>
  </conditionalFormatting>
  <conditionalFormatting sqref="P1310">
    <cfRule type="cellIs" dxfId="5016" priority="10332" operator="equal">
      <formula>$J$135</formula>
    </cfRule>
  </conditionalFormatting>
  <conditionalFormatting sqref="G1310 P1310">
    <cfRule type="cellIs" dxfId="5015" priority="10331" operator="equal">
      <formula>#REF!</formula>
    </cfRule>
  </conditionalFormatting>
  <conditionalFormatting sqref="G1310">
    <cfRule type="top10" dxfId="5014" priority="10329" rank="1"/>
    <cfRule type="cellIs" dxfId="5013" priority="10330" operator="equal">
      <formula>$G$133</formula>
    </cfRule>
  </conditionalFormatting>
  <conditionalFormatting sqref="P1310">
    <cfRule type="top10" dxfId="5012" priority="10327" rank="1"/>
    <cfRule type="cellIs" dxfId="5011" priority="10328" operator="equal">
      <formula>$G$133</formula>
    </cfRule>
  </conditionalFormatting>
  <conditionalFormatting sqref="C1294:C1309">
    <cfRule type="containsText" dxfId="5010" priority="10323" operator="containsText" text="Short Buildup">
      <formula>NOT(ISERROR(SEARCH("Short Buildup",C1294)))</formula>
    </cfRule>
    <cfRule type="containsText" dxfId="5009" priority="10324" operator="containsText" text="Long Liquidation">
      <formula>NOT(ISERROR(SEARCH("Long Liquidation",C1294)))</formula>
    </cfRule>
    <cfRule type="containsText" dxfId="5008" priority="10325" operator="containsText" text="Short covering">
      <formula>NOT(ISERROR(SEARCH("Short covering",C1294)))</formula>
    </cfRule>
    <cfRule type="containsText" dxfId="5007" priority="10326" operator="containsText" text="Long Buildup">
      <formula>NOT(ISERROR(SEARCH("Long Buildup",C1294)))</formula>
    </cfRule>
  </conditionalFormatting>
  <conditionalFormatting sqref="H1310">
    <cfRule type="colorScale" priority="10318">
      <colorScale>
        <cfvo type="min"/>
        <cfvo type="percentile" val="20"/>
        <cfvo type="max"/>
        <color rgb="FF92D050"/>
        <color theme="5" tint="0.79998168889431442"/>
        <color rgb="FFFF0000"/>
      </colorScale>
    </cfRule>
    <cfRule type="colorScale" priority="10319">
      <colorScale>
        <cfvo type="min"/>
        <cfvo type="max"/>
        <color rgb="FFFF0000"/>
        <color rgb="FF92D050"/>
      </colorScale>
    </cfRule>
    <cfRule type="colorScale" priority="10320">
      <colorScale>
        <cfvo type="min"/>
        <cfvo type="percentile" val="50"/>
        <cfvo type="max"/>
        <color rgb="FF5A8AC6"/>
        <color rgb="FFFCFCFF"/>
        <color rgb="FFF8696B"/>
      </colorScale>
    </cfRule>
    <cfRule type="colorScale" priority="10321">
      <colorScale>
        <cfvo type="formula" val="&quot;&gt;20&quot;"/>
        <cfvo type="formula" val="35"/>
        <color rgb="FFF8696B"/>
        <color rgb="FFFCFCFF"/>
      </colorScale>
    </cfRule>
    <cfRule type="colorScale" priority="10322">
      <colorScale>
        <cfvo type="min"/>
        <cfvo type="max"/>
        <color rgb="FFFFEF9C"/>
        <color rgb="FF63BE7B"/>
      </colorScale>
    </cfRule>
  </conditionalFormatting>
  <conditionalFormatting sqref="N1310">
    <cfRule type="colorScale" priority="10313">
      <colorScale>
        <cfvo type="min"/>
        <cfvo type="percentile" val="20"/>
        <cfvo type="max"/>
        <color rgb="FF92D050"/>
        <color theme="5" tint="0.79998168889431442"/>
        <color rgb="FFFF0000"/>
      </colorScale>
    </cfRule>
    <cfRule type="colorScale" priority="10314">
      <colorScale>
        <cfvo type="min"/>
        <cfvo type="max"/>
        <color rgb="FFFF0000"/>
        <color rgb="FF92D050"/>
      </colorScale>
    </cfRule>
    <cfRule type="colorScale" priority="10315">
      <colorScale>
        <cfvo type="min"/>
        <cfvo type="percentile" val="50"/>
        <cfvo type="max"/>
        <color rgb="FF5A8AC6"/>
        <color rgb="FFFCFCFF"/>
        <color rgb="FFF8696B"/>
      </colorScale>
    </cfRule>
    <cfRule type="colorScale" priority="10316">
      <colorScale>
        <cfvo type="formula" val="&quot;&gt;20&quot;"/>
        <cfvo type="formula" val="35"/>
        <color rgb="FFF8696B"/>
        <color rgb="FFFCFCFF"/>
      </colorScale>
    </cfRule>
    <cfRule type="colorScale" priority="10317">
      <colorScale>
        <cfvo type="min"/>
        <cfvo type="max"/>
        <color rgb="FFFFEF9C"/>
        <color rgb="FF63BE7B"/>
      </colorScale>
    </cfRule>
  </conditionalFormatting>
  <conditionalFormatting sqref="S1294:S1310">
    <cfRule type="containsText" dxfId="5006" priority="10309" operator="containsText" text="Short Buildup">
      <formula>NOT(ISERROR(SEARCH("Short Buildup",S1294)))</formula>
    </cfRule>
    <cfRule type="containsText" dxfId="5005" priority="10310" operator="containsText" text="Long Liquidation">
      <formula>NOT(ISERROR(SEARCH("Long Liquidation",S1294)))</formula>
    </cfRule>
    <cfRule type="containsText" dxfId="5004" priority="10311" operator="containsText" text="Short covering">
      <formula>NOT(ISERROR(SEARCH("Short covering",S1294)))</formula>
    </cfRule>
    <cfRule type="containsText" dxfId="5003" priority="10312" operator="containsText" text="Long Buildup">
      <formula>NOT(ISERROR(SEARCH("Long Buildup",S1294)))</formula>
    </cfRule>
  </conditionalFormatting>
  <conditionalFormatting sqref="F1294:F1309">
    <cfRule type="dataBar" priority="10308">
      <dataBar>
        <cfvo type="min"/>
        <cfvo type="max"/>
        <color rgb="FFFF555A"/>
      </dataBar>
    </cfRule>
  </conditionalFormatting>
  <conditionalFormatting sqref="G1294:G1309">
    <cfRule type="dataBar" priority="10307">
      <dataBar>
        <cfvo type="min"/>
        <cfvo type="max"/>
        <color rgb="FFFF555A"/>
      </dataBar>
    </cfRule>
  </conditionalFormatting>
  <conditionalFormatting sqref="H1294">
    <cfRule type="dataBar" priority="10306">
      <dataBar>
        <cfvo type="min"/>
        <cfvo type="max"/>
        <color rgb="FFFF555A"/>
      </dataBar>
    </cfRule>
  </conditionalFormatting>
  <conditionalFormatting sqref="I1294">
    <cfRule type="dataBar" priority="10305">
      <dataBar>
        <cfvo type="min"/>
        <cfvo type="max"/>
        <color rgb="FFFF555A"/>
      </dataBar>
    </cfRule>
  </conditionalFormatting>
  <conditionalFormatting sqref="J1294">
    <cfRule type="dataBar" priority="10304">
      <dataBar>
        <cfvo type="min"/>
        <cfvo type="max"/>
        <color rgb="FFFF555A"/>
      </dataBar>
    </cfRule>
  </conditionalFormatting>
  <conditionalFormatting sqref="E1295:E1309">
    <cfRule type="dataBar" priority="10303">
      <dataBar>
        <cfvo type="min"/>
        <cfvo type="max"/>
        <color rgb="FFFF555A"/>
      </dataBar>
    </cfRule>
  </conditionalFormatting>
  <conditionalFormatting sqref="H1295:H1309">
    <cfRule type="dataBar" priority="10302">
      <dataBar>
        <cfvo type="min"/>
        <cfvo type="max"/>
        <color rgb="FFFF555A"/>
      </dataBar>
    </cfRule>
  </conditionalFormatting>
  <conditionalFormatting sqref="I1295:I1309">
    <cfRule type="dataBar" priority="10301">
      <dataBar>
        <cfvo type="min"/>
        <cfvo type="max"/>
        <color rgb="FFFF555A"/>
      </dataBar>
    </cfRule>
  </conditionalFormatting>
  <conditionalFormatting sqref="J1295:J1309">
    <cfRule type="dataBar" priority="10300">
      <dataBar>
        <cfvo type="min"/>
        <cfvo type="max"/>
        <color rgb="FFFF555A"/>
      </dataBar>
    </cfRule>
  </conditionalFormatting>
  <conditionalFormatting sqref="L1294:L1309">
    <cfRule type="dataBar" priority="10299">
      <dataBar>
        <cfvo type="min"/>
        <cfvo type="max"/>
        <color rgb="FFFF555A"/>
      </dataBar>
    </cfRule>
  </conditionalFormatting>
  <conditionalFormatting sqref="M1294:M1309">
    <cfRule type="dataBar" priority="10298">
      <dataBar>
        <cfvo type="min"/>
        <cfvo type="max"/>
        <color rgb="FFFF555A"/>
      </dataBar>
    </cfRule>
  </conditionalFormatting>
  <conditionalFormatting sqref="N1294:N1309">
    <cfRule type="dataBar" priority="10297">
      <dataBar>
        <cfvo type="min"/>
        <cfvo type="max"/>
        <color rgb="FFFF555A"/>
      </dataBar>
    </cfRule>
  </conditionalFormatting>
  <conditionalFormatting sqref="Q1294:Q1309">
    <cfRule type="dataBar" priority="10296">
      <dataBar>
        <cfvo type="min"/>
        <cfvo type="max"/>
        <color rgb="FFFF555A"/>
      </dataBar>
    </cfRule>
  </conditionalFormatting>
  <conditionalFormatting sqref="O1294:O1309">
    <cfRule type="dataBar" priority="10295">
      <dataBar>
        <cfvo type="min"/>
        <cfvo type="max"/>
        <color rgb="FFFF555A"/>
      </dataBar>
    </cfRule>
  </conditionalFormatting>
  <conditionalFormatting sqref="P1294:P1309">
    <cfRule type="dataBar" priority="10294">
      <dataBar>
        <cfvo type="min"/>
        <cfvo type="max"/>
        <color rgb="FFFF555A"/>
      </dataBar>
    </cfRule>
  </conditionalFormatting>
  <conditionalFormatting sqref="R1311:R1327 D1311:D1326 C1327">
    <cfRule type="containsText" dxfId="5002" priority="10293" operator="containsText" text="DOWN">
      <formula>NOT(ISERROR(SEARCH("DOWN",C1311)))</formula>
    </cfRule>
  </conditionalFormatting>
  <conditionalFormatting sqref="R1311:R1327 D1311:D1326 C1327">
    <cfRule type="containsText" dxfId="5001" priority="10292" operator="containsText" text="UP">
      <formula>NOT(ISERROR(SEARCH("UP",C1311)))</formula>
    </cfRule>
  </conditionalFormatting>
  <conditionalFormatting sqref="I1327">
    <cfRule type="colorScale" priority="10291">
      <colorScale>
        <cfvo type="min"/>
        <cfvo type="max"/>
        <color rgb="FFFFEF9C"/>
        <color rgb="FF63BE7B"/>
      </colorScale>
    </cfRule>
  </conditionalFormatting>
  <conditionalFormatting sqref="M1327">
    <cfRule type="colorScale" priority="10290">
      <colorScale>
        <cfvo type="min"/>
        <cfvo type="max"/>
        <color rgb="FFFF7128"/>
        <color rgb="FFFFEF9C"/>
      </colorScale>
    </cfRule>
  </conditionalFormatting>
  <conditionalFormatting sqref="Q1327">
    <cfRule type="dataBar" priority="10289">
      <dataBar>
        <cfvo type="min"/>
        <cfvo type="max"/>
        <color rgb="FFFF555A"/>
      </dataBar>
    </cfRule>
  </conditionalFormatting>
  <conditionalFormatting sqref="E1311:E1327">
    <cfRule type="dataBar" priority="10288">
      <dataBar>
        <cfvo type="min"/>
        <cfvo type="max"/>
        <color rgb="FFFF555A"/>
      </dataBar>
    </cfRule>
  </conditionalFormatting>
  <conditionalFormatting sqref="F1327">
    <cfRule type="top10" dxfId="5000" priority="10287" rank="1"/>
  </conditionalFormatting>
  <conditionalFormatting sqref="G1327 P1327">
    <cfRule type="cellIs" dxfId="4999" priority="10286" operator="equal">
      <formula>$G$135</formula>
    </cfRule>
  </conditionalFormatting>
  <conditionalFormatting sqref="P1327">
    <cfRule type="cellIs" dxfId="4998" priority="10285" operator="equal">
      <formula>$J$135</formula>
    </cfRule>
  </conditionalFormatting>
  <conditionalFormatting sqref="G1327 P1327">
    <cfRule type="cellIs" dxfId="4997" priority="10284" operator="equal">
      <formula>#REF!</formula>
    </cfRule>
  </conditionalFormatting>
  <conditionalFormatting sqref="G1327">
    <cfRule type="top10" dxfId="4996" priority="10282" rank="1"/>
    <cfRule type="cellIs" dxfId="4995" priority="10283" operator="equal">
      <formula>$G$133</formula>
    </cfRule>
  </conditionalFormatting>
  <conditionalFormatting sqref="P1327">
    <cfRule type="top10" dxfId="4994" priority="10280" rank="1"/>
    <cfRule type="cellIs" dxfId="4993" priority="10281" operator="equal">
      <formula>$G$133</formula>
    </cfRule>
  </conditionalFormatting>
  <conditionalFormatting sqref="C1311:C1326">
    <cfRule type="containsText" dxfId="4992" priority="10276" operator="containsText" text="Short Buildup">
      <formula>NOT(ISERROR(SEARCH("Short Buildup",C1311)))</formula>
    </cfRule>
    <cfRule type="containsText" dxfId="4991" priority="10277" operator="containsText" text="Long Liquidation">
      <formula>NOT(ISERROR(SEARCH("Long Liquidation",C1311)))</formula>
    </cfRule>
    <cfRule type="containsText" dxfId="4990" priority="10278" operator="containsText" text="Short covering">
      <formula>NOT(ISERROR(SEARCH("Short covering",C1311)))</formula>
    </cfRule>
    <cfRule type="containsText" dxfId="4989" priority="10279" operator="containsText" text="Long Buildup">
      <formula>NOT(ISERROR(SEARCH("Long Buildup",C1311)))</formula>
    </cfRule>
  </conditionalFormatting>
  <conditionalFormatting sqref="H1327">
    <cfRule type="colorScale" priority="10271">
      <colorScale>
        <cfvo type="min"/>
        <cfvo type="percentile" val="20"/>
        <cfvo type="max"/>
        <color rgb="FF92D050"/>
        <color theme="5" tint="0.79998168889431442"/>
        <color rgb="FFFF0000"/>
      </colorScale>
    </cfRule>
    <cfRule type="colorScale" priority="10272">
      <colorScale>
        <cfvo type="min"/>
        <cfvo type="max"/>
        <color rgb="FFFF0000"/>
        <color rgb="FF92D050"/>
      </colorScale>
    </cfRule>
    <cfRule type="colorScale" priority="10273">
      <colorScale>
        <cfvo type="min"/>
        <cfvo type="percentile" val="50"/>
        <cfvo type="max"/>
        <color rgb="FF5A8AC6"/>
        <color rgb="FFFCFCFF"/>
        <color rgb="FFF8696B"/>
      </colorScale>
    </cfRule>
    <cfRule type="colorScale" priority="10274">
      <colorScale>
        <cfvo type="formula" val="&quot;&gt;20&quot;"/>
        <cfvo type="formula" val="35"/>
        <color rgb="FFF8696B"/>
        <color rgb="FFFCFCFF"/>
      </colorScale>
    </cfRule>
    <cfRule type="colorScale" priority="10275">
      <colorScale>
        <cfvo type="min"/>
        <cfvo type="max"/>
        <color rgb="FFFFEF9C"/>
        <color rgb="FF63BE7B"/>
      </colorScale>
    </cfRule>
  </conditionalFormatting>
  <conditionalFormatting sqref="N1327">
    <cfRule type="colorScale" priority="10266">
      <colorScale>
        <cfvo type="min"/>
        <cfvo type="percentile" val="20"/>
        <cfvo type="max"/>
        <color rgb="FF92D050"/>
        <color theme="5" tint="0.79998168889431442"/>
        <color rgb="FFFF0000"/>
      </colorScale>
    </cfRule>
    <cfRule type="colorScale" priority="10267">
      <colorScale>
        <cfvo type="min"/>
        <cfvo type="max"/>
        <color rgb="FFFF0000"/>
        <color rgb="FF92D050"/>
      </colorScale>
    </cfRule>
    <cfRule type="colorScale" priority="10268">
      <colorScale>
        <cfvo type="min"/>
        <cfvo type="percentile" val="50"/>
        <cfvo type="max"/>
        <color rgb="FF5A8AC6"/>
        <color rgb="FFFCFCFF"/>
        <color rgb="FFF8696B"/>
      </colorScale>
    </cfRule>
    <cfRule type="colorScale" priority="10269">
      <colorScale>
        <cfvo type="formula" val="&quot;&gt;20&quot;"/>
        <cfvo type="formula" val="35"/>
        <color rgb="FFF8696B"/>
        <color rgb="FFFCFCFF"/>
      </colorScale>
    </cfRule>
    <cfRule type="colorScale" priority="10270">
      <colorScale>
        <cfvo type="min"/>
        <cfvo type="max"/>
        <color rgb="FFFFEF9C"/>
        <color rgb="FF63BE7B"/>
      </colorScale>
    </cfRule>
  </conditionalFormatting>
  <conditionalFormatting sqref="S1311:S1327">
    <cfRule type="containsText" dxfId="4988" priority="10262" operator="containsText" text="Short Buildup">
      <formula>NOT(ISERROR(SEARCH("Short Buildup",S1311)))</formula>
    </cfRule>
    <cfRule type="containsText" dxfId="4987" priority="10263" operator="containsText" text="Long Liquidation">
      <formula>NOT(ISERROR(SEARCH("Long Liquidation",S1311)))</formula>
    </cfRule>
    <cfRule type="containsText" dxfId="4986" priority="10264" operator="containsText" text="Short covering">
      <formula>NOT(ISERROR(SEARCH("Short covering",S1311)))</formula>
    </cfRule>
    <cfRule type="containsText" dxfId="4985" priority="10265" operator="containsText" text="Long Buildup">
      <formula>NOT(ISERROR(SEARCH("Long Buildup",S1311)))</formula>
    </cfRule>
  </conditionalFormatting>
  <conditionalFormatting sqref="F1311:F1326">
    <cfRule type="dataBar" priority="10261">
      <dataBar>
        <cfvo type="min"/>
        <cfvo type="max"/>
        <color rgb="FFFF555A"/>
      </dataBar>
    </cfRule>
  </conditionalFormatting>
  <conditionalFormatting sqref="G1311:G1326">
    <cfRule type="dataBar" priority="10260">
      <dataBar>
        <cfvo type="min"/>
        <cfvo type="max"/>
        <color rgb="FFFF555A"/>
      </dataBar>
    </cfRule>
  </conditionalFormatting>
  <conditionalFormatting sqref="H1311">
    <cfRule type="dataBar" priority="10259">
      <dataBar>
        <cfvo type="min"/>
        <cfvo type="max"/>
        <color rgb="FFFF555A"/>
      </dataBar>
    </cfRule>
  </conditionalFormatting>
  <conditionalFormatting sqref="I1311">
    <cfRule type="dataBar" priority="10258">
      <dataBar>
        <cfvo type="min"/>
        <cfvo type="max"/>
        <color rgb="FFFF555A"/>
      </dataBar>
    </cfRule>
  </conditionalFormatting>
  <conditionalFormatting sqref="J1311">
    <cfRule type="dataBar" priority="10257">
      <dataBar>
        <cfvo type="min"/>
        <cfvo type="max"/>
        <color rgb="FFFF555A"/>
      </dataBar>
    </cfRule>
  </conditionalFormatting>
  <conditionalFormatting sqref="E1312:E1326">
    <cfRule type="dataBar" priority="10256">
      <dataBar>
        <cfvo type="min"/>
        <cfvo type="max"/>
        <color rgb="FFFF555A"/>
      </dataBar>
    </cfRule>
  </conditionalFormatting>
  <conditionalFormatting sqref="H1312:H1326">
    <cfRule type="dataBar" priority="10255">
      <dataBar>
        <cfvo type="min"/>
        <cfvo type="max"/>
        <color rgb="FFFF555A"/>
      </dataBar>
    </cfRule>
  </conditionalFormatting>
  <conditionalFormatting sqref="I1312:I1326">
    <cfRule type="dataBar" priority="10254">
      <dataBar>
        <cfvo type="min"/>
        <cfvo type="max"/>
        <color rgb="FFFF555A"/>
      </dataBar>
    </cfRule>
  </conditionalFormatting>
  <conditionalFormatting sqref="J1312:J1326">
    <cfRule type="dataBar" priority="10253">
      <dataBar>
        <cfvo type="min"/>
        <cfvo type="max"/>
        <color rgb="FFFF555A"/>
      </dataBar>
    </cfRule>
  </conditionalFormatting>
  <conditionalFormatting sqref="L1311:L1326">
    <cfRule type="dataBar" priority="10252">
      <dataBar>
        <cfvo type="min"/>
        <cfvo type="max"/>
        <color rgb="FFFF555A"/>
      </dataBar>
    </cfRule>
  </conditionalFormatting>
  <conditionalFormatting sqref="M1311:M1326">
    <cfRule type="dataBar" priority="10251">
      <dataBar>
        <cfvo type="min"/>
        <cfvo type="max"/>
        <color rgb="FFFF555A"/>
      </dataBar>
    </cfRule>
  </conditionalFormatting>
  <conditionalFormatting sqref="N1311:N1326">
    <cfRule type="dataBar" priority="10250">
      <dataBar>
        <cfvo type="min"/>
        <cfvo type="max"/>
        <color rgb="FFFF555A"/>
      </dataBar>
    </cfRule>
  </conditionalFormatting>
  <conditionalFormatting sqref="Q1311:Q1326">
    <cfRule type="dataBar" priority="10249">
      <dataBar>
        <cfvo type="min"/>
        <cfvo type="max"/>
        <color rgb="FFFF555A"/>
      </dataBar>
    </cfRule>
  </conditionalFormatting>
  <conditionalFormatting sqref="O1311:O1326">
    <cfRule type="dataBar" priority="10248">
      <dataBar>
        <cfvo type="min"/>
        <cfvo type="max"/>
        <color rgb="FFFF555A"/>
      </dataBar>
    </cfRule>
  </conditionalFormatting>
  <conditionalFormatting sqref="P1311:P1326">
    <cfRule type="dataBar" priority="10247">
      <dataBar>
        <cfvo type="min"/>
        <cfvo type="max"/>
        <color rgb="FFFF555A"/>
      </dataBar>
    </cfRule>
  </conditionalFormatting>
  <conditionalFormatting sqref="R1328:R1344 D1328:D1343 C1344">
    <cfRule type="containsText" dxfId="4984" priority="10246" operator="containsText" text="DOWN">
      <formula>NOT(ISERROR(SEARCH("DOWN",C1328)))</formula>
    </cfRule>
  </conditionalFormatting>
  <conditionalFormatting sqref="R1328:R1344 D1328:D1343 C1344">
    <cfRule type="containsText" dxfId="4983" priority="10245" operator="containsText" text="UP">
      <formula>NOT(ISERROR(SEARCH("UP",C1328)))</formula>
    </cfRule>
  </conditionalFormatting>
  <conditionalFormatting sqref="I1344">
    <cfRule type="colorScale" priority="10244">
      <colorScale>
        <cfvo type="min"/>
        <cfvo type="max"/>
        <color rgb="FFFFEF9C"/>
        <color rgb="FF63BE7B"/>
      </colorScale>
    </cfRule>
  </conditionalFormatting>
  <conditionalFormatting sqref="M1344">
    <cfRule type="colorScale" priority="10243">
      <colorScale>
        <cfvo type="min"/>
        <cfvo type="max"/>
        <color rgb="FFFF7128"/>
        <color rgb="FFFFEF9C"/>
      </colorScale>
    </cfRule>
  </conditionalFormatting>
  <conditionalFormatting sqref="Q1344">
    <cfRule type="dataBar" priority="10242">
      <dataBar>
        <cfvo type="min"/>
        <cfvo type="max"/>
        <color rgb="FFFF555A"/>
      </dataBar>
    </cfRule>
  </conditionalFormatting>
  <conditionalFormatting sqref="E1328:E1344">
    <cfRule type="dataBar" priority="10241">
      <dataBar>
        <cfvo type="min"/>
        <cfvo type="max"/>
        <color rgb="FFFF555A"/>
      </dataBar>
    </cfRule>
  </conditionalFormatting>
  <conditionalFormatting sqref="F1344">
    <cfRule type="top10" dxfId="4982" priority="10240" rank="1"/>
  </conditionalFormatting>
  <conditionalFormatting sqref="G1344 P1344">
    <cfRule type="cellIs" dxfId="4981" priority="10239" operator="equal">
      <formula>$G$135</formula>
    </cfRule>
  </conditionalFormatting>
  <conditionalFormatting sqref="P1344">
    <cfRule type="cellIs" dxfId="4980" priority="10238" operator="equal">
      <formula>$J$135</formula>
    </cfRule>
  </conditionalFormatting>
  <conditionalFormatting sqref="G1344 P1344">
    <cfRule type="cellIs" dxfId="4979" priority="10237" operator="equal">
      <formula>#REF!</formula>
    </cfRule>
  </conditionalFormatting>
  <conditionalFormatting sqref="G1344">
    <cfRule type="top10" dxfId="4978" priority="10235" rank="1"/>
    <cfRule type="cellIs" dxfId="4977" priority="10236" operator="equal">
      <formula>$G$133</formula>
    </cfRule>
  </conditionalFormatting>
  <conditionalFormatting sqref="P1344">
    <cfRule type="top10" dxfId="4976" priority="10233" rank="1"/>
    <cfRule type="cellIs" dxfId="4975" priority="10234" operator="equal">
      <formula>$G$133</formula>
    </cfRule>
  </conditionalFormatting>
  <conditionalFormatting sqref="C1328:C1343">
    <cfRule type="containsText" dxfId="4974" priority="10229" operator="containsText" text="Short Buildup">
      <formula>NOT(ISERROR(SEARCH("Short Buildup",C1328)))</formula>
    </cfRule>
    <cfRule type="containsText" dxfId="4973" priority="10230" operator="containsText" text="Long Liquidation">
      <formula>NOT(ISERROR(SEARCH("Long Liquidation",C1328)))</formula>
    </cfRule>
    <cfRule type="containsText" dxfId="4972" priority="10231" operator="containsText" text="Short covering">
      <formula>NOT(ISERROR(SEARCH("Short covering",C1328)))</formula>
    </cfRule>
    <cfRule type="containsText" dxfId="4971" priority="10232" operator="containsText" text="Long Buildup">
      <formula>NOT(ISERROR(SEARCH("Long Buildup",C1328)))</formula>
    </cfRule>
  </conditionalFormatting>
  <conditionalFormatting sqref="H1344">
    <cfRule type="colorScale" priority="10224">
      <colorScale>
        <cfvo type="min"/>
        <cfvo type="percentile" val="20"/>
        <cfvo type="max"/>
        <color rgb="FF92D050"/>
        <color theme="5" tint="0.79998168889431442"/>
        <color rgb="FFFF0000"/>
      </colorScale>
    </cfRule>
    <cfRule type="colorScale" priority="10225">
      <colorScale>
        <cfvo type="min"/>
        <cfvo type="max"/>
        <color rgb="FFFF0000"/>
        <color rgb="FF92D050"/>
      </colorScale>
    </cfRule>
    <cfRule type="colorScale" priority="10226">
      <colorScale>
        <cfvo type="min"/>
        <cfvo type="percentile" val="50"/>
        <cfvo type="max"/>
        <color rgb="FF5A8AC6"/>
        <color rgb="FFFCFCFF"/>
        <color rgb="FFF8696B"/>
      </colorScale>
    </cfRule>
    <cfRule type="colorScale" priority="10227">
      <colorScale>
        <cfvo type="formula" val="&quot;&gt;20&quot;"/>
        <cfvo type="formula" val="35"/>
        <color rgb="FFF8696B"/>
        <color rgb="FFFCFCFF"/>
      </colorScale>
    </cfRule>
    <cfRule type="colorScale" priority="10228">
      <colorScale>
        <cfvo type="min"/>
        <cfvo type="max"/>
        <color rgb="FFFFEF9C"/>
        <color rgb="FF63BE7B"/>
      </colorScale>
    </cfRule>
  </conditionalFormatting>
  <conditionalFormatting sqref="N1344">
    <cfRule type="colorScale" priority="10219">
      <colorScale>
        <cfvo type="min"/>
        <cfvo type="percentile" val="20"/>
        <cfvo type="max"/>
        <color rgb="FF92D050"/>
        <color theme="5" tint="0.79998168889431442"/>
        <color rgb="FFFF0000"/>
      </colorScale>
    </cfRule>
    <cfRule type="colorScale" priority="10220">
      <colorScale>
        <cfvo type="min"/>
        <cfvo type="max"/>
        <color rgb="FFFF0000"/>
        <color rgb="FF92D050"/>
      </colorScale>
    </cfRule>
    <cfRule type="colorScale" priority="10221">
      <colorScale>
        <cfvo type="min"/>
        <cfvo type="percentile" val="50"/>
        <cfvo type="max"/>
        <color rgb="FF5A8AC6"/>
        <color rgb="FFFCFCFF"/>
        <color rgb="FFF8696B"/>
      </colorScale>
    </cfRule>
    <cfRule type="colorScale" priority="10222">
      <colorScale>
        <cfvo type="formula" val="&quot;&gt;20&quot;"/>
        <cfvo type="formula" val="35"/>
        <color rgb="FFF8696B"/>
        <color rgb="FFFCFCFF"/>
      </colorScale>
    </cfRule>
    <cfRule type="colorScale" priority="10223">
      <colorScale>
        <cfvo type="min"/>
        <cfvo type="max"/>
        <color rgb="FFFFEF9C"/>
        <color rgb="FF63BE7B"/>
      </colorScale>
    </cfRule>
  </conditionalFormatting>
  <conditionalFormatting sqref="S1328:S1344">
    <cfRule type="containsText" dxfId="4970" priority="10215" operator="containsText" text="Short Buildup">
      <formula>NOT(ISERROR(SEARCH("Short Buildup",S1328)))</formula>
    </cfRule>
    <cfRule type="containsText" dxfId="4969" priority="10216" operator="containsText" text="Long Liquidation">
      <formula>NOT(ISERROR(SEARCH("Long Liquidation",S1328)))</formula>
    </cfRule>
    <cfRule type="containsText" dxfId="4968" priority="10217" operator="containsText" text="Short covering">
      <formula>NOT(ISERROR(SEARCH("Short covering",S1328)))</formula>
    </cfRule>
    <cfRule type="containsText" dxfId="4967" priority="10218" operator="containsText" text="Long Buildup">
      <formula>NOT(ISERROR(SEARCH("Long Buildup",S1328)))</formula>
    </cfRule>
  </conditionalFormatting>
  <conditionalFormatting sqref="F1328:F1343">
    <cfRule type="dataBar" priority="10214">
      <dataBar>
        <cfvo type="min"/>
        <cfvo type="max"/>
        <color rgb="FFFF555A"/>
      </dataBar>
    </cfRule>
  </conditionalFormatting>
  <conditionalFormatting sqref="G1328:G1343">
    <cfRule type="dataBar" priority="10213">
      <dataBar>
        <cfvo type="min"/>
        <cfvo type="max"/>
        <color rgb="FFFF555A"/>
      </dataBar>
    </cfRule>
  </conditionalFormatting>
  <conditionalFormatting sqref="H1328">
    <cfRule type="dataBar" priority="10212">
      <dataBar>
        <cfvo type="min"/>
        <cfvo type="max"/>
        <color rgb="FFFF555A"/>
      </dataBar>
    </cfRule>
  </conditionalFormatting>
  <conditionalFormatting sqref="I1328">
    <cfRule type="dataBar" priority="10211">
      <dataBar>
        <cfvo type="min"/>
        <cfvo type="max"/>
        <color rgb="FFFF555A"/>
      </dataBar>
    </cfRule>
  </conditionalFormatting>
  <conditionalFormatting sqref="J1328">
    <cfRule type="dataBar" priority="10210">
      <dataBar>
        <cfvo type="min"/>
        <cfvo type="max"/>
        <color rgb="FFFF555A"/>
      </dataBar>
    </cfRule>
  </conditionalFormatting>
  <conditionalFormatting sqref="E1329:E1343">
    <cfRule type="dataBar" priority="10209">
      <dataBar>
        <cfvo type="min"/>
        <cfvo type="max"/>
        <color rgb="FFFF555A"/>
      </dataBar>
    </cfRule>
  </conditionalFormatting>
  <conditionalFormatting sqref="H1329:H1343">
    <cfRule type="dataBar" priority="10208">
      <dataBar>
        <cfvo type="min"/>
        <cfvo type="max"/>
        <color rgb="FFFF555A"/>
      </dataBar>
    </cfRule>
  </conditionalFormatting>
  <conditionalFormatting sqref="I1329:I1343">
    <cfRule type="dataBar" priority="10207">
      <dataBar>
        <cfvo type="min"/>
        <cfvo type="max"/>
        <color rgb="FFFF555A"/>
      </dataBar>
    </cfRule>
  </conditionalFormatting>
  <conditionalFormatting sqref="J1329:J1343">
    <cfRule type="dataBar" priority="10206">
      <dataBar>
        <cfvo type="min"/>
        <cfvo type="max"/>
        <color rgb="FFFF555A"/>
      </dataBar>
    </cfRule>
  </conditionalFormatting>
  <conditionalFormatting sqref="L1328:L1343">
    <cfRule type="dataBar" priority="10205">
      <dataBar>
        <cfvo type="min"/>
        <cfvo type="max"/>
        <color rgb="FFFF555A"/>
      </dataBar>
    </cfRule>
  </conditionalFormatting>
  <conditionalFormatting sqref="M1328:M1343">
    <cfRule type="dataBar" priority="10204">
      <dataBar>
        <cfvo type="min"/>
        <cfvo type="max"/>
        <color rgb="FFFF555A"/>
      </dataBar>
    </cfRule>
  </conditionalFormatting>
  <conditionalFormatting sqref="N1328:N1343">
    <cfRule type="dataBar" priority="10203">
      <dataBar>
        <cfvo type="min"/>
        <cfvo type="max"/>
        <color rgb="FFFF555A"/>
      </dataBar>
    </cfRule>
  </conditionalFormatting>
  <conditionalFormatting sqref="Q1328:Q1343">
    <cfRule type="dataBar" priority="10202">
      <dataBar>
        <cfvo type="min"/>
        <cfvo type="max"/>
        <color rgb="FFFF555A"/>
      </dataBar>
    </cfRule>
  </conditionalFormatting>
  <conditionalFormatting sqref="O1328:O1343">
    <cfRule type="dataBar" priority="10201">
      <dataBar>
        <cfvo type="min"/>
        <cfvo type="max"/>
        <color rgb="FFFF555A"/>
      </dataBar>
    </cfRule>
  </conditionalFormatting>
  <conditionalFormatting sqref="P1328:P1343">
    <cfRule type="dataBar" priority="10200">
      <dataBar>
        <cfvo type="min"/>
        <cfvo type="max"/>
        <color rgb="FFFF555A"/>
      </dataBar>
    </cfRule>
  </conditionalFormatting>
  <conditionalFormatting sqref="R1345:R1361 D1345:D1360 C1361">
    <cfRule type="containsText" dxfId="4966" priority="10199" operator="containsText" text="DOWN">
      <formula>NOT(ISERROR(SEARCH("DOWN",C1345)))</formula>
    </cfRule>
  </conditionalFormatting>
  <conditionalFormatting sqref="R1345:R1361 D1345:D1360 C1361">
    <cfRule type="containsText" dxfId="4965" priority="10198" operator="containsText" text="UP">
      <formula>NOT(ISERROR(SEARCH("UP",C1345)))</formula>
    </cfRule>
  </conditionalFormatting>
  <conditionalFormatting sqref="I1361">
    <cfRule type="colorScale" priority="10197">
      <colorScale>
        <cfvo type="min"/>
        <cfvo type="max"/>
        <color rgb="FFFFEF9C"/>
        <color rgb="FF63BE7B"/>
      </colorScale>
    </cfRule>
  </conditionalFormatting>
  <conditionalFormatting sqref="M1361">
    <cfRule type="colorScale" priority="10196">
      <colorScale>
        <cfvo type="min"/>
        <cfvo type="max"/>
        <color rgb="FFFF7128"/>
        <color rgb="FFFFEF9C"/>
      </colorScale>
    </cfRule>
  </conditionalFormatting>
  <conditionalFormatting sqref="Q1361">
    <cfRule type="dataBar" priority="10195">
      <dataBar>
        <cfvo type="min"/>
        <cfvo type="max"/>
        <color rgb="FFFF555A"/>
      </dataBar>
    </cfRule>
  </conditionalFormatting>
  <conditionalFormatting sqref="E1345:E1361">
    <cfRule type="dataBar" priority="10194">
      <dataBar>
        <cfvo type="min"/>
        <cfvo type="max"/>
        <color rgb="FFFF555A"/>
      </dataBar>
    </cfRule>
  </conditionalFormatting>
  <conditionalFormatting sqref="F1361">
    <cfRule type="top10" dxfId="4964" priority="10193" rank="1"/>
  </conditionalFormatting>
  <conditionalFormatting sqref="G1361 P1361">
    <cfRule type="cellIs" dxfId="4963" priority="10192" operator="equal">
      <formula>$G$135</formula>
    </cfRule>
  </conditionalFormatting>
  <conditionalFormatting sqref="P1361">
    <cfRule type="cellIs" dxfId="4962" priority="10191" operator="equal">
      <formula>$J$135</formula>
    </cfRule>
  </conditionalFormatting>
  <conditionalFormatting sqref="G1361 P1361">
    <cfRule type="cellIs" dxfId="4961" priority="10190" operator="equal">
      <formula>#REF!</formula>
    </cfRule>
  </conditionalFormatting>
  <conditionalFormatting sqref="G1361">
    <cfRule type="top10" dxfId="4960" priority="10188" rank="1"/>
    <cfRule type="cellIs" dxfId="4959" priority="10189" operator="equal">
      <formula>$G$133</formula>
    </cfRule>
  </conditionalFormatting>
  <conditionalFormatting sqref="P1361">
    <cfRule type="top10" dxfId="4958" priority="10186" rank="1"/>
    <cfRule type="cellIs" dxfId="4957" priority="10187" operator="equal">
      <formula>$G$133</formula>
    </cfRule>
  </conditionalFormatting>
  <conditionalFormatting sqref="C1345:C1360">
    <cfRule type="containsText" dxfId="4956" priority="10182" operator="containsText" text="Short Buildup">
      <formula>NOT(ISERROR(SEARCH("Short Buildup",C1345)))</formula>
    </cfRule>
    <cfRule type="containsText" dxfId="4955" priority="10183" operator="containsText" text="Long Liquidation">
      <formula>NOT(ISERROR(SEARCH("Long Liquidation",C1345)))</formula>
    </cfRule>
    <cfRule type="containsText" dxfId="4954" priority="10184" operator="containsText" text="Short covering">
      <formula>NOT(ISERROR(SEARCH("Short covering",C1345)))</formula>
    </cfRule>
    <cfRule type="containsText" dxfId="4953" priority="10185" operator="containsText" text="Long Buildup">
      <formula>NOT(ISERROR(SEARCH("Long Buildup",C1345)))</formula>
    </cfRule>
  </conditionalFormatting>
  <conditionalFormatting sqref="H1361">
    <cfRule type="colorScale" priority="10177">
      <colorScale>
        <cfvo type="min"/>
        <cfvo type="percentile" val="20"/>
        <cfvo type="max"/>
        <color rgb="FF92D050"/>
        <color theme="5" tint="0.79998168889431442"/>
        <color rgb="FFFF0000"/>
      </colorScale>
    </cfRule>
    <cfRule type="colorScale" priority="10178">
      <colorScale>
        <cfvo type="min"/>
        <cfvo type="max"/>
        <color rgb="FFFF0000"/>
        <color rgb="FF92D050"/>
      </colorScale>
    </cfRule>
    <cfRule type="colorScale" priority="10179">
      <colorScale>
        <cfvo type="min"/>
        <cfvo type="percentile" val="50"/>
        <cfvo type="max"/>
        <color rgb="FF5A8AC6"/>
        <color rgb="FFFCFCFF"/>
        <color rgb="FFF8696B"/>
      </colorScale>
    </cfRule>
    <cfRule type="colorScale" priority="10180">
      <colorScale>
        <cfvo type="formula" val="&quot;&gt;20&quot;"/>
        <cfvo type="formula" val="35"/>
        <color rgb="FFF8696B"/>
        <color rgb="FFFCFCFF"/>
      </colorScale>
    </cfRule>
    <cfRule type="colorScale" priority="10181">
      <colorScale>
        <cfvo type="min"/>
        <cfvo type="max"/>
        <color rgb="FFFFEF9C"/>
        <color rgb="FF63BE7B"/>
      </colorScale>
    </cfRule>
  </conditionalFormatting>
  <conditionalFormatting sqref="N1361">
    <cfRule type="colorScale" priority="10172">
      <colorScale>
        <cfvo type="min"/>
        <cfvo type="percentile" val="20"/>
        <cfvo type="max"/>
        <color rgb="FF92D050"/>
        <color theme="5" tint="0.79998168889431442"/>
        <color rgb="FFFF0000"/>
      </colorScale>
    </cfRule>
    <cfRule type="colorScale" priority="10173">
      <colorScale>
        <cfvo type="min"/>
        <cfvo type="max"/>
        <color rgb="FFFF0000"/>
        <color rgb="FF92D050"/>
      </colorScale>
    </cfRule>
    <cfRule type="colorScale" priority="10174">
      <colorScale>
        <cfvo type="min"/>
        <cfvo type="percentile" val="50"/>
        <cfvo type="max"/>
        <color rgb="FF5A8AC6"/>
        <color rgb="FFFCFCFF"/>
        <color rgb="FFF8696B"/>
      </colorScale>
    </cfRule>
    <cfRule type="colorScale" priority="10175">
      <colorScale>
        <cfvo type="formula" val="&quot;&gt;20&quot;"/>
        <cfvo type="formula" val="35"/>
        <color rgb="FFF8696B"/>
        <color rgb="FFFCFCFF"/>
      </colorScale>
    </cfRule>
    <cfRule type="colorScale" priority="10176">
      <colorScale>
        <cfvo type="min"/>
        <cfvo type="max"/>
        <color rgb="FFFFEF9C"/>
        <color rgb="FF63BE7B"/>
      </colorScale>
    </cfRule>
  </conditionalFormatting>
  <conditionalFormatting sqref="S1345:S1361">
    <cfRule type="containsText" dxfId="4952" priority="10168" operator="containsText" text="Short Buildup">
      <formula>NOT(ISERROR(SEARCH("Short Buildup",S1345)))</formula>
    </cfRule>
    <cfRule type="containsText" dxfId="4951" priority="10169" operator="containsText" text="Long Liquidation">
      <formula>NOT(ISERROR(SEARCH("Long Liquidation",S1345)))</formula>
    </cfRule>
    <cfRule type="containsText" dxfId="4950" priority="10170" operator="containsText" text="Short covering">
      <formula>NOT(ISERROR(SEARCH("Short covering",S1345)))</formula>
    </cfRule>
    <cfRule type="containsText" dxfId="4949" priority="10171" operator="containsText" text="Long Buildup">
      <formula>NOT(ISERROR(SEARCH("Long Buildup",S1345)))</formula>
    </cfRule>
  </conditionalFormatting>
  <conditionalFormatting sqref="F1345:F1360">
    <cfRule type="dataBar" priority="10167">
      <dataBar>
        <cfvo type="min"/>
        <cfvo type="max"/>
        <color rgb="FFFF555A"/>
      </dataBar>
    </cfRule>
  </conditionalFormatting>
  <conditionalFormatting sqref="G1345:G1360">
    <cfRule type="dataBar" priority="10166">
      <dataBar>
        <cfvo type="min"/>
        <cfvo type="max"/>
        <color rgb="FFFF555A"/>
      </dataBar>
    </cfRule>
  </conditionalFormatting>
  <conditionalFormatting sqref="H1345">
    <cfRule type="dataBar" priority="10165">
      <dataBar>
        <cfvo type="min"/>
        <cfvo type="max"/>
        <color rgb="FFFF555A"/>
      </dataBar>
    </cfRule>
  </conditionalFormatting>
  <conditionalFormatting sqref="I1345">
    <cfRule type="dataBar" priority="10164">
      <dataBar>
        <cfvo type="min"/>
        <cfvo type="max"/>
        <color rgb="FFFF555A"/>
      </dataBar>
    </cfRule>
  </conditionalFormatting>
  <conditionalFormatting sqref="J1345">
    <cfRule type="dataBar" priority="10163">
      <dataBar>
        <cfvo type="min"/>
        <cfvo type="max"/>
        <color rgb="FFFF555A"/>
      </dataBar>
    </cfRule>
  </conditionalFormatting>
  <conditionalFormatting sqref="E1346:E1360">
    <cfRule type="dataBar" priority="10162">
      <dataBar>
        <cfvo type="min"/>
        <cfvo type="max"/>
        <color rgb="FFFF555A"/>
      </dataBar>
    </cfRule>
  </conditionalFormatting>
  <conditionalFormatting sqref="H1346:H1360">
    <cfRule type="dataBar" priority="10161">
      <dataBar>
        <cfvo type="min"/>
        <cfvo type="max"/>
        <color rgb="FFFF555A"/>
      </dataBar>
    </cfRule>
  </conditionalFormatting>
  <conditionalFormatting sqref="I1346:I1360">
    <cfRule type="dataBar" priority="10160">
      <dataBar>
        <cfvo type="min"/>
        <cfvo type="max"/>
        <color rgb="FFFF555A"/>
      </dataBar>
    </cfRule>
  </conditionalFormatting>
  <conditionalFormatting sqref="J1346:J1360">
    <cfRule type="dataBar" priority="10159">
      <dataBar>
        <cfvo type="min"/>
        <cfvo type="max"/>
        <color rgb="FFFF555A"/>
      </dataBar>
    </cfRule>
  </conditionalFormatting>
  <conditionalFormatting sqref="L1345:L1360">
    <cfRule type="dataBar" priority="10158">
      <dataBar>
        <cfvo type="min"/>
        <cfvo type="max"/>
        <color rgb="FFFF555A"/>
      </dataBar>
    </cfRule>
  </conditionalFormatting>
  <conditionalFormatting sqref="M1345:M1360">
    <cfRule type="dataBar" priority="10157">
      <dataBar>
        <cfvo type="min"/>
        <cfvo type="max"/>
        <color rgb="FFFF555A"/>
      </dataBar>
    </cfRule>
  </conditionalFormatting>
  <conditionalFormatting sqref="N1345:N1360">
    <cfRule type="dataBar" priority="10156">
      <dataBar>
        <cfvo type="min"/>
        <cfvo type="max"/>
        <color rgb="FFFF555A"/>
      </dataBar>
    </cfRule>
  </conditionalFormatting>
  <conditionalFormatting sqref="Q1345:Q1360">
    <cfRule type="dataBar" priority="10155">
      <dataBar>
        <cfvo type="min"/>
        <cfvo type="max"/>
        <color rgb="FFFF555A"/>
      </dataBar>
    </cfRule>
  </conditionalFormatting>
  <conditionalFormatting sqref="O1345:O1360">
    <cfRule type="dataBar" priority="10154">
      <dataBar>
        <cfvo type="min"/>
        <cfvo type="max"/>
        <color rgb="FFFF555A"/>
      </dataBar>
    </cfRule>
  </conditionalFormatting>
  <conditionalFormatting sqref="P1345:P1360">
    <cfRule type="dataBar" priority="10153">
      <dataBar>
        <cfvo type="min"/>
        <cfvo type="max"/>
        <color rgb="FFFF555A"/>
      </dataBar>
    </cfRule>
  </conditionalFormatting>
  <conditionalFormatting sqref="R1362:R1378 D1362:D1377 C1378">
    <cfRule type="containsText" dxfId="4948" priority="10152" operator="containsText" text="DOWN">
      <formula>NOT(ISERROR(SEARCH("DOWN",C1362)))</formula>
    </cfRule>
  </conditionalFormatting>
  <conditionalFormatting sqref="R1362:R1378 D1362:D1377 C1378">
    <cfRule type="containsText" dxfId="4947" priority="10151" operator="containsText" text="UP">
      <formula>NOT(ISERROR(SEARCH("UP",C1362)))</formula>
    </cfRule>
  </conditionalFormatting>
  <conditionalFormatting sqref="I1378">
    <cfRule type="colorScale" priority="10150">
      <colorScale>
        <cfvo type="min"/>
        <cfvo type="max"/>
        <color rgb="FFFFEF9C"/>
        <color rgb="FF63BE7B"/>
      </colorScale>
    </cfRule>
  </conditionalFormatting>
  <conditionalFormatting sqref="M1378">
    <cfRule type="colorScale" priority="10149">
      <colorScale>
        <cfvo type="min"/>
        <cfvo type="max"/>
        <color rgb="FFFF7128"/>
        <color rgb="FFFFEF9C"/>
      </colorScale>
    </cfRule>
  </conditionalFormatting>
  <conditionalFormatting sqref="Q1378">
    <cfRule type="dataBar" priority="10148">
      <dataBar>
        <cfvo type="min"/>
        <cfvo type="max"/>
        <color rgb="FFFF555A"/>
      </dataBar>
    </cfRule>
  </conditionalFormatting>
  <conditionalFormatting sqref="E1362:E1378">
    <cfRule type="dataBar" priority="10147">
      <dataBar>
        <cfvo type="min"/>
        <cfvo type="max"/>
        <color rgb="FFFF555A"/>
      </dataBar>
    </cfRule>
  </conditionalFormatting>
  <conditionalFormatting sqref="F1378">
    <cfRule type="top10" dxfId="4946" priority="10146" rank="1"/>
  </conditionalFormatting>
  <conditionalFormatting sqref="G1378 P1378">
    <cfRule type="cellIs" dxfId="4945" priority="10145" operator="equal">
      <formula>$G$135</formula>
    </cfRule>
  </conditionalFormatting>
  <conditionalFormatting sqref="P1378">
    <cfRule type="cellIs" dxfId="4944" priority="10144" operator="equal">
      <formula>$J$135</formula>
    </cfRule>
  </conditionalFormatting>
  <conditionalFormatting sqref="G1378 P1378">
    <cfRule type="cellIs" dxfId="4943" priority="10143" operator="equal">
      <formula>#REF!</formula>
    </cfRule>
  </conditionalFormatting>
  <conditionalFormatting sqref="G1378">
    <cfRule type="top10" dxfId="4942" priority="10141" rank="1"/>
    <cfRule type="cellIs" dxfId="4941" priority="10142" operator="equal">
      <formula>$G$133</formula>
    </cfRule>
  </conditionalFormatting>
  <conditionalFormatting sqref="P1378">
    <cfRule type="top10" dxfId="4940" priority="10139" rank="1"/>
    <cfRule type="cellIs" dxfId="4939" priority="10140" operator="equal">
      <formula>$G$133</formula>
    </cfRule>
  </conditionalFormatting>
  <conditionalFormatting sqref="C1362:C1377">
    <cfRule type="containsText" dxfId="4938" priority="10135" operator="containsText" text="Short Buildup">
      <formula>NOT(ISERROR(SEARCH("Short Buildup",C1362)))</formula>
    </cfRule>
    <cfRule type="containsText" dxfId="4937" priority="10136" operator="containsText" text="Long Liquidation">
      <formula>NOT(ISERROR(SEARCH("Long Liquidation",C1362)))</formula>
    </cfRule>
    <cfRule type="containsText" dxfId="4936" priority="10137" operator="containsText" text="Short covering">
      <formula>NOT(ISERROR(SEARCH("Short covering",C1362)))</formula>
    </cfRule>
    <cfRule type="containsText" dxfId="4935" priority="10138" operator="containsText" text="Long Buildup">
      <formula>NOT(ISERROR(SEARCH("Long Buildup",C1362)))</formula>
    </cfRule>
  </conditionalFormatting>
  <conditionalFormatting sqref="H1378">
    <cfRule type="colorScale" priority="10130">
      <colorScale>
        <cfvo type="min"/>
        <cfvo type="percentile" val="20"/>
        <cfvo type="max"/>
        <color rgb="FF92D050"/>
        <color theme="5" tint="0.79998168889431442"/>
        <color rgb="FFFF0000"/>
      </colorScale>
    </cfRule>
    <cfRule type="colorScale" priority="10131">
      <colorScale>
        <cfvo type="min"/>
        <cfvo type="max"/>
        <color rgb="FFFF0000"/>
        <color rgb="FF92D050"/>
      </colorScale>
    </cfRule>
    <cfRule type="colorScale" priority="10132">
      <colorScale>
        <cfvo type="min"/>
        <cfvo type="percentile" val="50"/>
        <cfvo type="max"/>
        <color rgb="FF5A8AC6"/>
        <color rgb="FFFCFCFF"/>
        <color rgb="FFF8696B"/>
      </colorScale>
    </cfRule>
    <cfRule type="colorScale" priority="10133">
      <colorScale>
        <cfvo type="formula" val="&quot;&gt;20&quot;"/>
        <cfvo type="formula" val="35"/>
        <color rgb="FFF8696B"/>
        <color rgb="FFFCFCFF"/>
      </colorScale>
    </cfRule>
    <cfRule type="colorScale" priority="10134">
      <colorScale>
        <cfvo type="min"/>
        <cfvo type="max"/>
        <color rgb="FFFFEF9C"/>
        <color rgb="FF63BE7B"/>
      </colorScale>
    </cfRule>
  </conditionalFormatting>
  <conditionalFormatting sqref="N1378">
    <cfRule type="colorScale" priority="10125">
      <colorScale>
        <cfvo type="min"/>
        <cfvo type="percentile" val="20"/>
        <cfvo type="max"/>
        <color rgb="FF92D050"/>
        <color theme="5" tint="0.79998168889431442"/>
        <color rgb="FFFF0000"/>
      </colorScale>
    </cfRule>
    <cfRule type="colorScale" priority="10126">
      <colorScale>
        <cfvo type="min"/>
        <cfvo type="max"/>
        <color rgb="FFFF0000"/>
        <color rgb="FF92D050"/>
      </colorScale>
    </cfRule>
    <cfRule type="colorScale" priority="10127">
      <colorScale>
        <cfvo type="min"/>
        <cfvo type="percentile" val="50"/>
        <cfvo type="max"/>
        <color rgb="FF5A8AC6"/>
        <color rgb="FFFCFCFF"/>
        <color rgb="FFF8696B"/>
      </colorScale>
    </cfRule>
    <cfRule type="colorScale" priority="10128">
      <colorScale>
        <cfvo type="formula" val="&quot;&gt;20&quot;"/>
        <cfvo type="formula" val="35"/>
        <color rgb="FFF8696B"/>
        <color rgb="FFFCFCFF"/>
      </colorScale>
    </cfRule>
    <cfRule type="colorScale" priority="10129">
      <colorScale>
        <cfvo type="min"/>
        <cfvo type="max"/>
        <color rgb="FFFFEF9C"/>
        <color rgb="FF63BE7B"/>
      </colorScale>
    </cfRule>
  </conditionalFormatting>
  <conditionalFormatting sqref="S1362:S1378">
    <cfRule type="containsText" dxfId="4934" priority="10121" operator="containsText" text="Short Buildup">
      <formula>NOT(ISERROR(SEARCH("Short Buildup",S1362)))</formula>
    </cfRule>
    <cfRule type="containsText" dxfId="4933" priority="10122" operator="containsText" text="Long Liquidation">
      <formula>NOT(ISERROR(SEARCH("Long Liquidation",S1362)))</formula>
    </cfRule>
    <cfRule type="containsText" dxfId="4932" priority="10123" operator="containsText" text="Short covering">
      <formula>NOT(ISERROR(SEARCH("Short covering",S1362)))</formula>
    </cfRule>
    <cfRule type="containsText" dxfId="4931" priority="10124" operator="containsText" text="Long Buildup">
      <formula>NOT(ISERROR(SEARCH("Long Buildup",S1362)))</formula>
    </cfRule>
  </conditionalFormatting>
  <conditionalFormatting sqref="F1362:F1377">
    <cfRule type="dataBar" priority="10120">
      <dataBar>
        <cfvo type="min"/>
        <cfvo type="max"/>
        <color rgb="FFFF555A"/>
      </dataBar>
    </cfRule>
  </conditionalFormatting>
  <conditionalFormatting sqref="G1362:G1377">
    <cfRule type="dataBar" priority="10119">
      <dataBar>
        <cfvo type="min"/>
        <cfvo type="max"/>
        <color rgb="FFFF555A"/>
      </dataBar>
    </cfRule>
  </conditionalFormatting>
  <conditionalFormatting sqref="H1362">
    <cfRule type="dataBar" priority="10118">
      <dataBar>
        <cfvo type="min"/>
        <cfvo type="max"/>
        <color rgb="FFFF555A"/>
      </dataBar>
    </cfRule>
  </conditionalFormatting>
  <conditionalFormatting sqref="I1362">
    <cfRule type="dataBar" priority="10117">
      <dataBar>
        <cfvo type="min"/>
        <cfvo type="max"/>
        <color rgb="FFFF555A"/>
      </dataBar>
    </cfRule>
  </conditionalFormatting>
  <conditionalFormatting sqref="J1362">
    <cfRule type="dataBar" priority="10116">
      <dataBar>
        <cfvo type="min"/>
        <cfvo type="max"/>
        <color rgb="FFFF555A"/>
      </dataBar>
    </cfRule>
  </conditionalFormatting>
  <conditionalFormatting sqref="E1363:E1377">
    <cfRule type="dataBar" priority="10115">
      <dataBar>
        <cfvo type="min"/>
        <cfvo type="max"/>
        <color rgb="FFFF555A"/>
      </dataBar>
    </cfRule>
  </conditionalFormatting>
  <conditionalFormatting sqref="H1363:H1377">
    <cfRule type="dataBar" priority="10114">
      <dataBar>
        <cfvo type="min"/>
        <cfvo type="max"/>
        <color rgb="FFFF555A"/>
      </dataBar>
    </cfRule>
  </conditionalFormatting>
  <conditionalFormatting sqref="I1363:I1377">
    <cfRule type="dataBar" priority="10113">
      <dataBar>
        <cfvo type="min"/>
        <cfvo type="max"/>
        <color rgb="FFFF555A"/>
      </dataBar>
    </cfRule>
  </conditionalFormatting>
  <conditionalFormatting sqref="J1363:J1377">
    <cfRule type="dataBar" priority="10112">
      <dataBar>
        <cfvo type="min"/>
        <cfvo type="max"/>
        <color rgb="FFFF555A"/>
      </dataBar>
    </cfRule>
  </conditionalFormatting>
  <conditionalFormatting sqref="L1362:L1377">
    <cfRule type="dataBar" priority="10111">
      <dataBar>
        <cfvo type="min"/>
        <cfvo type="max"/>
        <color rgb="FFFF555A"/>
      </dataBar>
    </cfRule>
  </conditionalFormatting>
  <conditionalFormatting sqref="M1362:M1377">
    <cfRule type="dataBar" priority="10110">
      <dataBar>
        <cfvo type="min"/>
        <cfvo type="max"/>
        <color rgb="FFFF555A"/>
      </dataBar>
    </cfRule>
  </conditionalFormatting>
  <conditionalFormatting sqref="N1362:N1377">
    <cfRule type="dataBar" priority="10109">
      <dataBar>
        <cfvo type="min"/>
        <cfvo type="max"/>
        <color rgb="FFFF555A"/>
      </dataBar>
    </cfRule>
  </conditionalFormatting>
  <conditionalFormatting sqref="Q1362:Q1377">
    <cfRule type="dataBar" priority="10108">
      <dataBar>
        <cfvo type="min"/>
        <cfvo type="max"/>
        <color rgb="FFFF555A"/>
      </dataBar>
    </cfRule>
  </conditionalFormatting>
  <conditionalFormatting sqref="O1362:O1377">
    <cfRule type="dataBar" priority="10107">
      <dataBar>
        <cfvo type="min"/>
        <cfvo type="max"/>
        <color rgb="FFFF555A"/>
      </dataBar>
    </cfRule>
  </conditionalFormatting>
  <conditionalFormatting sqref="P1362:P1377">
    <cfRule type="dataBar" priority="10106">
      <dataBar>
        <cfvo type="min"/>
        <cfvo type="max"/>
        <color rgb="FFFF555A"/>
      </dataBar>
    </cfRule>
  </conditionalFormatting>
  <conditionalFormatting sqref="R1379:R1395 D1379:D1394 C1395">
    <cfRule type="containsText" dxfId="4930" priority="10105" operator="containsText" text="DOWN">
      <formula>NOT(ISERROR(SEARCH("DOWN",C1379)))</formula>
    </cfRule>
  </conditionalFormatting>
  <conditionalFormatting sqref="R1379:R1395 D1379:D1394 C1395">
    <cfRule type="containsText" dxfId="4929" priority="10104" operator="containsText" text="UP">
      <formula>NOT(ISERROR(SEARCH("UP",C1379)))</formula>
    </cfRule>
  </conditionalFormatting>
  <conditionalFormatting sqref="I1395">
    <cfRule type="colorScale" priority="10103">
      <colorScale>
        <cfvo type="min"/>
        <cfvo type="max"/>
        <color rgb="FFFFEF9C"/>
        <color rgb="FF63BE7B"/>
      </colorScale>
    </cfRule>
  </conditionalFormatting>
  <conditionalFormatting sqref="M1395">
    <cfRule type="colorScale" priority="10102">
      <colorScale>
        <cfvo type="min"/>
        <cfvo type="max"/>
        <color rgb="FFFF7128"/>
        <color rgb="FFFFEF9C"/>
      </colorScale>
    </cfRule>
  </conditionalFormatting>
  <conditionalFormatting sqref="Q1395">
    <cfRule type="dataBar" priority="10101">
      <dataBar>
        <cfvo type="min"/>
        <cfvo type="max"/>
        <color rgb="FFFF555A"/>
      </dataBar>
    </cfRule>
  </conditionalFormatting>
  <conditionalFormatting sqref="E1379:E1395">
    <cfRule type="dataBar" priority="10100">
      <dataBar>
        <cfvo type="min"/>
        <cfvo type="max"/>
        <color rgb="FFFF555A"/>
      </dataBar>
    </cfRule>
  </conditionalFormatting>
  <conditionalFormatting sqref="F1395">
    <cfRule type="top10" dxfId="4928" priority="10099" rank="1"/>
  </conditionalFormatting>
  <conditionalFormatting sqref="G1395 P1395">
    <cfRule type="cellIs" dxfId="4927" priority="10098" operator="equal">
      <formula>$G$135</formula>
    </cfRule>
  </conditionalFormatting>
  <conditionalFormatting sqref="P1395">
    <cfRule type="cellIs" dxfId="4926" priority="10097" operator="equal">
      <formula>$J$135</formula>
    </cfRule>
  </conditionalFormatting>
  <conditionalFormatting sqref="G1395 P1395">
    <cfRule type="cellIs" dxfId="4925" priority="10096" operator="equal">
      <formula>#REF!</formula>
    </cfRule>
  </conditionalFormatting>
  <conditionalFormatting sqref="G1395">
    <cfRule type="top10" dxfId="4924" priority="10094" rank="1"/>
    <cfRule type="cellIs" dxfId="4923" priority="10095" operator="equal">
      <formula>$G$133</formula>
    </cfRule>
  </conditionalFormatting>
  <conditionalFormatting sqref="P1395">
    <cfRule type="top10" dxfId="4922" priority="10092" rank="1"/>
    <cfRule type="cellIs" dxfId="4921" priority="10093" operator="equal">
      <formula>$G$133</formula>
    </cfRule>
  </conditionalFormatting>
  <conditionalFormatting sqref="C1379:C1394">
    <cfRule type="containsText" dxfId="4920" priority="10088" operator="containsText" text="Short Buildup">
      <formula>NOT(ISERROR(SEARCH("Short Buildup",C1379)))</formula>
    </cfRule>
    <cfRule type="containsText" dxfId="4919" priority="10089" operator="containsText" text="Long Liquidation">
      <formula>NOT(ISERROR(SEARCH("Long Liquidation",C1379)))</formula>
    </cfRule>
    <cfRule type="containsText" dxfId="4918" priority="10090" operator="containsText" text="Short covering">
      <formula>NOT(ISERROR(SEARCH("Short covering",C1379)))</formula>
    </cfRule>
    <cfRule type="containsText" dxfId="4917" priority="10091" operator="containsText" text="Long Buildup">
      <formula>NOT(ISERROR(SEARCH("Long Buildup",C1379)))</formula>
    </cfRule>
  </conditionalFormatting>
  <conditionalFormatting sqref="H1395">
    <cfRule type="colorScale" priority="10083">
      <colorScale>
        <cfvo type="min"/>
        <cfvo type="percentile" val="20"/>
        <cfvo type="max"/>
        <color rgb="FF92D050"/>
        <color theme="5" tint="0.79998168889431442"/>
        <color rgb="FFFF0000"/>
      </colorScale>
    </cfRule>
    <cfRule type="colorScale" priority="10084">
      <colorScale>
        <cfvo type="min"/>
        <cfvo type="max"/>
        <color rgb="FFFF0000"/>
        <color rgb="FF92D050"/>
      </colorScale>
    </cfRule>
    <cfRule type="colorScale" priority="10085">
      <colorScale>
        <cfvo type="min"/>
        <cfvo type="percentile" val="50"/>
        <cfvo type="max"/>
        <color rgb="FF5A8AC6"/>
        <color rgb="FFFCFCFF"/>
        <color rgb="FFF8696B"/>
      </colorScale>
    </cfRule>
    <cfRule type="colorScale" priority="10086">
      <colorScale>
        <cfvo type="formula" val="&quot;&gt;20&quot;"/>
        <cfvo type="formula" val="35"/>
        <color rgb="FFF8696B"/>
        <color rgb="FFFCFCFF"/>
      </colorScale>
    </cfRule>
    <cfRule type="colorScale" priority="10087">
      <colorScale>
        <cfvo type="min"/>
        <cfvo type="max"/>
        <color rgb="FFFFEF9C"/>
        <color rgb="FF63BE7B"/>
      </colorScale>
    </cfRule>
  </conditionalFormatting>
  <conditionalFormatting sqref="N1395">
    <cfRule type="colorScale" priority="10078">
      <colorScale>
        <cfvo type="min"/>
        <cfvo type="percentile" val="20"/>
        <cfvo type="max"/>
        <color rgb="FF92D050"/>
        <color theme="5" tint="0.79998168889431442"/>
        <color rgb="FFFF0000"/>
      </colorScale>
    </cfRule>
    <cfRule type="colorScale" priority="10079">
      <colorScale>
        <cfvo type="min"/>
        <cfvo type="max"/>
        <color rgb="FFFF0000"/>
        <color rgb="FF92D050"/>
      </colorScale>
    </cfRule>
    <cfRule type="colorScale" priority="10080">
      <colorScale>
        <cfvo type="min"/>
        <cfvo type="percentile" val="50"/>
        <cfvo type="max"/>
        <color rgb="FF5A8AC6"/>
        <color rgb="FFFCFCFF"/>
        <color rgb="FFF8696B"/>
      </colorScale>
    </cfRule>
    <cfRule type="colorScale" priority="10081">
      <colorScale>
        <cfvo type="formula" val="&quot;&gt;20&quot;"/>
        <cfvo type="formula" val="35"/>
        <color rgb="FFF8696B"/>
        <color rgb="FFFCFCFF"/>
      </colorScale>
    </cfRule>
    <cfRule type="colorScale" priority="10082">
      <colorScale>
        <cfvo type="min"/>
        <cfvo type="max"/>
        <color rgb="FFFFEF9C"/>
        <color rgb="FF63BE7B"/>
      </colorScale>
    </cfRule>
  </conditionalFormatting>
  <conditionalFormatting sqref="S1379:S1395">
    <cfRule type="containsText" dxfId="4916" priority="10074" operator="containsText" text="Short Buildup">
      <formula>NOT(ISERROR(SEARCH("Short Buildup",S1379)))</formula>
    </cfRule>
    <cfRule type="containsText" dxfId="4915" priority="10075" operator="containsText" text="Long Liquidation">
      <formula>NOT(ISERROR(SEARCH("Long Liquidation",S1379)))</formula>
    </cfRule>
    <cfRule type="containsText" dxfId="4914" priority="10076" operator="containsText" text="Short covering">
      <formula>NOT(ISERROR(SEARCH("Short covering",S1379)))</formula>
    </cfRule>
    <cfRule type="containsText" dxfId="4913" priority="10077" operator="containsText" text="Long Buildup">
      <formula>NOT(ISERROR(SEARCH("Long Buildup",S1379)))</formula>
    </cfRule>
  </conditionalFormatting>
  <conditionalFormatting sqref="F1379:F1394">
    <cfRule type="dataBar" priority="10073">
      <dataBar>
        <cfvo type="min"/>
        <cfvo type="max"/>
        <color rgb="FFFF555A"/>
      </dataBar>
    </cfRule>
  </conditionalFormatting>
  <conditionalFormatting sqref="G1379:G1394">
    <cfRule type="dataBar" priority="10072">
      <dataBar>
        <cfvo type="min"/>
        <cfvo type="max"/>
        <color rgb="FFFF555A"/>
      </dataBar>
    </cfRule>
  </conditionalFormatting>
  <conditionalFormatting sqref="H1379">
    <cfRule type="dataBar" priority="10071">
      <dataBar>
        <cfvo type="min"/>
        <cfvo type="max"/>
        <color rgb="FFFF555A"/>
      </dataBar>
    </cfRule>
  </conditionalFormatting>
  <conditionalFormatting sqref="I1379">
    <cfRule type="dataBar" priority="10070">
      <dataBar>
        <cfvo type="min"/>
        <cfvo type="max"/>
        <color rgb="FFFF555A"/>
      </dataBar>
    </cfRule>
  </conditionalFormatting>
  <conditionalFormatting sqref="J1379">
    <cfRule type="dataBar" priority="10069">
      <dataBar>
        <cfvo type="min"/>
        <cfvo type="max"/>
        <color rgb="FFFF555A"/>
      </dataBar>
    </cfRule>
  </conditionalFormatting>
  <conditionalFormatting sqref="E1380:E1394">
    <cfRule type="dataBar" priority="10068">
      <dataBar>
        <cfvo type="min"/>
        <cfvo type="max"/>
        <color rgb="FFFF555A"/>
      </dataBar>
    </cfRule>
  </conditionalFormatting>
  <conditionalFormatting sqref="H1380:H1394">
    <cfRule type="dataBar" priority="10067">
      <dataBar>
        <cfvo type="min"/>
        <cfvo type="max"/>
        <color rgb="FFFF555A"/>
      </dataBar>
    </cfRule>
  </conditionalFormatting>
  <conditionalFormatting sqref="I1380:I1394">
    <cfRule type="dataBar" priority="10066">
      <dataBar>
        <cfvo type="min"/>
        <cfvo type="max"/>
        <color rgb="FFFF555A"/>
      </dataBar>
    </cfRule>
  </conditionalFormatting>
  <conditionalFormatting sqref="J1380:J1394">
    <cfRule type="dataBar" priority="10065">
      <dataBar>
        <cfvo type="min"/>
        <cfvo type="max"/>
        <color rgb="FFFF555A"/>
      </dataBar>
    </cfRule>
  </conditionalFormatting>
  <conditionalFormatting sqref="L1379:L1394">
    <cfRule type="dataBar" priority="10064">
      <dataBar>
        <cfvo type="min"/>
        <cfvo type="max"/>
        <color rgb="FFFF555A"/>
      </dataBar>
    </cfRule>
  </conditionalFormatting>
  <conditionalFormatting sqref="M1379:M1394">
    <cfRule type="dataBar" priority="10063">
      <dataBar>
        <cfvo type="min"/>
        <cfvo type="max"/>
        <color rgb="FFFF555A"/>
      </dataBar>
    </cfRule>
  </conditionalFormatting>
  <conditionalFormatting sqref="N1379:N1394">
    <cfRule type="dataBar" priority="10062">
      <dataBar>
        <cfvo type="min"/>
        <cfvo type="max"/>
        <color rgb="FFFF555A"/>
      </dataBar>
    </cfRule>
  </conditionalFormatting>
  <conditionalFormatting sqref="Q1379:Q1394">
    <cfRule type="dataBar" priority="10061">
      <dataBar>
        <cfvo type="min"/>
        <cfvo type="max"/>
        <color rgb="FFFF555A"/>
      </dataBar>
    </cfRule>
  </conditionalFormatting>
  <conditionalFormatting sqref="O1379:O1394">
    <cfRule type="dataBar" priority="10060">
      <dataBar>
        <cfvo type="min"/>
        <cfvo type="max"/>
        <color rgb="FFFF555A"/>
      </dataBar>
    </cfRule>
  </conditionalFormatting>
  <conditionalFormatting sqref="P1379:P1394">
    <cfRule type="dataBar" priority="10059">
      <dataBar>
        <cfvo type="min"/>
        <cfvo type="max"/>
        <color rgb="FFFF555A"/>
      </dataBar>
    </cfRule>
  </conditionalFormatting>
  <conditionalFormatting sqref="R1396:R1412 D1396:D1411 C1412">
    <cfRule type="containsText" dxfId="4912" priority="10058" operator="containsText" text="DOWN">
      <formula>NOT(ISERROR(SEARCH("DOWN",C1396)))</formula>
    </cfRule>
  </conditionalFormatting>
  <conditionalFormatting sqref="R1396:R1412 D1396:D1411 C1412">
    <cfRule type="containsText" dxfId="4911" priority="10057" operator="containsText" text="UP">
      <formula>NOT(ISERROR(SEARCH("UP",C1396)))</formula>
    </cfRule>
  </conditionalFormatting>
  <conditionalFormatting sqref="I1412">
    <cfRule type="colorScale" priority="10056">
      <colorScale>
        <cfvo type="min"/>
        <cfvo type="max"/>
        <color rgb="FFFFEF9C"/>
        <color rgb="FF63BE7B"/>
      </colorScale>
    </cfRule>
  </conditionalFormatting>
  <conditionalFormatting sqref="M1412">
    <cfRule type="colorScale" priority="10055">
      <colorScale>
        <cfvo type="min"/>
        <cfvo type="max"/>
        <color rgb="FFFF7128"/>
        <color rgb="FFFFEF9C"/>
      </colorScale>
    </cfRule>
  </conditionalFormatting>
  <conditionalFormatting sqref="Q1412">
    <cfRule type="dataBar" priority="10054">
      <dataBar>
        <cfvo type="min"/>
        <cfvo type="max"/>
        <color rgb="FFFF555A"/>
      </dataBar>
    </cfRule>
  </conditionalFormatting>
  <conditionalFormatting sqref="E1396:E1412">
    <cfRule type="dataBar" priority="10053">
      <dataBar>
        <cfvo type="min"/>
        <cfvo type="max"/>
        <color rgb="FFFF555A"/>
      </dataBar>
    </cfRule>
  </conditionalFormatting>
  <conditionalFormatting sqref="F1412">
    <cfRule type="top10" dxfId="4910" priority="10052" rank="1"/>
  </conditionalFormatting>
  <conditionalFormatting sqref="G1412 P1412">
    <cfRule type="cellIs" dxfId="4909" priority="10051" operator="equal">
      <formula>$G$135</formula>
    </cfRule>
  </conditionalFormatting>
  <conditionalFormatting sqref="P1412">
    <cfRule type="cellIs" dxfId="4908" priority="10050" operator="equal">
      <formula>$J$135</formula>
    </cfRule>
  </conditionalFormatting>
  <conditionalFormatting sqref="G1412 P1412">
    <cfRule type="cellIs" dxfId="4907" priority="10049" operator="equal">
      <formula>#REF!</formula>
    </cfRule>
  </conditionalFormatting>
  <conditionalFormatting sqref="G1412">
    <cfRule type="top10" dxfId="4906" priority="10047" rank="1"/>
    <cfRule type="cellIs" dxfId="4905" priority="10048" operator="equal">
      <formula>$G$133</formula>
    </cfRule>
  </conditionalFormatting>
  <conditionalFormatting sqref="P1412">
    <cfRule type="top10" dxfId="4904" priority="10045" rank="1"/>
    <cfRule type="cellIs" dxfId="4903" priority="10046" operator="equal">
      <formula>$G$133</formula>
    </cfRule>
  </conditionalFormatting>
  <conditionalFormatting sqref="C1396:C1411">
    <cfRule type="containsText" dxfId="4902" priority="10041" operator="containsText" text="Short Buildup">
      <formula>NOT(ISERROR(SEARCH("Short Buildup",C1396)))</formula>
    </cfRule>
    <cfRule type="containsText" dxfId="4901" priority="10042" operator="containsText" text="Long Liquidation">
      <formula>NOT(ISERROR(SEARCH("Long Liquidation",C1396)))</formula>
    </cfRule>
    <cfRule type="containsText" dxfId="4900" priority="10043" operator="containsText" text="Short covering">
      <formula>NOT(ISERROR(SEARCH("Short covering",C1396)))</formula>
    </cfRule>
    <cfRule type="containsText" dxfId="4899" priority="10044" operator="containsText" text="Long Buildup">
      <formula>NOT(ISERROR(SEARCH("Long Buildup",C1396)))</formula>
    </cfRule>
  </conditionalFormatting>
  <conditionalFormatting sqref="H1412">
    <cfRule type="colorScale" priority="10036">
      <colorScale>
        <cfvo type="min"/>
        <cfvo type="percentile" val="20"/>
        <cfvo type="max"/>
        <color rgb="FF92D050"/>
        <color theme="5" tint="0.79998168889431442"/>
        <color rgb="FFFF0000"/>
      </colorScale>
    </cfRule>
    <cfRule type="colorScale" priority="10037">
      <colorScale>
        <cfvo type="min"/>
        <cfvo type="max"/>
        <color rgb="FFFF0000"/>
        <color rgb="FF92D050"/>
      </colorScale>
    </cfRule>
    <cfRule type="colorScale" priority="10038">
      <colorScale>
        <cfvo type="min"/>
        <cfvo type="percentile" val="50"/>
        <cfvo type="max"/>
        <color rgb="FF5A8AC6"/>
        <color rgb="FFFCFCFF"/>
        <color rgb="FFF8696B"/>
      </colorScale>
    </cfRule>
    <cfRule type="colorScale" priority="10039">
      <colorScale>
        <cfvo type="formula" val="&quot;&gt;20&quot;"/>
        <cfvo type="formula" val="35"/>
        <color rgb="FFF8696B"/>
        <color rgb="FFFCFCFF"/>
      </colorScale>
    </cfRule>
    <cfRule type="colorScale" priority="10040">
      <colorScale>
        <cfvo type="min"/>
        <cfvo type="max"/>
        <color rgb="FFFFEF9C"/>
        <color rgb="FF63BE7B"/>
      </colorScale>
    </cfRule>
  </conditionalFormatting>
  <conditionalFormatting sqref="N1412">
    <cfRule type="colorScale" priority="10031">
      <colorScale>
        <cfvo type="min"/>
        <cfvo type="percentile" val="20"/>
        <cfvo type="max"/>
        <color rgb="FF92D050"/>
        <color theme="5" tint="0.79998168889431442"/>
        <color rgb="FFFF0000"/>
      </colorScale>
    </cfRule>
    <cfRule type="colorScale" priority="10032">
      <colorScale>
        <cfvo type="min"/>
        <cfvo type="max"/>
        <color rgb="FFFF0000"/>
        <color rgb="FF92D050"/>
      </colorScale>
    </cfRule>
    <cfRule type="colorScale" priority="10033">
      <colorScale>
        <cfvo type="min"/>
        <cfvo type="percentile" val="50"/>
        <cfvo type="max"/>
        <color rgb="FF5A8AC6"/>
        <color rgb="FFFCFCFF"/>
        <color rgb="FFF8696B"/>
      </colorScale>
    </cfRule>
    <cfRule type="colorScale" priority="10034">
      <colorScale>
        <cfvo type="formula" val="&quot;&gt;20&quot;"/>
        <cfvo type="formula" val="35"/>
        <color rgb="FFF8696B"/>
        <color rgb="FFFCFCFF"/>
      </colorScale>
    </cfRule>
    <cfRule type="colorScale" priority="10035">
      <colorScale>
        <cfvo type="min"/>
        <cfvo type="max"/>
        <color rgb="FFFFEF9C"/>
        <color rgb="FF63BE7B"/>
      </colorScale>
    </cfRule>
  </conditionalFormatting>
  <conditionalFormatting sqref="S1396:S1412">
    <cfRule type="containsText" dxfId="4898" priority="10027" operator="containsText" text="Short Buildup">
      <formula>NOT(ISERROR(SEARCH("Short Buildup",S1396)))</formula>
    </cfRule>
    <cfRule type="containsText" dxfId="4897" priority="10028" operator="containsText" text="Long Liquidation">
      <formula>NOT(ISERROR(SEARCH("Long Liquidation",S1396)))</formula>
    </cfRule>
    <cfRule type="containsText" dxfId="4896" priority="10029" operator="containsText" text="Short covering">
      <formula>NOT(ISERROR(SEARCH("Short covering",S1396)))</formula>
    </cfRule>
    <cfRule type="containsText" dxfId="4895" priority="10030" operator="containsText" text="Long Buildup">
      <formula>NOT(ISERROR(SEARCH("Long Buildup",S1396)))</formula>
    </cfRule>
  </conditionalFormatting>
  <conditionalFormatting sqref="F1396:F1411">
    <cfRule type="dataBar" priority="10026">
      <dataBar>
        <cfvo type="min"/>
        <cfvo type="max"/>
        <color rgb="FFFF555A"/>
      </dataBar>
    </cfRule>
  </conditionalFormatting>
  <conditionalFormatting sqref="G1396:G1411">
    <cfRule type="dataBar" priority="10025">
      <dataBar>
        <cfvo type="min"/>
        <cfvo type="max"/>
        <color rgb="FFFF555A"/>
      </dataBar>
    </cfRule>
  </conditionalFormatting>
  <conditionalFormatting sqref="H1396">
    <cfRule type="dataBar" priority="10024">
      <dataBar>
        <cfvo type="min"/>
        <cfvo type="max"/>
        <color rgb="FFFF555A"/>
      </dataBar>
    </cfRule>
  </conditionalFormatting>
  <conditionalFormatting sqref="I1396">
    <cfRule type="dataBar" priority="10023">
      <dataBar>
        <cfvo type="min"/>
        <cfvo type="max"/>
        <color rgb="FFFF555A"/>
      </dataBar>
    </cfRule>
  </conditionalFormatting>
  <conditionalFormatting sqref="J1396">
    <cfRule type="dataBar" priority="10022">
      <dataBar>
        <cfvo type="min"/>
        <cfvo type="max"/>
        <color rgb="FFFF555A"/>
      </dataBar>
    </cfRule>
  </conditionalFormatting>
  <conditionalFormatting sqref="E1397:E1411">
    <cfRule type="dataBar" priority="10021">
      <dataBar>
        <cfvo type="min"/>
        <cfvo type="max"/>
        <color rgb="FFFF555A"/>
      </dataBar>
    </cfRule>
  </conditionalFormatting>
  <conditionalFormatting sqref="H1397:H1411">
    <cfRule type="dataBar" priority="10020">
      <dataBar>
        <cfvo type="min"/>
        <cfvo type="max"/>
        <color rgb="FFFF555A"/>
      </dataBar>
    </cfRule>
  </conditionalFormatting>
  <conditionalFormatting sqref="I1397:I1411">
    <cfRule type="dataBar" priority="10019">
      <dataBar>
        <cfvo type="min"/>
        <cfvo type="max"/>
        <color rgb="FFFF555A"/>
      </dataBar>
    </cfRule>
  </conditionalFormatting>
  <conditionalFormatting sqref="J1397:J1411">
    <cfRule type="dataBar" priority="10018">
      <dataBar>
        <cfvo type="min"/>
        <cfvo type="max"/>
        <color rgb="FFFF555A"/>
      </dataBar>
    </cfRule>
  </conditionalFormatting>
  <conditionalFormatting sqref="L1396:L1411">
    <cfRule type="dataBar" priority="10017">
      <dataBar>
        <cfvo type="min"/>
        <cfvo type="max"/>
        <color rgb="FFFF555A"/>
      </dataBar>
    </cfRule>
  </conditionalFormatting>
  <conditionalFormatting sqref="M1396:M1411">
    <cfRule type="dataBar" priority="10016">
      <dataBar>
        <cfvo type="min"/>
        <cfvo type="max"/>
        <color rgb="FFFF555A"/>
      </dataBar>
    </cfRule>
  </conditionalFormatting>
  <conditionalFormatting sqref="N1396:N1411">
    <cfRule type="dataBar" priority="10015">
      <dataBar>
        <cfvo type="min"/>
        <cfvo type="max"/>
        <color rgb="FFFF555A"/>
      </dataBar>
    </cfRule>
  </conditionalFormatting>
  <conditionalFormatting sqref="Q1396:Q1411">
    <cfRule type="dataBar" priority="10014">
      <dataBar>
        <cfvo type="min"/>
        <cfvo type="max"/>
        <color rgb="FFFF555A"/>
      </dataBar>
    </cfRule>
  </conditionalFormatting>
  <conditionalFormatting sqref="O1396:O1411">
    <cfRule type="dataBar" priority="10013">
      <dataBar>
        <cfvo type="min"/>
        <cfvo type="max"/>
        <color rgb="FFFF555A"/>
      </dataBar>
    </cfRule>
  </conditionalFormatting>
  <conditionalFormatting sqref="P1396:P1411">
    <cfRule type="dataBar" priority="10012">
      <dataBar>
        <cfvo type="min"/>
        <cfvo type="max"/>
        <color rgb="FFFF555A"/>
      </dataBar>
    </cfRule>
  </conditionalFormatting>
  <conditionalFormatting sqref="R1413:R1429 D1413:D1428 C1429">
    <cfRule type="containsText" dxfId="4894" priority="10011" operator="containsText" text="DOWN">
      <formula>NOT(ISERROR(SEARCH("DOWN",C1413)))</formula>
    </cfRule>
  </conditionalFormatting>
  <conditionalFormatting sqref="R1413:R1429 D1413:D1428 C1429">
    <cfRule type="containsText" dxfId="4893" priority="10010" operator="containsText" text="UP">
      <formula>NOT(ISERROR(SEARCH("UP",C1413)))</formula>
    </cfRule>
  </conditionalFormatting>
  <conditionalFormatting sqref="I1429">
    <cfRule type="colorScale" priority="10009">
      <colorScale>
        <cfvo type="min"/>
        <cfvo type="max"/>
        <color rgb="FFFFEF9C"/>
        <color rgb="FF63BE7B"/>
      </colorScale>
    </cfRule>
  </conditionalFormatting>
  <conditionalFormatting sqref="M1429">
    <cfRule type="colorScale" priority="10008">
      <colorScale>
        <cfvo type="min"/>
        <cfvo type="max"/>
        <color rgb="FFFF7128"/>
        <color rgb="FFFFEF9C"/>
      </colorScale>
    </cfRule>
  </conditionalFormatting>
  <conditionalFormatting sqref="Q1429">
    <cfRule type="dataBar" priority="10007">
      <dataBar>
        <cfvo type="min"/>
        <cfvo type="max"/>
        <color rgb="FFFF555A"/>
      </dataBar>
    </cfRule>
  </conditionalFormatting>
  <conditionalFormatting sqref="E1413:E1429">
    <cfRule type="dataBar" priority="10006">
      <dataBar>
        <cfvo type="min"/>
        <cfvo type="max"/>
        <color rgb="FFFF555A"/>
      </dataBar>
    </cfRule>
  </conditionalFormatting>
  <conditionalFormatting sqref="F1429">
    <cfRule type="top10" dxfId="4892" priority="10005" rank="1"/>
  </conditionalFormatting>
  <conditionalFormatting sqref="G1429 P1429">
    <cfRule type="cellIs" dxfId="4891" priority="10004" operator="equal">
      <formula>$G$135</formula>
    </cfRule>
  </conditionalFormatting>
  <conditionalFormatting sqref="P1429">
    <cfRule type="cellIs" dxfId="4890" priority="10003" operator="equal">
      <formula>$J$135</formula>
    </cfRule>
  </conditionalFormatting>
  <conditionalFormatting sqref="G1429 P1429">
    <cfRule type="cellIs" dxfId="4889" priority="10002" operator="equal">
      <formula>#REF!</formula>
    </cfRule>
  </conditionalFormatting>
  <conditionalFormatting sqref="G1429">
    <cfRule type="top10" dxfId="4888" priority="10000" rank="1"/>
    <cfRule type="cellIs" dxfId="4887" priority="10001" operator="equal">
      <formula>$G$133</formula>
    </cfRule>
  </conditionalFormatting>
  <conditionalFormatting sqref="P1429">
    <cfRule type="top10" dxfId="4886" priority="9998" rank="1"/>
    <cfRule type="cellIs" dxfId="4885" priority="9999" operator="equal">
      <formula>$G$133</formula>
    </cfRule>
  </conditionalFormatting>
  <conditionalFormatting sqref="C1413:C1428">
    <cfRule type="containsText" dxfId="4884" priority="9994" operator="containsText" text="Short Buildup">
      <formula>NOT(ISERROR(SEARCH("Short Buildup",C1413)))</formula>
    </cfRule>
    <cfRule type="containsText" dxfId="4883" priority="9995" operator="containsText" text="Long Liquidation">
      <formula>NOT(ISERROR(SEARCH("Long Liquidation",C1413)))</formula>
    </cfRule>
    <cfRule type="containsText" dxfId="4882" priority="9996" operator="containsText" text="Short covering">
      <formula>NOT(ISERROR(SEARCH("Short covering",C1413)))</formula>
    </cfRule>
    <cfRule type="containsText" dxfId="4881" priority="9997" operator="containsText" text="Long Buildup">
      <formula>NOT(ISERROR(SEARCH("Long Buildup",C1413)))</formula>
    </cfRule>
  </conditionalFormatting>
  <conditionalFormatting sqref="H1429">
    <cfRule type="colorScale" priority="9989">
      <colorScale>
        <cfvo type="min"/>
        <cfvo type="percentile" val="20"/>
        <cfvo type="max"/>
        <color rgb="FF92D050"/>
        <color theme="5" tint="0.79998168889431442"/>
        <color rgb="FFFF0000"/>
      </colorScale>
    </cfRule>
    <cfRule type="colorScale" priority="9990">
      <colorScale>
        <cfvo type="min"/>
        <cfvo type="max"/>
        <color rgb="FFFF0000"/>
        <color rgb="FF92D050"/>
      </colorScale>
    </cfRule>
    <cfRule type="colorScale" priority="9991">
      <colorScale>
        <cfvo type="min"/>
        <cfvo type="percentile" val="50"/>
        <cfvo type="max"/>
        <color rgb="FF5A8AC6"/>
        <color rgb="FFFCFCFF"/>
        <color rgb="FFF8696B"/>
      </colorScale>
    </cfRule>
    <cfRule type="colorScale" priority="9992">
      <colorScale>
        <cfvo type="formula" val="&quot;&gt;20&quot;"/>
        <cfvo type="formula" val="35"/>
        <color rgb="FFF8696B"/>
        <color rgb="FFFCFCFF"/>
      </colorScale>
    </cfRule>
    <cfRule type="colorScale" priority="9993">
      <colorScale>
        <cfvo type="min"/>
        <cfvo type="max"/>
        <color rgb="FFFFEF9C"/>
        <color rgb="FF63BE7B"/>
      </colorScale>
    </cfRule>
  </conditionalFormatting>
  <conditionalFormatting sqref="N1429">
    <cfRule type="colorScale" priority="9984">
      <colorScale>
        <cfvo type="min"/>
        <cfvo type="percentile" val="20"/>
        <cfvo type="max"/>
        <color rgb="FF92D050"/>
        <color theme="5" tint="0.79998168889431442"/>
        <color rgb="FFFF0000"/>
      </colorScale>
    </cfRule>
    <cfRule type="colorScale" priority="9985">
      <colorScale>
        <cfvo type="min"/>
        <cfvo type="max"/>
        <color rgb="FFFF0000"/>
        <color rgb="FF92D050"/>
      </colorScale>
    </cfRule>
    <cfRule type="colorScale" priority="9986">
      <colorScale>
        <cfvo type="min"/>
        <cfvo type="percentile" val="50"/>
        <cfvo type="max"/>
        <color rgb="FF5A8AC6"/>
        <color rgb="FFFCFCFF"/>
        <color rgb="FFF8696B"/>
      </colorScale>
    </cfRule>
    <cfRule type="colorScale" priority="9987">
      <colorScale>
        <cfvo type="formula" val="&quot;&gt;20&quot;"/>
        <cfvo type="formula" val="35"/>
        <color rgb="FFF8696B"/>
        <color rgb="FFFCFCFF"/>
      </colorScale>
    </cfRule>
    <cfRule type="colorScale" priority="9988">
      <colorScale>
        <cfvo type="min"/>
        <cfvo type="max"/>
        <color rgb="FFFFEF9C"/>
        <color rgb="FF63BE7B"/>
      </colorScale>
    </cfRule>
  </conditionalFormatting>
  <conditionalFormatting sqref="S1413:S1429">
    <cfRule type="containsText" dxfId="4880" priority="9980" operator="containsText" text="Short Buildup">
      <formula>NOT(ISERROR(SEARCH("Short Buildup",S1413)))</formula>
    </cfRule>
    <cfRule type="containsText" dxfId="4879" priority="9981" operator="containsText" text="Long Liquidation">
      <formula>NOT(ISERROR(SEARCH("Long Liquidation",S1413)))</formula>
    </cfRule>
    <cfRule type="containsText" dxfId="4878" priority="9982" operator="containsText" text="Short covering">
      <formula>NOT(ISERROR(SEARCH("Short covering",S1413)))</formula>
    </cfRule>
    <cfRule type="containsText" dxfId="4877" priority="9983" operator="containsText" text="Long Buildup">
      <formula>NOT(ISERROR(SEARCH("Long Buildup",S1413)))</formula>
    </cfRule>
  </conditionalFormatting>
  <conditionalFormatting sqref="F1413:F1428">
    <cfRule type="dataBar" priority="9979">
      <dataBar>
        <cfvo type="min"/>
        <cfvo type="max"/>
        <color rgb="FFFF555A"/>
      </dataBar>
    </cfRule>
  </conditionalFormatting>
  <conditionalFormatting sqref="G1413:G1428">
    <cfRule type="dataBar" priority="9978">
      <dataBar>
        <cfvo type="min"/>
        <cfvo type="max"/>
        <color rgb="FFFF555A"/>
      </dataBar>
    </cfRule>
  </conditionalFormatting>
  <conditionalFormatting sqref="H1413">
    <cfRule type="dataBar" priority="9977">
      <dataBar>
        <cfvo type="min"/>
        <cfvo type="max"/>
        <color rgb="FFFF555A"/>
      </dataBar>
    </cfRule>
  </conditionalFormatting>
  <conditionalFormatting sqref="I1413">
    <cfRule type="dataBar" priority="9976">
      <dataBar>
        <cfvo type="min"/>
        <cfvo type="max"/>
        <color rgb="FFFF555A"/>
      </dataBar>
    </cfRule>
  </conditionalFormatting>
  <conditionalFormatting sqref="J1413">
    <cfRule type="dataBar" priority="9975">
      <dataBar>
        <cfvo type="min"/>
        <cfvo type="max"/>
        <color rgb="FFFF555A"/>
      </dataBar>
    </cfRule>
  </conditionalFormatting>
  <conditionalFormatting sqref="E1414:E1428">
    <cfRule type="dataBar" priority="9974">
      <dataBar>
        <cfvo type="min"/>
        <cfvo type="max"/>
        <color rgb="FFFF555A"/>
      </dataBar>
    </cfRule>
  </conditionalFormatting>
  <conditionalFormatting sqref="H1414:H1428">
    <cfRule type="dataBar" priority="9973">
      <dataBar>
        <cfvo type="min"/>
        <cfvo type="max"/>
        <color rgb="FFFF555A"/>
      </dataBar>
    </cfRule>
  </conditionalFormatting>
  <conditionalFormatting sqref="I1414:I1428">
    <cfRule type="dataBar" priority="9972">
      <dataBar>
        <cfvo type="min"/>
        <cfvo type="max"/>
        <color rgb="FFFF555A"/>
      </dataBar>
    </cfRule>
  </conditionalFormatting>
  <conditionalFormatting sqref="J1414:J1428">
    <cfRule type="dataBar" priority="9971">
      <dataBar>
        <cfvo type="min"/>
        <cfvo type="max"/>
        <color rgb="FFFF555A"/>
      </dataBar>
    </cfRule>
  </conditionalFormatting>
  <conditionalFormatting sqref="L1413:L1428">
    <cfRule type="dataBar" priority="9970">
      <dataBar>
        <cfvo type="min"/>
        <cfvo type="max"/>
        <color rgb="FFFF555A"/>
      </dataBar>
    </cfRule>
  </conditionalFormatting>
  <conditionalFormatting sqref="M1413:M1428">
    <cfRule type="dataBar" priority="9969">
      <dataBar>
        <cfvo type="min"/>
        <cfvo type="max"/>
        <color rgb="FFFF555A"/>
      </dataBar>
    </cfRule>
  </conditionalFormatting>
  <conditionalFormatting sqref="N1413:N1428">
    <cfRule type="dataBar" priority="9968">
      <dataBar>
        <cfvo type="min"/>
        <cfvo type="max"/>
        <color rgb="FFFF555A"/>
      </dataBar>
    </cfRule>
  </conditionalFormatting>
  <conditionalFormatting sqref="Q1413:Q1428">
    <cfRule type="dataBar" priority="9967">
      <dataBar>
        <cfvo type="min"/>
        <cfvo type="max"/>
        <color rgb="FFFF555A"/>
      </dataBar>
    </cfRule>
  </conditionalFormatting>
  <conditionalFormatting sqref="O1413:O1428">
    <cfRule type="dataBar" priority="9966">
      <dataBar>
        <cfvo type="min"/>
        <cfvo type="max"/>
        <color rgb="FFFF555A"/>
      </dataBar>
    </cfRule>
  </conditionalFormatting>
  <conditionalFormatting sqref="P1413:P1428">
    <cfRule type="dataBar" priority="9965">
      <dataBar>
        <cfvo type="min"/>
        <cfvo type="max"/>
        <color rgb="FFFF555A"/>
      </dataBar>
    </cfRule>
  </conditionalFormatting>
  <conditionalFormatting sqref="R1430:R1446 D1430:D1445 C1446">
    <cfRule type="containsText" dxfId="4876" priority="9964" operator="containsText" text="DOWN">
      <formula>NOT(ISERROR(SEARCH("DOWN",C1430)))</formula>
    </cfRule>
  </conditionalFormatting>
  <conditionalFormatting sqref="R1430:R1446 D1430:D1445 C1446">
    <cfRule type="containsText" dxfId="4875" priority="9963" operator="containsText" text="UP">
      <formula>NOT(ISERROR(SEARCH("UP",C1430)))</formula>
    </cfRule>
  </conditionalFormatting>
  <conditionalFormatting sqref="I1446">
    <cfRule type="colorScale" priority="9962">
      <colorScale>
        <cfvo type="min"/>
        <cfvo type="max"/>
        <color rgb="FFFFEF9C"/>
        <color rgb="FF63BE7B"/>
      </colorScale>
    </cfRule>
  </conditionalFormatting>
  <conditionalFormatting sqref="M1446">
    <cfRule type="colorScale" priority="9961">
      <colorScale>
        <cfvo type="min"/>
        <cfvo type="max"/>
        <color rgb="FFFF7128"/>
        <color rgb="FFFFEF9C"/>
      </colorScale>
    </cfRule>
  </conditionalFormatting>
  <conditionalFormatting sqref="Q1446">
    <cfRule type="dataBar" priority="9960">
      <dataBar>
        <cfvo type="min"/>
        <cfvo type="max"/>
        <color rgb="FFFF555A"/>
      </dataBar>
    </cfRule>
  </conditionalFormatting>
  <conditionalFormatting sqref="E1430:E1446">
    <cfRule type="dataBar" priority="9959">
      <dataBar>
        <cfvo type="min"/>
        <cfvo type="max"/>
        <color rgb="FFFF555A"/>
      </dataBar>
    </cfRule>
  </conditionalFormatting>
  <conditionalFormatting sqref="F1446">
    <cfRule type="top10" dxfId="4874" priority="9958" rank="1"/>
  </conditionalFormatting>
  <conditionalFormatting sqref="G1446 P1446">
    <cfRule type="cellIs" dxfId="4873" priority="9957" operator="equal">
      <formula>$G$135</formula>
    </cfRule>
  </conditionalFormatting>
  <conditionalFormatting sqref="P1446">
    <cfRule type="cellIs" dxfId="4872" priority="9956" operator="equal">
      <formula>$J$135</formula>
    </cfRule>
  </conditionalFormatting>
  <conditionalFormatting sqref="G1446 P1446">
    <cfRule type="cellIs" dxfId="4871" priority="9955" operator="equal">
      <formula>#REF!</formula>
    </cfRule>
  </conditionalFormatting>
  <conditionalFormatting sqref="G1446">
    <cfRule type="top10" dxfId="4870" priority="9953" rank="1"/>
    <cfRule type="cellIs" dxfId="4869" priority="9954" operator="equal">
      <formula>$G$133</formula>
    </cfRule>
  </conditionalFormatting>
  <conditionalFormatting sqref="P1446">
    <cfRule type="top10" dxfId="4868" priority="9951" rank="1"/>
    <cfRule type="cellIs" dxfId="4867" priority="9952" operator="equal">
      <formula>$G$133</formula>
    </cfRule>
  </conditionalFormatting>
  <conditionalFormatting sqref="C1430:C1445">
    <cfRule type="containsText" dxfId="4866" priority="9947" operator="containsText" text="Short Buildup">
      <formula>NOT(ISERROR(SEARCH("Short Buildup",C1430)))</formula>
    </cfRule>
    <cfRule type="containsText" dxfId="4865" priority="9948" operator="containsText" text="Long Liquidation">
      <formula>NOT(ISERROR(SEARCH("Long Liquidation",C1430)))</formula>
    </cfRule>
    <cfRule type="containsText" dxfId="4864" priority="9949" operator="containsText" text="Short covering">
      <formula>NOT(ISERROR(SEARCH("Short covering",C1430)))</formula>
    </cfRule>
    <cfRule type="containsText" dxfId="4863" priority="9950" operator="containsText" text="Long Buildup">
      <formula>NOT(ISERROR(SEARCH("Long Buildup",C1430)))</formula>
    </cfRule>
  </conditionalFormatting>
  <conditionalFormatting sqref="H1446">
    <cfRule type="colorScale" priority="9942">
      <colorScale>
        <cfvo type="min"/>
        <cfvo type="percentile" val="20"/>
        <cfvo type="max"/>
        <color rgb="FF92D050"/>
        <color theme="5" tint="0.79998168889431442"/>
        <color rgb="FFFF0000"/>
      </colorScale>
    </cfRule>
    <cfRule type="colorScale" priority="9943">
      <colorScale>
        <cfvo type="min"/>
        <cfvo type="max"/>
        <color rgb="FFFF0000"/>
        <color rgb="FF92D050"/>
      </colorScale>
    </cfRule>
    <cfRule type="colorScale" priority="9944">
      <colorScale>
        <cfvo type="min"/>
        <cfvo type="percentile" val="50"/>
        <cfvo type="max"/>
        <color rgb="FF5A8AC6"/>
        <color rgb="FFFCFCFF"/>
        <color rgb="FFF8696B"/>
      </colorScale>
    </cfRule>
    <cfRule type="colorScale" priority="9945">
      <colorScale>
        <cfvo type="formula" val="&quot;&gt;20&quot;"/>
        <cfvo type="formula" val="35"/>
        <color rgb="FFF8696B"/>
        <color rgb="FFFCFCFF"/>
      </colorScale>
    </cfRule>
    <cfRule type="colorScale" priority="9946">
      <colorScale>
        <cfvo type="min"/>
        <cfvo type="max"/>
        <color rgb="FFFFEF9C"/>
        <color rgb="FF63BE7B"/>
      </colorScale>
    </cfRule>
  </conditionalFormatting>
  <conditionalFormatting sqref="N1446">
    <cfRule type="colorScale" priority="9937">
      <colorScale>
        <cfvo type="min"/>
        <cfvo type="percentile" val="20"/>
        <cfvo type="max"/>
        <color rgb="FF92D050"/>
        <color theme="5" tint="0.79998168889431442"/>
        <color rgb="FFFF0000"/>
      </colorScale>
    </cfRule>
    <cfRule type="colorScale" priority="9938">
      <colorScale>
        <cfvo type="min"/>
        <cfvo type="max"/>
        <color rgb="FFFF0000"/>
        <color rgb="FF92D050"/>
      </colorScale>
    </cfRule>
    <cfRule type="colorScale" priority="9939">
      <colorScale>
        <cfvo type="min"/>
        <cfvo type="percentile" val="50"/>
        <cfvo type="max"/>
        <color rgb="FF5A8AC6"/>
        <color rgb="FFFCFCFF"/>
        <color rgb="FFF8696B"/>
      </colorScale>
    </cfRule>
    <cfRule type="colorScale" priority="9940">
      <colorScale>
        <cfvo type="formula" val="&quot;&gt;20&quot;"/>
        <cfvo type="formula" val="35"/>
        <color rgb="FFF8696B"/>
        <color rgb="FFFCFCFF"/>
      </colorScale>
    </cfRule>
    <cfRule type="colorScale" priority="9941">
      <colorScale>
        <cfvo type="min"/>
        <cfvo type="max"/>
        <color rgb="FFFFEF9C"/>
        <color rgb="FF63BE7B"/>
      </colorScale>
    </cfRule>
  </conditionalFormatting>
  <conditionalFormatting sqref="S1430:S1446">
    <cfRule type="containsText" dxfId="4862" priority="9933" operator="containsText" text="Short Buildup">
      <formula>NOT(ISERROR(SEARCH("Short Buildup",S1430)))</formula>
    </cfRule>
    <cfRule type="containsText" dxfId="4861" priority="9934" operator="containsText" text="Long Liquidation">
      <formula>NOT(ISERROR(SEARCH("Long Liquidation",S1430)))</formula>
    </cfRule>
    <cfRule type="containsText" dxfId="4860" priority="9935" operator="containsText" text="Short covering">
      <formula>NOT(ISERROR(SEARCH("Short covering",S1430)))</formula>
    </cfRule>
    <cfRule type="containsText" dxfId="4859" priority="9936" operator="containsText" text="Long Buildup">
      <formula>NOT(ISERROR(SEARCH("Long Buildup",S1430)))</formula>
    </cfRule>
  </conditionalFormatting>
  <conditionalFormatting sqref="F1430:F1445">
    <cfRule type="dataBar" priority="9932">
      <dataBar>
        <cfvo type="min"/>
        <cfvo type="max"/>
        <color rgb="FFFF555A"/>
      </dataBar>
    </cfRule>
  </conditionalFormatting>
  <conditionalFormatting sqref="G1430:G1445">
    <cfRule type="dataBar" priority="9931">
      <dataBar>
        <cfvo type="min"/>
        <cfvo type="max"/>
        <color rgb="FFFF555A"/>
      </dataBar>
    </cfRule>
  </conditionalFormatting>
  <conditionalFormatting sqref="H1430">
    <cfRule type="dataBar" priority="9930">
      <dataBar>
        <cfvo type="min"/>
        <cfvo type="max"/>
        <color rgb="FFFF555A"/>
      </dataBar>
    </cfRule>
  </conditionalFormatting>
  <conditionalFormatting sqref="I1430">
    <cfRule type="dataBar" priority="9929">
      <dataBar>
        <cfvo type="min"/>
        <cfvo type="max"/>
        <color rgb="FFFF555A"/>
      </dataBar>
    </cfRule>
  </conditionalFormatting>
  <conditionalFormatting sqref="J1430">
    <cfRule type="dataBar" priority="9928">
      <dataBar>
        <cfvo type="min"/>
        <cfvo type="max"/>
        <color rgb="FFFF555A"/>
      </dataBar>
    </cfRule>
  </conditionalFormatting>
  <conditionalFormatting sqref="E1431:E1445">
    <cfRule type="dataBar" priority="9927">
      <dataBar>
        <cfvo type="min"/>
        <cfvo type="max"/>
        <color rgb="FFFF555A"/>
      </dataBar>
    </cfRule>
  </conditionalFormatting>
  <conditionalFormatting sqref="H1431:H1445">
    <cfRule type="dataBar" priority="9926">
      <dataBar>
        <cfvo type="min"/>
        <cfvo type="max"/>
        <color rgb="FFFF555A"/>
      </dataBar>
    </cfRule>
  </conditionalFormatting>
  <conditionalFormatting sqref="I1431:I1445">
    <cfRule type="dataBar" priority="9925">
      <dataBar>
        <cfvo type="min"/>
        <cfvo type="max"/>
        <color rgb="FFFF555A"/>
      </dataBar>
    </cfRule>
  </conditionalFormatting>
  <conditionalFormatting sqref="J1431:J1445">
    <cfRule type="dataBar" priority="9924">
      <dataBar>
        <cfvo type="min"/>
        <cfvo type="max"/>
        <color rgb="FFFF555A"/>
      </dataBar>
    </cfRule>
  </conditionalFormatting>
  <conditionalFormatting sqref="L1430:L1445">
    <cfRule type="dataBar" priority="9923">
      <dataBar>
        <cfvo type="min"/>
        <cfvo type="max"/>
        <color rgb="FFFF555A"/>
      </dataBar>
    </cfRule>
  </conditionalFormatting>
  <conditionalFormatting sqref="M1430:M1445">
    <cfRule type="dataBar" priority="9922">
      <dataBar>
        <cfvo type="min"/>
        <cfvo type="max"/>
        <color rgb="FFFF555A"/>
      </dataBar>
    </cfRule>
  </conditionalFormatting>
  <conditionalFormatting sqref="N1430:N1445">
    <cfRule type="dataBar" priority="9921">
      <dataBar>
        <cfvo type="min"/>
        <cfvo type="max"/>
        <color rgb="FFFF555A"/>
      </dataBar>
    </cfRule>
  </conditionalFormatting>
  <conditionalFormatting sqref="Q1430:Q1445">
    <cfRule type="dataBar" priority="9920">
      <dataBar>
        <cfvo type="min"/>
        <cfvo type="max"/>
        <color rgb="FFFF555A"/>
      </dataBar>
    </cfRule>
  </conditionalFormatting>
  <conditionalFormatting sqref="O1430:O1445">
    <cfRule type="dataBar" priority="9919">
      <dataBar>
        <cfvo type="min"/>
        <cfvo type="max"/>
        <color rgb="FFFF555A"/>
      </dataBar>
    </cfRule>
  </conditionalFormatting>
  <conditionalFormatting sqref="P1430:P1445">
    <cfRule type="dataBar" priority="9918">
      <dataBar>
        <cfvo type="min"/>
        <cfvo type="max"/>
        <color rgb="FFFF555A"/>
      </dataBar>
    </cfRule>
  </conditionalFormatting>
  <conditionalFormatting sqref="R1447:R1463 D1447:D1462 C1463">
    <cfRule type="containsText" dxfId="4858" priority="9917" operator="containsText" text="DOWN">
      <formula>NOT(ISERROR(SEARCH("DOWN",C1447)))</formula>
    </cfRule>
  </conditionalFormatting>
  <conditionalFormatting sqref="R1447:R1463 D1447:D1462 C1463">
    <cfRule type="containsText" dxfId="4857" priority="9916" operator="containsText" text="UP">
      <formula>NOT(ISERROR(SEARCH("UP",C1447)))</formula>
    </cfRule>
  </conditionalFormatting>
  <conditionalFormatting sqref="I1463">
    <cfRule type="colorScale" priority="9915">
      <colorScale>
        <cfvo type="min"/>
        <cfvo type="max"/>
        <color rgb="FFFFEF9C"/>
        <color rgb="FF63BE7B"/>
      </colorScale>
    </cfRule>
  </conditionalFormatting>
  <conditionalFormatting sqref="M1463">
    <cfRule type="colorScale" priority="9914">
      <colorScale>
        <cfvo type="min"/>
        <cfvo type="max"/>
        <color rgb="FFFF7128"/>
        <color rgb="FFFFEF9C"/>
      </colorScale>
    </cfRule>
  </conditionalFormatting>
  <conditionalFormatting sqref="Q1463">
    <cfRule type="dataBar" priority="9913">
      <dataBar>
        <cfvo type="min"/>
        <cfvo type="max"/>
        <color rgb="FFFF555A"/>
      </dataBar>
    </cfRule>
  </conditionalFormatting>
  <conditionalFormatting sqref="E1447:E1463">
    <cfRule type="dataBar" priority="9912">
      <dataBar>
        <cfvo type="min"/>
        <cfvo type="max"/>
        <color rgb="FFFF555A"/>
      </dataBar>
    </cfRule>
  </conditionalFormatting>
  <conditionalFormatting sqref="F1463">
    <cfRule type="top10" dxfId="4856" priority="9911" rank="1"/>
  </conditionalFormatting>
  <conditionalFormatting sqref="G1463 P1463">
    <cfRule type="cellIs" dxfId="4855" priority="9910" operator="equal">
      <formula>$G$135</formula>
    </cfRule>
  </conditionalFormatting>
  <conditionalFormatting sqref="P1463">
    <cfRule type="cellIs" dxfId="4854" priority="9909" operator="equal">
      <formula>$J$135</formula>
    </cfRule>
  </conditionalFormatting>
  <conditionalFormatting sqref="G1463 P1463">
    <cfRule type="cellIs" dxfId="4853" priority="9908" operator="equal">
      <formula>#REF!</formula>
    </cfRule>
  </conditionalFormatting>
  <conditionalFormatting sqref="G1463">
    <cfRule type="top10" dxfId="4852" priority="9906" rank="1"/>
    <cfRule type="cellIs" dxfId="4851" priority="9907" operator="equal">
      <formula>$G$133</formula>
    </cfRule>
  </conditionalFormatting>
  <conditionalFormatting sqref="P1463">
    <cfRule type="top10" dxfId="4850" priority="9904" rank="1"/>
    <cfRule type="cellIs" dxfId="4849" priority="9905" operator="equal">
      <formula>$G$133</formula>
    </cfRule>
  </conditionalFormatting>
  <conditionalFormatting sqref="C1447:C1462">
    <cfRule type="containsText" dxfId="4848" priority="9900" operator="containsText" text="Short Buildup">
      <formula>NOT(ISERROR(SEARCH("Short Buildup",C1447)))</formula>
    </cfRule>
    <cfRule type="containsText" dxfId="4847" priority="9901" operator="containsText" text="Long Liquidation">
      <formula>NOT(ISERROR(SEARCH("Long Liquidation",C1447)))</formula>
    </cfRule>
    <cfRule type="containsText" dxfId="4846" priority="9902" operator="containsText" text="Short covering">
      <formula>NOT(ISERROR(SEARCH("Short covering",C1447)))</formula>
    </cfRule>
    <cfRule type="containsText" dxfId="4845" priority="9903" operator="containsText" text="Long Buildup">
      <formula>NOT(ISERROR(SEARCH("Long Buildup",C1447)))</formula>
    </cfRule>
  </conditionalFormatting>
  <conditionalFormatting sqref="H1463">
    <cfRule type="colorScale" priority="9895">
      <colorScale>
        <cfvo type="min"/>
        <cfvo type="percentile" val="20"/>
        <cfvo type="max"/>
        <color rgb="FF92D050"/>
        <color theme="5" tint="0.79998168889431442"/>
        <color rgb="FFFF0000"/>
      </colorScale>
    </cfRule>
    <cfRule type="colorScale" priority="9896">
      <colorScale>
        <cfvo type="min"/>
        <cfvo type="max"/>
        <color rgb="FFFF0000"/>
        <color rgb="FF92D050"/>
      </colorScale>
    </cfRule>
    <cfRule type="colorScale" priority="9897">
      <colorScale>
        <cfvo type="min"/>
        <cfvo type="percentile" val="50"/>
        <cfvo type="max"/>
        <color rgb="FF5A8AC6"/>
        <color rgb="FFFCFCFF"/>
        <color rgb="FFF8696B"/>
      </colorScale>
    </cfRule>
    <cfRule type="colorScale" priority="9898">
      <colorScale>
        <cfvo type="formula" val="&quot;&gt;20&quot;"/>
        <cfvo type="formula" val="35"/>
        <color rgb="FFF8696B"/>
        <color rgb="FFFCFCFF"/>
      </colorScale>
    </cfRule>
    <cfRule type="colorScale" priority="9899">
      <colorScale>
        <cfvo type="min"/>
        <cfvo type="max"/>
        <color rgb="FFFFEF9C"/>
        <color rgb="FF63BE7B"/>
      </colorScale>
    </cfRule>
  </conditionalFormatting>
  <conditionalFormatting sqref="N1463">
    <cfRule type="colorScale" priority="9890">
      <colorScale>
        <cfvo type="min"/>
        <cfvo type="percentile" val="20"/>
        <cfvo type="max"/>
        <color rgb="FF92D050"/>
        <color theme="5" tint="0.79998168889431442"/>
        <color rgb="FFFF0000"/>
      </colorScale>
    </cfRule>
    <cfRule type="colorScale" priority="9891">
      <colorScale>
        <cfvo type="min"/>
        <cfvo type="max"/>
        <color rgb="FFFF0000"/>
        <color rgb="FF92D050"/>
      </colorScale>
    </cfRule>
    <cfRule type="colorScale" priority="9892">
      <colorScale>
        <cfvo type="min"/>
        <cfvo type="percentile" val="50"/>
        <cfvo type="max"/>
        <color rgb="FF5A8AC6"/>
        <color rgb="FFFCFCFF"/>
        <color rgb="FFF8696B"/>
      </colorScale>
    </cfRule>
    <cfRule type="colorScale" priority="9893">
      <colorScale>
        <cfvo type="formula" val="&quot;&gt;20&quot;"/>
        <cfvo type="formula" val="35"/>
        <color rgb="FFF8696B"/>
        <color rgb="FFFCFCFF"/>
      </colorScale>
    </cfRule>
    <cfRule type="colorScale" priority="9894">
      <colorScale>
        <cfvo type="min"/>
        <cfvo type="max"/>
        <color rgb="FFFFEF9C"/>
        <color rgb="FF63BE7B"/>
      </colorScale>
    </cfRule>
  </conditionalFormatting>
  <conditionalFormatting sqref="S1447:S1463">
    <cfRule type="containsText" dxfId="4844" priority="9886" operator="containsText" text="Short Buildup">
      <formula>NOT(ISERROR(SEARCH("Short Buildup",S1447)))</formula>
    </cfRule>
    <cfRule type="containsText" dxfId="4843" priority="9887" operator="containsText" text="Long Liquidation">
      <formula>NOT(ISERROR(SEARCH("Long Liquidation",S1447)))</formula>
    </cfRule>
    <cfRule type="containsText" dxfId="4842" priority="9888" operator="containsText" text="Short covering">
      <formula>NOT(ISERROR(SEARCH("Short covering",S1447)))</formula>
    </cfRule>
    <cfRule type="containsText" dxfId="4841" priority="9889" operator="containsText" text="Long Buildup">
      <formula>NOT(ISERROR(SEARCH("Long Buildup",S1447)))</formula>
    </cfRule>
  </conditionalFormatting>
  <conditionalFormatting sqref="F1447:F1462">
    <cfRule type="dataBar" priority="9885">
      <dataBar>
        <cfvo type="min"/>
        <cfvo type="max"/>
        <color rgb="FFFF555A"/>
      </dataBar>
    </cfRule>
  </conditionalFormatting>
  <conditionalFormatting sqref="G1447:G1462">
    <cfRule type="dataBar" priority="9884">
      <dataBar>
        <cfvo type="min"/>
        <cfvo type="max"/>
        <color rgb="FFFF555A"/>
      </dataBar>
    </cfRule>
  </conditionalFormatting>
  <conditionalFormatting sqref="H1447">
    <cfRule type="dataBar" priority="9883">
      <dataBar>
        <cfvo type="min"/>
        <cfvo type="max"/>
        <color rgb="FFFF555A"/>
      </dataBar>
    </cfRule>
  </conditionalFormatting>
  <conditionalFormatting sqref="I1447">
    <cfRule type="dataBar" priority="9882">
      <dataBar>
        <cfvo type="min"/>
        <cfvo type="max"/>
        <color rgb="FFFF555A"/>
      </dataBar>
    </cfRule>
  </conditionalFormatting>
  <conditionalFormatting sqref="J1447">
    <cfRule type="dataBar" priority="9881">
      <dataBar>
        <cfvo type="min"/>
        <cfvo type="max"/>
        <color rgb="FFFF555A"/>
      </dataBar>
    </cfRule>
  </conditionalFormatting>
  <conditionalFormatting sqref="E1448:E1462">
    <cfRule type="dataBar" priority="9880">
      <dataBar>
        <cfvo type="min"/>
        <cfvo type="max"/>
        <color rgb="FFFF555A"/>
      </dataBar>
    </cfRule>
  </conditionalFormatting>
  <conditionalFormatting sqref="H1448:H1462">
    <cfRule type="dataBar" priority="9879">
      <dataBar>
        <cfvo type="min"/>
        <cfvo type="max"/>
        <color rgb="FFFF555A"/>
      </dataBar>
    </cfRule>
  </conditionalFormatting>
  <conditionalFormatting sqref="I1448:I1462">
    <cfRule type="dataBar" priority="9878">
      <dataBar>
        <cfvo type="min"/>
        <cfvo type="max"/>
        <color rgb="FFFF555A"/>
      </dataBar>
    </cfRule>
  </conditionalFormatting>
  <conditionalFormatting sqref="J1448:J1462">
    <cfRule type="dataBar" priority="9877">
      <dataBar>
        <cfvo type="min"/>
        <cfvo type="max"/>
        <color rgb="FFFF555A"/>
      </dataBar>
    </cfRule>
  </conditionalFormatting>
  <conditionalFormatting sqref="L1447:L1462">
    <cfRule type="dataBar" priority="9876">
      <dataBar>
        <cfvo type="min"/>
        <cfvo type="max"/>
        <color rgb="FFFF555A"/>
      </dataBar>
    </cfRule>
  </conditionalFormatting>
  <conditionalFormatting sqref="M1447:M1462">
    <cfRule type="dataBar" priority="9875">
      <dataBar>
        <cfvo type="min"/>
        <cfvo type="max"/>
        <color rgb="FFFF555A"/>
      </dataBar>
    </cfRule>
  </conditionalFormatting>
  <conditionalFormatting sqref="N1447:N1462">
    <cfRule type="dataBar" priority="9874">
      <dataBar>
        <cfvo type="min"/>
        <cfvo type="max"/>
        <color rgb="FFFF555A"/>
      </dataBar>
    </cfRule>
  </conditionalFormatting>
  <conditionalFormatting sqref="Q1447:Q1462">
    <cfRule type="dataBar" priority="9873">
      <dataBar>
        <cfvo type="min"/>
        <cfvo type="max"/>
        <color rgb="FFFF555A"/>
      </dataBar>
    </cfRule>
  </conditionalFormatting>
  <conditionalFormatting sqref="O1447:O1462">
    <cfRule type="dataBar" priority="9872">
      <dataBar>
        <cfvo type="min"/>
        <cfvo type="max"/>
        <color rgb="FFFF555A"/>
      </dataBar>
    </cfRule>
  </conditionalFormatting>
  <conditionalFormatting sqref="P1447:P1462">
    <cfRule type="dataBar" priority="9871">
      <dataBar>
        <cfvo type="min"/>
        <cfvo type="max"/>
        <color rgb="FFFF555A"/>
      </dataBar>
    </cfRule>
  </conditionalFormatting>
  <conditionalFormatting sqref="R1464:R1480 D1464:D1479 C1480">
    <cfRule type="containsText" dxfId="4840" priority="9870" operator="containsText" text="DOWN">
      <formula>NOT(ISERROR(SEARCH("DOWN",C1464)))</formula>
    </cfRule>
  </conditionalFormatting>
  <conditionalFormatting sqref="R1464:R1480 D1464:D1479 C1480">
    <cfRule type="containsText" dxfId="4839" priority="9869" operator="containsText" text="UP">
      <formula>NOT(ISERROR(SEARCH("UP",C1464)))</formula>
    </cfRule>
  </conditionalFormatting>
  <conditionalFormatting sqref="I1480">
    <cfRule type="colorScale" priority="9868">
      <colorScale>
        <cfvo type="min"/>
        <cfvo type="max"/>
        <color rgb="FFFFEF9C"/>
        <color rgb="FF63BE7B"/>
      </colorScale>
    </cfRule>
  </conditionalFormatting>
  <conditionalFormatting sqref="M1480">
    <cfRule type="colorScale" priority="9867">
      <colorScale>
        <cfvo type="min"/>
        <cfvo type="max"/>
        <color rgb="FFFF7128"/>
        <color rgb="FFFFEF9C"/>
      </colorScale>
    </cfRule>
  </conditionalFormatting>
  <conditionalFormatting sqref="Q1480">
    <cfRule type="dataBar" priority="9866">
      <dataBar>
        <cfvo type="min"/>
        <cfvo type="max"/>
        <color rgb="FFFF555A"/>
      </dataBar>
    </cfRule>
  </conditionalFormatting>
  <conditionalFormatting sqref="E1464:E1480">
    <cfRule type="dataBar" priority="9865">
      <dataBar>
        <cfvo type="min"/>
        <cfvo type="max"/>
        <color rgb="FFFF555A"/>
      </dataBar>
    </cfRule>
  </conditionalFormatting>
  <conditionalFormatting sqref="F1480">
    <cfRule type="top10" dxfId="4838" priority="9864" rank="1"/>
  </conditionalFormatting>
  <conditionalFormatting sqref="G1480 P1480">
    <cfRule type="cellIs" dxfId="4837" priority="9863" operator="equal">
      <formula>$G$135</formula>
    </cfRule>
  </conditionalFormatting>
  <conditionalFormatting sqref="P1480">
    <cfRule type="cellIs" dxfId="4836" priority="9862" operator="equal">
      <formula>$J$135</formula>
    </cfRule>
  </conditionalFormatting>
  <conditionalFormatting sqref="G1480 P1480">
    <cfRule type="cellIs" dxfId="4835" priority="9861" operator="equal">
      <formula>#REF!</formula>
    </cfRule>
  </conditionalFormatting>
  <conditionalFormatting sqref="G1480">
    <cfRule type="top10" dxfId="4834" priority="9859" rank="1"/>
    <cfRule type="cellIs" dxfId="4833" priority="9860" operator="equal">
      <formula>$G$133</formula>
    </cfRule>
  </conditionalFormatting>
  <conditionalFormatting sqref="P1480">
    <cfRule type="top10" dxfId="4832" priority="9857" rank="1"/>
    <cfRule type="cellIs" dxfId="4831" priority="9858" operator="equal">
      <formula>$G$133</formula>
    </cfRule>
  </conditionalFormatting>
  <conditionalFormatting sqref="C1464:C1479">
    <cfRule type="containsText" dxfId="4830" priority="9853" operator="containsText" text="Short Buildup">
      <formula>NOT(ISERROR(SEARCH("Short Buildup",C1464)))</formula>
    </cfRule>
    <cfRule type="containsText" dxfId="4829" priority="9854" operator="containsText" text="Long Liquidation">
      <formula>NOT(ISERROR(SEARCH("Long Liquidation",C1464)))</formula>
    </cfRule>
    <cfRule type="containsText" dxfId="4828" priority="9855" operator="containsText" text="Short covering">
      <formula>NOT(ISERROR(SEARCH("Short covering",C1464)))</formula>
    </cfRule>
    <cfRule type="containsText" dxfId="4827" priority="9856" operator="containsText" text="Long Buildup">
      <formula>NOT(ISERROR(SEARCH("Long Buildup",C1464)))</formula>
    </cfRule>
  </conditionalFormatting>
  <conditionalFormatting sqref="H1480">
    <cfRule type="colorScale" priority="9848">
      <colorScale>
        <cfvo type="min"/>
        <cfvo type="percentile" val="20"/>
        <cfvo type="max"/>
        <color rgb="FF92D050"/>
        <color theme="5" tint="0.79998168889431442"/>
        <color rgb="FFFF0000"/>
      </colorScale>
    </cfRule>
    <cfRule type="colorScale" priority="9849">
      <colorScale>
        <cfvo type="min"/>
        <cfvo type="max"/>
        <color rgb="FFFF0000"/>
        <color rgb="FF92D050"/>
      </colorScale>
    </cfRule>
    <cfRule type="colorScale" priority="9850">
      <colorScale>
        <cfvo type="min"/>
        <cfvo type="percentile" val="50"/>
        <cfvo type="max"/>
        <color rgb="FF5A8AC6"/>
        <color rgb="FFFCFCFF"/>
        <color rgb="FFF8696B"/>
      </colorScale>
    </cfRule>
    <cfRule type="colorScale" priority="9851">
      <colorScale>
        <cfvo type="formula" val="&quot;&gt;20&quot;"/>
        <cfvo type="formula" val="35"/>
        <color rgb="FFF8696B"/>
        <color rgb="FFFCFCFF"/>
      </colorScale>
    </cfRule>
    <cfRule type="colorScale" priority="9852">
      <colorScale>
        <cfvo type="min"/>
        <cfvo type="max"/>
        <color rgb="FFFFEF9C"/>
        <color rgb="FF63BE7B"/>
      </colorScale>
    </cfRule>
  </conditionalFormatting>
  <conditionalFormatting sqref="N1480">
    <cfRule type="colorScale" priority="9843">
      <colorScale>
        <cfvo type="min"/>
        <cfvo type="percentile" val="20"/>
        <cfvo type="max"/>
        <color rgb="FF92D050"/>
        <color theme="5" tint="0.79998168889431442"/>
        <color rgb="FFFF0000"/>
      </colorScale>
    </cfRule>
    <cfRule type="colorScale" priority="9844">
      <colorScale>
        <cfvo type="min"/>
        <cfvo type="max"/>
        <color rgb="FFFF0000"/>
        <color rgb="FF92D050"/>
      </colorScale>
    </cfRule>
    <cfRule type="colorScale" priority="9845">
      <colorScale>
        <cfvo type="min"/>
        <cfvo type="percentile" val="50"/>
        <cfvo type="max"/>
        <color rgb="FF5A8AC6"/>
        <color rgb="FFFCFCFF"/>
        <color rgb="FFF8696B"/>
      </colorScale>
    </cfRule>
    <cfRule type="colorScale" priority="9846">
      <colorScale>
        <cfvo type="formula" val="&quot;&gt;20&quot;"/>
        <cfvo type="formula" val="35"/>
        <color rgb="FFF8696B"/>
        <color rgb="FFFCFCFF"/>
      </colorScale>
    </cfRule>
    <cfRule type="colorScale" priority="9847">
      <colorScale>
        <cfvo type="min"/>
        <cfvo type="max"/>
        <color rgb="FFFFEF9C"/>
        <color rgb="FF63BE7B"/>
      </colorScale>
    </cfRule>
  </conditionalFormatting>
  <conditionalFormatting sqref="S1464:S1480">
    <cfRule type="containsText" dxfId="4826" priority="9839" operator="containsText" text="Short Buildup">
      <formula>NOT(ISERROR(SEARCH("Short Buildup",S1464)))</formula>
    </cfRule>
    <cfRule type="containsText" dxfId="4825" priority="9840" operator="containsText" text="Long Liquidation">
      <formula>NOT(ISERROR(SEARCH("Long Liquidation",S1464)))</formula>
    </cfRule>
    <cfRule type="containsText" dxfId="4824" priority="9841" operator="containsText" text="Short covering">
      <formula>NOT(ISERROR(SEARCH("Short covering",S1464)))</formula>
    </cfRule>
    <cfRule type="containsText" dxfId="4823" priority="9842" operator="containsText" text="Long Buildup">
      <formula>NOT(ISERROR(SEARCH("Long Buildup",S1464)))</formula>
    </cfRule>
  </conditionalFormatting>
  <conditionalFormatting sqref="F1464:F1479">
    <cfRule type="dataBar" priority="9838">
      <dataBar>
        <cfvo type="min"/>
        <cfvo type="max"/>
        <color rgb="FFFF555A"/>
      </dataBar>
    </cfRule>
  </conditionalFormatting>
  <conditionalFormatting sqref="G1464:G1479">
    <cfRule type="dataBar" priority="9837">
      <dataBar>
        <cfvo type="min"/>
        <cfvo type="max"/>
        <color rgb="FFFF555A"/>
      </dataBar>
    </cfRule>
  </conditionalFormatting>
  <conditionalFormatting sqref="H1464">
    <cfRule type="dataBar" priority="9836">
      <dataBar>
        <cfvo type="min"/>
        <cfvo type="max"/>
        <color rgb="FFFF555A"/>
      </dataBar>
    </cfRule>
  </conditionalFormatting>
  <conditionalFormatting sqref="I1464">
    <cfRule type="dataBar" priority="9835">
      <dataBar>
        <cfvo type="min"/>
        <cfvo type="max"/>
        <color rgb="FFFF555A"/>
      </dataBar>
    </cfRule>
  </conditionalFormatting>
  <conditionalFormatting sqref="J1464">
    <cfRule type="dataBar" priority="9834">
      <dataBar>
        <cfvo type="min"/>
        <cfvo type="max"/>
        <color rgb="FFFF555A"/>
      </dataBar>
    </cfRule>
  </conditionalFormatting>
  <conditionalFormatting sqref="E1465:E1479">
    <cfRule type="dataBar" priority="9833">
      <dataBar>
        <cfvo type="min"/>
        <cfvo type="max"/>
        <color rgb="FFFF555A"/>
      </dataBar>
    </cfRule>
  </conditionalFormatting>
  <conditionalFormatting sqref="H1465:H1479">
    <cfRule type="dataBar" priority="9832">
      <dataBar>
        <cfvo type="min"/>
        <cfvo type="max"/>
        <color rgb="FFFF555A"/>
      </dataBar>
    </cfRule>
  </conditionalFormatting>
  <conditionalFormatting sqref="I1465:I1479">
    <cfRule type="dataBar" priority="9831">
      <dataBar>
        <cfvo type="min"/>
        <cfvo type="max"/>
        <color rgb="FFFF555A"/>
      </dataBar>
    </cfRule>
  </conditionalFormatting>
  <conditionalFormatting sqref="J1465:J1479">
    <cfRule type="dataBar" priority="9830">
      <dataBar>
        <cfvo type="min"/>
        <cfvo type="max"/>
        <color rgb="FFFF555A"/>
      </dataBar>
    </cfRule>
  </conditionalFormatting>
  <conditionalFormatting sqref="L1464:L1479">
    <cfRule type="dataBar" priority="9829">
      <dataBar>
        <cfvo type="min"/>
        <cfvo type="max"/>
        <color rgb="FFFF555A"/>
      </dataBar>
    </cfRule>
  </conditionalFormatting>
  <conditionalFormatting sqref="M1464:M1479">
    <cfRule type="dataBar" priority="9828">
      <dataBar>
        <cfvo type="min"/>
        <cfvo type="max"/>
        <color rgb="FFFF555A"/>
      </dataBar>
    </cfRule>
  </conditionalFormatting>
  <conditionalFormatting sqref="N1464:N1479">
    <cfRule type="dataBar" priority="9827">
      <dataBar>
        <cfvo type="min"/>
        <cfvo type="max"/>
        <color rgb="FFFF555A"/>
      </dataBar>
    </cfRule>
  </conditionalFormatting>
  <conditionalFormatting sqref="Q1464:Q1479">
    <cfRule type="dataBar" priority="9826">
      <dataBar>
        <cfvo type="min"/>
        <cfvo type="max"/>
        <color rgb="FFFF555A"/>
      </dataBar>
    </cfRule>
  </conditionalFormatting>
  <conditionalFormatting sqref="O1464:O1479">
    <cfRule type="dataBar" priority="9825">
      <dataBar>
        <cfvo type="min"/>
        <cfvo type="max"/>
        <color rgb="FFFF555A"/>
      </dataBar>
    </cfRule>
  </conditionalFormatting>
  <conditionalFormatting sqref="P1464:P1479">
    <cfRule type="dataBar" priority="9824">
      <dataBar>
        <cfvo type="min"/>
        <cfvo type="max"/>
        <color rgb="FFFF555A"/>
      </dataBar>
    </cfRule>
  </conditionalFormatting>
  <conditionalFormatting sqref="R1481:R1497 D1481:D1496 C1497">
    <cfRule type="containsText" dxfId="4822" priority="9823" operator="containsText" text="DOWN">
      <formula>NOT(ISERROR(SEARCH("DOWN",C1481)))</formula>
    </cfRule>
  </conditionalFormatting>
  <conditionalFormatting sqref="R1481:R1497 D1481:D1496 C1497">
    <cfRule type="containsText" dxfId="4821" priority="9822" operator="containsText" text="UP">
      <formula>NOT(ISERROR(SEARCH("UP",C1481)))</formula>
    </cfRule>
  </conditionalFormatting>
  <conditionalFormatting sqref="I1497">
    <cfRule type="colorScale" priority="9821">
      <colorScale>
        <cfvo type="min"/>
        <cfvo type="max"/>
        <color rgb="FFFFEF9C"/>
        <color rgb="FF63BE7B"/>
      </colorScale>
    </cfRule>
  </conditionalFormatting>
  <conditionalFormatting sqref="M1497">
    <cfRule type="colorScale" priority="9820">
      <colorScale>
        <cfvo type="min"/>
        <cfvo type="max"/>
        <color rgb="FFFF7128"/>
        <color rgb="FFFFEF9C"/>
      </colorScale>
    </cfRule>
  </conditionalFormatting>
  <conditionalFormatting sqref="Q1497">
    <cfRule type="dataBar" priority="9819">
      <dataBar>
        <cfvo type="min"/>
        <cfvo type="max"/>
        <color rgb="FFFF555A"/>
      </dataBar>
    </cfRule>
  </conditionalFormatting>
  <conditionalFormatting sqref="E1481:E1497">
    <cfRule type="dataBar" priority="9818">
      <dataBar>
        <cfvo type="min"/>
        <cfvo type="max"/>
        <color rgb="FFFF555A"/>
      </dataBar>
    </cfRule>
  </conditionalFormatting>
  <conditionalFormatting sqref="F1497">
    <cfRule type="top10" dxfId="4820" priority="9817" rank="1"/>
  </conditionalFormatting>
  <conditionalFormatting sqref="G1497 P1497">
    <cfRule type="cellIs" dxfId="4819" priority="9816" operator="equal">
      <formula>$G$135</formula>
    </cfRule>
  </conditionalFormatting>
  <conditionalFormatting sqref="P1497">
    <cfRule type="cellIs" dxfId="4818" priority="9815" operator="equal">
      <formula>$J$135</formula>
    </cfRule>
  </conditionalFormatting>
  <conditionalFormatting sqref="G1497 P1497">
    <cfRule type="cellIs" dxfId="4817" priority="9814" operator="equal">
      <formula>#REF!</formula>
    </cfRule>
  </conditionalFormatting>
  <conditionalFormatting sqref="G1497">
    <cfRule type="top10" dxfId="4816" priority="9812" rank="1"/>
    <cfRule type="cellIs" dxfId="4815" priority="9813" operator="equal">
      <formula>$G$133</formula>
    </cfRule>
  </conditionalFormatting>
  <conditionalFormatting sqref="P1497">
    <cfRule type="top10" dxfId="4814" priority="9810" rank="1"/>
    <cfRule type="cellIs" dxfId="4813" priority="9811" operator="equal">
      <formula>$G$133</formula>
    </cfRule>
  </conditionalFormatting>
  <conditionalFormatting sqref="C1481:C1496">
    <cfRule type="containsText" dxfId="4812" priority="9806" operator="containsText" text="Short Buildup">
      <formula>NOT(ISERROR(SEARCH("Short Buildup",C1481)))</formula>
    </cfRule>
    <cfRule type="containsText" dxfId="4811" priority="9807" operator="containsText" text="Long Liquidation">
      <formula>NOT(ISERROR(SEARCH("Long Liquidation",C1481)))</formula>
    </cfRule>
    <cfRule type="containsText" dxfId="4810" priority="9808" operator="containsText" text="Short covering">
      <formula>NOT(ISERROR(SEARCH("Short covering",C1481)))</formula>
    </cfRule>
    <cfRule type="containsText" dxfId="4809" priority="9809" operator="containsText" text="Long Buildup">
      <formula>NOT(ISERROR(SEARCH("Long Buildup",C1481)))</formula>
    </cfRule>
  </conditionalFormatting>
  <conditionalFormatting sqref="H1497">
    <cfRule type="colorScale" priority="9801">
      <colorScale>
        <cfvo type="min"/>
        <cfvo type="percentile" val="20"/>
        <cfvo type="max"/>
        <color rgb="FF92D050"/>
        <color theme="5" tint="0.79998168889431442"/>
        <color rgb="FFFF0000"/>
      </colorScale>
    </cfRule>
    <cfRule type="colorScale" priority="9802">
      <colorScale>
        <cfvo type="min"/>
        <cfvo type="max"/>
        <color rgb="FFFF0000"/>
        <color rgb="FF92D050"/>
      </colorScale>
    </cfRule>
    <cfRule type="colorScale" priority="9803">
      <colorScale>
        <cfvo type="min"/>
        <cfvo type="percentile" val="50"/>
        <cfvo type="max"/>
        <color rgb="FF5A8AC6"/>
        <color rgb="FFFCFCFF"/>
        <color rgb="FFF8696B"/>
      </colorScale>
    </cfRule>
    <cfRule type="colorScale" priority="9804">
      <colorScale>
        <cfvo type="formula" val="&quot;&gt;20&quot;"/>
        <cfvo type="formula" val="35"/>
        <color rgb="FFF8696B"/>
        <color rgb="FFFCFCFF"/>
      </colorScale>
    </cfRule>
    <cfRule type="colorScale" priority="9805">
      <colorScale>
        <cfvo type="min"/>
        <cfvo type="max"/>
        <color rgb="FFFFEF9C"/>
        <color rgb="FF63BE7B"/>
      </colorScale>
    </cfRule>
  </conditionalFormatting>
  <conditionalFormatting sqref="N1497">
    <cfRule type="colorScale" priority="9796">
      <colorScale>
        <cfvo type="min"/>
        <cfvo type="percentile" val="20"/>
        <cfvo type="max"/>
        <color rgb="FF92D050"/>
        <color theme="5" tint="0.79998168889431442"/>
        <color rgb="FFFF0000"/>
      </colorScale>
    </cfRule>
    <cfRule type="colorScale" priority="9797">
      <colorScale>
        <cfvo type="min"/>
        <cfvo type="max"/>
        <color rgb="FFFF0000"/>
        <color rgb="FF92D050"/>
      </colorScale>
    </cfRule>
    <cfRule type="colorScale" priority="9798">
      <colorScale>
        <cfvo type="min"/>
        <cfvo type="percentile" val="50"/>
        <cfvo type="max"/>
        <color rgb="FF5A8AC6"/>
        <color rgb="FFFCFCFF"/>
        <color rgb="FFF8696B"/>
      </colorScale>
    </cfRule>
    <cfRule type="colorScale" priority="9799">
      <colorScale>
        <cfvo type="formula" val="&quot;&gt;20&quot;"/>
        <cfvo type="formula" val="35"/>
        <color rgb="FFF8696B"/>
        <color rgb="FFFCFCFF"/>
      </colorScale>
    </cfRule>
    <cfRule type="colorScale" priority="9800">
      <colorScale>
        <cfvo type="min"/>
        <cfvo type="max"/>
        <color rgb="FFFFEF9C"/>
        <color rgb="FF63BE7B"/>
      </colorScale>
    </cfRule>
  </conditionalFormatting>
  <conditionalFormatting sqref="S1481:S1497">
    <cfRule type="containsText" dxfId="4808" priority="9792" operator="containsText" text="Short Buildup">
      <formula>NOT(ISERROR(SEARCH("Short Buildup",S1481)))</formula>
    </cfRule>
    <cfRule type="containsText" dxfId="4807" priority="9793" operator="containsText" text="Long Liquidation">
      <formula>NOT(ISERROR(SEARCH("Long Liquidation",S1481)))</formula>
    </cfRule>
    <cfRule type="containsText" dxfId="4806" priority="9794" operator="containsText" text="Short covering">
      <formula>NOT(ISERROR(SEARCH("Short covering",S1481)))</formula>
    </cfRule>
    <cfRule type="containsText" dxfId="4805" priority="9795" operator="containsText" text="Long Buildup">
      <formula>NOT(ISERROR(SEARCH("Long Buildup",S1481)))</formula>
    </cfRule>
  </conditionalFormatting>
  <conditionalFormatting sqref="F1481:F1496">
    <cfRule type="dataBar" priority="9791">
      <dataBar>
        <cfvo type="min"/>
        <cfvo type="max"/>
        <color rgb="FFFF555A"/>
      </dataBar>
    </cfRule>
  </conditionalFormatting>
  <conditionalFormatting sqref="G1481:G1496">
    <cfRule type="dataBar" priority="9790">
      <dataBar>
        <cfvo type="min"/>
        <cfvo type="max"/>
        <color rgb="FFFF555A"/>
      </dataBar>
    </cfRule>
  </conditionalFormatting>
  <conditionalFormatting sqref="H1481">
    <cfRule type="dataBar" priority="9789">
      <dataBar>
        <cfvo type="min"/>
        <cfvo type="max"/>
        <color rgb="FFFF555A"/>
      </dataBar>
    </cfRule>
  </conditionalFormatting>
  <conditionalFormatting sqref="I1481">
    <cfRule type="dataBar" priority="9788">
      <dataBar>
        <cfvo type="min"/>
        <cfvo type="max"/>
        <color rgb="FFFF555A"/>
      </dataBar>
    </cfRule>
  </conditionalFormatting>
  <conditionalFormatting sqref="J1481">
    <cfRule type="dataBar" priority="9787">
      <dataBar>
        <cfvo type="min"/>
        <cfvo type="max"/>
        <color rgb="FFFF555A"/>
      </dataBar>
    </cfRule>
  </conditionalFormatting>
  <conditionalFormatting sqref="E1482:E1496">
    <cfRule type="dataBar" priority="9786">
      <dataBar>
        <cfvo type="min"/>
        <cfvo type="max"/>
        <color rgb="FFFF555A"/>
      </dataBar>
    </cfRule>
  </conditionalFormatting>
  <conditionalFormatting sqref="H1482:H1496">
    <cfRule type="dataBar" priority="9785">
      <dataBar>
        <cfvo type="min"/>
        <cfvo type="max"/>
        <color rgb="FFFF555A"/>
      </dataBar>
    </cfRule>
  </conditionalFormatting>
  <conditionalFormatting sqref="I1482:I1496">
    <cfRule type="dataBar" priority="9784">
      <dataBar>
        <cfvo type="min"/>
        <cfvo type="max"/>
        <color rgb="FFFF555A"/>
      </dataBar>
    </cfRule>
  </conditionalFormatting>
  <conditionalFormatting sqref="J1482:J1496">
    <cfRule type="dataBar" priority="9783">
      <dataBar>
        <cfvo type="min"/>
        <cfvo type="max"/>
        <color rgb="FFFF555A"/>
      </dataBar>
    </cfRule>
  </conditionalFormatting>
  <conditionalFormatting sqref="L1481:L1496">
    <cfRule type="dataBar" priority="9782">
      <dataBar>
        <cfvo type="min"/>
        <cfvo type="max"/>
        <color rgb="FFFF555A"/>
      </dataBar>
    </cfRule>
  </conditionalFormatting>
  <conditionalFormatting sqref="M1481:M1496">
    <cfRule type="dataBar" priority="9781">
      <dataBar>
        <cfvo type="min"/>
        <cfvo type="max"/>
        <color rgb="FFFF555A"/>
      </dataBar>
    </cfRule>
  </conditionalFormatting>
  <conditionalFormatting sqref="N1481:N1496">
    <cfRule type="dataBar" priority="9780">
      <dataBar>
        <cfvo type="min"/>
        <cfvo type="max"/>
        <color rgb="FFFF555A"/>
      </dataBar>
    </cfRule>
  </conditionalFormatting>
  <conditionalFormatting sqref="Q1481:Q1496">
    <cfRule type="dataBar" priority="9779">
      <dataBar>
        <cfvo type="min"/>
        <cfvo type="max"/>
        <color rgb="FFFF555A"/>
      </dataBar>
    </cfRule>
  </conditionalFormatting>
  <conditionalFormatting sqref="O1481:O1496">
    <cfRule type="dataBar" priority="9778">
      <dataBar>
        <cfvo type="min"/>
        <cfvo type="max"/>
        <color rgb="FFFF555A"/>
      </dataBar>
    </cfRule>
  </conditionalFormatting>
  <conditionalFormatting sqref="P1481:P1496">
    <cfRule type="dataBar" priority="9777">
      <dataBar>
        <cfvo type="min"/>
        <cfvo type="max"/>
        <color rgb="FFFF555A"/>
      </dataBar>
    </cfRule>
  </conditionalFormatting>
  <conditionalFormatting sqref="R1498:R1514 D1498:D1513 C1514">
    <cfRule type="containsText" dxfId="4804" priority="9776" operator="containsText" text="DOWN">
      <formula>NOT(ISERROR(SEARCH("DOWN",C1498)))</formula>
    </cfRule>
  </conditionalFormatting>
  <conditionalFormatting sqref="R1498:R1514 D1498:D1513 C1514">
    <cfRule type="containsText" dxfId="4803" priority="9775" operator="containsText" text="UP">
      <formula>NOT(ISERROR(SEARCH("UP",C1498)))</formula>
    </cfRule>
  </conditionalFormatting>
  <conditionalFormatting sqref="I1514">
    <cfRule type="colorScale" priority="9774">
      <colorScale>
        <cfvo type="min"/>
        <cfvo type="max"/>
        <color rgb="FFFFEF9C"/>
        <color rgb="FF63BE7B"/>
      </colorScale>
    </cfRule>
  </conditionalFormatting>
  <conditionalFormatting sqref="M1514">
    <cfRule type="colorScale" priority="9773">
      <colorScale>
        <cfvo type="min"/>
        <cfvo type="max"/>
        <color rgb="FFFF7128"/>
        <color rgb="FFFFEF9C"/>
      </colorScale>
    </cfRule>
  </conditionalFormatting>
  <conditionalFormatting sqref="Q1514">
    <cfRule type="dataBar" priority="9772">
      <dataBar>
        <cfvo type="min"/>
        <cfvo type="max"/>
        <color rgb="FFFF555A"/>
      </dataBar>
    </cfRule>
  </conditionalFormatting>
  <conditionalFormatting sqref="E1498:E1514">
    <cfRule type="dataBar" priority="9771">
      <dataBar>
        <cfvo type="min"/>
        <cfvo type="max"/>
        <color rgb="FFFF555A"/>
      </dataBar>
    </cfRule>
  </conditionalFormatting>
  <conditionalFormatting sqref="F1514">
    <cfRule type="top10" dxfId="4802" priority="9770" rank="1"/>
  </conditionalFormatting>
  <conditionalFormatting sqref="G1514 P1514">
    <cfRule type="cellIs" dxfId="4801" priority="9769" operator="equal">
      <formula>$G$135</formula>
    </cfRule>
  </conditionalFormatting>
  <conditionalFormatting sqref="P1514">
    <cfRule type="cellIs" dxfId="4800" priority="9768" operator="equal">
      <formula>$J$135</formula>
    </cfRule>
  </conditionalFormatting>
  <conditionalFormatting sqref="G1514 P1514">
    <cfRule type="cellIs" dxfId="4799" priority="9767" operator="equal">
      <formula>#REF!</formula>
    </cfRule>
  </conditionalFormatting>
  <conditionalFormatting sqref="G1514">
    <cfRule type="top10" dxfId="4798" priority="9765" rank="1"/>
    <cfRule type="cellIs" dxfId="4797" priority="9766" operator="equal">
      <formula>$G$133</formula>
    </cfRule>
  </conditionalFormatting>
  <conditionalFormatting sqref="P1514">
    <cfRule type="top10" dxfId="4796" priority="9763" rank="1"/>
    <cfRule type="cellIs" dxfId="4795" priority="9764" operator="equal">
      <formula>$G$133</formula>
    </cfRule>
  </conditionalFormatting>
  <conditionalFormatting sqref="C1498:C1513">
    <cfRule type="containsText" dxfId="4794" priority="9759" operator="containsText" text="Short Buildup">
      <formula>NOT(ISERROR(SEARCH("Short Buildup",C1498)))</formula>
    </cfRule>
    <cfRule type="containsText" dxfId="4793" priority="9760" operator="containsText" text="Long Liquidation">
      <formula>NOT(ISERROR(SEARCH("Long Liquidation",C1498)))</formula>
    </cfRule>
    <cfRule type="containsText" dxfId="4792" priority="9761" operator="containsText" text="Short covering">
      <formula>NOT(ISERROR(SEARCH("Short covering",C1498)))</formula>
    </cfRule>
    <cfRule type="containsText" dxfId="4791" priority="9762" operator="containsText" text="Long Buildup">
      <formula>NOT(ISERROR(SEARCH("Long Buildup",C1498)))</formula>
    </cfRule>
  </conditionalFormatting>
  <conditionalFormatting sqref="H1514">
    <cfRule type="colorScale" priority="9754">
      <colorScale>
        <cfvo type="min"/>
        <cfvo type="percentile" val="20"/>
        <cfvo type="max"/>
        <color rgb="FF92D050"/>
        <color theme="5" tint="0.79998168889431442"/>
        <color rgb="FFFF0000"/>
      </colorScale>
    </cfRule>
    <cfRule type="colorScale" priority="9755">
      <colorScale>
        <cfvo type="min"/>
        <cfvo type="max"/>
        <color rgb="FFFF0000"/>
        <color rgb="FF92D050"/>
      </colorScale>
    </cfRule>
    <cfRule type="colorScale" priority="9756">
      <colorScale>
        <cfvo type="min"/>
        <cfvo type="percentile" val="50"/>
        <cfvo type="max"/>
        <color rgb="FF5A8AC6"/>
        <color rgb="FFFCFCFF"/>
        <color rgb="FFF8696B"/>
      </colorScale>
    </cfRule>
    <cfRule type="colorScale" priority="9757">
      <colorScale>
        <cfvo type="formula" val="&quot;&gt;20&quot;"/>
        <cfvo type="formula" val="35"/>
        <color rgb="FFF8696B"/>
        <color rgb="FFFCFCFF"/>
      </colorScale>
    </cfRule>
    <cfRule type="colorScale" priority="9758">
      <colorScale>
        <cfvo type="min"/>
        <cfvo type="max"/>
        <color rgb="FFFFEF9C"/>
        <color rgb="FF63BE7B"/>
      </colorScale>
    </cfRule>
  </conditionalFormatting>
  <conditionalFormatting sqref="N1514">
    <cfRule type="colorScale" priority="9749">
      <colorScale>
        <cfvo type="min"/>
        <cfvo type="percentile" val="20"/>
        <cfvo type="max"/>
        <color rgb="FF92D050"/>
        <color theme="5" tint="0.79998168889431442"/>
        <color rgb="FFFF0000"/>
      </colorScale>
    </cfRule>
    <cfRule type="colorScale" priority="9750">
      <colorScale>
        <cfvo type="min"/>
        <cfvo type="max"/>
        <color rgb="FFFF0000"/>
        <color rgb="FF92D050"/>
      </colorScale>
    </cfRule>
    <cfRule type="colorScale" priority="9751">
      <colorScale>
        <cfvo type="min"/>
        <cfvo type="percentile" val="50"/>
        <cfvo type="max"/>
        <color rgb="FF5A8AC6"/>
        <color rgb="FFFCFCFF"/>
        <color rgb="FFF8696B"/>
      </colorScale>
    </cfRule>
    <cfRule type="colorScale" priority="9752">
      <colorScale>
        <cfvo type="formula" val="&quot;&gt;20&quot;"/>
        <cfvo type="formula" val="35"/>
        <color rgb="FFF8696B"/>
        <color rgb="FFFCFCFF"/>
      </colorScale>
    </cfRule>
    <cfRule type="colorScale" priority="9753">
      <colorScale>
        <cfvo type="min"/>
        <cfvo type="max"/>
        <color rgb="FFFFEF9C"/>
        <color rgb="FF63BE7B"/>
      </colorScale>
    </cfRule>
  </conditionalFormatting>
  <conditionalFormatting sqref="S1498:S1514">
    <cfRule type="containsText" dxfId="4790" priority="9745" operator="containsText" text="Short Buildup">
      <formula>NOT(ISERROR(SEARCH("Short Buildup",S1498)))</formula>
    </cfRule>
    <cfRule type="containsText" dxfId="4789" priority="9746" operator="containsText" text="Long Liquidation">
      <formula>NOT(ISERROR(SEARCH("Long Liquidation",S1498)))</formula>
    </cfRule>
    <cfRule type="containsText" dxfId="4788" priority="9747" operator="containsText" text="Short covering">
      <formula>NOT(ISERROR(SEARCH("Short covering",S1498)))</formula>
    </cfRule>
    <cfRule type="containsText" dxfId="4787" priority="9748" operator="containsText" text="Long Buildup">
      <formula>NOT(ISERROR(SEARCH("Long Buildup",S1498)))</formula>
    </cfRule>
  </conditionalFormatting>
  <conditionalFormatting sqref="F1498:F1513">
    <cfRule type="dataBar" priority="9744">
      <dataBar>
        <cfvo type="min"/>
        <cfvo type="max"/>
        <color rgb="FFFF555A"/>
      </dataBar>
    </cfRule>
  </conditionalFormatting>
  <conditionalFormatting sqref="G1498:G1513">
    <cfRule type="dataBar" priority="9743">
      <dataBar>
        <cfvo type="min"/>
        <cfvo type="max"/>
        <color rgb="FFFF555A"/>
      </dataBar>
    </cfRule>
  </conditionalFormatting>
  <conditionalFormatting sqref="H1498">
    <cfRule type="dataBar" priority="9742">
      <dataBar>
        <cfvo type="min"/>
        <cfvo type="max"/>
        <color rgb="FFFF555A"/>
      </dataBar>
    </cfRule>
  </conditionalFormatting>
  <conditionalFormatting sqref="I1498">
    <cfRule type="dataBar" priority="9741">
      <dataBar>
        <cfvo type="min"/>
        <cfvo type="max"/>
        <color rgb="FFFF555A"/>
      </dataBar>
    </cfRule>
  </conditionalFormatting>
  <conditionalFormatting sqref="J1498">
    <cfRule type="dataBar" priority="9740">
      <dataBar>
        <cfvo type="min"/>
        <cfvo type="max"/>
        <color rgb="FFFF555A"/>
      </dataBar>
    </cfRule>
  </conditionalFormatting>
  <conditionalFormatting sqref="E1499:E1513">
    <cfRule type="dataBar" priority="9739">
      <dataBar>
        <cfvo type="min"/>
        <cfvo type="max"/>
        <color rgb="FFFF555A"/>
      </dataBar>
    </cfRule>
  </conditionalFormatting>
  <conditionalFormatting sqref="H1499:H1513">
    <cfRule type="dataBar" priority="9738">
      <dataBar>
        <cfvo type="min"/>
        <cfvo type="max"/>
        <color rgb="FFFF555A"/>
      </dataBar>
    </cfRule>
  </conditionalFormatting>
  <conditionalFormatting sqref="I1499:I1513">
    <cfRule type="dataBar" priority="9737">
      <dataBar>
        <cfvo type="min"/>
        <cfvo type="max"/>
        <color rgb="FFFF555A"/>
      </dataBar>
    </cfRule>
  </conditionalFormatting>
  <conditionalFormatting sqref="J1499:J1513">
    <cfRule type="dataBar" priority="9736">
      <dataBar>
        <cfvo type="min"/>
        <cfvo type="max"/>
        <color rgb="FFFF555A"/>
      </dataBar>
    </cfRule>
  </conditionalFormatting>
  <conditionalFormatting sqref="L1498:L1513">
    <cfRule type="dataBar" priority="9735">
      <dataBar>
        <cfvo type="min"/>
        <cfvo type="max"/>
        <color rgb="FFFF555A"/>
      </dataBar>
    </cfRule>
  </conditionalFormatting>
  <conditionalFormatting sqref="M1498:M1513">
    <cfRule type="dataBar" priority="9734">
      <dataBar>
        <cfvo type="min"/>
        <cfvo type="max"/>
        <color rgb="FFFF555A"/>
      </dataBar>
    </cfRule>
  </conditionalFormatting>
  <conditionalFormatting sqref="N1498:N1513">
    <cfRule type="dataBar" priority="9733">
      <dataBar>
        <cfvo type="min"/>
        <cfvo type="max"/>
        <color rgb="FFFF555A"/>
      </dataBar>
    </cfRule>
  </conditionalFormatting>
  <conditionalFormatting sqref="Q1498:Q1513">
    <cfRule type="dataBar" priority="9732">
      <dataBar>
        <cfvo type="min"/>
        <cfvo type="max"/>
        <color rgb="FFFF555A"/>
      </dataBar>
    </cfRule>
  </conditionalFormatting>
  <conditionalFormatting sqref="O1498:O1513">
    <cfRule type="dataBar" priority="9731">
      <dataBar>
        <cfvo type="min"/>
        <cfvo type="max"/>
        <color rgb="FFFF555A"/>
      </dataBar>
    </cfRule>
  </conditionalFormatting>
  <conditionalFormatting sqref="P1498:P1513">
    <cfRule type="dataBar" priority="9730">
      <dataBar>
        <cfvo type="min"/>
        <cfvo type="max"/>
        <color rgb="FFFF555A"/>
      </dataBar>
    </cfRule>
  </conditionalFormatting>
  <conditionalFormatting sqref="R1515:R1531 D1515:D1530 C1531">
    <cfRule type="containsText" dxfId="4786" priority="9729" operator="containsText" text="DOWN">
      <formula>NOT(ISERROR(SEARCH("DOWN",C1515)))</formula>
    </cfRule>
  </conditionalFormatting>
  <conditionalFormatting sqref="R1515:R1531 D1515:D1530 C1531">
    <cfRule type="containsText" dxfId="4785" priority="9728" operator="containsText" text="UP">
      <formula>NOT(ISERROR(SEARCH("UP",C1515)))</formula>
    </cfRule>
  </conditionalFormatting>
  <conditionalFormatting sqref="I1531">
    <cfRule type="colorScale" priority="9727">
      <colorScale>
        <cfvo type="min"/>
        <cfvo type="max"/>
        <color rgb="FFFFEF9C"/>
        <color rgb="FF63BE7B"/>
      </colorScale>
    </cfRule>
  </conditionalFormatting>
  <conditionalFormatting sqref="M1531">
    <cfRule type="colorScale" priority="9726">
      <colorScale>
        <cfvo type="min"/>
        <cfvo type="max"/>
        <color rgb="FFFF7128"/>
        <color rgb="FFFFEF9C"/>
      </colorScale>
    </cfRule>
  </conditionalFormatting>
  <conditionalFormatting sqref="Q1531">
    <cfRule type="dataBar" priority="9725">
      <dataBar>
        <cfvo type="min"/>
        <cfvo type="max"/>
        <color rgb="FFFF555A"/>
      </dataBar>
    </cfRule>
  </conditionalFormatting>
  <conditionalFormatting sqref="E1515:E1531">
    <cfRule type="dataBar" priority="9724">
      <dataBar>
        <cfvo type="min"/>
        <cfvo type="max"/>
        <color rgb="FFFF555A"/>
      </dataBar>
    </cfRule>
  </conditionalFormatting>
  <conditionalFormatting sqref="F1531">
    <cfRule type="top10" dxfId="4784" priority="9723" rank="1"/>
  </conditionalFormatting>
  <conditionalFormatting sqref="G1531 P1531">
    <cfRule type="cellIs" dxfId="4783" priority="9722" operator="equal">
      <formula>$G$135</formula>
    </cfRule>
  </conditionalFormatting>
  <conditionalFormatting sqref="P1531">
    <cfRule type="cellIs" dxfId="4782" priority="9721" operator="equal">
      <formula>$J$135</formula>
    </cfRule>
  </conditionalFormatting>
  <conditionalFormatting sqref="G1531 P1531">
    <cfRule type="cellIs" dxfId="4781" priority="9720" operator="equal">
      <formula>#REF!</formula>
    </cfRule>
  </conditionalFormatting>
  <conditionalFormatting sqref="G1531">
    <cfRule type="top10" dxfId="4780" priority="9718" rank="1"/>
    <cfRule type="cellIs" dxfId="4779" priority="9719" operator="equal">
      <formula>$G$133</formula>
    </cfRule>
  </conditionalFormatting>
  <conditionalFormatting sqref="P1531">
    <cfRule type="top10" dxfId="4778" priority="9716" rank="1"/>
    <cfRule type="cellIs" dxfId="4777" priority="9717" operator="equal">
      <formula>$G$133</formula>
    </cfRule>
  </conditionalFormatting>
  <conditionalFormatting sqref="C1515:C1530">
    <cfRule type="containsText" dxfId="4776" priority="9712" operator="containsText" text="Short Buildup">
      <formula>NOT(ISERROR(SEARCH("Short Buildup",C1515)))</formula>
    </cfRule>
    <cfRule type="containsText" dxfId="4775" priority="9713" operator="containsText" text="Long Liquidation">
      <formula>NOT(ISERROR(SEARCH("Long Liquidation",C1515)))</formula>
    </cfRule>
    <cfRule type="containsText" dxfId="4774" priority="9714" operator="containsText" text="Short covering">
      <formula>NOT(ISERROR(SEARCH("Short covering",C1515)))</formula>
    </cfRule>
    <cfRule type="containsText" dxfId="4773" priority="9715" operator="containsText" text="Long Buildup">
      <formula>NOT(ISERROR(SEARCH("Long Buildup",C1515)))</formula>
    </cfRule>
  </conditionalFormatting>
  <conditionalFormatting sqref="H1531">
    <cfRule type="colorScale" priority="9707">
      <colorScale>
        <cfvo type="min"/>
        <cfvo type="percentile" val="20"/>
        <cfvo type="max"/>
        <color rgb="FF92D050"/>
        <color theme="5" tint="0.79998168889431442"/>
        <color rgb="FFFF0000"/>
      </colorScale>
    </cfRule>
    <cfRule type="colorScale" priority="9708">
      <colorScale>
        <cfvo type="min"/>
        <cfvo type="max"/>
        <color rgb="FFFF0000"/>
        <color rgb="FF92D050"/>
      </colorScale>
    </cfRule>
    <cfRule type="colorScale" priority="9709">
      <colorScale>
        <cfvo type="min"/>
        <cfvo type="percentile" val="50"/>
        <cfvo type="max"/>
        <color rgb="FF5A8AC6"/>
        <color rgb="FFFCFCFF"/>
        <color rgb="FFF8696B"/>
      </colorScale>
    </cfRule>
    <cfRule type="colorScale" priority="9710">
      <colorScale>
        <cfvo type="formula" val="&quot;&gt;20&quot;"/>
        <cfvo type="formula" val="35"/>
        <color rgb="FFF8696B"/>
        <color rgb="FFFCFCFF"/>
      </colorScale>
    </cfRule>
    <cfRule type="colorScale" priority="9711">
      <colorScale>
        <cfvo type="min"/>
        <cfvo type="max"/>
        <color rgb="FFFFEF9C"/>
        <color rgb="FF63BE7B"/>
      </colorScale>
    </cfRule>
  </conditionalFormatting>
  <conditionalFormatting sqref="N1531">
    <cfRule type="colorScale" priority="9702">
      <colorScale>
        <cfvo type="min"/>
        <cfvo type="percentile" val="20"/>
        <cfvo type="max"/>
        <color rgb="FF92D050"/>
        <color theme="5" tint="0.79998168889431442"/>
        <color rgb="FFFF0000"/>
      </colorScale>
    </cfRule>
    <cfRule type="colorScale" priority="9703">
      <colorScale>
        <cfvo type="min"/>
        <cfvo type="max"/>
        <color rgb="FFFF0000"/>
        <color rgb="FF92D050"/>
      </colorScale>
    </cfRule>
    <cfRule type="colorScale" priority="9704">
      <colorScale>
        <cfvo type="min"/>
        <cfvo type="percentile" val="50"/>
        <cfvo type="max"/>
        <color rgb="FF5A8AC6"/>
        <color rgb="FFFCFCFF"/>
        <color rgb="FFF8696B"/>
      </colorScale>
    </cfRule>
    <cfRule type="colorScale" priority="9705">
      <colorScale>
        <cfvo type="formula" val="&quot;&gt;20&quot;"/>
        <cfvo type="formula" val="35"/>
        <color rgb="FFF8696B"/>
        <color rgb="FFFCFCFF"/>
      </colorScale>
    </cfRule>
    <cfRule type="colorScale" priority="9706">
      <colorScale>
        <cfvo type="min"/>
        <cfvo type="max"/>
        <color rgb="FFFFEF9C"/>
        <color rgb="FF63BE7B"/>
      </colorScale>
    </cfRule>
  </conditionalFormatting>
  <conditionalFormatting sqref="S1515:S1531">
    <cfRule type="containsText" dxfId="4772" priority="9698" operator="containsText" text="Short Buildup">
      <formula>NOT(ISERROR(SEARCH("Short Buildup",S1515)))</formula>
    </cfRule>
    <cfRule type="containsText" dxfId="4771" priority="9699" operator="containsText" text="Long Liquidation">
      <formula>NOT(ISERROR(SEARCH("Long Liquidation",S1515)))</formula>
    </cfRule>
    <cfRule type="containsText" dxfId="4770" priority="9700" operator="containsText" text="Short covering">
      <formula>NOT(ISERROR(SEARCH("Short covering",S1515)))</formula>
    </cfRule>
    <cfRule type="containsText" dxfId="4769" priority="9701" operator="containsText" text="Long Buildup">
      <formula>NOT(ISERROR(SEARCH("Long Buildup",S1515)))</formula>
    </cfRule>
  </conditionalFormatting>
  <conditionalFormatting sqref="F1515:F1530">
    <cfRule type="dataBar" priority="9697">
      <dataBar>
        <cfvo type="min"/>
        <cfvo type="max"/>
        <color rgb="FFFF555A"/>
      </dataBar>
    </cfRule>
  </conditionalFormatting>
  <conditionalFormatting sqref="G1515:G1530">
    <cfRule type="dataBar" priority="9696">
      <dataBar>
        <cfvo type="min"/>
        <cfvo type="max"/>
        <color rgb="FFFF555A"/>
      </dataBar>
    </cfRule>
  </conditionalFormatting>
  <conditionalFormatting sqref="H1515">
    <cfRule type="dataBar" priority="9695">
      <dataBar>
        <cfvo type="min"/>
        <cfvo type="max"/>
        <color rgb="FFFF555A"/>
      </dataBar>
    </cfRule>
  </conditionalFormatting>
  <conditionalFormatting sqref="I1515">
    <cfRule type="dataBar" priority="9694">
      <dataBar>
        <cfvo type="min"/>
        <cfvo type="max"/>
        <color rgb="FFFF555A"/>
      </dataBar>
    </cfRule>
  </conditionalFormatting>
  <conditionalFormatting sqref="J1515">
    <cfRule type="dataBar" priority="9693">
      <dataBar>
        <cfvo type="min"/>
        <cfvo type="max"/>
        <color rgb="FFFF555A"/>
      </dataBar>
    </cfRule>
  </conditionalFormatting>
  <conditionalFormatting sqref="E1516:E1530">
    <cfRule type="dataBar" priority="9692">
      <dataBar>
        <cfvo type="min"/>
        <cfvo type="max"/>
        <color rgb="FFFF555A"/>
      </dataBar>
    </cfRule>
  </conditionalFormatting>
  <conditionalFormatting sqref="H1516:H1530">
    <cfRule type="dataBar" priority="9691">
      <dataBar>
        <cfvo type="min"/>
        <cfvo type="max"/>
        <color rgb="FFFF555A"/>
      </dataBar>
    </cfRule>
  </conditionalFormatting>
  <conditionalFormatting sqref="I1516:I1530">
    <cfRule type="dataBar" priority="9690">
      <dataBar>
        <cfvo type="min"/>
        <cfvo type="max"/>
        <color rgb="FFFF555A"/>
      </dataBar>
    </cfRule>
  </conditionalFormatting>
  <conditionalFormatting sqref="J1516:J1530">
    <cfRule type="dataBar" priority="9689">
      <dataBar>
        <cfvo type="min"/>
        <cfvo type="max"/>
        <color rgb="FFFF555A"/>
      </dataBar>
    </cfRule>
  </conditionalFormatting>
  <conditionalFormatting sqref="L1515:L1530">
    <cfRule type="dataBar" priority="9688">
      <dataBar>
        <cfvo type="min"/>
        <cfvo type="max"/>
        <color rgb="FFFF555A"/>
      </dataBar>
    </cfRule>
  </conditionalFormatting>
  <conditionalFormatting sqref="M1515:M1530">
    <cfRule type="dataBar" priority="9687">
      <dataBar>
        <cfvo type="min"/>
        <cfvo type="max"/>
        <color rgb="FFFF555A"/>
      </dataBar>
    </cfRule>
  </conditionalFormatting>
  <conditionalFormatting sqref="N1515:N1530">
    <cfRule type="dataBar" priority="9686">
      <dataBar>
        <cfvo type="min"/>
        <cfvo type="max"/>
        <color rgb="FFFF555A"/>
      </dataBar>
    </cfRule>
  </conditionalFormatting>
  <conditionalFormatting sqref="Q1515:Q1530">
    <cfRule type="dataBar" priority="9685">
      <dataBar>
        <cfvo type="min"/>
        <cfvo type="max"/>
        <color rgb="FFFF555A"/>
      </dataBar>
    </cfRule>
  </conditionalFormatting>
  <conditionalFormatting sqref="O1515:O1530">
    <cfRule type="dataBar" priority="9684">
      <dataBar>
        <cfvo type="min"/>
        <cfvo type="max"/>
        <color rgb="FFFF555A"/>
      </dataBar>
    </cfRule>
  </conditionalFormatting>
  <conditionalFormatting sqref="P1515:P1530">
    <cfRule type="dataBar" priority="9683">
      <dataBar>
        <cfvo type="min"/>
        <cfvo type="max"/>
        <color rgb="FFFF555A"/>
      </dataBar>
    </cfRule>
  </conditionalFormatting>
  <conditionalFormatting sqref="R1532:R1548 D1532:D1547 C1548">
    <cfRule type="containsText" dxfId="4768" priority="9682" operator="containsText" text="DOWN">
      <formula>NOT(ISERROR(SEARCH("DOWN",C1532)))</formula>
    </cfRule>
  </conditionalFormatting>
  <conditionalFormatting sqref="R1532:R1548 D1532:D1547 C1548">
    <cfRule type="containsText" dxfId="4767" priority="9681" operator="containsText" text="UP">
      <formula>NOT(ISERROR(SEARCH("UP",C1532)))</formula>
    </cfRule>
  </conditionalFormatting>
  <conditionalFormatting sqref="I1548">
    <cfRule type="colorScale" priority="9680">
      <colorScale>
        <cfvo type="min"/>
        <cfvo type="max"/>
        <color rgb="FFFFEF9C"/>
        <color rgb="FF63BE7B"/>
      </colorScale>
    </cfRule>
  </conditionalFormatting>
  <conditionalFormatting sqref="M1548">
    <cfRule type="colorScale" priority="9679">
      <colorScale>
        <cfvo type="min"/>
        <cfvo type="max"/>
        <color rgb="FFFF7128"/>
        <color rgb="FFFFEF9C"/>
      </colorScale>
    </cfRule>
  </conditionalFormatting>
  <conditionalFormatting sqref="Q1548">
    <cfRule type="dataBar" priority="9678">
      <dataBar>
        <cfvo type="min"/>
        <cfvo type="max"/>
        <color rgb="FFFF555A"/>
      </dataBar>
    </cfRule>
  </conditionalFormatting>
  <conditionalFormatting sqref="E1532:E1548">
    <cfRule type="dataBar" priority="9677">
      <dataBar>
        <cfvo type="min"/>
        <cfvo type="max"/>
        <color rgb="FFFF555A"/>
      </dataBar>
    </cfRule>
  </conditionalFormatting>
  <conditionalFormatting sqref="F1548">
    <cfRule type="top10" dxfId="4766" priority="9676" rank="1"/>
  </conditionalFormatting>
  <conditionalFormatting sqref="G1548 P1548">
    <cfRule type="cellIs" dxfId="4765" priority="9675" operator="equal">
      <formula>$G$135</formula>
    </cfRule>
  </conditionalFormatting>
  <conditionalFormatting sqref="P1548">
    <cfRule type="cellIs" dxfId="4764" priority="9674" operator="equal">
      <formula>$J$135</formula>
    </cfRule>
  </conditionalFormatting>
  <conditionalFormatting sqref="G1548 P1548">
    <cfRule type="cellIs" dxfId="4763" priority="9673" operator="equal">
      <formula>#REF!</formula>
    </cfRule>
  </conditionalFormatting>
  <conditionalFormatting sqref="G1548">
    <cfRule type="top10" dxfId="4762" priority="9671" rank="1"/>
    <cfRule type="cellIs" dxfId="4761" priority="9672" operator="equal">
      <formula>$G$133</formula>
    </cfRule>
  </conditionalFormatting>
  <conditionalFormatting sqref="P1548">
    <cfRule type="top10" dxfId="4760" priority="9669" rank="1"/>
    <cfRule type="cellIs" dxfId="4759" priority="9670" operator="equal">
      <formula>$G$133</formula>
    </cfRule>
  </conditionalFormatting>
  <conditionalFormatting sqref="C1532:C1547">
    <cfRule type="containsText" dxfId="4758" priority="9665" operator="containsText" text="Short Buildup">
      <formula>NOT(ISERROR(SEARCH("Short Buildup",C1532)))</formula>
    </cfRule>
    <cfRule type="containsText" dxfId="4757" priority="9666" operator="containsText" text="Long Liquidation">
      <formula>NOT(ISERROR(SEARCH("Long Liquidation",C1532)))</formula>
    </cfRule>
    <cfRule type="containsText" dxfId="4756" priority="9667" operator="containsText" text="Short covering">
      <formula>NOT(ISERROR(SEARCH("Short covering",C1532)))</formula>
    </cfRule>
    <cfRule type="containsText" dxfId="4755" priority="9668" operator="containsText" text="Long Buildup">
      <formula>NOT(ISERROR(SEARCH("Long Buildup",C1532)))</formula>
    </cfRule>
  </conditionalFormatting>
  <conditionalFormatting sqref="H1548">
    <cfRule type="colorScale" priority="9660">
      <colorScale>
        <cfvo type="min"/>
        <cfvo type="percentile" val="20"/>
        <cfvo type="max"/>
        <color rgb="FF92D050"/>
        <color theme="5" tint="0.79998168889431442"/>
        <color rgb="FFFF0000"/>
      </colorScale>
    </cfRule>
    <cfRule type="colorScale" priority="9661">
      <colorScale>
        <cfvo type="min"/>
        <cfvo type="max"/>
        <color rgb="FFFF0000"/>
        <color rgb="FF92D050"/>
      </colorScale>
    </cfRule>
    <cfRule type="colorScale" priority="9662">
      <colorScale>
        <cfvo type="min"/>
        <cfvo type="percentile" val="50"/>
        <cfvo type="max"/>
        <color rgb="FF5A8AC6"/>
        <color rgb="FFFCFCFF"/>
        <color rgb="FFF8696B"/>
      </colorScale>
    </cfRule>
    <cfRule type="colorScale" priority="9663">
      <colorScale>
        <cfvo type="formula" val="&quot;&gt;20&quot;"/>
        <cfvo type="formula" val="35"/>
        <color rgb="FFF8696B"/>
        <color rgb="FFFCFCFF"/>
      </colorScale>
    </cfRule>
    <cfRule type="colorScale" priority="9664">
      <colorScale>
        <cfvo type="min"/>
        <cfvo type="max"/>
        <color rgb="FFFFEF9C"/>
        <color rgb="FF63BE7B"/>
      </colorScale>
    </cfRule>
  </conditionalFormatting>
  <conditionalFormatting sqref="N1548">
    <cfRule type="colorScale" priority="9655">
      <colorScale>
        <cfvo type="min"/>
        <cfvo type="percentile" val="20"/>
        <cfvo type="max"/>
        <color rgb="FF92D050"/>
        <color theme="5" tint="0.79998168889431442"/>
        <color rgb="FFFF0000"/>
      </colorScale>
    </cfRule>
    <cfRule type="colorScale" priority="9656">
      <colorScale>
        <cfvo type="min"/>
        <cfvo type="max"/>
        <color rgb="FFFF0000"/>
        <color rgb="FF92D050"/>
      </colorScale>
    </cfRule>
    <cfRule type="colorScale" priority="9657">
      <colorScale>
        <cfvo type="min"/>
        <cfvo type="percentile" val="50"/>
        <cfvo type="max"/>
        <color rgb="FF5A8AC6"/>
        <color rgb="FFFCFCFF"/>
        <color rgb="FFF8696B"/>
      </colorScale>
    </cfRule>
    <cfRule type="colorScale" priority="9658">
      <colorScale>
        <cfvo type="formula" val="&quot;&gt;20&quot;"/>
        <cfvo type="formula" val="35"/>
        <color rgb="FFF8696B"/>
        <color rgb="FFFCFCFF"/>
      </colorScale>
    </cfRule>
    <cfRule type="colorScale" priority="9659">
      <colorScale>
        <cfvo type="min"/>
        <cfvo type="max"/>
        <color rgb="FFFFEF9C"/>
        <color rgb="FF63BE7B"/>
      </colorScale>
    </cfRule>
  </conditionalFormatting>
  <conditionalFormatting sqref="S1532:S1548">
    <cfRule type="containsText" dxfId="4754" priority="9651" operator="containsText" text="Short Buildup">
      <formula>NOT(ISERROR(SEARCH("Short Buildup",S1532)))</formula>
    </cfRule>
    <cfRule type="containsText" dxfId="4753" priority="9652" operator="containsText" text="Long Liquidation">
      <formula>NOT(ISERROR(SEARCH("Long Liquidation",S1532)))</formula>
    </cfRule>
    <cfRule type="containsText" dxfId="4752" priority="9653" operator="containsText" text="Short covering">
      <formula>NOT(ISERROR(SEARCH("Short covering",S1532)))</formula>
    </cfRule>
    <cfRule type="containsText" dxfId="4751" priority="9654" operator="containsText" text="Long Buildup">
      <formula>NOT(ISERROR(SEARCH("Long Buildup",S1532)))</formula>
    </cfRule>
  </conditionalFormatting>
  <conditionalFormatting sqref="F1532:F1547">
    <cfRule type="dataBar" priority="9650">
      <dataBar>
        <cfvo type="min"/>
        <cfvo type="max"/>
        <color rgb="FFFF555A"/>
      </dataBar>
    </cfRule>
  </conditionalFormatting>
  <conditionalFormatting sqref="G1532:G1547">
    <cfRule type="dataBar" priority="9649">
      <dataBar>
        <cfvo type="min"/>
        <cfvo type="max"/>
        <color rgb="FFFF555A"/>
      </dataBar>
    </cfRule>
  </conditionalFormatting>
  <conditionalFormatting sqref="H1532">
    <cfRule type="dataBar" priority="9648">
      <dataBar>
        <cfvo type="min"/>
        <cfvo type="max"/>
        <color rgb="FFFF555A"/>
      </dataBar>
    </cfRule>
  </conditionalFormatting>
  <conditionalFormatting sqref="I1532">
    <cfRule type="dataBar" priority="9647">
      <dataBar>
        <cfvo type="min"/>
        <cfvo type="max"/>
        <color rgb="FFFF555A"/>
      </dataBar>
    </cfRule>
  </conditionalFormatting>
  <conditionalFormatting sqref="J1532">
    <cfRule type="dataBar" priority="9646">
      <dataBar>
        <cfvo type="min"/>
        <cfvo type="max"/>
        <color rgb="FFFF555A"/>
      </dataBar>
    </cfRule>
  </conditionalFormatting>
  <conditionalFormatting sqref="E1533:E1547">
    <cfRule type="dataBar" priority="9645">
      <dataBar>
        <cfvo type="min"/>
        <cfvo type="max"/>
        <color rgb="FFFF555A"/>
      </dataBar>
    </cfRule>
  </conditionalFormatting>
  <conditionalFormatting sqref="H1533:H1547">
    <cfRule type="dataBar" priority="9644">
      <dataBar>
        <cfvo type="min"/>
        <cfvo type="max"/>
        <color rgb="FFFF555A"/>
      </dataBar>
    </cfRule>
  </conditionalFormatting>
  <conditionalFormatting sqref="I1533:I1547">
    <cfRule type="dataBar" priority="9643">
      <dataBar>
        <cfvo type="min"/>
        <cfvo type="max"/>
        <color rgb="FFFF555A"/>
      </dataBar>
    </cfRule>
  </conditionalFormatting>
  <conditionalFormatting sqref="J1533:J1547">
    <cfRule type="dataBar" priority="9642">
      <dataBar>
        <cfvo type="min"/>
        <cfvo type="max"/>
        <color rgb="FFFF555A"/>
      </dataBar>
    </cfRule>
  </conditionalFormatting>
  <conditionalFormatting sqref="L1532:L1547">
    <cfRule type="dataBar" priority="9641">
      <dataBar>
        <cfvo type="min"/>
        <cfvo type="max"/>
        <color rgb="FFFF555A"/>
      </dataBar>
    </cfRule>
  </conditionalFormatting>
  <conditionalFormatting sqref="M1532:M1547">
    <cfRule type="dataBar" priority="9640">
      <dataBar>
        <cfvo type="min"/>
        <cfvo type="max"/>
        <color rgb="FFFF555A"/>
      </dataBar>
    </cfRule>
  </conditionalFormatting>
  <conditionalFormatting sqref="N1532:N1547">
    <cfRule type="dataBar" priority="9639">
      <dataBar>
        <cfvo type="min"/>
        <cfvo type="max"/>
        <color rgb="FFFF555A"/>
      </dataBar>
    </cfRule>
  </conditionalFormatting>
  <conditionalFormatting sqref="Q1532:Q1547">
    <cfRule type="dataBar" priority="9638">
      <dataBar>
        <cfvo type="min"/>
        <cfvo type="max"/>
        <color rgb="FFFF555A"/>
      </dataBar>
    </cfRule>
  </conditionalFormatting>
  <conditionalFormatting sqref="O1532:O1547">
    <cfRule type="dataBar" priority="9637">
      <dataBar>
        <cfvo type="min"/>
        <cfvo type="max"/>
        <color rgb="FFFF555A"/>
      </dataBar>
    </cfRule>
  </conditionalFormatting>
  <conditionalFormatting sqref="P1532:P1547">
    <cfRule type="dataBar" priority="9636">
      <dataBar>
        <cfvo type="min"/>
        <cfvo type="max"/>
        <color rgb="FFFF555A"/>
      </dataBar>
    </cfRule>
  </conditionalFormatting>
  <conditionalFormatting sqref="R1549:R1565 D1549:D1564 C1565">
    <cfRule type="containsText" dxfId="4750" priority="9635" operator="containsText" text="DOWN">
      <formula>NOT(ISERROR(SEARCH("DOWN",C1549)))</formula>
    </cfRule>
  </conditionalFormatting>
  <conditionalFormatting sqref="R1549:R1565 D1549:D1564 C1565">
    <cfRule type="containsText" dxfId="4749" priority="9634" operator="containsText" text="UP">
      <formula>NOT(ISERROR(SEARCH("UP",C1549)))</formula>
    </cfRule>
  </conditionalFormatting>
  <conditionalFormatting sqref="I1565">
    <cfRule type="colorScale" priority="9633">
      <colorScale>
        <cfvo type="min"/>
        <cfvo type="max"/>
        <color rgb="FFFFEF9C"/>
        <color rgb="FF63BE7B"/>
      </colorScale>
    </cfRule>
  </conditionalFormatting>
  <conditionalFormatting sqref="M1565">
    <cfRule type="colorScale" priority="9632">
      <colorScale>
        <cfvo type="min"/>
        <cfvo type="max"/>
        <color rgb="FFFF7128"/>
        <color rgb="FFFFEF9C"/>
      </colorScale>
    </cfRule>
  </conditionalFormatting>
  <conditionalFormatting sqref="Q1565">
    <cfRule type="dataBar" priority="9631">
      <dataBar>
        <cfvo type="min"/>
        <cfvo type="max"/>
        <color rgb="FFFF555A"/>
      </dataBar>
    </cfRule>
  </conditionalFormatting>
  <conditionalFormatting sqref="E1549:E1565">
    <cfRule type="dataBar" priority="9630">
      <dataBar>
        <cfvo type="min"/>
        <cfvo type="max"/>
        <color rgb="FFFF555A"/>
      </dataBar>
    </cfRule>
  </conditionalFormatting>
  <conditionalFormatting sqref="F1565">
    <cfRule type="top10" dxfId="4748" priority="9629" rank="1"/>
  </conditionalFormatting>
  <conditionalFormatting sqref="G1565 P1565">
    <cfRule type="cellIs" dxfId="4747" priority="9628" operator="equal">
      <formula>$G$135</formula>
    </cfRule>
  </conditionalFormatting>
  <conditionalFormatting sqref="P1565">
    <cfRule type="cellIs" dxfId="4746" priority="9627" operator="equal">
      <formula>$J$135</formula>
    </cfRule>
  </conditionalFormatting>
  <conditionalFormatting sqref="G1565 P1565">
    <cfRule type="cellIs" dxfId="4745" priority="9626" operator="equal">
      <formula>#REF!</formula>
    </cfRule>
  </conditionalFormatting>
  <conditionalFormatting sqref="G1565">
    <cfRule type="top10" dxfId="4744" priority="9624" rank="1"/>
    <cfRule type="cellIs" dxfId="4743" priority="9625" operator="equal">
      <formula>$G$133</formula>
    </cfRule>
  </conditionalFormatting>
  <conditionalFormatting sqref="P1565">
    <cfRule type="top10" dxfId="4742" priority="9622" rank="1"/>
    <cfRule type="cellIs" dxfId="4741" priority="9623" operator="equal">
      <formula>$G$133</formula>
    </cfRule>
  </conditionalFormatting>
  <conditionalFormatting sqref="C1549:C1564">
    <cfRule type="containsText" dxfId="4740" priority="9618" operator="containsText" text="Short Buildup">
      <formula>NOT(ISERROR(SEARCH("Short Buildup",C1549)))</formula>
    </cfRule>
    <cfRule type="containsText" dxfId="4739" priority="9619" operator="containsText" text="Long Liquidation">
      <formula>NOT(ISERROR(SEARCH("Long Liquidation",C1549)))</formula>
    </cfRule>
    <cfRule type="containsText" dxfId="4738" priority="9620" operator="containsText" text="Short covering">
      <formula>NOT(ISERROR(SEARCH("Short covering",C1549)))</formula>
    </cfRule>
    <cfRule type="containsText" dxfId="4737" priority="9621" operator="containsText" text="Long Buildup">
      <formula>NOT(ISERROR(SEARCH("Long Buildup",C1549)))</formula>
    </cfRule>
  </conditionalFormatting>
  <conditionalFormatting sqref="H1565">
    <cfRule type="colorScale" priority="9613">
      <colorScale>
        <cfvo type="min"/>
        <cfvo type="percentile" val="20"/>
        <cfvo type="max"/>
        <color rgb="FF92D050"/>
        <color theme="5" tint="0.79998168889431442"/>
        <color rgb="FFFF0000"/>
      </colorScale>
    </cfRule>
    <cfRule type="colorScale" priority="9614">
      <colorScale>
        <cfvo type="min"/>
        <cfvo type="max"/>
        <color rgb="FFFF0000"/>
        <color rgb="FF92D050"/>
      </colorScale>
    </cfRule>
    <cfRule type="colorScale" priority="9615">
      <colorScale>
        <cfvo type="min"/>
        <cfvo type="percentile" val="50"/>
        <cfvo type="max"/>
        <color rgb="FF5A8AC6"/>
        <color rgb="FFFCFCFF"/>
        <color rgb="FFF8696B"/>
      </colorScale>
    </cfRule>
    <cfRule type="colorScale" priority="9616">
      <colorScale>
        <cfvo type="formula" val="&quot;&gt;20&quot;"/>
        <cfvo type="formula" val="35"/>
        <color rgb="FFF8696B"/>
        <color rgb="FFFCFCFF"/>
      </colorScale>
    </cfRule>
    <cfRule type="colorScale" priority="9617">
      <colorScale>
        <cfvo type="min"/>
        <cfvo type="max"/>
        <color rgb="FFFFEF9C"/>
        <color rgb="FF63BE7B"/>
      </colorScale>
    </cfRule>
  </conditionalFormatting>
  <conditionalFormatting sqref="N1565">
    <cfRule type="colorScale" priority="9608">
      <colorScale>
        <cfvo type="min"/>
        <cfvo type="percentile" val="20"/>
        <cfvo type="max"/>
        <color rgb="FF92D050"/>
        <color theme="5" tint="0.79998168889431442"/>
        <color rgb="FFFF0000"/>
      </colorScale>
    </cfRule>
    <cfRule type="colorScale" priority="9609">
      <colorScale>
        <cfvo type="min"/>
        <cfvo type="max"/>
        <color rgb="FFFF0000"/>
        <color rgb="FF92D050"/>
      </colorScale>
    </cfRule>
    <cfRule type="colorScale" priority="9610">
      <colorScale>
        <cfvo type="min"/>
        <cfvo type="percentile" val="50"/>
        <cfvo type="max"/>
        <color rgb="FF5A8AC6"/>
        <color rgb="FFFCFCFF"/>
        <color rgb="FFF8696B"/>
      </colorScale>
    </cfRule>
    <cfRule type="colorScale" priority="9611">
      <colorScale>
        <cfvo type="formula" val="&quot;&gt;20&quot;"/>
        <cfvo type="formula" val="35"/>
        <color rgb="FFF8696B"/>
        <color rgb="FFFCFCFF"/>
      </colorScale>
    </cfRule>
    <cfRule type="colorScale" priority="9612">
      <colorScale>
        <cfvo type="min"/>
        <cfvo type="max"/>
        <color rgb="FFFFEF9C"/>
        <color rgb="FF63BE7B"/>
      </colorScale>
    </cfRule>
  </conditionalFormatting>
  <conditionalFormatting sqref="S1549:S1565">
    <cfRule type="containsText" dxfId="4736" priority="9604" operator="containsText" text="Short Buildup">
      <formula>NOT(ISERROR(SEARCH("Short Buildup",S1549)))</formula>
    </cfRule>
    <cfRule type="containsText" dxfId="4735" priority="9605" operator="containsText" text="Long Liquidation">
      <formula>NOT(ISERROR(SEARCH("Long Liquidation",S1549)))</formula>
    </cfRule>
    <cfRule type="containsText" dxfId="4734" priority="9606" operator="containsText" text="Short covering">
      <formula>NOT(ISERROR(SEARCH("Short covering",S1549)))</formula>
    </cfRule>
    <cfRule type="containsText" dxfId="4733" priority="9607" operator="containsText" text="Long Buildup">
      <formula>NOT(ISERROR(SEARCH("Long Buildup",S1549)))</formula>
    </cfRule>
  </conditionalFormatting>
  <conditionalFormatting sqref="F1549:F1564">
    <cfRule type="dataBar" priority="9603">
      <dataBar>
        <cfvo type="min"/>
        <cfvo type="max"/>
        <color rgb="FFFF555A"/>
      </dataBar>
    </cfRule>
  </conditionalFormatting>
  <conditionalFormatting sqref="G1549:G1564">
    <cfRule type="dataBar" priority="9602">
      <dataBar>
        <cfvo type="min"/>
        <cfvo type="max"/>
        <color rgb="FFFF555A"/>
      </dataBar>
    </cfRule>
  </conditionalFormatting>
  <conditionalFormatting sqref="H1549">
    <cfRule type="dataBar" priority="9601">
      <dataBar>
        <cfvo type="min"/>
        <cfvo type="max"/>
        <color rgb="FFFF555A"/>
      </dataBar>
    </cfRule>
  </conditionalFormatting>
  <conditionalFormatting sqref="I1549">
    <cfRule type="dataBar" priority="9600">
      <dataBar>
        <cfvo type="min"/>
        <cfvo type="max"/>
        <color rgb="FFFF555A"/>
      </dataBar>
    </cfRule>
  </conditionalFormatting>
  <conditionalFormatting sqref="J1549">
    <cfRule type="dataBar" priority="9599">
      <dataBar>
        <cfvo type="min"/>
        <cfvo type="max"/>
        <color rgb="FFFF555A"/>
      </dataBar>
    </cfRule>
  </conditionalFormatting>
  <conditionalFormatting sqref="E1550:E1564">
    <cfRule type="dataBar" priority="9598">
      <dataBar>
        <cfvo type="min"/>
        <cfvo type="max"/>
        <color rgb="FFFF555A"/>
      </dataBar>
    </cfRule>
  </conditionalFormatting>
  <conditionalFormatting sqref="H1550:H1564">
    <cfRule type="dataBar" priority="9597">
      <dataBar>
        <cfvo type="min"/>
        <cfvo type="max"/>
        <color rgb="FFFF555A"/>
      </dataBar>
    </cfRule>
  </conditionalFormatting>
  <conditionalFormatting sqref="I1550:I1564">
    <cfRule type="dataBar" priority="9596">
      <dataBar>
        <cfvo type="min"/>
        <cfvo type="max"/>
        <color rgb="FFFF555A"/>
      </dataBar>
    </cfRule>
  </conditionalFormatting>
  <conditionalFormatting sqref="J1550:J1564">
    <cfRule type="dataBar" priority="9595">
      <dataBar>
        <cfvo type="min"/>
        <cfvo type="max"/>
        <color rgb="FFFF555A"/>
      </dataBar>
    </cfRule>
  </conditionalFormatting>
  <conditionalFormatting sqref="L1549:L1564">
    <cfRule type="dataBar" priority="9594">
      <dataBar>
        <cfvo type="min"/>
        <cfvo type="max"/>
        <color rgb="FFFF555A"/>
      </dataBar>
    </cfRule>
  </conditionalFormatting>
  <conditionalFormatting sqref="M1549:M1564">
    <cfRule type="dataBar" priority="9593">
      <dataBar>
        <cfvo type="min"/>
        <cfvo type="max"/>
        <color rgb="FFFF555A"/>
      </dataBar>
    </cfRule>
  </conditionalFormatting>
  <conditionalFormatting sqref="N1549:N1564">
    <cfRule type="dataBar" priority="9592">
      <dataBar>
        <cfvo type="min"/>
        <cfvo type="max"/>
        <color rgb="FFFF555A"/>
      </dataBar>
    </cfRule>
  </conditionalFormatting>
  <conditionalFormatting sqref="Q1549:Q1564">
    <cfRule type="dataBar" priority="9591">
      <dataBar>
        <cfvo type="min"/>
        <cfvo type="max"/>
        <color rgb="FFFF555A"/>
      </dataBar>
    </cfRule>
  </conditionalFormatting>
  <conditionalFormatting sqref="O1549:O1564">
    <cfRule type="dataBar" priority="9590">
      <dataBar>
        <cfvo type="min"/>
        <cfvo type="max"/>
        <color rgb="FFFF555A"/>
      </dataBar>
    </cfRule>
  </conditionalFormatting>
  <conditionalFormatting sqref="P1549:P1564">
    <cfRule type="dataBar" priority="9589">
      <dataBar>
        <cfvo type="min"/>
        <cfvo type="max"/>
        <color rgb="FFFF555A"/>
      </dataBar>
    </cfRule>
  </conditionalFormatting>
  <conditionalFormatting sqref="R1566:R1582 D1566:D1581 C1582">
    <cfRule type="containsText" dxfId="4732" priority="9588" operator="containsText" text="DOWN">
      <formula>NOT(ISERROR(SEARCH("DOWN",C1566)))</formula>
    </cfRule>
  </conditionalFormatting>
  <conditionalFormatting sqref="R1566:R1582 D1566:D1581 C1582">
    <cfRule type="containsText" dxfId="4731" priority="9587" operator="containsText" text="UP">
      <formula>NOT(ISERROR(SEARCH("UP",C1566)))</formula>
    </cfRule>
  </conditionalFormatting>
  <conditionalFormatting sqref="I1582">
    <cfRule type="colorScale" priority="9586">
      <colorScale>
        <cfvo type="min"/>
        <cfvo type="max"/>
        <color rgb="FFFFEF9C"/>
        <color rgb="FF63BE7B"/>
      </colorScale>
    </cfRule>
  </conditionalFormatting>
  <conditionalFormatting sqref="M1582">
    <cfRule type="colorScale" priority="9585">
      <colorScale>
        <cfvo type="min"/>
        <cfvo type="max"/>
        <color rgb="FFFF7128"/>
        <color rgb="FFFFEF9C"/>
      </colorScale>
    </cfRule>
  </conditionalFormatting>
  <conditionalFormatting sqref="Q1582">
    <cfRule type="dataBar" priority="9584">
      <dataBar>
        <cfvo type="min"/>
        <cfvo type="max"/>
        <color rgb="FFFF555A"/>
      </dataBar>
    </cfRule>
  </conditionalFormatting>
  <conditionalFormatting sqref="E1566:E1582">
    <cfRule type="dataBar" priority="9583">
      <dataBar>
        <cfvo type="min"/>
        <cfvo type="max"/>
        <color rgb="FFFF555A"/>
      </dataBar>
    </cfRule>
  </conditionalFormatting>
  <conditionalFormatting sqref="F1582">
    <cfRule type="top10" dxfId="4730" priority="9582" rank="1"/>
  </conditionalFormatting>
  <conditionalFormatting sqref="G1582 P1582">
    <cfRule type="cellIs" dxfId="4729" priority="9581" operator="equal">
      <formula>$G$135</formula>
    </cfRule>
  </conditionalFormatting>
  <conditionalFormatting sqref="P1582">
    <cfRule type="cellIs" dxfId="4728" priority="9580" operator="equal">
      <formula>$J$135</formula>
    </cfRule>
  </conditionalFormatting>
  <conditionalFormatting sqref="G1582 P1582">
    <cfRule type="cellIs" dxfId="4727" priority="9579" operator="equal">
      <formula>#REF!</formula>
    </cfRule>
  </conditionalFormatting>
  <conditionalFormatting sqref="G1582">
    <cfRule type="top10" dxfId="4726" priority="9577" rank="1"/>
    <cfRule type="cellIs" dxfId="4725" priority="9578" operator="equal">
      <formula>$G$133</formula>
    </cfRule>
  </conditionalFormatting>
  <conditionalFormatting sqref="P1582">
    <cfRule type="top10" dxfId="4724" priority="9575" rank="1"/>
    <cfRule type="cellIs" dxfId="4723" priority="9576" operator="equal">
      <formula>$G$133</formula>
    </cfRule>
  </conditionalFormatting>
  <conditionalFormatting sqref="C1566:C1581">
    <cfRule type="containsText" dxfId="4722" priority="9571" operator="containsText" text="Short Buildup">
      <formula>NOT(ISERROR(SEARCH("Short Buildup",C1566)))</formula>
    </cfRule>
    <cfRule type="containsText" dxfId="4721" priority="9572" operator="containsText" text="Long Liquidation">
      <formula>NOT(ISERROR(SEARCH("Long Liquidation",C1566)))</formula>
    </cfRule>
    <cfRule type="containsText" dxfId="4720" priority="9573" operator="containsText" text="Short covering">
      <formula>NOT(ISERROR(SEARCH("Short covering",C1566)))</formula>
    </cfRule>
    <cfRule type="containsText" dxfId="4719" priority="9574" operator="containsText" text="Long Buildup">
      <formula>NOT(ISERROR(SEARCH("Long Buildup",C1566)))</formula>
    </cfRule>
  </conditionalFormatting>
  <conditionalFormatting sqref="H1582">
    <cfRule type="colorScale" priority="9566">
      <colorScale>
        <cfvo type="min"/>
        <cfvo type="percentile" val="20"/>
        <cfvo type="max"/>
        <color rgb="FF92D050"/>
        <color theme="5" tint="0.79998168889431442"/>
        <color rgb="FFFF0000"/>
      </colorScale>
    </cfRule>
    <cfRule type="colorScale" priority="9567">
      <colorScale>
        <cfvo type="min"/>
        <cfvo type="max"/>
        <color rgb="FFFF0000"/>
        <color rgb="FF92D050"/>
      </colorScale>
    </cfRule>
    <cfRule type="colorScale" priority="9568">
      <colorScale>
        <cfvo type="min"/>
        <cfvo type="percentile" val="50"/>
        <cfvo type="max"/>
        <color rgb="FF5A8AC6"/>
        <color rgb="FFFCFCFF"/>
        <color rgb="FFF8696B"/>
      </colorScale>
    </cfRule>
    <cfRule type="colorScale" priority="9569">
      <colorScale>
        <cfvo type="formula" val="&quot;&gt;20&quot;"/>
        <cfvo type="formula" val="35"/>
        <color rgb="FFF8696B"/>
        <color rgb="FFFCFCFF"/>
      </colorScale>
    </cfRule>
    <cfRule type="colorScale" priority="9570">
      <colorScale>
        <cfvo type="min"/>
        <cfvo type="max"/>
        <color rgb="FFFFEF9C"/>
        <color rgb="FF63BE7B"/>
      </colorScale>
    </cfRule>
  </conditionalFormatting>
  <conditionalFormatting sqref="N1582">
    <cfRule type="colorScale" priority="9561">
      <colorScale>
        <cfvo type="min"/>
        <cfvo type="percentile" val="20"/>
        <cfvo type="max"/>
        <color rgb="FF92D050"/>
        <color theme="5" tint="0.79998168889431442"/>
        <color rgb="FFFF0000"/>
      </colorScale>
    </cfRule>
    <cfRule type="colorScale" priority="9562">
      <colorScale>
        <cfvo type="min"/>
        <cfvo type="max"/>
        <color rgb="FFFF0000"/>
        <color rgb="FF92D050"/>
      </colorScale>
    </cfRule>
    <cfRule type="colorScale" priority="9563">
      <colorScale>
        <cfvo type="min"/>
        <cfvo type="percentile" val="50"/>
        <cfvo type="max"/>
        <color rgb="FF5A8AC6"/>
        <color rgb="FFFCFCFF"/>
        <color rgb="FFF8696B"/>
      </colorScale>
    </cfRule>
    <cfRule type="colorScale" priority="9564">
      <colorScale>
        <cfvo type="formula" val="&quot;&gt;20&quot;"/>
        <cfvo type="formula" val="35"/>
        <color rgb="FFF8696B"/>
        <color rgb="FFFCFCFF"/>
      </colorScale>
    </cfRule>
    <cfRule type="colorScale" priority="9565">
      <colorScale>
        <cfvo type="min"/>
        <cfvo type="max"/>
        <color rgb="FFFFEF9C"/>
        <color rgb="FF63BE7B"/>
      </colorScale>
    </cfRule>
  </conditionalFormatting>
  <conditionalFormatting sqref="S1566:S1582">
    <cfRule type="containsText" dxfId="4718" priority="9557" operator="containsText" text="Short Buildup">
      <formula>NOT(ISERROR(SEARCH("Short Buildup",S1566)))</formula>
    </cfRule>
    <cfRule type="containsText" dxfId="4717" priority="9558" operator="containsText" text="Long Liquidation">
      <formula>NOT(ISERROR(SEARCH("Long Liquidation",S1566)))</formula>
    </cfRule>
    <cfRule type="containsText" dxfId="4716" priority="9559" operator="containsText" text="Short covering">
      <formula>NOT(ISERROR(SEARCH("Short covering",S1566)))</formula>
    </cfRule>
    <cfRule type="containsText" dxfId="4715" priority="9560" operator="containsText" text="Long Buildup">
      <formula>NOT(ISERROR(SEARCH("Long Buildup",S1566)))</formula>
    </cfRule>
  </conditionalFormatting>
  <conditionalFormatting sqref="F1566:F1581">
    <cfRule type="dataBar" priority="9556">
      <dataBar>
        <cfvo type="min"/>
        <cfvo type="max"/>
        <color rgb="FFFF555A"/>
      </dataBar>
    </cfRule>
  </conditionalFormatting>
  <conditionalFormatting sqref="G1566:G1581">
    <cfRule type="dataBar" priority="9555">
      <dataBar>
        <cfvo type="min"/>
        <cfvo type="max"/>
        <color rgb="FFFF555A"/>
      </dataBar>
    </cfRule>
  </conditionalFormatting>
  <conditionalFormatting sqref="H1566">
    <cfRule type="dataBar" priority="9554">
      <dataBar>
        <cfvo type="min"/>
        <cfvo type="max"/>
        <color rgb="FFFF555A"/>
      </dataBar>
    </cfRule>
  </conditionalFormatting>
  <conditionalFormatting sqref="I1566">
    <cfRule type="dataBar" priority="9553">
      <dataBar>
        <cfvo type="min"/>
        <cfvo type="max"/>
        <color rgb="FFFF555A"/>
      </dataBar>
    </cfRule>
  </conditionalFormatting>
  <conditionalFormatting sqref="J1566">
    <cfRule type="dataBar" priority="9552">
      <dataBar>
        <cfvo type="min"/>
        <cfvo type="max"/>
        <color rgb="FFFF555A"/>
      </dataBar>
    </cfRule>
  </conditionalFormatting>
  <conditionalFormatting sqref="E1567:E1581">
    <cfRule type="dataBar" priority="9551">
      <dataBar>
        <cfvo type="min"/>
        <cfvo type="max"/>
        <color rgb="FFFF555A"/>
      </dataBar>
    </cfRule>
  </conditionalFormatting>
  <conditionalFormatting sqref="H1567:H1581">
    <cfRule type="dataBar" priority="9550">
      <dataBar>
        <cfvo type="min"/>
        <cfvo type="max"/>
        <color rgb="FFFF555A"/>
      </dataBar>
    </cfRule>
  </conditionalFormatting>
  <conditionalFormatting sqref="I1567:I1581">
    <cfRule type="dataBar" priority="9549">
      <dataBar>
        <cfvo type="min"/>
        <cfvo type="max"/>
        <color rgb="FFFF555A"/>
      </dataBar>
    </cfRule>
  </conditionalFormatting>
  <conditionalFormatting sqref="J1567:J1581">
    <cfRule type="dataBar" priority="9548">
      <dataBar>
        <cfvo type="min"/>
        <cfvo type="max"/>
        <color rgb="FFFF555A"/>
      </dataBar>
    </cfRule>
  </conditionalFormatting>
  <conditionalFormatting sqref="L1566:L1581">
    <cfRule type="dataBar" priority="9547">
      <dataBar>
        <cfvo type="min"/>
        <cfvo type="max"/>
        <color rgb="FFFF555A"/>
      </dataBar>
    </cfRule>
  </conditionalFormatting>
  <conditionalFormatting sqref="M1566:M1581">
    <cfRule type="dataBar" priority="9546">
      <dataBar>
        <cfvo type="min"/>
        <cfvo type="max"/>
        <color rgb="FFFF555A"/>
      </dataBar>
    </cfRule>
  </conditionalFormatting>
  <conditionalFormatting sqref="N1566:N1581">
    <cfRule type="dataBar" priority="9545">
      <dataBar>
        <cfvo type="min"/>
        <cfvo type="max"/>
        <color rgb="FFFF555A"/>
      </dataBar>
    </cfRule>
  </conditionalFormatting>
  <conditionalFormatting sqref="Q1566:Q1581">
    <cfRule type="dataBar" priority="9544">
      <dataBar>
        <cfvo type="min"/>
        <cfvo type="max"/>
        <color rgb="FFFF555A"/>
      </dataBar>
    </cfRule>
  </conditionalFormatting>
  <conditionalFormatting sqref="O1566:O1581">
    <cfRule type="dataBar" priority="9543">
      <dataBar>
        <cfvo type="min"/>
        <cfvo type="max"/>
        <color rgb="FFFF555A"/>
      </dataBar>
    </cfRule>
  </conditionalFormatting>
  <conditionalFormatting sqref="P1566:P1581">
    <cfRule type="dataBar" priority="9542">
      <dataBar>
        <cfvo type="min"/>
        <cfvo type="max"/>
        <color rgb="FFFF555A"/>
      </dataBar>
    </cfRule>
  </conditionalFormatting>
  <conditionalFormatting sqref="R1583:R1599 D1583:D1598 C1599">
    <cfRule type="containsText" dxfId="4714" priority="9541" operator="containsText" text="DOWN">
      <formula>NOT(ISERROR(SEARCH("DOWN",C1583)))</formula>
    </cfRule>
  </conditionalFormatting>
  <conditionalFormatting sqref="R1583:R1599 D1583:D1598 C1599">
    <cfRule type="containsText" dxfId="4713" priority="9540" operator="containsText" text="UP">
      <formula>NOT(ISERROR(SEARCH("UP",C1583)))</formula>
    </cfRule>
  </conditionalFormatting>
  <conditionalFormatting sqref="I1599">
    <cfRule type="colorScale" priority="9539">
      <colorScale>
        <cfvo type="min"/>
        <cfvo type="max"/>
        <color rgb="FFFFEF9C"/>
        <color rgb="FF63BE7B"/>
      </colorScale>
    </cfRule>
  </conditionalFormatting>
  <conditionalFormatting sqref="M1599">
    <cfRule type="colorScale" priority="9538">
      <colorScale>
        <cfvo type="min"/>
        <cfvo type="max"/>
        <color rgb="FFFF7128"/>
        <color rgb="FFFFEF9C"/>
      </colorScale>
    </cfRule>
  </conditionalFormatting>
  <conditionalFormatting sqref="Q1599">
    <cfRule type="dataBar" priority="9537">
      <dataBar>
        <cfvo type="min"/>
        <cfvo type="max"/>
        <color rgb="FFFF555A"/>
      </dataBar>
    </cfRule>
  </conditionalFormatting>
  <conditionalFormatting sqref="E1583:E1599">
    <cfRule type="dataBar" priority="9536">
      <dataBar>
        <cfvo type="min"/>
        <cfvo type="max"/>
        <color rgb="FFFF555A"/>
      </dataBar>
    </cfRule>
  </conditionalFormatting>
  <conditionalFormatting sqref="F1599">
    <cfRule type="top10" dxfId="4712" priority="9535" rank="1"/>
  </conditionalFormatting>
  <conditionalFormatting sqref="G1599 P1599">
    <cfRule type="cellIs" dxfId="4711" priority="9534" operator="equal">
      <formula>$G$135</formula>
    </cfRule>
  </conditionalFormatting>
  <conditionalFormatting sqref="P1599">
    <cfRule type="cellIs" dxfId="4710" priority="9533" operator="equal">
      <formula>$J$135</formula>
    </cfRule>
  </conditionalFormatting>
  <conditionalFormatting sqref="G1599 P1599">
    <cfRule type="cellIs" dxfId="4709" priority="9532" operator="equal">
      <formula>#REF!</formula>
    </cfRule>
  </conditionalFormatting>
  <conditionalFormatting sqref="G1599">
    <cfRule type="top10" dxfId="4708" priority="9530" rank="1"/>
    <cfRule type="cellIs" dxfId="4707" priority="9531" operator="equal">
      <formula>$G$133</formula>
    </cfRule>
  </conditionalFormatting>
  <conditionalFormatting sqref="P1599">
    <cfRule type="top10" dxfId="4706" priority="9528" rank="1"/>
    <cfRule type="cellIs" dxfId="4705" priority="9529" operator="equal">
      <formula>$G$133</formula>
    </cfRule>
  </conditionalFormatting>
  <conditionalFormatting sqref="C1583:C1598">
    <cfRule type="containsText" dxfId="4704" priority="9524" operator="containsText" text="Short Buildup">
      <formula>NOT(ISERROR(SEARCH("Short Buildup",C1583)))</formula>
    </cfRule>
    <cfRule type="containsText" dxfId="4703" priority="9525" operator="containsText" text="Long Liquidation">
      <formula>NOT(ISERROR(SEARCH("Long Liquidation",C1583)))</formula>
    </cfRule>
    <cfRule type="containsText" dxfId="4702" priority="9526" operator="containsText" text="Short covering">
      <formula>NOT(ISERROR(SEARCH("Short covering",C1583)))</formula>
    </cfRule>
    <cfRule type="containsText" dxfId="4701" priority="9527" operator="containsText" text="Long Buildup">
      <formula>NOT(ISERROR(SEARCH("Long Buildup",C1583)))</formula>
    </cfRule>
  </conditionalFormatting>
  <conditionalFormatting sqref="H1599">
    <cfRule type="colorScale" priority="9519">
      <colorScale>
        <cfvo type="min"/>
        <cfvo type="percentile" val="20"/>
        <cfvo type="max"/>
        <color rgb="FF92D050"/>
        <color theme="5" tint="0.79998168889431442"/>
        <color rgb="FFFF0000"/>
      </colorScale>
    </cfRule>
    <cfRule type="colorScale" priority="9520">
      <colorScale>
        <cfvo type="min"/>
        <cfvo type="max"/>
        <color rgb="FFFF0000"/>
        <color rgb="FF92D050"/>
      </colorScale>
    </cfRule>
    <cfRule type="colorScale" priority="9521">
      <colorScale>
        <cfvo type="min"/>
        <cfvo type="percentile" val="50"/>
        <cfvo type="max"/>
        <color rgb="FF5A8AC6"/>
        <color rgb="FFFCFCFF"/>
        <color rgb="FFF8696B"/>
      </colorScale>
    </cfRule>
    <cfRule type="colorScale" priority="9522">
      <colorScale>
        <cfvo type="formula" val="&quot;&gt;20&quot;"/>
        <cfvo type="formula" val="35"/>
        <color rgb="FFF8696B"/>
        <color rgb="FFFCFCFF"/>
      </colorScale>
    </cfRule>
    <cfRule type="colorScale" priority="9523">
      <colorScale>
        <cfvo type="min"/>
        <cfvo type="max"/>
        <color rgb="FFFFEF9C"/>
        <color rgb="FF63BE7B"/>
      </colorScale>
    </cfRule>
  </conditionalFormatting>
  <conditionalFormatting sqref="N1599">
    <cfRule type="colorScale" priority="9514">
      <colorScale>
        <cfvo type="min"/>
        <cfvo type="percentile" val="20"/>
        <cfvo type="max"/>
        <color rgb="FF92D050"/>
        <color theme="5" tint="0.79998168889431442"/>
        <color rgb="FFFF0000"/>
      </colorScale>
    </cfRule>
    <cfRule type="colorScale" priority="9515">
      <colorScale>
        <cfvo type="min"/>
        <cfvo type="max"/>
        <color rgb="FFFF0000"/>
        <color rgb="FF92D050"/>
      </colorScale>
    </cfRule>
    <cfRule type="colorScale" priority="9516">
      <colorScale>
        <cfvo type="min"/>
        <cfvo type="percentile" val="50"/>
        <cfvo type="max"/>
        <color rgb="FF5A8AC6"/>
        <color rgb="FFFCFCFF"/>
        <color rgb="FFF8696B"/>
      </colorScale>
    </cfRule>
    <cfRule type="colorScale" priority="9517">
      <colorScale>
        <cfvo type="formula" val="&quot;&gt;20&quot;"/>
        <cfvo type="formula" val="35"/>
        <color rgb="FFF8696B"/>
        <color rgb="FFFCFCFF"/>
      </colorScale>
    </cfRule>
    <cfRule type="colorScale" priority="9518">
      <colorScale>
        <cfvo type="min"/>
        <cfvo type="max"/>
        <color rgb="FFFFEF9C"/>
        <color rgb="FF63BE7B"/>
      </colorScale>
    </cfRule>
  </conditionalFormatting>
  <conditionalFormatting sqref="S1583:S1599">
    <cfRule type="containsText" dxfId="4700" priority="9510" operator="containsText" text="Short Buildup">
      <formula>NOT(ISERROR(SEARCH("Short Buildup",S1583)))</formula>
    </cfRule>
    <cfRule type="containsText" dxfId="4699" priority="9511" operator="containsText" text="Long Liquidation">
      <formula>NOT(ISERROR(SEARCH("Long Liquidation",S1583)))</formula>
    </cfRule>
    <cfRule type="containsText" dxfId="4698" priority="9512" operator="containsText" text="Short covering">
      <formula>NOT(ISERROR(SEARCH("Short covering",S1583)))</formula>
    </cfRule>
    <cfRule type="containsText" dxfId="4697" priority="9513" operator="containsText" text="Long Buildup">
      <formula>NOT(ISERROR(SEARCH("Long Buildup",S1583)))</formula>
    </cfRule>
  </conditionalFormatting>
  <conditionalFormatting sqref="F1583:F1598">
    <cfRule type="dataBar" priority="9509">
      <dataBar>
        <cfvo type="min"/>
        <cfvo type="max"/>
        <color rgb="FFFF555A"/>
      </dataBar>
    </cfRule>
  </conditionalFormatting>
  <conditionalFormatting sqref="G1583:G1598">
    <cfRule type="dataBar" priority="9508">
      <dataBar>
        <cfvo type="min"/>
        <cfvo type="max"/>
        <color rgb="FFFF555A"/>
      </dataBar>
    </cfRule>
  </conditionalFormatting>
  <conditionalFormatting sqref="H1583">
    <cfRule type="dataBar" priority="9507">
      <dataBar>
        <cfvo type="min"/>
        <cfvo type="max"/>
        <color rgb="FFFF555A"/>
      </dataBar>
    </cfRule>
  </conditionalFormatting>
  <conditionalFormatting sqref="I1583">
    <cfRule type="dataBar" priority="9506">
      <dataBar>
        <cfvo type="min"/>
        <cfvo type="max"/>
        <color rgb="FFFF555A"/>
      </dataBar>
    </cfRule>
  </conditionalFormatting>
  <conditionalFormatting sqref="J1583">
    <cfRule type="dataBar" priority="9505">
      <dataBar>
        <cfvo type="min"/>
        <cfvo type="max"/>
        <color rgb="FFFF555A"/>
      </dataBar>
    </cfRule>
  </conditionalFormatting>
  <conditionalFormatting sqref="E1584:E1598">
    <cfRule type="dataBar" priority="9504">
      <dataBar>
        <cfvo type="min"/>
        <cfvo type="max"/>
        <color rgb="FFFF555A"/>
      </dataBar>
    </cfRule>
  </conditionalFormatting>
  <conditionalFormatting sqref="H1584:H1598">
    <cfRule type="dataBar" priority="9503">
      <dataBar>
        <cfvo type="min"/>
        <cfvo type="max"/>
        <color rgb="FFFF555A"/>
      </dataBar>
    </cfRule>
  </conditionalFormatting>
  <conditionalFormatting sqref="I1584:I1598">
    <cfRule type="dataBar" priority="9502">
      <dataBar>
        <cfvo type="min"/>
        <cfvo type="max"/>
        <color rgb="FFFF555A"/>
      </dataBar>
    </cfRule>
  </conditionalFormatting>
  <conditionalFormatting sqref="J1584:J1598">
    <cfRule type="dataBar" priority="9501">
      <dataBar>
        <cfvo type="min"/>
        <cfvo type="max"/>
        <color rgb="FFFF555A"/>
      </dataBar>
    </cfRule>
  </conditionalFormatting>
  <conditionalFormatting sqref="L1583:L1598">
    <cfRule type="dataBar" priority="9500">
      <dataBar>
        <cfvo type="min"/>
        <cfvo type="max"/>
        <color rgb="FFFF555A"/>
      </dataBar>
    </cfRule>
  </conditionalFormatting>
  <conditionalFormatting sqref="M1583:M1598">
    <cfRule type="dataBar" priority="9499">
      <dataBar>
        <cfvo type="min"/>
        <cfvo type="max"/>
        <color rgb="FFFF555A"/>
      </dataBar>
    </cfRule>
  </conditionalFormatting>
  <conditionalFormatting sqref="N1583:N1598">
    <cfRule type="dataBar" priority="9498">
      <dataBar>
        <cfvo type="min"/>
        <cfvo type="max"/>
        <color rgb="FFFF555A"/>
      </dataBar>
    </cfRule>
  </conditionalFormatting>
  <conditionalFormatting sqref="Q1583:Q1598">
    <cfRule type="dataBar" priority="9497">
      <dataBar>
        <cfvo type="min"/>
        <cfvo type="max"/>
        <color rgb="FFFF555A"/>
      </dataBar>
    </cfRule>
  </conditionalFormatting>
  <conditionalFormatting sqref="O1583:O1598">
    <cfRule type="dataBar" priority="9496">
      <dataBar>
        <cfvo type="min"/>
        <cfvo type="max"/>
        <color rgb="FFFF555A"/>
      </dataBar>
    </cfRule>
  </conditionalFormatting>
  <conditionalFormatting sqref="P1583:P1598">
    <cfRule type="dataBar" priority="9495">
      <dataBar>
        <cfvo type="min"/>
        <cfvo type="max"/>
        <color rgb="FFFF555A"/>
      </dataBar>
    </cfRule>
  </conditionalFormatting>
  <conditionalFormatting sqref="R1600:R1616 D1600:D1615 C1616">
    <cfRule type="containsText" dxfId="4696" priority="9494" operator="containsText" text="DOWN">
      <formula>NOT(ISERROR(SEARCH("DOWN",C1600)))</formula>
    </cfRule>
  </conditionalFormatting>
  <conditionalFormatting sqref="R1600:R1616 D1600:D1615 C1616">
    <cfRule type="containsText" dxfId="4695" priority="9493" operator="containsText" text="UP">
      <formula>NOT(ISERROR(SEARCH("UP",C1600)))</formula>
    </cfRule>
  </conditionalFormatting>
  <conditionalFormatting sqref="I1616">
    <cfRule type="colorScale" priority="9492">
      <colorScale>
        <cfvo type="min"/>
        <cfvo type="max"/>
        <color rgb="FFFFEF9C"/>
        <color rgb="FF63BE7B"/>
      </colorScale>
    </cfRule>
  </conditionalFormatting>
  <conditionalFormatting sqref="M1616">
    <cfRule type="colorScale" priority="9491">
      <colorScale>
        <cfvo type="min"/>
        <cfvo type="max"/>
        <color rgb="FFFF7128"/>
        <color rgb="FFFFEF9C"/>
      </colorScale>
    </cfRule>
  </conditionalFormatting>
  <conditionalFormatting sqref="Q1616">
    <cfRule type="dataBar" priority="9490">
      <dataBar>
        <cfvo type="min"/>
        <cfvo type="max"/>
        <color rgb="FFFF555A"/>
      </dataBar>
    </cfRule>
  </conditionalFormatting>
  <conditionalFormatting sqref="E1600:E1616">
    <cfRule type="dataBar" priority="9489">
      <dataBar>
        <cfvo type="min"/>
        <cfvo type="max"/>
        <color rgb="FFFF555A"/>
      </dataBar>
    </cfRule>
  </conditionalFormatting>
  <conditionalFormatting sqref="F1616">
    <cfRule type="top10" dxfId="4694" priority="9488" rank="1"/>
  </conditionalFormatting>
  <conditionalFormatting sqref="G1616 P1616">
    <cfRule type="cellIs" dxfId="4693" priority="9487" operator="equal">
      <formula>$G$135</formula>
    </cfRule>
  </conditionalFormatting>
  <conditionalFormatting sqref="P1616">
    <cfRule type="cellIs" dxfId="4692" priority="9486" operator="equal">
      <formula>$J$135</formula>
    </cfRule>
  </conditionalFormatting>
  <conditionalFormatting sqref="G1616 P1616">
    <cfRule type="cellIs" dxfId="4691" priority="9485" operator="equal">
      <formula>#REF!</formula>
    </cfRule>
  </conditionalFormatting>
  <conditionalFormatting sqref="G1616">
    <cfRule type="top10" dxfId="4690" priority="9483" rank="1"/>
    <cfRule type="cellIs" dxfId="4689" priority="9484" operator="equal">
      <formula>$G$133</formula>
    </cfRule>
  </conditionalFormatting>
  <conditionalFormatting sqref="P1616">
    <cfRule type="top10" dxfId="4688" priority="9481" rank="1"/>
    <cfRule type="cellIs" dxfId="4687" priority="9482" operator="equal">
      <formula>$G$133</formula>
    </cfRule>
  </conditionalFormatting>
  <conditionalFormatting sqref="C1600:C1615">
    <cfRule type="containsText" dxfId="4686" priority="9477" operator="containsText" text="Short Buildup">
      <formula>NOT(ISERROR(SEARCH("Short Buildup",C1600)))</formula>
    </cfRule>
    <cfRule type="containsText" dxfId="4685" priority="9478" operator="containsText" text="Long Liquidation">
      <formula>NOT(ISERROR(SEARCH("Long Liquidation",C1600)))</formula>
    </cfRule>
    <cfRule type="containsText" dxfId="4684" priority="9479" operator="containsText" text="Short covering">
      <formula>NOT(ISERROR(SEARCH("Short covering",C1600)))</formula>
    </cfRule>
    <cfRule type="containsText" dxfId="4683" priority="9480" operator="containsText" text="Long Buildup">
      <formula>NOT(ISERROR(SEARCH("Long Buildup",C1600)))</formula>
    </cfRule>
  </conditionalFormatting>
  <conditionalFormatting sqref="H1616">
    <cfRule type="colorScale" priority="9472">
      <colorScale>
        <cfvo type="min"/>
        <cfvo type="percentile" val="20"/>
        <cfvo type="max"/>
        <color rgb="FF92D050"/>
        <color theme="5" tint="0.79998168889431442"/>
        <color rgb="FFFF0000"/>
      </colorScale>
    </cfRule>
    <cfRule type="colorScale" priority="9473">
      <colorScale>
        <cfvo type="min"/>
        <cfvo type="max"/>
        <color rgb="FFFF0000"/>
        <color rgb="FF92D050"/>
      </colorScale>
    </cfRule>
    <cfRule type="colorScale" priority="9474">
      <colorScale>
        <cfvo type="min"/>
        <cfvo type="percentile" val="50"/>
        <cfvo type="max"/>
        <color rgb="FF5A8AC6"/>
        <color rgb="FFFCFCFF"/>
        <color rgb="FFF8696B"/>
      </colorScale>
    </cfRule>
    <cfRule type="colorScale" priority="9475">
      <colorScale>
        <cfvo type="formula" val="&quot;&gt;20&quot;"/>
        <cfvo type="formula" val="35"/>
        <color rgb="FFF8696B"/>
        <color rgb="FFFCFCFF"/>
      </colorScale>
    </cfRule>
    <cfRule type="colorScale" priority="9476">
      <colorScale>
        <cfvo type="min"/>
        <cfvo type="max"/>
        <color rgb="FFFFEF9C"/>
        <color rgb="FF63BE7B"/>
      </colorScale>
    </cfRule>
  </conditionalFormatting>
  <conditionalFormatting sqref="N1616">
    <cfRule type="colorScale" priority="9467">
      <colorScale>
        <cfvo type="min"/>
        <cfvo type="percentile" val="20"/>
        <cfvo type="max"/>
        <color rgb="FF92D050"/>
        <color theme="5" tint="0.79998168889431442"/>
        <color rgb="FFFF0000"/>
      </colorScale>
    </cfRule>
    <cfRule type="colorScale" priority="9468">
      <colorScale>
        <cfvo type="min"/>
        <cfvo type="max"/>
        <color rgb="FFFF0000"/>
        <color rgb="FF92D050"/>
      </colorScale>
    </cfRule>
    <cfRule type="colorScale" priority="9469">
      <colorScale>
        <cfvo type="min"/>
        <cfvo type="percentile" val="50"/>
        <cfvo type="max"/>
        <color rgb="FF5A8AC6"/>
        <color rgb="FFFCFCFF"/>
        <color rgb="FFF8696B"/>
      </colorScale>
    </cfRule>
    <cfRule type="colorScale" priority="9470">
      <colorScale>
        <cfvo type="formula" val="&quot;&gt;20&quot;"/>
        <cfvo type="formula" val="35"/>
        <color rgb="FFF8696B"/>
        <color rgb="FFFCFCFF"/>
      </colorScale>
    </cfRule>
    <cfRule type="colorScale" priority="9471">
      <colorScale>
        <cfvo type="min"/>
        <cfvo type="max"/>
        <color rgb="FFFFEF9C"/>
        <color rgb="FF63BE7B"/>
      </colorScale>
    </cfRule>
  </conditionalFormatting>
  <conditionalFormatting sqref="S1600:S1616">
    <cfRule type="containsText" dxfId="4682" priority="9463" operator="containsText" text="Short Buildup">
      <formula>NOT(ISERROR(SEARCH("Short Buildup",S1600)))</formula>
    </cfRule>
    <cfRule type="containsText" dxfId="4681" priority="9464" operator="containsText" text="Long Liquidation">
      <formula>NOT(ISERROR(SEARCH("Long Liquidation",S1600)))</formula>
    </cfRule>
    <cfRule type="containsText" dxfId="4680" priority="9465" operator="containsText" text="Short covering">
      <formula>NOT(ISERROR(SEARCH("Short covering",S1600)))</formula>
    </cfRule>
    <cfRule type="containsText" dxfId="4679" priority="9466" operator="containsText" text="Long Buildup">
      <formula>NOT(ISERROR(SEARCH("Long Buildup",S1600)))</formula>
    </cfRule>
  </conditionalFormatting>
  <conditionalFormatting sqref="F1600:F1615">
    <cfRule type="dataBar" priority="9462">
      <dataBar>
        <cfvo type="min"/>
        <cfvo type="max"/>
        <color rgb="FFFF555A"/>
      </dataBar>
    </cfRule>
  </conditionalFormatting>
  <conditionalFormatting sqref="G1600:G1615">
    <cfRule type="dataBar" priority="9461">
      <dataBar>
        <cfvo type="min"/>
        <cfvo type="max"/>
        <color rgb="FFFF555A"/>
      </dataBar>
    </cfRule>
  </conditionalFormatting>
  <conditionalFormatting sqref="H1600">
    <cfRule type="dataBar" priority="9460">
      <dataBar>
        <cfvo type="min"/>
        <cfvo type="max"/>
        <color rgb="FFFF555A"/>
      </dataBar>
    </cfRule>
  </conditionalFormatting>
  <conditionalFormatting sqref="I1600">
    <cfRule type="dataBar" priority="9459">
      <dataBar>
        <cfvo type="min"/>
        <cfvo type="max"/>
        <color rgb="FFFF555A"/>
      </dataBar>
    </cfRule>
  </conditionalFormatting>
  <conditionalFormatting sqref="J1600">
    <cfRule type="dataBar" priority="9458">
      <dataBar>
        <cfvo type="min"/>
        <cfvo type="max"/>
        <color rgb="FFFF555A"/>
      </dataBar>
    </cfRule>
  </conditionalFormatting>
  <conditionalFormatting sqref="E1601:E1615">
    <cfRule type="dataBar" priority="9457">
      <dataBar>
        <cfvo type="min"/>
        <cfvo type="max"/>
        <color rgb="FFFF555A"/>
      </dataBar>
    </cfRule>
  </conditionalFormatting>
  <conditionalFormatting sqref="H1601:H1615">
    <cfRule type="dataBar" priority="9456">
      <dataBar>
        <cfvo type="min"/>
        <cfvo type="max"/>
        <color rgb="FFFF555A"/>
      </dataBar>
    </cfRule>
  </conditionalFormatting>
  <conditionalFormatting sqref="I1601:I1615">
    <cfRule type="dataBar" priority="9455">
      <dataBar>
        <cfvo type="min"/>
        <cfvo type="max"/>
        <color rgb="FFFF555A"/>
      </dataBar>
    </cfRule>
  </conditionalFormatting>
  <conditionalFormatting sqref="J1601:J1615">
    <cfRule type="dataBar" priority="9454">
      <dataBar>
        <cfvo type="min"/>
        <cfvo type="max"/>
        <color rgb="FFFF555A"/>
      </dataBar>
    </cfRule>
  </conditionalFormatting>
  <conditionalFormatting sqref="L1600:L1615">
    <cfRule type="dataBar" priority="9453">
      <dataBar>
        <cfvo type="min"/>
        <cfvo type="max"/>
        <color rgb="FFFF555A"/>
      </dataBar>
    </cfRule>
  </conditionalFormatting>
  <conditionalFormatting sqref="M1600:M1615">
    <cfRule type="dataBar" priority="9452">
      <dataBar>
        <cfvo type="min"/>
        <cfvo type="max"/>
        <color rgb="FFFF555A"/>
      </dataBar>
    </cfRule>
  </conditionalFormatting>
  <conditionalFormatting sqref="N1600:N1615">
    <cfRule type="dataBar" priority="9451">
      <dataBar>
        <cfvo type="min"/>
        <cfvo type="max"/>
        <color rgb="FFFF555A"/>
      </dataBar>
    </cfRule>
  </conditionalFormatting>
  <conditionalFormatting sqref="Q1600:Q1615">
    <cfRule type="dataBar" priority="9450">
      <dataBar>
        <cfvo type="min"/>
        <cfvo type="max"/>
        <color rgb="FFFF555A"/>
      </dataBar>
    </cfRule>
  </conditionalFormatting>
  <conditionalFormatting sqref="O1600:O1615">
    <cfRule type="dataBar" priority="9449">
      <dataBar>
        <cfvo type="min"/>
        <cfvo type="max"/>
        <color rgb="FFFF555A"/>
      </dataBar>
    </cfRule>
  </conditionalFormatting>
  <conditionalFormatting sqref="P1600:P1615">
    <cfRule type="dataBar" priority="9448">
      <dataBar>
        <cfvo type="min"/>
        <cfvo type="max"/>
        <color rgb="FFFF555A"/>
      </dataBar>
    </cfRule>
  </conditionalFormatting>
  <conditionalFormatting sqref="R1617:R1633 D1617:D1632 C1633">
    <cfRule type="containsText" dxfId="4678" priority="9447" operator="containsText" text="DOWN">
      <formula>NOT(ISERROR(SEARCH("DOWN",C1617)))</formula>
    </cfRule>
  </conditionalFormatting>
  <conditionalFormatting sqref="R1617:R1633 D1617:D1632 C1633">
    <cfRule type="containsText" dxfId="4677" priority="9446" operator="containsText" text="UP">
      <formula>NOT(ISERROR(SEARCH("UP",C1617)))</formula>
    </cfRule>
  </conditionalFormatting>
  <conditionalFormatting sqref="I1633">
    <cfRule type="colorScale" priority="9445">
      <colorScale>
        <cfvo type="min"/>
        <cfvo type="max"/>
        <color rgb="FFFFEF9C"/>
        <color rgb="FF63BE7B"/>
      </colorScale>
    </cfRule>
  </conditionalFormatting>
  <conditionalFormatting sqref="M1633">
    <cfRule type="colorScale" priority="9444">
      <colorScale>
        <cfvo type="min"/>
        <cfvo type="max"/>
        <color rgb="FFFF7128"/>
        <color rgb="FFFFEF9C"/>
      </colorScale>
    </cfRule>
  </conditionalFormatting>
  <conditionalFormatting sqref="Q1633">
    <cfRule type="dataBar" priority="9443">
      <dataBar>
        <cfvo type="min"/>
        <cfvo type="max"/>
        <color rgb="FFFF555A"/>
      </dataBar>
    </cfRule>
  </conditionalFormatting>
  <conditionalFormatting sqref="E1617:E1633">
    <cfRule type="dataBar" priority="9442">
      <dataBar>
        <cfvo type="min"/>
        <cfvo type="max"/>
        <color rgb="FFFF555A"/>
      </dataBar>
    </cfRule>
  </conditionalFormatting>
  <conditionalFormatting sqref="F1633">
    <cfRule type="top10" dxfId="4676" priority="9441" rank="1"/>
  </conditionalFormatting>
  <conditionalFormatting sqref="G1633 P1633">
    <cfRule type="cellIs" dxfId="4675" priority="9440" operator="equal">
      <formula>$G$135</formula>
    </cfRule>
  </conditionalFormatting>
  <conditionalFormatting sqref="P1633">
    <cfRule type="cellIs" dxfId="4674" priority="9439" operator="equal">
      <formula>$J$135</formula>
    </cfRule>
  </conditionalFormatting>
  <conditionalFormatting sqref="G1633 P1633">
    <cfRule type="cellIs" dxfId="4673" priority="9438" operator="equal">
      <formula>#REF!</formula>
    </cfRule>
  </conditionalFormatting>
  <conditionalFormatting sqref="G1633">
    <cfRule type="top10" dxfId="4672" priority="9436" rank="1"/>
    <cfRule type="cellIs" dxfId="4671" priority="9437" operator="equal">
      <formula>$G$133</formula>
    </cfRule>
  </conditionalFormatting>
  <conditionalFormatting sqref="P1633">
    <cfRule type="top10" dxfId="4670" priority="9434" rank="1"/>
    <cfRule type="cellIs" dxfId="4669" priority="9435" operator="equal">
      <formula>$G$133</formula>
    </cfRule>
  </conditionalFormatting>
  <conditionalFormatting sqref="C1617:C1632">
    <cfRule type="containsText" dxfId="4668" priority="9430" operator="containsText" text="Short Buildup">
      <formula>NOT(ISERROR(SEARCH("Short Buildup",C1617)))</formula>
    </cfRule>
    <cfRule type="containsText" dxfId="4667" priority="9431" operator="containsText" text="Long Liquidation">
      <formula>NOT(ISERROR(SEARCH("Long Liquidation",C1617)))</formula>
    </cfRule>
    <cfRule type="containsText" dxfId="4666" priority="9432" operator="containsText" text="Short covering">
      <formula>NOT(ISERROR(SEARCH("Short covering",C1617)))</formula>
    </cfRule>
    <cfRule type="containsText" dxfId="4665" priority="9433" operator="containsText" text="Long Buildup">
      <formula>NOT(ISERROR(SEARCH("Long Buildup",C1617)))</formula>
    </cfRule>
  </conditionalFormatting>
  <conditionalFormatting sqref="H1633">
    <cfRule type="colorScale" priority="9425">
      <colorScale>
        <cfvo type="min"/>
        <cfvo type="percentile" val="20"/>
        <cfvo type="max"/>
        <color rgb="FF92D050"/>
        <color theme="5" tint="0.79998168889431442"/>
        <color rgb="FFFF0000"/>
      </colorScale>
    </cfRule>
    <cfRule type="colorScale" priority="9426">
      <colorScale>
        <cfvo type="min"/>
        <cfvo type="max"/>
        <color rgb="FFFF0000"/>
        <color rgb="FF92D050"/>
      </colorScale>
    </cfRule>
    <cfRule type="colorScale" priority="9427">
      <colorScale>
        <cfvo type="min"/>
        <cfvo type="percentile" val="50"/>
        <cfvo type="max"/>
        <color rgb="FF5A8AC6"/>
        <color rgb="FFFCFCFF"/>
        <color rgb="FFF8696B"/>
      </colorScale>
    </cfRule>
    <cfRule type="colorScale" priority="9428">
      <colorScale>
        <cfvo type="formula" val="&quot;&gt;20&quot;"/>
        <cfvo type="formula" val="35"/>
        <color rgb="FFF8696B"/>
        <color rgb="FFFCFCFF"/>
      </colorScale>
    </cfRule>
    <cfRule type="colorScale" priority="9429">
      <colorScale>
        <cfvo type="min"/>
        <cfvo type="max"/>
        <color rgb="FFFFEF9C"/>
        <color rgb="FF63BE7B"/>
      </colorScale>
    </cfRule>
  </conditionalFormatting>
  <conditionalFormatting sqref="N1633">
    <cfRule type="colorScale" priority="9420">
      <colorScale>
        <cfvo type="min"/>
        <cfvo type="percentile" val="20"/>
        <cfvo type="max"/>
        <color rgb="FF92D050"/>
        <color theme="5" tint="0.79998168889431442"/>
        <color rgb="FFFF0000"/>
      </colorScale>
    </cfRule>
    <cfRule type="colorScale" priority="9421">
      <colorScale>
        <cfvo type="min"/>
        <cfvo type="max"/>
        <color rgb="FFFF0000"/>
        <color rgb="FF92D050"/>
      </colorScale>
    </cfRule>
    <cfRule type="colorScale" priority="9422">
      <colorScale>
        <cfvo type="min"/>
        <cfvo type="percentile" val="50"/>
        <cfvo type="max"/>
        <color rgb="FF5A8AC6"/>
        <color rgb="FFFCFCFF"/>
        <color rgb="FFF8696B"/>
      </colorScale>
    </cfRule>
    <cfRule type="colorScale" priority="9423">
      <colorScale>
        <cfvo type="formula" val="&quot;&gt;20&quot;"/>
        <cfvo type="formula" val="35"/>
        <color rgb="FFF8696B"/>
        <color rgb="FFFCFCFF"/>
      </colorScale>
    </cfRule>
    <cfRule type="colorScale" priority="9424">
      <colorScale>
        <cfvo type="min"/>
        <cfvo type="max"/>
        <color rgb="FFFFEF9C"/>
        <color rgb="FF63BE7B"/>
      </colorScale>
    </cfRule>
  </conditionalFormatting>
  <conditionalFormatting sqref="S1617:S1633">
    <cfRule type="containsText" dxfId="4664" priority="9416" operator="containsText" text="Short Buildup">
      <formula>NOT(ISERROR(SEARCH("Short Buildup",S1617)))</formula>
    </cfRule>
    <cfRule type="containsText" dxfId="4663" priority="9417" operator="containsText" text="Long Liquidation">
      <formula>NOT(ISERROR(SEARCH("Long Liquidation",S1617)))</formula>
    </cfRule>
    <cfRule type="containsText" dxfId="4662" priority="9418" operator="containsText" text="Short covering">
      <formula>NOT(ISERROR(SEARCH("Short covering",S1617)))</formula>
    </cfRule>
    <cfRule type="containsText" dxfId="4661" priority="9419" operator="containsText" text="Long Buildup">
      <formula>NOT(ISERROR(SEARCH("Long Buildup",S1617)))</formula>
    </cfRule>
  </conditionalFormatting>
  <conditionalFormatting sqref="F1617:F1632">
    <cfRule type="dataBar" priority="9415">
      <dataBar>
        <cfvo type="min"/>
        <cfvo type="max"/>
        <color rgb="FFFF555A"/>
      </dataBar>
    </cfRule>
  </conditionalFormatting>
  <conditionalFormatting sqref="G1617:G1632">
    <cfRule type="dataBar" priority="9414">
      <dataBar>
        <cfvo type="min"/>
        <cfvo type="max"/>
        <color rgb="FFFF555A"/>
      </dataBar>
    </cfRule>
  </conditionalFormatting>
  <conditionalFormatting sqref="H1617">
    <cfRule type="dataBar" priority="9413">
      <dataBar>
        <cfvo type="min"/>
        <cfvo type="max"/>
        <color rgb="FFFF555A"/>
      </dataBar>
    </cfRule>
  </conditionalFormatting>
  <conditionalFormatting sqref="I1617">
    <cfRule type="dataBar" priority="9412">
      <dataBar>
        <cfvo type="min"/>
        <cfvo type="max"/>
        <color rgb="FFFF555A"/>
      </dataBar>
    </cfRule>
  </conditionalFormatting>
  <conditionalFormatting sqref="J1617">
    <cfRule type="dataBar" priority="9411">
      <dataBar>
        <cfvo type="min"/>
        <cfvo type="max"/>
        <color rgb="FFFF555A"/>
      </dataBar>
    </cfRule>
  </conditionalFormatting>
  <conditionalFormatting sqref="E1618:E1632">
    <cfRule type="dataBar" priority="9410">
      <dataBar>
        <cfvo type="min"/>
        <cfvo type="max"/>
        <color rgb="FFFF555A"/>
      </dataBar>
    </cfRule>
  </conditionalFormatting>
  <conditionalFormatting sqref="H1618:H1632">
    <cfRule type="dataBar" priority="9409">
      <dataBar>
        <cfvo type="min"/>
        <cfvo type="max"/>
        <color rgb="FFFF555A"/>
      </dataBar>
    </cfRule>
  </conditionalFormatting>
  <conditionalFormatting sqref="I1618:I1632">
    <cfRule type="dataBar" priority="9408">
      <dataBar>
        <cfvo type="min"/>
        <cfvo type="max"/>
        <color rgb="FFFF555A"/>
      </dataBar>
    </cfRule>
  </conditionalFormatting>
  <conditionalFormatting sqref="J1618:J1632">
    <cfRule type="dataBar" priority="9407">
      <dataBar>
        <cfvo type="min"/>
        <cfvo type="max"/>
        <color rgb="FFFF555A"/>
      </dataBar>
    </cfRule>
  </conditionalFormatting>
  <conditionalFormatting sqref="L1617:L1632">
    <cfRule type="dataBar" priority="9406">
      <dataBar>
        <cfvo type="min"/>
        <cfvo type="max"/>
        <color rgb="FFFF555A"/>
      </dataBar>
    </cfRule>
  </conditionalFormatting>
  <conditionalFormatting sqref="M1617:M1632">
    <cfRule type="dataBar" priority="9405">
      <dataBar>
        <cfvo type="min"/>
        <cfvo type="max"/>
        <color rgb="FFFF555A"/>
      </dataBar>
    </cfRule>
  </conditionalFormatting>
  <conditionalFormatting sqref="N1617:N1632">
    <cfRule type="dataBar" priority="9404">
      <dataBar>
        <cfvo type="min"/>
        <cfvo type="max"/>
        <color rgb="FFFF555A"/>
      </dataBar>
    </cfRule>
  </conditionalFormatting>
  <conditionalFormatting sqref="Q1617:Q1632">
    <cfRule type="dataBar" priority="9403">
      <dataBar>
        <cfvo type="min"/>
        <cfvo type="max"/>
        <color rgb="FFFF555A"/>
      </dataBar>
    </cfRule>
  </conditionalFormatting>
  <conditionalFormatting sqref="O1617:O1632">
    <cfRule type="dataBar" priority="9402">
      <dataBar>
        <cfvo type="min"/>
        <cfvo type="max"/>
        <color rgb="FFFF555A"/>
      </dataBar>
    </cfRule>
  </conditionalFormatting>
  <conditionalFormatting sqref="P1617:P1632">
    <cfRule type="dataBar" priority="9401">
      <dataBar>
        <cfvo type="min"/>
        <cfvo type="max"/>
        <color rgb="FFFF555A"/>
      </dataBar>
    </cfRule>
  </conditionalFormatting>
  <conditionalFormatting sqref="R1634:R1650 D1634:D1649 C1650">
    <cfRule type="containsText" dxfId="4660" priority="9400" operator="containsText" text="DOWN">
      <formula>NOT(ISERROR(SEARCH("DOWN",C1634)))</formula>
    </cfRule>
  </conditionalFormatting>
  <conditionalFormatting sqref="R1634:R1650 D1634:D1649 C1650">
    <cfRule type="containsText" dxfId="4659" priority="9399" operator="containsText" text="UP">
      <formula>NOT(ISERROR(SEARCH("UP",C1634)))</formula>
    </cfRule>
  </conditionalFormatting>
  <conditionalFormatting sqref="I1650">
    <cfRule type="colorScale" priority="9398">
      <colorScale>
        <cfvo type="min"/>
        <cfvo type="max"/>
        <color rgb="FFFFEF9C"/>
        <color rgb="FF63BE7B"/>
      </colorScale>
    </cfRule>
  </conditionalFormatting>
  <conditionalFormatting sqref="M1650">
    <cfRule type="colorScale" priority="9397">
      <colorScale>
        <cfvo type="min"/>
        <cfvo type="max"/>
        <color rgb="FFFF7128"/>
        <color rgb="FFFFEF9C"/>
      </colorScale>
    </cfRule>
  </conditionalFormatting>
  <conditionalFormatting sqref="Q1650">
    <cfRule type="dataBar" priority="9396">
      <dataBar>
        <cfvo type="min"/>
        <cfvo type="max"/>
        <color rgb="FFFF555A"/>
      </dataBar>
    </cfRule>
  </conditionalFormatting>
  <conditionalFormatting sqref="E1634:E1650">
    <cfRule type="dataBar" priority="9395">
      <dataBar>
        <cfvo type="min"/>
        <cfvo type="max"/>
        <color rgb="FFFF555A"/>
      </dataBar>
    </cfRule>
  </conditionalFormatting>
  <conditionalFormatting sqref="F1650">
    <cfRule type="top10" dxfId="4658" priority="9394" rank="1"/>
  </conditionalFormatting>
  <conditionalFormatting sqref="G1650 P1650">
    <cfRule type="cellIs" dxfId="4657" priority="9393" operator="equal">
      <formula>$G$135</formula>
    </cfRule>
  </conditionalFormatting>
  <conditionalFormatting sqref="P1650">
    <cfRule type="cellIs" dxfId="4656" priority="9392" operator="equal">
      <formula>$J$135</formula>
    </cfRule>
  </conditionalFormatting>
  <conditionalFormatting sqref="G1650 P1650">
    <cfRule type="cellIs" dxfId="4655" priority="9391" operator="equal">
      <formula>#REF!</formula>
    </cfRule>
  </conditionalFormatting>
  <conditionalFormatting sqref="G1650">
    <cfRule type="top10" dxfId="4654" priority="9389" rank="1"/>
    <cfRule type="cellIs" dxfId="4653" priority="9390" operator="equal">
      <formula>$G$133</formula>
    </cfRule>
  </conditionalFormatting>
  <conditionalFormatting sqref="P1650">
    <cfRule type="top10" dxfId="4652" priority="9387" rank="1"/>
    <cfRule type="cellIs" dxfId="4651" priority="9388" operator="equal">
      <formula>$G$133</formula>
    </cfRule>
  </conditionalFormatting>
  <conditionalFormatting sqref="C1634:C1649">
    <cfRule type="containsText" dxfId="4650" priority="9383" operator="containsText" text="Short Buildup">
      <formula>NOT(ISERROR(SEARCH("Short Buildup",C1634)))</formula>
    </cfRule>
    <cfRule type="containsText" dxfId="4649" priority="9384" operator="containsText" text="Long Liquidation">
      <formula>NOT(ISERROR(SEARCH("Long Liquidation",C1634)))</formula>
    </cfRule>
    <cfRule type="containsText" dxfId="4648" priority="9385" operator="containsText" text="Short covering">
      <formula>NOT(ISERROR(SEARCH("Short covering",C1634)))</formula>
    </cfRule>
    <cfRule type="containsText" dxfId="4647" priority="9386" operator="containsText" text="Long Buildup">
      <formula>NOT(ISERROR(SEARCH("Long Buildup",C1634)))</formula>
    </cfRule>
  </conditionalFormatting>
  <conditionalFormatting sqref="H1650">
    <cfRule type="colorScale" priority="9378">
      <colorScale>
        <cfvo type="min"/>
        <cfvo type="percentile" val="20"/>
        <cfvo type="max"/>
        <color rgb="FF92D050"/>
        <color theme="5" tint="0.79998168889431442"/>
        <color rgb="FFFF0000"/>
      </colorScale>
    </cfRule>
    <cfRule type="colorScale" priority="9379">
      <colorScale>
        <cfvo type="min"/>
        <cfvo type="max"/>
        <color rgb="FFFF0000"/>
        <color rgb="FF92D050"/>
      </colorScale>
    </cfRule>
    <cfRule type="colorScale" priority="9380">
      <colorScale>
        <cfvo type="min"/>
        <cfvo type="percentile" val="50"/>
        <cfvo type="max"/>
        <color rgb="FF5A8AC6"/>
        <color rgb="FFFCFCFF"/>
        <color rgb="FFF8696B"/>
      </colorScale>
    </cfRule>
    <cfRule type="colorScale" priority="9381">
      <colorScale>
        <cfvo type="formula" val="&quot;&gt;20&quot;"/>
        <cfvo type="formula" val="35"/>
        <color rgb="FFF8696B"/>
        <color rgb="FFFCFCFF"/>
      </colorScale>
    </cfRule>
    <cfRule type="colorScale" priority="9382">
      <colorScale>
        <cfvo type="min"/>
        <cfvo type="max"/>
        <color rgb="FFFFEF9C"/>
        <color rgb="FF63BE7B"/>
      </colorScale>
    </cfRule>
  </conditionalFormatting>
  <conditionalFormatting sqref="N1650">
    <cfRule type="colorScale" priority="9373">
      <colorScale>
        <cfvo type="min"/>
        <cfvo type="percentile" val="20"/>
        <cfvo type="max"/>
        <color rgb="FF92D050"/>
        <color theme="5" tint="0.79998168889431442"/>
        <color rgb="FFFF0000"/>
      </colorScale>
    </cfRule>
    <cfRule type="colorScale" priority="9374">
      <colorScale>
        <cfvo type="min"/>
        <cfvo type="max"/>
        <color rgb="FFFF0000"/>
        <color rgb="FF92D050"/>
      </colorScale>
    </cfRule>
    <cfRule type="colorScale" priority="9375">
      <colorScale>
        <cfvo type="min"/>
        <cfvo type="percentile" val="50"/>
        <cfvo type="max"/>
        <color rgb="FF5A8AC6"/>
        <color rgb="FFFCFCFF"/>
        <color rgb="FFF8696B"/>
      </colorScale>
    </cfRule>
    <cfRule type="colorScale" priority="9376">
      <colorScale>
        <cfvo type="formula" val="&quot;&gt;20&quot;"/>
        <cfvo type="formula" val="35"/>
        <color rgb="FFF8696B"/>
        <color rgb="FFFCFCFF"/>
      </colorScale>
    </cfRule>
    <cfRule type="colorScale" priority="9377">
      <colorScale>
        <cfvo type="min"/>
        <cfvo type="max"/>
        <color rgb="FFFFEF9C"/>
        <color rgb="FF63BE7B"/>
      </colorScale>
    </cfRule>
  </conditionalFormatting>
  <conditionalFormatting sqref="S1634:S1650">
    <cfRule type="containsText" dxfId="4646" priority="9369" operator="containsText" text="Short Buildup">
      <formula>NOT(ISERROR(SEARCH("Short Buildup",S1634)))</formula>
    </cfRule>
    <cfRule type="containsText" dxfId="4645" priority="9370" operator="containsText" text="Long Liquidation">
      <formula>NOT(ISERROR(SEARCH("Long Liquidation",S1634)))</formula>
    </cfRule>
    <cfRule type="containsText" dxfId="4644" priority="9371" operator="containsText" text="Short covering">
      <formula>NOT(ISERROR(SEARCH("Short covering",S1634)))</formula>
    </cfRule>
    <cfRule type="containsText" dxfId="4643" priority="9372" operator="containsText" text="Long Buildup">
      <formula>NOT(ISERROR(SEARCH("Long Buildup",S1634)))</formula>
    </cfRule>
  </conditionalFormatting>
  <conditionalFormatting sqref="F1634:F1649">
    <cfRule type="dataBar" priority="9368">
      <dataBar>
        <cfvo type="min"/>
        <cfvo type="max"/>
        <color rgb="FFFF555A"/>
      </dataBar>
    </cfRule>
  </conditionalFormatting>
  <conditionalFormatting sqref="G1634:G1649">
    <cfRule type="dataBar" priority="9367">
      <dataBar>
        <cfvo type="min"/>
        <cfvo type="max"/>
        <color rgb="FFFF555A"/>
      </dataBar>
    </cfRule>
  </conditionalFormatting>
  <conditionalFormatting sqref="H1634">
    <cfRule type="dataBar" priority="9366">
      <dataBar>
        <cfvo type="min"/>
        <cfvo type="max"/>
        <color rgb="FFFF555A"/>
      </dataBar>
    </cfRule>
  </conditionalFormatting>
  <conditionalFormatting sqref="I1634">
    <cfRule type="dataBar" priority="9365">
      <dataBar>
        <cfvo type="min"/>
        <cfvo type="max"/>
        <color rgb="FFFF555A"/>
      </dataBar>
    </cfRule>
  </conditionalFormatting>
  <conditionalFormatting sqref="J1634">
    <cfRule type="dataBar" priority="9364">
      <dataBar>
        <cfvo type="min"/>
        <cfvo type="max"/>
        <color rgb="FFFF555A"/>
      </dataBar>
    </cfRule>
  </conditionalFormatting>
  <conditionalFormatting sqref="E1635:E1649">
    <cfRule type="dataBar" priority="9363">
      <dataBar>
        <cfvo type="min"/>
        <cfvo type="max"/>
        <color rgb="FFFF555A"/>
      </dataBar>
    </cfRule>
  </conditionalFormatting>
  <conditionalFormatting sqref="H1635:H1649">
    <cfRule type="dataBar" priority="9362">
      <dataBar>
        <cfvo type="min"/>
        <cfvo type="max"/>
        <color rgb="FFFF555A"/>
      </dataBar>
    </cfRule>
  </conditionalFormatting>
  <conditionalFormatting sqref="I1635:I1649">
    <cfRule type="dataBar" priority="9361">
      <dataBar>
        <cfvo type="min"/>
        <cfvo type="max"/>
        <color rgb="FFFF555A"/>
      </dataBar>
    </cfRule>
  </conditionalFormatting>
  <conditionalFormatting sqref="J1635:J1649">
    <cfRule type="dataBar" priority="9360">
      <dataBar>
        <cfvo type="min"/>
        <cfvo type="max"/>
        <color rgb="FFFF555A"/>
      </dataBar>
    </cfRule>
  </conditionalFormatting>
  <conditionalFormatting sqref="L1634:L1649">
    <cfRule type="dataBar" priority="9359">
      <dataBar>
        <cfvo type="min"/>
        <cfvo type="max"/>
        <color rgb="FFFF555A"/>
      </dataBar>
    </cfRule>
  </conditionalFormatting>
  <conditionalFormatting sqref="M1634:M1649">
    <cfRule type="dataBar" priority="9358">
      <dataBar>
        <cfvo type="min"/>
        <cfvo type="max"/>
        <color rgb="FFFF555A"/>
      </dataBar>
    </cfRule>
  </conditionalFormatting>
  <conditionalFormatting sqref="N1634:N1649">
    <cfRule type="dataBar" priority="9357">
      <dataBar>
        <cfvo type="min"/>
        <cfvo type="max"/>
        <color rgb="FFFF555A"/>
      </dataBar>
    </cfRule>
  </conditionalFormatting>
  <conditionalFormatting sqref="Q1634:Q1649">
    <cfRule type="dataBar" priority="9356">
      <dataBar>
        <cfvo type="min"/>
        <cfvo type="max"/>
        <color rgb="FFFF555A"/>
      </dataBar>
    </cfRule>
  </conditionalFormatting>
  <conditionalFormatting sqref="O1634:O1649">
    <cfRule type="dataBar" priority="9355">
      <dataBar>
        <cfvo type="min"/>
        <cfvo type="max"/>
        <color rgb="FFFF555A"/>
      </dataBar>
    </cfRule>
  </conditionalFormatting>
  <conditionalFormatting sqref="P1634:P1649">
    <cfRule type="dataBar" priority="9354">
      <dataBar>
        <cfvo type="min"/>
        <cfvo type="max"/>
        <color rgb="FFFF555A"/>
      </dataBar>
    </cfRule>
  </conditionalFormatting>
  <conditionalFormatting sqref="R1651:R1667 D1651:D1666 C1667">
    <cfRule type="containsText" dxfId="4642" priority="9353" operator="containsText" text="DOWN">
      <formula>NOT(ISERROR(SEARCH("DOWN",C1651)))</formula>
    </cfRule>
  </conditionalFormatting>
  <conditionalFormatting sqref="R1651:R1667 D1651:D1666 C1667">
    <cfRule type="containsText" dxfId="4641" priority="9352" operator="containsText" text="UP">
      <formula>NOT(ISERROR(SEARCH("UP",C1651)))</formula>
    </cfRule>
  </conditionalFormatting>
  <conditionalFormatting sqref="I1667">
    <cfRule type="colorScale" priority="9351">
      <colorScale>
        <cfvo type="min"/>
        <cfvo type="max"/>
        <color rgb="FFFFEF9C"/>
        <color rgb="FF63BE7B"/>
      </colorScale>
    </cfRule>
  </conditionalFormatting>
  <conditionalFormatting sqref="M1667">
    <cfRule type="colorScale" priority="9350">
      <colorScale>
        <cfvo type="min"/>
        <cfvo type="max"/>
        <color rgb="FFFF7128"/>
        <color rgb="FFFFEF9C"/>
      </colorScale>
    </cfRule>
  </conditionalFormatting>
  <conditionalFormatting sqref="Q1667">
    <cfRule type="dataBar" priority="9349">
      <dataBar>
        <cfvo type="min"/>
        <cfvo type="max"/>
        <color rgb="FFFF555A"/>
      </dataBar>
    </cfRule>
  </conditionalFormatting>
  <conditionalFormatting sqref="E1651:E1667">
    <cfRule type="dataBar" priority="9348">
      <dataBar>
        <cfvo type="min"/>
        <cfvo type="max"/>
        <color rgb="FFFF555A"/>
      </dataBar>
    </cfRule>
  </conditionalFormatting>
  <conditionalFormatting sqref="F1667">
    <cfRule type="top10" dxfId="4640" priority="9347" rank="1"/>
  </conditionalFormatting>
  <conditionalFormatting sqref="G1667 P1667">
    <cfRule type="cellIs" dxfId="4639" priority="9346" operator="equal">
      <formula>$G$135</formula>
    </cfRule>
  </conditionalFormatting>
  <conditionalFormatting sqref="P1667">
    <cfRule type="cellIs" dxfId="4638" priority="9345" operator="equal">
      <formula>$J$135</formula>
    </cfRule>
  </conditionalFormatting>
  <conditionalFormatting sqref="G1667 P1667">
    <cfRule type="cellIs" dxfId="4637" priority="9344" operator="equal">
      <formula>#REF!</formula>
    </cfRule>
  </conditionalFormatting>
  <conditionalFormatting sqref="G1667">
    <cfRule type="top10" dxfId="4636" priority="9342" rank="1"/>
    <cfRule type="cellIs" dxfId="4635" priority="9343" operator="equal">
      <formula>$G$133</formula>
    </cfRule>
  </conditionalFormatting>
  <conditionalFormatting sqref="P1667">
    <cfRule type="top10" dxfId="4634" priority="9340" rank="1"/>
    <cfRule type="cellIs" dxfId="4633" priority="9341" operator="equal">
      <formula>$G$133</formula>
    </cfRule>
  </conditionalFormatting>
  <conditionalFormatting sqref="C1651:C1666">
    <cfRule type="containsText" dxfId="4632" priority="9336" operator="containsText" text="Short Buildup">
      <formula>NOT(ISERROR(SEARCH("Short Buildup",C1651)))</formula>
    </cfRule>
    <cfRule type="containsText" dxfId="4631" priority="9337" operator="containsText" text="Long Liquidation">
      <formula>NOT(ISERROR(SEARCH("Long Liquidation",C1651)))</formula>
    </cfRule>
    <cfRule type="containsText" dxfId="4630" priority="9338" operator="containsText" text="Short covering">
      <formula>NOT(ISERROR(SEARCH("Short covering",C1651)))</formula>
    </cfRule>
    <cfRule type="containsText" dxfId="4629" priority="9339" operator="containsText" text="Long Buildup">
      <formula>NOT(ISERROR(SEARCH("Long Buildup",C1651)))</formula>
    </cfRule>
  </conditionalFormatting>
  <conditionalFormatting sqref="H1667">
    <cfRule type="colorScale" priority="9331">
      <colorScale>
        <cfvo type="min"/>
        <cfvo type="percentile" val="20"/>
        <cfvo type="max"/>
        <color rgb="FF92D050"/>
        <color theme="5" tint="0.79998168889431442"/>
        <color rgb="FFFF0000"/>
      </colorScale>
    </cfRule>
    <cfRule type="colorScale" priority="9332">
      <colorScale>
        <cfvo type="min"/>
        <cfvo type="max"/>
        <color rgb="FFFF0000"/>
        <color rgb="FF92D050"/>
      </colorScale>
    </cfRule>
    <cfRule type="colorScale" priority="9333">
      <colorScale>
        <cfvo type="min"/>
        <cfvo type="percentile" val="50"/>
        <cfvo type="max"/>
        <color rgb="FF5A8AC6"/>
        <color rgb="FFFCFCFF"/>
        <color rgb="FFF8696B"/>
      </colorScale>
    </cfRule>
    <cfRule type="colorScale" priority="9334">
      <colorScale>
        <cfvo type="formula" val="&quot;&gt;20&quot;"/>
        <cfvo type="formula" val="35"/>
        <color rgb="FFF8696B"/>
        <color rgb="FFFCFCFF"/>
      </colorScale>
    </cfRule>
    <cfRule type="colorScale" priority="9335">
      <colorScale>
        <cfvo type="min"/>
        <cfvo type="max"/>
        <color rgb="FFFFEF9C"/>
        <color rgb="FF63BE7B"/>
      </colorScale>
    </cfRule>
  </conditionalFormatting>
  <conditionalFormatting sqref="N1667">
    <cfRule type="colorScale" priority="9326">
      <colorScale>
        <cfvo type="min"/>
        <cfvo type="percentile" val="20"/>
        <cfvo type="max"/>
        <color rgb="FF92D050"/>
        <color theme="5" tint="0.79998168889431442"/>
        <color rgb="FFFF0000"/>
      </colorScale>
    </cfRule>
    <cfRule type="colorScale" priority="9327">
      <colorScale>
        <cfvo type="min"/>
        <cfvo type="max"/>
        <color rgb="FFFF0000"/>
        <color rgb="FF92D050"/>
      </colorScale>
    </cfRule>
    <cfRule type="colorScale" priority="9328">
      <colorScale>
        <cfvo type="min"/>
        <cfvo type="percentile" val="50"/>
        <cfvo type="max"/>
        <color rgb="FF5A8AC6"/>
        <color rgb="FFFCFCFF"/>
        <color rgb="FFF8696B"/>
      </colorScale>
    </cfRule>
    <cfRule type="colorScale" priority="9329">
      <colorScale>
        <cfvo type="formula" val="&quot;&gt;20&quot;"/>
        <cfvo type="formula" val="35"/>
        <color rgb="FFF8696B"/>
        <color rgb="FFFCFCFF"/>
      </colorScale>
    </cfRule>
    <cfRule type="colorScale" priority="9330">
      <colorScale>
        <cfvo type="min"/>
        <cfvo type="max"/>
        <color rgb="FFFFEF9C"/>
        <color rgb="FF63BE7B"/>
      </colorScale>
    </cfRule>
  </conditionalFormatting>
  <conditionalFormatting sqref="S1651:S1667">
    <cfRule type="containsText" dxfId="4628" priority="9322" operator="containsText" text="Short Buildup">
      <formula>NOT(ISERROR(SEARCH("Short Buildup",S1651)))</formula>
    </cfRule>
    <cfRule type="containsText" dxfId="4627" priority="9323" operator="containsText" text="Long Liquidation">
      <formula>NOT(ISERROR(SEARCH("Long Liquidation",S1651)))</formula>
    </cfRule>
    <cfRule type="containsText" dxfId="4626" priority="9324" operator="containsText" text="Short covering">
      <formula>NOT(ISERROR(SEARCH("Short covering",S1651)))</formula>
    </cfRule>
    <cfRule type="containsText" dxfId="4625" priority="9325" operator="containsText" text="Long Buildup">
      <formula>NOT(ISERROR(SEARCH("Long Buildup",S1651)))</formula>
    </cfRule>
  </conditionalFormatting>
  <conditionalFormatting sqref="F1651:F1666">
    <cfRule type="dataBar" priority="9321">
      <dataBar>
        <cfvo type="min"/>
        <cfvo type="max"/>
        <color rgb="FFFF555A"/>
      </dataBar>
    </cfRule>
  </conditionalFormatting>
  <conditionalFormatting sqref="G1651:G1666">
    <cfRule type="dataBar" priority="9320">
      <dataBar>
        <cfvo type="min"/>
        <cfvo type="max"/>
        <color rgb="FFFF555A"/>
      </dataBar>
    </cfRule>
  </conditionalFormatting>
  <conditionalFormatting sqref="H1651">
    <cfRule type="dataBar" priority="9319">
      <dataBar>
        <cfvo type="min"/>
        <cfvo type="max"/>
        <color rgb="FFFF555A"/>
      </dataBar>
    </cfRule>
  </conditionalFormatting>
  <conditionalFormatting sqref="I1651">
    <cfRule type="dataBar" priority="9318">
      <dataBar>
        <cfvo type="min"/>
        <cfvo type="max"/>
        <color rgb="FFFF555A"/>
      </dataBar>
    </cfRule>
  </conditionalFormatting>
  <conditionalFormatting sqref="J1651">
    <cfRule type="dataBar" priority="9317">
      <dataBar>
        <cfvo type="min"/>
        <cfvo type="max"/>
        <color rgb="FFFF555A"/>
      </dataBar>
    </cfRule>
  </conditionalFormatting>
  <conditionalFormatting sqref="E1652:E1666">
    <cfRule type="dataBar" priority="9316">
      <dataBar>
        <cfvo type="min"/>
        <cfvo type="max"/>
        <color rgb="FFFF555A"/>
      </dataBar>
    </cfRule>
  </conditionalFormatting>
  <conditionalFormatting sqref="H1652:H1666">
    <cfRule type="dataBar" priority="9315">
      <dataBar>
        <cfvo type="min"/>
        <cfvo type="max"/>
        <color rgb="FFFF555A"/>
      </dataBar>
    </cfRule>
  </conditionalFormatting>
  <conditionalFormatting sqref="I1652:I1666">
    <cfRule type="dataBar" priority="9314">
      <dataBar>
        <cfvo type="min"/>
        <cfvo type="max"/>
        <color rgb="FFFF555A"/>
      </dataBar>
    </cfRule>
  </conditionalFormatting>
  <conditionalFormatting sqref="J1652:J1666">
    <cfRule type="dataBar" priority="9313">
      <dataBar>
        <cfvo type="min"/>
        <cfvo type="max"/>
        <color rgb="FFFF555A"/>
      </dataBar>
    </cfRule>
  </conditionalFormatting>
  <conditionalFormatting sqref="L1651:L1666">
    <cfRule type="dataBar" priority="9312">
      <dataBar>
        <cfvo type="min"/>
        <cfvo type="max"/>
        <color rgb="FFFF555A"/>
      </dataBar>
    </cfRule>
  </conditionalFormatting>
  <conditionalFormatting sqref="M1651:M1666">
    <cfRule type="dataBar" priority="9311">
      <dataBar>
        <cfvo type="min"/>
        <cfvo type="max"/>
        <color rgb="FFFF555A"/>
      </dataBar>
    </cfRule>
  </conditionalFormatting>
  <conditionalFormatting sqref="N1651:N1666">
    <cfRule type="dataBar" priority="9310">
      <dataBar>
        <cfvo type="min"/>
        <cfvo type="max"/>
        <color rgb="FFFF555A"/>
      </dataBar>
    </cfRule>
  </conditionalFormatting>
  <conditionalFormatting sqref="Q1651:Q1666">
    <cfRule type="dataBar" priority="9309">
      <dataBar>
        <cfvo type="min"/>
        <cfvo type="max"/>
        <color rgb="FFFF555A"/>
      </dataBar>
    </cfRule>
  </conditionalFormatting>
  <conditionalFormatting sqref="O1651:O1666">
    <cfRule type="dataBar" priority="9308">
      <dataBar>
        <cfvo type="min"/>
        <cfvo type="max"/>
        <color rgb="FFFF555A"/>
      </dataBar>
    </cfRule>
  </conditionalFormatting>
  <conditionalFormatting sqref="P1651:P1666">
    <cfRule type="dataBar" priority="9307">
      <dataBar>
        <cfvo type="min"/>
        <cfvo type="max"/>
        <color rgb="FFFF555A"/>
      </dataBar>
    </cfRule>
  </conditionalFormatting>
  <conditionalFormatting sqref="R1668:R1684 D1668:D1683 C1684">
    <cfRule type="containsText" dxfId="4624" priority="9306" operator="containsText" text="DOWN">
      <formula>NOT(ISERROR(SEARCH("DOWN",C1668)))</formula>
    </cfRule>
  </conditionalFormatting>
  <conditionalFormatting sqref="R1668:R1684 D1668:D1683 C1684">
    <cfRule type="containsText" dxfId="4623" priority="9305" operator="containsText" text="UP">
      <formula>NOT(ISERROR(SEARCH("UP",C1668)))</formula>
    </cfRule>
  </conditionalFormatting>
  <conditionalFormatting sqref="I1684">
    <cfRule type="colorScale" priority="9304">
      <colorScale>
        <cfvo type="min"/>
        <cfvo type="max"/>
        <color rgb="FFFFEF9C"/>
        <color rgb="FF63BE7B"/>
      </colorScale>
    </cfRule>
  </conditionalFormatting>
  <conditionalFormatting sqref="M1684">
    <cfRule type="colorScale" priority="9303">
      <colorScale>
        <cfvo type="min"/>
        <cfvo type="max"/>
        <color rgb="FFFF7128"/>
        <color rgb="FFFFEF9C"/>
      </colorScale>
    </cfRule>
  </conditionalFormatting>
  <conditionalFormatting sqref="Q1684">
    <cfRule type="dataBar" priority="9302">
      <dataBar>
        <cfvo type="min"/>
        <cfvo type="max"/>
        <color rgb="FFFF555A"/>
      </dataBar>
    </cfRule>
  </conditionalFormatting>
  <conditionalFormatting sqref="E1668:E1684">
    <cfRule type="dataBar" priority="9301">
      <dataBar>
        <cfvo type="min"/>
        <cfvo type="max"/>
        <color rgb="FFFF555A"/>
      </dataBar>
    </cfRule>
  </conditionalFormatting>
  <conditionalFormatting sqref="F1684">
    <cfRule type="top10" dxfId="4622" priority="9300" rank="1"/>
  </conditionalFormatting>
  <conditionalFormatting sqref="G1684 P1684">
    <cfRule type="cellIs" dxfId="4621" priority="9299" operator="equal">
      <formula>$G$135</formula>
    </cfRule>
  </conditionalFormatting>
  <conditionalFormatting sqref="P1684">
    <cfRule type="cellIs" dxfId="4620" priority="9298" operator="equal">
      <formula>$J$135</formula>
    </cfRule>
  </conditionalFormatting>
  <conditionalFormatting sqref="G1684 P1684">
    <cfRule type="cellIs" dxfId="4619" priority="9297" operator="equal">
      <formula>#REF!</formula>
    </cfRule>
  </conditionalFormatting>
  <conditionalFormatting sqref="G1684">
    <cfRule type="top10" dxfId="4618" priority="9295" rank="1"/>
    <cfRule type="cellIs" dxfId="4617" priority="9296" operator="equal">
      <formula>$G$133</formula>
    </cfRule>
  </conditionalFormatting>
  <conditionalFormatting sqref="P1684">
    <cfRule type="top10" dxfId="4616" priority="9293" rank="1"/>
    <cfRule type="cellIs" dxfId="4615" priority="9294" operator="equal">
      <formula>$G$133</formula>
    </cfRule>
  </conditionalFormatting>
  <conditionalFormatting sqref="C1668:C1683">
    <cfRule type="containsText" dxfId="4614" priority="9289" operator="containsText" text="Short Buildup">
      <formula>NOT(ISERROR(SEARCH("Short Buildup",C1668)))</formula>
    </cfRule>
    <cfRule type="containsText" dxfId="4613" priority="9290" operator="containsText" text="Long Liquidation">
      <formula>NOT(ISERROR(SEARCH("Long Liquidation",C1668)))</formula>
    </cfRule>
    <cfRule type="containsText" dxfId="4612" priority="9291" operator="containsText" text="Short covering">
      <formula>NOT(ISERROR(SEARCH("Short covering",C1668)))</formula>
    </cfRule>
    <cfRule type="containsText" dxfId="4611" priority="9292" operator="containsText" text="Long Buildup">
      <formula>NOT(ISERROR(SEARCH("Long Buildup",C1668)))</formula>
    </cfRule>
  </conditionalFormatting>
  <conditionalFormatting sqref="H1684">
    <cfRule type="colorScale" priority="9284">
      <colorScale>
        <cfvo type="min"/>
        <cfvo type="percentile" val="20"/>
        <cfvo type="max"/>
        <color rgb="FF92D050"/>
        <color theme="5" tint="0.79998168889431442"/>
        <color rgb="FFFF0000"/>
      </colorScale>
    </cfRule>
    <cfRule type="colorScale" priority="9285">
      <colorScale>
        <cfvo type="min"/>
        <cfvo type="max"/>
        <color rgb="FFFF0000"/>
        <color rgb="FF92D050"/>
      </colorScale>
    </cfRule>
    <cfRule type="colorScale" priority="9286">
      <colorScale>
        <cfvo type="min"/>
        <cfvo type="percentile" val="50"/>
        <cfvo type="max"/>
        <color rgb="FF5A8AC6"/>
        <color rgb="FFFCFCFF"/>
        <color rgb="FFF8696B"/>
      </colorScale>
    </cfRule>
    <cfRule type="colorScale" priority="9287">
      <colorScale>
        <cfvo type="formula" val="&quot;&gt;20&quot;"/>
        <cfvo type="formula" val="35"/>
        <color rgb="FFF8696B"/>
        <color rgb="FFFCFCFF"/>
      </colorScale>
    </cfRule>
    <cfRule type="colorScale" priority="9288">
      <colorScale>
        <cfvo type="min"/>
        <cfvo type="max"/>
        <color rgb="FFFFEF9C"/>
        <color rgb="FF63BE7B"/>
      </colorScale>
    </cfRule>
  </conditionalFormatting>
  <conditionalFormatting sqref="N1684">
    <cfRule type="colorScale" priority="9279">
      <colorScale>
        <cfvo type="min"/>
        <cfvo type="percentile" val="20"/>
        <cfvo type="max"/>
        <color rgb="FF92D050"/>
        <color theme="5" tint="0.79998168889431442"/>
        <color rgb="FFFF0000"/>
      </colorScale>
    </cfRule>
    <cfRule type="colorScale" priority="9280">
      <colorScale>
        <cfvo type="min"/>
        <cfvo type="max"/>
        <color rgb="FFFF0000"/>
        <color rgb="FF92D050"/>
      </colorScale>
    </cfRule>
    <cfRule type="colorScale" priority="9281">
      <colorScale>
        <cfvo type="min"/>
        <cfvo type="percentile" val="50"/>
        <cfvo type="max"/>
        <color rgb="FF5A8AC6"/>
        <color rgb="FFFCFCFF"/>
        <color rgb="FFF8696B"/>
      </colorScale>
    </cfRule>
    <cfRule type="colorScale" priority="9282">
      <colorScale>
        <cfvo type="formula" val="&quot;&gt;20&quot;"/>
        <cfvo type="formula" val="35"/>
        <color rgb="FFF8696B"/>
        <color rgb="FFFCFCFF"/>
      </colorScale>
    </cfRule>
    <cfRule type="colorScale" priority="9283">
      <colorScale>
        <cfvo type="min"/>
        <cfvo type="max"/>
        <color rgb="FFFFEF9C"/>
        <color rgb="FF63BE7B"/>
      </colorScale>
    </cfRule>
  </conditionalFormatting>
  <conditionalFormatting sqref="S1668:S1684">
    <cfRule type="containsText" dxfId="4610" priority="9275" operator="containsText" text="Short Buildup">
      <formula>NOT(ISERROR(SEARCH("Short Buildup",S1668)))</formula>
    </cfRule>
    <cfRule type="containsText" dxfId="4609" priority="9276" operator="containsText" text="Long Liquidation">
      <formula>NOT(ISERROR(SEARCH("Long Liquidation",S1668)))</formula>
    </cfRule>
    <cfRule type="containsText" dxfId="4608" priority="9277" operator="containsText" text="Short covering">
      <formula>NOT(ISERROR(SEARCH("Short covering",S1668)))</formula>
    </cfRule>
    <cfRule type="containsText" dxfId="4607" priority="9278" operator="containsText" text="Long Buildup">
      <formula>NOT(ISERROR(SEARCH("Long Buildup",S1668)))</formula>
    </cfRule>
  </conditionalFormatting>
  <conditionalFormatting sqref="F1668:F1683">
    <cfRule type="dataBar" priority="9274">
      <dataBar>
        <cfvo type="min"/>
        <cfvo type="max"/>
        <color rgb="FFFF555A"/>
      </dataBar>
    </cfRule>
  </conditionalFormatting>
  <conditionalFormatting sqref="G1668:G1683">
    <cfRule type="dataBar" priority="9273">
      <dataBar>
        <cfvo type="min"/>
        <cfvo type="max"/>
        <color rgb="FFFF555A"/>
      </dataBar>
    </cfRule>
  </conditionalFormatting>
  <conditionalFormatting sqref="H1668">
    <cfRule type="dataBar" priority="9272">
      <dataBar>
        <cfvo type="min"/>
        <cfvo type="max"/>
        <color rgb="FFFF555A"/>
      </dataBar>
    </cfRule>
  </conditionalFormatting>
  <conditionalFormatting sqref="I1668">
    <cfRule type="dataBar" priority="9271">
      <dataBar>
        <cfvo type="min"/>
        <cfvo type="max"/>
        <color rgb="FFFF555A"/>
      </dataBar>
    </cfRule>
  </conditionalFormatting>
  <conditionalFormatting sqref="J1668">
    <cfRule type="dataBar" priority="9270">
      <dataBar>
        <cfvo type="min"/>
        <cfvo type="max"/>
        <color rgb="FFFF555A"/>
      </dataBar>
    </cfRule>
  </conditionalFormatting>
  <conditionalFormatting sqref="E1669:E1683">
    <cfRule type="dataBar" priority="9269">
      <dataBar>
        <cfvo type="min"/>
        <cfvo type="max"/>
        <color rgb="FFFF555A"/>
      </dataBar>
    </cfRule>
  </conditionalFormatting>
  <conditionalFormatting sqref="H1669:H1683">
    <cfRule type="dataBar" priority="9268">
      <dataBar>
        <cfvo type="min"/>
        <cfvo type="max"/>
        <color rgb="FFFF555A"/>
      </dataBar>
    </cfRule>
  </conditionalFormatting>
  <conditionalFormatting sqref="I1669:I1683">
    <cfRule type="dataBar" priority="9267">
      <dataBar>
        <cfvo type="min"/>
        <cfvo type="max"/>
        <color rgb="FFFF555A"/>
      </dataBar>
    </cfRule>
  </conditionalFormatting>
  <conditionalFormatting sqref="J1669:J1683">
    <cfRule type="dataBar" priority="9266">
      <dataBar>
        <cfvo type="min"/>
        <cfvo type="max"/>
        <color rgb="FFFF555A"/>
      </dataBar>
    </cfRule>
  </conditionalFormatting>
  <conditionalFormatting sqref="L1668:L1683">
    <cfRule type="dataBar" priority="9265">
      <dataBar>
        <cfvo type="min"/>
        <cfvo type="max"/>
        <color rgb="FFFF555A"/>
      </dataBar>
    </cfRule>
  </conditionalFormatting>
  <conditionalFormatting sqref="M1668:M1683">
    <cfRule type="dataBar" priority="9264">
      <dataBar>
        <cfvo type="min"/>
        <cfvo type="max"/>
        <color rgb="FFFF555A"/>
      </dataBar>
    </cfRule>
  </conditionalFormatting>
  <conditionalFormatting sqref="N1668:N1683">
    <cfRule type="dataBar" priority="9263">
      <dataBar>
        <cfvo type="min"/>
        <cfvo type="max"/>
        <color rgb="FFFF555A"/>
      </dataBar>
    </cfRule>
  </conditionalFormatting>
  <conditionalFormatting sqref="Q1668:Q1683">
    <cfRule type="dataBar" priority="9262">
      <dataBar>
        <cfvo type="min"/>
        <cfvo type="max"/>
        <color rgb="FFFF555A"/>
      </dataBar>
    </cfRule>
  </conditionalFormatting>
  <conditionalFormatting sqref="O1668:O1683">
    <cfRule type="dataBar" priority="9261">
      <dataBar>
        <cfvo type="min"/>
        <cfvo type="max"/>
        <color rgb="FFFF555A"/>
      </dataBar>
    </cfRule>
  </conditionalFormatting>
  <conditionalFormatting sqref="P1668:P1683">
    <cfRule type="dataBar" priority="9260">
      <dataBar>
        <cfvo type="min"/>
        <cfvo type="max"/>
        <color rgb="FFFF555A"/>
      </dataBar>
    </cfRule>
  </conditionalFormatting>
  <conditionalFormatting sqref="R1685:R1701 D1685:D1700 C1701">
    <cfRule type="containsText" dxfId="4606" priority="9259" operator="containsText" text="DOWN">
      <formula>NOT(ISERROR(SEARCH("DOWN",C1685)))</formula>
    </cfRule>
  </conditionalFormatting>
  <conditionalFormatting sqref="R1685:R1701 D1685:D1700 C1701">
    <cfRule type="containsText" dxfId="4605" priority="9258" operator="containsText" text="UP">
      <formula>NOT(ISERROR(SEARCH("UP",C1685)))</formula>
    </cfRule>
  </conditionalFormatting>
  <conditionalFormatting sqref="I1701">
    <cfRule type="colorScale" priority="9257">
      <colorScale>
        <cfvo type="min"/>
        <cfvo type="max"/>
        <color rgb="FFFFEF9C"/>
        <color rgb="FF63BE7B"/>
      </colorScale>
    </cfRule>
  </conditionalFormatting>
  <conditionalFormatting sqref="M1701">
    <cfRule type="colorScale" priority="9256">
      <colorScale>
        <cfvo type="min"/>
        <cfvo type="max"/>
        <color rgb="FFFF7128"/>
        <color rgb="FFFFEF9C"/>
      </colorScale>
    </cfRule>
  </conditionalFormatting>
  <conditionalFormatting sqref="Q1701">
    <cfRule type="dataBar" priority="9255">
      <dataBar>
        <cfvo type="min"/>
        <cfvo type="max"/>
        <color rgb="FFFF555A"/>
      </dataBar>
    </cfRule>
  </conditionalFormatting>
  <conditionalFormatting sqref="E1685:E1701">
    <cfRule type="dataBar" priority="9254">
      <dataBar>
        <cfvo type="min"/>
        <cfvo type="max"/>
        <color rgb="FFFF555A"/>
      </dataBar>
    </cfRule>
  </conditionalFormatting>
  <conditionalFormatting sqref="F1701">
    <cfRule type="top10" dxfId="4604" priority="9253" rank="1"/>
  </conditionalFormatting>
  <conditionalFormatting sqref="G1701 P1701">
    <cfRule type="cellIs" dxfId="4603" priority="9252" operator="equal">
      <formula>$G$135</formula>
    </cfRule>
  </conditionalFormatting>
  <conditionalFormatting sqref="P1701">
    <cfRule type="cellIs" dxfId="4602" priority="9251" operator="equal">
      <formula>$J$135</formula>
    </cfRule>
  </conditionalFormatting>
  <conditionalFormatting sqref="G1701 P1701">
    <cfRule type="cellIs" dxfId="4601" priority="9250" operator="equal">
      <formula>#REF!</formula>
    </cfRule>
  </conditionalFormatting>
  <conditionalFormatting sqref="G1701">
    <cfRule type="top10" dxfId="4600" priority="9248" rank="1"/>
    <cfRule type="cellIs" dxfId="4599" priority="9249" operator="equal">
      <formula>$G$133</formula>
    </cfRule>
  </conditionalFormatting>
  <conditionalFormatting sqref="P1701">
    <cfRule type="top10" dxfId="4598" priority="9246" rank="1"/>
    <cfRule type="cellIs" dxfId="4597" priority="9247" operator="equal">
      <formula>$G$133</formula>
    </cfRule>
  </conditionalFormatting>
  <conditionalFormatting sqref="C1685:C1700">
    <cfRule type="containsText" dxfId="4596" priority="9242" operator="containsText" text="Short Buildup">
      <formula>NOT(ISERROR(SEARCH("Short Buildup",C1685)))</formula>
    </cfRule>
    <cfRule type="containsText" dxfId="4595" priority="9243" operator="containsText" text="Long Liquidation">
      <formula>NOT(ISERROR(SEARCH("Long Liquidation",C1685)))</formula>
    </cfRule>
    <cfRule type="containsText" dxfId="4594" priority="9244" operator="containsText" text="Short covering">
      <formula>NOT(ISERROR(SEARCH("Short covering",C1685)))</formula>
    </cfRule>
    <cfRule type="containsText" dxfId="4593" priority="9245" operator="containsText" text="Long Buildup">
      <formula>NOT(ISERROR(SEARCH("Long Buildup",C1685)))</formula>
    </cfRule>
  </conditionalFormatting>
  <conditionalFormatting sqref="H1701">
    <cfRule type="colorScale" priority="9237">
      <colorScale>
        <cfvo type="min"/>
        <cfvo type="percentile" val="20"/>
        <cfvo type="max"/>
        <color rgb="FF92D050"/>
        <color theme="5" tint="0.79998168889431442"/>
        <color rgb="FFFF0000"/>
      </colorScale>
    </cfRule>
    <cfRule type="colorScale" priority="9238">
      <colorScale>
        <cfvo type="min"/>
        <cfvo type="max"/>
        <color rgb="FFFF0000"/>
        <color rgb="FF92D050"/>
      </colorScale>
    </cfRule>
    <cfRule type="colorScale" priority="9239">
      <colorScale>
        <cfvo type="min"/>
        <cfvo type="percentile" val="50"/>
        <cfvo type="max"/>
        <color rgb="FF5A8AC6"/>
        <color rgb="FFFCFCFF"/>
        <color rgb="FFF8696B"/>
      </colorScale>
    </cfRule>
    <cfRule type="colorScale" priority="9240">
      <colorScale>
        <cfvo type="formula" val="&quot;&gt;20&quot;"/>
        <cfvo type="formula" val="35"/>
        <color rgb="FFF8696B"/>
        <color rgb="FFFCFCFF"/>
      </colorScale>
    </cfRule>
    <cfRule type="colorScale" priority="9241">
      <colorScale>
        <cfvo type="min"/>
        <cfvo type="max"/>
        <color rgb="FFFFEF9C"/>
        <color rgb="FF63BE7B"/>
      </colorScale>
    </cfRule>
  </conditionalFormatting>
  <conditionalFormatting sqref="N1701">
    <cfRule type="colorScale" priority="9232">
      <colorScale>
        <cfvo type="min"/>
        <cfvo type="percentile" val="20"/>
        <cfvo type="max"/>
        <color rgb="FF92D050"/>
        <color theme="5" tint="0.79998168889431442"/>
        <color rgb="FFFF0000"/>
      </colorScale>
    </cfRule>
    <cfRule type="colorScale" priority="9233">
      <colorScale>
        <cfvo type="min"/>
        <cfvo type="max"/>
        <color rgb="FFFF0000"/>
        <color rgb="FF92D050"/>
      </colorScale>
    </cfRule>
    <cfRule type="colorScale" priority="9234">
      <colorScale>
        <cfvo type="min"/>
        <cfvo type="percentile" val="50"/>
        <cfvo type="max"/>
        <color rgb="FF5A8AC6"/>
        <color rgb="FFFCFCFF"/>
        <color rgb="FFF8696B"/>
      </colorScale>
    </cfRule>
    <cfRule type="colorScale" priority="9235">
      <colorScale>
        <cfvo type="formula" val="&quot;&gt;20&quot;"/>
        <cfvo type="formula" val="35"/>
        <color rgb="FFF8696B"/>
        <color rgb="FFFCFCFF"/>
      </colorScale>
    </cfRule>
    <cfRule type="colorScale" priority="9236">
      <colorScale>
        <cfvo type="min"/>
        <cfvo type="max"/>
        <color rgb="FFFFEF9C"/>
        <color rgb="FF63BE7B"/>
      </colorScale>
    </cfRule>
  </conditionalFormatting>
  <conditionalFormatting sqref="S1685:S1701">
    <cfRule type="containsText" dxfId="4592" priority="9228" operator="containsText" text="Short Buildup">
      <formula>NOT(ISERROR(SEARCH("Short Buildup",S1685)))</formula>
    </cfRule>
    <cfRule type="containsText" dxfId="4591" priority="9229" operator="containsText" text="Long Liquidation">
      <formula>NOT(ISERROR(SEARCH("Long Liquidation",S1685)))</formula>
    </cfRule>
    <cfRule type="containsText" dxfId="4590" priority="9230" operator="containsText" text="Short covering">
      <formula>NOT(ISERROR(SEARCH("Short covering",S1685)))</formula>
    </cfRule>
    <cfRule type="containsText" dxfId="4589" priority="9231" operator="containsText" text="Long Buildup">
      <formula>NOT(ISERROR(SEARCH("Long Buildup",S1685)))</formula>
    </cfRule>
  </conditionalFormatting>
  <conditionalFormatting sqref="F1685:F1700">
    <cfRule type="dataBar" priority="9227">
      <dataBar>
        <cfvo type="min"/>
        <cfvo type="max"/>
        <color rgb="FFFF555A"/>
      </dataBar>
    </cfRule>
  </conditionalFormatting>
  <conditionalFormatting sqref="G1685:G1700">
    <cfRule type="dataBar" priority="9226">
      <dataBar>
        <cfvo type="min"/>
        <cfvo type="max"/>
        <color rgb="FFFF555A"/>
      </dataBar>
    </cfRule>
  </conditionalFormatting>
  <conditionalFormatting sqref="H1685">
    <cfRule type="dataBar" priority="9225">
      <dataBar>
        <cfvo type="min"/>
        <cfvo type="max"/>
        <color rgb="FFFF555A"/>
      </dataBar>
    </cfRule>
  </conditionalFormatting>
  <conditionalFormatting sqref="I1685">
    <cfRule type="dataBar" priority="9224">
      <dataBar>
        <cfvo type="min"/>
        <cfvo type="max"/>
        <color rgb="FFFF555A"/>
      </dataBar>
    </cfRule>
  </conditionalFormatting>
  <conditionalFormatting sqref="J1685">
    <cfRule type="dataBar" priority="9223">
      <dataBar>
        <cfvo type="min"/>
        <cfvo type="max"/>
        <color rgb="FFFF555A"/>
      </dataBar>
    </cfRule>
  </conditionalFormatting>
  <conditionalFormatting sqref="E1686:E1700">
    <cfRule type="dataBar" priority="9222">
      <dataBar>
        <cfvo type="min"/>
        <cfvo type="max"/>
        <color rgb="FFFF555A"/>
      </dataBar>
    </cfRule>
  </conditionalFormatting>
  <conditionalFormatting sqref="H1686:H1700">
    <cfRule type="dataBar" priority="9221">
      <dataBar>
        <cfvo type="min"/>
        <cfvo type="max"/>
        <color rgb="FFFF555A"/>
      </dataBar>
    </cfRule>
  </conditionalFormatting>
  <conditionalFormatting sqref="I1686:I1700">
    <cfRule type="dataBar" priority="9220">
      <dataBar>
        <cfvo type="min"/>
        <cfvo type="max"/>
        <color rgb="FFFF555A"/>
      </dataBar>
    </cfRule>
  </conditionalFormatting>
  <conditionalFormatting sqref="J1686:J1700">
    <cfRule type="dataBar" priority="9219">
      <dataBar>
        <cfvo type="min"/>
        <cfvo type="max"/>
        <color rgb="FFFF555A"/>
      </dataBar>
    </cfRule>
  </conditionalFormatting>
  <conditionalFormatting sqref="L1685:L1700">
    <cfRule type="dataBar" priority="9218">
      <dataBar>
        <cfvo type="min"/>
        <cfvo type="max"/>
        <color rgb="FFFF555A"/>
      </dataBar>
    </cfRule>
  </conditionalFormatting>
  <conditionalFormatting sqref="M1685:M1700">
    <cfRule type="dataBar" priority="9217">
      <dataBar>
        <cfvo type="min"/>
        <cfvo type="max"/>
        <color rgb="FFFF555A"/>
      </dataBar>
    </cfRule>
  </conditionalFormatting>
  <conditionalFormatting sqref="N1685:N1700">
    <cfRule type="dataBar" priority="9216">
      <dataBar>
        <cfvo type="min"/>
        <cfvo type="max"/>
        <color rgb="FFFF555A"/>
      </dataBar>
    </cfRule>
  </conditionalFormatting>
  <conditionalFormatting sqref="Q1685:Q1700">
    <cfRule type="dataBar" priority="9215">
      <dataBar>
        <cfvo type="min"/>
        <cfvo type="max"/>
        <color rgb="FFFF555A"/>
      </dataBar>
    </cfRule>
  </conditionalFormatting>
  <conditionalFormatting sqref="O1685:O1700">
    <cfRule type="dataBar" priority="9214">
      <dataBar>
        <cfvo type="min"/>
        <cfvo type="max"/>
        <color rgb="FFFF555A"/>
      </dataBar>
    </cfRule>
  </conditionalFormatting>
  <conditionalFormatting sqref="P1685:P1700">
    <cfRule type="dataBar" priority="9213">
      <dataBar>
        <cfvo type="min"/>
        <cfvo type="max"/>
        <color rgb="FFFF555A"/>
      </dataBar>
    </cfRule>
  </conditionalFormatting>
  <conditionalFormatting sqref="R1702:R1718 D1702:D1717 C1718">
    <cfRule type="containsText" dxfId="4588" priority="9212" operator="containsText" text="DOWN">
      <formula>NOT(ISERROR(SEARCH("DOWN",C1702)))</formula>
    </cfRule>
  </conditionalFormatting>
  <conditionalFormatting sqref="R1702:R1718 D1702:D1717 C1718">
    <cfRule type="containsText" dxfId="4587" priority="9211" operator="containsText" text="UP">
      <formula>NOT(ISERROR(SEARCH("UP",C1702)))</formula>
    </cfRule>
  </conditionalFormatting>
  <conditionalFormatting sqref="I1718">
    <cfRule type="colorScale" priority="9210">
      <colorScale>
        <cfvo type="min"/>
        <cfvo type="max"/>
        <color rgb="FFFFEF9C"/>
        <color rgb="FF63BE7B"/>
      </colorScale>
    </cfRule>
  </conditionalFormatting>
  <conditionalFormatting sqref="M1718">
    <cfRule type="colorScale" priority="9209">
      <colorScale>
        <cfvo type="min"/>
        <cfvo type="max"/>
        <color rgb="FFFF7128"/>
        <color rgb="FFFFEF9C"/>
      </colorScale>
    </cfRule>
  </conditionalFormatting>
  <conditionalFormatting sqref="Q1718">
    <cfRule type="dataBar" priority="9208">
      <dataBar>
        <cfvo type="min"/>
        <cfvo type="max"/>
        <color rgb="FFFF555A"/>
      </dataBar>
    </cfRule>
  </conditionalFormatting>
  <conditionalFormatting sqref="E1702:E1718">
    <cfRule type="dataBar" priority="9207">
      <dataBar>
        <cfvo type="min"/>
        <cfvo type="max"/>
        <color rgb="FFFF555A"/>
      </dataBar>
    </cfRule>
  </conditionalFormatting>
  <conditionalFormatting sqref="F1718">
    <cfRule type="top10" dxfId="4586" priority="9206" rank="1"/>
  </conditionalFormatting>
  <conditionalFormatting sqref="G1718 P1718">
    <cfRule type="cellIs" dxfId="4585" priority="9205" operator="equal">
      <formula>$G$135</formula>
    </cfRule>
  </conditionalFormatting>
  <conditionalFormatting sqref="P1718">
    <cfRule type="cellIs" dxfId="4584" priority="9204" operator="equal">
      <formula>$J$135</formula>
    </cfRule>
  </conditionalFormatting>
  <conditionalFormatting sqref="G1718 P1718">
    <cfRule type="cellIs" dxfId="4583" priority="9203" operator="equal">
      <formula>#REF!</formula>
    </cfRule>
  </conditionalFormatting>
  <conditionalFormatting sqref="G1718">
    <cfRule type="top10" dxfId="4582" priority="9201" rank="1"/>
    <cfRule type="cellIs" dxfId="4581" priority="9202" operator="equal">
      <formula>$G$133</formula>
    </cfRule>
  </conditionalFormatting>
  <conditionalFormatting sqref="P1718">
    <cfRule type="top10" dxfId="4580" priority="9199" rank="1"/>
    <cfRule type="cellIs" dxfId="4579" priority="9200" operator="equal">
      <formula>$G$133</formula>
    </cfRule>
  </conditionalFormatting>
  <conditionalFormatting sqref="C1702:C1717">
    <cfRule type="containsText" dxfId="4578" priority="9195" operator="containsText" text="Short Buildup">
      <formula>NOT(ISERROR(SEARCH("Short Buildup",C1702)))</formula>
    </cfRule>
    <cfRule type="containsText" dxfId="4577" priority="9196" operator="containsText" text="Long Liquidation">
      <formula>NOT(ISERROR(SEARCH("Long Liquidation",C1702)))</formula>
    </cfRule>
    <cfRule type="containsText" dxfId="4576" priority="9197" operator="containsText" text="Short covering">
      <formula>NOT(ISERROR(SEARCH("Short covering",C1702)))</formula>
    </cfRule>
    <cfRule type="containsText" dxfId="4575" priority="9198" operator="containsText" text="Long Buildup">
      <formula>NOT(ISERROR(SEARCH("Long Buildup",C1702)))</formula>
    </cfRule>
  </conditionalFormatting>
  <conditionalFormatting sqref="H1718">
    <cfRule type="colorScale" priority="9190">
      <colorScale>
        <cfvo type="min"/>
        <cfvo type="percentile" val="20"/>
        <cfvo type="max"/>
        <color rgb="FF92D050"/>
        <color theme="5" tint="0.79998168889431442"/>
        <color rgb="FFFF0000"/>
      </colorScale>
    </cfRule>
    <cfRule type="colorScale" priority="9191">
      <colorScale>
        <cfvo type="min"/>
        <cfvo type="max"/>
        <color rgb="FFFF0000"/>
        <color rgb="FF92D050"/>
      </colorScale>
    </cfRule>
    <cfRule type="colorScale" priority="9192">
      <colorScale>
        <cfvo type="min"/>
        <cfvo type="percentile" val="50"/>
        <cfvo type="max"/>
        <color rgb="FF5A8AC6"/>
        <color rgb="FFFCFCFF"/>
        <color rgb="FFF8696B"/>
      </colorScale>
    </cfRule>
    <cfRule type="colorScale" priority="9193">
      <colorScale>
        <cfvo type="formula" val="&quot;&gt;20&quot;"/>
        <cfvo type="formula" val="35"/>
        <color rgb="FFF8696B"/>
        <color rgb="FFFCFCFF"/>
      </colorScale>
    </cfRule>
    <cfRule type="colorScale" priority="9194">
      <colorScale>
        <cfvo type="min"/>
        <cfvo type="max"/>
        <color rgb="FFFFEF9C"/>
        <color rgb="FF63BE7B"/>
      </colorScale>
    </cfRule>
  </conditionalFormatting>
  <conditionalFormatting sqref="N1718">
    <cfRule type="colorScale" priority="9185">
      <colorScale>
        <cfvo type="min"/>
        <cfvo type="percentile" val="20"/>
        <cfvo type="max"/>
        <color rgb="FF92D050"/>
        <color theme="5" tint="0.79998168889431442"/>
        <color rgb="FFFF0000"/>
      </colorScale>
    </cfRule>
    <cfRule type="colorScale" priority="9186">
      <colorScale>
        <cfvo type="min"/>
        <cfvo type="max"/>
        <color rgb="FFFF0000"/>
        <color rgb="FF92D050"/>
      </colorScale>
    </cfRule>
    <cfRule type="colorScale" priority="9187">
      <colorScale>
        <cfvo type="min"/>
        <cfvo type="percentile" val="50"/>
        <cfvo type="max"/>
        <color rgb="FF5A8AC6"/>
        <color rgb="FFFCFCFF"/>
        <color rgb="FFF8696B"/>
      </colorScale>
    </cfRule>
    <cfRule type="colorScale" priority="9188">
      <colorScale>
        <cfvo type="formula" val="&quot;&gt;20&quot;"/>
        <cfvo type="formula" val="35"/>
        <color rgb="FFF8696B"/>
        <color rgb="FFFCFCFF"/>
      </colorScale>
    </cfRule>
    <cfRule type="colorScale" priority="9189">
      <colorScale>
        <cfvo type="min"/>
        <cfvo type="max"/>
        <color rgb="FFFFEF9C"/>
        <color rgb="FF63BE7B"/>
      </colorScale>
    </cfRule>
  </conditionalFormatting>
  <conditionalFormatting sqref="S1702:S1718">
    <cfRule type="containsText" dxfId="4574" priority="9181" operator="containsText" text="Short Buildup">
      <formula>NOT(ISERROR(SEARCH("Short Buildup",S1702)))</formula>
    </cfRule>
    <cfRule type="containsText" dxfId="4573" priority="9182" operator="containsText" text="Long Liquidation">
      <formula>NOT(ISERROR(SEARCH("Long Liquidation",S1702)))</formula>
    </cfRule>
    <cfRule type="containsText" dxfId="4572" priority="9183" operator="containsText" text="Short covering">
      <formula>NOT(ISERROR(SEARCH("Short covering",S1702)))</formula>
    </cfRule>
    <cfRule type="containsText" dxfId="4571" priority="9184" operator="containsText" text="Long Buildup">
      <formula>NOT(ISERROR(SEARCH("Long Buildup",S1702)))</formula>
    </cfRule>
  </conditionalFormatting>
  <conditionalFormatting sqref="F1702:F1717">
    <cfRule type="dataBar" priority="9180">
      <dataBar>
        <cfvo type="min"/>
        <cfvo type="max"/>
        <color rgb="FFFF555A"/>
      </dataBar>
    </cfRule>
  </conditionalFormatting>
  <conditionalFormatting sqref="G1702:G1717">
    <cfRule type="dataBar" priority="9179">
      <dataBar>
        <cfvo type="min"/>
        <cfvo type="max"/>
        <color rgb="FFFF555A"/>
      </dataBar>
    </cfRule>
  </conditionalFormatting>
  <conditionalFormatting sqref="H1702">
    <cfRule type="dataBar" priority="9178">
      <dataBar>
        <cfvo type="min"/>
        <cfvo type="max"/>
        <color rgb="FFFF555A"/>
      </dataBar>
    </cfRule>
  </conditionalFormatting>
  <conditionalFormatting sqref="I1702">
    <cfRule type="dataBar" priority="9177">
      <dataBar>
        <cfvo type="min"/>
        <cfvo type="max"/>
        <color rgb="FFFF555A"/>
      </dataBar>
    </cfRule>
  </conditionalFormatting>
  <conditionalFormatting sqref="J1702">
    <cfRule type="dataBar" priority="9176">
      <dataBar>
        <cfvo type="min"/>
        <cfvo type="max"/>
        <color rgb="FFFF555A"/>
      </dataBar>
    </cfRule>
  </conditionalFormatting>
  <conditionalFormatting sqref="E1703:E1717">
    <cfRule type="dataBar" priority="9175">
      <dataBar>
        <cfvo type="min"/>
        <cfvo type="max"/>
        <color rgb="FFFF555A"/>
      </dataBar>
    </cfRule>
  </conditionalFormatting>
  <conditionalFormatting sqref="H1703:H1717">
    <cfRule type="dataBar" priority="9174">
      <dataBar>
        <cfvo type="min"/>
        <cfvo type="max"/>
        <color rgb="FFFF555A"/>
      </dataBar>
    </cfRule>
  </conditionalFormatting>
  <conditionalFormatting sqref="I1703:I1717">
    <cfRule type="dataBar" priority="9173">
      <dataBar>
        <cfvo type="min"/>
        <cfvo type="max"/>
        <color rgb="FFFF555A"/>
      </dataBar>
    </cfRule>
  </conditionalFormatting>
  <conditionalFormatting sqref="J1703:J1717">
    <cfRule type="dataBar" priority="9172">
      <dataBar>
        <cfvo type="min"/>
        <cfvo type="max"/>
        <color rgb="FFFF555A"/>
      </dataBar>
    </cfRule>
  </conditionalFormatting>
  <conditionalFormatting sqref="L1702:L1717">
    <cfRule type="dataBar" priority="9171">
      <dataBar>
        <cfvo type="min"/>
        <cfvo type="max"/>
        <color rgb="FFFF555A"/>
      </dataBar>
    </cfRule>
  </conditionalFormatting>
  <conditionalFormatting sqref="M1702:M1717">
    <cfRule type="dataBar" priority="9170">
      <dataBar>
        <cfvo type="min"/>
        <cfvo type="max"/>
        <color rgb="FFFF555A"/>
      </dataBar>
    </cfRule>
  </conditionalFormatting>
  <conditionalFormatting sqref="N1702:N1717">
    <cfRule type="dataBar" priority="9169">
      <dataBar>
        <cfvo type="min"/>
        <cfvo type="max"/>
        <color rgb="FFFF555A"/>
      </dataBar>
    </cfRule>
  </conditionalFormatting>
  <conditionalFormatting sqref="Q1702:Q1717">
    <cfRule type="dataBar" priority="9168">
      <dataBar>
        <cfvo type="min"/>
        <cfvo type="max"/>
        <color rgb="FFFF555A"/>
      </dataBar>
    </cfRule>
  </conditionalFormatting>
  <conditionalFormatting sqref="O1702:O1717">
    <cfRule type="dataBar" priority="9167">
      <dataBar>
        <cfvo type="min"/>
        <cfvo type="max"/>
        <color rgb="FFFF555A"/>
      </dataBar>
    </cfRule>
  </conditionalFormatting>
  <conditionalFormatting sqref="P1702:P1717">
    <cfRule type="dataBar" priority="9166">
      <dataBar>
        <cfvo type="min"/>
        <cfvo type="max"/>
        <color rgb="FFFF555A"/>
      </dataBar>
    </cfRule>
  </conditionalFormatting>
  <conditionalFormatting sqref="R1719:R1735 D1719:D1734 C1735">
    <cfRule type="containsText" dxfId="4570" priority="9165" operator="containsText" text="DOWN">
      <formula>NOT(ISERROR(SEARCH("DOWN",C1719)))</formula>
    </cfRule>
  </conditionalFormatting>
  <conditionalFormatting sqref="R1719:R1735 D1719:D1734 C1735">
    <cfRule type="containsText" dxfId="4569" priority="9164" operator="containsText" text="UP">
      <formula>NOT(ISERROR(SEARCH("UP",C1719)))</formula>
    </cfRule>
  </conditionalFormatting>
  <conditionalFormatting sqref="I1735">
    <cfRule type="colorScale" priority="9163">
      <colorScale>
        <cfvo type="min"/>
        <cfvo type="max"/>
        <color rgb="FFFFEF9C"/>
        <color rgb="FF63BE7B"/>
      </colorScale>
    </cfRule>
  </conditionalFormatting>
  <conditionalFormatting sqref="M1735">
    <cfRule type="colorScale" priority="9162">
      <colorScale>
        <cfvo type="min"/>
        <cfvo type="max"/>
        <color rgb="FFFF7128"/>
        <color rgb="FFFFEF9C"/>
      </colorScale>
    </cfRule>
  </conditionalFormatting>
  <conditionalFormatting sqref="Q1735">
    <cfRule type="dataBar" priority="9161">
      <dataBar>
        <cfvo type="min"/>
        <cfvo type="max"/>
        <color rgb="FFFF555A"/>
      </dataBar>
    </cfRule>
  </conditionalFormatting>
  <conditionalFormatting sqref="E1719:E1735">
    <cfRule type="dataBar" priority="9160">
      <dataBar>
        <cfvo type="min"/>
        <cfvo type="max"/>
        <color rgb="FFFF555A"/>
      </dataBar>
    </cfRule>
  </conditionalFormatting>
  <conditionalFormatting sqref="F1735">
    <cfRule type="top10" dxfId="4568" priority="9159" rank="1"/>
  </conditionalFormatting>
  <conditionalFormatting sqref="G1735 P1735">
    <cfRule type="cellIs" dxfId="4567" priority="9158" operator="equal">
      <formula>$G$135</formula>
    </cfRule>
  </conditionalFormatting>
  <conditionalFormatting sqref="P1735">
    <cfRule type="cellIs" dxfId="4566" priority="9157" operator="equal">
      <formula>$J$135</formula>
    </cfRule>
  </conditionalFormatting>
  <conditionalFormatting sqref="G1735 P1735">
    <cfRule type="cellIs" dxfId="4565" priority="9156" operator="equal">
      <formula>#REF!</formula>
    </cfRule>
  </conditionalFormatting>
  <conditionalFormatting sqref="G1735">
    <cfRule type="top10" dxfId="4564" priority="9154" rank="1"/>
    <cfRule type="cellIs" dxfId="4563" priority="9155" operator="equal">
      <formula>$G$133</formula>
    </cfRule>
  </conditionalFormatting>
  <conditionalFormatting sqref="P1735">
    <cfRule type="top10" dxfId="4562" priority="9152" rank="1"/>
    <cfRule type="cellIs" dxfId="4561" priority="9153" operator="equal">
      <formula>$G$133</formula>
    </cfRule>
  </conditionalFormatting>
  <conditionalFormatting sqref="C1719:C1734">
    <cfRule type="containsText" dxfId="4560" priority="9148" operator="containsText" text="Short Buildup">
      <formula>NOT(ISERROR(SEARCH("Short Buildup",C1719)))</formula>
    </cfRule>
    <cfRule type="containsText" dxfId="4559" priority="9149" operator="containsText" text="Long Liquidation">
      <formula>NOT(ISERROR(SEARCH("Long Liquidation",C1719)))</formula>
    </cfRule>
    <cfRule type="containsText" dxfId="4558" priority="9150" operator="containsText" text="Short covering">
      <formula>NOT(ISERROR(SEARCH("Short covering",C1719)))</formula>
    </cfRule>
    <cfRule type="containsText" dxfId="4557" priority="9151" operator="containsText" text="Long Buildup">
      <formula>NOT(ISERROR(SEARCH("Long Buildup",C1719)))</formula>
    </cfRule>
  </conditionalFormatting>
  <conditionalFormatting sqref="H1735">
    <cfRule type="colorScale" priority="9143">
      <colorScale>
        <cfvo type="min"/>
        <cfvo type="percentile" val="20"/>
        <cfvo type="max"/>
        <color rgb="FF92D050"/>
        <color theme="5" tint="0.79998168889431442"/>
        <color rgb="FFFF0000"/>
      </colorScale>
    </cfRule>
    <cfRule type="colorScale" priority="9144">
      <colorScale>
        <cfvo type="min"/>
        <cfvo type="max"/>
        <color rgb="FFFF0000"/>
        <color rgb="FF92D050"/>
      </colorScale>
    </cfRule>
    <cfRule type="colorScale" priority="9145">
      <colorScale>
        <cfvo type="min"/>
        <cfvo type="percentile" val="50"/>
        <cfvo type="max"/>
        <color rgb="FF5A8AC6"/>
        <color rgb="FFFCFCFF"/>
        <color rgb="FFF8696B"/>
      </colorScale>
    </cfRule>
    <cfRule type="colorScale" priority="9146">
      <colorScale>
        <cfvo type="formula" val="&quot;&gt;20&quot;"/>
        <cfvo type="formula" val="35"/>
        <color rgb="FFF8696B"/>
        <color rgb="FFFCFCFF"/>
      </colorScale>
    </cfRule>
    <cfRule type="colorScale" priority="9147">
      <colorScale>
        <cfvo type="min"/>
        <cfvo type="max"/>
        <color rgb="FFFFEF9C"/>
        <color rgb="FF63BE7B"/>
      </colorScale>
    </cfRule>
  </conditionalFormatting>
  <conditionalFormatting sqref="N1735">
    <cfRule type="colorScale" priority="9138">
      <colorScale>
        <cfvo type="min"/>
        <cfvo type="percentile" val="20"/>
        <cfvo type="max"/>
        <color rgb="FF92D050"/>
        <color theme="5" tint="0.79998168889431442"/>
        <color rgb="FFFF0000"/>
      </colorScale>
    </cfRule>
    <cfRule type="colorScale" priority="9139">
      <colorScale>
        <cfvo type="min"/>
        <cfvo type="max"/>
        <color rgb="FFFF0000"/>
        <color rgb="FF92D050"/>
      </colorScale>
    </cfRule>
    <cfRule type="colorScale" priority="9140">
      <colorScale>
        <cfvo type="min"/>
        <cfvo type="percentile" val="50"/>
        <cfvo type="max"/>
        <color rgb="FF5A8AC6"/>
        <color rgb="FFFCFCFF"/>
        <color rgb="FFF8696B"/>
      </colorScale>
    </cfRule>
    <cfRule type="colorScale" priority="9141">
      <colorScale>
        <cfvo type="formula" val="&quot;&gt;20&quot;"/>
        <cfvo type="formula" val="35"/>
        <color rgb="FFF8696B"/>
        <color rgb="FFFCFCFF"/>
      </colorScale>
    </cfRule>
    <cfRule type="colorScale" priority="9142">
      <colorScale>
        <cfvo type="min"/>
        <cfvo type="max"/>
        <color rgb="FFFFEF9C"/>
        <color rgb="FF63BE7B"/>
      </colorScale>
    </cfRule>
  </conditionalFormatting>
  <conditionalFormatting sqref="S1719:S1735">
    <cfRule type="containsText" dxfId="4556" priority="9134" operator="containsText" text="Short Buildup">
      <formula>NOT(ISERROR(SEARCH("Short Buildup",S1719)))</formula>
    </cfRule>
    <cfRule type="containsText" dxfId="4555" priority="9135" operator="containsText" text="Long Liquidation">
      <formula>NOT(ISERROR(SEARCH("Long Liquidation",S1719)))</formula>
    </cfRule>
    <cfRule type="containsText" dxfId="4554" priority="9136" operator="containsText" text="Short covering">
      <formula>NOT(ISERROR(SEARCH("Short covering",S1719)))</formula>
    </cfRule>
    <cfRule type="containsText" dxfId="4553" priority="9137" operator="containsText" text="Long Buildup">
      <formula>NOT(ISERROR(SEARCH("Long Buildup",S1719)))</formula>
    </cfRule>
  </conditionalFormatting>
  <conditionalFormatting sqref="F1719:F1734">
    <cfRule type="dataBar" priority="9133">
      <dataBar>
        <cfvo type="min"/>
        <cfvo type="max"/>
        <color rgb="FFFF555A"/>
      </dataBar>
    </cfRule>
  </conditionalFormatting>
  <conditionalFormatting sqref="G1719:G1734">
    <cfRule type="dataBar" priority="9132">
      <dataBar>
        <cfvo type="min"/>
        <cfvo type="max"/>
        <color rgb="FFFF555A"/>
      </dataBar>
    </cfRule>
  </conditionalFormatting>
  <conditionalFormatting sqref="H1719">
    <cfRule type="dataBar" priority="9131">
      <dataBar>
        <cfvo type="min"/>
        <cfvo type="max"/>
        <color rgb="FFFF555A"/>
      </dataBar>
    </cfRule>
  </conditionalFormatting>
  <conditionalFormatting sqref="I1719">
    <cfRule type="dataBar" priority="9130">
      <dataBar>
        <cfvo type="min"/>
        <cfvo type="max"/>
        <color rgb="FFFF555A"/>
      </dataBar>
    </cfRule>
  </conditionalFormatting>
  <conditionalFormatting sqref="J1719">
    <cfRule type="dataBar" priority="9129">
      <dataBar>
        <cfvo type="min"/>
        <cfvo type="max"/>
        <color rgb="FFFF555A"/>
      </dataBar>
    </cfRule>
  </conditionalFormatting>
  <conditionalFormatting sqref="E1720:E1734">
    <cfRule type="dataBar" priority="9128">
      <dataBar>
        <cfvo type="min"/>
        <cfvo type="max"/>
        <color rgb="FFFF555A"/>
      </dataBar>
    </cfRule>
  </conditionalFormatting>
  <conditionalFormatting sqref="H1720:H1734">
    <cfRule type="dataBar" priority="9127">
      <dataBar>
        <cfvo type="min"/>
        <cfvo type="max"/>
        <color rgb="FFFF555A"/>
      </dataBar>
    </cfRule>
  </conditionalFormatting>
  <conditionalFormatting sqref="I1720:I1734">
    <cfRule type="dataBar" priority="9126">
      <dataBar>
        <cfvo type="min"/>
        <cfvo type="max"/>
        <color rgb="FFFF555A"/>
      </dataBar>
    </cfRule>
  </conditionalFormatting>
  <conditionalFormatting sqref="J1720:J1734">
    <cfRule type="dataBar" priority="9125">
      <dataBar>
        <cfvo type="min"/>
        <cfvo type="max"/>
        <color rgb="FFFF555A"/>
      </dataBar>
    </cfRule>
  </conditionalFormatting>
  <conditionalFormatting sqref="L1719:L1734">
    <cfRule type="dataBar" priority="9124">
      <dataBar>
        <cfvo type="min"/>
        <cfvo type="max"/>
        <color rgb="FFFF555A"/>
      </dataBar>
    </cfRule>
  </conditionalFormatting>
  <conditionalFormatting sqref="M1719:M1734">
    <cfRule type="dataBar" priority="9123">
      <dataBar>
        <cfvo type="min"/>
        <cfvo type="max"/>
        <color rgb="FFFF555A"/>
      </dataBar>
    </cfRule>
  </conditionalFormatting>
  <conditionalFormatting sqref="N1719:N1734">
    <cfRule type="dataBar" priority="9122">
      <dataBar>
        <cfvo type="min"/>
        <cfvo type="max"/>
        <color rgb="FFFF555A"/>
      </dataBar>
    </cfRule>
  </conditionalFormatting>
  <conditionalFormatting sqref="Q1719:Q1734">
    <cfRule type="dataBar" priority="9121">
      <dataBar>
        <cfvo type="min"/>
        <cfvo type="max"/>
        <color rgb="FFFF555A"/>
      </dataBar>
    </cfRule>
  </conditionalFormatting>
  <conditionalFormatting sqref="O1719:O1734">
    <cfRule type="dataBar" priority="9120">
      <dataBar>
        <cfvo type="min"/>
        <cfvo type="max"/>
        <color rgb="FFFF555A"/>
      </dataBar>
    </cfRule>
  </conditionalFormatting>
  <conditionalFormatting sqref="P1719:P1734">
    <cfRule type="dataBar" priority="9119">
      <dataBar>
        <cfvo type="min"/>
        <cfvo type="max"/>
        <color rgb="FFFF555A"/>
      </dataBar>
    </cfRule>
  </conditionalFormatting>
  <conditionalFormatting sqref="R1736:R1752 D1736:D1751 C1752">
    <cfRule type="containsText" dxfId="4552" priority="9118" operator="containsText" text="DOWN">
      <formula>NOT(ISERROR(SEARCH("DOWN",C1736)))</formula>
    </cfRule>
  </conditionalFormatting>
  <conditionalFormatting sqref="R1736:R1752 D1736:D1751 C1752">
    <cfRule type="containsText" dxfId="4551" priority="9117" operator="containsText" text="UP">
      <formula>NOT(ISERROR(SEARCH("UP",C1736)))</formula>
    </cfRule>
  </conditionalFormatting>
  <conditionalFormatting sqref="I1752">
    <cfRule type="colorScale" priority="9116">
      <colorScale>
        <cfvo type="min"/>
        <cfvo type="max"/>
        <color rgb="FFFFEF9C"/>
        <color rgb="FF63BE7B"/>
      </colorScale>
    </cfRule>
  </conditionalFormatting>
  <conditionalFormatting sqref="M1752">
    <cfRule type="colorScale" priority="9115">
      <colorScale>
        <cfvo type="min"/>
        <cfvo type="max"/>
        <color rgb="FFFF7128"/>
        <color rgb="FFFFEF9C"/>
      </colorScale>
    </cfRule>
  </conditionalFormatting>
  <conditionalFormatting sqref="Q1752">
    <cfRule type="dataBar" priority="9114">
      <dataBar>
        <cfvo type="min"/>
        <cfvo type="max"/>
        <color rgb="FFFF555A"/>
      </dataBar>
    </cfRule>
  </conditionalFormatting>
  <conditionalFormatting sqref="E1736:E1752">
    <cfRule type="dataBar" priority="9113">
      <dataBar>
        <cfvo type="min"/>
        <cfvo type="max"/>
        <color rgb="FFFF555A"/>
      </dataBar>
    </cfRule>
  </conditionalFormatting>
  <conditionalFormatting sqref="F1752">
    <cfRule type="top10" dxfId="4550" priority="9112" rank="1"/>
  </conditionalFormatting>
  <conditionalFormatting sqref="G1752 P1752">
    <cfRule type="cellIs" dxfId="4549" priority="9111" operator="equal">
      <formula>$G$135</formula>
    </cfRule>
  </conditionalFormatting>
  <conditionalFormatting sqref="P1752">
    <cfRule type="cellIs" dxfId="4548" priority="9110" operator="equal">
      <formula>$J$135</formula>
    </cfRule>
  </conditionalFormatting>
  <conditionalFormatting sqref="G1752 P1752">
    <cfRule type="cellIs" dxfId="4547" priority="9109" operator="equal">
      <formula>#REF!</formula>
    </cfRule>
  </conditionalFormatting>
  <conditionalFormatting sqref="G1752">
    <cfRule type="top10" dxfId="4546" priority="9107" rank="1"/>
    <cfRule type="cellIs" dxfId="4545" priority="9108" operator="equal">
      <formula>$G$133</formula>
    </cfRule>
  </conditionalFormatting>
  <conditionalFormatting sqref="P1752">
    <cfRule type="top10" dxfId="4544" priority="9105" rank="1"/>
    <cfRule type="cellIs" dxfId="4543" priority="9106" operator="equal">
      <formula>$G$133</formula>
    </cfRule>
  </conditionalFormatting>
  <conditionalFormatting sqref="C1736:C1751">
    <cfRule type="containsText" dxfId="4542" priority="9101" operator="containsText" text="Short Buildup">
      <formula>NOT(ISERROR(SEARCH("Short Buildup",C1736)))</formula>
    </cfRule>
    <cfRule type="containsText" dxfId="4541" priority="9102" operator="containsText" text="Long Liquidation">
      <formula>NOT(ISERROR(SEARCH("Long Liquidation",C1736)))</formula>
    </cfRule>
    <cfRule type="containsText" dxfId="4540" priority="9103" operator="containsText" text="Short covering">
      <formula>NOT(ISERROR(SEARCH("Short covering",C1736)))</formula>
    </cfRule>
    <cfRule type="containsText" dxfId="4539" priority="9104" operator="containsText" text="Long Buildup">
      <formula>NOT(ISERROR(SEARCH("Long Buildup",C1736)))</formula>
    </cfRule>
  </conditionalFormatting>
  <conditionalFormatting sqref="H1752">
    <cfRule type="colorScale" priority="9096">
      <colorScale>
        <cfvo type="min"/>
        <cfvo type="percentile" val="20"/>
        <cfvo type="max"/>
        <color rgb="FF92D050"/>
        <color theme="5" tint="0.79998168889431442"/>
        <color rgb="FFFF0000"/>
      </colorScale>
    </cfRule>
    <cfRule type="colorScale" priority="9097">
      <colorScale>
        <cfvo type="min"/>
        <cfvo type="max"/>
        <color rgb="FFFF0000"/>
        <color rgb="FF92D050"/>
      </colorScale>
    </cfRule>
    <cfRule type="colorScale" priority="9098">
      <colorScale>
        <cfvo type="min"/>
        <cfvo type="percentile" val="50"/>
        <cfvo type="max"/>
        <color rgb="FF5A8AC6"/>
        <color rgb="FFFCFCFF"/>
        <color rgb="FFF8696B"/>
      </colorScale>
    </cfRule>
    <cfRule type="colorScale" priority="9099">
      <colorScale>
        <cfvo type="formula" val="&quot;&gt;20&quot;"/>
        <cfvo type="formula" val="35"/>
        <color rgb="FFF8696B"/>
        <color rgb="FFFCFCFF"/>
      </colorScale>
    </cfRule>
    <cfRule type="colorScale" priority="9100">
      <colorScale>
        <cfvo type="min"/>
        <cfvo type="max"/>
        <color rgb="FFFFEF9C"/>
        <color rgb="FF63BE7B"/>
      </colorScale>
    </cfRule>
  </conditionalFormatting>
  <conditionalFormatting sqref="N1752">
    <cfRule type="colorScale" priority="9091">
      <colorScale>
        <cfvo type="min"/>
        <cfvo type="percentile" val="20"/>
        <cfvo type="max"/>
        <color rgb="FF92D050"/>
        <color theme="5" tint="0.79998168889431442"/>
        <color rgb="FFFF0000"/>
      </colorScale>
    </cfRule>
    <cfRule type="colorScale" priority="9092">
      <colorScale>
        <cfvo type="min"/>
        <cfvo type="max"/>
        <color rgb="FFFF0000"/>
        <color rgb="FF92D050"/>
      </colorScale>
    </cfRule>
    <cfRule type="colorScale" priority="9093">
      <colorScale>
        <cfvo type="min"/>
        <cfvo type="percentile" val="50"/>
        <cfvo type="max"/>
        <color rgb="FF5A8AC6"/>
        <color rgb="FFFCFCFF"/>
        <color rgb="FFF8696B"/>
      </colorScale>
    </cfRule>
    <cfRule type="colorScale" priority="9094">
      <colorScale>
        <cfvo type="formula" val="&quot;&gt;20&quot;"/>
        <cfvo type="formula" val="35"/>
        <color rgb="FFF8696B"/>
        <color rgb="FFFCFCFF"/>
      </colorScale>
    </cfRule>
    <cfRule type="colorScale" priority="9095">
      <colorScale>
        <cfvo type="min"/>
        <cfvo type="max"/>
        <color rgb="FFFFEF9C"/>
        <color rgb="FF63BE7B"/>
      </colorScale>
    </cfRule>
  </conditionalFormatting>
  <conditionalFormatting sqref="S1736:S1752">
    <cfRule type="containsText" dxfId="4538" priority="9087" operator="containsText" text="Short Buildup">
      <formula>NOT(ISERROR(SEARCH("Short Buildup",S1736)))</formula>
    </cfRule>
    <cfRule type="containsText" dxfId="4537" priority="9088" operator="containsText" text="Long Liquidation">
      <formula>NOT(ISERROR(SEARCH("Long Liquidation",S1736)))</formula>
    </cfRule>
    <cfRule type="containsText" dxfId="4536" priority="9089" operator="containsText" text="Short covering">
      <formula>NOT(ISERROR(SEARCH("Short covering",S1736)))</formula>
    </cfRule>
    <cfRule type="containsText" dxfId="4535" priority="9090" operator="containsText" text="Long Buildup">
      <formula>NOT(ISERROR(SEARCH("Long Buildup",S1736)))</formula>
    </cfRule>
  </conditionalFormatting>
  <conditionalFormatting sqref="F1736:F1751">
    <cfRule type="dataBar" priority="9086">
      <dataBar>
        <cfvo type="min"/>
        <cfvo type="max"/>
        <color rgb="FFFF555A"/>
      </dataBar>
    </cfRule>
  </conditionalFormatting>
  <conditionalFormatting sqref="G1736:G1751">
    <cfRule type="dataBar" priority="9085">
      <dataBar>
        <cfvo type="min"/>
        <cfvo type="max"/>
        <color rgb="FFFF555A"/>
      </dataBar>
    </cfRule>
  </conditionalFormatting>
  <conditionalFormatting sqref="H1736">
    <cfRule type="dataBar" priority="9084">
      <dataBar>
        <cfvo type="min"/>
        <cfvo type="max"/>
        <color rgb="FFFF555A"/>
      </dataBar>
    </cfRule>
  </conditionalFormatting>
  <conditionalFormatting sqref="I1736">
    <cfRule type="dataBar" priority="9083">
      <dataBar>
        <cfvo type="min"/>
        <cfvo type="max"/>
        <color rgb="FFFF555A"/>
      </dataBar>
    </cfRule>
  </conditionalFormatting>
  <conditionalFormatting sqref="J1736">
    <cfRule type="dataBar" priority="9082">
      <dataBar>
        <cfvo type="min"/>
        <cfvo type="max"/>
        <color rgb="FFFF555A"/>
      </dataBar>
    </cfRule>
  </conditionalFormatting>
  <conditionalFormatting sqref="E1737:E1751">
    <cfRule type="dataBar" priority="9081">
      <dataBar>
        <cfvo type="min"/>
        <cfvo type="max"/>
        <color rgb="FFFF555A"/>
      </dataBar>
    </cfRule>
  </conditionalFormatting>
  <conditionalFormatting sqref="H1737:H1751">
    <cfRule type="dataBar" priority="9080">
      <dataBar>
        <cfvo type="min"/>
        <cfvo type="max"/>
        <color rgb="FFFF555A"/>
      </dataBar>
    </cfRule>
  </conditionalFormatting>
  <conditionalFormatting sqref="I1737:I1751">
    <cfRule type="dataBar" priority="9079">
      <dataBar>
        <cfvo type="min"/>
        <cfvo type="max"/>
        <color rgb="FFFF555A"/>
      </dataBar>
    </cfRule>
  </conditionalFormatting>
  <conditionalFormatting sqref="J1737:J1751">
    <cfRule type="dataBar" priority="9078">
      <dataBar>
        <cfvo type="min"/>
        <cfvo type="max"/>
        <color rgb="FFFF555A"/>
      </dataBar>
    </cfRule>
  </conditionalFormatting>
  <conditionalFormatting sqref="L1736:L1751">
    <cfRule type="dataBar" priority="9077">
      <dataBar>
        <cfvo type="min"/>
        <cfvo type="max"/>
        <color rgb="FFFF555A"/>
      </dataBar>
    </cfRule>
  </conditionalFormatting>
  <conditionalFormatting sqref="M1736:M1751">
    <cfRule type="dataBar" priority="9076">
      <dataBar>
        <cfvo type="min"/>
        <cfvo type="max"/>
        <color rgb="FFFF555A"/>
      </dataBar>
    </cfRule>
  </conditionalFormatting>
  <conditionalFormatting sqref="N1736:N1751">
    <cfRule type="dataBar" priority="9075">
      <dataBar>
        <cfvo type="min"/>
        <cfvo type="max"/>
        <color rgb="FFFF555A"/>
      </dataBar>
    </cfRule>
  </conditionalFormatting>
  <conditionalFormatting sqref="Q1736:Q1751">
    <cfRule type="dataBar" priority="9074">
      <dataBar>
        <cfvo type="min"/>
        <cfvo type="max"/>
        <color rgb="FFFF555A"/>
      </dataBar>
    </cfRule>
  </conditionalFormatting>
  <conditionalFormatting sqref="O1736:O1751">
    <cfRule type="dataBar" priority="9073">
      <dataBar>
        <cfvo type="min"/>
        <cfvo type="max"/>
        <color rgb="FFFF555A"/>
      </dataBar>
    </cfRule>
  </conditionalFormatting>
  <conditionalFormatting sqref="P1736:P1751">
    <cfRule type="dataBar" priority="9072">
      <dataBar>
        <cfvo type="min"/>
        <cfvo type="max"/>
        <color rgb="FFFF555A"/>
      </dataBar>
    </cfRule>
  </conditionalFormatting>
  <conditionalFormatting sqref="R1753:R1769 D1753:D1768 C1769">
    <cfRule type="containsText" dxfId="4534" priority="9071" operator="containsText" text="DOWN">
      <formula>NOT(ISERROR(SEARCH("DOWN",C1753)))</formula>
    </cfRule>
  </conditionalFormatting>
  <conditionalFormatting sqref="R1753:R1769 D1753:D1768 C1769">
    <cfRule type="containsText" dxfId="4533" priority="9070" operator="containsText" text="UP">
      <formula>NOT(ISERROR(SEARCH("UP",C1753)))</formula>
    </cfRule>
  </conditionalFormatting>
  <conditionalFormatting sqref="I1769">
    <cfRule type="colorScale" priority="9069">
      <colorScale>
        <cfvo type="min"/>
        <cfvo type="max"/>
        <color rgb="FFFFEF9C"/>
        <color rgb="FF63BE7B"/>
      </colorScale>
    </cfRule>
  </conditionalFormatting>
  <conditionalFormatting sqref="M1769">
    <cfRule type="colorScale" priority="9068">
      <colorScale>
        <cfvo type="min"/>
        <cfvo type="max"/>
        <color rgb="FFFF7128"/>
        <color rgb="FFFFEF9C"/>
      </colorScale>
    </cfRule>
  </conditionalFormatting>
  <conditionalFormatting sqref="Q1769">
    <cfRule type="dataBar" priority="9067">
      <dataBar>
        <cfvo type="min"/>
        <cfvo type="max"/>
        <color rgb="FFFF555A"/>
      </dataBar>
    </cfRule>
  </conditionalFormatting>
  <conditionalFormatting sqref="E1753:E1769">
    <cfRule type="dataBar" priority="9066">
      <dataBar>
        <cfvo type="min"/>
        <cfvo type="max"/>
        <color rgb="FFFF555A"/>
      </dataBar>
    </cfRule>
  </conditionalFormatting>
  <conditionalFormatting sqref="F1769">
    <cfRule type="top10" dxfId="4532" priority="9065" rank="1"/>
  </conditionalFormatting>
  <conditionalFormatting sqref="G1769 P1769">
    <cfRule type="cellIs" dxfId="4531" priority="9064" operator="equal">
      <formula>$G$135</formula>
    </cfRule>
  </conditionalFormatting>
  <conditionalFormatting sqref="P1769">
    <cfRule type="cellIs" dxfId="4530" priority="9063" operator="equal">
      <formula>$J$135</formula>
    </cfRule>
  </conditionalFormatting>
  <conditionalFormatting sqref="G1769 P1769">
    <cfRule type="cellIs" dxfId="4529" priority="9062" operator="equal">
      <formula>#REF!</formula>
    </cfRule>
  </conditionalFormatting>
  <conditionalFormatting sqref="G1769">
    <cfRule type="top10" dxfId="4528" priority="9060" rank="1"/>
    <cfRule type="cellIs" dxfId="4527" priority="9061" operator="equal">
      <formula>$G$133</formula>
    </cfRule>
  </conditionalFormatting>
  <conditionalFormatting sqref="P1769">
    <cfRule type="top10" dxfId="4526" priority="9058" rank="1"/>
    <cfRule type="cellIs" dxfId="4525" priority="9059" operator="equal">
      <formula>$G$133</formula>
    </cfRule>
  </conditionalFormatting>
  <conditionalFormatting sqref="C1753:C1768">
    <cfRule type="containsText" dxfId="4524" priority="9054" operator="containsText" text="Short Buildup">
      <formula>NOT(ISERROR(SEARCH("Short Buildup",C1753)))</formula>
    </cfRule>
    <cfRule type="containsText" dxfId="4523" priority="9055" operator="containsText" text="Long Liquidation">
      <formula>NOT(ISERROR(SEARCH("Long Liquidation",C1753)))</formula>
    </cfRule>
    <cfRule type="containsText" dxfId="4522" priority="9056" operator="containsText" text="Short covering">
      <formula>NOT(ISERROR(SEARCH("Short covering",C1753)))</formula>
    </cfRule>
    <cfRule type="containsText" dxfId="4521" priority="9057" operator="containsText" text="Long Buildup">
      <formula>NOT(ISERROR(SEARCH("Long Buildup",C1753)))</formula>
    </cfRule>
  </conditionalFormatting>
  <conditionalFormatting sqref="H1769">
    <cfRule type="colorScale" priority="9049">
      <colorScale>
        <cfvo type="min"/>
        <cfvo type="percentile" val="20"/>
        <cfvo type="max"/>
        <color rgb="FF92D050"/>
        <color theme="5" tint="0.79998168889431442"/>
        <color rgb="FFFF0000"/>
      </colorScale>
    </cfRule>
    <cfRule type="colorScale" priority="9050">
      <colorScale>
        <cfvo type="min"/>
        <cfvo type="max"/>
        <color rgb="FFFF0000"/>
        <color rgb="FF92D050"/>
      </colorScale>
    </cfRule>
    <cfRule type="colorScale" priority="9051">
      <colorScale>
        <cfvo type="min"/>
        <cfvo type="percentile" val="50"/>
        <cfvo type="max"/>
        <color rgb="FF5A8AC6"/>
        <color rgb="FFFCFCFF"/>
        <color rgb="FFF8696B"/>
      </colorScale>
    </cfRule>
    <cfRule type="colorScale" priority="9052">
      <colorScale>
        <cfvo type="formula" val="&quot;&gt;20&quot;"/>
        <cfvo type="formula" val="35"/>
        <color rgb="FFF8696B"/>
        <color rgb="FFFCFCFF"/>
      </colorScale>
    </cfRule>
    <cfRule type="colorScale" priority="9053">
      <colorScale>
        <cfvo type="min"/>
        <cfvo type="max"/>
        <color rgb="FFFFEF9C"/>
        <color rgb="FF63BE7B"/>
      </colorScale>
    </cfRule>
  </conditionalFormatting>
  <conditionalFormatting sqref="N1769">
    <cfRule type="colorScale" priority="9044">
      <colorScale>
        <cfvo type="min"/>
        <cfvo type="percentile" val="20"/>
        <cfvo type="max"/>
        <color rgb="FF92D050"/>
        <color theme="5" tint="0.79998168889431442"/>
        <color rgb="FFFF0000"/>
      </colorScale>
    </cfRule>
    <cfRule type="colorScale" priority="9045">
      <colorScale>
        <cfvo type="min"/>
        <cfvo type="max"/>
        <color rgb="FFFF0000"/>
        <color rgb="FF92D050"/>
      </colorScale>
    </cfRule>
    <cfRule type="colorScale" priority="9046">
      <colorScale>
        <cfvo type="min"/>
        <cfvo type="percentile" val="50"/>
        <cfvo type="max"/>
        <color rgb="FF5A8AC6"/>
        <color rgb="FFFCFCFF"/>
        <color rgb="FFF8696B"/>
      </colorScale>
    </cfRule>
    <cfRule type="colorScale" priority="9047">
      <colorScale>
        <cfvo type="formula" val="&quot;&gt;20&quot;"/>
        <cfvo type="formula" val="35"/>
        <color rgb="FFF8696B"/>
        <color rgb="FFFCFCFF"/>
      </colorScale>
    </cfRule>
    <cfRule type="colorScale" priority="9048">
      <colorScale>
        <cfvo type="min"/>
        <cfvo type="max"/>
        <color rgb="FFFFEF9C"/>
        <color rgb="FF63BE7B"/>
      </colorScale>
    </cfRule>
  </conditionalFormatting>
  <conditionalFormatting sqref="S1753:S1769">
    <cfRule type="containsText" dxfId="4520" priority="9040" operator="containsText" text="Short Buildup">
      <formula>NOT(ISERROR(SEARCH("Short Buildup",S1753)))</formula>
    </cfRule>
    <cfRule type="containsText" dxfId="4519" priority="9041" operator="containsText" text="Long Liquidation">
      <formula>NOT(ISERROR(SEARCH("Long Liquidation",S1753)))</formula>
    </cfRule>
    <cfRule type="containsText" dxfId="4518" priority="9042" operator="containsText" text="Short covering">
      <formula>NOT(ISERROR(SEARCH("Short covering",S1753)))</formula>
    </cfRule>
    <cfRule type="containsText" dxfId="4517" priority="9043" operator="containsText" text="Long Buildup">
      <formula>NOT(ISERROR(SEARCH("Long Buildup",S1753)))</formula>
    </cfRule>
  </conditionalFormatting>
  <conditionalFormatting sqref="F1753:F1768">
    <cfRule type="dataBar" priority="9039">
      <dataBar>
        <cfvo type="min"/>
        <cfvo type="max"/>
        <color rgb="FFFF555A"/>
      </dataBar>
    </cfRule>
  </conditionalFormatting>
  <conditionalFormatting sqref="G1753:G1768">
    <cfRule type="dataBar" priority="9038">
      <dataBar>
        <cfvo type="min"/>
        <cfvo type="max"/>
        <color rgb="FFFF555A"/>
      </dataBar>
    </cfRule>
  </conditionalFormatting>
  <conditionalFormatting sqref="H1753">
    <cfRule type="dataBar" priority="9037">
      <dataBar>
        <cfvo type="min"/>
        <cfvo type="max"/>
        <color rgb="FFFF555A"/>
      </dataBar>
    </cfRule>
  </conditionalFormatting>
  <conditionalFormatting sqref="I1753">
    <cfRule type="dataBar" priority="9036">
      <dataBar>
        <cfvo type="min"/>
        <cfvo type="max"/>
        <color rgb="FFFF555A"/>
      </dataBar>
    </cfRule>
  </conditionalFormatting>
  <conditionalFormatting sqref="J1753">
    <cfRule type="dataBar" priority="9035">
      <dataBar>
        <cfvo type="min"/>
        <cfvo type="max"/>
        <color rgb="FFFF555A"/>
      </dataBar>
    </cfRule>
  </conditionalFormatting>
  <conditionalFormatting sqref="E1754:E1768">
    <cfRule type="dataBar" priority="9034">
      <dataBar>
        <cfvo type="min"/>
        <cfvo type="max"/>
        <color rgb="FFFF555A"/>
      </dataBar>
    </cfRule>
  </conditionalFormatting>
  <conditionalFormatting sqref="H1754:H1768">
    <cfRule type="dataBar" priority="9033">
      <dataBar>
        <cfvo type="min"/>
        <cfvo type="max"/>
        <color rgb="FFFF555A"/>
      </dataBar>
    </cfRule>
  </conditionalFormatting>
  <conditionalFormatting sqref="I1754:I1768">
    <cfRule type="dataBar" priority="9032">
      <dataBar>
        <cfvo type="min"/>
        <cfvo type="max"/>
        <color rgb="FFFF555A"/>
      </dataBar>
    </cfRule>
  </conditionalFormatting>
  <conditionalFormatting sqref="J1754:J1768">
    <cfRule type="dataBar" priority="9031">
      <dataBar>
        <cfvo type="min"/>
        <cfvo type="max"/>
        <color rgb="FFFF555A"/>
      </dataBar>
    </cfRule>
  </conditionalFormatting>
  <conditionalFormatting sqref="L1753:L1768">
    <cfRule type="dataBar" priority="9030">
      <dataBar>
        <cfvo type="min"/>
        <cfvo type="max"/>
        <color rgb="FFFF555A"/>
      </dataBar>
    </cfRule>
  </conditionalFormatting>
  <conditionalFormatting sqref="M1753:M1768">
    <cfRule type="dataBar" priority="9029">
      <dataBar>
        <cfvo type="min"/>
        <cfvo type="max"/>
        <color rgb="FFFF555A"/>
      </dataBar>
    </cfRule>
  </conditionalFormatting>
  <conditionalFormatting sqref="N1753:N1768">
    <cfRule type="dataBar" priority="9028">
      <dataBar>
        <cfvo type="min"/>
        <cfvo type="max"/>
        <color rgb="FFFF555A"/>
      </dataBar>
    </cfRule>
  </conditionalFormatting>
  <conditionalFormatting sqref="Q1753:Q1768">
    <cfRule type="dataBar" priority="9027">
      <dataBar>
        <cfvo type="min"/>
        <cfvo type="max"/>
        <color rgb="FFFF555A"/>
      </dataBar>
    </cfRule>
  </conditionalFormatting>
  <conditionalFormatting sqref="O1753:O1768">
    <cfRule type="dataBar" priority="9026">
      <dataBar>
        <cfvo type="min"/>
        <cfvo type="max"/>
        <color rgb="FFFF555A"/>
      </dataBar>
    </cfRule>
  </conditionalFormatting>
  <conditionalFormatting sqref="P1753:P1768">
    <cfRule type="dataBar" priority="9025">
      <dataBar>
        <cfvo type="min"/>
        <cfvo type="max"/>
        <color rgb="FFFF555A"/>
      </dataBar>
    </cfRule>
  </conditionalFormatting>
  <conditionalFormatting sqref="R1770:R1786 D1770:D1785 C1786">
    <cfRule type="containsText" dxfId="4516" priority="9024" operator="containsText" text="DOWN">
      <formula>NOT(ISERROR(SEARCH("DOWN",C1770)))</formula>
    </cfRule>
  </conditionalFormatting>
  <conditionalFormatting sqref="R1770:R1786 D1770:D1785 C1786">
    <cfRule type="containsText" dxfId="4515" priority="9023" operator="containsText" text="UP">
      <formula>NOT(ISERROR(SEARCH("UP",C1770)))</formula>
    </cfRule>
  </conditionalFormatting>
  <conditionalFormatting sqref="I1786">
    <cfRule type="colorScale" priority="9022">
      <colorScale>
        <cfvo type="min"/>
        <cfvo type="max"/>
        <color rgb="FFFFEF9C"/>
        <color rgb="FF63BE7B"/>
      </colorScale>
    </cfRule>
  </conditionalFormatting>
  <conditionalFormatting sqref="M1786">
    <cfRule type="colorScale" priority="9021">
      <colorScale>
        <cfvo type="min"/>
        <cfvo type="max"/>
        <color rgb="FFFF7128"/>
        <color rgb="FFFFEF9C"/>
      </colorScale>
    </cfRule>
  </conditionalFormatting>
  <conditionalFormatting sqref="Q1786">
    <cfRule type="dataBar" priority="9020">
      <dataBar>
        <cfvo type="min"/>
        <cfvo type="max"/>
        <color rgb="FFFF555A"/>
      </dataBar>
    </cfRule>
  </conditionalFormatting>
  <conditionalFormatting sqref="E1770:E1786">
    <cfRule type="dataBar" priority="9019">
      <dataBar>
        <cfvo type="min"/>
        <cfvo type="max"/>
        <color rgb="FFFF555A"/>
      </dataBar>
    </cfRule>
  </conditionalFormatting>
  <conditionalFormatting sqref="F1786">
    <cfRule type="top10" dxfId="4514" priority="9018" rank="1"/>
  </conditionalFormatting>
  <conditionalFormatting sqref="G1786 P1786">
    <cfRule type="cellIs" dxfId="4513" priority="9017" operator="equal">
      <formula>$G$135</formula>
    </cfRule>
  </conditionalFormatting>
  <conditionalFormatting sqref="P1786">
    <cfRule type="cellIs" dxfId="4512" priority="9016" operator="equal">
      <formula>$J$135</formula>
    </cfRule>
  </conditionalFormatting>
  <conditionalFormatting sqref="G1786 P1786">
    <cfRule type="cellIs" dxfId="4511" priority="9015" operator="equal">
      <formula>#REF!</formula>
    </cfRule>
  </conditionalFormatting>
  <conditionalFormatting sqref="G1786">
    <cfRule type="top10" dxfId="4510" priority="9013" rank="1"/>
    <cfRule type="cellIs" dxfId="4509" priority="9014" operator="equal">
      <formula>$G$133</formula>
    </cfRule>
  </conditionalFormatting>
  <conditionalFormatting sqref="P1786">
    <cfRule type="top10" dxfId="4508" priority="9011" rank="1"/>
    <cfRule type="cellIs" dxfId="4507" priority="9012" operator="equal">
      <formula>$G$133</formula>
    </cfRule>
  </conditionalFormatting>
  <conditionalFormatting sqref="C1770:C1785">
    <cfRule type="containsText" dxfId="4506" priority="9007" operator="containsText" text="Short Buildup">
      <formula>NOT(ISERROR(SEARCH("Short Buildup",C1770)))</formula>
    </cfRule>
    <cfRule type="containsText" dxfId="4505" priority="9008" operator="containsText" text="Long Liquidation">
      <formula>NOT(ISERROR(SEARCH("Long Liquidation",C1770)))</formula>
    </cfRule>
    <cfRule type="containsText" dxfId="4504" priority="9009" operator="containsText" text="Short covering">
      <formula>NOT(ISERROR(SEARCH("Short covering",C1770)))</formula>
    </cfRule>
    <cfRule type="containsText" dxfId="4503" priority="9010" operator="containsText" text="Long Buildup">
      <formula>NOT(ISERROR(SEARCH("Long Buildup",C1770)))</formula>
    </cfRule>
  </conditionalFormatting>
  <conditionalFormatting sqref="H1786">
    <cfRule type="colorScale" priority="9002">
      <colorScale>
        <cfvo type="min"/>
        <cfvo type="percentile" val="20"/>
        <cfvo type="max"/>
        <color rgb="FF92D050"/>
        <color theme="5" tint="0.79998168889431442"/>
        <color rgb="FFFF0000"/>
      </colorScale>
    </cfRule>
    <cfRule type="colorScale" priority="9003">
      <colorScale>
        <cfvo type="min"/>
        <cfvo type="max"/>
        <color rgb="FFFF0000"/>
        <color rgb="FF92D050"/>
      </colorScale>
    </cfRule>
    <cfRule type="colorScale" priority="9004">
      <colorScale>
        <cfvo type="min"/>
        <cfvo type="percentile" val="50"/>
        <cfvo type="max"/>
        <color rgb="FF5A8AC6"/>
        <color rgb="FFFCFCFF"/>
        <color rgb="FFF8696B"/>
      </colorScale>
    </cfRule>
    <cfRule type="colorScale" priority="9005">
      <colorScale>
        <cfvo type="formula" val="&quot;&gt;20&quot;"/>
        <cfvo type="formula" val="35"/>
        <color rgb="FFF8696B"/>
        <color rgb="FFFCFCFF"/>
      </colorScale>
    </cfRule>
    <cfRule type="colorScale" priority="9006">
      <colorScale>
        <cfvo type="min"/>
        <cfvo type="max"/>
        <color rgb="FFFFEF9C"/>
        <color rgb="FF63BE7B"/>
      </colorScale>
    </cfRule>
  </conditionalFormatting>
  <conditionalFormatting sqref="N1786">
    <cfRule type="colorScale" priority="8997">
      <colorScale>
        <cfvo type="min"/>
        <cfvo type="percentile" val="20"/>
        <cfvo type="max"/>
        <color rgb="FF92D050"/>
        <color theme="5" tint="0.79998168889431442"/>
        <color rgb="FFFF0000"/>
      </colorScale>
    </cfRule>
    <cfRule type="colorScale" priority="8998">
      <colorScale>
        <cfvo type="min"/>
        <cfvo type="max"/>
        <color rgb="FFFF0000"/>
        <color rgb="FF92D050"/>
      </colorScale>
    </cfRule>
    <cfRule type="colorScale" priority="8999">
      <colorScale>
        <cfvo type="min"/>
        <cfvo type="percentile" val="50"/>
        <cfvo type="max"/>
        <color rgb="FF5A8AC6"/>
        <color rgb="FFFCFCFF"/>
        <color rgb="FFF8696B"/>
      </colorScale>
    </cfRule>
    <cfRule type="colorScale" priority="9000">
      <colorScale>
        <cfvo type="formula" val="&quot;&gt;20&quot;"/>
        <cfvo type="formula" val="35"/>
        <color rgb="FFF8696B"/>
        <color rgb="FFFCFCFF"/>
      </colorScale>
    </cfRule>
    <cfRule type="colorScale" priority="9001">
      <colorScale>
        <cfvo type="min"/>
        <cfvo type="max"/>
        <color rgb="FFFFEF9C"/>
        <color rgb="FF63BE7B"/>
      </colorScale>
    </cfRule>
  </conditionalFormatting>
  <conditionalFormatting sqref="S1770:S1786">
    <cfRule type="containsText" dxfId="4502" priority="8993" operator="containsText" text="Short Buildup">
      <formula>NOT(ISERROR(SEARCH("Short Buildup",S1770)))</formula>
    </cfRule>
    <cfRule type="containsText" dxfId="4501" priority="8994" operator="containsText" text="Long Liquidation">
      <formula>NOT(ISERROR(SEARCH("Long Liquidation",S1770)))</formula>
    </cfRule>
    <cfRule type="containsText" dxfId="4500" priority="8995" operator="containsText" text="Short covering">
      <formula>NOT(ISERROR(SEARCH("Short covering",S1770)))</formula>
    </cfRule>
    <cfRule type="containsText" dxfId="4499" priority="8996" operator="containsText" text="Long Buildup">
      <formula>NOT(ISERROR(SEARCH("Long Buildup",S1770)))</formula>
    </cfRule>
  </conditionalFormatting>
  <conditionalFormatting sqref="F1770:F1785">
    <cfRule type="dataBar" priority="8992">
      <dataBar>
        <cfvo type="min"/>
        <cfvo type="max"/>
        <color rgb="FFFF555A"/>
      </dataBar>
    </cfRule>
  </conditionalFormatting>
  <conditionalFormatting sqref="G1770:G1785">
    <cfRule type="dataBar" priority="8991">
      <dataBar>
        <cfvo type="min"/>
        <cfvo type="max"/>
        <color rgb="FFFF555A"/>
      </dataBar>
    </cfRule>
  </conditionalFormatting>
  <conditionalFormatting sqref="H1770">
    <cfRule type="dataBar" priority="8990">
      <dataBar>
        <cfvo type="min"/>
        <cfvo type="max"/>
        <color rgb="FFFF555A"/>
      </dataBar>
    </cfRule>
  </conditionalFormatting>
  <conditionalFormatting sqref="I1770">
    <cfRule type="dataBar" priority="8989">
      <dataBar>
        <cfvo type="min"/>
        <cfvo type="max"/>
        <color rgb="FFFF555A"/>
      </dataBar>
    </cfRule>
  </conditionalFormatting>
  <conditionalFormatting sqref="J1770">
    <cfRule type="dataBar" priority="8988">
      <dataBar>
        <cfvo type="min"/>
        <cfvo type="max"/>
        <color rgb="FFFF555A"/>
      </dataBar>
    </cfRule>
  </conditionalFormatting>
  <conditionalFormatting sqref="E1771:E1785">
    <cfRule type="dataBar" priority="8987">
      <dataBar>
        <cfvo type="min"/>
        <cfvo type="max"/>
        <color rgb="FFFF555A"/>
      </dataBar>
    </cfRule>
  </conditionalFormatting>
  <conditionalFormatting sqref="H1771:H1785">
    <cfRule type="dataBar" priority="8986">
      <dataBar>
        <cfvo type="min"/>
        <cfvo type="max"/>
        <color rgb="FFFF555A"/>
      </dataBar>
    </cfRule>
  </conditionalFormatting>
  <conditionalFormatting sqref="I1771:I1785">
    <cfRule type="dataBar" priority="8985">
      <dataBar>
        <cfvo type="min"/>
        <cfvo type="max"/>
        <color rgb="FFFF555A"/>
      </dataBar>
    </cfRule>
  </conditionalFormatting>
  <conditionalFormatting sqref="J1771:J1785">
    <cfRule type="dataBar" priority="8984">
      <dataBar>
        <cfvo type="min"/>
        <cfvo type="max"/>
        <color rgb="FFFF555A"/>
      </dataBar>
    </cfRule>
  </conditionalFormatting>
  <conditionalFormatting sqref="L1770:L1785">
    <cfRule type="dataBar" priority="8983">
      <dataBar>
        <cfvo type="min"/>
        <cfvo type="max"/>
        <color rgb="FFFF555A"/>
      </dataBar>
    </cfRule>
  </conditionalFormatting>
  <conditionalFormatting sqref="M1770:M1785">
    <cfRule type="dataBar" priority="8982">
      <dataBar>
        <cfvo type="min"/>
        <cfvo type="max"/>
        <color rgb="FFFF555A"/>
      </dataBar>
    </cfRule>
  </conditionalFormatting>
  <conditionalFormatting sqref="N1770:N1785">
    <cfRule type="dataBar" priority="8981">
      <dataBar>
        <cfvo type="min"/>
        <cfvo type="max"/>
        <color rgb="FFFF555A"/>
      </dataBar>
    </cfRule>
  </conditionalFormatting>
  <conditionalFormatting sqref="Q1770:Q1785">
    <cfRule type="dataBar" priority="8980">
      <dataBar>
        <cfvo type="min"/>
        <cfvo type="max"/>
        <color rgb="FFFF555A"/>
      </dataBar>
    </cfRule>
  </conditionalFormatting>
  <conditionalFormatting sqref="O1770:O1785">
    <cfRule type="dataBar" priority="8979">
      <dataBar>
        <cfvo type="min"/>
        <cfvo type="max"/>
        <color rgb="FFFF555A"/>
      </dataBar>
    </cfRule>
  </conditionalFormatting>
  <conditionalFormatting sqref="P1770:P1785">
    <cfRule type="dataBar" priority="8978">
      <dataBar>
        <cfvo type="min"/>
        <cfvo type="max"/>
        <color rgb="FFFF555A"/>
      </dataBar>
    </cfRule>
  </conditionalFormatting>
  <conditionalFormatting sqref="R1787:R1803 D1787:D1802 C1803">
    <cfRule type="containsText" dxfId="4498" priority="8977" operator="containsText" text="DOWN">
      <formula>NOT(ISERROR(SEARCH("DOWN",C1787)))</formula>
    </cfRule>
  </conditionalFormatting>
  <conditionalFormatting sqref="R1787:R1803 D1787:D1802 C1803">
    <cfRule type="containsText" dxfId="4497" priority="8976" operator="containsText" text="UP">
      <formula>NOT(ISERROR(SEARCH("UP",C1787)))</formula>
    </cfRule>
  </conditionalFormatting>
  <conditionalFormatting sqref="I1803">
    <cfRule type="colorScale" priority="8975">
      <colorScale>
        <cfvo type="min"/>
        <cfvo type="max"/>
        <color rgb="FFFFEF9C"/>
        <color rgb="FF63BE7B"/>
      </colorScale>
    </cfRule>
  </conditionalFormatting>
  <conditionalFormatting sqref="M1803">
    <cfRule type="colorScale" priority="8974">
      <colorScale>
        <cfvo type="min"/>
        <cfvo type="max"/>
        <color rgb="FFFF7128"/>
        <color rgb="FFFFEF9C"/>
      </colorScale>
    </cfRule>
  </conditionalFormatting>
  <conditionalFormatting sqref="Q1803">
    <cfRule type="dataBar" priority="8973">
      <dataBar>
        <cfvo type="min"/>
        <cfvo type="max"/>
        <color rgb="FFFF555A"/>
      </dataBar>
    </cfRule>
  </conditionalFormatting>
  <conditionalFormatting sqref="E1787:E1803">
    <cfRule type="dataBar" priority="8972">
      <dataBar>
        <cfvo type="min"/>
        <cfvo type="max"/>
        <color rgb="FFFF555A"/>
      </dataBar>
    </cfRule>
  </conditionalFormatting>
  <conditionalFormatting sqref="F1803">
    <cfRule type="top10" dxfId="4496" priority="8971" rank="1"/>
  </conditionalFormatting>
  <conditionalFormatting sqref="G1803 P1803">
    <cfRule type="cellIs" dxfId="4495" priority="8970" operator="equal">
      <formula>$G$135</formula>
    </cfRule>
  </conditionalFormatting>
  <conditionalFormatting sqref="P1803">
    <cfRule type="cellIs" dxfId="4494" priority="8969" operator="equal">
      <formula>$J$135</formula>
    </cfRule>
  </conditionalFormatting>
  <conditionalFormatting sqref="G1803 P1803">
    <cfRule type="cellIs" dxfId="4493" priority="8968" operator="equal">
      <formula>#REF!</formula>
    </cfRule>
  </conditionalFormatting>
  <conditionalFormatting sqref="G1803">
    <cfRule type="top10" dxfId="4492" priority="8966" rank="1"/>
    <cfRule type="cellIs" dxfId="4491" priority="8967" operator="equal">
      <formula>$G$133</formula>
    </cfRule>
  </conditionalFormatting>
  <conditionalFormatting sqref="P1803">
    <cfRule type="top10" dxfId="4490" priority="8964" rank="1"/>
    <cfRule type="cellIs" dxfId="4489" priority="8965" operator="equal">
      <formula>$G$133</formula>
    </cfRule>
  </conditionalFormatting>
  <conditionalFormatting sqref="C1787:C1802">
    <cfRule type="containsText" dxfId="4488" priority="8960" operator="containsText" text="Short Buildup">
      <formula>NOT(ISERROR(SEARCH("Short Buildup",C1787)))</formula>
    </cfRule>
    <cfRule type="containsText" dxfId="4487" priority="8961" operator="containsText" text="Long Liquidation">
      <formula>NOT(ISERROR(SEARCH("Long Liquidation",C1787)))</formula>
    </cfRule>
    <cfRule type="containsText" dxfId="4486" priority="8962" operator="containsText" text="Short covering">
      <formula>NOT(ISERROR(SEARCH("Short covering",C1787)))</formula>
    </cfRule>
    <cfRule type="containsText" dxfId="4485" priority="8963" operator="containsText" text="Long Buildup">
      <formula>NOT(ISERROR(SEARCH("Long Buildup",C1787)))</formula>
    </cfRule>
  </conditionalFormatting>
  <conditionalFormatting sqref="H1803">
    <cfRule type="colorScale" priority="8955">
      <colorScale>
        <cfvo type="min"/>
        <cfvo type="percentile" val="20"/>
        <cfvo type="max"/>
        <color rgb="FF92D050"/>
        <color theme="5" tint="0.79998168889431442"/>
        <color rgb="FFFF0000"/>
      </colorScale>
    </cfRule>
    <cfRule type="colorScale" priority="8956">
      <colorScale>
        <cfvo type="min"/>
        <cfvo type="max"/>
        <color rgb="FFFF0000"/>
        <color rgb="FF92D050"/>
      </colorScale>
    </cfRule>
    <cfRule type="colorScale" priority="8957">
      <colorScale>
        <cfvo type="min"/>
        <cfvo type="percentile" val="50"/>
        <cfvo type="max"/>
        <color rgb="FF5A8AC6"/>
        <color rgb="FFFCFCFF"/>
        <color rgb="FFF8696B"/>
      </colorScale>
    </cfRule>
    <cfRule type="colorScale" priority="8958">
      <colorScale>
        <cfvo type="formula" val="&quot;&gt;20&quot;"/>
        <cfvo type="formula" val="35"/>
        <color rgb="FFF8696B"/>
        <color rgb="FFFCFCFF"/>
      </colorScale>
    </cfRule>
    <cfRule type="colorScale" priority="8959">
      <colorScale>
        <cfvo type="min"/>
        <cfvo type="max"/>
        <color rgb="FFFFEF9C"/>
        <color rgb="FF63BE7B"/>
      </colorScale>
    </cfRule>
  </conditionalFormatting>
  <conditionalFormatting sqref="N1803">
    <cfRule type="colorScale" priority="8950">
      <colorScale>
        <cfvo type="min"/>
        <cfvo type="percentile" val="20"/>
        <cfvo type="max"/>
        <color rgb="FF92D050"/>
        <color theme="5" tint="0.79998168889431442"/>
        <color rgb="FFFF0000"/>
      </colorScale>
    </cfRule>
    <cfRule type="colorScale" priority="8951">
      <colorScale>
        <cfvo type="min"/>
        <cfvo type="max"/>
        <color rgb="FFFF0000"/>
        <color rgb="FF92D050"/>
      </colorScale>
    </cfRule>
    <cfRule type="colorScale" priority="8952">
      <colorScale>
        <cfvo type="min"/>
        <cfvo type="percentile" val="50"/>
        <cfvo type="max"/>
        <color rgb="FF5A8AC6"/>
        <color rgb="FFFCFCFF"/>
        <color rgb="FFF8696B"/>
      </colorScale>
    </cfRule>
    <cfRule type="colorScale" priority="8953">
      <colorScale>
        <cfvo type="formula" val="&quot;&gt;20&quot;"/>
        <cfvo type="formula" val="35"/>
        <color rgb="FFF8696B"/>
        <color rgb="FFFCFCFF"/>
      </colorScale>
    </cfRule>
    <cfRule type="colorScale" priority="8954">
      <colorScale>
        <cfvo type="min"/>
        <cfvo type="max"/>
        <color rgb="FFFFEF9C"/>
        <color rgb="FF63BE7B"/>
      </colorScale>
    </cfRule>
  </conditionalFormatting>
  <conditionalFormatting sqref="S1787:S1803">
    <cfRule type="containsText" dxfId="4484" priority="8946" operator="containsText" text="Short Buildup">
      <formula>NOT(ISERROR(SEARCH("Short Buildup",S1787)))</formula>
    </cfRule>
    <cfRule type="containsText" dxfId="4483" priority="8947" operator="containsText" text="Long Liquidation">
      <formula>NOT(ISERROR(SEARCH("Long Liquidation",S1787)))</formula>
    </cfRule>
    <cfRule type="containsText" dxfId="4482" priority="8948" operator="containsText" text="Short covering">
      <formula>NOT(ISERROR(SEARCH("Short covering",S1787)))</formula>
    </cfRule>
    <cfRule type="containsText" dxfId="4481" priority="8949" operator="containsText" text="Long Buildup">
      <formula>NOT(ISERROR(SEARCH("Long Buildup",S1787)))</formula>
    </cfRule>
  </conditionalFormatting>
  <conditionalFormatting sqref="F1787:F1802">
    <cfRule type="dataBar" priority="8945">
      <dataBar>
        <cfvo type="min"/>
        <cfvo type="max"/>
        <color rgb="FFFF555A"/>
      </dataBar>
    </cfRule>
  </conditionalFormatting>
  <conditionalFormatting sqref="G1787:G1802">
    <cfRule type="dataBar" priority="8944">
      <dataBar>
        <cfvo type="min"/>
        <cfvo type="max"/>
        <color rgb="FFFF555A"/>
      </dataBar>
    </cfRule>
  </conditionalFormatting>
  <conditionalFormatting sqref="H1787">
    <cfRule type="dataBar" priority="8943">
      <dataBar>
        <cfvo type="min"/>
        <cfvo type="max"/>
        <color rgb="FFFF555A"/>
      </dataBar>
    </cfRule>
  </conditionalFormatting>
  <conditionalFormatting sqref="I1787">
    <cfRule type="dataBar" priority="8942">
      <dataBar>
        <cfvo type="min"/>
        <cfvo type="max"/>
        <color rgb="FFFF555A"/>
      </dataBar>
    </cfRule>
  </conditionalFormatting>
  <conditionalFormatting sqref="J1787">
    <cfRule type="dataBar" priority="8941">
      <dataBar>
        <cfvo type="min"/>
        <cfvo type="max"/>
        <color rgb="FFFF555A"/>
      </dataBar>
    </cfRule>
  </conditionalFormatting>
  <conditionalFormatting sqref="E1788:E1802">
    <cfRule type="dataBar" priority="8940">
      <dataBar>
        <cfvo type="min"/>
        <cfvo type="max"/>
        <color rgb="FFFF555A"/>
      </dataBar>
    </cfRule>
  </conditionalFormatting>
  <conditionalFormatting sqref="H1788:H1802">
    <cfRule type="dataBar" priority="8939">
      <dataBar>
        <cfvo type="min"/>
        <cfvo type="max"/>
        <color rgb="FFFF555A"/>
      </dataBar>
    </cfRule>
  </conditionalFormatting>
  <conditionalFormatting sqref="I1788:I1802">
    <cfRule type="dataBar" priority="8938">
      <dataBar>
        <cfvo type="min"/>
        <cfvo type="max"/>
        <color rgb="FFFF555A"/>
      </dataBar>
    </cfRule>
  </conditionalFormatting>
  <conditionalFormatting sqref="J1788:J1802">
    <cfRule type="dataBar" priority="8937">
      <dataBar>
        <cfvo type="min"/>
        <cfvo type="max"/>
        <color rgb="FFFF555A"/>
      </dataBar>
    </cfRule>
  </conditionalFormatting>
  <conditionalFormatting sqref="L1787:L1802">
    <cfRule type="dataBar" priority="8936">
      <dataBar>
        <cfvo type="min"/>
        <cfvo type="max"/>
        <color rgb="FFFF555A"/>
      </dataBar>
    </cfRule>
  </conditionalFormatting>
  <conditionalFormatting sqref="M1787:M1802">
    <cfRule type="dataBar" priority="8935">
      <dataBar>
        <cfvo type="min"/>
        <cfvo type="max"/>
        <color rgb="FFFF555A"/>
      </dataBar>
    </cfRule>
  </conditionalFormatting>
  <conditionalFormatting sqref="N1787:N1802">
    <cfRule type="dataBar" priority="8934">
      <dataBar>
        <cfvo type="min"/>
        <cfvo type="max"/>
        <color rgb="FFFF555A"/>
      </dataBar>
    </cfRule>
  </conditionalFormatting>
  <conditionalFormatting sqref="Q1787:Q1802">
    <cfRule type="dataBar" priority="8933">
      <dataBar>
        <cfvo type="min"/>
        <cfvo type="max"/>
        <color rgb="FFFF555A"/>
      </dataBar>
    </cfRule>
  </conditionalFormatting>
  <conditionalFormatting sqref="O1787:O1802">
    <cfRule type="dataBar" priority="8932">
      <dataBar>
        <cfvo type="min"/>
        <cfvo type="max"/>
        <color rgb="FFFF555A"/>
      </dataBar>
    </cfRule>
  </conditionalFormatting>
  <conditionalFormatting sqref="P1787:P1802">
    <cfRule type="dataBar" priority="8931">
      <dataBar>
        <cfvo type="min"/>
        <cfvo type="max"/>
        <color rgb="FFFF555A"/>
      </dataBar>
    </cfRule>
  </conditionalFormatting>
  <conditionalFormatting sqref="R1804:R1820 D1804:D1819 C1820">
    <cfRule type="containsText" dxfId="4480" priority="8930" operator="containsText" text="DOWN">
      <formula>NOT(ISERROR(SEARCH("DOWN",C1804)))</formula>
    </cfRule>
  </conditionalFormatting>
  <conditionalFormatting sqref="R1804:R1820 D1804:D1819 C1820">
    <cfRule type="containsText" dxfId="4479" priority="8929" operator="containsText" text="UP">
      <formula>NOT(ISERROR(SEARCH("UP",C1804)))</formula>
    </cfRule>
  </conditionalFormatting>
  <conditionalFormatting sqref="I1820">
    <cfRule type="colorScale" priority="8928">
      <colorScale>
        <cfvo type="min"/>
        <cfvo type="max"/>
        <color rgb="FFFFEF9C"/>
        <color rgb="FF63BE7B"/>
      </colorScale>
    </cfRule>
  </conditionalFormatting>
  <conditionalFormatting sqref="M1820">
    <cfRule type="colorScale" priority="8927">
      <colorScale>
        <cfvo type="min"/>
        <cfvo type="max"/>
        <color rgb="FFFF7128"/>
        <color rgb="FFFFEF9C"/>
      </colorScale>
    </cfRule>
  </conditionalFormatting>
  <conditionalFormatting sqref="Q1820">
    <cfRule type="dataBar" priority="8926">
      <dataBar>
        <cfvo type="min"/>
        <cfvo type="max"/>
        <color rgb="FFFF555A"/>
      </dataBar>
    </cfRule>
  </conditionalFormatting>
  <conditionalFormatting sqref="E1804:E1820">
    <cfRule type="dataBar" priority="8925">
      <dataBar>
        <cfvo type="min"/>
        <cfvo type="max"/>
        <color rgb="FFFF555A"/>
      </dataBar>
    </cfRule>
  </conditionalFormatting>
  <conditionalFormatting sqref="F1820">
    <cfRule type="top10" dxfId="4478" priority="8924" rank="1"/>
  </conditionalFormatting>
  <conditionalFormatting sqref="G1820 P1820">
    <cfRule type="cellIs" dxfId="4477" priority="8923" operator="equal">
      <formula>$G$135</formula>
    </cfRule>
  </conditionalFormatting>
  <conditionalFormatting sqref="P1820">
    <cfRule type="cellIs" dxfId="4476" priority="8922" operator="equal">
      <formula>$J$135</formula>
    </cfRule>
  </conditionalFormatting>
  <conditionalFormatting sqref="G1820 P1820">
    <cfRule type="cellIs" dxfId="4475" priority="8921" operator="equal">
      <formula>#REF!</formula>
    </cfRule>
  </conditionalFormatting>
  <conditionalFormatting sqref="G1820">
    <cfRule type="top10" dxfId="4474" priority="8919" rank="1"/>
    <cfRule type="cellIs" dxfId="4473" priority="8920" operator="equal">
      <formula>$G$133</formula>
    </cfRule>
  </conditionalFormatting>
  <conditionalFormatting sqref="P1820">
    <cfRule type="top10" dxfId="4472" priority="8917" rank="1"/>
    <cfRule type="cellIs" dxfId="4471" priority="8918" operator="equal">
      <formula>$G$133</formula>
    </cfRule>
  </conditionalFormatting>
  <conditionalFormatting sqref="C1804:C1819">
    <cfRule type="containsText" dxfId="4470" priority="8913" operator="containsText" text="Short Buildup">
      <formula>NOT(ISERROR(SEARCH("Short Buildup",C1804)))</formula>
    </cfRule>
    <cfRule type="containsText" dxfId="4469" priority="8914" operator="containsText" text="Long Liquidation">
      <formula>NOT(ISERROR(SEARCH("Long Liquidation",C1804)))</formula>
    </cfRule>
    <cfRule type="containsText" dxfId="4468" priority="8915" operator="containsText" text="Short covering">
      <formula>NOT(ISERROR(SEARCH("Short covering",C1804)))</formula>
    </cfRule>
    <cfRule type="containsText" dxfId="4467" priority="8916" operator="containsText" text="Long Buildup">
      <formula>NOT(ISERROR(SEARCH("Long Buildup",C1804)))</formula>
    </cfRule>
  </conditionalFormatting>
  <conditionalFormatting sqref="H1820">
    <cfRule type="colorScale" priority="8908">
      <colorScale>
        <cfvo type="min"/>
        <cfvo type="percentile" val="20"/>
        <cfvo type="max"/>
        <color rgb="FF92D050"/>
        <color theme="5" tint="0.79998168889431442"/>
        <color rgb="FFFF0000"/>
      </colorScale>
    </cfRule>
    <cfRule type="colorScale" priority="8909">
      <colorScale>
        <cfvo type="min"/>
        <cfvo type="max"/>
        <color rgb="FFFF0000"/>
        <color rgb="FF92D050"/>
      </colorScale>
    </cfRule>
    <cfRule type="colorScale" priority="8910">
      <colorScale>
        <cfvo type="min"/>
        <cfvo type="percentile" val="50"/>
        <cfvo type="max"/>
        <color rgb="FF5A8AC6"/>
        <color rgb="FFFCFCFF"/>
        <color rgb="FFF8696B"/>
      </colorScale>
    </cfRule>
    <cfRule type="colorScale" priority="8911">
      <colorScale>
        <cfvo type="formula" val="&quot;&gt;20&quot;"/>
        <cfvo type="formula" val="35"/>
        <color rgb="FFF8696B"/>
        <color rgb="FFFCFCFF"/>
      </colorScale>
    </cfRule>
    <cfRule type="colorScale" priority="8912">
      <colorScale>
        <cfvo type="min"/>
        <cfvo type="max"/>
        <color rgb="FFFFEF9C"/>
        <color rgb="FF63BE7B"/>
      </colorScale>
    </cfRule>
  </conditionalFormatting>
  <conditionalFormatting sqref="N1820">
    <cfRule type="colorScale" priority="8903">
      <colorScale>
        <cfvo type="min"/>
        <cfvo type="percentile" val="20"/>
        <cfvo type="max"/>
        <color rgb="FF92D050"/>
        <color theme="5" tint="0.79998168889431442"/>
        <color rgb="FFFF0000"/>
      </colorScale>
    </cfRule>
    <cfRule type="colorScale" priority="8904">
      <colorScale>
        <cfvo type="min"/>
        <cfvo type="max"/>
        <color rgb="FFFF0000"/>
        <color rgb="FF92D050"/>
      </colorScale>
    </cfRule>
    <cfRule type="colorScale" priority="8905">
      <colorScale>
        <cfvo type="min"/>
        <cfvo type="percentile" val="50"/>
        <cfvo type="max"/>
        <color rgb="FF5A8AC6"/>
        <color rgb="FFFCFCFF"/>
        <color rgb="FFF8696B"/>
      </colorScale>
    </cfRule>
    <cfRule type="colorScale" priority="8906">
      <colorScale>
        <cfvo type="formula" val="&quot;&gt;20&quot;"/>
        <cfvo type="formula" val="35"/>
        <color rgb="FFF8696B"/>
        <color rgb="FFFCFCFF"/>
      </colorScale>
    </cfRule>
    <cfRule type="colorScale" priority="8907">
      <colorScale>
        <cfvo type="min"/>
        <cfvo type="max"/>
        <color rgb="FFFFEF9C"/>
        <color rgb="FF63BE7B"/>
      </colorScale>
    </cfRule>
  </conditionalFormatting>
  <conditionalFormatting sqref="S1804:S1820">
    <cfRule type="containsText" dxfId="4466" priority="8899" operator="containsText" text="Short Buildup">
      <formula>NOT(ISERROR(SEARCH("Short Buildup",S1804)))</formula>
    </cfRule>
    <cfRule type="containsText" dxfId="4465" priority="8900" operator="containsText" text="Long Liquidation">
      <formula>NOT(ISERROR(SEARCH("Long Liquidation",S1804)))</formula>
    </cfRule>
    <cfRule type="containsText" dxfId="4464" priority="8901" operator="containsText" text="Short covering">
      <formula>NOT(ISERROR(SEARCH("Short covering",S1804)))</formula>
    </cfRule>
    <cfRule type="containsText" dxfId="4463" priority="8902" operator="containsText" text="Long Buildup">
      <formula>NOT(ISERROR(SEARCH("Long Buildup",S1804)))</formula>
    </cfRule>
  </conditionalFormatting>
  <conditionalFormatting sqref="F1804:F1819">
    <cfRule type="dataBar" priority="8898">
      <dataBar>
        <cfvo type="min"/>
        <cfvo type="max"/>
        <color rgb="FFFF555A"/>
      </dataBar>
    </cfRule>
  </conditionalFormatting>
  <conditionalFormatting sqref="G1804:G1819">
    <cfRule type="dataBar" priority="8897">
      <dataBar>
        <cfvo type="min"/>
        <cfvo type="max"/>
        <color rgb="FFFF555A"/>
      </dataBar>
    </cfRule>
  </conditionalFormatting>
  <conditionalFormatting sqref="H1804">
    <cfRule type="dataBar" priority="8896">
      <dataBar>
        <cfvo type="min"/>
        <cfvo type="max"/>
        <color rgb="FFFF555A"/>
      </dataBar>
    </cfRule>
  </conditionalFormatting>
  <conditionalFormatting sqref="I1804">
    <cfRule type="dataBar" priority="8895">
      <dataBar>
        <cfvo type="min"/>
        <cfvo type="max"/>
        <color rgb="FFFF555A"/>
      </dataBar>
    </cfRule>
  </conditionalFormatting>
  <conditionalFormatting sqref="J1804">
    <cfRule type="dataBar" priority="8894">
      <dataBar>
        <cfvo type="min"/>
        <cfvo type="max"/>
        <color rgb="FFFF555A"/>
      </dataBar>
    </cfRule>
  </conditionalFormatting>
  <conditionalFormatting sqref="E1805:E1819">
    <cfRule type="dataBar" priority="8893">
      <dataBar>
        <cfvo type="min"/>
        <cfvo type="max"/>
        <color rgb="FFFF555A"/>
      </dataBar>
    </cfRule>
  </conditionalFormatting>
  <conditionalFormatting sqref="H1805:H1819">
    <cfRule type="dataBar" priority="8892">
      <dataBar>
        <cfvo type="min"/>
        <cfvo type="max"/>
        <color rgb="FFFF555A"/>
      </dataBar>
    </cfRule>
  </conditionalFormatting>
  <conditionalFormatting sqref="I1805:I1819">
    <cfRule type="dataBar" priority="8891">
      <dataBar>
        <cfvo type="min"/>
        <cfvo type="max"/>
        <color rgb="FFFF555A"/>
      </dataBar>
    </cfRule>
  </conditionalFormatting>
  <conditionalFormatting sqref="J1805:J1819">
    <cfRule type="dataBar" priority="8890">
      <dataBar>
        <cfvo type="min"/>
        <cfvo type="max"/>
        <color rgb="FFFF555A"/>
      </dataBar>
    </cfRule>
  </conditionalFormatting>
  <conditionalFormatting sqref="L1804:L1819">
    <cfRule type="dataBar" priority="8889">
      <dataBar>
        <cfvo type="min"/>
        <cfvo type="max"/>
        <color rgb="FFFF555A"/>
      </dataBar>
    </cfRule>
  </conditionalFormatting>
  <conditionalFormatting sqref="M1804:M1819">
    <cfRule type="dataBar" priority="8888">
      <dataBar>
        <cfvo type="min"/>
        <cfvo type="max"/>
        <color rgb="FFFF555A"/>
      </dataBar>
    </cfRule>
  </conditionalFormatting>
  <conditionalFormatting sqref="N1804:N1819">
    <cfRule type="dataBar" priority="8887">
      <dataBar>
        <cfvo type="min"/>
        <cfvo type="max"/>
        <color rgb="FFFF555A"/>
      </dataBar>
    </cfRule>
  </conditionalFormatting>
  <conditionalFormatting sqref="Q1804:Q1819">
    <cfRule type="dataBar" priority="8886">
      <dataBar>
        <cfvo type="min"/>
        <cfvo type="max"/>
        <color rgb="FFFF555A"/>
      </dataBar>
    </cfRule>
  </conditionalFormatting>
  <conditionalFormatting sqref="O1804:O1819">
    <cfRule type="dataBar" priority="8885">
      <dataBar>
        <cfvo type="min"/>
        <cfvo type="max"/>
        <color rgb="FFFF555A"/>
      </dataBar>
    </cfRule>
  </conditionalFormatting>
  <conditionalFormatting sqref="P1804:P1819">
    <cfRule type="dataBar" priority="8884">
      <dataBar>
        <cfvo type="min"/>
        <cfvo type="max"/>
        <color rgb="FFFF555A"/>
      </dataBar>
    </cfRule>
  </conditionalFormatting>
  <conditionalFormatting sqref="R1821:R1837 D1821:D1836 C1837">
    <cfRule type="containsText" dxfId="4462" priority="8883" operator="containsText" text="DOWN">
      <formula>NOT(ISERROR(SEARCH("DOWN",C1821)))</formula>
    </cfRule>
  </conditionalFormatting>
  <conditionalFormatting sqref="R1821:R1837 D1821:D1836 C1837">
    <cfRule type="containsText" dxfId="4461" priority="8882" operator="containsText" text="UP">
      <formula>NOT(ISERROR(SEARCH("UP",C1821)))</formula>
    </cfRule>
  </conditionalFormatting>
  <conditionalFormatting sqref="I1837">
    <cfRule type="colorScale" priority="8881">
      <colorScale>
        <cfvo type="min"/>
        <cfvo type="max"/>
        <color rgb="FFFFEF9C"/>
        <color rgb="FF63BE7B"/>
      </colorScale>
    </cfRule>
  </conditionalFormatting>
  <conditionalFormatting sqref="M1837">
    <cfRule type="colorScale" priority="8880">
      <colorScale>
        <cfvo type="min"/>
        <cfvo type="max"/>
        <color rgb="FFFF7128"/>
        <color rgb="FFFFEF9C"/>
      </colorScale>
    </cfRule>
  </conditionalFormatting>
  <conditionalFormatting sqref="Q1837">
    <cfRule type="dataBar" priority="8879">
      <dataBar>
        <cfvo type="min"/>
        <cfvo type="max"/>
        <color rgb="FFFF555A"/>
      </dataBar>
    </cfRule>
  </conditionalFormatting>
  <conditionalFormatting sqref="E1821:E1837">
    <cfRule type="dataBar" priority="8878">
      <dataBar>
        <cfvo type="min"/>
        <cfvo type="max"/>
        <color rgb="FFFF555A"/>
      </dataBar>
    </cfRule>
  </conditionalFormatting>
  <conditionalFormatting sqref="F1837">
    <cfRule type="top10" dxfId="4460" priority="8877" rank="1"/>
  </conditionalFormatting>
  <conditionalFormatting sqref="G1837 P1837">
    <cfRule type="cellIs" dxfId="4459" priority="8876" operator="equal">
      <formula>$G$135</formula>
    </cfRule>
  </conditionalFormatting>
  <conditionalFormatting sqref="P1837">
    <cfRule type="cellIs" dxfId="4458" priority="8875" operator="equal">
      <formula>$J$135</formula>
    </cfRule>
  </conditionalFormatting>
  <conditionalFormatting sqref="G1837 P1837">
    <cfRule type="cellIs" dxfId="4457" priority="8874" operator="equal">
      <formula>#REF!</formula>
    </cfRule>
  </conditionalFormatting>
  <conditionalFormatting sqref="G1837">
    <cfRule type="top10" dxfId="4456" priority="8872" rank="1"/>
    <cfRule type="cellIs" dxfId="4455" priority="8873" operator="equal">
      <formula>$G$133</formula>
    </cfRule>
  </conditionalFormatting>
  <conditionalFormatting sqref="P1837">
    <cfRule type="top10" dxfId="4454" priority="8870" rank="1"/>
    <cfRule type="cellIs" dxfId="4453" priority="8871" operator="equal">
      <formula>$G$133</formula>
    </cfRule>
  </conditionalFormatting>
  <conditionalFormatting sqref="C1821:C1836">
    <cfRule type="containsText" dxfId="4452" priority="8866" operator="containsText" text="Short Buildup">
      <formula>NOT(ISERROR(SEARCH("Short Buildup",C1821)))</formula>
    </cfRule>
    <cfRule type="containsText" dxfId="4451" priority="8867" operator="containsText" text="Long Liquidation">
      <formula>NOT(ISERROR(SEARCH("Long Liquidation",C1821)))</formula>
    </cfRule>
    <cfRule type="containsText" dxfId="4450" priority="8868" operator="containsText" text="Short covering">
      <formula>NOT(ISERROR(SEARCH("Short covering",C1821)))</formula>
    </cfRule>
    <cfRule type="containsText" dxfId="4449" priority="8869" operator="containsText" text="Long Buildup">
      <formula>NOT(ISERROR(SEARCH("Long Buildup",C1821)))</formula>
    </cfRule>
  </conditionalFormatting>
  <conditionalFormatting sqref="H1837">
    <cfRule type="colorScale" priority="8861">
      <colorScale>
        <cfvo type="min"/>
        <cfvo type="percentile" val="20"/>
        <cfvo type="max"/>
        <color rgb="FF92D050"/>
        <color theme="5" tint="0.79998168889431442"/>
        <color rgb="FFFF0000"/>
      </colorScale>
    </cfRule>
    <cfRule type="colorScale" priority="8862">
      <colorScale>
        <cfvo type="min"/>
        <cfvo type="max"/>
        <color rgb="FFFF0000"/>
        <color rgb="FF92D050"/>
      </colorScale>
    </cfRule>
    <cfRule type="colorScale" priority="8863">
      <colorScale>
        <cfvo type="min"/>
        <cfvo type="percentile" val="50"/>
        <cfvo type="max"/>
        <color rgb="FF5A8AC6"/>
        <color rgb="FFFCFCFF"/>
        <color rgb="FFF8696B"/>
      </colorScale>
    </cfRule>
    <cfRule type="colorScale" priority="8864">
      <colorScale>
        <cfvo type="formula" val="&quot;&gt;20&quot;"/>
        <cfvo type="formula" val="35"/>
        <color rgb="FFF8696B"/>
        <color rgb="FFFCFCFF"/>
      </colorScale>
    </cfRule>
    <cfRule type="colorScale" priority="8865">
      <colorScale>
        <cfvo type="min"/>
        <cfvo type="max"/>
        <color rgb="FFFFEF9C"/>
        <color rgb="FF63BE7B"/>
      </colorScale>
    </cfRule>
  </conditionalFormatting>
  <conditionalFormatting sqref="N1837">
    <cfRule type="colorScale" priority="8856">
      <colorScale>
        <cfvo type="min"/>
        <cfvo type="percentile" val="20"/>
        <cfvo type="max"/>
        <color rgb="FF92D050"/>
        <color theme="5" tint="0.79998168889431442"/>
        <color rgb="FFFF0000"/>
      </colorScale>
    </cfRule>
    <cfRule type="colorScale" priority="8857">
      <colorScale>
        <cfvo type="min"/>
        <cfvo type="max"/>
        <color rgb="FFFF0000"/>
        <color rgb="FF92D050"/>
      </colorScale>
    </cfRule>
    <cfRule type="colorScale" priority="8858">
      <colorScale>
        <cfvo type="min"/>
        <cfvo type="percentile" val="50"/>
        <cfvo type="max"/>
        <color rgb="FF5A8AC6"/>
        <color rgb="FFFCFCFF"/>
        <color rgb="FFF8696B"/>
      </colorScale>
    </cfRule>
    <cfRule type="colorScale" priority="8859">
      <colorScale>
        <cfvo type="formula" val="&quot;&gt;20&quot;"/>
        <cfvo type="formula" val="35"/>
        <color rgb="FFF8696B"/>
        <color rgb="FFFCFCFF"/>
      </colorScale>
    </cfRule>
    <cfRule type="colorScale" priority="8860">
      <colorScale>
        <cfvo type="min"/>
        <cfvo type="max"/>
        <color rgb="FFFFEF9C"/>
        <color rgb="FF63BE7B"/>
      </colorScale>
    </cfRule>
  </conditionalFormatting>
  <conditionalFormatting sqref="S1821:S1837">
    <cfRule type="containsText" dxfId="4448" priority="8852" operator="containsText" text="Short Buildup">
      <formula>NOT(ISERROR(SEARCH("Short Buildup",S1821)))</formula>
    </cfRule>
    <cfRule type="containsText" dxfId="4447" priority="8853" operator="containsText" text="Long Liquidation">
      <formula>NOT(ISERROR(SEARCH("Long Liquidation",S1821)))</formula>
    </cfRule>
    <cfRule type="containsText" dxfId="4446" priority="8854" operator="containsText" text="Short covering">
      <formula>NOT(ISERROR(SEARCH("Short covering",S1821)))</formula>
    </cfRule>
    <cfRule type="containsText" dxfId="4445" priority="8855" operator="containsText" text="Long Buildup">
      <formula>NOT(ISERROR(SEARCH("Long Buildup",S1821)))</formula>
    </cfRule>
  </conditionalFormatting>
  <conditionalFormatting sqref="F1821:F1836">
    <cfRule type="dataBar" priority="8851">
      <dataBar>
        <cfvo type="min"/>
        <cfvo type="max"/>
        <color rgb="FFFF555A"/>
      </dataBar>
    </cfRule>
  </conditionalFormatting>
  <conditionalFormatting sqref="G1821:G1836">
    <cfRule type="dataBar" priority="8850">
      <dataBar>
        <cfvo type="min"/>
        <cfvo type="max"/>
        <color rgb="FFFF555A"/>
      </dataBar>
    </cfRule>
  </conditionalFormatting>
  <conditionalFormatting sqref="H1821">
    <cfRule type="dataBar" priority="8849">
      <dataBar>
        <cfvo type="min"/>
        <cfvo type="max"/>
        <color rgb="FFFF555A"/>
      </dataBar>
    </cfRule>
  </conditionalFormatting>
  <conditionalFormatting sqref="I1821">
    <cfRule type="dataBar" priority="8848">
      <dataBar>
        <cfvo type="min"/>
        <cfvo type="max"/>
        <color rgb="FFFF555A"/>
      </dataBar>
    </cfRule>
  </conditionalFormatting>
  <conditionalFormatting sqref="J1821">
    <cfRule type="dataBar" priority="8847">
      <dataBar>
        <cfvo type="min"/>
        <cfvo type="max"/>
        <color rgb="FFFF555A"/>
      </dataBar>
    </cfRule>
  </conditionalFormatting>
  <conditionalFormatting sqref="E1822:E1836">
    <cfRule type="dataBar" priority="8846">
      <dataBar>
        <cfvo type="min"/>
        <cfvo type="max"/>
        <color rgb="FFFF555A"/>
      </dataBar>
    </cfRule>
  </conditionalFormatting>
  <conditionalFormatting sqref="H1822:H1836">
    <cfRule type="dataBar" priority="8845">
      <dataBar>
        <cfvo type="min"/>
        <cfvo type="max"/>
        <color rgb="FFFF555A"/>
      </dataBar>
    </cfRule>
  </conditionalFormatting>
  <conditionalFormatting sqref="I1822:I1836">
    <cfRule type="dataBar" priority="8844">
      <dataBar>
        <cfvo type="min"/>
        <cfvo type="max"/>
        <color rgb="FFFF555A"/>
      </dataBar>
    </cfRule>
  </conditionalFormatting>
  <conditionalFormatting sqref="J1822:J1836">
    <cfRule type="dataBar" priority="8843">
      <dataBar>
        <cfvo type="min"/>
        <cfvo type="max"/>
        <color rgb="FFFF555A"/>
      </dataBar>
    </cfRule>
  </conditionalFormatting>
  <conditionalFormatting sqref="L1821:L1836">
    <cfRule type="dataBar" priority="8842">
      <dataBar>
        <cfvo type="min"/>
        <cfvo type="max"/>
        <color rgb="FFFF555A"/>
      </dataBar>
    </cfRule>
  </conditionalFormatting>
  <conditionalFormatting sqref="M1821:M1836">
    <cfRule type="dataBar" priority="8841">
      <dataBar>
        <cfvo type="min"/>
        <cfvo type="max"/>
        <color rgb="FFFF555A"/>
      </dataBar>
    </cfRule>
  </conditionalFormatting>
  <conditionalFormatting sqref="N1821:N1836">
    <cfRule type="dataBar" priority="8840">
      <dataBar>
        <cfvo type="min"/>
        <cfvo type="max"/>
        <color rgb="FFFF555A"/>
      </dataBar>
    </cfRule>
  </conditionalFormatting>
  <conditionalFormatting sqref="Q1821:Q1836">
    <cfRule type="dataBar" priority="8839">
      <dataBar>
        <cfvo type="min"/>
        <cfvo type="max"/>
        <color rgb="FFFF555A"/>
      </dataBar>
    </cfRule>
  </conditionalFormatting>
  <conditionalFormatting sqref="O1821:O1836">
    <cfRule type="dataBar" priority="8838">
      <dataBar>
        <cfvo type="min"/>
        <cfvo type="max"/>
        <color rgb="FFFF555A"/>
      </dataBar>
    </cfRule>
  </conditionalFormatting>
  <conditionalFormatting sqref="P1821:P1836">
    <cfRule type="dataBar" priority="8837">
      <dataBar>
        <cfvo type="min"/>
        <cfvo type="max"/>
        <color rgb="FFFF555A"/>
      </dataBar>
    </cfRule>
  </conditionalFormatting>
  <conditionalFormatting sqref="R1838:R1854 D1838:D1853 C1854">
    <cfRule type="containsText" dxfId="4444" priority="8836" operator="containsText" text="DOWN">
      <formula>NOT(ISERROR(SEARCH("DOWN",C1838)))</formula>
    </cfRule>
  </conditionalFormatting>
  <conditionalFormatting sqref="R1838:R1854 D1838:D1853 C1854">
    <cfRule type="containsText" dxfId="4443" priority="8835" operator="containsText" text="UP">
      <formula>NOT(ISERROR(SEARCH("UP",C1838)))</formula>
    </cfRule>
  </conditionalFormatting>
  <conditionalFormatting sqref="I1854">
    <cfRule type="colorScale" priority="8834">
      <colorScale>
        <cfvo type="min"/>
        <cfvo type="max"/>
        <color rgb="FFFFEF9C"/>
        <color rgb="FF63BE7B"/>
      </colorScale>
    </cfRule>
  </conditionalFormatting>
  <conditionalFormatting sqref="M1854">
    <cfRule type="colorScale" priority="8833">
      <colorScale>
        <cfvo type="min"/>
        <cfvo type="max"/>
        <color rgb="FFFF7128"/>
        <color rgb="FFFFEF9C"/>
      </colorScale>
    </cfRule>
  </conditionalFormatting>
  <conditionalFormatting sqref="Q1854">
    <cfRule type="dataBar" priority="8832">
      <dataBar>
        <cfvo type="min"/>
        <cfvo type="max"/>
        <color rgb="FFFF555A"/>
      </dataBar>
    </cfRule>
  </conditionalFormatting>
  <conditionalFormatting sqref="E1838:E1854">
    <cfRule type="dataBar" priority="8831">
      <dataBar>
        <cfvo type="min"/>
        <cfvo type="max"/>
        <color rgb="FFFF555A"/>
      </dataBar>
    </cfRule>
  </conditionalFormatting>
  <conditionalFormatting sqref="F1854">
    <cfRule type="top10" dxfId="4442" priority="8830" rank="1"/>
  </conditionalFormatting>
  <conditionalFormatting sqref="G1854 P1854">
    <cfRule type="cellIs" dxfId="4441" priority="8829" operator="equal">
      <formula>$G$135</formula>
    </cfRule>
  </conditionalFormatting>
  <conditionalFormatting sqref="P1854">
    <cfRule type="cellIs" dxfId="4440" priority="8828" operator="equal">
      <formula>$J$135</formula>
    </cfRule>
  </conditionalFormatting>
  <conditionalFormatting sqref="G1854 P1854">
    <cfRule type="cellIs" dxfId="4439" priority="8827" operator="equal">
      <formula>#REF!</formula>
    </cfRule>
  </conditionalFormatting>
  <conditionalFormatting sqref="G1854">
    <cfRule type="top10" dxfId="4438" priority="8825" rank="1"/>
    <cfRule type="cellIs" dxfId="4437" priority="8826" operator="equal">
      <formula>$G$133</formula>
    </cfRule>
  </conditionalFormatting>
  <conditionalFormatting sqref="P1854">
    <cfRule type="top10" dxfId="4436" priority="8823" rank="1"/>
    <cfRule type="cellIs" dxfId="4435" priority="8824" operator="equal">
      <formula>$G$133</formula>
    </cfRule>
  </conditionalFormatting>
  <conditionalFormatting sqref="C1838:C1853">
    <cfRule type="containsText" dxfId="4434" priority="8819" operator="containsText" text="Short Buildup">
      <formula>NOT(ISERROR(SEARCH("Short Buildup",C1838)))</formula>
    </cfRule>
    <cfRule type="containsText" dxfId="4433" priority="8820" operator="containsText" text="Long Liquidation">
      <formula>NOT(ISERROR(SEARCH("Long Liquidation",C1838)))</formula>
    </cfRule>
    <cfRule type="containsText" dxfId="4432" priority="8821" operator="containsText" text="Short covering">
      <formula>NOT(ISERROR(SEARCH("Short covering",C1838)))</formula>
    </cfRule>
    <cfRule type="containsText" dxfId="4431" priority="8822" operator="containsText" text="Long Buildup">
      <formula>NOT(ISERROR(SEARCH("Long Buildup",C1838)))</formula>
    </cfRule>
  </conditionalFormatting>
  <conditionalFormatting sqref="H1854">
    <cfRule type="colorScale" priority="8814">
      <colorScale>
        <cfvo type="min"/>
        <cfvo type="percentile" val="20"/>
        <cfvo type="max"/>
        <color rgb="FF92D050"/>
        <color theme="5" tint="0.79998168889431442"/>
        <color rgb="FFFF0000"/>
      </colorScale>
    </cfRule>
    <cfRule type="colorScale" priority="8815">
      <colorScale>
        <cfvo type="min"/>
        <cfvo type="max"/>
        <color rgb="FFFF0000"/>
        <color rgb="FF92D050"/>
      </colorScale>
    </cfRule>
    <cfRule type="colorScale" priority="8816">
      <colorScale>
        <cfvo type="min"/>
        <cfvo type="percentile" val="50"/>
        <cfvo type="max"/>
        <color rgb="FF5A8AC6"/>
        <color rgb="FFFCFCFF"/>
        <color rgb="FFF8696B"/>
      </colorScale>
    </cfRule>
    <cfRule type="colorScale" priority="8817">
      <colorScale>
        <cfvo type="formula" val="&quot;&gt;20&quot;"/>
        <cfvo type="formula" val="35"/>
        <color rgb="FFF8696B"/>
        <color rgb="FFFCFCFF"/>
      </colorScale>
    </cfRule>
    <cfRule type="colorScale" priority="8818">
      <colorScale>
        <cfvo type="min"/>
        <cfvo type="max"/>
        <color rgb="FFFFEF9C"/>
        <color rgb="FF63BE7B"/>
      </colorScale>
    </cfRule>
  </conditionalFormatting>
  <conditionalFormatting sqref="N1854">
    <cfRule type="colorScale" priority="8809">
      <colorScale>
        <cfvo type="min"/>
        <cfvo type="percentile" val="20"/>
        <cfvo type="max"/>
        <color rgb="FF92D050"/>
        <color theme="5" tint="0.79998168889431442"/>
        <color rgb="FFFF0000"/>
      </colorScale>
    </cfRule>
    <cfRule type="colorScale" priority="8810">
      <colorScale>
        <cfvo type="min"/>
        <cfvo type="max"/>
        <color rgb="FFFF0000"/>
        <color rgb="FF92D050"/>
      </colorScale>
    </cfRule>
    <cfRule type="colorScale" priority="8811">
      <colorScale>
        <cfvo type="min"/>
        <cfvo type="percentile" val="50"/>
        <cfvo type="max"/>
        <color rgb="FF5A8AC6"/>
        <color rgb="FFFCFCFF"/>
        <color rgb="FFF8696B"/>
      </colorScale>
    </cfRule>
    <cfRule type="colorScale" priority="8812">
      <colorScale>
        <cfvo type="formula" val="&quot;&gt;20&quot;"/>
        <cfvo type="formula" val="35"/>
        <color rgb="FFF8696B"/>
        <color rgb="FFFCFCFF"/>
      </colorScale>
    </cfRule>
    <cfRule type="colorScale" priority="8813">
      <colorScale>
        <cfvo type="min"/>
        <cfvo type="max"/>
        <color rgb="FFFFEF9C"/>
        <color rgb="FF63BE7B"/>
      </colorScale>
    </cfRule>
  </conditionalFormatting>
  <conditionalFormatting sqref="S1838:S1854">
    <cfRule type="containsText" dxfId="4430" priority="8805" operator="containsText" text="Short Buildup">
      <formula>NOT(ISERROR(SEARCH("Short Buildup",S1838)))</formula>
    </cfRule>
    <cfRule type="containsText" dxfId="4429" priority="8806" operator="containsText" text="Long Liquidation">
      <formula>NOT(ISERROR(SEARCH("Long Liquidation",S1838)))</formula>
    </cfRule>
    <cfRule type="containsText" dxfId="4428" priority="8807" operator="containsText" text="Short covering">
      <formula>NOT(ISERROR(SEARCH("Short covering",S1838)))</formula>
    </cfRule>
    <cfRule type="containsText" dxfId="4427" priority="8808" operator="containsText" text="Long Buildup">
      <formula>NOT(ISERROR(SEARCH("Long Buildup",S1838)))</formula>
    </cfRule>
  </conditionalFormatting>
  <conditionalFormatting sqref="F1838:F1853">
    <cfRule type="dataBar" priority="8804">
      <dataBar>
        <cfvo type="min"/>
        <cfvo type="max"/>
        <color rgb="FFFF555A"/>
      </dataBar>
    </cfRule>
  </conditionalFormatting>
  <conditionalFormatting sqref="G1838:G1853">
    <cfRule type="dataBar" priority="8803">
      <dataBar>
        <cfvo type="min"/>
        <cfvo type="max"/>
        <color rgb="FFFF555A"/>
      </dataBar>
    </cfRule>
  </conditionalFormatting>
  <conditionalFormatting sqref="H1838">
    <cfRule type="dataBar" priority="8802">
      <dataBar>
        <cfvo type="min"/>
        <cfvo type="max"/>
        <color rgb="FFFF555A"/>
      </dataBar>
    </cfRule>
  </conditionalFormatting>
  <conditionalFormatting sqref="I1838">
    <cfRule type="dataBar" priority="8801">
      <dataBar>
        <cfvo type="min"/>
        <cfvo type="max"/>
        <color rgb="FFFF555A"/>
      </dataBar>
    </cfRule>
  </conditionalFormatting>
  <conditionalFormatting sqref="J1838">
    <cfRule type="dataBar" priority="8800">
      <dataBar>
        <cfvo type="min"/>
        <cfvo type="max"/>
        <color rgb="FFFF555A"/>
      </dataBar>
    </cfRule>
  </conditionalFormatting>
  <conditionalFormatting sqref="E1839:E1853">
    <cfRule type="dataBar" priority="8799">
      <dataBar>
        <cfvo type="min"/>
        <cfvo type="max"/>
        <color rgb="FFFF555A"/>
      </dataBar>
    </cfRule>
  </conditionalFormatting>
  <conditionalFormatting sqref="H1839:H1853">
    <cfRule type="dataBar" priority="8798">
      <dataBar>
        <cfvo type="min"/>
        <cfvo type="max"/>
        <color rgb="FFFF555A"/>
      </dataBar>
    </cfRule>
  </conditionalFormatting>
  <conditionalFormatting sqref="I1839:I1853">
    <cfRule type="dataBar" priority="8797">
      <dataBar>
        <cfvo type="min"/>
        <cfvo type="max"/>
        <color rgb="FFFF555A"/>
      </dataBar>
    </cfRule>
  </conditionalFormatting>
  <conditionalFormatting sqref="J1839:J1853">
    <cfRule type="dataBar" priority="8796">
      <dataBar>
        <cfvo type="min"/>
        <cfvo type="max"/>
        <color rgb="FFFF555A"/>
      </dataBar>
    </cfRule>
  </conditionalFormatting>
  <conditionalFormatting sqref="L1838:L1853">
    <cfRule type="dataBar" priority="8795">
      <dataBar>
        <cfvo type="min"/>
        <cfvo type="max"/>
        <color rgb="FFFF555A"/>
      </dataBar>
    </cfRule>
  </conditionalFormatting>
  <conditionalFormatting sqref="M1838:M1853">
    <cfRule type="dataBar" priority="8794">
      <dataBar>
        <cfvo type="min"/>
        <cfvo type="max"/>
        <color rgb="FFFF555A"/>
      </dataBar>
    </cfRule>
  </conditionalFormatting>
  <conditionalFormatting sqref="N1838:N1853">
    <cfRule type="dataBar" priority="8793">
      <dataBar>
        <cfvo type="min"/>
        <cfvo type="max"/>
        <color rgb="FFFF555A"/>
      </dataBar>
    </cfRule>
  </conditionalFormatting>
  <conditionalFormatting sqref="Q1838:Q1853">
    <cfRule type="dataBar" priority="8792">
      <dataBar>
        <cfvo type="min"/>
        <cfvo type="max"/>
        <color rgb="FFFF555A"/>
      </dataBar>
    </cfRule>
  </conditionalFormatting>
  <conditionalFormatting sqref="O1838:O1853">
    <cfRule type="dataBar" priority="8791">
      <dataBar>
        <cfvo type="min"/>
        <cfvo type="max"/>
        <color rgb="FFFF555A"/>
      </dataBar>
    </cfRule>
  </conditionalFormatting>
  <conditionalFormatting sqref="P1838:P1853">
    <cfRule type="dataBar" priority="8790">
      <dataBar>
        <cfvo type="min"/>
        <cfvo type="max"/>
        <color rgb="FFFF555A"/>
      </dataBar>
    </cfRule>
  </conditionalFormatting>
  <conditionalFormatting sqref="R1855:R1871 D1855:D1870 C1871">
    <cfRule type="containsText" dxfId="4426" priority="8789" operator="containsText" text="DOWN">
      <formula>NOT(ISERROR(SEARCH("DOWN",C1855)))</formula>
    </cfRule>
  </conditionalFormatting>
  <conditionalFormatting sqref="R1855:R1871 D1855:D1870 C1871">
    <cfRule type="containsText" dxfId="4425" priority="8788" operator="containsText" text="UP">
      <formula>NOT(ISERROR(SEARCH("UP",C1855)))</formula>
    </cfRule>
  </conditionalFormatting>
  <conditionalFormatting sqref="I1871">
    <cfRule type="colorScale" priority="8787">
      <colorScale>
        <cfvo type="min"/>
        <cfvo type="max"/>
        <color rgb="FFFFEF9C"/>
        <color rgb="FF63BE7B"/>
      </colorScale>
    </cfRule>
  </conditionalFormatting>
  <conditionalFormatting sqref="M1871">
    <cfRule type="colorScale" priority="8786">
      <colorScale>
        <cfvo type="min"/>
        <cfvo type="max"/>
        <color rgb="FFFF7128"/>
        <color rgb="FFFFEF9C"/>
      </colorScale>
    </cfRule>
  </conditionalFormatting>
  <conditionalFormatting sqref="Q1871">
    <cfRule type="dataBar" priority="8785">
      <dataBar>
        <cfvo type="min"/>
        <cfvo type="max"/>
        <color rgb="FFFF555A"/>
      </dataBar>
    </cfRule>
  </conditionalFormatting>
  <conditionalFormatting sqref="E1855:E1871">
    <cfRule type="dataBar" priority="8784">
      <dataBar>
        <cfvo type="min"/>
        <cfvo type="max"/>
        <color rgb="FFFF555A"/>
      </dataBar>
    </cfRule>
  </conditionalFormatting>
  <conditionalFormatting sqref="F1871">
    <cfRule type="top10" dxfId="4424" priority="8783" rank="1"/>
  </conditionalFormatting>
  <conditionalFormatting sqref="G1871 P1871">
    <cfRule type="cellIs" dxfId="4423" priority="8782" operator="equal">
      <formula>$G$135</formula>
    </cfRule>
  </conditionalFormatting>
  <conditionalFormatting sqref="P1871">
    <cfRule type="cellIs" dxfId="4422" priority="8781" operator="equal">
      <formula>$J$135</formula>
    </cfRule>
  </conditionalFormatting>
  <conditionalFormatting sqref="G1871 P1871">
    <cfRule type="cellIs" dxfId="4421" priority="8780" operator="equal">
      <formula>#REF!</formula>
    </cfRule>
  </conditionalFormatting>
  <conditionalFormatting sqref="G1871">
    <cfRule type="top10" dxfId="4420" priority="8778" rank="1"/>
    <cfRule type="cellIs" dxfId="4419" priority="8779" operator="equal">
      <formula>$G$133</formula>
    </cfRule>
  </conditionalFormatting>
  <conditionalFormatting sqref="P1871">
    <cfRule type="top10" dxfId="4418" priority="8776" rank="1"/>
    <cfRule type="cellIs" dxfId="4417" priority="8777" operator="equal">
      <formula>$G$133</formula>
    </cfRule>
  </conditionalFormatting>
  <conditionalFormatting sqref="C1855:C1870">
    <cfRule type="containsText" dxfId="4416" priority="8772" operator="containsText" text="Short Buildup">
      <formula>NOT(ISERROR(SEARCH("Short Buildup",C1855)))</formula>
    </cfRule>
    <cfRule type="containsText" dxfId="4415" priority="8773" operator="containsText" text="Long Liquidation">
      <formula>NOT(ISERROR(SEARCH("Long Liquidation",C1855)))</formula>
    </cfRule>
    <cfRule type="containsText" dxfId="4414" priority="8774" operator="containsText" text="Short covering">
      <formula>NOT(ISERROR(SEARCH("Short covering",C1855)))</formula>
    </cfRule>
    <cfRule type="containsText" dxfId="4413" priority="8775" operator="containsText" text="Long Buildup">
      <formula>NOT(ISERROR(SEARCH("Long Buildup",C1855)))</formula>
    </cfRule>
  </conditionalFormatting>
  <conditionalFormatting sqref="H1871">
    <cfRule type="colorScale" priority="8767">
      <colorScale>
        <cfvo type="min"/>
        <cfvo type="percentile" val="20"/>
        <cfvo type="max"/>
        <color rgb="FF92D050"/>
        <color theme="5" tint="0.79998168889431442"/>
        <color rgb="FFFF0000"/>
      </colorScale>
    </cfRule>
    <cfRule type="colorScale" priority="8768">
      <colorScale>
        <cfvo type="min"/>
        <cfvo type="max"/>
        <color rgb="FFFF0000"/>
        <color rgb="FF92D050"/>
      </colorScale>
    </cfRule>
    <cfRule type="colorScale" priority="8769">
      <colorScale>
        <cfvo type="min"/>
        <cfvo type="percentile" val="50"/>
        <cfvo type="max"/>
        <color rgb="FF5A8AC6"/>
        <color rgb="FFFCFCFF"/>
        <color rgb="FFF8696B"/>
      </colorScale>
    </cfRule>
    <cfRule type="colorScale" priority="8770">
      <colorScale>
        <cfvo type="formula" val="&quot;&gt;20&quot;"/>
        <cfvo type="formula" val="35"/>
        <color rgb="FFF8696B"/>
        <color rgb="FFFCFCFF"/>
      </colorScale>
    </cfRule>
    <cfRule type="colorScale" priority="8771">
      <colorScale>
        <cfvo type="min"/>
        <cfvo type="max"/>
        <color rgb="FFFFEF9C"/>
        <color rgb="FF63BE7B"/>
      </colorScale>
    </cfRule>
  </conditionalFormatting>
  <conditionalFormatting sqref="N1871">
    <cfRule type="colorScale" priority="8762">
      <colorScale>
        <cfvo type="min"/>
        <cfvo type="percentile" val="20"/>
        <cfvo type="max"/>
        <color rgb="FF92D050"/>
        <color theme="5" tint="0.79998168889431442"/>
        <color rgb="FFFF0000"/>
      </colorScale>
    </cfRule>
    <cfRule type="colorScale" priority="8763">
      <colorScale>
        <cfvo type="min"/>
        <cfvo type="max"/>
        <color rgb="FFFF0000"/>
        <color rgb="FF92D050"/>
      </colorScale>
    </cfRule>
    <cfRule type="colorScale" priority="8764">
      <colorScale>
        <cfvo type="min"/>
        <cfvo type="percentile" val="50"/>
        <cfvo type="max"/>
        <color rgb="FF5A8AC6"/>
        <color rgb="FFFCFCFF"/>
        <color rgb="FFF8696B"/>
      </colorScale>
    </cfRule>
    <cfRule type="colorScale" priority="8765">
      <colorScale>
        <cfvo type="formula" val="&quot;&gt;20&quot;"/>
        <cfvo type="formula" val="35"/>
        <color rgb="FFF8696B"/>
        <color rgb="FFFCFCFF"/>
      </colorScale>
    </cfRule>
    <cfRule type="colorScale" priority="8766">
      <colorScale>
        <cfvo type="min"/>
        <cfvo type="max"/>
        <color rgb="FFFFEF9C"/>
        <color rgb="FF63BE7B"/>
      </colorScale>
    </cfRule>
  </conditionalFormatting>
  <conditionalFormatting sqref="S1855:S1871">
    <cfRule type="containsText" dxfId="4412" priority="8758" operator="containsText" text="Short Buildup">
      <formula>NOT(ISERROR(SEARCH("Short Buildup",S1855)))</formula>
    </cfRule>
    <cfRule type="containsText" dxfId="4411" priority="8759" operator="containsText" text="Long Liquidation">
      <formula>NOT(ISERROR(SEARCH("Long Liquidation",S1855)))</formula>
    </cfRule>
    <cfRule type="containsText" dxfId="4410" priority="8760" operator="containsText" text="Short covering">
      <formula>NOT(ISERROR(SEARCH("Short covering",S1855)))</formula>
    </cfRule>
    <cfRule type="containsText" dxfId="4409" priority="8761" operator="containsText" text="Long Buildup">
      <formula>NOT(ISERROR(SEARCH("Long Buildup",S1855)))</formula>
    </cfRule>
  </conditionalFormatting>
  <conditionalFormatting sqref="F1855:F1870">
    <cfRule type="dataBar" priority="8757">
      <dataBar>
        <cfvo type="min"/>
        <cfvo type="max"/>
        <color rgb="FFFF555A"/>
      </dataBar>
    </cfRule>
  </conditionalFormatting>
  <conditionalFormatting sqref="G1855:G1870">
    <cfRule type="dataBar" priority="8756">
      <dataBar>
        <cfvo type="min"/>
        <cfvo type="max"/>
        <color rgb="FFFF555A"/>
      </dataBar>
    </cfRule>
  </conditionalFormatting>
  <conditionalFormatting sqref="H1855">
    <cfRule type="dataBar" priority="8755">
      <dataBar>
        <cfvo type="min"/>
        <cfvo type="max"/>
        <color rgb="FFFF555A"/>
      </dataBar>
    </cfRule>
  </conditionalFormatting>
  <conditionalFormatting sqref="I1855">
    <cfRule type="dataBar" priority="8754">
      <dataBar>
        <cfvo type="min"/>
        <cfvo type="max"/>
        <color rgb="FFFF555A"/>
      </dataBar>
    </cfRule>
  </conditionalFormatting>
  <conditionalFormatting sqref="J1855">
    <cfRule type="dataBar" priority="8753">
      <dataBar>
        <cfvo type="min"/>
        <cfvo type="max"/>
        <color rgb="FFFF555A"/>
      </dataBar>
    </cfRule>
  </conditionalFormatting>
  <conditionalFormatting sqref="E1856:E1870">
    <cfRule type="dataBar" priority="8752">
      <dataBar>
        <cfvo type="min"/>
        <cfvo type="max"/>
        <color rgb="FFFF555A"/>
      </dataBar>
    </cfRule>
  </conditionalFormatting>
  <conditionalFormatting sqref="H1856:H1870">
    <cfRule type="dataBar" priority="8751">
      <dataBar>
        <cfvo type="min"/>
        <cfvo type="max"/>
        <color rgb="FFFF555A"/>
      </dataBar>
    </cfRule>
  </conditionalFormatting>
  <conditionalFormatting sqref="I1856:I1870">
    <cfRule type="dataBar" priority="8750">
      <dataBar>
        <cfvo type="min"/>
        <cfvo type="max"/>
        <color rgb="FFFF555A"/>
      </dataBar>
    </cfRule>
  </conditionalFormatting>
  <conditionalFormatting sqref="J1856:J1870">
    <cfRule type="dataBar" priority="8749">
      <dataBar>
        <cfvo type="min"/>
        <cfvo type="max"/>
        <color rgb="FFFF555A"/>
      </dataBar>
    </cfRule>
  </conditionalFormatting>
  <conditionalFormatting sqref="L1855:L1870">
    <cfRule type="dataBar" priority="8748">
      <dataBar>
        <cfvo type="min"/>
        <cfvo type="max"/>
        <color rgb="FFFF555A"/>
      </dataBar>
    </cfRule>
  </conditionalFormatting>
  <conditionalFormatting sqref="M1855:M1870">
    <cfRule type="dataBar" priority="8747">
      <dataBar>
        <cfvo type="min"/>
        <cfvo type="max"/>
        <color rgb="FFFF555A"/>
      </dataBar>
    </cfRule>
  </conditionalFormatting>
  <conditionalFormatting sqref="N1855:N1870">
    <cfRule type="dataBar" priority="8746">
      <dataBar>
        <cfvo type="min"/>
        <cfvo type="max"/>
        <color rgb="FFFF555A"/>
      </dataBar>
    </cfRule>
  </conditionalFormatting>
  <conditionalFormatting sqref="Q1855:Q1870">
    <cfRule type="dataBar" priority="8745">
      <dataBar>
        <cfvo type="min"/>
        <cfvo type="max"/>
        <color rgb="FFFF555A"/>
      </dataBar>
    </cfRule>
  </conditionalFormatting>
  <conditionalFormatting sqref="O1855:O1870">
    <cfRule type="dataBar" priority="8744">
      <dataBar>
        <cfvo type="min"/>
        <cfvo type="max"/>
        <color rgb="FFFF555A"/>
      </dataBar>
    </cfRule>
  </conditionalFormatting>
  <conditionalFormatting sqref="P1855:P1870">
    <cfRule type="dataBar" priority="8743">
      <dataBar>
        <cfvo type="min"/>
        <cfvo type="max"/>
        <color rgb="FFFF555A"/>
      </dataBar>
    </cfRule>
  </conditionalFormatting>
  <conditionalFormatting sqref="R1872:R1888 D1872:D1887 C1888">
    <cfRule type="containsText" dxfId="4408" priority="8742" operator="containsText" text="DOWN">
      <formula>NOT(ISERROR(SEARCH("DOWN",C1872)))</formula>
    </cfRule>
  </conditionalFormatting>
  <conditionalFormatting sqref="R1872:R1888 D1872:D1887 C1888">
    <cfRule type="containsText" dxfId="4407" priority="8741" operator="containsText" text="UP">
      <formula>NOT(ISERROR(SEARCH("UP",C1872)))</formula>
    </cfRule>
  </conditionalFormatting>
  <conditionalFormatting sqref="I1888">
    <cfRule type="colorScale" priority="8740">
      <colorScale>
        <cfvo type="min"/>
        <cfvo type="max"/>
        <color rgb="FFFFEF9C"/>
        <color rgb="FF63BE7B"/>
      </colorScale>
    </cfRule>
  </conditionalFormatting>
  <conditionalFormatting sqref="M1888">
    <cfRule type="colorScale" priority="8739">
      <colorScale>
        <cfvo type="min"/>
        <cfvo type="max"/>
        <color rgb="FFFF7128"/>
        <color rgb="FFFFEF9C"/>
      </colorScale>
    </cfRule>
  </conditionalFormatting>
  <conditionalFormatting sqref="Q1888">
    <cfRule type="dataBar" priority="8738">
      <dataBar>
        <cfvo type="min"/>
        <cfvo type="max"/>
        <color rgb="FFFF555A"/>
      </dataBar>
    </cfRule>
  </conditionalFormatting>
  <conditionalFormatting sqref="E1872:E1888">
    <cfRule type="dataBar" priority="8737">
      <dataBar>
        <cfvo type="min"/>
        <cfvo type="max"/>
        <color rgb="FFFF555A"/>
      </dataBar>
    </cfRule>
  </conditionalFormatting>
  <conditionalFormatting sqref="F1888">
    <cfRule type="top10" dxfId="4406" priority="8736" rank="1"/>
  </conditionalFormatting>
  <conditionalFormatting sqref="G1888 P1888">
    <cfRule type="cellIs" dxfId="4405" priority="8735" operator="equal">
      <formula>$G$135</formula>
    </cfRule>
  </conditionalFormatting>
  <conditionalFormatting sqref="P1888">
    <cfRule type="cellIs" dxfId="4404" priority="8734" operator="equal">
      <formula>$J$135</formula>
    </cfRule>
  </conditionalFormatting>
  <conditionalFormatting sqref="G1888 P1888">
    <cfRule type="cellIs" dxfId="4403" priority="8733" operator="equal">
      <formula>#REF!</formula>
    </cfRule>
  </conditionalFormatting>
  <conditionalFormatting sqref="G1888">
    <cfRule type="top10" dxfId="4402" priority="8731" rank="1"/>
    <cfRule type="cellIs" dxfId="4401" priority="8732" operator="equal">
      <formula>$G$133</formula>
    </cfRule>
  </conditionalFormatting>
  <conditionalFormatting sqref="P1888">
    <cfRule type="top10" dxfId="4400" priority="8729" rank="1"/>
    <cfRule type="cellIs" dxfId="4399" priority="8730" operator="equal">
      <formula>$G$133</formula>
    </cfRule>
  </conditionalFormatting>
  <conditionalFormatting sqref="C1872:C1887">
    <cfRule type="containsText" dxfId="4398" priority="8725" operator="containsText" text="Short Buildup">
      <formula>NOT(ISERROR(SEARCH("Short Buildup",C1872)))</formula>
    </cfRule>
    <cfRule type="containsText" dxfId="4397" priority="8726" operator="containsText" text="Long Liquidation">
      <formula>NOT(ISERROR(SEARCH("Long Liquidation",C1872)))</formula>
    </cfRule>
    <cfRule type="containsText" dxfId="4396" priority="8727" operator="containsText" text="Short covering">
      <formula>NOT(ISERROR(SEARCH("Short covering",C1872)))</formula>
    </cfRule>
    <cfRule type="containsText" dxfId="4395" priority="8728" operator="containsText" text="Long Buildup">
      <formula>NOT(ISERROR(SEARCH("Long Buildup",C1872)))</formula>
    </cfRule>
  </conditionalFormatting>
  <conditionalFormatting sqref="H1888">
    <cfRule type="colorScale" priority="8720">
      <colorScale>
        <cfvo type="min"/>
        <cfvo type="percentile" val="20"/>
        <cfvo type="max"/>
        <color rgb="FF92D050"/>
        <color theme="5" tint="0.79998168889431442"/>
        <color rgb="FFFF0000"/>
      </colorScale>
    </cfRule>
    <cfRule type="colorScale" priority="8721">
      <colorScale>
        <cfvo type="min"/>
        <cfvo type="max"/>
        <color rgb="FFFF0000"/>
        <color rgb="FF92D050"/>
      </colorScale>
    </cfRule>
    <cfRule type="colorScale" priority="8722">
      <colorScale>
        <cfvo type="min"/>
        <cfvo type="percentile" val="50"/>
        <cfvo type="max"/>
        <color rgb="FF5A8AC6"/>
        <color rgb="FFFCFCFF"/>
        <color rgb="FFF8696B"/>
      </colorScale>
    </cfRule>
    <cfRule type="colorScale" priority="8723">
      <colorScale>
        <cfvo type="formula" val="&quot;&gt;20&quot;"/>
        <cfvo type="formula" val="35"/>
        <color rgb="FFF8696B"/>
        <color rgb="FFFCFCFF"/>
      </colorScale>
    </cfRule>
    <cfRule type="colorScale" priority="8724">
      <colorScale>
        <cfvo type="min"/>
        <cfvo type="max"/>
        <color rgb="FFFFEF9C"/>
        <color rgb="FF63BE7B"/>
      </colorScale>
    </cfRule>
  </conditionalFormatting>
  <conditionalFormatting sqref="N1888">
    <cfRule type="colorScale" priority="8715">
      <colorScale>
        <cfvo type="min"/>
        <cfvo type="percentile" val="20"/>
        <cfvo type="max"/>
        <color rgb="FF92D050"/>
        <color theme="5" tint="0.79998168889431442"/>
        <color rgb="FFFF0000"/>
      </colorScale>
    </cfRule>
    <cfRule type="colorScale" priority="8716">
      <colorScale>
        <cfvo type="min"/>
        <cfvo type="max"/>
        <color rgb="FFFF0000"/>
        <color rgb="FF92D050"/>
      </colorScale>
    </cfRule>
    <cfRule type="colorScale" priority="8717">
      <colorScale>
        <cfvo type="min"/>
        <cfvo type="percentile" val="50"/>
        <cfvo type="max"/>
        <color rgb="FF5A8AC6"/>
        <color rgb="FFFCFCFF"/>
        <color rgb="FFF8696B"/>
      </colorScale>
    </cfRule>
    <cfRule type="colorScale" priority="8718">
      <colorScale>
        <cfvo type="formula" val="&quot;&gt;20&quot;"/>
        <cfvo type="formula" val="35"/>
        <color rgb="FFF8696B"/>
        <color rgb="FFFCFCFF"/>
      </colorScale>
    </cfRule>
    <cfRule type="colorScale" priority="8719">
      <colorScale>
        <cfvo type="min"/>
        <cfvo type="max"/>
        <color rgb="FFFFEF9C"/>
        <color rgb="FF63BE7B"/>
      </colorScale>
    </cfRule>
  </conditionalFormatting>
  <conditionalFormatting sqref="S1872:S1888">
    <cfRule type="containsText" dxfId="4394" priority="8711" operator="containsText" text="Short Buildup">
      <formula>NOT(ISERROR(SEARCH("Short Buildup",S1872)))</formula>
    </cfRule>
    <cfRule type="containsText" dxfId="4393" priority="8712" operator="containsText" text="Long Liquidation">
      <formula>NOT(ISERROR(SEARCH("Long Liquidation",S1872)))</formula>
    </cfRule>
    <cfRule type="containsText" dxfId="4392" priority="8713" operator="containsText" text="Short covering">
      <formula>NOT(ISERROR(SEARCH("Short covering",S1872)))</formula>
    </cfRule>
    <cfRule type="containsText" dxfId="4391" priority="8714" operator="containsText" text="Long Buildup">
      <formula>NOT(ISERROR(SEARCH("Long Buildup",S1872)))</formula>
    </cfRule>
  </conditionalFormatting>
  <conditionalFormatting sqref="F1872:F1887">
    <cfRule type="dataBar" priority="8710">
      <dataBar>
        <cfvo type="min"/>
        <cfvo type="max"/>
        <color rgb="FFFF555A"/>
      </dataBar>
    </cfRule>
  </conditionalFormatting>
  <conditionalFormatting sqref="G1872:G1887">
    <cfRule type="dataBar" priority="8709">
      <dataBar>
        <cfvo type="min"/>
        <cfvo type="max"/>
        <color rgb="FFFF555A"/>
      </dataBar>
    </cfRule>
  </conditionalFormatting>
  <conditionalFormatting sqref="H1872">
    <cfRule type="dataBar" priority="8708">
      <dataBar>
        <cfvo type="min"/>
        <cfvo type="max"/>
        <color rgb="FFFF555A"/>
      </dataBar>
    </cfRule>
  </conditionalFormatting>
  <conditionalFormatting sqref="I1872">
    <cfRule type="dataBar" priority="8707">
      <dataBar>
        <cfvo type="min"/>
        <cfvo type="max"/>
        <color rgb="FFFF555A"/>
      </dataBar>
    </cfRule>
  </conditionalFormatting>
  <conditionalFormatting sqref="J1872">
    <cfRule type="dataBar" priority="8706">
      <dataBar>
        <cfvo type="min"/>
        <cfvo type="max"/>
        <color rgb="FFFF555A"/>
      </dataBar>
    </cfRule>
  </conditionalFormatting>
  <conditionalFormatting sqref="E1873:E1887">
    <cfRule type="dataBar" priority="8705">
      <dataBar>
        <cfvo type="min"/>
        <cfvo type="max"/>
        <color rgb="FFFF555A"/>
      </dataBar>
    </cfRule>
  </conditionalFormatting>
  <conditionalFormatting sqref="H1873:H1887">
    <cfRule type="dataBar" priority="8704">
      <dataBar>
        <cfvo type="min"/>
        <cfvo type="max"/>
        <color rgb="FFFF555A"/>
      </dataBar>
    </cfRule>
  </conditionalFormatting>
  <conditionalFormatting sqref="I1873:I1887">
    <cfRule type="dataBar" priority="8703">
      <dataBar>
        <cfvo type="min"/>
        <cfvo type="max"/>
        <color rgb="FFFF555A"/>
      </dataBar>
    </cfRule>
  </conditionalFormatting>
  <conditionalFormatting sqref="J1873:J1887">
    <cfRule type="dataBar" priority="8702">
      <dataBar>
        <cfvo type="min"/>
        <cfvo type="max"/>
        <color rgb="FFFF555A"/>
      </dataBar>
    </cfRule>
  </conditionalFormatting>
  <conditionalFormatting sqref="L1872:L1887">
    <cfRule type="dataBar" priority="8701">
      <dataBar>
        <cfvo type="min"/>
        <cfvo type="max"/>
        <color rgb="FFFF555A"/>
      </dataBar>
    </cfRule>
  </conditionalFormatting>
  <conditionalFormatting sqref="M1872:M1887">
    <cfRule type="dataBar" priority="8700">
      <dataBar>
        <cfvo type="min"/>
        <cfvo type="max"/>
        <color rgb="FFFF555A"/>
      </dataBar>
    </cfRule>
  </conditionalFormatting>
  <conditionalFormatting sqref="N1872:N1887">
    <cfRule type="dataBar" priority="8699">
      <dataBar>
        <cfvo type="min"/>
        <cfvo type="max"/>
        <color rgb="FFFF555A"/>
      </dataBar>
    </cfRule>
  </conditionalFormatting>
  <conditionalFormatting sqref="Q1872:Q1887">
    <cfRule type="dataBar" priority="8698">
      <dataBar>
        <cfvo type="min"/>
        <cfvo type="max"/>
        <color rgb="FFFF555A"/>
      </dataBar>
    </cfRule>
  </conditionalFormatting>
  <conditionalFormatting sqref="O1872:O1887">
    <cfRule type="dataBar" priority="8697">
      <dataBar>
        <cfvo type="min"/>
        <cfvo type="max"/>
        <color rgb="FFFF555A"/>
      </dataBar>
    </cfRule>
  </conditionalFormatting>
  <conditionalFormatting sqref="P1872:P1887">
    <cfRule type="dataBar" priority="8696">
      <dataBar>
        <cfvo type="min"/>
        <cfvo type="max"/>
        <color rgb="FFFF555A"/>
      </dataBar>
    </cfRule>
  </conditionalFormatting>
  <conditionalFormatting sqref="R1889:R1905 D1889:D1904 C1905">
    <cfRule type="containsText" dxfId="4390" priority="8695" operator="containsText" text="DOWN">
      <formula>NOT(ISERROR(SEARCH("DOWN",C1889)))</formula>
    </cfRule>
  </conditionalFormatting>
  <conditionalFormatting sqref="R1889:R1905 D1889:D1904 C1905">
    <cfRule type="containsText" dxfId="4389" priority="8694" operator="containsText" text="UP">
      <formula>NOT(ISERROR(SEARCH("UP",C1889)))</formula>
    </cfRule>
  </conditionalFormatting>
  <conditionalFormatting sqref="I1905">
    <cfRule type="colorScale" priority="8693">
      <colorScale>
        <cfvo type="min"/>
        <cfvo type="max"/>
        <color rgb="FFFFEF9C"/>
        <color rgb="FF63BE7B"/>
      </colorScale>
    </cfRule>
  </conditionalFormatting>
  <conditionalFormatting sqref="M1905">
    <cfRule type="colorScale" priority="8692">
      <colorScale>
        <cfvo type="min"/>
        <cfvo type="max"/>
        <color rgb="FFFF7128"/>
        <color rgb="FFFFEF9C"/>
      </colorScale>
    </cfRule>
  </conditionalFormatting>
  <conditionalFormatting sqref="Q1905">
    <cfRule type="dataBar" priority="8691">
      <dataBar>
        <cfvo type="min"/>
        <cfvo type="max"/>
        <color rgb="FFFF555A"/>
      </dataBar>
    </cfRule>
  </conditionalFormatting>
  <conditionalFormatting sqref="E1889:E1905">
    <cfRule type="dataBar" priority="8690">
      <dataBar>
        <cfvo type="min"/>
        <cfvo type="max"/>
        <color rgb="FFFF555A"/>
      </dataBar>
    </cfRule>
  </conditionalFormatting>
  <conditionalFormatting sqref="F1905">
    <cfRule type="top10" dxfId="4388" priority="8689" rank="1"/>
  </conditionalFormatting>
  <conditionalFormatting sqref="G1905 P1905">
    <cfRule type="cellIs" dxfId="4387" priority="8688" operator="equal">
      <formula>$G$135</formula>
    </cfRule>
  </conditionalFormatting>
  <conditionalFormatting sqref="P1905">
    <cfRule type="cellIs" dxfId="4386" priority="8687" operator="equal">
      <formula>$J$135</formula>
    </cfRule>
  </conditionalFormatting>
  <conditionalFormatting sqref="G1905 P1905">
    <cfRule type="cellIs" dxfId="4385" priority="8686" operator="equal">
      <formula>#REF!</formula>
    </cfRule>
  </conditionalFormatting>
  <conditionalFormatting sqref="G1905">
    <cfRule type="top10" dxfId="4384" priority="8684" rank="1"/>
    <cfRule type="cellIs" dxfId="4383" priority="8685" operator="equal">
      <formula>$G$133</formula>
    </cfRule>
  </conditionalFormatting>
  <conditionalFormatting sqref="P1905">
    <cfRule type="top10" dxfId="4382" priority="8682" rank="1"/>
    <cfRule type="cellIs" dxfId="4381" priority="8683" operator="equal">
      <formula>$G$133</formula>
    </cfRule>
  </conditionalFormatting>
  <conditionalFormatting sqref="C1889:C1904">
    <cfRule type="containsText" dxfId="4380" priority="8678" operator="containsText" text="Short Buildup">
      <formula>NOT(ISERROR(SEARCH("Short Buildup",C1889)))</formula>
    </cfRule>
    <cfRule type="containsText" dxfId="4379" priority="8679" operator="containsText" text="Long Liquidation">
      <formula>NOT(ISERROR(SEARCH("Long Liquidation",C1889)))</formula>
    </cfRule>
    <cfRule type="containsText" dxfId="4378" priority="8680" operator="containsText" text="Short covering">
      <formula>NOT(ISERROR(SEARCH("Short covering",C1889)))</formula>
    </cfRule>
    <cfRule type="containsText" dxfId="4377" priority="8681" operator="containsText" text="Long Buildup">
      <formula>NOT(ISERROR(SEARCH("Long Buildup",C1889)))</formula>
    </cfRule>
  </conditionalFormatting>
  <conditionalFormatting sqref="H1905">
    <cfRule type="colorScale" priority="8673">
      <colorScale>
        <cfvo type="min"/>
        <cfvo type="percentile" val="20"/>
        <cfvo type="max"/>
        <color rgb="FF92D050"/>
        <color theme="5" tint="0.79998168889431442"/>
        <color rgb="FFFF0000"/>
      </colorScale>
    </cfRule>
    <cfRule type="colorScale" priority="8674">
      <colorScale>
        <cfvo type="min"/>
        <cfvo type="max"/>
        <color rgb="FFFF0000"/>
        <color rgb="FF92D050"/>
      </colorScale>
    </cfRule>
    <cfRule type="colorScale" priority="8675">
      <colorScale>
        <cfvo type="min"/>
        <cfvo type="percentile" val="50"/>
        <cfvo type="max"/>
        <color rgb="FF5A8AC6"/>
        <color rgb="FFFCFCFF"/>
        <color rgb="FFF8696B"/>
      </colorScale>
    </cfRule>
    <cfRule type="colorScale" priority="8676">
      <colorScale>
        <cfvo type="formula" val="&quot;&gt;20&quot;"/>
        <cfvo type="formula" val="35"/>
        <color rgb="FFF8696B"/>
        <color rgb="FFFCFCFF"/>
      </colorScale>
    </cfRule>
    <cfRule type="colorScale" priority="8677">
      <colorScale>
        <cfvo type="min"/>
        <cfvo type="max"/>
        <color rgb="FFFFEF9C"/>
        <color rgb="FF63BE7B"/>
      </colorScale>
    </cfRule>
  </conditionalFormatting>
  <conditionalFormatting sqref="N1905">
    <cfRule type="colorScale" priority="8668">
      <colorScale>
        <cfvo type="min"/>
        <cfvo type="percentile" val="20"/>
        <cfvo type="max"/>
        <color rgb="FF92D050"/>
        <color theme="5" tint="0.79998168889431442"/>
        <color rgb="FFFF0000"/>
      </colorScale>
    </cfRule>
    <cfRule type="colorScale" priority="8669">
      <colorScale>
        <cfvo type="min"/>
        <cfvo type="max"/>
        <color rgb="FFFF0000"/>
        <color rgb="FF92D050"/>
      </colorScale>
    </cfRule>
    <cfRule type="colorScale" priority="8670">
      <colorScale>
        <cfvo type="min"/>
        <cfvo type="percentile" val="50"/>
        <cfvo type="max"/>
        <color rgb="FF5A8AC6"/>
        <color rgb="FFFCFCFF"/>
        <color rgb="FFF8696B"/>
      </colorScale>
    </cfRule>
    <cfRule type="colorScale" priority="8671">
      <colorScale>
        <cfvo type="formula" val="&quot;&gt;20&quot;"/>
        <cfvo type="formula" val="35"/>
        <color rgb="FFF8696B"/>
        <color rgb="FFFCFCFF"/>
      </colorScale>
    </cfRule>
    <cfRule type="colorScale" priority="8672">
      <colorScale>
        <cfvo type="min"/>
        <cfvo type="max"/>
        <color rgb="FFFFEF9C"/>
        <color rgb="FF63BE7B"/>
      </colorScale>
    </cfRule>
  </conditionalFormatting>
  <conditionalFormatting sqref="S1889:S1905">
    <cfRule type="containsText" dxfId="4376" priority="8664" operator="containsText" text="Short Buildup">
      <formula>NOT(ISERROR(SEARCH("Short Buildup",S1889)))</formula>
    </cfRule>
    <cfRule type="containsText" dxfId="4375" priority="8665" operator="containsText" text="Long Liquidation">
      <formula>NOT(ISERROR(SEARCH("Long Liquidation",S1889)))</formula>
    </cfRule>
    <cfRule type="containsText" dxfId="4374" priority="8666" operator="containsText" text="Short covering">
      <formula>NOT(ISERROR(SEARCH("Short covering",S1889)))</formula>
    </cfRule>
    <cfRule type="containsText" dxfId="4373" priority="8667" operator="containsText" text="Long Buildup">
      <formula>NOT(ISERROR(SEARCH("Long Buildup",S1889)))</formula>
    </cfRule>
  </conditionalFormatting>
  <conditionalFormatting sqref="F1889:F1904">
    <cfRule type="dataBar" priority="8663">
      <dataBar>
        <cfvo type="min"/>
        <cfvo type="max"/>
        <color rgb="FFFF555A"/>
      </dataBar>
    </cfRule>
  </conditionalFormatting>
  <conditionalFormatting sqref="G1889:G1904">
    <cfRule type="dataBar" priority="8662">
      <dataBar>
        <cfvo type="min"/>
        <cfvo type="max"/>
        <color rgb="FFFF555A"/>
      </dataBar>
    </cfRule>
  </conditionalFormatting>
  <conditionalFormatting sqref="H1889">
    <cfRule type="dataBar" priority="8661">
      <dataBar>
        <cfvo type="min"/>
        <cfvo type="max"/>
        <color rgb="FFFF555A"/>
      </dataBar>
    </cfRule>
  </conditionalFormatting>
  <conditionalFormatting sqref="I1889">
    <cfRule type="dataBar" priority="8660">
      <dataBar>
        <cfvo type="min"/>
        <cfvo type="max"/>
        <color rgb="FFFF555A"/>
      </dataBar>
    </cfRule>
  </conditionalFormatting>
  <conditionalFormatting sqref="J1889">
    <cfRule type="dataBar" priority="8659">
      <dataBar>
        <cfvo type="min"/>
        <cfvo type="max"/>
        <color rgb="FFFF555A"/>
      </dataBar>
    </cfRule>
  </conditionalFormatting>
  <conditionalFormatting sqref="E1890:E1904">
    <cfRule type="dataBar" priority="8658">
      <dataBar>
        <cfvo type="min"/>
        <cfvo type="max"/>
        <color rgb="FFFF555A"/>
      </dataBar>
    </cfRule>
  </conditionalFormatting>
  <conditionalFormatting sqref="H1890:H1904">
    <cfRule type="dataBar" priority="8657">
      <dataBar>
        <cfvo type="min"/>
        <cfvo type="max"/>
        <color rgb="FFFF555A"/>
      </dataBar>
    </cfRule>
  </conditionalFormatting>
  <conditionalFormatting sqref="I1890:I1904">
    <cfRule type="dataBar" priority="8656">
      <dataBar>
        <cfvo type="min"/>
        <cfvo type="max"/>
        <color rgb="FFFF555A"/>
      </dataBar>
    </cfRule>
  </conditionalFormatting>
  <conditionalFormatting sqref="J1890:J1904">
    <cfRule type="dataBar" priority="8655">
      <dataBar>
        <cfvo type="min"/>
        <cfvo type="max"/>
        <color rgb="FFFF555A"/>
      </dataBar>
    </cfRule>
  </conditionalFormatting>
  <conditionalFormatting sqref="L1889:L1904">
    <cfRule type="dataBar" priority="8654">
      <dataBar>
        <cfvo type="min"/>
        <cfvo type="max"/>
        <color rgb="FFFF555A"/>
      </dataBar>
    </cfRule>
  </conditionalFormatting>
  <conditionalFormatting sqref="M1889:M1904">
    <cfRule type="dataBar" priority="8653">
      <dataBar>
        <cfvo type="min"/>
        <cfvo type="max"/>
        <color rgb="FFFF555A"/>
      </dataBar>
    </cfRule>
  </conditionalFormatting>
  <conditionalFormatting sqref="N1889:N1904">
    <cfRule type="dataBar" priority="8652">
      <dataBar>
        <cfvo type="min"/>
        <cfvo type="max"/>
        <color rgb="FFFF555A"/>
      </dataBar>
    </cfRule>
  </conditionalFormatting>
  <conditionalFormatting sqref="Q1889:Q1904">
    <cfRule type="dataBar" priority="8651">
      <dataBar>
        <cfvo type="min"/>
        <cfvo type="max"/>
        <color rgb="FFFF555A"/>
      </dataBar>
    </cfRule>
  </conditionalFormatting>
  <conditionalFormatting sqref="O1889:O1904">
    <cfRule type="dataBar" priority="8650">
      <dataBar>
        <cfvo type="min"/>
        <cfvo type="max"/>
        <color rgb="FFFF555A"/>
      </dataBar>
    </cfRule>
  </conditionalFormatting>
  <conditionalFormatting sqref="P1889:P1904">
    <cfRule type="dataBar" priority="8649">
      <dataBar>
        <cfvo type="min"/>
        <cfvo type="max"/>
        <color rgb="FFFF555A"/>
      </dataBar>
    </cfRule>
  </conditionalFormatting>
  <conditionalFormatting sqref="R1906:R1922 D1906:D1921 C1922">
    <cfRule type="containsText" dxfId="4372" priority="8648" operator="containsText" text="DOWN">
      <formula>NOT(ISERROR(SEARCH("DOWN",C1906)))</formula>
    </cfRule>
  </conditionalFormatting>
  <conditionalFormatting sqref="R1906:R1922 D1906:D1921 C1922">
    <cfRule type="containsText" dxfId="4371" priority="8647" operator="containsText" text="UP">
      <formula>NOT(ISERROR(SEARCH("UP",C1906)))</formula>
    </cfRule>
  </conditionalFormatting>
  <conditionalFormatting sqref="I1922">
    <cfRule type="colorScale" priority="8646">
      <colorScale>
        <cfvo type="min"/>
        <cfvo type="max"/>
        <color rgb="FFFFEF9C"/>
        <color rgb="FF63BE7B"/>
      </colorScale>
    </cfRule>
  </conditionalFormatting>
  <conditionalFormatting sqref="M1922">
    <cfRule type="colorScale" priority="8645">
      <colorScale>
        <cfvo type="min"/>
        <cfvo type="max"/>
        <color rgb="FFFF7128"/>
        <color rgb="FFFFEF9C"/>
      </colorScale>
    </cfRule>
  </conditionalFormatting>
  <conditionalFormatting sqref="Q1922">
    <cfRule type="dataBar" priority="8644">
      <dataBar>
        <cfvo type="min"/>
        <cfvo type="max"/>
        <color rgb="FFFF555A"/>
      </dataBar>
    </cfRule>
  </conditionalFormatting>
  <conditionalFormatting sqref="E1906:E1922">
    <cfRule type="dataBar" priority="8643">
      <dataBar>
        <cfvo type="min"/>
        <cfvo type="max"/>
        <color rgb="FFFF555A"/>
      </dataBar>
    </cfRule>
  </conditionalFormatting>
  <conditionalFormatting sqref="F1922">
    <cfRule type="top10" dxfId="4370" priority="8642" rank="1"/>
  </conditionalFormatting>
  <conditionalFormatting sqref="G1922 P1922">
    <cfRule type="cellIs" dxfId="4369" priority="8641" operator="equal">
      <formula>$G$135</formula>
    </cfRule>
  </conditionalFormatting>
  <conditionalFormatting sqref="P1922">
    <cfRule type="cellIs" dxfId="4368" priority="8640" operator="equal">
      <formula>$J$135</formula>
    </cfRule>
  </conditionalFormatting>
  <conditionalFormatting sqref="G1922 P1922">
    <cfRule type="cellIs" dxfId="4367" priority="8639" operator="equal">
      <formula>#REF!</formula>
    </cfRule>
  </conditionalFormatting>
  <conditionalFormatting sqref="G1922">
    <cfRule type="top10" dxfId="4366" priority="8637" rank="1"/>
    <cfRule type="cellIs" dxfId="4365" priority="8638" operator="equal">
      <formula>$G$133</formula>
    </cfRule>
  </conditionalFormatting>
  <conditionalFormatting sqref="P1922">
    <cfRule type="top10" dxfId="4364" priority="8635" rank="1"/>
    <cfRule type="cellIs" dxfId="4363" priority="8636" operator="equal">
      <formula>$G$133</formula>
    </cfRule>
  </conditionalFormatting>
  <conditionalFormatting sqref="C1906:C1921">
    <cfRule type="containsText" dxfId="4362" priority="8631" operator="containsText" text="Short Buildup">
      <formula>NOT(ISERROR(SEARCH("Short Buildup",C1906)))</formula>
    </cfRule>
    <cfRule type="containsText" dxfId="4361" priority="8632" operator="containsText" text="Long Liquidation">
      <formula>NOT(ISERROR(SEARCH("Long Liquidation",C1906)))</formula>
    </cfRule>
    <cfRule type="containsText" dxfId="4360" priority="8633" operator="containsText" text="Short covering">
      <formula>NOT(ISERROR(SEARCH("Short covering",C1906)))</formula>
    </cfRule>
    <cfRule type="containsText" dxfId="4359" priority="8634" operator="containsText" text="Long Buildup">
      <formula>NOT(ISERROR(SEARCH("Long Buildup",C1906)))</formula>
    </cfRule>
  </conditionalFormatting>
  <conditionalFormatting sqref="H1922">
    <cfRule type="colorScale" priority="8626">
      <colorScale>
        <cfvo type="min"/>
        <cfvo type="percentile" val="20"/>
        <cfvo type="max"/>
        <color rgb="FF92D050"/>
        <color theme="5" tint="0.79998168889431442"/>
        <color rgb="FFFF0000"/>
      </colorScale>
    </cfRule>
    <cfRule type="colorScale" priority="8627">
      <colorScale>
        <cfvo type="min"/>
        <cfvo type="max"/>
        <color rgb="FFFF0000"/>
        <color rgb="FF92D050"/>
      </colorScale>
    </cfRule>
    <cfRule type="colorScale" priority="8628">
      <colorScale>
        <cfvo type="min"/>
        <cfvo type="percentile" val="50"/>
        <cfvo type="max"/>
        <color rgb="FF5A8AC6"/>
        <color rgb="FFFCFCFF"/>
        <color rgb="FFF8696B"/>
      </colorScale>
    </cfRule>
    <cfRule type="colorScale" priority="8629">
      <colorScale>
        <cfvo type="formula" val="&quot;&gt;20&quot;"/>
        <cfvo type="formula" val="35"/>
        <color rgb="FFF8696B"/>
        <color rgb="FFFCFCFF"/>
      </colorScale>
    </cfRule>
    <cfRule type="colorScale" priority="8630">
      <colorScale>
        <cfvo type="min"/>
        <cfvo type="max"/>
        <color rgb="FFFFEF9C"/>
        <color rgb="FF63BE7B"/>
      </colorScale>
    </cfRule>
  </conditionalFormatting>
  <conditionalFormatting sqref="N1922">
    <cfRule type="colorScale" priority="8621">
      <colorScale>
        <cfvo type="min"/>
        <cfvo type="percentile" val="20"/>
        <cfvo type="max"/>
        <color rgb="FF92D050"/>
        <color theme="5" tint="0.79998168889431442"/>
        <color rgb="FFFF0000"/>
      </colorScale>
    </cfRule>
    <cfRule type="colorScale" priority="8622">
      <colorScale>
        <cfvo type="min"/>
        <cfvo type="max"/>
        <color rgb="FFFF0000"/>
        <color rgb="FF92D050"/>
      </colorScale>
    </cfRule>
    <cfRule type="colorScale" priority="8623">
      <colorScale>
        <cfvo type="min"/>
        <cfvo type="percentile" val="50"/>
        <cfvo type="max"/>
        <color rgb="FF5A8AC6"/>
        <color rgb="FFFCFCFF"/>
        <color rgb="FFF8696B"/>
      </colorScale>
    </cfRule>
    <cfRule type="colorScale" priority="8624">
      <colorScale>
        <cfvo type="formula" val="&quot;&gt;20&quot;"/>
        <cfvo type="formula" val="35"/>
        <color rgb="FFF8696B"/>
        <color rgb="FFFCFCFF"/>
      </colorScale>
    </cfRule>
    <cfRule type="colorScale" priority="8625">
      <colorScale>
        <cfvo type="min"/>
        <cfvo type="max"/>
        <color rgb="FFFFEF9C"/>
        <color rgb="FF63BE7B"/>
      </colorScale>
    </cfRule>
  </conditionalFormatting>
  <conditionalFormatting sqref="S1906:S1922">
    <cfRule type="containsText" dxfId="4358" priority="8617" operator="containsText" text="Short Buildup">
      <formula>NOT(ISERROR(SEARCH("Short Buildup",S1906)))</formula>
    </cfRule>
    <cfRule type="containsText" dxfId="4357" priority="8618" operator="containsText" text="Long Liquidation">
      <formula>NOT(ISERROR(SEARCH("Long Liquidation",S1906)))</formula>
    </cfRule>
    <cfRule type="containsText" dxfId="4356" priority="8619" operator="containsText" text="Short covering">
      <formula>NOT(ISERROR(SEARCH("Short covering",S1906)))</formula>
    </cfRule>
    <cfRule type="containsText" dxfId="4355" priority="8620" operator="containsText" text="Long Buildup">
      <formula>NOT(ISERROR(SEARCH("Long Buildup",S1906)))</formula>
    </cfRule>
  </conditionalFormatting>
  <conditionalFormatting sqref="F1906:F1921">
    <cfRule type="dataBar" priority="8616">
      <dataBar>
        <cfvo type="min"/>
        <cfvo type="max"/>
        <color rgb="FFFF555A"/>
      </dataBar>
    </cfRule>
  </conditionalFormatting>
  <conditionalFormatting sqref="G1906:G1921">
    <cfRule type="dataBar" priority="8615">
      <dataBar>
        <cfvo type="min"/>
        <cfvo type="max"/>
        <color rgb="FFFF555A"/>
      </dataBar>
    </cfRule>
  </conditionalFormatting>
  <conditionalFormatting sqref="H1906">
    <cfRule type="dataBar" priority="8614">
      <dataBar>
        <cfvo type="min"/>
        <cfvo type="max"/>
        <color rgb="FFFF555A"/>
      </dataBar>
    </cfRule>
  </conditionalFormatting>
  <conditionalFormatting sqref="I1906">
    <cfRule type="dataBar" priority="8613">
      <dataBar>
        <cfvo type="min"/>
        <cfvo type="max"/>
        <color rgb="FFFF555A"/>
      </dataBar>
    </cfRule>
  </conditionalFormatting>
  <conditionalFormatting sqref="J1906">
    <cfRule type="dataBar" priority="8612">
      <dataBar>
        <cfvo type="min"/>
        <cfvo type="max"/>
        <color rgb="FFFF555A"/>
      </dataBar>
    </cfRule>
  </conditionalFormatting>
  <conditionalFormatting sqref="E1907:E1921">
    <cfRule type="dataBar" priority="8611">
      <dataBar>
        <cfvo type="min"/>
        <cfvo type="max"/>
        <color rgb="FFFF555A"/>
      </dataBar>
    </cfRule>
  </conditionalFormatting>
  <conditionalFormatting sqref="H1907:H1921">
    <cfRule type="dataBar" priority="8610">
      <dataBar>
        <cfvo type="min"/>
        <cfvo type="max"/>
        <color rgb="FFFF555A"/>
      </dataBar>
    </cfRule>
  </conditionalFormatting>
  <conditionalFormatting sqref="I1907:I1921">
    <cfRule type="dataBar" priority="8609">
      <dataBar>
        <cfvo type="min"/>
        <cfvo type="max"/>
        <color rgb="FFFF555A"/>
      </dataBar>
    </cfRule>
  </conditionalFormatting>
  <conditionalFormatting sqref="J1907:J1921">
    <cfRule type="dataBar" priority="8608">
      <dataBar>
        <cfvo type="min"/>
        <cfvo type="max"/>
        <color rgb="FFFF555A"/>
      </dataBar>
    </cfRule>
  </conditionalFormatting>
  <conditionalFormatting sqref="L1906:L1921">
    <cfRule type="dataBar" priority="8607">
      <dataBar>
        <cfvo type="min"/>
        <cfvo type="max"/>
        <color rgb="FFFF555A"/>
      </dataBar>
    </cfRule>
  </conditionalFormatting>
  <conditionalFormatting sqref="M1906:M1921">
    <cfRule type="dataBar" priority="8606">
      <dataBar>
        <cfvo type="min"/>
        <cfvo type="max"/>
        <color rgb="FFFF555A"/>
      </dataBar>
    </cfRule>
  </conditionalFormatting>
  <conditionalFormatting sqref="N1906:N1921">
    <cfRule type="dataBar" priority="8605">
      <dataBar>
        <cfvo type="min"/>
        <cfvo type="max"/>
        <color rgb="FFFF555A"/>
      </dataBar>
    </cfRule>
  </conditionalFormatting>
  <conditionalFormatting sqref="Q1906:Q1921">
    <cfRule type="dataBar" priority="8604">
      <dataBar>
        <cfvo type="min"/>
        <cfvo type="max"/>
        <color rgb="FFFF555A"/>
      </dataBar>
    </cfRule>
  </conditionalFormatting>
  <conditionalFormatting sqref="O1906:O1921">
    <cfRule type="dataBar" priority="8603">
      <dataBar>
        <cfvo type="min"/>
        <cfvo type="max"/>
        <color rgb="FFFF555A"/>
      </dataBar>
    </cfRule>
  </conditionalFormatting>
  <conditionalFormatting sqref="P1906:P1921">
    <cfRule type="dataBar" priority="8602">
      <dataBar>
        <cfvo type="min"/>
        <cfvo type="max"/>
        <color rgb="FFFF555A"/>
      </dataBar>
    </cfRule>
  </conditionalFormatting>
  <conditionalFormatting sqref="R1923:R1939 D1923:D1938 C1939">
    <cfRule type="containsText" dxfId="4354" priority="8601" operator="containsText" text="DOWN">
      <formula>NOT(ISERROR(SEARCH("DOWN",C1923)))</formula>
    </cfRule>
  </conditionalFormatting>
  <conditionalFormatting sqref="R1923:R1939 D1923:D1938 C1939">
    <cfRule type="containsText" dxfId="4353" priority="8600" operator="containsText" text="UP">
      <formula>NOT(ISERROR(SEARCH("UP",C1923)))</formula>
    </cfRule>
  </conditionalFormatting>
  <conditionalFormatting sqref="I1939">
    <cfRule type="colorScale" priority="8599">
      <colorScale>
        <cfvo type="min"/>
        <cfvo type="max"/>
        <color rgb="FFFFEF9C"/>
        <color rgb="FF63BE7B"/>
      </colorScale>
    </cfRule>
  </conditionalFormatting>
  <conditionalFormatting sqref="M1939">
    <cfRule type="colorScale" priority="8598">
      <colorScale>
        <cfvo type="min"/>
        <cfvo type="max"/>
        <color rgb="FFFF7128"/>
        <color rgb="FFFFEF9C"/>
      </colorScale>
    </cfRule>
  </conditionalFormatting>
  <conditionalFormatting sqref="Q1939">
    <cfRule type="dataBar" priority="8597">
      <dataBar>
        <cfvo type="min"/>
        <cfvo type="max"/>
        <color rgb="FFFF555A"/>
      </dataBar>
    </cfRule>
  </conditionalFormatting>
  <conditionalFormatting sqref="E1923:E1939">
    <cfRule type="dataBar" priority="8596">
      <dataBar>
        <cfvo type="min"/>
        <cfvo type="max"/>
        <color rgb="FFFF555A"/>
      </dataBar>
    </cfRule>
  </conditionalFormatting>
  <conditionalFormatting sqref="F1939">
    <cfRule type="top10" dxfId="4352" priority="8595" rank="1"/>
  </conditionalFormatting>
  <conditionalFormatting sqref="G1939 P1939">
    <cfRule type="cellIs" dxfId="4351" priority="8594" operator="equal">
      <formula>$G$135</formula>
    </cfRule>
  </conditionalFormatting>
  <conditionalFormatting sqref="P1939">
    <cfRule type="cellIs" dxfId="4350" priority="8593" operator="equal">
      <formula>$J$135</formula>
    </cfRule>
  </conditionalFormatting>
  <conditionalFormatting sqref="G1939 P1939">
    <cfRule type="cellIs" dxfId="4349" priority="8592" operator="equal">
      <formula>#REF!</formula>
    </cfRule>
  </conditionalFormatting>
  <conditionalFormatting sqref="G1939">
    <cfRule type="top10" dxfId="4348" priority="8590" rank="1"/>
    <cfRule type="cellIs" dxfId="4347" priority="8591" operator="equal">
      <formula>$G$133</formula>
    </cfRule>
  </conditionalFormatting>
  <conditionalFormatting sqref="P1939">
    <cfRule type="top10" dxfId="4346" priority="8588" rank="1"/>
    <cfRule type="cellIs" dxfId="4345" priority="8589" operator="equal">
      <formula>$G$133</formula>
    </cfRule>
  </conditionalFormatting>
  <conditionalFormatting sqref="C1923:C1938">
    <cfRule type="containsText" dxfId="4344" priority="8584" operator="containsText" text="Short Buildup">
      <formula>NOT(ISERROR(SEARCH("Short Buildup",C1923)))</formula>
    </cfRule>
    <cfRule type="containsText" dxfId="4343" priority="8585" operator="containsText" text="Long Liquidation">
      <formula>NOT(ISERROR(SEARCH("Long Liquidation",C1923)))</formula>
    </cfRule>
    <cfRule type="containsText" dxfId="4342" priority="8586" operator="containsText" text="Short covering">
      <formula>NOT(ISERROR(SEARCH("Short covering",C1923)))</formula>
    </cfRule>
    <cfRule type="containsText" dxfId="4341" priority="8587" operator="containsText" text="Long Buildup">
      <formula>NOT(ISERROR(SEARCH("Long Buildup",C1923)))</formula>
    </cfRule>
  </conditionalFormatting>
  <conditionalFormatting sqref="H1939">
    <cfRule type="colorScale" priority="8579">
      <colorScale>
        <cfvo type="min"/>
        <cfvo type="percentile" val="20"/>
        <cfvo type="max"/>
        <color rgb="FF92D050"/>
        <color theme="5" tint="0.79998168889431442"/>
        <color rgb="FFFF0000"/>
      </colorScale>
    </cfRule>
    <cfRule type="colorScale" priority="8580">
      <colorScale>
        <cfvo type="min"/>
        <cfvo type="max"/>
        <color rgb="FFFF0000"/>
        <color rgb="FF92D050"/>
      </colorScale>
    </cfRule>
    <cfRule type="colorScale" priority="8581">
      <colorScale>
        <cfvo type="min"/>
        <cfvo type="percentile" val="50"/>
        <cfvo type="max"/>
        <color rgb="FF5A8AC6"/>
        <color rgb="FFFCFCFF"/>
        <color rgb="FFF8696B"/>
      </colorScale>
    </cfRule>
    <cfRule type="colorScale" priority="8582">
      <colorScale>
        <cfvo type="formula" val="&quot;&gt;20&quot;"/>
        <cfvo type="formula" val="35"/>
        <color rgb="FFF8696B"/>
        <color rgb="FFFCFCFF"/>
      </colorScale>
    </cfRule>
    <cfRule type="colorScale" priority="8583">
      <colorScale>
        <cfvo type="min"/>
        <cfvo type="max"/>
        <color rgb="FFFFEF9C"/>
        <color rgb="FF63BE7B"/>
      </colorScale>
    </cfRule>
  </conditionalFormatting>
  <conditionalFormatting sqref="N1939">
    <cfRule type="colorScale" priority="8574">
      <colorScale>
        <cfvo type="min"/>
        <cfvo type="percentile" val="20"/>
        <cfvo type="max"/>
        <color rgb="FF92D050"/>
        <color theme="5" tint="0.79998168889431442"/>
        <color rgb="FFFF0000"/>
      </colorScale>
    </cfRule>
    <cfRule type="colorScale" priority="8575">
      <colorScale>
        <cfvo type="min"/>
        <cfvo type="max"/>
        <color rgb="FFFF0000"/>
        <color rgb="FF92D050"/>
      </colorScale>
    </cfRule>
    <cfRule type="colorScale" priority="8576">
      <colorScale>
        <cfvo type="min"/>
        <cfvo type="percentile" val="50"/>
        <cfvo type="max"/>
        <color rgb="FF5A8AC6"/>
        <color rgb="FFFCFCFF"/>
        <color rgb="FFF8696B"/>
      </colorScale>
    </cfRule>
    <cfRule type="colorScale" priority="8577">
      <colorScale>
        <cfvo type="formula" val="&quot;&gt;20&quot;"/>
        <cfvo type="formula" val="35"/>
        <color rgb="FFF8696B"/>
        <color rgb="FFFCFCFF"/>
      </colorScale>
    </cfRule>
    <cfRule type="colorScale" priority="8578">
      <colorScale>
        <cfvo type="min"/>
        <cfvo type="max"/>
        <color rgb="FFFFEF9C"/>
        <color rgb="FF63BE7B"/>
      </colorScale>
    </cfRule>
  </conditionalFormatting>
  <conditionalFormatting sqref="S1923:S1939">
    <cfRule type="containsText" dxfId="4340" priority="8570" operator="containsText" text="Short Buildup">
      <formula>NOT(ISERROR(SEARCH("Short Buildup",S1923)))</formula>
    </cfRule>
    <cfRule type="containsText" dxfId="4339" priority="8571" operator="containsText" text="Long Liquidation">
      <formula>NOT(ISERROR(SEARCH("Long Liquidation",S1923)))</formula>
    </cfRule>
    <cfRule type="containsText" dxfId="4338" priority="8572" operator="containsText" text="Short covering">
      <formula>NOT(ISERROR(SEARCH("Short covering",S1923)))</formula>
    </cfRule>
    <cfRule type="containsText" dxfId="4337" priority="8573" operator="containsText" text="Long Buildup">
      <formula>NOT(ISERROR(SEARCH("Long Buildup",S1923)))</formula>
    </cfRule>
  </conditionalFormatting>
  <conditionalFormatting sqref="F1923:F1938">
    <cfRule type="dataBar" priority="8569">
      <dataBar>
        <cfvo type="min"/>
        <cfvo type="max"/>
        <color rgb="FFFF555A"/>
      </dataBar>
    </cfRule>
  </conditionalFormatting>
  <conditionalFormatting sqref="G1923:G1938">
    <cfRule type="dataBar" priority="8568">
      <dataBar>
        <cfvo type="min"/>
        <cfvo type="max"/>
        <color rgb="FFFF555A"/>
      </dataBar>
    </cfRule>
  </conditionalFormatting>
  <conditionalFormatting sqref="H1923">
    <cfRule type="dataBar" priority="8567">
      <dataBar>
        <cfvo type="min"/>
        <cfvo type="max"/>
        <color rgb="FFFF555A"/>
      </dataBar>
    </cfRule>
  </conditionalFormatting>
  <conditionalFormatting sqref="I1923">
    <cfRule type="dataBar" priority="8566">
      <dataBar>
        <cfvo type="min"/>
        <cfvo type="max"/>
        <color rgb="FFFF555A"/>
      </dataBar>
    </cfRule>
  </conditionalFormatting>
  <conditionalFormatting sqref="J1923">
    <cfRule type="dataBar" priority="8565">
      <dataBar>
        <cfvo type="min"/>
        <cfvo type="max"/>
        <color rgb="FFFF555A"/>
      </dataBar>
    </cfRule>
  </conditionalFormatting>
  <conditionalFormatting sqref="E1924:E1938">
    <cfRule type="dataBar" priority="8564">
      <dataBar>
        <cfvo type="min"/>
        <cfvo type="max"/>
        <color rgb="FFFF555A"/>
      </dataBar>
    </cfRule>
  </conditionalFormatting>
  <conditionalFormatting sqref="H1924:H1938">
    <cfRule type="dataBar" priority="8563">
      <dataBar>
        <cfvo type="min"/>
        <cfvo type="max"/>
        <color rgb="FFFF555A"/>
      </dataBar>
    </cfRule>
  </conditionalFormatting>
  <conditionalFormatting sqref="I1924:I1938">
    <cfRule type="dataBar" priority="8562">
      <dataBar>
        <cfvo type="min"/>
        <cfvo type="max"/>
        <color rgb="FFFF555A"/>
      </dataBar>
    </cfRule>
  </conditionalFormatting>
  <conditionalFormatting sqref="J1924:J1938">
    <cfRule type="dataBar" priority="8561">
      <dataBar>
        <cfvo type="min"/>
        <cfvo type="max"/>
        <color rgb="FFFF555A"/>
      </dataBar>
    </cfRule>
  </conditionalFormatting>
  <conditionalFormatting sqref="L1923:L1938">
    <cfRule type="dataBar" priority="8560">
      <dataBar>
        <cfvo type="min"/>
        <cfvo type="max"/>
        <color rgb="FFFF555A"/>
      </dataBar>
    </cfRule>
  </conditionalFormatting>
  <conditionalFormatting sqref="M1923:M1938">
    <cfRule type="dataBar" priority="8559">
      <dataBar>
        <cfvo type="min"/>
        <cfvo type="max"/>
        <color rgb="FFFF555A"/>
      </dataBar>
    </cfRule>
  </conditionalFormatting>
  <conditionalFormatting sqref="N1923:N1938">
    <cfRule type="dataBar" priority="8558">
      <dataBar>
        <cfvo type="min"/>
        <cfvo type="max"/>
        <color rgb="FFFF555A"/>
      </dataBar>
    </cfRule>
  </conditionalFormatting>
  <conditionalFormatting sqref="Q1923:Q1938">
    <cfRule type="dataBar" priority="8557">
      <dataBar>
        <cfvo type="min"/>
        <cfvo type="max"/>
        <color rgb="FFFF555A"/>
      </dataBar>
    </cfRule>
  </conditionalFormatting>
  <conditionalFormatting sqref="O1923:O1938">
    <cfRule type="dataBar" priority="8556">
      <dataBar>
        <cfvo type="min"/>
        <cfvo type="max"/>
        <color rgb="FFFF555A"/>
      </dataBar>
    </cfRule>
  </conditionalFormatting>
  <conditionalFormatting sqref="P1923:P1938">
    <cfRule type="dataBar" priority="8555">
      <dataBar>
        <cfvo type="min"/>
        <cfvo type="max"/>
        <color rgb="FFFF555A"/>
      </dataBar>
    </cfRule>
  </conditionalFormatting>
  <conditionalFormatting sqref="R1940:R1956 D1940:D1955 C1956">
    <cfRule type="containsText" dxfId="4336" priority="8554" operator="containsText" text="DOWN">
      <formula>NOT(ISERROR(SEARCH("DOWN",C1940)))</formula>
    </cfRule>
  </conditionalFormatting>
  <conditionalFormatting sqref="R1940:R1956 D1940:D1955 C1956">
    <cfRule type="containsText" dxfId="4335" priority="8553" operator="containsText" text="UP">
      <formula>NOT(ISERROR(SEARCH("UP",C1940)))</formula>
    </cfRule>
  </conditionalFormatting>
  <conditionalFormatting sqref="I1956">
    <cfRule type="colorScale" priority="8552">
      <colorScale>
        <cfvo type="min"/>
        <cfvo type="max"/>
        <color rgb="FFFFEF9C"/>
        <color rgb="FF63BE7B"/>
      </colorScale>
    </cfRule>
  </conditionalFormatting>
  <conditionalFormatting sqref="M1956">
    <cfRule type="colorScale" priority="8551">
      <colorScale>
        <cfvo type="min"/>
        <cfvo type="max"/>
        <color rgb="FFFF7128"/>
        <color rgb="FFFFEF9C"/>
      </colorScale>
    </cfRule>
  </conditionalFormatting>
  <conditionalFormatting sqref="Q1956">
    <cfRule type="dataBar" priority="8550">
      <dataBar>
        <cfvo type="min"/>
        <cfvo type="max"/>
        <color rgb="FFFF555A"/>
      </dataBar>
    </cfRule>
  </conditionalFormatting>
  <conditionalFormatting sqref="E1940:E1956">
    <cfRule type="dataBar" priority="8549">
      <dataBar>
        <cfvo type="min"/>
        <cfvo type="max"/>
        <color rgb="FFFF555A"/>
      </dataBar>
    </cfRule>
  </conditionalFormatting>
  <conditionalFormatting sqref="F1956">
    <cfRule type="top10" dxfId="4334" priority="8548" rank="1"/>
  </conditionalFormatting>
  <conditionalFormatting sqref="G1956 P1956">
    <cfRule type="cellIs" dxfId="4333" priority="8547" operator="equal">
      <formula>$G$135</formula>
    </cfRule>
  </conditionalFormatting>
  <conditionalFormatting sqref="P1956">
    <cfRule type="cellIs" dxfId="4332" priority="8546" operator="equal">
      <formula>$J$135</formula>
    </cfRule>
  </conditionalFormatting>
  <conditionalFormatting sqref="G1956 P1956">
    <cfRule type="cellIs" dxfId="4331" priority="8545" operator="equal">
      <formula>#REF!</formula>
    </cfRule>
  </conditionalFormatting>
  <conditionalFormatting sqref="G1956">
    <cfRule type="top10" dxfId="4330" priority="8543" rank="1"/>
    <cfRule type="cellIs" dxfId="4329" priority="8544" operator="equal">
      <formula>$G$133</formula>
    </cfRule>
  </conditionalFormatting>
  <conditionalFormatting sqref="P1956">
    <cfRule type="top10" dxfId="4328" priority="8541" rank="1"/>
    <cfRule type="cellIs" dxfId="4327" priority="8542" operator="equal">
      <formula>$G$133</formula>
    </cfRule>
  </conditionalFormatting>
  <conditionalFormatting sqref="C1940:C1955">
    <cfRule type="containsText" dxfId="4326" priority="8537" operator="containsText" text="Short Buildup">
      <formula>NOT(ISERROR(SEARCH("Short Buildup",C1940)))</formula>
    </cfRule>
    <cfRule type="containsText" dxfId="4325" priority="8538" operator="containsText" text="Long Liquidation">
      <formula>NOT(ISERROR(SEARCH("Long Liquidation",C1940)))</formula>
    </cfRule>
    <cfRule type="containsText" dxfId="4324" priority="8539" operator="containsText" text="Short covering">
      <formula>NOT(ISERROR(SEARCH("Short covering",C1940)))</formula>
    </cfRule>
    <cfRule type="containsText" dxfId="4323" priority="8540" operator="containsText" text="Long Buildup">
      <formula>NOT(ISERROR(SEARCH("Long Buildup",C1940)))</formula>
    </cfRule>
  </conditionalFormatting>
  <conditionalFormatting sqref="H1956">
    <cfRule type="colorScale" priority="8532">
      <colorScale>
        <cfvo type="min"/>
        <cfvo type="percentile" val="20"/>
        <cfvo type="max"/>
        <color rgb="FF92D050"/>
        <color theme="5" tint="0.79998168889431442"/>
        <color rgb="FFFF0000"/>
      </colorScale>
    </cfRule>
    <cfRule type="colorScale" priority="8533">
      <colorScale>
        <cfvo type="min"/>
        <cfvo type="max"/>
        <color rgb="FFFF0000"/>
        <color rgb="FF92D050"/>
      </colorScale>
    </cfRule>
    <cfRule type="colorScale" priority="8534">
      <colorScale>
        <cfvo type="min"/>
        <cfvo type="percentile" val="50"/>
        <cfvo type="max"/>
        <color rgb="FF5A8AC6"/>
        <color rgb="FFFCFCFF"/>
        <color rgb="FFF8696B"/>
      </colorScale>
    </cfRule>
    <cfRule type="colorScale" priority="8535">
      <colorScale>
        <cfvo type="formula" val="&quot;&gt;20&quot;"/>
        <cfvo type="formula" val="35"/>
        <color rgb="FFF8696B"/>
        <color rgb="FFFCFCFF"/>
      </colorScale>
    </cfRule>
    <cfRule type="colorScale" priority="8536">
      <colorScale>
        <cfvo type="min"/>
        <cfvo type="max"/>
        <color rgb="FFFFEF9C"/>
        <color rgb="FF63BE7B"/>
      </colorScale>
    </cfRule>
  </conditionalFormatting>
  <conditionalFormatting sqref="N1956">
    <cfRule type="colorScale" priority="8527">
      <colorScale>
        <cfvo type="min"/>
        <cfvo type="percentile" val="20"/>
        <cfvo type="max"/>
        <color rgb="FF92D050"/>
        <color theme="5" tint="0.79998168889431442"/>
        <color rgb="FFFF0000"/>
      </colorScale>
    </cfRule>
    <cfRule type="colorScale" priority="8528">
      <colorScale>
        <cfvo type="min"/>
        <cfvo type="max"/>
        <color rgb="FFFF0000"/>
        <color rgb="FF92D050"/>
      </colorScale>
    </cfRule>
    <cfRule type="colorScale" priority="8529">
      <colorScale>
        <cfvo type="min"/>
        <cfvo type="percentile" val="50"/>
        <cfvo type="max"/>
        <color rgb="FF5A8AC6"/>
        <color rgb="FFFCFCFF"/>
        <color rgb="FFF8696B"/>
      </colorScale>
    </cfRule>
    <cfRule type="colorScale" priority="8530">
      <colorScale>
        <cfvo type="formula" val="&quot;&gt;20&quot;"/>
        <cfvo type="formula" val="35"/>
        <color rgb="FFF8696B"/>
        <color rgb="FFFCFCFF"/>
      </colorScale>
    </cfRule>
    <cfRule type="colorScale" priority="8531">
      <colorScale>
        <cfvo type="min"/>
        <cfvo type="max"/>
        <color rgb="FFFFEF9C"/>
        <color rgb="FF63BE7B"/>
      </colorScale>
    </cfRule>
  </conditionalFormatting>
  <conditionalFormatting sqref="S1940:S1956">
    <cfRule type="containsText" dxfId="4322" priority="8523" operator="containsText" text="Short Buildup">
      <formula>NOT(ISERROR(SEARCH("Short Buildup",S1940)))</formula>
    </cfRule>
    <cfRule type="containsText" dxfId="4321" priority="8524" operator="containsText" text="Long Liquidation">
      <formula>NOT(ISERROR(SEARCH("Long Liquidation",S1940)))</formula>
    </cfRule>
    <cfRule type="containsText" dxfId="4320" priority="8525" operator="containsText" text="Short covering">
      <formula>NOT(ISERROR(SEARCH("Short covering",S1940)))</formula>
    </cfRule>
    <cfRule type="containsText" dxfId="4319" priority="8526" operator="containsText" text="Long Buildup">
      <formula>NOT(ISERROR(SEARCH("Long Buildup",S1940)))</formula>
    </cfRule>
  </conditionalFormatting>
  <conditionalFormatting sqref="F1940:F1955">
    <cfRule type="dataBar" priority="8522">
      <dataBar>
        <cfvo type="min"/>
        <cfvo type="max"/>
        <color rgb="FFFF555A"/>
      </dataBar>
    </cfRule>
  </conditionalFormatting>
  <conditionalFormatting sqref="G1940:G1955">
    <cfRule type="dataBar" priority="8521">
      <dataBar>
        <cfvo type="min"/>
        <cfvo type="max"/>
        <color rgb="FFFF555A"/>
      </dataBar>
    </cfRule>
  </conditionalFormatting>
  <conditionalFormatting sqref="H1940">
    <cfRule type="dataBar" priority="8520">
      <dataBar>
        <cfvo type="min"/>
        <cfvo type="max"/>
        <color rgb="FFFF555A"/>
      </dataBar>
    </cfRule>
  </conditionalFormatting>
  <conditionalFormatting sqref="I1940">
    <cfRule type="dataBar" priority="8519">
      <dataBar>
        <cfvo type="min"/>
        <cfvo type="max"/>
        <color rgb="FFFF555A"/>
      </dataBar>
    </cfRule>
  </conditionalFormatting>
  <conditionalFormatting sqref="J1940">
    <cfRule type="dataBar" priority="8518">
      <dataBar>
        <cfvo type="min"/>
        <cfvo type="max"/>
        <color rgb="FFFF555A"/>
      </dataBar>
    </cfRule>
  </conditionalFormatting>
  <conditionalFormatting sqref="E1941:E1955">
    <cfRule type="dataBar" priority="8517">
      <dataBar>
        <cfvo type="min"/>
        <cfvo type="max"/>
        <color rgb="FFFF555A"/>
      </dataBar>
    </cfRule>
  </conditionalFormatting>
  <conditionalFormatting sqref="H1941:H1955">
    <cfRule type="dataBar" priority="8516">
      <dataBar>
        <cfvo type="min"/>
        <cfvo type="max"/>
        <color rgb="FFFF555A"/>
      </dataBar>
    </cfRule>
  </conditionalFormatting>
  <conditionalFormatting sqref="I1941:I1955">
    <cfRule type="dataBar" priority="8515">
      <dataBar>
        <cfvo type="min"/>
        <cfvo type="max"/>
        <color rgb="FFFF555A"/>
      </dataBar>
    </cfRule>
  </conditionalFormatting>
  <conditionalFormatting sqref="J1941:J1955">
    <cfRule type="dataBar" priority="8514">
      <dataBar>
        <cfvo type="min"/>
        <cfvo type="max"/>
        <color rgb="FFFF555A"/>
      </dataBar>
    </cfRule>
  </conditionalFormatting>
  <conditionalFormatting sqref="L1940:L1955">
    <cfRule type="dataBar" priority="8513">
      <dataBar>
        <cfvo type="min"/>
        <cfvo type="max"/>
        <color rgb="FFFF555A"/>
      </dataBar>
    </cfRule>
  </conditionalFormatting>
  <conditionalFormatting sqref="M1940:M1955">
    <cfRule type="dataBar" priority="8512">
      <dataBar>
        <cfvo type="min"/>
        <cfvo type="max"/>
        <color rgb="FFFF555A"/>
      </dataBar>
    </cfRule>
  </conditionalFormatting>
  <conditionalFormatting sqref="N1940:N1955">
    <cfRule type="dataBar" priority="8511">
      <dataBar>
        <cfvo type="min"/>
        <cfvo type="max"/>
        <color rgb="FFFF555A"/>
      </dataBar>
    </cfRule>
  </conditionalFormatting>
  <conditionalFormatting sqref="Q1940:Q1955">
    <cfRule type="dataBar" priority="8510">
      <dataBar>
        <cfvo type="min"/>
        <cfvo type="max"/>
        <color rgb="FFFF555A"/>
      </dataBar>
    </cfRule>
  </conditionalFormatting>
  <conditionalFormatting sqref="O1940:O1955">
    <cfRule type="dataBar" priority="8509">
      <dataBar>
        <cfvo type="min"/>
        <cfvo type="max"/>
        <color rgb="FFFF555A"/>
      </dataBar>
    </cfRule>
  </conditionalFormatting>
  <conditionalFormatting sqref="P1940:P1955">
    <cfRule type="dataBar" priority="8508">
      <dataBar>
        <cfvo type="min"/>
        <cfvo type="max"/>
        <color rgb="FFFF555A"/>
      </dataBar>
    </cfRule>
  </conditionalFormatting>
  <conditionalFormatting sqref="R1957:R1973 D1957:D1972 C1973">
    <cfRule type="containsText" dxfId="4318" priority="8507" operator="containsText" text="DOWN">
      <formula>NOT(ISERROR(SEARCH("DOWN",C1957)))</formula>
    </cfRule>
  </conditionalFormatting>
  <conditionalFormatting sqref="R1957:R1973 D1957:D1972 C1973">
    <cfRule type="containsText" dxfId="4317" priority="8506" operator="containsText" text="UP">
      <formula>NOT(ISERROR(SEARCH("UP",C1957)))</formula>
    </cfRule>
  </conditionalFormatting>
  <conditionalFormatting sqref="I1973">
    <cfRule type="colorScale" priority="8505">
      <colorScale>
        <cfvo type="min"/>
        <cfvo type="max"/>
        <color rgb="FFFFEF9C"/>
        <color rgb="FF63BE7B"/>
      </colorScale>
    </cfRule>
  </conditionalFormatting>
  <conditionalFormatting sqref="M1973">
    <cfRule type="colorScale" priority="8504">
      <colorScale>
        <cfvo type="min"/>
        <cfvo type="max"/>
        <color rgb="FFFF7128"/>
        <color rgb="FFFFEF9C"/>
      </colorScale>
    </cfRule>
  </conditionalFormatting>
  <conditionalFormatting sqref="Q1973">
    <cfRule type="dataBar" priority="8503">
      <dataBar>
        <cfvo type="min"/>
        <cfvo type="max"/>
        <color rgb="FFFF555A"/>
      </dataBar>
    </cfRule>
  </conditionalFormatting>
  <conditionalFormatting sqref="E1957:E1973">
    <cfRule type="dataBar" priority="8502">
      <dataBar>
        <cfvo type="min"/>
        <cfvo type="max"/>
        <color rgb="FFFF555A"/>
      </dataBar>
    </cfRule>
  </conditionalFormatting>
  <conditionalFormatting sqref="F1973">
    <cfRule type="top10" dxfId="4316" priority="8501" rank="1"/>
  </conditionalFormatting>
  <conditionalFormatting sqref="G1973 P1973">
    <cfRule type="cellIs" dxfId="4315" priority="8500" operator="equal">
      <formula>$G$135</formula>
    </cfRule>
  </conditionalFormatting>
  <conditionalFormatting sqref="P1973">
    <cfRule type="cellIs" dxfId="4314" priority="8499" operator="equal">
      <formula>$J$135</formula>
    </cfRule>
  </conditionalFormatting>
  <conditionalFormatting sqref="G1973 P1973">
    <cfRule type="cellIs" dxfId="4313" priority="8498" operator="equal">
      <formula>#REF!</formula>
    </cfRule>
  </conditionalFormatting>
  <conditionalFormatting sqref="G1973">
    <cfRule type="top10" dxfId="4312" priority="8496" rank="1"/>
    <cfRule type="cellIs" dxfId="4311" priority="8497" operator="equal">
      <formula>$G$133</formula>
    </cfRule>
  </conditionalFormatting>
  <conditionalFormatting sqref="P1973">
    <cfRule type="top10" dxfId="4310" priority="8494" rank="1"/>
    <cfRule type="cellIs" dxfId="4309" priority="8495" operator="equal">
      <formula>$G$133</formula>
    </cfRule>
  </conditionalFormatting>
  <conditionalFormatting sqref="C1957:C1972">
    <cfRule type="containsText" dxfId="4308" priority="8490" operator="containsText" text="Short Buildup">
      <formula>NOT(ISERROR(SEARCH("Short Buildup",C1957)))</formula>
    </cfRule>
    <cfRule type="containsText" dxfId="4307" priority="8491" operator="containsText" text="Long Liquidation">
      <formula>NOT(ISERROR(SEARCH("Long Liquidation",C1957)))</formula>
    </cfRule>
    <cfRule type="containsText" dxfId="4306" priority="8492" operator="containsText" text="Short covering">
      <formula>NOT(ISERROR(SEARCH("Short covering",C1957)))</formula>
    </cfRule>
    <cfRule type="containsText" dxfId="4305" priority="8493" operator="containsText" text="Long Buildup">
      <formula>NOT(ISERROR(SEARCH("Long Buildup",C1957)))</formula>
    </cfRule>
  </conditionalFormatting>
  <conditionalFormatting sqref="H1973">
    <cfRule type="colorScale" priority="8485">
      <colorScale>
        <cfvo type="min"/>
        <cfvo type="percentile" val="20"/>
        <cfvo type="max"/>
        <color rgb="FF92D050"/>
        <color theme="5" tint="0.79998168889431442"/>
        <color rgb="FFFF0000"/>
      </colorScale>
    </cfRule>
    <cfRule type="colorScale" priority="8486">
      <colorScale>
        <cfvo type="min"/>
        <cfvo type="max"/>
        <color rgb="FFFF0000"/>
        <color rgb="FF92D050"/>
      </colorScale>
    </cfRule>
    <cfRule type="colorScale" priority="8487">
      <colorScale>
        <cfvo type="min"/>
        <cfvo type="percentile" val="50"/>
        <cfvo type="max"/>
        <color rgb="FF5A8AC6"/>
        <color rgb="FFFCFCFF"/>
        <color rgb="FFF8696B"/>
      </colorScale>
    </cfRule>
    <cfRule type="colorScale" priority="8488">
      <colorScale>
        <cfvo type="formula" val="&quot;&gt;20&quot;"/>
        <cfvo type="formula" val="35"/>
        <color rgb="FFF8696B"/>
        <color rgb="FFFCFCFF"/>
      </colorScale>
    </cfRule>
    <cfRule type="colorScale" priority="8489">
      <colorScale>
        <cfvo type="min"/>
        <cfvo type="max"/>
        <color rgb="FFFFEF9C"/>
        <color rgb="FF63BE7B"/>
      </colorScale>
    </cfRule>
  </conditionalFormatting>
  <conditionalFormatting sqref="N1973">
    <cfRule type="colorScale" priority="8480">
      <colorScale>
        <cfvo type="min"/>
        <cfvo type="percentile" val="20"/>
        <cfvo type="max"/>
        <color rgb="FF92D050"/>
        <color theme="5" tint="0.79998168889431442"/>
        <color rgb="FFFF0000"/>
      </colorScale>
    </cfRule>
    <cfRule type="colorScale" priority="8481">
      <colorScale>
        <cfvo type="min"/>
        <cfvo type="max"/>
        <color rgb="FFFF0000"/>
        <color rgb="FF92D050"/>
      </colorScale>
    </cfRule>
    <cfRule type="colorScale" priority="8482">
      <colorScale>
        <cfvo type="min"/>
        <cfvo type="percentile" val="50"/>
        <cfvo type="max"/>
        <color rgb="FF5A8AC6"/>
        <color rgb="FFFCFCFF"/>
        <color rgb="FFF8696B"/>
      </colorScale>
    </cfRule>
    <cfRule type="colorScale" priority="8483">
      <colorScale>
        <cfvo type="formula" val="&quot;&gt;20&quot;"/>
        <cfvo type="formula" val="35"/>
        <color rgb="FFF8696B"/>
        <color rgb="FFFCFCFF"/>
      </colorScale>
    </cfRule>
    <cfRule type="colorScale" priority="8484">
      <colorScale>
        <cfvo type="min"/>
        <cfvo type="max"/>
        <color rgb="FFFFEF9C"/>
        <color rgb="FF63BE7B"/>
      </colorScale>
    </cfRule>
  </conditionalFormatting>
  <conditionalFormatting sqref="S1957:S1973">
    <cfRule type="containsText" dxfId="4304" priority="8476" operator="containsText" text="Short Buildup">
      <formula>NOT(ISERROR(SEARCH("Short Buildup",S1957)))</formula>
    </cfRule>
    <cfRule type="containsText" dxfId="4303" priority="8477" operator="containsText" text="Long Liquidation">
      <formula>NOT(ISERROR(SEARCH("Long Liquidation",S1957)))</formula>
    </cfRule>
    <cfRule type="containsText" dxfId="4302" priority="8478" operator="containsText" text="Short covering">
      <formula>NOT(ISERROR(SEARCH("Short covering",S1957)))</formula>
    </cfRule>
    <cfRule type="containsText" dxfId="4301" priority="8479" operator="containsText" text="Long Buildup">
      <formula>NOT(ISERROR(SEARCH("Long Buildup",S1957)))</formula>
    </cfRule>
  </conditionalFormatting>
  <conditionalFormatting sqref="F1957:F1972">
    <cfRule type="dataBar" priority="8475">
      <dataBar>
        <cfvo type="min"/>
        <cfvo type="max"/>
        <color rgb="FFFF555A"/>
      </dataBar>
    </cfRule>
  </conditionalFormatting>
  <conditionalFormatting sqref="G1957:G1972">
    <cfRule type="dataBar" priority="8474">
      <dataBar>
        <cfvo type="min"/>
        <cfvo type="max"/>
        <color rgb="FFFF555A"/>
      </dataBar>
    </cfRule>
  </conditionalFormatting>
  <conditionalFormatting sqref="H1957">
    <cfRule type="dataBar" priority="8473">
      <dataBar>
        <cfvo type="min"/>
        <cfvo type="max"/>
        <color rgb="FFFF555A"/>
      </dataBar>
    </cfRule>
  </conditionalFormatting>
  <conditionalFormatting sqref="I1957">
    <cfRule type="dataBar" priority="8472">
      <dataBar>
        <cfvo type="min"/>
        <cfvo type="max"/>
        <color rgb="FFFF555A"/>
      </dataBar>
    </cfRule>
  </conditionalFormatting>
  <conditionalFormatting sqref="J1957">
    <cfRule type="dataBar" priority="8471">
      <dataBar>
        <cfvo type="min"/>
        <cfvo type="max"/>
        <color rgb="FFFF555A"/>
      </dataBar>
    </cfRule>
  </conditionalFormatting>
  <conditionalFormatting sqref="E1958:E1972">
    <cfRule type="dataBar" priority="8470">
      <dataBar>
        <cfvo type="min"/>
        <cfvo type="max"/>
        <color rgb="FFFF555A"/>
      </dataBar>
    </cfRule>
  </conditionalFormatting>
  <conditionalFormatting sqref="H1958:H1972">
    <cfRule type="dataBar" priority="8469">
      <dataBar>
        <cfvo type="min"/>
        <cfvo type="max"/>
        <color rgb="FFFF555A"/>
      </dataBar>
    </cfRule>
  </conditionalFormatting>
  <conditionalFormatting sqref="I1958:I1972">
    <cfRule type="dataBar" priority="8468">
      <dataBar>
        <cfvo type="min"/>
        <cfvo type="max"/>
        <color rgb="FFFF555A"/>
      </dataBar>
    </cfRule>
  </conditionalFormatting>
  <conditionalFormatting sqref="J1958:J1972">
    <cfRule type="dataBar" priority="8467">
      <dataBar>
        <cfvo type="min"/>
        <cfvo type="max"/>
        <color rgb="FFFF555A"/>
      </dataBar>
    </cfRule>
  </conditionalFormatting>
  <conditionalFormatting sqref="L1957:L1972">
    <cfRule type="dataBar" priority="8466">
      <dataBar>
        <cfvo type="min"/>
        <cfvo type="max"/>
        <color rgb="FFFF555A"/>
      </dataBar>
    </cfRule>
  </conditionalFormatting>
  <conditionalFormatting sqref="M1957:M1972">
    <cfRule type="dataBar" priority="8465">
      <dataBar>
        <cfvo type="min"/>
        <cfvo type="max"/>
        <color rgb="FFFF555A"/>
      </dataBar>
    </cfRule>
  </conditionalFormatting>
  <conditionalFormatting sqref="N1957:N1972">
    <cfRule type="dataBar" priority="8464">
      <dataBar>
        <cfvo type="min"/>
        <cfvo type="max"/>
        <color rgb="FFFF555A"/>
      </dataBar>
    </cfRule>
  </conditionalFormatting>
  <conditionalFormatting sqref="Q1957:Q1972">
    <cfRule type="dataBar" priority="8463">
      <dataBar>
        <cfvo type="min"/>
        <cfvo type="max"/>
        <color rgb="FFFF555A"/>
      </dataBar>
    </cfRule>
  </conditionalFormatting>
  <conditionalFormatting sqref="O1957:O1972">
    <cfRule type="dataBar" priority="8462">
      <dataBar>
        <cfvo type="min"/>
        <cfvo type="max"/>
        <color rgb="FFFF555A"/>
      </dataBar>
    </cfRule>
  </conditionalFormatting>
  <conditionalFormatting sqref="P1957:P1972">
    <cfRule type="dataBar" priority="8461">
      <dataBar>
        <cfvo type="min"/>
        <cfvo type="max"/>
        <color rgb="FFFF555A"/>
      </dataBar>
    </cfRule>
  </conditionalFormatting>
  <conditionalFormatting sqref="R1974:R1990 D1974:D1989 C1990">
    <cfRule type="containsText" dxfId="4300" priority="8460" operator="containsText" text="DOWN">
      <formula>NOT(ISERROR(SEARCH("DOWN",C1974)))</formula>
    </cfRule>
  </conditionalFormatting>
  <conditionalFormatting sqref="R1974:R1990 D1974:D1989 C1990">
    <cfRule type="containsText" dxfId="4299" priority="8459" operator="containsText" text="UP">
      <formula>NOT(ISERROR(SEARCH("UP",C1974)))</formula>
    </cfRule>
  </conditionalFormatting>
  <conditionalFormatting sqref="I1990">
    <cfRule type="colorScale" priority="8458">
      <colorScale>
        <cfvo type="min"/>
        <cfvo type="max"/>
        <color rgb="FFFFEF9C"/>
        <color rgb="FF63BE7B"/>
      </colorScale>
    </cfRule>
  </conditionalFormatting>
  <conditionalFormatting sqref="M1990">
    <cfRule type="colorScale" priority="8457">
      <colorScale>
        <cfvo type="min"/>
        <cfvo type="max"/>
        <color rgb="FFFF7128"/>
        <color rgb="FFFFEF9C"/>
      </colorScale>
    </cfRule>
  </conditionalFormatting>
  <conditionalFormatting sqref="Q1990">
    <cfRule type="dataBar" priority="8456">
      <dataBar>
        <cfvo type="min"/>
        <cfvo type="max"/>
        <color rgb="FFFF555A"/>
      </dataBar>
    </cfRule>
  </conditionalFormatting>
  <conditionalFormatting sqref="E1974:E1990">
    <cfRule type="dataBar" priority="8455">
      <dataBar>
        <cfvo type="min"/>
        <cfvo type="max"/>
        <color rgb="FFFF555A"/>
      </dataBar>
    </cfRule>
  </conditionalFormatting>
  <conditionalFormatting sqref="F1990">
    <cfRule type="top10" dxfId="4298" priority="8454" rank="1"/>
  </conditionalFormatting>
  <conditionalFormatting sqref="G1990 P1990">
    <cfRule type="cellIs" dxfId="4297" priority="8453" operator="equal">
      <formula>$G$135</formula>
    </cfRule>
  </conditionalFormatting>
  <conditionalFormatting sqref="P1990">
    <cfRule type="cellIs" dxfId="4296" priority="8452" operator="equal">
      <formula>$J$135</formula>
    </cfRule>
  </conditionalFormatting>
  <conditionalFormatting sqref="G1990 P1990">
    <cfRule type="cellIs" dxfId="4295" priority="8451" operator="equal">
      <formula>#REF!</formula>
    </cfRule>
  </conditionalFormatting>
  <conditionalFormatting sqref="G1990">
    <cfRule type="top10" dxfId="4294" priority="8449" rank="1"/>
    <cfRule type="cellIs" dxfId="4293" priority="8450" operator="equal">
      <formula>$G$133</formula>
    </cfRule>
  </conditionalFormatting>
  <conditionalFormatting sqref="P1990">
    <cfRule type="top10" dxfId="4292" priority="8447" rank="1"/>
    <cfRule type="cellIs" dxfId="4291" priority="8448" operator="equal">
      <formula>$G$133</formula>
    </cfRule>
  </conditionalFormatting>
  <conditionalFormatting sqref="C1974:C1989">
    <cfRule type="containsText" dxfId="4290" priority="8443" operator="containsText" text="Short Buildup">
      <formula>NOT(ISERROR(SEARCH("Short Buildup",C1974)))</formula>
    </cfRule>
    <cfRule type="containsText" dxfId="4289" priority="8444" operator="containsText" text="Long Liquidation">
      <formula>NOT(ISERROR(SEARCH("Long Liquidation",C1974)))</formula>
    </cfRule>
    <cfRule type="containsText" dxfId="4288" priority="8445" operator="containsText" text="Short covering">
      <formula>NOT(ISERROR(SEARCH("Short covering",C1974)))</formula>
    </cfRule>
    <cfRule type="containsText" dxfId="4287" priority="8446" operator="containsText" text="Long Buildup">
      <formula>NOT(ISERROR(SEARCH("Long Buildup",C1974)))</formula>
    </cfRule>
  </conditionalFormatting>
  <conditionalFormatting sqref="H1990">
    <cfRule type="colorScale" priority="8438">
      <colorScale>
        <cfvo type="min"/>
        <cfvo type="percentile" val="20"/>
        <cfvo type="max"/>
        <color rgb="FF92D050"/>
        <color theme="5" tint="0.79998168889431442"/>
        <color rgb="FFFF0000"/>
      </colorScale>
    </cfRule>
    <cfRule type="colorScale" priority="8439">
      <colorScale>
        <cfvo type="min"/>
        <cfvo type="max"/>
        <color rgb="FFFF0000"/>
        <color rgb="FF92D050"/>
      </colorScale>
    </cfRule>
    <cfRule type="colorScale" priority="8440">
      <colorScale>
        <cfvo type="min"/>
        <cfvo type="percentile" val="50"/>
        <cfvo type="max"/>
        <color rgb="FF5A8AC6"/>
        <color rgb="FFFCFCFF"/>
        <color rgb="FFF8696B"/>
      </colorScale>
    </cfRule>
    <cfRule type="colorScale" priority="8441">
      <colorScale>
        <cfvo type="formula" val="&quot;&gt;20&quot;"/>
        <cfvo type="formula" val="35"/>
        <color rgb="FFF8696B"/>
        <color rgb="FFFCFCFF"/>
      </colorScale>
    </cfRule>
    <cfRule type="colorScale" priority="8442">
      <colorScale>
        <cfvo type="min"/>
        <cfvo type="max"/>
        <color rgb="FFFFEF9C"/>
        <color rgb="FF63BE7B"/>
      </colorScale>
    </cfRule>
  </conditionalFormatting>
  <conditionalFormatting sqref="N1990">
    <cfRule type="colorScale" priority="8433">
      <colorScale>
        <cfvo type="min"/>
        <cfvo type="percentile" val="20"/>
        <cfvo type="max"/>
        <color rgb="FF92D050"/>
        <color theme="5" tint="0.79998168889431442"/>
        <color rgb="FFFF0000"/>
      </colorScale>
    </cfRule>
    <cfRule type="colorScale" priority="8434">
      <colorScale>
        <cfvo type="min"/>
        <cfvo type="max"/>
        <color rgb="FFFF0000"/>
        <color rgb="FF92D050"/>
      </colorScale>
    </cfRule>
    <cfRule type="colorScale" priority="8435">
      <colorScale>
        <cfvo type="min"/>
        <cfvo type="percentile" val="50"/>
        <cfvo type="max"/>
        <color rgb="FF5A8AC6"/>
        <color rgb="FFFCFCFF"/>
        <color rgb="FFF8696B"/>
      </colorScale>
    </cfRule>
    <cfRule type="colorScale" priority="8436">
      <colorScale>
        <cfvo type="formula" val="&quot;&gt;20&quot;"/>
        <cfvo type="formula" val="35"/>
        <color rgb="FFF8696B"/>
        <color rgb="FFFCFCFF"/>
      </colorScale>
    </cfRule>
    <cfRule type="colorScale" priority="8437">
      <colorScale>
        <cfvo type="min"/>
        <cfvo type="max"/>
        <color rgb="FFFFEF9C"/>
        <color rgb="FF63BE7B"/>
      </colorScale>
    </cfRule>
  </conditionalFormatting>
  <conditionalFormatting sqref="S1974:S1990">
    <cfRule type="containsText" dxfId="4286" priority="8429" operator="containsText" text="Short Buildup">
      <formula>NOT(ISERROR(SEARCH("Short Buildup",S1974)))</formula>
    </cfRule>
    <cfRule type="containsText" dxfId="4285" priority="8430" operator="containsText" text="Long Liquidation">
      <formula>NOT(ISERROR(SEARCH("Long Liquidation",S1974)))</formula>
    </cfRule>
    <cfRule type="containsText" dxfId="4284" priority="8431" operator="containsText" text="Short covering">
      <formula>NOT(ISERROR(SEARCH("Short covering",S1974)))</formula>
    </cfRule>
    <cfRule type="containsText" dxfId="4283" priority="8432" operator="containsText" text="Long Buildup">
      <formula>NOT(ISERROR(SEARCH("Long Buildup",S1974)))</formula>
    </cfRule>
  </conditionalFormatting>
  <conditionalFormatting sqref="F1974:F1989">
    <cfRule type="dataBar" priority="8428">
      <dataBar>
        <cfvo type="min"/>
        <cfvo type="max"/>
        <color rgb="FFFF555A"/>
      </dataBar>
    </cfRule>
  </conditionalFormatting>
  <conditionalFormatting sqref="G1974:G1989">
    <cfRule type="dataBar" priority="8427">
      <dataBar>
        <cfvo type="min"/>
        <cfvo type="max"/>
        <color rgb="FFFF555A"/>
      </dataBar>
    </cfRule>
  </conditionalFormatting>
  <conditionalFormatting sqref="H1974">
    <cfRule type="dataBar" priority="8426">
      <dataBar>
        <cfvo type="min"/>
        <cfvo type="max"/>
        <color rgb="FFFF555A"/>
      </dataBar>
    </cfRule>
  </conditionalFormatting>
  <conditionalFormatting sqref="I1974">
    <cfRule type="dataBar" priority="8425">
      <dataBar>
        <cfvo type="min"/>
        <cfvo type="max"/>
        <color rgb="FFFF555A"/>
      </dataBar>
    </cfRule>
  </conditionalFormatting>
  <conditionalFormatting sqref="J1974">
    <cfRule type="dataBar" priority="8424">
      <dataBar>
        <cfvo type="min"/>
        <cfvo type="max"/>
        <color rgb="FFFF555A"/>
      </dataBar>
    </cfRule>
  </conditionalFormatting>
  <conditionalFormatting sqref="E1975:E1989">
    <cfRule type="dataBar" priority="8423">
      <dataBar>
        <cfvo type="min"/>
        <cfvo type="max"/>
        <color rgb="FFFF555A"/>
      </dataBar>
    </cfRule>
  </conditionalFormatting>
  <conditionalFormatting sqref="H1975:H1989">
    <cfRule type="dataBar" priority="8422">
      <dataBar>
        <cfvo type="min"/>
        <cfvo type="max"/>
        <color rgb="FFFF555A"/>
      </dataBar>
    </cfRule>
  </conditionalFormatting>
  <conditionalFormatting sqref="I1975:I1989">
    <cfRule type="dataBar" priority="8421">
      <dataBar>
        <cfvo type="min"/>
        <cfvo type="max"/>
        <color rgb="FFFF555A"/>
      </dataBar>
    </cfRule>
  </conditionalFormatting>
  <conditionalFormatting sqref="J1975:J1989">
    <cfRule type="dataBar" priority="8420">
      <dataBar>
        <cfvo type="min"/>
        <cfvo type="max"/>
        <color rgb="FFFF555A"/>
      </dataBar>
    </cfRule>
  </conditionalFormatting>
  <conditionalFormatting sqref="L1974:L1989">
    <cfRule type="dataBar" priority="8419">
      <dataBar>
        <cfvo type="min"/>
        <cfvo type="max"/>
        <color rgb="FFFF555A"/>
      </dataBar>
    </cfRule>
  </conditionalFormatting>
  <conditionalFormatting sqref="M1974:M1989">
    <cfRule type="dataBar" priority="8418">
      <dataBar>
        <cfvo type="min"/>
        <cfvo type="max"/>
        <color rgb="FFFF555A"/>
      </dataBar>
    </cfRule>
  </conditionalFormatting>
  <conditionalFormatting sqref="N1974:N1989">
    <cfRule type="dataBar" priority="8417">
      <dataBar>
        <cfvo type="min"/>
        <cfvo type="max"/>
        <color rgb="FFFF555A"/>
      </dataBar>
    </cfRule>
  </conditionalFormatting>
  <conditionalFormatting sqref="Q1974:Q1989">
    <cfRule type="dataBar" priority="8416">
      <dataBar>
        <cfvo type="min"/>
        <cfvo type="max"/>
        <color rgb="FFFF555A"/>
      </dataBar>
    </cfRule>
  </conditionalFormatting>
  <conditionalFormatting sqref="O1974:O1989">
    <cfRule type="dataBar" priority="8415">
      <dataBar>
        <cfvo type="min"/>
        <cfvo type="max"/>
        <color rgb="FFFF555A"/>
      </dataBar>
    </cfRule>
  </conditionalFormatting>
  <conditionalFormatting sqref="P1974:P1989">
    <cfRule type="dataBar" priority="8414">
      <dataBar>
        <cfvo type="min"/>
        <cfvo type="max"/>
        <color rgb="FFFF555A"/>
      </dataBar>
    </cfRule>
  </conditionalFormatting>
  <conditionalFormatting sqref="R1991:R2007 D1991:D2006 C2007">
    <cfRule type="containsText" dxfId="4282" priority="8413" operator="containsText" text="DOWN">
      <formula>NOT(ISERROR(SEARCH("DOWN",C1991)))</formula>
    </cfRule>
  </conditionalFormatting>
  <conditionalFormatting sqref="R1991:R2007 D1991:D2006 C2007">
    <cfRule type="containsText" dxfId="4281" priority="8412" operator="containsText" text="UP">
      <formula>NOT(ISERROR(SEARCH("UP",C1991)))</formula>
    </cfRule>
  </conditionalFormatting>
  <conditionalFormatting sqref="I2007">
    <cfRule type="colorScale" priority="8411">
      <colorScale>
        <cfvo type="min"/>
        <cfvo type="max"/>
        <color rgb="FFFFEF9C"/>
        <color rgb="FF63BE7B"/>
      </colorScale>
    </cfRule>
  </conditionalFormatting>
  <conditionalFormatting sqref="M2007">
    <cfRule type="colorScale" priority="8410">
      <colorScale>
        <cfvo type="min"/>
        <cfvo type="max"/>
        <color rgb="FFFF7128"/>
        <color rgb="FFFFEF9C"/>
      </colorScale>
    </cfRule>
  </conditionalFormatting>
  <conditionalFormatting sqref="Q2007">
    <cfRule type="dataBar" priority="8409">
      <dataBar>
        <cfvo type="min"/>
        <cfvo type="max"/>
        <color rgb="FFFF555A"/>
      </dataBar>
    </cfRule>
  </conditionalFormatting>
  <conditionalFormatting sqref="E1991:E2007">
    <cfRule type="dataBar" priority="8408">
      <dataBar>
        <cfvo type="min"/>
        <cfvo type="max"/>
        <color rgb="FFFF555A"/>
      </dataBar>
    </cfRule>
  </conditionalFormatting>
  <conditionalFormatting sqref="F2007">
    <cfRule type="top10" dxfId="4280" priority="8407" rank="1"/>
  </conditionalFormatting>
  <conditionalFormatting sqref="G2007 P2007">
    <cfRule type="cellIs" dxfId="4279" priority="8406" operator="equal">
      <formula>$G$135</formula>
    </cfRule>
  </conditionalFormatting>
  <conditionalFormatting sqref="P2007">
    <cfRule type="cellIs" dxfId="4278" priority="8405" operator="equal">
      <formula>$J$135</formula>
    </cfRule>
  </conditionalFormatting>
  <conditionalFormatting sqref="G2007 P2007">
    <cfRule type="cellIs" dxfId="4277" priority="8404" operator="equal">
      <formula>#REF!</formula>
    </cfRule>
  </conditionalFormatting>
  <conditionalFormatting sqref="G2007">
    <cfRule type="top10" dxfId="4276" priority="8402" rank="1"/>
    <cfRule type="cellIs" dxfId="4275" priority="8403" operator="equal">
      <formula>$G$133</formula>
    </cfRule>
  </conditionalFormatting>
  <conditionalFormatting sqref="P2007">
    <cfRule type="top10" dxfId="4274" priority="8400" rank="1"/>
    <cfRule type="cellIs" dxfId="4273" priority="8401" operator="equal">
      <formula>$G$133</formula>
    </cfRule>
  </conditionalFormatting>
  <conditionalFormatting sqref="C1991:C2006">
    <cfRule type="containsText" dxfId="4272" priority="8396" operator="containsText" text="Short Buildup">
      <formula>NOT(ISERROR(SEARCH("Short Buildup",C1991)))</formula>
    </cfRule>
    <cfRule type="containsText" dxfId="4271" priority="8397" operator="containsText" text="Long Liquidation">
      <formula>NOT(ISERROR(SEARCH("Long Liquidation",C1991)))</formula>
    </cfRule>
    <cfRule type="containsText" dxfId="4270" priority="8398" operator="containsText" text="Short covering">
      <formula>NOT(ISERROR(SEARCH("Short covering",C1991)))</formula>
    </cfRule>
    <cfRule type="containsText" dxfId="4269" priority="8399" operator="containsText" text="Long Buildup">
      <formula>NOT(ISERROR(SEARCH("Long Buildup",C1991)))</formula>
    </cfRule>
  </conditionalFormatting>
  <conditionalFormatting sqref="H2007">
    <cfRule type="colorScale" priority="8391">
      <colorScale>
        <cfvo type="min"/>
        <cfvo type="percentile" val="20"/>
        <cfvo type="max"/>
        <color rgb="FF92D050"/>
        <color theme="5" tint="0.79998168889431442"/>
        <color rgb="FFFF0000"/>
      </colorScale>
    </cfRule>
    <cfRule type="colorScale" priority="8392">
      <colorScale>
        <cfvo type="min"/>
        <cfvo type="max"/>
        <color rgb="FFFF0000"/>
        <color rgb="FF92D050"/>
      </colorScale>
    </cfRule>
    <cfRule type="colorScale" priority="8393">
      <colorScale>
        <cfvo type="min"/>
        <cfvo type="percentile" val="50"/>
        <cfvo type="max"/>
        <color rgb="FF5A8AC6"/>
        <color rgb="FFFCFCFF"/>
        <color rgb="FFF8696B"/>
      </colorScale>
    </cfRule>
    <cfRule type="colorScale" priority="8394">
      <colorScale>
        <cfvo type="formula" val="&quot;&gt;20&quot;"/>
        <cfvo type="formula" val="35"/>
        <color rgb="FFF8696B"/>
        <color rgb="FFFCFCFF"/>
      </colorScale>
    </cfRule>
    <cfRule type="colorScale" priority="8395">
      <colorScale>
        <cfvo type="min"/>
        <cfvo type="max"/>
        <color rgb="FFFFEF9C"/>
        <color rgb="FF63BE7B"/>
      </colorScale>
    </cfRule>
  </conditionalFormatting>
  <conditionalFormatting sqref="N2007">
    <cfRule type="colorScale" priority="8386">
      <colorScale>
        <cfvo type="min"/>
        <cfvo type="percentile" val="20"/>
        <cfvo type="max"/>
        <color rgb="FF92D050"/>
        <color theme="5" tint="0.79998168889431442"/>
        <color rgb="FFFF0000"/>
      </colorScale>
    </cfRule>
    <cfRule type="colorScale" priority="8387">
      <colorScale>
        <cfvo type="min"/>
        <cfvo type="max"/>
        <color rgb="FFFF0000"/>
        <color rgb="FF92D050"/>
      </colorScale>
    </cfRule>
    <cfRule type="colorScale" priority="8388">
      <colorScale>
        <cfvo type="min"/>
        <cfvo type="percentile" val="50"/>
        <cfvo type="max"/>
        <color rgb="FF5A8AC6"/>
        <color rgb="FFFCFCFF"/>
        <color rgb="FFF8696B"/>
      </colorScale>
    </cfRule>
    <cfRule type="colorScale" priority="8389">
      <colorScale>
        <cfvo type="formula" val="&quot;&gt;20&quot;"/>
        <cfvo type="formula" val="35"/>
        <color rgb="FFF8696B"/>
        <color rgb="FFFCFCFF"/>
      </colorScale>
    </cfRule>
    <cfRule type="colorScale" priority="8390">
      <colorScale>
        <cfvo type="min"/>
        <cfvo type="max"/>
        <color rgb="FFFFEF9C"/>
        <color rgb="FF63BE7B"/>
      </colorScale>
    </cfRule>
  </conditionalFormatting>
  <conditionalFormatting sqref="S1991:S2007">
    <cfRule type="containsText" dxfId="4268" priority="8382" operator="containsText" text="Short Buildup">
      <formula>NOT(ISERROR(SEARCH("Short Buildup",S1991)))</formula>
    </cfRule>
    <cfRule type="containsText" dxfId="4267" priority="8383" operator="containsText" text="Long Liquidation">
      <formula>NOT(ISERROR(SEARCH("Long Liquidation",S1991)))</formula>
    </cfRule>
    <cfRule type="containsText" dxfId="4266" priority="8384" operator="containsText" text="Short covering">
      <formula>NOT(ISERROR(SEARCH("Short covering",S1991)))</formula>
    </cfRule>
    <cfRule type="containsText" dxfId="4265" priority="8385" operator="containsText" text="Long Buildup">
      <formula>NOT(ISERROR(SEARCH("Long Buildup",S1991)))</formula>
    </cfRule>
  </conditionalFormatting>
  <conditionalFormatting sqref="F1991:F2006">
    <cfRule type="dataBar" priority="8381">
      <dataBar>
        <cfvo type="min"/>
        <cfvo type="max"/>
        <color rgb="FFFF555A"/>
      </dataBar>
    </cfRule>
  </conditionalFormatting>
  <conditionalFormatting sqref="G1991:G2006">
    <cfRule type="dataBar" priority="8380">
      <dataBar>
        <cfvo type="min"/>
        <cfvo type="max"/>
        <color rgb="FFFF555A"/>
      </dataBar>
    </cfRule>
  </conditionalFormatting>
  <conditionalFormatting sqref="H1991">
    <cfRule type="dataBar" priority="8379">
      <dataBar>
        <cfvo type="min"/>
        <cfvo type="max"/>
        <color rgb="FFFF555A"/>
      </dataBar>
    </cfRule>
  </conditionalFormatting>
  <conditionalFormatting sqref="I1991">
    <cfRule type="dataBar" priority="8378">
      <dataBar>
        <cfvo type="min"/>
        <cfvo type="max"/>
        <color rgb="FFFF555A"/>
      </dataBar>
    </cfRule>
  </conditionalFormatting>
  <conditionalFormatting sqref="J1991">
    <cfRule type="dataBar" priority="8377">
      <dataBar>
        <cfvo type="min"/>
        <cfvo type="max"/>
        <color rgb="FFFF555A"/>
      </dataBar>
    </cfRule>
  </conditionalFormatting>
  <conditionalFormatting sqref="E1992:E2006">
    <cfRule type="dataBar" priority="8376">
      <dataBar>
        <cfvo type="min"/>
        <cfvo type="max"/>
        <color rgb="FFFF555A"/>
      </dataBar>
    </cfRule>
  </conditionalFormatting>
  <conditionalFormatting sqref="H1992:H2006">
    <cfRule type="dataBar" priority="8375">
      <dataBar>
        <cfvo type="min"/>
        <cfvo type="max"/>
        <color rgb="FFFF555A"/>
      </dataBar>
    </cfRule>
  </conditionalFormatting>
  <conditionalFormatting sqref="I1992:I2006">
    <cfRule type="dataBar" priority="8374">
      <dataBar>
        <cfvo type="min"/>
        <cfvo type="max"/>
        <color rgb="FFFF555A"/>
      </dataBar>
    </cfRule>
  </conditionalFormatting>
  <conditionalFormatting sqref="J1992:J2006">
    <cfRule type="dataBar" priority="8373">
      <dataBar>
        <cfvo type="min"/>
        <cfvo type="max"/>
        <color rgb="FFFF555A"/>
      </dataBar>
    </cfRule>
  </conditionalFormatting>
  <conditionalFormatting sqref="L1991:L2006">
    <cfRule type="dataBar" priority="8372">
      <dataBar>
        <cfvo type="min"/>
        <cfvo type="max"/>
        <color rgb="FFFF555A"/>
      </dataBar>
    </cfRule>
  </conditionalFormatting>
  <conditionalFormatting sqref="M1991:M2006">
    <cfRule type="dataBar" priority="8371">
      <dataBar>
        <cfvo type="min"/>
        <cfvo type="max"/>
        <color rgb="FFFF555A"/>
      </dataBar>
    </cfRule>
  </conditionalFormatting>
  <conditionalFormatting sqref="N1991:N2006">
    <cfRule type="dataBar" priority="8370">
      <dataBar>
        <cfvo type="min"/>
        <cfvo type="max"/>
        <color rgb="FFFF555A"/>
      </dataBar>
    </cfRule>
  </conditionalFormatting>
  <conditionalFormatting sqref="Q1991:Q2006">
    <cfRule type="dataBar" priority="8369">
      <dataBar>
        <cfvo type="min"/>
        <cfvo type="max"/>
        <color rgb="FFFF555A"/>
      </dataBar>
    </cfRule>
  </conditionalFormatting>
  <conditionalFormatting sqref="O1991:O2006">
    <cfRule type="dataBar" priority="8368">
      <dataBar>
        <cfvo type="min"/>
        <cfvo type="max"/>
        <color rgb="FFFF555A"/>
      </dataBar>
    </cfRule>
  </conditionalFormatting>
  <conditionalFormatting sqref="P1991:P2006">
    <cfRule type="dataBar" priority="8367">
      <dataBar>
        <cfvo type="min"/>
        <cfvo type="max"/>
        <color rgb="FFFF555A"/>
      </dataBar>
    </cfRule>
  </conditionalFormatting>
  <conditionalFormatting sqref="R2008:R2024 D2008:D2023 C2024">
    <cfRule type="containsText" dxfId="4264" priority="8366" operator="containsText" text="DOWN">
      <formula>NOT(ISERROR(SEARCH("DOWN",C2008)))</formula>
    </cfRule>
  </conditionalFormatting>
  <conditionalFormatting sqref="R2008:R2024 D2008:D2023 C2024">
    <cfRule type="containsText" dxfId="4263" priority="8365" operator="containsText" text="UP">
      <formula>NOT(ISERROR(SEARCH("UP",C2008)))</formula>
    </cfRule>
  </conditionalFormatting>
  <conditionalFormatting sqref="I2024">
    <cfRule type="colorScale" priority="8364">
      <colorScale>
        <cfvo type="min"/>
        <cfvo type="max"/>
        <color rgb="FFFFEF9C"/>
        <color rgb="FF63BE7B"/>
      </colorScale>
    </cfRule>
  </conditionalFormatting>
  <conditionalFormatting sqref="M2024">
    <cfRule type="colorScale" priority="8363">
      <colorScale>
        <cfvo type="min"/>
        <cfvo type="max"/>
        <color rgb="FFFF7128"/>
        <color rgb="FFFFEF9C"/>
      </colorScale>
    </cfRule>
  </conditionalFormatting>
  <conditionalFormatting sqref="Q2024">
    <cfRule type="dataBar" priority="8362">
      <dataBar>
        <cfvo type="min"/>
        <cfvo type="max"/>
        <color rgb="FFFF555A"/>
      </dataBar>
    </cfRule>
  </conditionalFormatting>
  <conditionalFormatting sqref="E2008:E2024">
    <cfRule type="dataBar" priority="8361">
      <dataBar>
        <cfvo type="min"/>
        <cfvo type="max"/>
        <color rgb="FFFF555A"/>
      </dataBar>
    </cfRule>
  </conditionalFormatting>
  <conditionalFormatting sqref="F2024">
    <cfRule type="top10" dxfId="4262" priority="8360" rank="1"/>
  </conditionalFormatting>
  <conditionalFormatting sqref="G2024 P2024">
    <cfRule type="cellIs" dxfId="4261" priority="8359" operator="equal">
      <formula>$G$135</formula>
    </cfRule>
  </conditionalFormatting>
  <conditionalFormatting sqref="P2024">
    <cfRule type="cellIs" dxfId="4260" priority="8358" operator="equal">
      <formula>$J$135</formula>
    </cfRule>
  </conditionalFormatting>
  <conditionalFormatting sqref="G2024 P2024">
    <cfRule type="cellIs" dxfId="4259" priority="8357" operator="equal">
      <formula>#REF!</formula>
    </cfRule>
  </conditionalFormatting>
  <conditionalFormatting sqref="G2024">
    <cfRule type="top10" dxfId="4258" priority="8355" rank="1"/>
    <cfRule type="cellIs" dxfId="4257" priority="8356" operator="equal">
      <formula>$G$133</formula>
    </cfRule>
  </conditionalFormatting>
  <conditionalFormatting sqref="P2024">
    <cfRule type="top10" dxfId="4256" priority="8353" rank="1"/>
    <cfRule type="cellIs" dxfId="4255" priority="8354" operator="equal">
      <formula>$G$133</formula>
    </cfRule>
  </conditionalFormatting>
  <conditionalFormatting sqref="C2008:C2023">
    <cfRule type="containsText" dxfId="4254" priority="8349" operator="containsText" text="Short Buildup">
      <formula>NOT(ISERROR(SEARCH("Short Buildup",C2008)))</formula>
    </cfRule>
    <cfRule type="containsText" dxfId="4253" priority="8350" operator="containsText" text="Long Liquidation">
      <formula>NOT(ISERROR(SEARCH("Long Liquidation",C2008)))</formula>
    </cfRule>
    <cfRule type="containsText" dxfId="4252" priority="8351" operator="containsText" text="Short covering">
      <formula>NOT(ISERROR(SEARCH("Short covering",C2008)))</formula>
    </cfRule>
    <cfRule type="containsText" dxfId="4251" priority="8352" operator="containsText" text="Long Buildup">
      <formula>NOT(ISERROR(SEARCH("Long Buildup",C2008)))</formula>
    </cfRule>
  </conditionalFormatting>
  <conditionalFormatting sqref="H2024">
    <cfRule type="colorScale" priority="8344">
      <colorScale>
        <cfvo type="min"/>
        <cfvo type="percentile" val="20"/>
        <cfvo type="max"/>
        <color rgb="FF92D050"/>
        <color theme="5" tint="0.79998168889431442"/>
        <color rgb="FFFF0000"/>
      </colorScale>
    </cfRule>
    <cfRule type="colorScale" priority="8345">
      <colorScale>
        <cfvo type="min"/>
        <cfvo type="max"/>
        <color rgb="FFFF0000"/>
        <color rgb="FF92D050"/>
      </colorScale>
    </cfRule>
    <cfRule type="colorScale" priority="8346">
      <colorScale>
        <cfvo type="min"/>
        <cfvo type="percentile" val="50"/>
        <cfvo type="max"/>
        <color rgb="FF5A8AC6"/>
        <color rgb="FFFCFCFF"/>
        <color rgb="FFF8696B"/>
      </colorScale>
    </cfRule>
    <cfRule type="colorScale" priority="8347">
      <colorScale>
        <cfvo type="formula" val="&quot;&gt;20&quot;"/>
        <cfvo type="formula" val="35"/>
        <color rgb="FFF8696B"/>
        <color rgb="FFFCFCFF"/>
      </colorScale>
    </cfRule>
    <cfRule type="colorScale" priority="8348">
      <colorScale>
        <cfvo type="min"/>
        <cfvo type="max"/>
        <color rgb="FFFFEF9C"/>
        <color rgb="FF63BE7B"/>
      </colorScale>
    </cfRule>
  </conditionalFormatting>
  <conditionalFormatting sqref="N2024">
    <cfRule type="colorScale" priority="8339">
      <colorScale>
        <cfvo type="min"/>
        <cfvo type="percentile" val="20"/>
        <cfvo type="max"/>
        <color rgb="FF92D050"/>
        <color theme="5" tint="0.79998168889431442"/>
        <color rgb="FFFF0000"/>
      </colorScale>
    </cfRule>
    <cfRule type="colorScale" priority="8340">
      <colorScale>
        <cfvo type="min"/>
        <cfvo type="max"/>
        <color rgb="FFFF0000"/>
        <color rgb="FF92D050"/>
      </colorScale>
    </cfRule>
    <cfRule type="colorScale" priority="8341">
      <colorScale>
        <cfvo type="min"/>
        <cfvo type="percentile" val="50"/>
        <cfvo type="max"/>
        <color rgb="FF5A8AC6"/>
        <color rgb="FFFCFCFF"/>
        <color rgb="FFF8696B"/>
      </colorScale>
    </cfRule>
    <cfRule type="colorScale" priority="8342">
      <colorScale>
        <cfvo type="formula" val="&quot;&gt;20&quot;"/>
        <cfvo type="formula" val="35"/>
        <color rgb="FFF8696B"/>
        <color rgb="FFFCFCFF"/>
      </colorScale>
    </cfRule>
    <cfRule type="colorScale" priority="8343">
      <colorScale>
        <cfvo type="min"/>
        <cfvo type="max"/>
        <color rgb="FFFFEF9C"/>
        <color rgb="FF63BE7B"/>
      </colorScale>
    </cfRule>
  </conditionalFormatting>
  <conditionalFormatting sqref="S2008:S2024">
    <cfRule type="containsText" dxfId="4250" priority="8335" operator="containsText" text="Short Buildup">
      <formula>NOT(ISERROR(SEARCH("Short Buildup",S2008)))</formula>
    </cfRule>
    <cfRule type="containsText" dxfId="4249" priority="8336" operator="containsText" text="Long Liquidation">
      <formula>NOT(ISERROR(SEARCH("Long Liquidation",S2008)))</formula>
    </cfRule>
    <cfRule type="containsText" dxfId="4248" priority="8337" operator="containsText" text="Short covering">
      <formula>NOT(ISERROR(SEARCH("Short covering",S2008)))</formula>
    </cfRule>
    <cfRule type="containsText" dxfId="4247" priority="8338" operator="containsText" text="Long Buildup">
      <formula>NOT(ISERROR(SEARCH("Long Buildup",S2008)))</formula>
    </cfRule>
  </conditionalFormatting>
  <conditionalFormatting sqref="F2008:F2023">
    <cfRule type="dataBar" priority="8334">
      <dataBar>
        <cfvo type="min"/>
        <cfvo type="max"/>
        <color rgb="FFFF555A"/>
      </dataBar>
    </cfRule>
  </conditionalFormatting>
  <conditionalFormatting sqref="G2008:G2023">
    <cfRule type="dataBar" priority="8333">
      <dataBar>
        <cfvo type="min"/>
        <cfvo type="max"/>
        <color rgb="FFFF555A"/>
      </dataBar>
    </cfRule>
  </conditionalFormatting>
  <conditionalFormatting sqref="H2008">
    <cfRule type="dataBar" priority="8332">
      <dataBar>
        <cfvo type="min"/>
        <cfvo type="max"/>
        <color rgb="FFFF555A"/>
      </dataBar>
    </cfRule>
  </conditionalFormatting>
  <conditionalFormatting sqref="I2008">
    <cfRule type="dataBar" priority="8331">
      <dataBar>
        <cfvo type="min"/>
        <cfvo type="max"/>
        <color rgb="FFFF555A"/>
      </dataBar>
    </cfRule>
  </conditionalFormatting>
  <conditionalFormatting sqref="J2008">
    <cfRule type="dataBar" priority="8330">
      <dataBar>
        <cfvo type="min"/>
        <cfvo type="max"/>
        <color rgb="FFFF555A"/>
      </dataBar>
    </cfRule>
  </conditionalFormatting>
  <conditionalFormatting sqref="E2009:E2023">
    <cfRule type="dataBar" priority="8329">
      <dataBar>
        <cfvo type="min"/>
        <cfvo type="max"/>
        <color rgb="FFFF555A"/>
      </dataBar>
    </cfRule>
  </conditionalFormatting>
  <conditionalFormatting sqref="H2009:H2023">
    <cfRule type="dataBar" priority="8328">
      <dataBar>
        <cfvo type="min"/>
        <cfvo type="max"/>
        <color rgb="FFFF555A"/>
      </dataBar>
    </cfRule>
  </conditionalFormatting>
  <conditionalFormatting sqref="I2009:I2023">
    <cfRule type="dataBar" priority="8327">
      <dataBar>
        <cfvo type="min"/>
        <cfvo type="max"/>
        <color rgb="FFFF555A"/>
      </dataBar>
    </cfRule>
  </conditionalFormatting>
  <conditionalFormatting sqref="J2009:J2023">
    <cfRule type="dataBar" priority="8326">
      <dataBar>
        <cfvo type="min"/>
        <cfvo type="max"/>
        <color rgb="FFFF555A"/>
      </dataBar>
    </cfRule>
  </conditionalFormatting>
  <conditionalFormatting sqref="L2008:L2023">
    <cfRule type="dataBar" priority="8325">
      <dataBar>
        <cfvo type="min"/>
        <cfvo type="max"/>
        <color rgb="FFFF555A"/>
      </dataBar>
    </cfRule>
  </conditionalFormatting>
  <conditionalFormatting sqref="M2008:M2023">
    <cfRule type="dataBar" priority="8324">
      <dataBar>
        <cfvo type="min"/>
        <cfvo type="max"/>
        <color rgb="FFFF555A"/>
      </dataBar>
    </cfRule>
  </conditionalFormatting>
  <conditionalFormatting sqref="N2008:N2023">
    <cfRule type="dataBar" priority="8323">
      <dataBar>
        <cfvo type="min"/>
        <cfvo type="max"/>
        <color rgb="FFFF555A"/>
      </dataBar>
    </cfRule>
  </conditionalFormatting>
  <conditionalFormatting sqref="Q2008:Q2023">
    <cfRule type="dataBar" priority="8322">
      <dataBar>
        <cfvo type="min"/>
        <cfvo type="max"/>
        <color rgb="FFFF555A"/>
      </dataBar>
    </cfRule>
  </conditionalFormatting>
  <conditionalFormatting sqref="O2008:O2023">
    <cfRule type="dataBar" priority="8321">
      <dataBar>
        <cfvo type="min"/>
        <cfvo type="max"/>
        <color rgb="FFFF555A"/>
      </dataBar>
    </cfRule>
  </conditionalFormatting>
  <conditionalFormatting sqref="P2008:P2023">
    <cfRule type="dataBar" priority="8320">
      <dataBar>
        <cfvo type="min"/>
        <cfvo type="max"/>
        <color rgb="FFFF555A"/>
      </dataBar>
    </cfRule>
  </conditionalFormatting>
  <conditionalFormatting sqref="R2025:R2041 D2025:D2040 C2041">
    <cfRule type="containsText" dxfId="4246" priority="8319" operator="containsText" text="DOWN">
      <formula>NOT(ISERROR(SEARCH("DOWN",C2025)))</formula>
    </cfRule>
  </conditionalFormatting>
  <conditionalFormatting sqref="R2025:R2041 D2025:D2040 C2041">
    <cfRule type="containsText" dxfId="4245" priority="8318" operator="containsText" text="UP">
      <formula>NOT(ISERROR(SEARCH("UP",C2025)))</formula>
    </cfRule>
  </conditionalFormatting>
  <conditionalFormatting sqref="I2041">
    <cfRule type="colorScale" priority="8317">
      <colorScale>
        <cfvo type="min"/>
        <cfvo type="max"/>
        <color rgb="FFFFEF9C"/>
        <color rgb="FF63BE7B"/>
      </colorScale>
    </cfRule>
  </conditionalFormatting>
  <conditionalFormatting sqref="M2041">
    <cfRule type="colorScale" priority="8316">
      <colorScale>
        <cfvo type="min"/>
        <cfvo type="max"/>
        <color rgb="FFFF7128"/>
        <color rgb="FFFFEF9C"/>
      </colorScale>
    </cfRule>
  </conditionalFormatting>
  <conditionalFormatting sqref="Q2041">
    <cfRule type="dataBar" priority="8315">
      <dataBar>
        <cfvo type="min"/>
        <cfvo type="max"/>
        <color rgb="FFFF555A"/>
      </dataBar>
    </cfRule>
  </conditionalFormatting>
  <conditionalFormatting sqref="E2025:E2041">
    <cfRule type="dataBar" priority="8314">
      <dataBar>
        <cfvo type="min"/>
        <cfvo type="max"/>
        <color rgb="FFFF555A"/>
      </dataBar>
    </cfRule>
  </conditionalFormatting>
  <conditionalFormatting sqref="F2041">
    <cfRule type="top10" dxfId="4244" priority="8313" rank="1"/>
  </conditionalFormatting>
  <conditionalFormatting sqref="G2041 P2041">
    <cfRule type="cellIs" dxfId="4243" priority="8312" operator="equal">
      <formula>$G$135</formula>
    </cfRule>
  </conditionalFormatting>
  <conditionalFormatting sqref="P2041">
    <cfRule type="cellIs" dxfId="4242" priority="8311" operator="equal">
      <formula>$J$135</formula>
    </cfRule>
  </conditionalFormatting>
  <conditionalFormatting sqref="G2041 P2041">
    <cfRule type="cellIs" dxfId="4241" priority="8310" operator="equal">
      <formula>#REF!</formula>
    </cfRule>
  </conditionalFormatting>
  <conditionalFormatting sqref="G2041">
    <cfRule type="top10" dxfId="4240" priority="8308" rank="1"/>
    <cfRule type="cellIs" dxfId="4239" priority="8309" operator="equal">
      <formula>$G$133</formula>
    </cfRule>
  </conditionalFormatting>
  <conditionalFormatting sqref="P2041">
    <cfRule type="top10" dxfId="4238" priority="8306" rank="1"/>
    <cfRule type="cellIs" dxfId="4237" priority="8307" operator="equal">
      <formula>$G$133</formula>
    </cfRule>
  </conditionalFormatting>
  <conditionalFormatting sqref="C2025:C2040">
    <cfRule type="containsText" dxfId="4236" priority="8302" operator="containsText" text="Short Buildup">
      <formula>NOT(ISERROR(SEARCH("Short Buildup",C2025)))</formula>
    </cfRule>
    <cfRule type="containsText" dxfId="4235" priority="8303" operator="containsText" text="Long Liquidation">
      <formula>NOT(ISERROR(SEARCH("Long Liquidation",C2025)))</formula>
    </cfRule>
    <cfRule type="containsText" dxfId="4234" priority="8304" operator="containsText" text="Short covering">
      <formula>NOT(ISERROR(SEARCH("Short covering",C2025)))</formula>
    </cfRule>
    <cfRule type="containsText" dxfId="4233" priority="8305" operator="containsText" text="Long Buildup">
      <formula>NOT(ISERROR(SEARCH("Long Buildup",C2025)))</formula>
    </cfRule>
  </conditionalFormatting>
  <conditionalFormatting sqref="H2041">
    <cfRule type="colorScale" priority="8297">
      <colorScale>
        <cfvo type="min"/>
        <cfvo type="percentile" val="20"/>
        <cfvo type="max"/>
        <color rgb="FF92D050"/>
        <color theme="5" tint="0.79998168889431442"/>
        <color rgb="FFFF0000"/>
      </colorScale>
    </cfRule>
    <cfRule type="colorScale" priority="8298">
      <colorScale>
        <cfvo type="min"/>
        <cfvo type="max"/>
        <color rgb="FFFF0000"/>
        <color rgb="FF92D050"/>
      </colorScale>
    </cfRule>
    <cfRule type="colorScale" priority="8299">
      <colorScale>
        <cfvo type="min"/>
        <cfvo type="percentile" val="50"/>
        <cfvo type="max"/>
        <color rgb="FF5A8AC6"/>
        <color rgb="FFFCFCFF"/>
        <color rgb="FFF8696B"/>
      </colorScale>
    </cfRule>
    <cfRule type="colorScale" priority="8300">
      <colorScale>
        <cfvo type="formula" val="&quot;&gt;20&quot;"/>
        <cfvo type="formula" val="35"/>
        <color rgb="FFF8696B"/>
        <color rgb="FFFCFCFF"/>
      </colorScale>
    </cfRule>
    <cfRule type="colorScale" priority="8301">
      <colorScale>
        <cfvo type="min"/>
        <cfvo type="max"/>
        <color rgb="FFFFEF9C"/>
        <color rgb="FF63BE7B"/>
      </colorScale>
    </cfRule>
  </conditionalFormatting>
  <conditionalFormatting sqref="N2041">
    <cfRule type="colorScale" priority="8292">
      <colorScale>
        <cfvo type="min"/>
        <cfvo type="percentile" val="20"/>
        <cfvo type="max"/>
        <color rgb="FF92D050"/>
        <color theme="5" tint="0.79998168889431442"/>
        <color rgb="FFFF0000"/>
      </colorScale>
    </cfRule>
    <cfRule type="colorScale" priority="8293">
      <colorScale>
        <cfvo type="min"/>
        <cfvo type="max"/>
        <color rgb="FFFF0000"/>
        <color rgb="FF92D050"/>
      </colorScale>
    </cfRule>
    <cfRule type="colorScale" priority="8294">
      <colorScale>
        <cfvo type="min"/>
        <cfvo type="percentile" val="50"/>
        <cfvo type="max"/>
        <color rgb="FF5A8AC6"/>
        <color rgb="FFFCFCFF"/>
        <color rgb="FFF8696B"/>
      </colorScale>
    </cfRule>
    <cfRule type="colorScale" priority="8295">
      <colorScale>
        <cfvo type="formula" val="&quot;&gt;20&quot;"/>
        <cfvo type="formula" val="35"/>
        <color rgb="FFF8696B"/>
        <color rgb="FFFCFCFF"/>
      </colorScale>
    </cfRule>
    <cfRule type="colorScale" priority="8296">
      <colorScale>
        <cfvo type="min"/>
        <cfvo type="max"/>
        <color rgb="FFFFEF9C"/>
        <color rgb="FF63BE7B"/>
      </colorScale>
    </cfRule>
  </conditionalFormatting>
  <conditionalFormatting sqref="S2025:S2041">
    <cfRule type="containsText" dxfId="4232" priority="8288" operator="containsText" text="Short Buildup">
      <formula>NOT(ISERROR(SEARCH("Short Buildup",S2025)))</formula>
    </cfRule>
    <cfRule type="containsText" dxfId="4231" priority="8289" operator="containsText" text="Long Liquidation">
      <formula>NOT(ISERROR(SEARCH("Long Liquidation",S2025)))</formula>
    </cfRule>
    <cfRule type="containsText" dxfId="4230" priority="8290" operator="containsText" text="Short covering">
      <formula>NOT(ISERROR(SEARCH("Short covering",S2025)))</formula>
    </cfRule>
    <cfRule type="containsText" dxfId="4229" priority="8291" operator="containsText" text="Long Buildup">
      <formula>NOT(ISERROR(SEARCH("Long Buildup",S2025)))</formula>
    </cfRule>
  </conditionalFormatting>
  <conditionalFormatting sqref="F2025:F2040">
    <cfRule type="dataBar" priority="8287">
      <dataBar>
        <cfvo type="min"/>
        <cfvo type="max"/>
        <color rgb="FFFF555A"/>
      </dataBar>
    </cfRule>
  </conditionalFormatting>
  <conditionalFormatting sqref="G2025:G2040">
    <cfRule type="dataBar" priority="8286">
      <dataBar>
        <cfvo type="min"/>
        <cfvo type="max"/>
        <color rgb="FFFF555A"/>
      </dataBar>
    </cfRule>
  </conditionalFormatting>
  <conditionalFormatting sqref="H2025">
    <cfRule type="dataBar" priority="8285">
      <dataBar>
        <cfvo type="min"/>
        <cfvo type="max"/>
        <color rgb="FFFF555A"/>
      </dataBar>
    </cfRule>
  </conditionalFormatting>
  <conditionalFormatting sqref="I2025">
    <cfRule type="dataBar" priority="8284">
      <dataBar>
        <cfvo type="min"/>
        <cfvo type="max"/>
        <color rgb="FFFF555A"/>
      </dataBar>
    </cfRule>
  </conditionalFormatting>
  <conditionalFormatting sqref="J2025">
    <cfRule type="dataBar" priority="8283">
      <dataBar>
        <cfvo type="min"/>
        <cfvo type="max"/>
        <color rgb="FFFF555A"/>
      </dataBar>
    </cfRule>
  </conditionalFormatting>
  <conditionalFormatting sqref="E2026:E2040">
    <cfRule type="dataBar" priority="8282">
      <dataBar>
        <cfvo type="min"/>
        <cfvo type="max"/>
        <color rgb="FFFF555A"/>
      </dataBar>
    </cfRule>
  </conditionalFormatting>
  <conditionalFormatting sqref="H2026:H2040">
    <cfRule type="dataBar" priority="8281">
      <dataBar>
        <cfvo type="min"/>
        <cfvo type="max"/>
        <color rgb="FFFF555A"/>
      </dataBar>
    </cfRule>
  </conditionalFormatting>
  <conditionalFormatting sqref="I2026:I2040">
    <cfRule type="dataBar" priority="8280">
      <dataBar>
        <cfvo type="min"/>
        <cfvo type="max"/>
        <color rgb="FFFF555A"/>
      </dataBar>
    </cfRule>
  </conditionalFormatting>
  <conditionalFormatting sqref="J2026:J2040">
    <cfRule type="dataBar" priority="8279">
      <dataBar>
        <cfvo type="min"/>
        <cfvo type="max"/>
        <color rgb="FFFF555A"/>
      </dataBar>
    </cfRule>
  </conditionalFormatting>
  <conditionalFormatting sqref="L2025:L2040">
    <cfRule type="dataBar" priority="8278">
      <dataBar>
        <cfvo type="min"/>
        <cfvo type="max"/>
        <color rgb="FFFF555A"/>
      </dataBar>
    </cfRule>
  </conditionalFormatting>
  <conditionalFormatting sqref="M2025:M2040">
    <cfRule type="dataBar" priority="8277">
      <dataBar>
        <cfvo type="min"/>
        <cfvo type="max"/>
        <color rgb="FFFF555A"/>
      </dataBar>
    </cfRule>
  </conditionalFormatting>
  <conditionalFormatting sqref="N2025:N2040">
    <cfRule type="dataBar" priority="8276">
      <dataBar>
        <cfvo type="min"/>
        <cfvo type="max"/>
        <color rgb="FFFF555A"/>
      </dataBar>
    </cfRule>
  </conditionalFormatting>
  <conditionalFormatting sqref="Q2025:Q2040">
    <cfRule type="dataBar" priority="8275">
      <dataBar>
        <cfvo type="min"/>
        <cfvo type="max"/>
        <color rgb="FFFF555A"/>
      </dataBar>
    </cfRule>
  </conditionalFormatting>
  <conditionalFormatting sqref="O2025:O2040">
    <cfRule type="dataBar" priority="8274">
      <dataBar>
        <cfvo type="min"/>
        <cfvo type="max"/>
        <color rgb="FFFF555A"/>
      </dataBar>
    </cfRule>
  </conditionalFormatting>
  <conditionalFormatting sqref="P2025:P2040">
    <cfRule type="dataBar" priority="8273">
      <dataBar>
        <cfvo type="min"/>
        <cfvo type="max"/>
        <color rgb="FFFF555A"/>
      </dataBar>
    </cfRule>
  </conditionalFormatting>
  <conditionalFormatting sqref="R2042:R2058 D2042:D2057 C2058">
    <cfRule type="containsText" dxfId="4228" priority="8272" operator="containsText" text="DOWN">
      <formula>NOT(ISERROR(SEARCH("DOWN",C2042)))</formula>
    </cfRule>
  </conditionalFormatting>
  <conditionalFormatting sqref="R2042:R2058 D2042:D2057 C2058">
    <cfRule type="containsText" dxfId="4227" priority="8271" operator="containsText" text="UP">
      <formula>NOT(ISERROR(SEARCH("UP",C2042)))</formula>
    </cfRule>
  </conditionalFormatting>
  <conditionalFormatting sqref="I2058">
    <cfRule type="colorScale" priority="8270">
      <colorScale>
        <cfvo type="min"/>
        <cfvo type="max"/>
        <color rgb="FFFFEF9C"/>
        <color rgb="FF63BE7B"/>
      </colorScale>
    </cfRule>
  </conditionalFormatting>
  <conditionalFormatting sqref="M2058">
    <cfRule type="colorScale" priority="8269">
      <colorScale>
        <cfvo type="min"/>
        <cfvo type="max"/>
        <color rgb="FFFF7128"/>
        <color rgb="FFFFEF9C"/>
      </colorScale>
    </cfRule>
  </conditionalFormatting>
  <conditionalFormatting sqref="Q2058">
    <cfRule type="dataBar" priority="8268">
      <dataBar>
        <cfvo type="min"/>
        <cfvo type="max"/>
        <color rgb="FFFF555A"/>
      </dataBar>
    </cfRule>
  </conditionalFormatting>
  <conditionalFormatting sqref="E2042:E2058">
    <cfRule type="dataBar" priority="8267">
      <dataBar>
        <cfvo type="min"/>
        <cfvo type="max"/>
        <color rgb="FFFF555A"/>
      </dataBar>
    </cfRule>
  </conditionalFormatting>
  <conditionalFormatting sqref="F2058">
    <cfRule type="top10" dxfId="4226" priority="8266" rank="1"/>
  </conditionalFormatting>
  <conditionalFormatting sqref="G2058 P2058">
    <cfRule type="cellIs" dxfId="4225" priority="8265" operator="equal">
      <formula>$G$135</formula>
    </cfRule>
  </conditionalFormatting>
  <conditionalFormatting sqref="P2058">
    <cfRule type="cellIs" dxfId="4224" priority="8264" operator="equal">
      <formula>$J$135</formula>
    </cfRule>
  </conditionalFormatting>
  <conditionalFormatting sqref="G2058 P2058">
    <cfRule type="cellIs" dxfId="4223" priority="8263" operator="equal">
      <formula>#REF!</formula>
    </cfRule>
  </conditionalFormatting>
  <conditionalFormatting sqref="G2058">
    <cfRule type="top10" dxfId="4222" priority="8261" rank="1"/>
    <cfRule type="cellIs" dxfId="4221" priority="8262" operator="equal">
      <formula>$G$133</formula>
    </cfRule>
  </conditionalFormatting>
  <conditionalFormatting sqref="P2058">
    <cfRule type="top10" dxfId="4220" priority="8259" rank="1"/>
    <cfRule type="cellIs" dxfId="4219" priority="8260" operator="equal">
      <formula>$G$133</formula>
    </cfRule>
  </conditionalFormatting>
  <conditionalFormatting sqref="C2042:C2057">
    <cfRule type="containsText" dxfId="4218" priority="8255" operator="containsText" text="Short Buildup">
      <formula>NOT(ISERROR(SEARCH("Short Buildup",C2042)))</formula>
    </cfRule>
    <cfRule type="containsText" dxfId="4217" priority="8256" operator="containsText" text="Long Liquidation">
      <formula>NOT(ISERROR(SEARCH("Long Liquidation",C2042)))</formula>
    </cfRule>
    <cfRule type="containsText" dxfId="4216" priority="8257" operator="containsText" text="Short covering">
      <formula>NOT(ISERROR(SEARCH("Short covering",C2042)))</formula>
    </cfRule>
    <cfRule type="containsText" dxfId="4215" priority="8258" operator="containsText" text="Long Buildup">
      <formula>NOT(ISERROR(SEARCH("Long Buildup",C2042)))</formula>
    </cfRule>
  </conditionalFormatting>
  <conditionalFormatting sqref="H2058">
    <cfRule type="colorScale" priority="8250">
      <colorScale>
        <cfvo type="min"/>
        <cfvo type="percentile" val="20"/>
        <cfvo type="max"/>
        <color rgb="FF92D050"/>
        <color theme="5" tint="0.79998168889431442"/>
        <color rgb="FFFF0000"/>
      </colorScale>
    </cfRule>
    <cfRule type="colorScale" priority="8251">
      <colorScale>
        <cfvo type="min"/>
        <cfvo type="max"/>
        <color rgb="FFFF0000"/>
        <color rgb="FF92D050"/>
      </colorScale>
    </cfRule>
    <cfRule type="colorScale" priority="8252">
      <colorScale>
        <cfvo type="min"/>
        <cfvo type="percentile" val="50"/>
        <cfvo type="max"/>
        <color rgb="FF5A8AC6"/>
        <color rgb="FFFCFCFF"/>
        <color rgb="FFF8696B"/>
      </colorScale>
    </cfRule>
    <cfRule type="colorScale" priority="8253">
      <colorScale>
        <cfvo type="formula" val="&quot;&gt;20&quot;"/>
        <cfvo type="formula" val="35"/>
        <color rgb="FFF8696B"/>
        <color rgb="FFFCFCFF"/>
      </colorScale>
    </cfRule>
    <cfRule type="colorScale" priority="8254">
      <colorScale>
        <cfvo type="min"/>
        <cfvo type="max"/>
        <color rgb="FFFFEF9C"/>
        <color rgb="FF63BE7B"/>
      </colorScale>
    </cfRule>
  </conditionalFormatting>
  <conditionalFormatting sqref="N2058">
    <cfRule type="colorScale" priority="8245">
      <colorScale>
        <cfvo type="min"/>
        <cfvo type="percentile" val="20"/>
        <cfvo type="max"/>
        <color rgb="FF92D050"/>
        <color theme="5" tint="0.79998168889431442"/>
        <color rgb="FFFF0000"/>
      </colorScale>
    </cfRule>
    <cfRule type="colorScale" priority="8246">
      <colorScale>
        <cfvo type="min"/>
        <cfvo type="max"/>
        <color rgb="FFFF0000"/>
        <color rgb="FF92D050"/>
      </colorScale>
    </cfRule>
    <cfRule type="colorScale" priority="8247">
      <colorScale>
        <cfvo type="min"/>
        <cfvo type="percentile" val="50"/>
        <cfvo type="max"/>
        <color rgb="FF5A8AC6"/>
        <color rgb="FFFCFCFF"/>
        <color rgb="FFF8696B"/>
      </colorScale>
    </cfRule>
    <cfRule type="colorScale" priority="8248">
      <colorScale>
        <cfvo type="formula" val="&quot;&gt;20&quot;"/>
        <cfvo type="formula" val="35"/>
        <color rgb="FFF8696B"/>
        <color rgb="FFFCFCFF"/>
      </colorScale>
    </cfRule>
    <cfRule type="colorScale" priority="8249">
      <colorScale>
        <cfvo type="min"/>
        <cfvo type="max"/>
        <color rgb="FFFFEF9C"/>
        <color rgb="FF63BE7B"/>
      </colorScale>
    </cfRule>
  </conditionalFormatting>
  <conditionalFormatting sqref="S2042:S2058">
    <cfRule type="containsText" dxfId="4214" priority="8241" operator="containsText" text="Short Buildup">
      <formula>NOT(ISERROR(SEARCH("Short Buildup",S2042)))</formula>
    </cfRule>
    <cfRule type="containsText" dxfId="4213" priority="8242" operator="containsText" text="Long Liquidation">
      <formula>NOT(ISERROR(SEARCH("Long Liquidation",S2042)))</formula>
    </cfRule>
    <cfRule type="containsText" dxfId="4212" priority="8243" operator="containsText" text="Short covering">
      <formula>NOT(ISERROR(SEARCH("Short covering",S2042)))</formula>
    </cfRule>
    <cfRule type="containsText" dxfId="4211" priority="8244" operator="containsText" text="Long Buildup">
      <formula>NOT(ISERROR(SEARCH("Long Buildup",S2042)))</formula>
    </cfRule>
  </conditionalFormatting>
  <conditionalFormatting sqref="F2042:F2057">
    <cfRule type="dataBar" priority="8240">
      <dataBar>
        <cfvo type="min"/>
        <cfvo type="max"/>
        <color rgb="FFFF555A"/>
      </dataBar>
    </cfRule>
  </conditionalFormatting>
  <conditionalFormatting sqref="G2042:G2057">
    <cfRule type="dataBar" priority="8239">
      <dataBar>
        <cfvo type="min"/>
        <cfvo type="max"/>
        <color rgb="FFFF555A"/>
      </dataBar>
    </cfRule>
  </conditionalFormatting>
  <conditionalFormatting sqref="H2042">
    <cfRule type="dataBar" priority="8238">
      <dataBar>
        <cfvo type="min"/>
        <cfvo type="max"/>
        <color rgb="FFFF555A"/>
      </dataBar>
    </cfRule>
  </conditionalFormatting>
  <conditionalFormatting sqref="I2042">
    <cfRule type="dataBar" priority="8237">
      <dataBar>
        <cfvo type="min"/>
        <cfvo type="max"/>
        <color rgb="FFFF555A"/>
      </dataBar>
    </cfRule>
  </conditionalFormatting>
  <conditionalFormatting sqref="J2042">
    <cfRule type="dataBar" priority="8236">
      <dataBar>
        <cfvo type="min"/>
        <cfvo type="max"/>
        <color rgb="FFFF555A"/>
      </dataBar>
    </cfRule>
  </conditionalFormatting>
  <conditionalFormatting sqref="E2043:E2057">
    <cfRule type="dataBar" priority="8235">
      <dataBar>
        <cfvo type="min"/>
        <cfvo type="max"/>
        <color rgb="FFFF555A"/>
      </dataBar>
    </cfRule>
  </conditionalFormatting>
  <conditionalFormatting sqref="H2043:H2057">
    <cfRule type="dataBar" priority="8234">
      <dataBar>
        <cfvo type="min"/>
        <cfvo type="max"/>
        <color rgb="FFFF555A"/>
      </dataBar>
    </cfRule>
  </conditionalFormatting>
  <conditionalFormatting sqref="I2043:I2057">
    <cfRule type="dataBar" priority="8233">
      <dataBar>
        <cfvo type="min"/>
        <cfvo type="max"/>
        <color rgb="FFFF555A"/>
      </dataBar>
    </cfRule>
  </conditionalFormatting>
  <conditionalFormatting sqref="J2043:J2057">
    <cfRule type="dataBar" priority="8232">
      <dataBar>
        <cfvo type="min"/>
        <cfvo type="max"/>
        <color rgb="FFFF555A"/>
      </dataBar>
    </cfRule>
  </conditionalFormatting>
  <conditionalFormatting sqref="L2042:L2057">
    <cfRule type="dataBar" priority="8231">
      <dataBar>
        <cfvo type="min"/>
        <cfvo type="max"/>
        <color rgb="FFFF555A"/>
      </dataBar>
    </cfRule>
  </conditionalFormatting>
  <conditionalFormatting sqref="M2042:M2057">
    <cfRule type="dataBar" priority="8230">
      <dataBar>
        <cfvo type="min"/>
        <cfvo type="max"/>
        <color rgb="FFFF555A"/>
      </dataBar>
    </cfRule>
  </conditionalFormatting>
  <conditionalFormatting sqref="N2042:N2057">
    <cfRule type="dataBar" priority="8229">
      <dataBar>
        <cfvo type="min"/>
        <cfvo type="max"/>
        <color rgb="FFFF555A"/>
      </dataBar>
    </cfRule>
  </conditionalFormatting>
  <conditionalFormatting sqref="Q2042:Q2057">
    <cfRule type="dataBar" priority="8228">
      <dataBar>
        <cfvo type="min"/>
        <cfvo type="max"/>
        <color rgb="FFFF555A"/>
      </dataBar>
    </cfRule>
  </conditionalFormatting>
  <conditionalFormatting sqref="O2042:O2057">
    <cfRule type="dataBar" priority="8227">
      <dataBar>
        <cfvo type="min"/>
        <cfvo type="max"/>
        <color rgb="FFFF555A"/>
      </dataBar>
    </cfRule>
  </conditionalFormatting>
  <conditionalFormatting sqref="P2042:P2057">
    <cfRule type="dataBar" priority="8226">
      <dataBar>
        <cfvo type="min"/>
        <cfvo type="max"/>
        <color rgb="FFFF555A"/>
      </dataBar>
    </cfRule>
  </conditionalFormatting>
  <conditionalFormatting sqref="R2059:R2075 D2059:D2074 C2075">
    <cfRule type="containsText" dxfId="4210" priority="8225" operator="containsText" text="DOWN">
      <formula>NOT(ISERROR(SEARCH("DOWN",C2059)))</formula>
    </cfRule>
  </conditionalFormatting>
  <conditionalFormatting sqref="R2059:R2075 D2059:D2074 C2075">
    <cfRule type="containsText" dxfId="4209" priority="8224" operator="containsText" text="UP">
      <formula>NOT(ISERROR(SEARCH("UP",C2059)))</formula>
    </cfRule>
  </conditionalFormatting>
  <conditionalFormatting sqref="I2075">
    <cfRule type="colorScale" priority="8223">
      <colorScale>
        <cfvo type="min"/>
        <cfvo type="max"/>
        <color rgb="FFFFEF9C"/>
        <color rgb="FF63BE7B"/>
      </colorScale>
    </cfRule>
  </conditionalFormatting>
  <conditionalFormatting sqref="M2075">
    <cfRule type="colorScale" priority="8222">
      <colorScale>
        <cfvo type="min"/>
        <cfvo type="max"/>
        <color rgb="FFFF7128"/>
        <color rgb="FFFFEF9C"/>
      </colorScale>
    </cfRule>
  </conditionalFormatting>
  <conditionalFormatting sqref="Q2075">
    <cfRule type="dataBar" priority="8221">
      <dataBar>
        <cfvo type="min"/>
        <cfvo type="max"/>
        <color rgb="FFFF555A"/>
      </dataBar>
    </cfRule>
  </conditionalFormatting>
  <conditionalFormatting sqref="E2059:E2075">
    <cfRule type="dataBar" priority="8220">
      <dataBar>
        <cfvo type="min"/>
        <cfvo type="max"/>
        <color rgb="FFFF555A"/>
      </dataBar>
    </cfRule>
  </conditionalFormatting>
  <conditionalFormatting sqref="F2075">
    <cfRule type="top10" dxfId="4208" priority="8219" rank="1"/>
  </conditionalFormatting>
  <conditionalFormatting sqref="G2075 P2075">
    <cfRule type="cellIs" dxfId="4207" priority="8218" operator="equal">
      <formula>$G$135</formula>
    </cfRule>
  </conditionalFormatting>
  <conditionalFormatting sqref="P2075">
    <cfRule type="cellIs" dxfId="4206" priority="8217" operator="equal">
      <formula>$J$135</formula>
    </cfRule>
  </conditionalFormatting>
  <conditionalFormatting sqref="G2075 P2075">
    <cfRule type="cellIs" dxfId="4205" priority="8216" operator="equal">
      <formula>#REF!</formula>
    </cfRule>
  </conditionalFormatting>
  <conditionalFormatting sqref="G2075">
    <cfRule type="top10" dxfId="4204" priority="8214" rank="1"/>
    <cfRule type="cellIs" dxfId="4203" priority="8215" operator="equal">
      <formula>$G$133</formula>
    </cfRule>
  </conditionalFormatting>
  <conditionalFormatting sqref="P2075">
    <cfRule type="top10" dxfId="4202" priority="8212" rank="1"/>
    <cfRule type="cellIs" dxfId="4201" priority="8213" operator="equal">
      <formula>$G$133</formula>
    </cfRule>
  </conditionalFormatting>
  <conditionalFormatting sqref="C2059:C2074">
    <cfRule type="containsText" dxfId="4200" priority="8208" operator="containsText" text="Short Buildup">
      <formula>NOT(ISERROR(SEARCH("Short Buildup",C2059)))</formula>
    </cfRule>
    <cfRule type="containsText" dxfId="4199" priority="8209" operator="containsText" text="Long Liquidation">
      <formula>NOT(ISERROR(SEARCH("Long Liquidation",C2059)))</formula>
    </cfRule>
    <cfRule type="containsText" dxfId="4198" priority="8210" operator="containsText" text="Short covering">
      <formula>NOT(ISERROR(SEARCH("Short covering",C2059)))</formula>
    </cfRule>
    <cfRule type="containsText" dxfId="4197" priority="8211" operator="containsText" text="Long Buildup">
      <formula>NOT(ISERROR(SEARCH("Long Buildup",C2059)))</formula>
    </cfRule>
  </conditionalFormatting>
  <conditionalFormatting sqref="H2075">
    <cfRule type="colorScale" priority="8203">
      <colorScale>
        <cfvo type="min"/>
        <cfvo type="percentile" val="20"/>
        <cfvo type="max"/>
        <color rgb="FF92D050"/>
        <color theme="5" tint="0.79998168889431442"/>
        <color rgb="FFFF0000"/>
      </colorScale>
    </cfRule>
    <cfRule type="colorScale" priority="8204">
      <colorScale>
        <cfvo type="min"/>
        <cfvo type="max"/>
        <color rgb="FFFF0000"/>
        <color rgb="FF92D050"/>
      </colorScale>
    </cfRule>
    <cfRule type="colorScale" priority="8205">
      <colorScale>
        <cfvo type="min"/>
        <cfvo type="percentile" val="50"/>
        <cfvo type="max"/>
        <color rgb="FF5A8AC6"/>
        <color rgb="FFFCFCFF"/>
        <color rgb="FFF8696B"/>
      </colorScale>
    </cfRule>
    <cfRule type="colorScale" priority="8206">
      <colorScale>
        <cfvo type="formula" val="&quot;&gt;20&quot;"/>
        <cfvo type="formula" val="35"/>
        <color rgb="FFF8696B"/>
        <color rgb="FFFCFCFF"/>
      </colorScale>
    </cfRule>
    <cfRule type="colorScale" priority="8207">
      <colorScale>
        <cfvo type="min"/>
        <cfvo type="max"/>
        <color rgb="FFFFEF9C"/>
        <color rgb="FF63BE7B"/>
      </colorScale>
    </cfRule>
  </conditionalFormatting>
  <conditionalFormatting sqref="N2075">
    <cfRule type="colorScale" priority="8198">
      <colorScale>
        <cfvo type="min"/>
        <cfvo type="percentile" val="20"/>
        <cfvo type="max"/>
        <color rgb="FF92D050"/>
        <color theme="5" tint="0.79998168889431442"/>
        <color rgb="FFFF0000"/>
      </colorScale>
    </cfRule>
    <cfRule type="colorScale" priority="8199">
      <colorScale>
        <cfvo type="min"/>
        <cfvo type="max"/>
        <color rgb="FFFF0000"/>
        <color rgb="FF92D050"/>
      </colorScale>
    </cfRule>
    <cfRule type="colorScale" priority="8200">
      <colorScale>
        <cfvo type="min"/>
        <cfvo type="percentile" val="50"/>
        <cfvo type="max"/>
        <color rgb="FF5A8AC6"/>
        <color rgb="FFFCFCFF"/>
        <color rgb="FFF8696B"/>
      </colorScale>
    </cfRule>
    <cfRule type="colorScale" priority="8201">
      <colorScale>
        <cfvo type="formula" val="&quot;&gt;20&quot;"/>
        <cfvo type="formula" val="35"/>
        <color rgb="FFF8696B"/>
        <color rgb="FFFCFCFF"/>
      </colorScale>
    </cfRule>
    <cfRule type="colorScale" priority="8202">
      <colorScale>
        <cfvo type="min"/>
        <cfvo type="max"/>
        <color rgb="FFFFEF9C"/>
        <color rgb="FF63BE7B"/>
      </colorScale>
    </cfRule>
  </conditionalFormatting>
  <conditionalFormatting sqref="S2059:S2075">
    <cfRule type="containsText" dxfId="4196" priority="8194" operator="containsText" text="Short Buildup">
      <formula>NOT(ISERROR(SEARCH("Short Buildup",S2059)))</formula>
    </cfRule>
    <cfRule type="containsText" dxfId="4195" priority="8195" operator="containsText" text="Long Liquidation">
      <formula>NOT(ISERROR(SEARCH("Long Liquidation",S2059)))</formula>
    </cfRule>
    <cfRule type="containsText" dxfId="4194" priority="8196" operator="containsText" text="Short covering">
      <formula>NOT(ISERROR(SEARCH("Short covering",S2059)))</formula>
    </cfRule>
    <cfRule type="containsText" dxfId="4193" priority="8197" operator="containsText" text="Long Buildup">
      <formula>NOT(ISERROR(SEARCH("Long Buildup",S2059)))</formula>
    </cfRule>
  </conditionalFormatting>
  <conditionalFormatting sqref="F2059:F2074">
    <cfRule type="dataBar" priority="8193">
      <dataBar>
        <cfvo type="min"/>
        <cfvo type="max"/>
        <color rgb="FFFF555A"/>
      </dataBar>
    </cfRule>
  </conditionalFormatting>
  <conditionalFormatting sqref="G2059:G2074">
    <cfRule type="dataBar" priority="8192">
      <dataBar>
        <cfvo type="min"/>
        <cfvo type="max"/>
        <color rgb="FFFF555A"/>
      </dataBar>
    </cfRule>
  </conditionalFormatting>
  <conditionalFormatting sqref="H2059">
    <cfRule type="dataBar" priority="8191">
      <dataBar>
        <cfvo type="min"/>
        <cfvo type="max"/>
        <color rgb="FFFF555A"/>
      </dataBar>
    </cfRule>
  </conditionalFormatting>
  <conditionalFormatting sqref="I2059">
    <cfRule type="dataBar" priority="8190">
      <dataBar>
        <cfvo type="min"/>
        <cfvo type="max"/>
        <color rgb="FFFF555A"/>
      </dataBar>
    </cfRule>
  </conditionalFormatting>
  <conditionalFormatting sqref="J2059">
    <cfRule type="dataBar" priority="8189">
      <dataBar>
        <cfvo type="min"/>
        <cfvo type="max"/>
        <color rgb="FFFF555A"/>
      </dataBar>
    </cfRule>
  </conditionalFormatting>
  <conditionalFormatting sqref="E2060:E2074">
    <cfRule type="dataBar" priority="8188">
      <dataBar>
        <cfvo type="min"/>
        <cfvo type="max"/>
        <color rgb="FFFF555A"/>
      </dataBar>
    </cfRule>
  </conditionalFormatting>
  <conditionalFormatting sqref="H2060:H2074">
    <cfRule type="dataBar" priority="8187">
      <dataBar>
        <cfvo type="min"/>
        <cfvo type="max"/>
        <color rgb="FFFF555A"/>
      </dataBar>
    </cfRule>
  </conditionalFormatting>
  <conditionalFormatting sqref="I2060:I2074">
    <cfRule type="dataBar" priority="8186">
      <dataBar>
        <cfvo type="min"/>
        <cfvo type="max"/>
        <color rgb="FFFF555A"/>
      </dataBar>
    </cfRule>
  </conditionalFormatting>
  <conditionalFormatting sqref="J2060:J2074">
    <cfRule type="dataBar" priority="8185">
      <dataBar>
        <cfvo type="min"/>
        <cfvo type="max"/>
        <color rgb="FFFF555A"/>
      </dataBar>
    </cfRule>
  </conditionalFormatting>
  <conditionalFormatting sqref="L2059:L2074">
    <cfRule type="dataBar" priority="8184">
      <dataBar>
        <cfvo type="min"/>
        <cfvo type="max"/>
        <color rgb="FFFF555A"/>
      </dataBar>
    </cfRule>
  </conditionalFormatting>
  <conditionalFormatting sqref="M2059:M2074">
    <cfRule type="dataBar" priority="8183">
      <dataBar>
        <cfvo type="min"/>
        <cfvo type="max"/>
        <color rgb="FFFF555A"/>
      </dataBar>
    </cfRule>
  </conditionalFormatting>
  <conditionalFormatting sqref="N2059:N2074">
    <cfRule type="dataBar" priority="8182">
      <dataBar>
        <cfvo type="min"/>
        <cfvo type="max"/>
        <color rgb="FFFF555A"/>
      </dataBar>
    </cfRule>
  </conditionalFormatting>
  <conditionalFormatting sqref="Q2059:Q2074">
    <cfRule type="dataBar" priority="8181">
      <dataBar>
        <cfvo type="min"/>
        <cfvo type="max"/>
        <color rgb="FFFF555A"/>
      </dataBar>
    </cfRule>
  </conditionalFormatting>
  <conditionalFormatting sqref="O2059:O2074">
    <cfRule type="dataBar" priority="8180">
      <dataBar>
        <cfvo type="min"/>
        <cfvo type="max"/>
        <color rgb="FFFF555A"/>
      </dataBar>
    </cfRule>
  </conditionalFormatting>
  <conditionalFormatting sqref="P2059:P2074">
    <cfRule type="dataBar" priority="8179">
      <dataBar>
        <cfvo type="min"/>
        <cfvo type="max"/>
        <color rgb="FFFF555A"/>
      </dataBar>
    </cfRule>
  </conditionalFormatting>
  <conditionalFormatting sqref="R2076:R2092 D2076:D2091 C2092">
    <cfRule type="containsText" dxfId="4192" priority="8178" operator="containsText" text="DOWN">
      <formula>NOT(ISERROR(SEARCH("DOWN",C2076)))</formula>
    </cfRule>
  </conditionalFormatting>
  <conditionalFormatting sqref="R2076:R2092 D2076:D2091 C2092">
    <cfRule type="containsText" dxfId="4191" priority="8177" operator="containsText" text="UP">
      <formula>NOT(ISERROR(SEARCH("UP",C2076)))</formula>
    </cfRule>
  </conditionalFormatting>
  <conditionalFormatting sqref="I2092">
    <cfRule type="colorScale" priority="8176">
      <colorScale>
        <cfvo type="min"/>
        <cfvo type="max"/>
        <color rgb="FFFFEF9C"/>
        <color rgb="FF63BE7B"/>
      </colorScale>
    </cfRule>
  </conditionalFormatting>
  <conditionalFormatting sqref="M2092">
    <cfRule type="colorScale" priority="8175">
      <colorScale>
        <cfvo type="min"/>
        <cfvo type="max"/>
        <color rgb="FFFF7128"/>
        <color rgb="FFFFEF9C"/>
      </colorScale>
    </cfRule>
  </conditionalFormatting>
  <conditionalFormatting sqref="Q2092">
    <cfRule type="dataBar" priority="8174">
      <dataBar>
        <cfvo type="min"/>
        <cfvo type="max"/>
        <color rgb="FFFF555A"/>
      </dataBar>
    </cfRule>
  </conditionalFormatting>
  <conditionalFormatting sqref="E2076:E2092">
    <cfRule type="dataBar" priority="8173">
      <dataBar>
        <cfvo type="min"/>
        <cfvo type="max"/>
        <color rgb="FFFF555A"/>
      </dataBar>
    </cfRule>
  </conditionalFormatting>
  <conditionalFormatting sqref="F2092">
    <cfRule type="top10" dxfId="4190" priority="8172" rank="1"/>
  </conditionalFormatting>
  <conditionalFormatting sqref="G2092 P2092">
    <cfRule type="cellIs" dxfId="4189" priority="8171" operator="equal">
      <formula>$G$135</formula>
    </cfRule>
  </conditionalFormatting>
  <conditionalFormatting sqref="P2092">
    <cfRule type="cellIs" dxfId="4188" priority="8170" operator="equal">
      <formula>$J$135</formula>
    </cfRule>
  </conditionalFormatting>
  <conditionalFormatting sqref="G2092 P2092">
    <cfRule type="cellIs" dxfId="4187" priority="8169" operator="equal">
      <formula>#REF!</formula>
    </cfRule>
  </conditionalFormatting>
  <conditionalFormatting sqref="G2092">
    <cfRule type="top10" dxfId="4186" priority="8167" rank="1"/>
    <cfRule type="cellIs" dxfId="4185" priority="8168" operator="equal">
      <formula>$G$133</formula>
    </cfRule>
  </conditionalFormatting>
  <conditionalFormatting sqref="P2092">
    <cfRule type="top10" dxfId="4184" priority="8165" rank="1"/>
    <cfRule type="cellIs" dxfId="4183" priority="8166" operator="equal">
      <formula>$G$133</formula>
    </cfRule>
  </conditionalFormatting>
  <conditionalFormatting sqref="C2076:C2091">
    <cfRule type="containsText" dxfId="4182" priority="8161" operator="containsText" text="Short Buildup">
      <formula>NOT(ISERROR(SEARCH("Short Buildup",C2076)))</formula>
    </cfRule>
    <cfRule type="containsText" dxfId="4181" priority="8162" operator="containsText" text="Long Liquidation">
      <formula>NOT(ISERROR(SEARCH("Long Liquidation",C2076)))</formula>
    </cfRule>
    <cfRule type="containsText" dxfId="4180" priority="8163" operator="containsText" text="Short covering">
      <formula>NOT(ISERROR(SEARCH("Short covering",C2076)))</formula>
    </cfRule>
    <cfRule type="containsText" dxfId="4179" priority="8164" operator="containsText" text="Long Buildup">
      <formula>NOT(ISERROR(SEARCH("Long Buildup",C2076)))</formula>
    </cfRule>
  </conditionalFormatting>
  <conditionalFormatting sqref="H2092">
    <cfRule type="colorScale" priority="8156">
      <colorScale>
        <cfvo type="min"/>
        <cfvo type="percentile" val="20"/>
        <cfvo type="max"/>
        <color rgb="FF92D050"/>
        <color theme="5" tint="0.79998168889431442"/>
        <color rgb="FFFF0000"/>
      </colorScale>
    </cfRule>
    <cfRule type="colorScale" priority="8157">
      <colorScale>
        <cfvo type="min"/>
        <cfvo type="max"/>
        <color rgb="FFFF0000"/>
        <color rgb="FF92D050"/>
      </colorScale>
    </cfRule>
    <cfRule type="colorScale" priority="8158">
      <colorScale>
        <cfvo type="min"/>
        <cfvo type="percentile" val="50"/>
        <cfvo type="max"/>
        <color rgb="FF5A8AC6"/>
        <color rgb="FFFCFCFF"/>
        <color rgb="FFF8696B"/>
      </colorScale>
    </cfRule>
    <cfRule type="colorScale" priority="8159">
      <colorScale>
        <cfvo type="formula" val="&quot;&gt;20&quot;"/>
        <cfvo type="formula" val="35"/>
        <color rgb="FFF8696B"/>
        <color rgb="FFFCFCFF"/>
      </colorScale>
    </cfRule>
    <cfRule type="colorScale" priority="8160">
      <colorScale>
        <cfvo type="min"/>
        <cfvo type="max"/>
        <color rgb="FFFFEF9C"/>
        <color rgb="FF63BE7B"/>
      </colorScale>
    </cfRule>
  </conditionalFormatting>
  <conditionalFormatting sqref="N2092">
    <cfRule type="colorScale" priority="8151">
      <colorScale>
        <cfvo type="min"/>
        <cfvo type="percentile" val="20"/>
        <cfvo type="max"/>
        <color rgb="FF92D050"/>
        <color theme="5" tint="0.79998168889431442"/>
        <color rgb="FFFF0000"/>
      </colorScale>
    </cfRule>
    <cfRule type="colorScale" priority="8152">
      <colorScale>
        <cfvo type="min"/>
        <cfvo type="max"/>
        <color rgb="FFFF0000"/>
        <color rgb="FF92D050"/>
      </colorScale>
    </cfRule>
    <cfRule type="colorScale" priority="8153">
      <colorScale>
        <cfvo type="min"/>
        <cfvo type="percentile" val="50"/>
        <cfvo type="max"/>
        <color rgb="FF5A8AC6"/>
        <color rgb="FFFCFCFF"/>
        <color rgb="FFF8696B"/>
      </colorScale>
    </cfRule>
    <cfRule type="colorScale" priority="8154">
      <colorScale>
        <cfvo type="formula" val="&quot;&gt;20&quot;"/>
        <cfvo type="formula" val="35"/>
        <color rgb="FFF8696B"/>
        <color rgb="FFFCFCFF"/>
      </colorScale>
    </cfRule>
    <cfRule type="colorScale" priority="8155">
      <colorScale>
        <cfvo type="min"/>
        <cfvo type="max"/>
        <color rgb="FFFFEF9C"/>
        <color rgb="FF63BE7B"/>
      </colorScale>
    </cfRule>
  </conditionalFormatting>
  <conditionalFormatting sqref="S2076:S2092">
    <cfRule type="containsText" dxfId="4178" priority="8147" operator="containsText" text="Short Buildup">
      <formula>NOT(ISERROR(SEARCH("Short Buildup",S2076)))</formula>
    </cfRule>
    <cfRule type="containsText" dxfId="4177" priority="8148" operator="containsText" text="Long Liquidation">
      <formula>NOT(ISERROR(SEARCH("Long Liquidation",S2076)))</formula>
    </cfRule>
    <cfRule type="containsText" dxfId="4176" priority="8149" operator="containsText" text="Short covering">
      <formula>NOT(ISERROR(SEARCH("Short covering",S2076)))</formula>
    </cfRule>
    <cfRule type="containsText" dxfId="4175" priority="8150" operator="containsText" text="Long Buildup">
      <formula>NOT(ISERROR(SEARCH("Long Buildup",S2076)))</formula>
    </cfRule>
  </conditionalFormatting>
  <conditionalFormatting sqref="F2076:F2091">
    <cfRule type="dataBar" priority="8146">
      <dataBar>
        <cfvo type="min"/>
        <cfvo type="max"/>
        <color rgb="FFFF555A"/>
      </dataBar>
    </cfRule>
  </conditionalFormatting>
  <conditionalFormatting sqref="G2076:G2091">
    <cfRule type="dataBar" priority="8145">
      <dataBar>
        <cfvo type="min"/>
        <cfvo type="max"/>
        <color rgb="FFFF555A"/>
      </dataBar>
    </cfRule>
  </conditionalFormatting>
  <conditionalFormatting sqref="H2076">
    <cfRule type="dataBar" priority="8144">
      <dataBar>
        <cfvo type="min"/>
        <cfvo type="max"/>
        <color rgb="FFFF555A"/>
      </dataBar>
    </cfRule>
  </conditionalFormatting>
  <conditionalFormatting sqref="I2076">
    <cfRule type="dataBar" priority="8143">
      <dataBar>
        <cfvo type="min"/>
        <cfvo type="max"/>
        <color rgb="FFFF555A"/>
      </dataBar>
    </cfRule>
  </conditionalFormatting>
  <conditionalFormatting sqref="J2076">
    <cfRule type="dataBar" priority="8142">
      <dataBar>
        <cfvo type="min"/>
        <cfvo type="max"/>
        <color rgb="FFFF555A"/>
      </dataBar>
    </cfRule>
  </conditionalFormatting>
  <conditionalFormatting sqref="E2077:E2091">
    <cfRule type="dataBar" priority="8141">
      <dataBar>
        <cfvo type="min"/>
        <cfvo type="max"/>
        <color rgb="FFFF555A"/>
      </dataBar>
    </cfRule>
  </conditionalFormatting>
  <conditionalFormatting sqref="H2077:H2091">
    <cfRule type="dataBar" priority="8140">
      <dataBar>
        <cfvo type="min"/>
        <cfvo type="max"/>
        <color rgb="FFFF555A"/>
      </dataBar>
    </cfRule>
  </conditionalFormatting>
  <conditionalFormatting sqref="I2077:I2091">
    <cfRule type="dataBar" priority="8139">
      <dataBar>
        <cfvo type="min"/>
        <cfvo type="max"/>
        <color rgb="FFFF555A"/>
      </dataBar>
    </cfRule>
  </conditionalFormatting>
  <conditionalFormatting sqref="J2077:J2091">
    <cfRule type="dataBar" priority="8138">
      <dataBar>
        <cfvo type="min"/>
        <cfvo type="max"/>
        <color rgb="FFFF555A"/>
      </dataBar>
    </cfRule>
  </conditionalFormatting>
  <conditionalFormatting sqref="L2076:L2091">
    <cfRule type="dataBar" priority="8137">
      <dataBar>
        <cfvo type="min"/>
        <cfvo type="max"/>
        <color rgb="FFFF555A"/>
      </dataBar>
    </cfRule>
  </conditionalFormatting>
  <conditionalFormatting sqref="M2076:M2091">
    <cfRule type="dataBar" priority="8136">
      <dataBar>
        <cfvo type="min"/>
        <cfvo type="max"/>
        <color rgb="FFFF555A"/>
      </dataBar>
    </cfRule>
  </conditionalFormatting>
  <conditionalFormatting sqref="N2076:N2091">
    <cfRule type="dataBar" priority="8135">
      <dataBar>
        <cfvo type="min"/>
        <cfvo type="max"/>
        <color rgb="FFFF555A"/>
      </dataBar>
    </cfRule>
  </conditionalFormatting>
  <conditionalFormatting sqref="Q2076:Q2091">
    <cfRule type="dataBar" priority="8134">
      <dataBar>
        <cfvo type="min"/>
        <cfvo type="max"/>
        <color rgb="FFFF555A"/>
      </dataBar>
    </cfRule>
  </conditionalFormatting>
  <conditionalFormatting sqref="O2076:O2091">
    <cfRule type="dataBar" priority="8133">
      <dataBar>
        <cfvo type="min"/>
        <cfvo type="max"/>
        <color rgb="FFFF555A"/>
      </dataBar>
    </cfRule>
  </conditionalFormatting>
  <conditionalFormatting sqref="P2076:P2091">
    <cfRule type="dataBar" priority="8132">
      <dataBar>
        <cfvo type="min"/>
        <cfvo type="max"/>
        <color rgb="FFFF555A"/>
      </dataBar>
    </cfRule>
  </conditionalFormatting>
  <conditionalFormatting sqref="R2093:R2109 D2093:D2108 C2109">
    <cfRule type="containsText" dxfId="4174" priority="8131" operator="containsText" text="DOWN">
      <formula>NOT(ISERROR(SEARCH("DOWN",C2093)))</formula>
    </cfRule>
  </conditionalFormatting>
  <conditionalFormatting sqref="R2093:R2109 D2093:D2108 C2109">
    <cfRule type="containsText" dxfId="4173" priority="8130" operator="containsText" text="UP">
      <formula>NOT(ISERROR(SEARCH("UP",C2093)))</formula>
    </cfRule>
  </conditionalFormatting>
  <conditionalFormatting sqref="I2109">
    <cfRule type="colorScale" priority="8129">
      <colorScale>
        <cfvo type="min"/>
        <cfvo type="max"/>
        <color rgb="FFFFEF9C"/>
        <color rgb="FF63BE7B"/>
      </colorScale>
    </cfRule>
  </conditionalFormatting>
  <conditionalFormatting sqref="M2109">
    <cfRule type="colorScale" priority="8128">
      <colorScale>
        <cfvo type="min"/>
        <cfvo type="max"/>
        <color rgb="FFFF7128"/>
        <color rgb="FFFFEF9C"/>
      </colorScale>
    </cfRule>
  </conditionalFormatting>
  <conditionalFormatting sqref="Q2109">
    <cfRule type="dataBar" priority="8127">
      <dataBar>
        <cfvo type="min"/>
        <cfvo type="max"/>
        <color rgb="FFFF555A"/>
      </dataBar>
    </cfRule>
  </conditionalFormatting>
  <conditionalFormatting sqref="E2093:E2109">
    <cfRule type="dataBar" priority="8126">
      <dataBar>
        <cfvo type="min"/>
        <cfvo type="max"/>
        <color rgb="FFFF555A"/>
      </dataBar>
    </cfRule>
  </conditionalFormatting>
  <conditionalFormatting sqref="F2109">
    <cfRule type="top10" dxfId="4172" priority="8125" rank="1"/>
  </conditionalFormatting>
  <conditionalFormatting sqref="G2109 P2109">
    <cfRule type="cellIs" dxfId="4171" priority="8124" operator="equal">
      <formula>$G$135</formula>
    </cfRule>
  </conditionalFormatting>
  <conditionalFormatting sqref="P2109">
    <cfRule type="cellIs" dxfId="4170" priority="8123" operator="equal">
      <formula>$J$135</formula>
    </cfRule>
  </conditionalFormatting>
  <conditionalFormatting sqref="G2109 P2109">
    <cfRule type="cellIs" dxfId="4169" priority="8122" operator="equal">
      <formula>#REF!</formula>
    </cfRule>
  </conditionalFormatting>
  <conditionalFormatting sqref="G2109">
    <cfRule type="top10" dxfId="4168" priority="8120" rank="1"/>
    <cfRule type="cellIs" dxfId="4167" priority="8121" operator="equal">
      <formula>$G$133</formula>
    </cfRule>
  </conditionalFormatting>
  <conditionalFormatting sqref="P2109">
    <cfRule type="top10" dxfId="4166" priority="8118" rank="1"/>
    <cfRule type="cellIs" dxfId="4165" priority="8119" operator="equal">
      <formula>$G$133</formula>
    </cfRule>
  </conditionalFormatting>
  <conditionalFormatting sqref="C2093:C2108">
    <cfRule type="containsText" dxfId="4164" priority="8114" operator="containsText" text="Short Buildup">
      <formula>NOT(ISERROR(SEARCH("Short Buildup",C2093)))</formula>
    </cfRule>
    <cfRule type="containsText" dxfId="4163" priority="8115" operator="containsText" text="Long Liquidation">
      <formula>NOT(ISERROR(SEARCH("Long Liquidation",C2093)))</formula>
    </cfRule>
    <cfRule type="containsText" dxfId="4162" priority="8116" operator="containsText" text="Short covering">
      <formula>NOT(ISERROR(SEARCH("Short covering",C2093)))</formula>
    </cfRule>
    <cfRule type="containsText" dxfId="4161" priority="8117" operator="containsText" text="Long Buildup">
      <formula>NOT(ISERROR(SEARCH("Long Buildup",C2093)))</formula>
    </cfRule>
  </conditionalFormatting>
  <conditionalFormatting sqref="H2109">
    <cfRule type="colorScale" priority="8109">
      <colorScale>
        <cfvo type="min"/>
        <cfvo type="percentile" val="20"/>
        <cfvo type="max"/>
        <color rgb="FF92D050"/>
        <color theme="5" tint="0.79998168889431442"/>
        <color rgb="FFFF0000"/>
      </colorScale>
    </cfRule>
    <cfRule type="colorScale" priority="8110">
      <colorScale>
        <cfvo type="min"/>
        <cfvo type="max"/>
        <color rgb="FFFF0000"/>
        <color rgb="FF92D050"/>
      </colorScale>
    </cfRule>
    <cfRule type="colorScale" priority="8111">
      <colorScale>
        <cfvo type="min"/>
        <cfvo type="percentile" val="50"/>
        <cfvo type="max"/>
        <color rgb="FF5A8AC6"/>
        <color rgb="FFFCFCFF"/>
        <color rgb="FFF8696B"/>
      </colorScale>
    </cfRule>
    <cfRule type="colorScale" priority="8112">
      <colorScale>
        <cfvo type="formula" val="&quot;&gt;20&quot;"/>
        <cfvo type="formula" val="35"/>
        <color rgb="FFF8696B"/>
        <color rgb="FFFCFCFF"/>
      </colorScale>
    </cfRule>
    <cfRule type="colorScale" priority="8113">
      <colorScale>
        <cfvo type="min"/>
        <cfvo type="max"/>
        <color rgb="FFFFEF9C"/>
        <color rgb="FF63BE7B"/>
      </colorScale>
    </cfRule>
  </conditionalFormatting>
  <conditionalFormatting sqref="N2109">
    <cfRule type="colorScale" priority="8104">
      <colorScale>
        <cfvo type="min"/>
        <cfvo type="percentile" val="20"/>
        <cfvo type="max"/>
        <color rgb="FF92D050"/>
        <color theme="5" tint="0.79998168889431442"/>
        <color rgb="FFFF0000"/>
      </colorScale>
    </cfRule>
    <cfRule type="colorScale" priority="8105">
      <colorScale>
        <cfvo type="min"/>
        <cfvo type="max"/>
        <color rgb="FFFF0000"/>
        <color rgb="FF92D050"/>
      </colorScale>
    </cfRule>
    <cfRule type="colorScale" priority="8106">
      <colorScale>
        <cfvo type="min"/>
        <cfvo type="percentile" val="50"/>
        <cfvo type="max"/>
        <color rgb="FF5A8AC6"/>
        <color rgb="FFFCFCFF"/>
        <color rgb="FFF8696B"/>
      </colorScale>
    </cfRule>
    <cfRule type="colorScale" priority="8107">
      <colorScale>
        <cfvo type="formula" val="&quot;&gt;20&quot;"/>
        <cfvo type="formula" val="35"/>
        <color rgb="FFF8696B"/>
        <color rgb="FFFCFCFF"/>
      </colorScale>
    </cfRule>
    <cfRule type="colorScale" priority="8108">
      <colorScale>
        <cfvo type="min"/>
        <cfvo type="max"/>
        <color rgb="FFFFEF9C"/>
        <color rgb="FF63BE7B"/>
      </colorScale>
    </cfRule>
  </conditionalFormatting>
  <conditionalFormatting sqref="S2093:S2109">
    <cfRule type="containsText" dxfId="4160" priority="8100" operator="containsText" text="Short Buildup">
      <formula>NOT(ISERROR(SEARCH("Short Buildup",S2093)))</formula>
    </cfRule>
    <cfRule type="containsText" dxfId="4159" priority="8101" operator="containsText" text="Long Liquidation">
      <formula>NOT(ISERROR(SEARCH("Long Liquidation",S2093)))</formula>
    </cfRule>
    <cfRule type="containsText" dxfId="4158" priority="8102" operator="containsText" text="Short covering">
      <formula>NOT(ISERROR(SEARCH("Short covering",S2093)))</formula>
    </cfRule>
    <cfRule type="containsText" dxfId="4157" priority="8103" operator="containsText" text="Long Buildup">
      <formula>NOT(ISERROR(SEARCH("Long Buildup",S2093)))</formula>
    </cfRule>
  </conditionalFormatting>
  <conditionalFormatting sqref="F2093:F2108">
    <cfRule type="dataBar" priority="8099">
      <dataBar>
        <cfvo type="min"/>
        <cfvo type="max"/>
        <color rgb="FFFF555A"/>
      </dataBar>
    </cfRule>
  </conditionalFormatting>
  <conditionalFormatting sqref="G2093:G2108">
    <cfRule type="dataBar" priority="8098">
      <dataBar>
        <cfvo type="min"/>
        <cfvo type="max"/>
        <color rgb="FFFF555A"/>
      </dataBar>
    </cfRule>
  </conditionalFormatting>
  <conditionalFormatting sqref="H2093">
    <cfRule type="dataBar" priority="8097">
      <dataBar>
        <cfvo type="min"/>
        <cfvo type="max"/>
        <color rgb="FFFF555A"/>
      </dataBar>
    </cfRule>
  </conditionalFormatting>
  <conditionalFormatting sqref="I2093">
    <cfRule type="dataBar" priority="8096">
      <dataBar>
        <cfvo type="min"/>
        <cfvo type="max"/>
        <color rgb="FFFF555A"/>
      </dataBar>
    </cfRule>
  </conditionalFormatting>
  <conditionalFormatting sqref="J2093">
    <cfRule type="dataBar" priority="8095">
      <dataBar>
        <cfvo type="min"/>
        <cfvo type="max"/>
        <color rgb="FFFF555A"/>
      </dataBar>
    </cfRule>
  </conditionalFormatting>
  <conditionalFormatting sqref="E2094:E2108">
    <cfRule type="dataBar" priority="8094">
      <dataBar>
        <cfvo type="min"/>
        <cfvo type="max"/>
        <color rgb="FFFF555A"/>
      </dataBar>
    </cfRule>
  </conditionalFormatting>
  <conditionalFormatting sqref="H2094:H2108">
    <cfRule type="dataBar" priority="8093">
      <dataBar>
        <cfvo type="min"/>
        <cfvo type="max"/>
        <color rgb="FFFF555A"/>
      </dataBar>
    </cfRule>
  </conditionalFormatting>
  <conditionalFormatting sqref="I2094:I2108">
    <cfRule type="dataBar" priority="8092">
      <dataBar>
        <cfvo type="min"/>
        <cfvo type="max"/>
        <color rgb="FFFF555A"/>
      </dataBar>
    </cfRule>
  </conditionalFormatting>
  <conditionalFormatting sqref="J2094:J2108">
    <cfRule type="dataBar" priority="8091">
      <dataBar>
        <cfvo type="min"/>
        <cfvo type="max"/>
        <color rgb="FFFF555A"/>
      </dataBar>
    </cfRule>
  </conditionalFormatting>
  <conditionalFormatting sqref="L2093:L2108">
    <cfRule type="dataBar" priority="8090">
      <dataBar>
        <cfvo type="min"/>
        <cfvo type="max"/>
        <color rgb="FFFF555A"/>
      </dataBar>
    </cfRule>
  </conditionalFormatting>
  <conditionalFormatting sqref="M2093:M2108">
    <cfRule type="dataBar" priority="8089">
      <dataBar>
        <cfvo type="min"/>
        <cfvo type="max"/>
        <color rgb="FFFF555A"/>
      </dataBar>
    </cfRule>
  </conditionalFormatting>
  <conditionalFormatting sqref="N2093:N2108">
    <cfRule type="dataBar" priority="8088">
      <dataBar>
        <cfvo type="min"/>
        <cfvo type="max"/>
        <color rgb="FFFF555A"/>
      </dataBar>
    </cfRule>
  </conditionalFormatting>
  <conditionalFormatting sqref="Q2093:Q2108">
    <cfRule type="dataBar" priority="8087">
      <dataBar>
        <cfvo type="min"/>
        <cfvo type="max"/>
        <color rgb="FFFF555A"/>
      </dataBar>
    </cfRule>
  </conditionalFormatting>
  <conditionalFormatting sqref="O2093:O2108">
    <cfRule type="dataBar" priority="8086">
      <dataBar>
        <cfvo type="min"/>
        <cfvo type="max"/>
        <color rgb="FFFF555A"/>
      </dataBar>
    </cfRule>
  </conditionalFormatting>
  <conditionalFormatting sqref="P2093:P2108">
    <cfRule type="dataBar" priority="8085">
      <dataBar>
        <cfvo type="min"/>
        <cfvo type="max"/>
        <color rgb="FFFF555A"/>
      </dataBar>
    </cfRule>
  </conditionalFormatting>
  <conditionalFormatting sqref="R2110:R2126 D2110:D2125 C2126">
    <cfRule type="containsText" dxfId="4156" priority="8084" operator="containsText" text="DOWN">
      <formula>NOT(ISERROR(SEARCH("DOWN",C2110)))</formula>
    </cfRule>
  </conditionalFormatting>
  <conditionalFormatting sqref="R2110:R2126 D2110:D2125 C2126">
    <cfRule type="containsText" dxfId="4155" priority="8083" operator="containsText" text="UP">
      <formula>NOT(ISERROR(SEARCH("UP",C2110)))</formula>
    </cfRule>
  </conditionalFormatting>
  <conditionalFormatting sqref="I2126">
    <cfRule type="colorScale" priority="8082">
      <colorScale>
        <cfvo type="min"/>
        <cfvo type="max"/>
        <color rgb="FFFFEF9C"/>
        <color rgb="FF63BE7B"/>
      </colorScale>
    </cfRule>
  </conditionalFormatting>
  <conditionalFormatting sqref="M2126">
    <cfRule type="colorScale" priority="8081">
      <colorScale>
        <cfvo type="min"/>
        <cfvo type="max"/>
        <color rgb="FFFF7128"/>
        <color rgb="FFFFEF9C"/>
      </colorScale>
    </cfRule>
  </conditionalFormatting>
  <conditionalFormatting sqref="Q2126">
    <cfRule type="dataBar" priority="8080">
      <dataBar>
        <cfvo type="min"/>
        <cfvo type="max"/>
        <color rgb="FFFF555A"/>
      </dataBar>
    </cfRule>
  </conditionalFormatting>
  <conditionalFormatting sqref="E2110:E2126">
    <cfRule type="dataBar" priority="8079">
      <dataBar>
        <cfvo type="min"/>
        <cfvo type="max"/>
        <color rgb="FFFF555A"/>
      </dataBar>
    </cfRule>
  </conditionalFormatting>
  <conditionalFormatting sqref="F2126">
    <cfRule type="top10" dxfId="4154" priority="8078" rank="1"/>
  </conditionalFormatting>
  <conditionalFormatting sqref="G2126 P2126">
    <cfRule type="cellIs" dxfId="4153" priority="8077" operator="equal">
      <formula>$G$135</formula>
    </cfRule>
  </conditionalFormatting>
  <conditionalFormatting sqref="P2126">
    <cfRule type="cellIs" dxfId="4152" priority="8076" operator="equal">
      <formula>$J$135</formula>
    </cfRule>
  </conditionalFormatting>
  <conditionalFormatting sqref="G2126 P2126">
    <cfRule type="cellIs" dxfId="4151" priority="8075" operator="equal">
      <formula>#REF!</formula>
    </cfRule>
  </conditionalFormatting>
  <conditionalFormatting sqref="G2126">
    <cfRule type="top10" dxfId="4150" priority="8073" rank="1"/>
    <cfRule type="cellIs" dxfId="4149" priority="8074" operator="equal">
      <formula>$G$133</formula>
    </cfRule>
  </conditionalFormatting>
  <conditionalFormatting sqref="P2126">
    <cfRule type="top10" dxfId="4148" priority="8071" rank="1"/>
    <cfRule type="cellIs" dxfId="4147" priority="8072" operator="equal">
      <formula>$G$133</formula>
    </cfRule>
  </conditionalFormatting>
  <conditionalFormatting sqref="C2110:C2125">
    <cfRule type="containsText" dxfId="4146" priority="8067" operator="containsText" text="Short Buildup">
      <formula>NOT(ISERROR(SEARCH("Short Buildup",C2110)))</formula>
    </cfRule>
    <cfRule type="containsText" dxfId="4145" priority="8068" operator="containsText" text="Long Liquidation">
      <formula>NOT(ISERROR(SEARCH("Long Liquidation",C2110)))</formula>
    </cfRule>
    <cfRule type="containsText" dxfId="4144" priority="8069" operator="containsText" text="Short covering">
      <formula>NOT(ISERROR(SEARCH("Short covering",C2110)))</formula>
    </cfRule>
    <cfRule type="containsText" dxfId="4143" priority="8070" operator="containsText" text="Long Buildup">
      <formula>NOT(ISERROR(SEARCH("Long Buildup",C2110)))</formula>
    </cfRule>
  </conditionalFormatting>
  <conditionalFormatting sqref="H2126">
    <cfRule type="colorScale" priority="8062">
      <colorScale>
        <cfvo type="min"/>
        <cfvo type="percentile" val="20"/>
        <cfvo type="max"/>
        <color rgb="FF92D050"/>
        <color theme="5" tint="0.79998168889431442"/>
        <color rgb="FFFF0000"/>
      </colorScale>
    </cfRule>
    <cfRule type="colorScale" priority="8063">
      <colorScale>
        <cfvo type="min"/>
        <cfvo type="max"/>
        <color rgb="FFFF0000"/>
        <color rgb="FF92D050"/>
      </colorScale>
    </cfRule>
    <cfRule type="colorScale" priority="8064">
      <colorScale>
        <cfvo type="min"/>
        <cfvo type="percentile" val="50"/>
        <cfvo type="max"/>
        <color rgb="FF5A8AC6"/>
        <color rgb="FFFCFCFF"/>
        <color rgb="FFF8696B"/>
      </colorScale>
    </cfRule>
    <cfRule type="colorScale" priority="8065">
      <colorScale>
        <cfvo type="formula" val="&quot;&gt;20&quot;"/>
        <cfvo type="formula" val="35"/>
        <color rgb="FFF8696B"/>
        <color rgb="FFFCFCFF"/>
      </colorScale>
    </cfRule>
    <cfRule type="colorScale" priority="8066">
      <colorScale>
        <cfvo type="min"/>
        <cfvo type="max"/>
        <color rgb="FFFFEF9C"/>
        <color rgb="FF63BE7B"/>
      </colorScale>
    </cfRule>
  </conditionalFormatting>
  <conditionalFormatting sqref="N2126">
    <cfRule type="colorScale" priority="8057">
      <colorScale>
        <cfvo type="min"/>
        <cfvo type="percentile" val="20"/>
        <cfvo type="max"/>
        <color rgb="FF92D050"/>
        <color theme="5" tint="0.79998168889431442"/>
        <color rgb="FFFF0000"/>
      </colorScale>
    </cfRule>
    <cfRule type="colorScale" priority="8058">
      <colorScale>
        <cfvo type="min"/>
        <cfvo type="max"/>
        <color rgb="FFFF0000"/>
        <color rgb="FF92D050"/>
      </colorScale>
    </cfRule>
    <cfRule type="colorScale" priority="8059">
      <colorScale>
        <cfvo type="min"/>
        <cfvo type="percentile" val="50"/>
        <cfvo type="max"/>
        <color rgb="FF5A8AC6"/>
        <color rgb="FFFCFCFF"/>
        <color rgb="FFF8696B"/>
      </colorScale>
    </cfRule>
    <cfRule type="colorScale" priority="8060">
      <colorScale>
        <cfvo type="formula" val="&quot;&gt;20&quot;"/>
        <cfvo type="formula" val="35"/>
        <color rgb="FFF8696B"/>
        <color rgb="FFFCFCFF"/>
      </colorScale>
    </cfRule>
    <cfRule type="colorScale" priority="8061">
      <colorScale>
        <cfvo type="min"/>
        <cfvo type="max"/>
        <color rgb="FFFFEF9C"/>
        <color rgb="FF63BE7B"/>
      </colorScale>
    </cfRule>
  </conditionalFormatting>
  <conditionalFormatting sqref="S2110:S2126">
    <cfRule type="containsText" dxfId="4142" priority="8053" operator="containsText" text="Short Buildup">
      <formula>NOT(ISERROR(SEARCH("Short Buildup",S2110)))</formula>
    </cfRule>
    <cfRule type="containsText" dxfId="4141" priority="8054" operator="containsText" text="Long Liquidation">
      <formula>NOT(ISERROR(SEARCH("Long Liquidation",S2110)))</formula>
    </cfRule>
    <cfRule type="containsText" dxfId="4140" priority="8055" operator="containsText" text="Short covering">
      <formula>NOT(ISERROR(SEARCH("Short covering",S2110)))</formula>
    </cfRule>
    <cfRule type="containsText" dxfId="4139" priority="8056" operator="containsText" text="Long Buildup">
      <formula>NOT(ISERROR(SEARCH("Long Buildup",S2110)))</formula>
    </cfRule>
  </conditionalFormatting>
  <conditionalFormatting sqref="F2110:F2125">
    <cfRule type="dataBar" priority="8052">
      <dataBar>
        <cfvo type="min"/>
        <cfvo type="max"/>
        <color rgb="FFFF555A"/>
      </dataBar>
    </cfRule>
  </conditionalFormatting>
  <conditionalFormatting sqref="G2110:G2125">
    <cfRule type="dataBar" priority="8051">
      <dataBar>
        <cfvo type="min"/>
        <cfvo type="max"/>
        <color rgb="FFFF555A"/>
      </dataBar>
    </cfRule>
  </conditionalFormatting>
  <conditionalFormatting sqref="H2110">
    <cfRule type="dataBar" priority="8050">
      <dataBar>
        <cfvo type="min"/>
        <cfvo type="max"/>
        <color rgb="FFFF555A"/>
      </dataBar>
    </cfRule>
  </conditionalFormatting>
  <conditionalFormatting sqref="I2110">
    <cfRule type="dataBar" priority="8049">
      <dataBar>
        <cfvo type="min"/>
        <cfvo type="max"/>
        <color rgb="FFFF555A"/>
      </dataBar>
    </cfRule>
  </conditionalFormatting>
  <conditionalFormatting sqref="J2110">
    <cfRule type="dataBar" priority="8048">
      <dataBar>
        <cfvo type="min"/>
        <cfvo type="max"/>
        <color rgb="FFFF555A"/>
      </dataBar>
    </cfRule>
  </conditionalFormatting>
  <conditionalFormatting sqref="E2111:E2125">
    <cfRule type="dataBar" priority="8047">
      <dataBar>
        <cfvo type="min"/>
        <cfvo type="max"/>
        <color rgb="FFFF555A"/>
      </dataBar>
    </cfRule>
  </conditionalFormatting>
  <conditionalFormatting sqref="H2111:H2125">
    <cfRule type="dataBar" priority="8046">
      <dataBar>
        <cfvo type="min"/>
        <cfvo type="max"/>
        <color rgb="FFFF555A"/>
      </dataBar>
    </cfRule>
  </conditionalFormatting>
  <conditionalFormatting sqref="I2111:I2125">
    <cfRule type="dataBar" priority="8045">
      <dataBar>
        <cfvo type="min"/>
        <cfvo type="max"/>
        <color rgb="FFFF555A"/>
      </dataBar>
    </cfRule>
  </conditionalFormatting>
  <conditionalFormatting sqref="J2111:J2125">
    <cfRule type="dataBar" priority="8044">
      <dataBar>
        <cfvo type="min"/>
        <cfvo type="max"/>
        <color rgb="FFFF555A"/>
      </dataBar>
    </cfRule>
  </conditionalFormatting>
  <conditionalFormatting sqref="L2110:L2125">
    <cfRule type="dataBar" priority="8043">
      <dataBar>
        <cfvo type="min"/>
        <cfvo type="max"/>
        <color rgb="FFFF555A"/>
      </dataBar>
    </cfRule>
  </conditionalFormatting>
  <conditionalFormatting sqref="M2110:M2125">
    <cfRule type="dataBar" priority="8042">
      <dataBar>
        <cfvo type="min"/>
        <cfvo type="max"/>
        <color rgb="FFFF555A"/>
      </dataBar>
    </cfRule>
  </conditionalFormatting>
  <conditionalFormatting sqref="N2110:N2125">
    <cfRule type="dataBar" priority="8041">
      <dataBar>
        <cfvo type="min"/>
        <cfvo type="max"/>
        <color rgb="FFFF555A"/>
      </dataBar>
    </cfRule>
  </conditionalFormatting>
  <conditionalFormatting sqref="Q2110:Q2125">
    <cfRule type="dataBar" priority="8040">
      <dataBar>
        <cfvo type="min"/>
        <cfvo type="max"/>
        <color rgb="FFFF555A"/>
      </dataBar>
    </cfRule>
  </conditionalFormatting>
  <conditionalFormatting sqref="O2110:O2125">
    <cfRule type="dataBar" priority="8039">
      <dataBar>
        <cfvo type="min"/>
        <cfvo type="max"/>
        <color rgb="FFFF555A"/>
      </dataBar>
    </cfRule>
  </conditionalFormatting>
  <conditionalFormatting sqref="P2110:P2125">
    <cfRule type="dataBar" priority="8038">
      <dataBar>
        <cfvo type="min"/>
        <cfvo type="max"/>
        <color rgb="FFFF555A"/>
      </dataBar>
    </cfRule>
  </conditionalFormatting>
  <conditionalFormatting sqref="R2127:R2143 D2127:D2142 C2143">
    <cfRule type="containsText" dxfId="4138" priority="8037" operator="containsText" text="DOWN">
      <formula>NOT(ISERROR(SEARCH("DOWN",C2127)))</formula>
    </cfRule>
  </conditionalFormatting>
  <conditionalFormatting sqref="R2127:R2143 D2127:D2142 C2143">
    <cfRule type="containsText" dxfId="4137" priority="8036" operator="containsText" text="UP">
      <formula>NOT(ISERROR(SEARCH("UP",C2127)))</formula>
    </cfRule>
  </conditionalFormatting>
  <conditionalFormatting sqref="I2143">
    <cfRule type="colorScale" priority="8035">
      <colorScale>
        <cfvo type="min"/>
        <cfvo type="max"/>
        <color rgb="FFFFEF9C"/>
        <color rgb="FF63BE7B"/>
      </colorScale>
    </cfRule>
  </conditionalFormatting>
  <conditionalFormatting sqref="M2143">
    <cfRule type="colorScale" priority="8034">
      <colorScale>
        <cfvo type="min"/>
        <cfvo type="max"/>
        <color rgb="FFFF7128"/>
        <color rgb="FFFFEF9C"/>
      </colorScale>
    </cfRule>
  </conditionalFormatting>
  <conditionalFormatting sqref="Q2143">
    <cfRule type="dataBar" priority="8033">
      <dataBar>
        <cfvo type="min"/>
        <cfvo type="max"/>
        <color rgb="FFFF555A"/>
      </dataBar>
    </cfRule>
  </conditionalFormatting>
  <conditionalFormatting sqref="E2127:E2143">
    <cfRule type="dataBar" priority="8032">
      <dataBar>
        <cfvo type="min"/>
        <cfvo type="max"/>
        <color rgb="FFFF555A"/>
      </dataBar>
    </cfRule>
  </conditionalFormatting>
  <conditionalFormatting sqref="F2143">
    <cfRule type="top10" dxfId="4136" priority="8031" rank="1"/>
  </conditionalFormatting>
  <conditionalFormatting sqref="G2143 P2143">
    <cfRule type="cellIs" dxfId="4135" priority="8030" operator="equal">
      <formula>$G$135</formula>
    </cfRule>
  </conditionalFormatting>
  <conditionalFormatting sqref="P2143">
    <cfRule type="cellIs" dxfId="4134" priority="8029" operator="equal">
      <formula>$J$135</formula>
    </cfRule>
  </conditionalFormatting>
  <conditionalFormatting sqref="G2143 P2143">
    <cfRule type="cellIs" dxfId="4133" priority="8028" operator="equal">
      <formula>#REF!</formula>
    </cfRule>
  </conditionalFormatting>
  <conditionalFormatting sqref="G2143">
    <cfRule type="top10" dxfId="4132" priority="8026" rank="1"/>
    <cfRule type="cellIs" dxfId="4131" priority="8027" operator="equal">
      <formula>$G$133</formula>
    </cfRule>
  </conditionalFormatting>
  <conditionalFormatting sqref="P2143">
    <cfRule type="top10" dxfId="4130" priority="8024" rank="1"/>
    <cfRule type="cellIs" dxfId="4129" priority="8025" operator="equal">
      <formula>$G$133</formula>
    </cfRule>
  </conditionalFormatting>
  <conditionalFormatting sqref="C2127:C2142">
    <cfRule type="containsText" dxfId="4128" priority="8020" operator="containsText" text="Short Buildup">
      <formula>NOT(ISERROR(SEARCH("Short Buildup",C2127)))</formula>
    </cfRule>
    <cfRule type="containsText" dxfId="4127" priority="8021" operator="containsText" text="Long Liquidation">
      <formula>NOT(ISERROR(SEARCH("Long Liquidation",C2127)))</formula>
    </cfRule>
    <cfRule type="containsText" dxfId="4126" priority="8022" operator="containsText" text="Short covering">
      <formula>NOT(ISERROR(SEARCH("Short covering",C2127)))</formula>
    </cfRule>
    <cfRule type="containsText" dxfId="4125" priority="8023" operator="containsText" text="Long Buildup">
      <formula>NOT(ISERROR(SEARCH("Long Buildup",C2127)))</formula>
    </cfRule>
  </conditionalFormatting>
  <conditionalFormatting sqref="H2143">
    <cfRule type="colorScale" priority="8015">
      <colorScale>
        <cfvo type="min"/>
        <cfvo type="percentile" val="20"/>
        <cfvo type="max"/>
        <color rgb="FF92D050"/>
        <color theme="5" tint="0.79998168889431442"/>
        <color rgb="FFFF0000"/>
      </colorScale>
    </cfRule>
    <cfRule type="colorScale" priority="8016">
      <colorScale>
        <cfvo type="min"/>
        <cfvo type="max"/>
        <color rgb="FFFF0000"/>
        <color rgb="FF92D050"/>
      </colorScale>
    </cfRule>
    <cfRule type="colorScale" priority="8017">
      <colorScale>
        <cfvo type="min"/>
        <cfvo type="percentile" val="50"/>
        <cfvo type="max"/>
        <color rgb="FF5A8AC6"/>
        <color rgb="FFFCFCFF"/>
        <color rgb="FFF8696B"/>
      </colorScale>
    </cfRule>
    <cfRule type="colorScale" priority="8018">
      <colorScale>
        <cfvo type="formula" val="&quot;&gt;20&quot;"/>
        <cfvo type="formula" val="35"/>
        <color rgb="FFF8696B"/>
        <color rgb="FFFCFCFF"/>
      </colorScale>
    </cfRule>
    <cfRule type="colorScale" priority="8019">
      <colorScale>
        <cfvo type="min"/>
        <cfvo type="max"/>
        <color rgb="FFFFEF9C"/>
        <color rgb="FF63BE7B"/>
      </colorScale>
    </cfRule>
  </conditionalFormatting>
  <conditionalFormatting sqref="N2143">
    <cfRule type="colorScale" priority="8010">
      <colorScale>
        <cfvo type="min"/>
        <cfvo type="percentile" val="20"/>
        <cfvo type="max"/>
        <color rgb="FF92D050"/>
        <color theme="5" tint="0.79998168889431442"/>
        <color rgb="FFFF0000"/>
      </colorScale>
    </cfRule>
    <cfRule type="colorScale" priority="8011">
      <colorScale>
        <cfvo type="min"/>
        <cfvo type="max"/>
        <color rgb="FFFF0000"/>
        <color rgb="FF92D050"/>
      </colorScale>
    </cfRule>
    <cfRule type="colorScale" priority="8012">
      <colorScale>
        <cfvo type="min"/>
        <cfvo type="percentile" val="50"/>
        <cfvo type="max"/>
        <color rgb="FF5A8AC6"/>
        <color rgb="FFFCFCFF"/>
        <color rgb="FFF8696B"/>
      </colorScale>
    </cfRule>
    <cfRule type="colorScale" priority="8013">
      <colorScale>
        <cfvo type="formula" val="&quot;&gt;20&quot;"/>
        <cfvo type="formula" val="35"/>
        <color rgb="FFF8696B"/>
        <color rgb="FFFCFCFF"/>
      </colorScale>
    </cfRule>
    <cfRule type="colorScale" priority="8014">
      <colorScale>
        <cfvo type="min"/>
        <cfvo type="max"/>
        <color rgb="FFFFEF9C"/>
        <color rgb="FF63BE7B"/>
      </colorScale>
    </cfRule>
  </conditionalFormatting>
  <conditionalFormatting sqref="S2127:S2143">
    <cfRule type="containsText" dxfId="4124" priority="8006" operator="containsText" text="Short Buildup">
      <formula>NOT(ISERROR(SEARCH("Short Buildup",S2127)))</formula>
    </cfRule>
    <cfRule type="containsText" dxfId="4123" priority="8007" operator="containsText" text="Long Liquidation">
      <formula>NOT(ISERROR(SEARCH("Long Liquidation",S2127)))</formula>
    </cfRule>
    <cfRule type="containsText" dxfId="4122" priority="8008" operator="containsText" text="Short covering">
      <formula>NOT(ISERROR(SEARCH("Short covering",S2127)))</formula>
    </cfRule>
    <cfRule type="containsText" dxfId="4121" priority="8009" operator="containsText" text="Long Buildup">
      <formula>NOT(ISERROR(SEARCH("Long Buildup",S2127)))</formula>
    </cfRule>
  </conditionalFormatting>
  <conditionalFormatting sqref="F2127:F2142">
    <cfRule type="dataBar" priority="8005">
      <dataBar>
        <cfvo type="min"/>
        <cfvo type="max"/>
        <color rgb="FFFF555A"/>
      </dataBar>
    </cfRule>
  </conditionalFormatting>
  <conditionalFormatting sqref="G2127:G2142">
    <cfRule type="dataBar" priority="8004">
      <dataBar>
        <cfvo type="min"/>
        <cfvo type="max"/>
        <color rgb="FFFF555A"/>
      </dataBar>
    </cfRule>
  </conditionalFormatting>
  <conditionalFormatting sqref="H2127">
    <cfRule type="dataBar" priority="8003">
      <dataBar>
        <cfvo type="min"/>
        <cfvo type="max"/>
        <color rgb="FFFF555A"/>
      </dataBar>
    </cfRule>
  </conditionalFormatting>
  <conditionalFormatting sqref="I2127">
    <cfRule type="dataBar" priority="8002">
      <dataBar>
        <cfvo type="min"/>
        <cfvo type="max"/>
        <color rgb="FFFF555A"/>
      </dataBar>
    </cfRule>
  </conditionalFormatting>
  <conditionalFormatting sqref="J2127">
    <cfRule type="dataBar" priority="8001">
      <dataBar>
        <cfvo type="min"/>
        <cfvo type="max"/>
        <color rgb="FFFF555A"/>
      </dataBar>
    </cfRule>
  </conditionalFormatting>
  <conditionalFormatting sqref="E2128:E2142">
    <cfRule type="dataBar" priority="8000">
      <dataBar>
        <cfvo type="min"/>
        <cfvo type="max"/>
        <color rgb="FFFF555A"/>
      </dataBar>
    </cfRule>
  </conditionalFormatting>
  <conditionalFormatting sqref="H2128:H2142">
    <cfRule type="dataBar" priority="7999">
      <dataBar>
        <cfvo type="min"/>
        <cfvo type="max"/>
        <color rgb="FFFF555A"/>
      </dataBar>
    </cfRule>
  </conditionalFormatting>
  <conditionalFormatting sqref="I2128:I2142">
    <cfRule type="dataBar" priority="7998">
      <dataBar>
        <cfvo type="min"/>
        <cfvo type="max"/>
        <color rgb="FFFF555A"/>
      </dataBar>
    </cfRule>
  </conditionalFormatting>
  <conditionalFormatting sqref="J2128:J2142">
    <cfRule type="dataBar" priority="7997">
      <dataBar>
        <cfvo type="min"/>
        <cfvo type="max"/>
        <color rgb="FFFF555A"/>
      </dataBar>
    </cfRule>
  </conditionalFormatting>
  <conditionalFormatting sqref="L2127:L2142">
    <cfRule type="dataBar" priority="7996">
      <dataBar>
        <cfvo type="min"/>
        <cfvo type="max"/>
        <color rgb="FFFF555A"/>
      </dataBar>
    </cfRule>
  </conditionalFormatting>
  <conditionalFormatting sqref="M2127:M2142">
    <cfRule type="dataBar" priority="7995">
      <dataBar>
        <cfvo type="min"/>
        <cfvo type="max"/>
        <color rgb="FFFF555A"/>
      </dataBar>
    </cfRule>
  </conditionalFormatting>
  <conditionalFormatting sqref="N2127:N2142">
    <cfRule type="dataBar" priority="7994">
      <dataBar>
        <cfvo type="min"/>
        <cfvo type="max"/>
        <color rgb="FFFF555A"/>
      </dataBar>
    </cfRule>
  </conditionalFormatting>
  <conditionalFormatting sqref="Q2127:Q2142">
    <cfRule type="dataBar" priority="7993">
      <dataBar>
        <cfvo type="min"/>
        <cfvo type="max"/>
        <color rgb="FFFF555A"/>
      </dataBar>
    </cfRule>
  </conditionalFormatting>
  <conditionalFormatting sqref="O2127:O2142">
    <cfRule type="dataBar" priority="7992">
      <dataBar>
        <cfvo type="min"/>
        <cfvo type="max"/>
        <color rgb="FFFF555A"/>
      </dataBar>
    </cfRule>
  </conditionalFormatting>
  <conditionalFormatting sqref="P2127:P2142">
    <cfRule type="dataBar" priority="7991">
      <dataBar>
        <cfvo type="min"/>
        <cfvo type="max"/>
        <color rgb="FFFF555A"/>
      </dataBar>
    </cfRule>
  </conditionalFormatting>
  <conditionalFormatting sqref="R2144:R2160 D2144:D2159 C2160">
    <cfRule type="containsText" dxfId="4120" priority="7990" operator="containsText" text="DOWN">
      <formula>NOT(ISERROR(SEARCH("DOWN",C2144)))</formula>
    </cfRule>
  </conditionalFormatting>
  <conditionalFormatting sqref="R2144:R2160 D2144:D2159 C2160">
    <cfRule type="containsText" dxfId="4119" priority="7989" operator="containsText" text="UP">
      <formula>NOT(ISERROR(SEARCH("UP",C2144)))</formula>
    </cfRule>
  </conditionalFormatting>
  <conditionalFormatting sqref="I2160">
    <cfRule type="colorScale" priority="7988">
      <colorScale>
        <cfvo type="min"/>
        <cfvo type="max"/>
        <color rgb="FFFFEF9C"/>
        <color rgb="FF63BE7B"/>
      </colorScale>
    </cfRule>
  </conditionalFormatting>
  <conditionalFormatting sqref="M2160">
    <cfRule type="colorScale" priority="7987">
      <colorScale>
        <cfvo type="min"/>
        <cfvo type="max"/>
        <color rgb="FFFF7128"/>
        <color rgb="FFFFEF9C"/>
      </colorScale>
    </cfRule>
  </conditionalFormatting>
  <conditionalFormatting sqref="Q2160">
    <cfRule type="dataBar" priority="7986">
      <dataBar>
        <cfvo type="min"/>
        <cfvo type="max"/>
        <color rgb="FFFF555A"/>
      </dataBar>
    </cfRule>
  </conditionalFormatting>
  <conditionalFormatting sqref="E2144:E2160">
    <cfRule type="dataBar" priority="7985">
      <dataBar>
        <cfvo type="min"/>
        <cfvo type="max"/>
        <color rgb="FFFF555A"/>
      </dataBar>
    </cfRule>
  </conditionalFormatting>
  <conditionalFormatting sqref="F2160">
    <cfRule type="top10" dxfId="4118" priority="7984" rank="1"/>
  </conditionalFormatting>
  <conditionalFormatting sqref="G2160 P2160">
    <cfRule type="cellIs" dxfId="4117" priority="7983" operator="equal">
      <formula>$G$135</formula>
    </cfRule>
  </conditionalFormatting>
  <conditionalFormatting sqref="P2160">
    <cfRule type="cellIs" dxfId="4116" priority="7982" operator="equal">
      <formula>$J$135</formula>
    </cfRule>
  </conditionalFormatting>
  <conditionalFormatting sqref="G2160 P2160">
    <cfRule type="cellIs" dxfId="4115" priority="7981" operator="equal">
      <formula>#REF!</formula>
    </cfRule>
  </conditionalFormatting>
  <conditionalFormatting sqref="G2160">
    <cfRule type="top10" dxfId="4114" priority="7979" rank="1"/>
    <cfRule type="cellIs" dxfId="4113" priority="7980" operator="equal">
      <formula>$G$133</formula>
    </cfRule>
  </conditionalFormatting>
  <conditionalFormatting sqref="P2160">
    <cfRule type="top10" dxfId="4112" priority="7977" rank="1"/>
    <cfRule type="cellIs" dxfId="4111" priority="7978" operator="equal">
      <formula>$G$133</formula>
    </cfRule>
  </conditionalFormatting>
  <conditionalFormatting sqref="C2144:C2159">
    <cfRule type="containsText" dxfId="4110" priority="7973" operator="containsText" text="Short Buildup">
      <formula>NOT(ISERROR(SEARCH("Short Buildup",C2144)))</formula>
    </cfRule>
    <cfRule type="containsText" dxfId="4109" priority="7974" operator="containsText" text="Long Liquidation">
      <formula>NOT(ISERROR(SEARCH("Long Liquidation",C2144)))</formula>
    </cfRule>
    <cfRule type="containsText" dxfId="4108" priority="7975" operator="containsText" text="Short covering">
      <formula>NOT(ISERROR(SEARCH("Short covering",C2144)))</formula>
    </cfRule>
    <cfRule type="containsText" dxfId="4107" priority="7976" operator="containsText" text="Long Buildup">
      <formula>NOT(ISERROR(SEARCH("Long Buildup",C2144)))</formula>
    </cfRule>
  </conditionalFormatting>
  <conditionalFormatting sqref="H2160">
    <cfRule type="colorScale" priority="7968">
      <colorScale>
        <cfvo type="min"/>
        <cfvo type="percentile" val="20"/>
        <cfvo type="max"/>
        <color rgb="FF92D050"/>
        <color theme="5" tint="0.79998168889431442"/>
        <color rgb="FFFF0000"/>
      </colorScale>
    </cfRule>
    <cfRule type="colorScale" priority="7969">
      <colorScale>
        <cfvo type="min"/>
        <cfvo type="max"/>
        <color rgb="FFFF0000"/>
        <color rgb="FF92D050"/>
      </colorScale>
    </cfRule>
    <cfRule type="colorScale" priority="7970">
      <colorScale>
        <cfvo type="min"/>
        <cfvo type="percentile" val="50"/>
        <cfvo type="max"/>
        <color rgb="FF5A8AC6"/>
        <color rgb="FFFCFCFF"/>
        <color rgb="FFF8696B"/>
      </colorScale>
    </cfRule>
    <cfRule type="colorScale" priority="7971">
      <colorScale>
        <cfvo type="formula" val="&quot;&gt;20&quot;"/>
        <cfvo type="formula" val="35"/>
        <color rgb="FFF8696B"/>
        <color rgb="FFFCFCFF"/>
      </colorScale>
    </cfRule>
    <cfRule type="colorScale" priority="7972">
      <colorScale>
        <cfvo type="min"/>
        <cfvo type="max"/>
        <color rgb="FFFFEF9C"/>
        <color rgb="FF63BE7B"/>
      </colorScale>
    </cfRule>
  </conditionalFormatting>
  <conditionalFormatting sqref="N2160">
    <cfRule type="colorScale" priority="7963">
      <colorScale>
        <cfvo type="min"/>
        <cfvo type="percentile" val="20"/>
        <cfvo type="max"/>
        <color rgb="FF92D050"/>
        <color theme="5" tint="0.79998168889431442"/>
        <color rgb="FFFF0000"/>
      </colorScale>
    </cfRule>
    <cfRule type="colorScale" priority="7964">
      <colorScale>
        <cfvo type="min"/>
        <cfvo type="max"/>
        <color rgb="FFFF0000"/>
        <color rgb="FF92D050"/>
      </colorScale>
    </cfRule>
    <cfRule type="colorScale" priority="7965">
      <colorScale>
        <cfvo type="min"/>
        <cfvo type="percentile" val="50"/>
        <cfvo type="max"/>
        <color rgb="FF5A8AC6"/>
        <color rgb="FFFCFCFF"/>
        <color rgb="FFF8696B"/>
      </colorScale>
    </cfRule>
    <cfRule type="colorScale" priority="7966">
      <colorScale>
        <cfvo type="formula" val="&quot;&gt;20&quot;"/>
        <cfvo type="formula" val="35"/>
        <color rgb="FFF8696B"/>
        <color rgb="FFFCFCFF"/>
      </colorScale>
    </cfRule>
    <cfRule type="colorScale" priority="7967">
      <colorScale>
        <cfvo type="min"/>
        <cfvo type="max"/>
        <color rgb="FFFFEF9C"/>
        <color rgb="FF63BE7B"/>
      </colorScale>
    </cfRule>
  </conditionalFormatting>
  <conditionalFormatting sqref="S2144:S2160">
    <cfRule type="containsText" dxfId="4106" priority="7959" operator="containsText" text="Short Buildup">
      <formula>NOT(ISERROR(SEARCH("Short Buildup",S2144)))</formula>
    </cfRule>
    <cfRule type="containsText" dxfId="4105" priority="7960" operator="containsText" text="Long Liquidation">
      <formula>NOT(ISERROR(SEARCH("Long Liquidation",S2144)))</formula>
    </cfRule>
    <cfRule type="containsText" dxfId="4104" priority="7961" operator="containsText" text="Short covering">
      <formula>NOT(ISERROR(SEARCH("Short covering",S2144)))</formula>
    </cfRule>
    <cfRule type="containsText" dxfId="4103" priority="7962" operator="containsText" text="Long Buildup">
      <formula>NOT(ISERROR(SEARCH("Long Buildup",S2144)))</formula>
    </cfRule>
  </conditionalFormatting>
  <conditionalFormatting sqref="F2144:F2159">
    <cfRule type="dataBar" priority="7958">
      <dataBar>
        <cfvo type="min"/>
        <cfvo type="max"/>
        <color rgb="FFFF555A"/>
      </dataBar>
    </cfRule>
  </conditionalFormatting>
  <conditionalFormatting sqref="G2144:G2159">
    <cfRule type="dataBar" priority="7957">
      <dataBar>
        <cfvo type="min"/>
        <cfvo type="max"/>
        <color rgb="FFFF555A"/>
      </dataBar>
    </cfRule>
  </conditionalFormatting>
  <conditionalFormatting sqref="H2144">
    <cfRule type="dataBar" priority="7956">
      <dataBar>
        <cfvo type="min"/>
        <cfvo type="max"/>
        <color rgb="FFFF555A"/>
      </dataBar>
    </cfRule>
  </conditionalFormatting>
  <conditionalFormatting sqref="I2144">
    <cfRule type="dataBar" priority="7955">
      <dataBar>
        <cfvo type="min"/>
        <cfvo type="max"/>
        <color rgb="FFFF555A"/>
      </dataBar>
    </cfRule>
  </conditionalFormatting>
  <conditionalFormatting sqref="J2144">
    <cfRule type="dataBar" priority="7954">
      <dataBar>
        <cfvo type="min"/>
        <cfvo type="max"/>
        <color rgb="FFFF555A"/>
      </dataBar>
    </cfRule>
  </conditionalFormatting>
  <conditionalFormatting sqref="E2145:E2159">
    <cfRule type="dataBar" priority="7953">
      <dataBar>
        <cfvo type="min"/>
        <cfvo type="max"/>
        <color rgb="FFFF555A"/>
      </dataBar>
    </cfRule>
  </conditionalFormatting>
  <conditionalFormatting sqref="H2145:H2159">
    <cfRule type="dataBar" priority="7952">
      <dataBar>
        <cfvo type="min"/>
        <cfvo type="max"/>
        <color rgb="FFFF555A"/>
      </dataBar>
    </cfRule>
  </conditionalFormatting>
  <conditionalFormatting sqref="I2145:I2159">
    <cfRule type="dataBar" priority="7951">
      <dataBar>
        <cfvo type="min"/>
        <cfvo type="max"/>
        <color rgb="FFFF555A"/>
      </dataBar>
    </cfRule>
  </conditionalFormatting>
  <conditionalFormatting sqref="J2145:J2159">
    <cfRule type="dataBar" priority="7950">
      <dataBar>
        <cfvo type="min"/>
        <cfvo type="max"/>
        <color rgb="FFFF555A"/>
      </dataBar>
    </cfRule>
  </conditionalFormatting>
  <conditionalFormatting sqref="L2144:L2159">
    <cfRule type="dataBar" priority="7949">
      <dataBar>
        <cfvo type="min"/>
        <cfvo type="max"/>
        <color rgb="FFFF555A"/>
      </dataBar>
    </cfRule>
  </conditionalFormatting>
  <conditionalFormatting sqref="M2144:M2159">
    <cfRule type="dataBar" priority="7948">
      <dataBar>
        <cfvo type="min"/>
        <cfvo type="max"/>
        <color rgb="FFFF555A"/>
      </dataBar>
    </cfRule>
  </conditionalFormatting>
  <conditionalFormatting sqref="N2144:N2159">
    <cfRule type="dataBar" priority="7947">
      <dataBar>
        <cfvo type="min"/>
        <cfvo type="max"/>
        <color rgb="FFFF555A"/>
      </dataBar>
    </cfRule>
  </conditionalFormatting>
  <conditionalFormatting sqref="Q2144:Q2159">
    <cfRule type="dataBar" priority="7946">
      <dataBar>
        <cfvo type="min"/>
        <cfvo type="max"/>
        <color rgb="FFFF555A"/>
      </dataBar>
    </cfRule>
  </conditionalFormatting>
  <conditionalFormatting sqref="O2144:O2159">
    <cfRule type="dataBar" priority="7945">
      <dataBar>
        <cfvo type="min"/>
        <cfvo type="max"/>
        <color rgb="FFFF555A"/>
      </dataBar>
    </cfRule>
  </conditionalFormatting>
  <conditionalFormatting sqref="P2144:P2159">
    <cfRule type="dataBar" priority="7944">
      <dataBar>
        <cfvo type="min"/>
        <cfvo type="max"/>
        <color rgb="FFFF555A"/>
      </dataBar>
    </cfRule>
  </conditionalFormatting>
  <conditionalFormatting sqref="R2161:R2177 D2161:D2176 C2177">
    <cfRule type="containsText" dxfId="4102" priority="7943" operator="containsText" text="DOWN">
      <formula>NOT(ISERROR(SEARCH("DOWN",C2161)))</formula>
    </cfRule>
  </conditionalFormatting>
  <conditionalFormatting sqref="R2161:R2177 D2161:D2176 C2177">
    <cfRule type="containsText" dxfId="4101" priority="7942" operator="containsText" text="UP">
      <formula>NOT(ISERROR(SEARCH("UP",C2161)))</formula>
    </cfRule>
  </conditionalFormatting>
  <conditionalFormatting sqref="I2177">
    <cfRule type="colorScale" priority="7941">
      <colorScale>
        <cfvo type="min"/>
        <cfvo type="max"/>
        <color rgb="FFFFEF9C"/>
        <color rgb="FF63BE7B"/>
      </colorScale>
    </cfRule>
  </conditionalFormatting>
  <conditionalFormatting sqref="M2177">
    <cfRule type="colorScale" priority="7940">
      <colorScale>
        <cfvo type="min"/>
        <cfvo type="max"/>
        <color rgb="FFFF7128"/>
        <color rgb="FFFFEF9C"/>
      </colorScale>
    </cfRule>
  </conditionalFormatting>
  <conditionalFormatting sqref="Q2177">
    <cfRule type="dataBar" priority="7939">
      <dataBar>
        <cfvo type="min"/>
        <cfvo type="max"/>
        <color rgb="FFFF555A"/>
      </dataBar>
    </cfRule>
  </conditionalFormatting>
  <conditionalFormatting sqref="E2161:E2177">
    <cfRule type="dataBar" priority="7938">
      <dataBar>
        <cfvo type="min"/>
        <cfvo type="max"/>
        <color rgb="FFFF555A"/>
      </dataBar>
    </cfRule>
  </conditionalFormatting>
  <conditionalFormatting sqref="F2177">
    <cfRule type="top10" dxfId="4100" priority="7937" rank="1"/>
  </conditionalFormatting>
  <conditionalFormatting sqref="G2177 P2177">
    <cfRule type="cellIs" dxfId="4099" priority="7936" operator="equal">
      <formula>$G$135</formula>
    </cfRule>
  </conditionalFormatting>
  <conditionalFormatting sqref="P2177">
    <cfRule type="cellIs" dxfId="4098" priority="7935" operator="equal">
      <formula>$J$135</formula>
    </cfRule>
  </conditionalFormatting>
  <conditionalFormatting sqref="G2177 P2177">
    <cfRule type="cellIs" dxfId="4097" priority="7934" operator="equal">
      <formula>#REF!</formula>
    </cfRule>
  </conditionalFormatting>
  <conditionalFormatting sqref="G2177">
    <cfRule type="top10" dxfId="4096" priority="7932" rank="1"/>
    <cfRule type="cellIs" dxfId="4095" priority="7933" operator="equal">
      <formula>$G$133</formula>
    </cfRule>
  </conditionalFormatting>
  <conditionalFormatting sqref="P2177">
    <cfRule type="top10" dxfId="4094" priority="7930" rank="1"/>
    <cfRule type="cellIs" dxfId="4093" priority="7931" operator="equal">
      <formula>$G$133</formula>
    </cfRule>
  </conditionalFormatting>
  <conditionalFormatting sqref="C2161:C2176">
    <cfRule type="containsText" dxfId="4092" priority="7926" operator="containsText" text="Short Buildup">
      <formula>NOT(ISERROR(SEARCH("Short Buildup",C2161)))</formula>
    </cfRule>
    <cfRule type="containsText" dxfId="4091" priority="7927" operator="containsText" text="Long Liquidation">
      <formula>NOT(ISERROR(SEARCH("Long Liquidation",C2161)))</formula>
    </cfRule>
    <cfRule type="containsText" dxfId="4090" priority="7928" operator="containsText" text="Short covering">
      <formula>NOT(ISERROR(SEARCH("Short covering",C2161)))</formula>
    </cfRule>
    <cfRule type="containsText" dxfId="4089" priority="7929" operator="containsText" text="Long Buildup">
      <formula>NOT(ISERROR(SEARCH("Long Buildup",C2161)))</formula>
    </cfRule>
  </conditionalFormatting>
  <conditionalFormatting sqref="H2177">
    <cfRule type="colorScale" priority="7921">
      <colorScale>
        <cfvo type="min"/>
        <cfvo type="percentile" val="20"/>
        <cfvo type="max"/>
        <color rgb="FF92D050"/>
        <color theme="5" tint="0.79998168889431442"/>
        <color rgb="FFFF0000"/>
      </colorScale>
    </cfRule>
    <cfRule type="colorScale" priority="7922">
      <colorScale>
        <cfvo type="min"/>
        <cfvo type="max"/>
        <color rgb="FFFF0000"/>
        <color rgb="FF92D050"/>
      </colorScale>
    </cfRule>
    <cfRule type="colorScale" priority="7923">
      <colorScale>
        <cfvo type="min"/>
        <cfvo type="percentile" val="50"/>
        <cfvo type="max"/>
        <color rgb="FF5A8AC6"/>
        <color rgb="FFFCFCFF"/>
        <color rgb="FFF8696B"/>
      </colorScale>
    </cfRule>
    <cfRule type="colorScale" priority="7924">
      <colorScale>
        <cfvo type="formula" val="&quot;&gt;20&quot;"/>
        <cfvo type="formula" val="35"/>
        <color rgb="FFF8696B"/>
        <color rgb="FFFCFCFF"/>
      </colorScale>
    </cfRule>
    <cfRule type="colorScale" priority="7925">
      <colorScale>
        <cfvo type="min"/>
        <cfvo type="max"/>
        <color rgb="FFFFEF9C"/>
        <color rgb="FF63BE7B"/>
      </colorScale>
    </cfRule>
  </conditionalFormatting>
  <conditionalFormatting sqref="N2177">
    <cfRule type="colorScale" priority="7916">
      <colorScale>
        <cfvo type="min"/>
        <cfvo type="percentile" val="20"/>
        <cfvo type="max"/>
        <color rgb="FF92D050"/>
        <color theme="5" tint="0.79998168889431442"/>
        <color rgb="FFFF0000"/>
      </colorScale>
    </cfRule>
    <cfRule type="colorScale" priority="7917">
      <colorScale>
        <cfvo type="min"/>
        <cfvo type="max"/>
        <color rgb="FFFF0000"/>
        <color rgb="FF92D050"/>
      </colorScale>
    </cfRule>
    <cfRule type="colorScale" priority="7918">
      <colorScale>
        <cfvo type="min"/>
        <cfvo type="percentile" val="50"/>
        <cfvo type="max"/>
        <color rgb="FF5A8AC6"/>
        <color rgb="FFFCFCFF"/>
        <color rgb="FFF8696B"/>
      </colorScale>
    </cfRule>
    <cfRule type="colorScale" priority="7919">
      <colorScale>
        <cfvo type="formula" val="&quot;&gt;20&quot;"/>
        <cfvo type="formula" val="35"/>
        <color rgb="FFF8696B"/>
        <color rgb="FFFCFCFF"/>
      </colorScale>
    </cfRule>
    <cfRule type="colorScale" priority="7920">
      <colorScale>
        <cfvo type="min"/>
        <cfvo type="max"/>
        <color rgb="FFFFEF9C"/>
        <color rgb="FF63BE7B"/>
      </colorScale>
    </cfRule>
  </conditionalFormatting>
  <conditionalFormatting sqref="S2161:S2177">
    <cfRule type="containsText" dxfId="4088" priority="7912" operator="containsText" text="Short Buildup">
      <formula>NOT(ISERROR(SEARCH("Short Buildup",S2161)))</formula>
    </cfRule>
    <cfRule type="containsText" dxfId="4087" priority="7913" operator="containsText" text="Long Liquidation">
      <formula>NOT(ISERROR(SEARCH("Long Liquidation",S2161)))</formula>
    </cfRule>
    <cfRule type="containsText" dxfId="4086" priority="7914" operator="containsText" text="Short covering">
      <formula>NOT(ISERROR(SEARCH("Short covering",S2161)))</formula>
    </cfRule>
    <cfRule type="containsText" dxfId="4085" priority="7915" operator="containsText" text="Long Buildup">
      <formula>NOT(ISERROR(SEARCH("Long Buildup",S2161)))</formula>
    </cfRule>
  </conditionalFormatting>
  <conditionalFormatting sqref="F2161:F2176">
    <cfRule type="dataBar" priority="7911">
      <dataBar>
        <cfvo type="min"/>
        <cfvo type="max"/>
        <color rgb="FFFF555A"/>
      </dataBar>
    </cfRule>
  </conditionalFormatting>
  <conditionalFormatting sqref="G2161:G2176">
    <cfRule type="dataBar" priority="7910">
      <dataBar>
        <cfvo type="min"/>
        <cfvo type="max"/>
        <color rgb="FFFF555A"/>
      </dataBar>
    </cfRule>
  </conditionalFormatting>
  <conditionalFormatting sqref="H2161">
    <cfRule type="dataBar" priority="7909">
      <dataBar>
        <cfvo type="min"/>
        <cfvo type="max"/>
        <color rgb="FFFF555A"/>
      </dataBar>
    </cfRule>
  </conditionalFormatting>
  <conditionalFormatting sqref="I2161">
    <cfRule type="dataBar" priority="7908">
      <dataBar>
        <cfvo type="min"/>
        <cfvo type="max"/>
        <color rgb="FFFF555A"/>
      </dataBar>
    </cfRule>
  </conditionalFormatting>
  <conditionalFormatting sqref="J2161">
    <cfRule type="dataBar" priority="7907">
      <dataBar>
        <cfvo type="min"/>
        <cfvo type="max"/>
        <color rgb="FFFF555A"/>
      </dataBar>
    </cfRule>
  </conditionalFormatting>
  <conditionalFormatting sqref="E2162:E2176">
    <cfRule type="dataBar" priority="7906">
      <dataBar>
        <cfvo type="min"/>
        <cfvo type="max"/>
        <color rgb="FFFF555A"/>
      </dataBar>
    </cfRule>
  </conditionalFormatting>
  <conditionalFormatting sqref="H2162:H2176">
    <cfRule type="dataBar" priority="7905">
      <dataBar>
        <cfvo type="min"/>
        <cfvo type="max"/>
        <color rgb="FFFF555A"/>
      </dataBar>
    </cfRule>
  </conditionalFormatting>
  <conditionalFormatting sqref="I2162:I2176">
    <cfRule type="dataBar" priority="7904">
      <dataBar>
        <cfvo type="min"/>
        <cfvo type="max"/>
        <color rgb="FFFF555A"/>
      </dataBar>
    </cfRule>
  </conditionalFormatting>
  <conditionalFormatting sqref="J2162:J2176">
    <cfRule type="dataBar" priority="7903">
      <dataBar>
        <cfvo type="min"/>
        <cfvo type="max"/>
        <color rgb="FFFF555A"/>
      </dataBar>
    </cfRule>
  </conditionalFormatting>
  <conditionalFormatting sqref="L2161:L2176">
    <cfRule type="dataBar" priority="7902">
      <dataBar>
        <cfvo type="min"/>
        <cfvo type="max"/>
        <color rgb="FFFF555A"/>
      </dataBar>
    </cfRule>
  </conditionalFormatting>
  <conditionalFormatting sqref="M2161:M2176">
    <cfRule type="dataBar" priority="7901">
      <dataBar>
        <cfvo type="min"/>
        <cfvo type="max"/>
        <color rgb="FFFF555A"/>
      </dataBar>
    </cfRule>
  </conditionalFormatting>
  <conditionalFormatting sqref="N2161:N2176">
    <cfRule type="dataBar" priority="7900">
      <dataBar>
        <cfvo type="min"/>
        <cfvo type="max"/>
        <color rgb="FFFF555A"/>
      </dataBar>
    </cfRule>
  </conditionalFormatting>
  <conditionalFormatting sqref="Q2161:Q2176">
    <cfRule type="dataBar" priority="7899">
      <dataBar>
        <cfvo type="min"/>
        <cfvo type="max"/>
        <color rgb="FFFF555A"/>
      </dataBar>
    </cfRule>
  </conditionalFormatting>
  <conditionalFormatting sqref="O2161:O2176">
    <cfRule type="dataBar" priority="7898">
      <dataBar>
        <cfvo type="min"/>
        <cfvo type="max"/>
        <color rgb="FFFF555A"/>
      </dataBar>
    </cfRule>
  </conditionalFormatting>
  <conditionalFormatting sqref="P2161:P2176">
    <cfRule type="dataBar" priority="7897">
      <dataBar>
        <cfvo type="min"/>
        <cfvo type="max"/>
        <color rgb="FFFF555A"/>
      </dataBar>
    </cfRule>
  </conditionalFormatting>
  <conditionalFormatting sqref="R2178:R2194 D2178:D2193 C2194">
    <cfRule type="containsText" dxfId="4084" priority="7896" operator="containsText" text="DOWN">
      <formula>NOT(ISERROR(SEARCH("DOWN",C2178)))</formula>
    </cfRule>
  </conditionalFormatting>
  <conditionalFormatting sqref="R2178:R2194 D2178:D2193 C2194">
    <cfRule type="containsText" dxfId="4083" priority="7895" operator="containsText" text="UP">
      <formula>NOT(ISERROR(SEARCH("UP",C2178)))</formula>
    </cfRule>
  </conditionalFormatting>
  <conditionalFormatting sqref="I2194">
    <cfRule type="colorScale" priority="7894">
      <colorScale>
        <cfvo type="min"/>
        <cfvo type="max"/>
        <color rgb="FFFFEF9C"/>
        <color rgb="FF63BE7B"/>
      </colorScale>
    </cfRule>
  </conditionalFormatting>
  <conditionalFormatting sqref="M2194">
    <cfRule type="colorScale" priority="7893">
      <colorScale>
        <cfvo type="min"/>
        <cfvo type="max"/>
        <color rgb="FFFF7128"/>
        <color rgb="FFFFEF9C"/>
      </colorScale>
    </cfRule>
  </conditionalFormatting>
  <conditionalFormatting sqref="Q2194">
    <cfRule type="dataBar" priority="7892">
      <dataBar>
        <cfvo type="min"/>
        <cfvo type="max"/>
        <color rgb="FFFF555A"/>
      </dataBar>
    </cfRule>
  </conditionalFormatting>
  <conditionalFormatting sqref="E2178:E2194">
    <cfRule type="dataBar" priority="7891">
      <dataBar>
        <cfvo type="min"/>
        <cfvo type="max"/>
        <color rgb="FFFF555A"/>
      </dataBar>
    </cfRule>
  </conditionalFormatting>
  <conditionalFormatting sqref="F2194">
    <cfRule type="top10" dxfId="4082" priority="7890" rank="1"/>
  </conditionalFormatting>
  <conditionalFormatting sqref="G2194 P2194">
    <cfRule type="cellIs" dxfId="4081" priority="7889" operator="equal">
      <formula>$G$135</formula>
    </cfRule>
  </conditionalFormatting>
  <conditionalFormatting sqref="P2194">
    <cfRule type="cellIs" dxfId="4080" priority="7888" operator="equal">
      <formula>$J$135</formula>
    </cfRule>
  </conditionalFormatting>
  <conditionalFormatting sqref="G2194 P2194">
    <cfRule type="cellIs" dxfId="4079" priority="7887" operator="equal">
      <formula>#REF!</formula>
    </cfRule>
  </conditionalFormatting>
  <conditionalFormatting sqref="G2194">
    <cfRule type="top10" dxfId="4078" priority="7885" rank="1"/>
    <cfRule type="cellIs" dxfId="4077" priority="7886" operator="equal">
      <formula>$G$133</formula>
    </cfRule>
  </conditionalFormatting>
  <conditionalFormatting sqref="P2194">
    <cfRule type="top10" dxfId="4076" priority="7883" rank="1"/>
    <cfRule type="cellIs" dxfId="4075" priority="7884" operator="equal">
      <formula>$G$133</formula>
    </cfRule>
  </conditionalFormatting>
  <conditionalFormatting sqref="C2178:C2193">
    <cfRule type="containsText" dxfId="4074" priority="7879" operator="containsText" text="Short Buildup">
      <formula>NOT(ISERROR(SEARCH("Short Buildup",C2178)))</formula>
    </cfRule>
    <cfRule type="containsText" dxfId="4073" priority="7880" operator="containsText" text="Long Liquidation">
      <formula>NOT(ISERROR(SEARCH("Long Liquidation",C2178)))</formula>
    </cfRule>
    <cfRule type="containsText" dxfId="4072" priority="7881" operator="containsText" text="Short covering">
      <formula>NOT(ISERROR(SEARCH("Short covering",C2178)))</formula>
    </cfRule>
    <cfRule type="containsText" dxfId="4071" priority="7882" operator="containsText" text="Long Buildup">
      <formula>NOT(ISERROR(SEARCH("Long Buildup",C2178)))</formula>
    </cfRule>
  </conditionalFormatting>
  <conditionalFormatting sqref="H2194">
    <cfRule type="colorScale" priority="7874">
      <colorScale>
        <cfvo type="min"/>
        <cfvo type="percentile" val="20"/>
        <cfvo type="max"/>
        <color rgb="FF92D050"/>
        <color theme="5" tint="0.79998168889431442"/>
        <color rgb="FFFF0000"/>
      </colorScale>
    </cfRule>
    <cfRule type="colorScale" priority="7875">
      <colorScale>
        <cfvo type="min"/>
        <cfvo type="max"/>
        <color rgb="FFFF0000"/>
        <color rgb="FF92D050"/>
      </colorScale>
    </cfRule>
    <cfRule type="colorScale" priority="7876">
      <colorScale>
        <cfvo type="min"/>
        <cfvo type="percentile" val="50"/>
        <cfvo type="max"/>
        <color rgb="FF5A8AC6"/>
        <color rgb="FFFCFCFF"/>
        <color rgb="FFF8696B"/>
      </colorScale>
    </cfRule>
    <cfRule type="colorScale" priority="7877">
      <colorScale>
        <cfvo type="formula" val="&quot;&gt;20&quot;"/>
        <cfvo type="formula" val="35"/>
        <color rgb="FFF8696B"/>
        <color rgb="FFFCFCFF"/>
      </colorScale>
    </cfRule>
    <cfRule type="colorScale" priority="7878">
      <colorScale>
        <cfvo type="min"/>
        <cfvo type="max"/>
        <color rgb="FFFFEF9C"/>
        <color rgb="FF63BE7B"/>
      </colorScale>
    </cfRule>
  </conditionalFormatting>
  <conditionalFormatting sqref="N2194">
    <cfRule type="colorScale" priority="7869">
      <colorScale>
        <cfvo type="min"/>
        <cfvo type="percentile" val="20"/>
        <cfvo type="max"/>
        <color rgb="FF92D050"/>
        <color theme="5" tint="0.79998168889431442"/>
        <color rgb="FFFF0000"/>
      </colorScale>
    </cfRule>
    <cfRule type="colorScale" priority="7870">
      <colorScale>
        <cfvo type="min"/>
        <cfvo type="max"/>
        <color rgb="FFFF0000"/>
        <color rgb="FF92D050"/>
      </colorScale>
    </cfRule>
    <cfRule type="colorScale" priority="7871">
      <colorScale>
        <cfvo type="min"/>
        <cfvo type="percentile" val="50"/>
        <cfvo type="max"/>
        <color rgb="FF5A8AC6"/>
        <color rgb="FFFCFCFF"/>
        <color rgb="FFF8696B"/>
      </colorScale>
    </cfRule>
    <cfRule type="colorScale" priority="7872">
      <colorScale>
        <cfvo type="formula" val="&quot;&gt;20&quot;"/>
        <cfvo type="formula" val="35"/>
        <color rgb="FFF8696B"/>
        <color rgb="FFFCFCFF"/>
      </colorScale>
    </cfRule>
    <cfRule type="colorScale" priority="7873">
      <colorScale>
        <cfvo type="min"/>
        <cfvo type="max"/>
        <color rgb="FFFFEF9C"/>
        <color rgb="FF63BE7B"/>
      </colorScale>
    </cfRule>
  </conditionalFormatting>
  <conditionalFormatting sqref="S2178:S2194">
    <cfRule type="containsText" dxfId="4070" priority="7865" operator="containsText" text="Short Buildup">
      <formula>NOT(ISERROR(SEARCH("Short Buildup",S2178)))</formula>
    </cfRule>
    <cfRule type="containsText" dxfId="4069" priority="7866" operator="containsText" text="Long Liquidation">
      <formula>NOT(ISERROR(SEARCH("Long Liquidation",S2178)))</formula>
    </cfRule>
    <cfRule type="containsText" dxfId="4068" priority="7867" operator="containsText" text="Short covering">
      <formula>NOT(ISERROR(SEARCH("Short covering",S2178)))</formula>
    </cfRule>
    <cfRule type="containsText" dxfId="4067" priority="7868" operator="containsText" text="Long Buildup">
      <formula>NOT(ISERROR(SEARCH("Long Buildup",S2178)))</formula>
    </cfRule>
  </conditionalFormatting>
  <conditionalFormatting sqref="F2178:F2193">
    <cfRule type="dataBar" priority="7864">
      <dataBar>
        <cfvo type="min"/>
        <cfvo type="max"/>
        <color rgb="FFFF555A"/>
      </dataBar>
    </cfRule>
  </conditionalFormatting>
  <conditionalFormatting sqref="G2178:G2193">
    <cfRule type="dataBar" priority="7863">
      <dataBar>
        <cfvo type="min"/>
        <cfvo type="max"/>
        <color rgb="FFFF555A"/>
      </dataBar>
    </cfRule>
  </conditionalFormatting>
  <conditionalFormatting sqref="H2178">
    <cfRule type="dataBar" priority="7862">
      <dataBar>
        <cfvo type="min"/>
        <cfvo type="max"/>
        <color rgb="FFFF555A"/>
      </dataBar>
    </cfRule>
  </conditionalFormatting>
  <conditionalFormatting sqref="I2178">
    <cfRule type="dataBar" priority="7861">
      <dataBar>
        <cfvo type="min"/>
        <cfvo type="max"/>
        <color rgb="FFFF555A"/>
      </dataBar>
    </cfRule>
  </conditionalFormatting>
  <conditionalFormatting sqref="J2178">
    <cfRule type="dataBar" priority="7860">
      <dataBar>
        <cfvo type="min"/>
        <cfvo type="max"/>
        <color rgb="FFFF555A"/>
      </dataBar>
    </cfRule>
  </conditionalFormatting>
  <conditionalFormatting sqref="E2179:E2193">
    <cfRule type="dataBar" priority="7859">
      <dataBar>
        <cfvo type="min"/>
        <cfvo type="max"/>
        <color rgb="FFFF555A"/>
      </dataBar>
    </cfRule>
  </conditionalFormatting>
  <conditionalFormatting sqref="H2179:H2193">
    <cfRule type="dataBar" priority="7858">
      <dataBar>
        <cfvo type="min"/>
        <cfvo type="max"/>
        <color rgb="FFFF555A"/>
      </dataBar>
    </cfRule>
  </conditionalFormatting>
  <conditionalFormatting sqref="I2179:I2193">
    <cfRule type="dataBar" priority="7857">
      <dataBar>
        <cfvo type="min"/>
        <cfvo type="max"/>
        <color rgb="FFFF555A"/>
      </dataBar>
    </cfRule>
  </conditionalFormatting>
  <conditionalFormatting sqref="J2179:J2193">
    <cfRule type="dataBar" priority="7856">
      <dataBar>
        <cfvo type="min"/>
        <cfvo type="max"/>
        <color rgb="FFFF555A"/>
      </dataBar>
    </cfRule>
  </conditionalFormatting>
  <conditionalFormatting sqref="L2178:L2193">
    <cfRule type="dataBar" priority="7855">
      <dataBar>
        <cfvo type="min"/>
        <cfvo type="max"/>
        <color rgb="FFFF555A"/>
      </dataBar>
    </cfRule>
  </conditionalFormatting>
  <conditionalFormatting sqref="M2178:M2193">
    <cfRule type="dataBar" priority="7854">
      <dataBar>
        <cfvo type="min"/>
        <cfvo type="max"/>
        <color rgb="FFFF555A"/>
      </dataBar>
    </cfRule>
  </conditionalFormatting>
  <conditionalFormatting sqref="N2178:N2193">
    <cfRule type="dataBar" priority="7853">
      <dataBar>
        <cfvo type="min"/>
        <cfvo type="max"/>
        <color rgb="FFFF555A"/>
      </dataBar>
    </cfRule>
  </conditionalFormatting>
  <conditionalFormatting sqref="Q2178:Q2193">
    <cfRule type="dataBar" priority="7852">
      <dataBar>
        <cfvo type="min"/>
        <cfvo type="max"/>
        <color rgb="FFFF555A"/>
      </dataBar>
    </cfRule>
  </conditionalFormatting>
  <conditionalFormatting sqref="O2178:O2193">
    <cfRule type="dataBar" priority="7851">
      <dataBar>
        <cfvo type="min"/>
        <cfvo type="max"/>
        <color rgb="FFFF555A"/>
      </dataBar>
    </cfRule>
  </conditionalFormatting>
  <conditionalFormatting sqref="P2178:P2193">
    <cfRule type="dataBar" priority="7850">
      <dataBar>
        <cfvo type="min"/>
        <cfvo type="max"/>
        <color rgb="FFFF555A"/>
      </dataBar>
    </cfRule>
  </conditionalFormatting>
  <conditionalFormatting sqref="R2195:R2211 D2195:D2210 C2211">
    <cfRule type="containsText" dxfId="4066" priority="7849" operator="containsText" text="DOWN">
      <formula>NOT(ISERROR(SEARCH("DOWN",C2195)))</formula>
    </cfRule>
  </conditionalFormatting>
  <conditionalFormatting sqref="R2195:R2211 D2195:D2210 C2211">
    <cfRule type="containsText" dxfId="4065" priority="7848" operator="containsText" text="UP">
      <formula>NOT(ISERROR(SEARCH("UP",C2195)))</formula>
    </cfRule>
  </conditionalFormatting>
  <conditionalFormatting sqref="I2211">
    <cfRule type="colorScale" priority="7847">
      <colorScale>
        <cfvo type="min"/>
        <cfvo type="max"/>
        <color rgb="FFFFEF9C"/>
        <color rgb="FF63BE7B"/>
      </colorScale>
    </cfRule>
  </conditionalFormatting>
  <conditionalFormatting sqref="M2211">
    <cfRule type="colorScale" priority="7846">
      <colorScale>
        <cfvo type="min"/>
        <cfvo type="max"/>
        <color rgb="FFFF7128"/>
        <color rgb="FFFFEF9C"/>
      </colorScale>
    </cfRule>
  </conditionalFormatting>
  <conditionalFormatting sqref="Q2211">
    <cfRule type="dataBar" priority="7845">
      <dataBar>
        <cfvo type="min"/>
        <cfvo type="max"/>
        <color rgb="FFFF555A"/>
      </dataBar>
    </cfRule>
  </conditionalFormatting>
  <conditionalFormatting sqref="E2195:E2211">
    <cfRule type="dataBar" priority="7844">
      <dataBar>
        <cfvo type="min"/>
        <cfvo type="max"/>
        <color rgb="FFFF555A"/>
      </dataBar>
    </cfRule>
  </conditionalFormatting>
  <conditionalFormatting sqref="F2211">
    <cfRule type="top10" dxfId="4064" priority="7843" rank="1"/>
  </conditionalFormatting>
  <conditionalFormatting sqref="G2211 P2211">
    <cfRule type="cellIs" dxfId="4063" priority="7842" operator="equal">
      <formula>$G$135</formula>
    </cfRule>
  </conditionalFormatting>
  <conditionalFormatting sqref="P2211">
    <cfRule type="cellIs" dxfId="4062" priority="7841" operator="equal">
      <formula>$J$135</formula>
    </cfRule>
  </conditionalFormatting>
  <conditionalFormatting sqref="G2211 P2211">
    <cfRule type="cellIs" dxfId="4061" priority="7840" operator="equal">
      <formula>#REF!</formula>
    </cfRule>
  </conditionalFormatting>
  <conditionalFormatting sqref="G2211">
    <cfRule type="top10" dxfId="4060" priority="7838" rank="1"/>
    <cfRule type="cellIs" dxfId="4059" priority="7839" operator="equal">
      <formula>$G$133</formula>
    </cfRule>
  </conditionalFormatting>
  <conditionalFormatting sqref="P2211">
    <cfRule type="top10" dxfId="4058" priority="7836" rank="1"/>
    <cfRule type="cellIs" dxfId="4057" priority="7837" operator="equal">
      <formula>$G$133</formula>
    </cfRule>
  </conditionalFormatting>
  <conditionalFormatting sqref="C2195:C2210">
    <cfRule type="containsText" dxfId="4056" priority="7832" operator="containsText" text="Short Buildup">
      <formula>NOT(ISERROR(SEARCH("Short Buildup",C2195)))</formula>
    </cfRule>
    <cfRule type="containsText" dxfId="4055" priority="7833" operator="containsText" text="Long Liquidation">
      <formula>NOT(ISERROR(SEARCH("Long Liquidation",C2195)))</formula>
    </cfRule>
    <cfRule type="containsText" dxfId="4054" priority="7834" operator="containsText" text="Short covering">
      <formula>NOT(ISERROR(SEARCH("Short covering",C2195)))</formula>
    </cfRule>
    <cfRule type="containsText" dxfId="4053" priority="7835" operator="containsText" text="Long Buildup">
      <formula>NOT(ISERROR(SEARCH("Long Buildup",C2195)))</formula>
    </cfRule>
  </conditionalFormatting>
  <conditionalFormatting sqref="H2211">
    <cfRule type="colorScale" priority="7827">
      <colorScale>
        <cfvo type="min"/>
        <cfvo type="percentile" val="20"/>
        <cfvo type="max"/>
        <color rgb="FF92D050"/>
        <color theme="5" tint="0.79998168889431442"/>
        <color rgb="FFFF0000"/>
      </colorScale>
    </cfRule>
    <cfRule type="colorScale" priority="7828">
      <colorScale>
        <cfvo type="min"/>
        <cfvo type="max"/>
        <color rgb="FFFF0000"/>
        <color rgb="FF92D050"/>
      </colorScale>
    </cfRule>
    <cfRule type="colorScale" priority="7829">
      <colorScale>
        <cfvo type="min"/>
        <cfvo type="percentile" val="50"/>
        <cfvo type="max"/>
        <color rgb="FF5A8AC6"/>
        <color rgb="FFFCFCFF"/>
        <color rgb="FFF8696B"/>
      </colorScale>
    </cfRule>
    <cfRule type="colorScale" priority="7830">
      <colorScale>
        <cfvo type="formula" val="&quot;&gt;20&quot;"/>
        <cfvo type="formula" val="35"/>
        <color rgb="FFF8696B"/>
        <color rgb="FFFCFCFF"/>
      </colorScale>
    </cfRule>
    <cfRule type="colorScale" priority="7831">
      <colorScale>
        <cfvo type="min"/>
        <cfvo type="max"/>
        <color rgb="FFFFEF9C"/>
        <color rgb="FF63BE7B"/>
      </colorScale>
    </cfRule>
  </conditionalFormatting>
  <conditionalFormatting sqref="N2211">
    <cfRule type="colorScale" priority="7822">
      <colorScale>
        <cfvo type="min"/>
        <cfvo type="percentile" val="20"/>
        <cfvo type="max"/>
        <color rgb="FF92D050"/>
        <color theme="5" tint="0.79998168889431442"/>
        <color rgb="FFFF0000"/>
      </colorScale>
    </cfRule>
    <cfRule type="colorScale" priority="7823">
      <colorScale>
        <cfvo type="min"/>
        <cfvo type="max"/>
        <color rgb="FFFF0000"/>
        <color rgb="FF92D050"/>
      </colorScale>
    </cfRule>
    <cfRule type="colorScale" priority="7824">
      <colorScale>
        <cfvo type="min"/>
        <cfvo type="percentile" val="50"/>
        <cfvo type="max"/>
        <color rgb="FF5A8AC6"/>
        <color rgb="FFFCFCFF"/>
        <color rgb="FFF8696B"/>
      </colorScale>
    </cfRule>
    <cfRule type="colorScale" priority="7825">
      <colorScale>
        <cfvo type="formula" val="&quot;&gt;20&quot;"/>
        <cfvo type="formula" val="35"/>
        <color rgb="FFF8696B"/>
        <color rgb="FFFCFCFF"/>
      </colorScale>
    </cfRule>
    <cfRule type="colorScale" priority="7826">
      <colorScale>
        <cfvo type="min"/>
        <cfvo type="max"/>
        <color rgb="FFFFEF9C"/>
        <color rgb="FF63BE7B"/>
      </colorScale>
    </cfRule>
  </conditionalFormatting>
  <conditionalFormatting sqref="S2195:S2211">
    <cfRule type="containsText" dxfId="4052" priority="7818" operator="containsText" text="Short Buildup">
      <formula>NOT(ISERROR(SEARCH("Short Buildup",S2195)))</formula>
    </cfRule>
    <cfRule type="containsText" dxfId="4051" priority="7819" operator="containsText" text="Long Liquidation">
      <formula>NOT(ISERROR(SEARCH("Long Liquidation",S2195)))</formula>
    </cfRule>
    <cfRule type="containsText" dxfId="4050" priority="7820" operator="containsText" text="Short covering">
      <formula>NOT(ISERROR(SEARCH("Short covering",S2195)))</formula>
    </cfRule>
    <cfRule type="containsText" dxfId="4049" priority="7821" operator="containsText" text="Long Buildup">
      <formula>NOT(ISERROR(SEARCH("Long Buildup",S2195)))</formula>
    </cfRule>
  </conditionalFormatting>
  <conditionalFormatting sqref="F2195:F2210">
    <cfRule type="dataBar" priority="7817">
      <dataBar>
        <cfvo type="min"/>
        <cfvo type="max"/>
        <color rgb="FFFF555A"/>
      </dataBar>
    </cfRule>
  </conditionalFormatting>
  <conditionalFormatting sqref="G2195:G2210">
    <cfRule type="dataBar" priority="7816">
      <dataBar>
        <cfvo type="min"/>
        <cfvo type="max"/>
        <color rgb="FFFF555A"/>
      </dataBar>
    </cfRule>
  </conditionalFormatting>
  <conditionalFormatting sqref="H2195">
    <cfRule type="dataBar" priority="7815">
      <dataBar>
        <cfvo type="min"/>
        <cfvo type="max"/>
        <color rgb="FFFF555A"/>
      </dataBar>
    </cfRule>
  </conditionalFormatting>
  <conditionalFormatting sqref="I2195">
    <cfRule type="dataBar" priority="7814">
      <dataBar>
        <cfvo type="min"/>
        <cfvo type="max"/>
        <color rgb="FFFF555A"/>
      </dataBar>
    </cfRule>
  </conditionalFormatting>
  <conditionalFormatting sqref="J2195">
    <cfRule type="dataBar" priority="7813">
      <dataBar>
        <cfvo type="min"/>
        <cfvo type="max"/>
        <color rgb="FFFF555A"/>
      </dataBar>
    </cfRule>
  </conditionalFormatting>
  <conditionalFormatting sqref="E2196:E2210">
    <cfRule type="dataBar" priority="7812">
      <dataBar>
        <cfvo type="min"/>
        <cfvo type="max"/>
        <color rgb="FFFF555A"/>
      </dataBar>
    </cfRule>
  </conditionalFormatting>
  <conditionalFormatting sqref="H2196:H2210">
    <cfRule type="dataBar" priority="7811">
      <dataBar>
        <cfvo type="min"/>
        <cfvo type="max"/>
        <color rgb="FFFF555A"/>
      </dataBar>
    </cfRule>
  </conditionalFormatting>
  <conditionalFormatting sqref="I2196:I2210">
    <cfRule type="dataBar" priority="7810">
      <dataBar>
        <cfvo type="min"/>
        <cfvo type="max"/>
        <color rgb="FFFF555A"/>
      </dataBar>
    </cfRule>
  </conditionalFormatting>
  <conditionalFormatting sqref="J2196:J2210">
    <cfRule type="dataBar" priority="7809">
      <dataBar>
        <cfvo type="min"/>
        <cfvo type="max"/>
        <color rgb="FFFF555A"/>
      </dataBar>
    </cfRule>
  </conditionalFormatting>
  <conditionalFormatting sqref="L2195:L2210">
    <cfRule type="dataBar" priority="7808">
      <dataBar>
        <cfvo type="min"/>
        <cfvo type="max"/>
        <color rgb="FFFF555A"/>
      </dataBar>
    </cfRule>
  </conditionalFormatting>
  <conditionalFormatting sqref="M2195:M2210">
    <cfRule type="dataBar" priority="7807">
      <dataBar>
        <cfvo type="min"/>
        <cfvo type="max"/>
        <color rgb="FFFF555A"/>
      </dataBar>
    </cfRule>
  </conditionalFormatting>
  <conditionalFormatting sqref="N2195:N2210">
    <cfRule type="dataBar" priority="7806">
      <dataBar>
        <cfvo type="min"/>
        <cfvo type="max"/>
        <color rgb="FFFF555A"/>
      </dataBar>
    </cfRule>
  </conditionalFormatting>
  <conditionalFormatting sqref="Q2195:Q2210">
    <cfRule type="dataBar" priority="7805">
      <dataBar>
        <cfvo type="min"/>
        <cfvo type="max"/>
        <color rgb="FFFF555A"/>
      </dataBar>
    </cfRule>
  </conditionalFormatting>
  <conditionalFormatting sqref="O2195:O2210">
    <cfRule type="dataBar" priority="7804">
      <dataBar>
        <cfvo type="min"/>
        <cfvo type="max"/>
        <color rgb="FFFF555A"/>
      </dataBar>
    </cfRule>
  </conditionalFormatting>
  <conditionalFormatting sqref="P2195:P2210">
    <cfRule type="dataBar" priority="7803">
      <dataBar>
        <cfvo type="min"/>
        <cfvo type="max"/>
        <color rgb="FFFF555A"/>
      </dataBar>
    </cfRule>
  </conditionalFormatting>
  <conditionalFormatting sqref="R2212:R2228 D2212:D2227 C2228">
    <cfRule type="containsText" dxfId="4048" priority="7802" operator="containsText" text="DOWN">
      <formula>NOT(ISERROR(SEARCH("DOWN",C2212)))</formula>
    </cfRule>
  </conditionalFormatting>
  <conditionalFormatting sqref="R2212:R2228 D2212:D2227 C2228">
    <cfRule type="containsText" dxfId="4047" priority="7801" operator="containsText" text="UP">
      <formula>NOT(ISERROR(SEARCH("UP",C2212)))</formula>
    </cfRule>
  </conditionalFormatting>
  <conditionalFormatting sqref="I2228">
    <cfRule type="colorScale" priority="7800">
      <colorScale>
        <cfvo type="min"/>
        <cfvo type="max"/>
        <color rgb="FFFFEF9C"/>
        <color rgb="FF63BE7B"/>
      </colorScale>
    </cfRule>
  </conditionalFormatting>
  <conditionalFormatting sqref="M2228">
    <cfRule type="colorScale" priority="7799">
      <colorScale>
        <cfvo type="min"/>
        <cfvo type="max"/>
        <color rgb="FFFF7128"/>
        <color rgb="FFFFEF9C"/>
      </colorScale>
    </cfRule>
  </conditionalFormatting>
  <conditionalFormatting sqref="Q2228">
    <cfRule type="dataBar" priority="7798">
      <dataBar>
        <cfvo type="min"/>
        <cfvo type="max"/>
        <color rgb="FFFF555A"/>
      </dataBar>
    </cfRule>
  </conditionalFormatting>
  <conditionalFormatting sqref="E2212:E2228">
    <cfRule type="dataBar" priority="7797">
      <dataBar>
        <cfvo type="min"/>
        <cfvo type="max"/>
        <color rgb="FFFF555A"/>
      </dataBar>
    </cfRule>
  </conditionalFormatting>
  <conditionalFormatting sqref="F2228">
    <cfRule type="top10" dxfId="4046" priority="7796" rank="1"/>
  </conditionalFormatting>
  <conditionalFormatting sqref="G2228 P2228">
    <cfRule type="cellIs" dxfId="4045" priority="7795" operator="equal">
      <formula>$G$135</formula>
    </cfRule>
  </conditionalFormatting>
  <conditionalFormatting sqref="P2228">
    <cfRule type="cellIs" dxfId="4044" priority="7794" operator="equal">
      <formula>$J$135</formula>
    </cfRule>
  </conditionalFormatting>
  <conditionalFormatting sqref="G2228 P2228">
    <cfRule type="cellIs" dxfId="4043" priority="7793" operator="equal">
      <formula>#REF!</formula>
    </cfRule>
  </conditionalFormatting>
  <conditionalFormatting sqref="G2228">
    <cfRule type="top10" dxfId="4042" priority="7791" rank="1"/>
    <cfRule type="cellIs" dxfId="4041" priority="7792" operator="equal">
      <formula>$G$133</formula>
    </cfRule>
  </conditionalFormatting>
  <conditionalFormatting sqref="P2228">
    <cfRule type="top10" dxfId="4040" priority="7789" rank="1"/>
    <cfRule type="cellIs" dxfId="4039" priority="7790" operator="equal">
      <formula>$G$133</formula>
    </cfRule>
  </conditionalFormatting>
  <conditionalFormatting sqref="C2212:C2227">
    <cfRule type="containsText" dxfId="4038" priority="7785" operator="containsText" text="Short Buildup">
      <formula>NOT(ISERROR(SEARCH("Short Buildup",C2212)))</formula>
    </cfRule>
    <cfRule type="containsText" dxfId="4037" priority="7786" operator="containsText" text="Long Liquidation">
      <formula>NOT(ISERROR(SEARCH("Long Liquidation",C2212)))</formula>
    </cfRule>
    <cfRule type="containsText" dxfId="4036" priority="7787" operator="containsText" text="Short covering">
      <formula>NOT(ISERROR(SEARCH("Short covering",C2212)))</formula>
    </cfRule>
    <cfRule type="containsText" dxfId="4035" priority="7788" operator="containsText" text="Long Buildup">
      <formula>NOT(ISERROR(SEARCH("Long Buildup",C2212)))</formula>
    </cfRule>
  </conditionalFormatting>
  <conditionalFormatting sqref="H2228">
    <cfRule type="colorScale" priority="7780">
      <colorScale>
        <cfvo type="min"/>
        <cfvo type="percentile" val="20"/>
        <cfvo type="max"/>
        <color rgb="FF92D050"/>
        <color theme="5" tint="0.79998168889431442"/>
        <color rgb="FFFF0000"/>
      </colorScale>
    </cfRule>
    <cfRule type="colorScale" priority="7781">
      <colorScale>
        <cfvo type="min"/>
        <cfvo type="max"/>
        <color rgb="FFFF0000"/>
        <color rgb="FF92D050"/>
      </colorScale>
    </cfRule>
    <cfRule type="colorScale" priority="7782">
      <colorScale>
        <cfvo type="min"/>
        <cfvo type="percentile" val="50"/>
        <cfvo type="max"/>
        <color rgb="FF5A8AC6"/>
        <color rgb="FFFCFCFF"/>
        <color rgb="FFF8696B"/>
      </colorScale>
    </cfRule>
    <cfRule type="colorScale" priority="7783">
      <colorScale>
        <cfvo type="formula" val="&quot;&gt;20&quot;"/>
        <cfvo type="formula" val="35"/>
        <color rgb="FFF8696B"/>
        <color rgb="FFFCFCFF"/>
      </colorScale>
    </cfRule>
    <cfRule type="colorScale" priority="7784">
      <colorScale>
        <cfvo type="min"/>
        <cfvo type="max"/>
        <color rgb="FFFFEF9C"/>
        <color rgb="FF63BE7B"/>
      </colorScale>
    </cfRule>
  </conditionalFormatting>
  <conditionalFormatting sqref="N2228">
    <cfRule type="colorScale" priority="7775">
      <colorScale>
        <cfvo type="min"/>
        <cfvo type="percentile" val="20"/>
        <cfvo type="max"/>
        <color rgb="FF92D050"/>
        <color theme="5" tint="0.79998168889431442"/>
        <color rgb="FFFF0000"/>
      </colorScale>
    </cfRule>
    <cfRule type="colorScale" priority="7776">
      <colorScale>
        <cfvo type="min"/>
        <cfvo type="max"/>
        <color rgb="FFFF0000"/>
        <color rgb="FF92D050"/>
      </colorScale>
    </cfRule>
    <cfRule type="colorScale" priority="7777">
      <colorScale>
        <cfvo type="min"/>
        <cfvo type="percentile" val="50"/>
        <cfvo type="max"/>
        <color rgb="FF5A8AC6"/>
        <color rgb="FFFCFCFF"/>
        <color rgb="FFF8696B"/>
      </colorScale>
    </cfRule>
    <cfRule type="colorScale" priority="7778">
      <colorScale>
        <cfvo type="formula" val="&quot;&gt;20&quot;"/>
        <cfvo type="formula" val="35"/>
        <color rgb="FFF8696B"/>
        <color rgb="FFFCFCFF"/>
      </colorScale>
    </cfRule>
    <cfRule type="colorScale" priority="7779">
      <colorScale>
        <cfvo type="min"/>
        <cfvo type="max"/>
        <color rgb="FFFFEF9C"/>
        <color rgb="FF63BE7B"/>
      </colorScale>
    </cfRule>
  </conditionalFormatting>
  <conditionalFormatting sqref="S2212:S2228">
    <cfRule type="containsText" dxfId="4034" priority="7771" operator="containsText" text="Short Buildup">
      <formula>NOT(ISERROR(SEARCH("Short Buildup",S2212)))</formula>
    </cfRule>
    <cfRule type="containsText" dxfId="4033" priority="7772" operator="containsText" text="Long Liquidation">
      <formula>NOT(ISERROR(SEARCH("Long Liquidation",S2212)))</formula>
    </cfRule>
    <cfRule type="containsText" dxfId="4032" priority="7773" operator="containsText" text="Short covering">
      <formula>NOT(ISERROR(SEARCH("Short covering",S2212)))</formula>
    </cfRule>
    <cfRule type="containsText" dxfId="4031" priority="7774" operator="containsText" text="Long Buildup">
      <formula>NOT(ISERROR(SEARCH("Long Buildup",S2212)))</formula>
    </cfRule>
  </conditionalFormatting>
  <conditionalFormatting sqref="F2212:F2227">
    <cfRule type="dataBar" priority="7770">
      <dataBar>
        <cfvo type="min"/>
        <cfvo type="max"/>
        <color rgb="FFFF555A"/>
      </dataBar>
    </cfRule>
  </conditionalFormatting>
  <conditionalFormatting sqref="G2212:G2227">
    <cfRule type="dataBar" priority="7769">
      <dataBar>
        <cfvo type="min"/>
        <cfvo type="max"/>
        <color rgb="FFFF555A"/>
      </dataBar>
    </cfRule>
  </conditionalFormatting>
  <conditionalFormatting sqref="H2212">
    <cfRule type="dataBar" priority="7768">
      <dataBar>
        <cfvo type="min"/>
        <cfvo type="max"/>
        <color rgb="FFFF555A"/>
      </dataBar>
    </cfRule>
  </conditionalFormatting>
  <conditionalFormatting sqref="I2212">
    <cfRule type="dataBar" priority="7767">
      <dataBar>
        <cfvo type="min"/>
        <cfvo type="max"/>
        <color rgb="FFFF555A"/>
      </dataBar>
    </cfRule>
  </conditionalFormatting>
  <conditionalFormatting sqref="J2212">
    <cfRule type="dataBar" priority="7766">
      <dataBar>
        <cfvo type="min"/>
        <cfvo type="max"/>
        <color rgb="FFFF555A"/>
      </dataBar>
    </cfRule>
  </conditionalFormatting>
  <conditionalFormatting sqref="E2213:E2227">
    <cfRule type="dataBar" priority="7765">
      <dataBar>
        <cfvo type="min"/>
        <cfvo type="max"/>
        <color rgb="FFFF555A"/>
      </dataBar>
    </cfRule>
  </conditionalFormatting>
  <conditionalFormatting sqref="H2213:H2227">
    <cfRule type="dataBar" priority="7764">
      <dataBar>
        <cfvo type="min"/>
        <cfvo type="max"/>
        <color rgb="FFFF555A"/>
      </dataBar>
    </cfRule>
  </conditionalFormatting>
  <conditionalFormatting sqref="I2213:I2227">
    <cfRule type="dataBar" priority="7763">
      <dataBar>
        <cfvo type="min"/>
        <cfvo type="max"/>
        <color rgb="FFFF555A"/>
      </dataBar>
    </cfRule>
  </conditionalFormatting>
  <conditionalFormatting sqref="J2213:J2227">
    <cfRule type="dataBar" priority="7762">
      <dataBar>
        <cfvo type="min"/>
        <cfvo type="max"/>
        <color rgb="FFFF555A"/>
      </dataBar>
    </cfRule>
  </conditionalFormatting>
  <conditionalFormatting sqref="L2212:L2227">
    <cfRule type="dataBar" priority="7761">
      <dataBar>
        <cfvo type="min"/>
        <cfvo type="max"/>
        <color rgb="FFFF555A"/>
      </dataBar>
    </cfRule>
  </conditionalFormatting>
  <conditionalFormatting sqref="M2212:M2227">
    <cfRule type="dataBar" priority="7760">
      <dataBar>
        <cfvo type="min"/>
        <cfvo type="max"/>
        <color rgb="FFFF555A"/>
      </dataBar>
    </cfRule>
  </conditionalFormatting>
  <conditionalFormatting sqref="N2212:N2227">
    <cfRule type="dataBar" priority="7759">
      <dataBar>
        <cfvo type="min"/>
        <cfvo type="max"/>
        <color rgb="FFFF555A"/>
      </dataBar>
    </cfRule>
  </conditionalFormatting>
  <conditionalFormatting sqref="Q2212:Q2227">
    <cfRule type="dataBar" priority="7758">
      <dataBar>
        <cfvo type="min"/>
        <cfvo type="max"/>
        <color rgb="FFFF555A"/>
      </dataBar>
    </cfRule>
  </conditionalFormatting>
  <conditionalFormatting sqref="O2212:O2227">
    <cfRule type="dataBar" priority="7757">
      <dataBar>
        <cfvo type="min"/>
        <cfvo type="max"/>
        <color rgb="FFFF555A"/>
      </dataBar>
    </cfRule>
  </conditionalFormatting>
  <conditionalFormatting sqref="P2212:P2227">
    <cfRule type="dataBar" priority="7756">
      <dataBar>
        <cfvo type="min"/>
        <cfvo type="max"/>
        <color rgb="FFFF555A"/>
      </dataBar>
    </cfRule>
  </conditionalFormatting>
  <conditionalFormatting sqref="R2229:R2245 D2229:D2244 C2245">
    <cfRule type="containsText" dxfId="4030" priority="7755" operator="containsText" text="DOWN">
      <formula>NOT(ISERROR(SEARCH("DOWN",C2229)))</formula>
    </cfRule>
  </conditionalFormatting>
  <conditionalFormatting sqref="R2229:R2245 D2229:D2244 C2245">
    <cfRule type="containsText" dxfId="4029" priority="7754" operator="containsText" text="UP">
      <formula>NOT(ISERROR(SEARCH("UP",C2229)))</formula>
    </cfRule>
  </conditionalFormatting>
  <conditionalFormatting sqref="I2245">
    <cfRule type="colorScale" priority="7753">
      <colorScale>
        <cfvo type="min"/>
        <cfvo type="max"/>
        <color rgb="FFFFEF9C"/>
        <color rgb="FF63BE7B"/>
      </colorScale>
    </cfRule>
  </conditionalFormatting>
  <conditionalFormatting sqref="M2245">
    <cfRule type="colorScale" priority="7752">
      <colorScale>
        <cfvo type="min"/>
        <cfvo type="max"/>
        <color rgb="FFFF7128"/>
        <color rgb="FFFFEF9C"/>
      </colorScale>
    </cfRule>
  </conditionalFormatting>
  <conditionalFormatting sqref="Q2245">
    <cfRule type="dataBar" priority="7751">
      <dataBar>
        <cfvo type="min"/>
        <cfvo type="max"/>
        <color rgb="FFFF555A"/>
      </dataBar>
    </cfRule>
  </conditionalFormatting>
  <conditionalFormatting sqref="E2229:E2245">
    <cfRule type="dataBar" priority="7750">
      <dataBar>
        <cfvo type="min"/>
        <cfvo type="max"/>
        <color rgb="FFFF555A"/>
      </dataBar>
    </cfRule>
  </conditionalFormatting>
  <conditionalFormatting sqref="F2245">
    <cfRule type="top10" dxfId="4028" priority="7749" rank="1"/>
  </conditionalFormatting>
  <conditionalFormatting sqref="G2245 P2245">
    <cfRule type="cellIs" dxfId="4027" priority="7748" operator="equal">
      <formula>$G$135</formula>
    </cfRule>
  </conditionalFormatting>
  <conditionalFormatting sqref="P2245">
    <cfRule type="cellIs" dxfId="4026" priority="7747" operator="equal">
      <formula>$J$135</formula>
    </cfRule>
  </conditionalFormatting>
  <conditionalFormatting sqref="G2245 P2245">
    <cfRule type="cellIs" dxfId="4025" priority="7746" operator="equal">
      <formula>#REF!</formula>
    </cfRule>
  </conditionalFormatting>
  <conditionalFormatting sqref="G2245">
    <cfRule type="top10" dxfId="4024" priority="7744" rank="1"/>
    <cfRule type="cellIs" dxfId="4023" priority="7745" operator="equal">
      <formula>$G$133</formula>
    </cfRule>
  </conditionalFormatting>
  <conditionalFormatting sqref="P2245">
    <cfRule type="top10" dxfId="4022" priority="7742" rank="1"/>
    <cfRule type="cellIs" dxfId="4021" priority="7743" operator="equal">
      <formula>$G$133</formula>
    </cfRule>
  </conditionalFormatting>
  <conditionalFormatting sqref="C2229:C2244">
    <cfRule type="containsText" dxfId="4020" priority="7738" operator="containsText" text="Short Buildup">
      <formula>NOT(ISERROR(SEARCH("Short Buildup",C2229)))</formula>
    </cfRule>
    <cfRule type="containsText" dxfId="4019" priority="7739" operator="containsText" text="Long Liquidation">
      <formula>NOT(ISERROR(SEARCH("Long Liquidation",C2229)))</formula>
    </cfRule>
    <cfRule type="containsText" dxfId="4018" priority="7740" operator="containsText" text="Short covering">
      <formula>NOT(ISERROR(SEARCH("Short covering",C2229)))</formula>
    </cfRule>
    <cfRule type="containsText" dxfId="4017" priority="7741" operator="containsText" text="Long Buildup">
      <formula>NOT(ISERROR(SEARCH("Long Buildup",C2229)))</formula>
    </cfRule>
  </conditionalFormatting>
  <conditionalFormatting sqref="H2245">
    <cfRule type="colorScale" priority="7733">
      <colorScale>
        <cfvo type="min"/>
        <cfvo type="percentile" val="20"/>
        <cfvo type="max"/>
        <color rgb="FF92D050"/>
        <color theme="5" tint="0.79998168889431442"/>
        <color rgb="FFFF0000"/>
      </colorScale>
    </cfRule>
    <cfRule type="colorScale" priority="7734">
      <colorScale>
        <cfvo type="min"/>
        <cfvo type="max"/>
        <color rgb="FFFF0000"/>
        <color rgb="FF92D050"/>
      </colorScale>
    </cfRule>
    <cfRule type="colorScale" priority="7735">
      <colorScale>
        <cfvo type="min"/>
        <cfvo type="percentile" val="50"/>
        <cfvo type="max"/>
        <color rgb="FF5A8AC6"/>
        <color rgb="FFFCFCFF"/>
        <color rgb="FFF8696B"/>
      </colorScale>
    </cfRule>
    <cfRule type="colorScale" priority="7736">
      <colorScale>
        <cfvo type="formula" val="&quot;&gt;20&quot;"/>
        <cfvo type="formula" val="35"/>
        <color rgb="FFF8696B"/>
        <color rgb="FFFCFCFF"/>
      </colorScale>
    </cfRule>
    <cfRule type="colorScale" priority="7737">
      <colorScale>
        <cfvo type="min"/>
        <cfvo type="max"/>
        <color rgb="FFFFEF9C"/>
        <color rgb="FF63BE7B"/>
      </colorScale>
    </cfRule>
  </conditionalFormatting>
  <conditionalFormatting sqref="N2245">
    <cfRule type="colorScale" priority="7728">
      <colorScale>
        <cfvo type="min"/>
        <cfvo type="percentile" val="20"/>
        <cfvo type="max"/>
        <color rgb="FF92D050"/>
        <color theme="5" tint="0.79998168889431442"/>
        <color rgb="FFFF0000"/>
      </colorScale>
    </cfRule>
    <cfRule type="colorScale" priority="7729">
      <colorScale>
        <cfvo type="min"/>
        <cfvo type="max"/>
        <color rgb="FFFF0000"/>
        <color rgb="FF92D050"/>
      </colorScale>
    </cfRule>
    <cfRule type="colorScale" priority="7730">
      <colorScale>
        <cfvo type="min"/>
        <cfvo type="percentile" val="50"/>
        <cfvo type="max"/>
        <color rgb="FF5A8AC6"/>
        <color rgb="FFFCFCFF"/>
        <color rgb="FFF8696B"/>
      </colorScale>
    </cfRule>
    <cfRule type="colorScale" priority="7731">
      <colorScale>
        <cfvo type="formula" val="&quot;&gt;20&quot;"/>
        <cfvo type="formula" val="35"/>
        <color rgb="FFF8696B"/>
        <color rgb="FFFCFCFF"/>
      </colorScale>
    </cfRule>
    <cfRule type="colorScale" priority="7732">
      <colorScale>
        <cfvo type="min"/>
        <cfvo type="max"/>
        <color rgb="FFFFEF9C"/>
        <color rgb="FF63BE7B"/>
      </colorScale>
    </cfRule>
  </conditionalFormatting>
  <conditionalFormatting sqref="S2229:S2245">
    <cfRule type="containsText" dxfId="4016" priority="7724" operator="containsText" text="Short Buildup">
      <formula>NOT(ISERROR(SEARCH("Short Buildup",S2229)))</formula>
    </cfRule>
    <cfRule type="containsText" dxfId="4015" priority="7725" operator="containsText" text="Long Liquidation">
      <formula>NOT(ISERROR(SEARCH("Long Liquidation",S2229)))</formula>
    </cfRule>
    <cfRule type="containsText" dxfId="4014" priority="7726" operator="containsText" text="Short covering">
      <formula>NOT(ISERROR(SEARCH("Short covering",S2229)))</formula>
    </cfRule>
    <cfRule type="containsText" dxfId="4013" priority="7727" operator="containsText" text="Long Buildup">
      <formula>NOT(ISERROR(SEARCH("Long Buildup",S2229)))</formula>
    </cfRule>
  </conditionalFormatting>
  <conditionalFormatting sqref="F2229:F2244">
    <cfRule type="dataBar" priority="7723">
      <dataBar>
        <cfvo type="min"/>
        <cfvo type="max"/>
        <color rgb="FFFF555A"/>
      </dataBar>
    </cfRule>
  </conditionalFormatting>
  <conditionalFormatting sqref="G2229:G2244">
    <cfRule type="dataBar" priority="7722">
      <dataBar>
        <cfvo type="min"/>
        <cfvo type="max"/>
        <color rgb="FFFF555A"/>
      </dataBar>
    </cfRule>
  </conditionalFormatting>
  <conditionalFormatting sqref="H2229">
    <cfRule type="dataBar" priority="7721">
      <dataBar>
        <cfvo type="min"/>
        <cfvo type="max"/>
        <color rgb="FFFF555A"/>
      </dataBar>
    </cfRule>
  </conditionalFormatting>
  <conditionalFormatting sqref="I2229">
    <cfRule type="dataBar" priority="7720">
      <dataBar>
        <cfvo type="min"/>
        <cfvo type="max"/>
        <color rgb="FFFF555A"/>
      </dataBar>
    </cfRule>
  </conditionalFormatting>
  <conditionalFormatting sqref="J2229">
    <cfRule type="dataBar" priority="7719">
      <dataBar>
        <cfvo type="min"/>
        <cfvo type="max"/>
        <color rgb="FFFF555A"/>
      </dataBar>
    </cfRule>
  </conditionalFormatting>
  <conditionalFormatting sqref="E2230:E2244">
    <cfRule type="dataBar" priority="7718">
      <dataBar>
        <cfvo type="min"/>
        <cfvo type="max"/>
        <color rgb="FFFF555A"/>
      </dataBar>
    </cfRule>
  </conditionalFormatting>
  <conditionalFormatting sqref="H2230:H2244">
    <cfRule type="dataBar" priority="7717">
      <dataBar>
        <cfvo type="min"/>
        <cfvo type="max"/>
        <color rgb="FFFF555A"/>
      </dataBar>
    </cfRule>
  </conditionalFormatting>
  <conditionalFormatting sqref="I2230:I2244">
    <cfRule type="dataBar" priority="7716">
      <dataBar>
        <cfvo type="min"/>
        <cfvo type="max"/>
        <color rgb="FFFF555A"/>
      </dataBar>
    </cfRule>
  </conditionalFormatting>
  <conditionalFormatting sqref="J2230:J2244">
    <cfRule type="dataBar" priority="7715">
      <dataBar>
        <cfvo type="min"/>
        <cfvo type="max"/>
        <color rgb="FFFF555A"/>
      </dataBar>
    </cfRule>
  </conditionalFormatting>
  <conditionalFormatting sqref="L2229:L2244">
    <cfRule type="dataBar" priority="7714">
      <dataBar>
        <cfvo type="min"/>
        <cfvo type="max"/>
        <color rgb="FFFF555A"/>
      </dataBar>
    </cfRule>
  </conditionalFormatting>
  <conditionalFormatting sqref="M2229:M2244">
    <cfRule type="dataBar" priority="7713">
      <dataBar>
        <cfvo type="min"/>
        <cfvo type="max"/>
        <color rgb="FFFF555A"/>
      </dataBar>
    </cfRule>
  </conditionalFormatting>
  <conditionalFormatting sqref="N2229:N2244">
    <cfRule type="dataBar" priority="7712">
      <dataBar>
        <cfvo type="min"/>
        <cfvo type="max"/>
        <color rgb="FFFF555A"/>
      </dataBar>
    </cfRule>
  </conditionalFormatting>
  <conditionalFormatting sqref="Q2229:Q2244">
    <cfRule type="dataBar" priority="7711">
      <dataBar>
        <cfvo type="min"/>
        <cfvo type="max"/>
        <color rgb="FFFF555A"/>
      </dataBar>
    </cfRule>
  </conditionalFormatting>
  <conditionalFormatting sqref="O2229:O2244">
    <cfRule type="dataBar" priority="7710">
      <dataBar>
        <cfvo type="min"/>
        <cfvo type="max"/>
        <color rgb="FFFF555A"/>
      </dataBar>
    </cfRule>
  </conditionalFormatting>
  <conditionalFormatting sqref="P2229:P2244">
    <cfRule type="dataBar" priority="7709">
      <dataBar>
        <cfvo type="min"/>
        <cfvo type="max"/>
        <color rgb="FFFF555A"/>
      </dataBar>
    </cfRule>
  </conditionalFormatting>
  <conditionalFormatting sqref="R2246:R2262 D2246:D2261 C2262">
    <cfRule type="containsText" dxfId="4012" priority="7708" operator="containsText" text="DOWN">
      <formula>NOT(ISERROR(SEARCH("DOWN",C2246)))</formula>
    </cfRule>
  </conditionalFormatting>
  <conditionalFormatting sqref="R2246:R2262 D2246:D2261 C2262">
    <cfRule type="containsText" dxfId="4011" priority="7707" operator="containsText" text="UP">
      <formula>NOT(ISERROR(SEARCH("UP",C2246)))</formula>
    </cfRule>
  </conditionalFormatting>
  <conditionalFormatting sqref="I2262">
    <cfRule type="colorScale" priority="7706">
      <colorScale>
        <cfvo type="min"/>
        <cfvo type="max"/>
        <color rgb="FFFFEF9C"/>
        <color rgb="FF63BE7B"/>
      </colorScale>
    </cfRule>
  </conditionalFormatting>
  <conditionalFormatting sqref="M2262">
    <cfRule type="colorScale" priority="7705">
      <colorScale>
        <cfvo type="min"/>
        <cfvo type="max"/>
        <color rgb="FFFF7128"/>
        <color rgb="FFFFEF9C"/>
      </colorScale>
    </cfRule>
  </conditionalFormatting>
  <conditionalFormatting sqref="Q2262">
    <cfRule type="dataBar" priority="7704">
      <dataBar>
        <cfvo type="min"/>
        <cfvo type="max"/>
        <color rgb="FFFF555A"/>
      </dataBar>
    </cfRule>
  </conditionalFormatting>
  <conditionalFormatting sqref="E2246:E2262">
    <cfRule type="dataBar" priority="7703">
      <dataBar>
        <cfvo type="min"/>
        <cfvo type="max"/>
        <color rgb="FFFF555A"/>
      </dataBar>
    </cfRule>
  </conditionalFormatting>
  <conditionalFormatting sqref="F2262">
    <cfRule type="top10" dxfId="4010" priority="7702" rank="1"/>
  </conditionalFormatting>
  <conditionalFormatting sqref="G2262 P2262">
    <cfRule type="cellIs" dxfId="4009" priority="7701" operator="equal">
      <formula>$G$135</formula>
    </cfRule>
  </conditionalFormatting>
  <conditionalFormatting sqref="P2262">
    <cfRule type="cellIs" dxfId="4008" priority="7700" operator="equal">
      <formula>$J$135</formula>
    </cfRule>
  </conditionalFormatting>
  <conditionalFormatting sqref="G2262 P2262">
    <cfRule type="cellIs" dxfId="4007" priority="7699" operator="equal">
      <formula>#REF!</formula>
    </cfRule>
  </conditionalFormatting>
  <conditionalFormatting sqref="G2262">
    <cfRule type="top10" dxfId="4006" priority="7697" rank="1"/>
    <cfRule type="cellIs" dxfId="4005" priority="7698" operator="equal">
      <formula>$G$133</formula>
    </cfRule>
  </conditionalFormatting>
  <conditionalFormatting sqref="P2262">
    <cfRule type="top10" dxfId="4004" priority="7695" rank="1"/>
    <cfRule type="cellIs" dxfId="4003" priority="7696" operator="equal">
      <formula>$G$133</formula>
    </cfRule>
  </conditionalFormatting>
  <conditionalFormatting sqref="C2246:C2261">
    <cfRule type="containsText" dxfId="4002" priority="7691" operator="containsText" text="Short Buildup">
      <formula>NOT(ISERROR(SEARCH("Short Buildup",C2246)))</formula>
    </cfRule>
    <cfRule type="containsText" dxfId="4001" priority="7692" operator="containsText" text="Long Liquidation">
      <formula>NOT(ISERROR(SEARCH("Long Liquidation",C2246)))</formula>
    </cfRule>
    <cfRule type="containsText" dxfId="4000" priority="7693" operator="containsText" text="Short covering">
      <formula>NOT(ISERROR(SEARCH("Short covering",C2246)))</formula>
    </cfRule>
    <cfRule type="containsText" dxfId="3999" priority="7694" operator="containsText" text="Long Buildup">
      <formula>NOT(ISERROR(SEARCH("Long Buildup",C2246)))</formula>
    </cfRule>
  </conditionalFormatting>
  <conditionalFormatting sqref="H2262">
    <cfRule type="colorScale" priority="7686">
      <colorScale>
        <cfvo type="min"/>
        <cfvo type="percentile" val="20"/>
        <cfvo type="max"/>
        <color rgb="FF92D050"/>
        <color theme="5" tint="0.79998168889431442"/>
        <color rgb="FFFF0000"/>
      </colorScale>
    </cfRule>
    <cfRule type="colorScale" priority="7687">
      <colorScale>
        <cfvo type="min"/>
        <cfvo type="max"/>
        <color rgb="FFFF0000"/>
        <color rgb="FF92D050"/>
      </colorScale>
    </cfRule>
    <cfRule type="colorScale" priority="7688">
      <colorScale>
        <cfvo type="min"/>
        <cfvo type="percentile" val="50"/>
        <cfvo type="max"/>
        <color rgb="FF5A8AC6"/>
        <color rgb="FFFCFCFF"/>
        <color rgb="FFF8696B"/>
      </colorScale>
    </cfRule>
    <cfRule type="colorScale" priority="7689">
      <colorScale>
        <cfvo type="formula" val="&quot;&gt;20&quot;"/>
        <cfvo type="formula" val="35"/>
        <color rgb="FFF8696B"/>
        <color rgb="FFFCFCFF"/>
      </colorScale>
    </cfRule>
    <cfRule type="colorScale" priority="7690">
      <colorScale>
        <cfvo type="min"/>
        <cfvo type="max"/>
        <color rgb="FFFFEF9C"/>
        <color rgb="FF63BE7B"/>
      </colorScale>
    </cfRule>
  </conditionalFormatting>
  <conditionalFormatting sqref="N2262">
    <cfRule type="colorScale" priority="7681">
      <colorScale>
        <cfvo type="min"/>
        <cfvo type="percentile" val="20"/>
        <cfvo type="max"/>
        <color rgb="FF92D050"/>
        <color theme="5" tint="0.79998168889431442"/>
        <color rgb="FFFF0000"/>
      </colorScale>
    </cfRule>
    <cfRule type="colorScale" priority="7682">
      <colorScale>
        <cfvo type="min"/>
        <cfvo type="max"/>
        <color rgb="FFFF0000"/>
        <color rgb="FF92D050"/>
      </colorScale>
    </cfRule>
    <cfRule type="colorScale" priority="7683">
      <colorScale>
        <cfvo type="min"/>
        <cfvo type="percentile" val="50"/>
        <cfvo type="max"/>
        <color rgb="FF5A8AC6"/>
        <color rgb="FFFCFCFF"/>
        <color rgb="FFF8696B"/>
      </colorScale>
    </cfRule>
    <cfRule type="colorScale" priority="7684">
      <colorScale>
        <cfvo type="formula" val="&quot;&gt;20&quot;"/>
        <cfvo type="formula" val="35"/>
        <color rgb="FFF8696B"/>
        <color rgb="FFFCFCFF"/>
      </colorScale>
    </cfRule>
    <cfRule type="colorScale" priority="7685">
      <colorScale>
        <cfvo type="min"/>
        <cfvo type="max"/>
        <color rgb="FFFFEF9C"/>
        <color rgb="FF63BE7B"/>
      </colorScale>
    </cfRule>
  </conditionalFormatting>
  <conditionalFormatting sqref="S2246:S2262">
    <cfRule type="containsText" dxfId="3998" priority="7677" operator="containsText" text="Short Buildup">
      <formula>NOT(ISERROR(SEARCH("Short Buildup",S2246)))</formula>
    </cfRule>
    <cfRule type="containsText" dxfId="3997" priority="7678" operator="containsText" text="Long Liquidation">
      <formula>NOT(ISERROR(SEARCH("Long Liquidation",S2246)))</formula>
    </cfRule>
    <cfRule type="containsText" dxfId="3996" priority="7679" operator="containsText" text="Short covering">
      <formula>NOT(ISERROR(SEARCH("Short covering",S2246)))</formula>
    </cfRule>
    <cfRule type="containsText" dxfId="3995" priority="7680" operator="containsText" text="Long Buildup">
      <formula>NOT(ISERROR(SEARCH("Long Buildup",S2246)))</formula>
    </cfRule>
  </conditionalFormatting>
  <conditionalFormatting sqref="F2246:F2261">
    <cfRule type="dataBar" priority="7676">
      <dataBar>
        <cfvo type="min"/>
        <cfvo type="max"/>
        <color rgb="FFFF555A"/>
      </dataBar>
    </cfRule>
  </conditionalFormatting>
  <conditionalFormatting sqref="G2246:G2261">
    <cfRule type="dataBar" priority="7675">
      <dataBar>
        <cfvo type="min"/>
        <cfvo type="max"/>
        <color rgb="FFFF555A"/>
      </dataBar>
    </cfRule>
  </conditionalFormatting>
  <conditionalFormatting sqref="H2246">
    <cfRule type="dataBar" priority="7674">
      <dataBar>
        <cfvo type="min"/>
        <cfvo type="max"/>
        <color rgb="FFFF555A"/>
      </dataBar>
    </cfRule>
  </conditionalFormatting>
  <conditionalFormatting sqref="I2246">
    <cfRule type="dataBar" priority="7673">
      <dataBar>
        <cfvo type="min"/>
        <cfvo type="max"/>
        <color rgb="FFFF555A"/>
      </dataBar>
    </cfRule>
  </conditionalFormatting>
  <conditionalFormatting sqref="J2246">
    <cfRule type="dataBar" priority="7672">
      <dataBar>
        <cfvo type="min"/>
        <cfvo type="max"/>
        <color rgb="FFFF555A"/>
      </dataBar>
    </cfRule>
  </conditionalFormatting>
  <conditionalFormatting sqref="E2247:E2261">
    <cfRule type="dataBar" priority="7671">
      <dataBar>
        <cfvo type="min"/>
        <cfvo type="max"/>
        <color rgb="FFFF555A"/>
      </dataBar>
    </cfRule>
  </conditionalFormatting>
  <conditionalFormatting sqref="H2247:H2261">
    <cfRule type="dataBar" priority="7670">
      <dataBar>
        <cfvo type="min"/>
        <cfvo type="max"/>
        <color rgb="FFFF555A"/>
      </dataBar>
    </cfRule>
  </conditionalFormatting>
  <conditionalFormatting sqref="I2247:I2261">
    <cfRule type="dataBar" priority="7669">
      <dataBar>
        <cfvo type="min"/>
        <cfvo type="max"/>
        <color rgb="FFFF555A"/>
      </dataBar>
    </cfRule>
  </conditionalFormatting>
  <conditionalFormatting sqref="J2247:J2261">
    <cfRule type="dataBar" priority="7668">
      <dataBar>
        <cfvo type="min"/>
        <cfvo type="max"/>
        <color rgb="FFFF555A"/>
      </dataBar>
    </cfRule>
  </conditionalFormatting>
  <conditionalFormatting sqref="L2246:L2261">
    <cfRule type="dataBar" priority="7667">
      <dataBar>
        <cfvo type="min"/>
        <cfvo type="max"/>
        <color rgb="FFFF555A"/>
      </dataBar>
    </cfRule>
  </conditionalFormatting>
  <conditionalFormatting sqref="M2246:M2261">
    <cfRule type="dataBar" priority="7666">
      <dataBar>
        <cfvo type="min"/>
        <cfvo type="max"/>
        <color rgb="FFFF555A"/>
      </dataBar>
    </cfRule>
  </conditionalFormatting>
  <conditionalFormatting sqref="N2246:N2261">
    <cfRule type="dataBar" priority="7665">
      <dataBar>
        <cfvo type="min"/>
        <cfvo type="max"/>
        <color rgb="FFFF555A"/>
      </dataBar>
    </cfRule>
  </conditionalFormatting>
  <conditionalFormatting sqref="Q2246:Q2261">
    <cfRule type="dataBar" priority="7664">
      <dataBar>
        <cfvo type="min"/>
        <cfvo type="max"/>
        <color rgb="FFFF555A"/>
      </dataBar>
    </cfRule>
  </conditionalFormatting>
  <conditionalFormatting sqref="O2246:O2261">
    <cfRule type="dataBar" priority="7663">
      <dataBar>
        <cfvo type="min"/>
        <cfvo type="max"/>
        <color rgb="FFFF555A"/>
      </dataBar>
    </cfRule>
  </conditionalFormatting>
  <conditionalFormatting sqref="P2246:P2261">
    <cfRule type="dataBar" priority="7662">
      <dataBar>
        <cfvo type="min"/>
        <cfvo type="max"/>
        <color rgb="FFFF555A"/>
      </dataBar>
    </cfRule>
  </conditionalFormatting>
  <conditionalFormatting sqref="R2263:R2279 D2263:D2278 C2279">
    <cfRule type="containsText" dxfId="3994" priority="7661" operator="containsText" text="DOWN">
      <formula>NOT(ISERROR(SEARCH("DOWN",C2263)))</formula>
    </cfRule>
  </conditionalFormatting>
  <conditionalFormatting sqref="R2263:R2279 D2263:D2278 C2279">
    <cfRule type="containsText" dxfId="3993" priority="7660" operator="containsText" text="UP">
      <formula>NOT(ISERROR(SEARCH("UP",C2263)))</formula>
    </cfRule>
  </conditionalFormatting>
  <conditionalFormatting sqref="I2279">
    <cfRule type="colorScale" priority="7659">
      <colorScale>
        <cfvo type="min"/>
        <cfvo type="max"/>
        <color rgb="FFFFEF9C"/>
        <color rgb="FF63BE7B"/>
      </colorScale>
    </cfRule>
  </conditionalFormatting>
  <conditionalFormatting sqref="M2279">
    <cfRule type="colorScale" priority="7658">
      <colorScale>
        <cfvo type="min"/>
        <cfvo type="max"/>
        <color rgb="FFFF7128"/>
        <color rgb="FFFFEF9C"/>
      </colorScale>
    </cfRule>
  </conditionalFormatting>
  <conditionalFormatting sqref="Q2279">
    <cfRule type="dataBar" priority="7657">
      <dataBar>
        <cfvo type="min"/>
        <cfvo type="max"/>
        <color rgb="FFFF555A"/>
      </dataBar>
    </cfRule>
  </conditionalFormatting>
  <conditionalFormatting sqref="E2263:E2279">
    <cfRule type="dataBar" priority="7656">
      <dataBar>
        <cfvo type="min"/>
        <cfvo type="max"/>
        <color rgb="FFFF555A"/>
      </dataBar>
    </cfRule>
  </conditionalFormatting>
  <conditionalFormatting sqref="F2279">
    <cfRule type="top10" dxfId="3992" priority="7655" rank="1"/>
  </conditionalFormatting>
  <conditionalFormatting sqref="G2279 P2279">
    <cfRule type="cellIs" dxfId="3991" priority="7654" operator="equal">
      <formula>$G$135</formula>
    </cfRule>
  </conditionalFormatting>
  <conditionalFormatting sqref="P2279">
    <cfRule type="cellIs" dxfId="3990" priority="7653" operator="equal">
      <formula>$J$135</formula>
    </cfRule>
  </conditionalFormatting>
  <conditionalFormatting sqref="G2279 P2279">
    <cfRule type="cellIs" dxfId="3989" priority="7652" operator="equal">
      <formula>#REF!</formula>
    </cfRule>
  </conditionalFormatting>
  <conditionalFormatting sqref="G2279">
    <cfRule type="top10" dxfId="3988" priority="7650" rank="1"/>
    <cfRule type="cellIs" dxfId="3987" priority="7651" operator="equal">
      <formula>$G$133</formula>
    </cfRule>
  </conditionalFormatting>
  <conditionalFormatting sqref="P2279">
    <cfRule type="top10" dxfId="3986" priority="7648" rank="1"/>
    <cfRule type="cellIs" dxfId="3985" priority="7649" operator="equal">
      <formula>$G$133</formula>
    </cfRule>
  </conditionalFormatting>
  <conditionalFormatting sqref="C2263:C2278">
    <cfRule type="containsText" dxfId="3984" priority="7644" operator="containsText" text="Short Buildup">
      <formula>NOT(ISERROR(SEARCH("Short Buildup",C2263)))</formula>
    </cfRule>
    <cfRule type="containsText" dxfId="3983" priority="7645" operator="containsText" text="Long Liquidation">
      <formula>NOT(ISERROR(SEARCH("Long Liquidation",C2263)))</formula>
    </cfRule>
    <cfRule type="containsText" dxfId="3982" priority="7646" operator="containsText" text="Short covering">
      <formula>NOT(ISERROR(SEARCH("Short covering",C2263)))</formula>
    </cfRule>
    <cfRule type="containsText" dxfId="3981" priority="7647" operator="containsText" text="Long Buildup">
      <formula>NOT(ISERROR(SEARCH("Long Buildup",C2263)))</formula>
    </cfRule>
  </conditionalFormatting>
  <conditionalFormatting sqref="H2279">
    <cfRule type="colorScale" priority="7639">
      <colorScale>
        <cfvo type="min"/>
        <cfvo type="percentile" val="20"/>
        <cfvo type="max"/>
        <color rgb="FF92D050"/>
        <color theme="5" tint="0.79998168889431442"/>
        <color rgb="FFFF0000"/>
      </colorScale>
    </cfRule>
    <cfRule type="colorScale" priority="7640">
      <colorScale>
        <cfvo type="min"/>
        <cfvo type="max"/>
        <color rgb="FFFF0000"/>
        <color rgb="FF92D050"/>
      </colorScale>
    </cfRule>
    <cfRule type="colorScale" priority="7641">
      <colorScale>
        <cfvo type="min"/>
        <cfvo type="percentile" val="50"/>
        <cfvo type="max"/>
        <color rgb="FF5A8AC6"/>
        <color rgb="FFFCFCFF"/>
        <color rgb="FFF8696B"/>
      </colorScale>
    </cfRule>
    <cfRule type="colorScale" priority="7642">
      <colorScale>
        <cfvo type="formula" val="&quot;&gt;20&quot;"/>
        <cfvo type="formula" val="35"/>
        <color rgb="FFF8696B"/>
        <color rgb="FFFCFCFF"/>
      </colorScale>
    </cfRule>
    <cfRule type="colorScale" priority="7643">
      <colorScale>
        <cfvo type="min"/>
        <cfvo type="max"/>
        <color rgb="FFFFEF9C"/>
        <color rgb="FF63BE7B"/>
      </colorScale>
    </cfRule>
  </conditionalFormatting>
  <conditionalFormatting sqref="N2279">
    <cfRule type="colorScale" priority="7634">
      <colorScale>
        <cfvo type="min"/>
        <cfvo type="percentile" val="20"/>
        <cfvo type="max"/>
        <color rgb="FF92D050"/>
        <color theme="5" tint="0.79998168889431442"/>
        <color rgb="FFFF0000"/>
      </colorScale>
    </cfRule>
    <cfRule type="colorScale" priority="7635">
      <colorScale>
        <cfvo type="min"/>
        <cfvo type="max"/>
        <color rgb="FFFF0000"/>
        <color rgb="FF92D050"/>
      </colorScale>
    </cfRule>
    <cfRule type="colorScale" priority="7636">
      <colorScale>
        <cfvo type="min"/>
        <cfvo type="percentile" val="50"/>
        <cfvo type="max"/>
        <color rgb="FF5A8AC6"/>
        <color rgb="FFFCFCFF"/>
        <color rgb="FFF8696B"/>
      </colorScale>
    </cfRule>
    <cfRule type="colorScale" priority="7637">
      <colorScale>
        <cfvo type="formula" val="&quot;&gt;20&quot;"/>
        <cfvo type="formula" val="35"/>
        <color rgb="FFF8696B"/>
        <color rgb="FFFCFCFF"/>
      </colorScale>
    </cfRule>
    <cfRule type="colorScale" priority="7638">
      <colorScale>
        <cfvo type="min"/>
        <cfvo type="max"/>
        <color rgb="FFFFEF9C"/>
        <color rgb="FF63BE7B"/>
      </colorScale>
    </cfRule>
  </conditionalFormatting>
  <conditionalFormatting sqref="S2263:S2279">
    <cfRule type="containsText" dxfId="3980" priority="7630" operator="containsText" text="Short Buildup">
      <formula>NOT(ISERROR(SEARCH("Short Buildup",S2263)))</formula>
    </cfRule>
    <cfRule type="containsText" dxfId="3979" priority="7631" operator="containsText" text="Long Liquidation">
      <formula>NOT(ISERROR(SEARCH("Long Liquidation",S2263)))</formula>
    </cfRule>
    <cfRule type="containsText" dxfId="3978" priority="7632" operator="containsText" text="Short covering">
      <formula>NOT(ISERROR(SEARCH("Short covering",S2263)))</formula>
    </cfRule>
    <cfRule type="containsText" dxfId="3977" priority="7633" operator="containsText" text="Long Buildup">
      <formula>NOT(ISERROR(SEARCH("Long Buildup",S2263)))</formula>
    </cfRule>
  </conditionalFormatting>
  <conditionalFormatting sqref="F2263:F2278">
    <cfRule type="dataBar" priority="7629">
      <dataBar>
        <cfvo type="min"/>
        <cfvo type="max"/>
        <color rgb="FFFF555A"/>
      </dataBar>
    </cfRule>
  </conditionalFormatting>
  <conditionalFormatting sqref="G2263:G2278">
    <cfRule type="dataBar" priority="7628">
      <dataBar>
        <cfvo type="min"/>
        <cfvo type="max"/>
        <color rgb="FFFF555A"/>
      </dataBar>
    </cfRule>
  </conditionalFormatting>
  <conditionalFormatting sqref="H2263">
    <cfRule type="dataBar" priority="7627">
      <dataBar>
        <cfvo type="min"/>
        <cfvo type="max"/>
        <color rgb="FFFF555A"/>
      </dataBar>
    </cfRule>
  </conditionalFormatting>
  <conditionalFormatting sqref="I2263">
    <cfRule type="dataBar" priority="7626">
      <dataBar>
        <cfvo type="min"/>
        <cfvo type="max"/>
        <color rgb="FFFF555A"/>
      </dataBar>
    </cfRule>
  </conditionalFormatting>
  <conditionalFormatting sqref="J2263">
    <cfRule type="dataBar" priority="7625">
      <dataBar>
        <cfvo type="min"/>
        <cfvo type="max"/>
        <color rgb="FFFF555A"/>
      </dataBar>
    </cfRule>
  </conditionalFormatting>
  <conditionalFormatting sqref="E2264:E2278">
    <cfRule type="dataBar" priority="7624">
      <dataBar>
        <cfvo type="min"/>
        <cfvo type="max"/>
        <color rgb="FFFF555A"/>
      </dataBar>
    </cfRule>
  </conditionalFormatting>
  <conditionalFormatting sqref="H2264:H2278">
    <cfRule type="dataBar" priority="7623">
      <dataBar>
        <cfvo type="min"/>
        <cfvo type="max"/>
        <color rgb="FFFF555A"/>
      </dataBar>
    </cfRule>
  </conditionalFormatting>
  <conditionalFormatting sqref="I2264:I2278">
    <cfRule type="dataBar" priority="7622">
      <dataBar>
        <cfvo type="min"/>
        <cfvo type="max"/>
        <color rgb="FFFF555A"/>
      </dataBar>
    </cfRule>
  </conditionalFormatting>
  <conditionalFormatting sqref="J2264:J2278">
    <cfRule type="dataBar" priority="7621">
      <dataBar>
        <cfvo type="min"/>
        <cfvo type="max"/>
        <color rgb="FFFF555A"/>
      </dataBar>
    </cfRule>
  </conditionalFormatting>
  <conditionalFormatting sqref="L2263:L2278">
    <cfRule type="dataBar" priority="7620">
      <dataBar>
        <cfvo type="min"/>
        <cfvo type="max"/>
        <color rgb="FFFF555A"/>
      </dataBar>
    </cfRule>
  </conditionalFormatting>
  <conditionalFormatting sqref="M2263:M2278">
    <cfRule type="dataBar" priority="7619">
      <dataBar>
        <cfvo type="min"/>
        <cfvo type="max"/>
        <color rgb="FFFF555A"/>
      </dataBar>
    </cfRule>
  </conditionalFormatting>
  <conditionalFormatting sqref="N2263:N2278">
    <cfRule type="dataBar" priority="7618">
      <dataBar>
        <cfvo type="min"/>
        <cfvo type="max"/>
        <color rgb="FFFF555A"/>
      </dataBar>
    </cfRule>
  </conditionalFormatting>
  <conditionalFormatting sqref="Q2263:Q2278">
    <cfRule type="dataBar" priority="7617">
      <dataBar>
        <cfvo type="min"/>
        <cfvo type="max"/>
        <color rgb="FFFF555A"/>
      </dataBar>
    </cfRule>
  </conditionalFormatting>
  <conditionalFormatting sqref="O2263:O2278">
    <cfRule type="dataBar" priority="7616">
      <dataBar>
        <cfvo type="min"/>
        <cfvo type="max"/>
        <color rgb="FFFF555A"/>
      </dataBar>
    </cfRule>
  </conditionalFormatting>
  <conditionalFormatting sqref="P2263:P2278">
    <cfRule type="dataBar" priority="7615">
      <dataBar>
        <cfvo type="min"/>
        <cfvo type="max"/>
        <color rgb="FFFF555A"/>
      </dataBar>
    </cfRule>
  </conditionalFormatting>
  <conditionalFormatting sqref="R2280:R2296 D2280:D2295 C2296">
    <cfRule type="containsText" dxfId="3976" priority="7614" operator="containsText" text="DOWN">
      <formula>NOT(ISERROR(SEARCH("DOWN",C2280)))</formula>
    </cfRule>
  </conditionalFormatting>
  <conditionalFormatting sqref="R2280:R2296 D2280:D2295 C2296">
    <cfRule type="containsText" dxfId="3975" priority="7613" operator="containsText" text="UP">
      <formula>NOT(ISERROR(SEARCH("UP",C2280)))</formula>
    </cfRule>
  </conditionalFormatting>
  <conditionalFormatting sqref="I2296">
    <cfRule type="colorScale" priority="7612">
      <colorScale>
        <cfvo type="min"/>
        <cfvo type="max"/>
        <color rgb="FFFFEF9C"/>
        <color rgb="FF63BE7B"/>
      </colorScale>
    </cfRule>
  </conditionalFormatting>
  <conditionalFormatting sqref="M2296">
    <cfRule type="colorScale" priority="7611">
      <colorScale>
        <cfvo type="min"/>
        <cfvo type="max"/>
        <color rgb="FFFF7128"/>
        <color rgb="FFFFEF9C"/>
      </colorScale>
    </cfRule>
  </conditionalFormatting>
  <conditionalFormatting sqref="Q2296">
    <cfRule type="dataBar" priority="7610">
      <dataBar>
        <cfvo type="min"/>
        <cfvo type="max"/>
        <color rgb="FFFF555A"/>
      </dataBar>
    </cfRule>
  </conditionalFormatting>
  <conditionalFormatting sqref="E2280:E2296">
    <cfRule type="dataBar" priority="7609">
      <dataBar>
        <cfvo type="min"/>
        <cfvo type="max"/>
        <color rgb="FFFF555A"/>
      </dataBar>
    </cfRule>
  </conditionalFormatting>
  <conditionalFormatting sqref="F2296">
    <cfRule type="top10" dxfId="3974" priority="7608" rank="1"/>
  </conditionalFormatting>
  <conditionalFormatting sqref="G2296 P2296">
    <cfRule type="cellIs" dxfId="3973" priority="7607" operator="equal">
      <formula>$G$135</formula>
    </cfRule>
  </conditionalFormatting>
  <conditionalFormatting sqref="P2296">
    <cfRule type="cellIs" dxfId="3972" priority="7606" operator="equal">
      <formula>$J$135</formula>
    </cfRule>
  </conditionalFormatting>
  <conditionalFormatting sqref="G2296 P2296">
    <cfRule type="cellIs" dxfId="3971" priority="7605" operator="equal">
      <formula>#REF!</formula>
    </cfRule>
  </conditionalFormatting>
  <conditionalFormatting sqref="G2296">
    <cfRule type="top10" dxfId="3970" priority="7603" rank="1"/>
    <cfRule type="cellIs" dxfId="3969" priority="7604" operator="equal">
      <formula>$G$133</formula>
    </cfRule>
  </conditionalFormatting>
  <conditionalFormatting sqref="P2296">
    <cfRule type="top10" dxfId="3968" priority="7601" rank="1"/>
    <cfRule type="cellIs" dxfId="3967" priority="7602" operator="equal">
      <formula>$G$133</formula>
    </cfRule>
  </conditionalFormatting>
  <conditionalFormatting sqref="C2280:C2295">
    <cfRule type="containsText" dxfId="3966" priority="7597" operator="containsText" text="Short Buildup">
      <formula>NOT(ISERROR(SEARCH("Short Buildup",C2280)))</formula>
    </cfRule>
    <cfRule type="containsText" dxfId="3965" priority="7598" operator="containsText" text="Long Liquidation">
      <formula>NOT(ISERROR(SEARCH("Long Liquidation",C2280)))</formula>
    </cfRule>
    <cfRule type="containsText" dxfId="3964" priority="7599" operator="containsText" text="Short covering">
      <formula>NOT(ISERROR(SEARCH("Short covering",C2280)))</formula>
    </cfRule>
    <cfRule type="containsText" dxfId="3963" priority="7600" operator="containsText" text="Long Buildup">
      <formula>NOT(ISERROR(SEARCH("Long Buildup",C2280)))</formula>
    </cfRule>
  </conditionalFormatting>
  <conditionalFormatting sqref="H2296">
    <cfRule type="colorScale" priority="7592">
      <colorScale>
        <cfvo type="min"/>
        <cfvo type="percentile" val="20"/>
        <cfvo type="max"/>
        <color rgb="FF92D050"/>
        <color theme="5" tint="0.79998168889431442"/>
        <color rgb="FFFF0000"/>
      </colorScale>
    </cfRule>
    <cfRule type="colorScale" priority="7593">
      <colorScale>
        <cfvo type="min"/>
        <cfvo type="max"/>
        <color rgb="FFFF0000"/>
        <color rgb="FF92D050"/>
      </colorScale>
    </cfRule>
    <cfRule type="colorScale" priority="7594">
      <colorScale>
        <cfvo type="min"/>
        <cfvo type="percentile" val="50"/>
        <cfvo type="max"/>
        <color rgb="FF5A8AC6"/>
        <color rgb="FFFCFCFF"/>
        <color rgb="FFF8696B"/>
      </colorScale>
    </cfRule>
    <cfRule type="colorScale" priority="7595">
      <colorScale>
        <cfvo type="formula" val="&quot;&gt;20&quot;"/>
        <cfvo type="formula" val="35"/>
        <color rgb="FFF8696B"/>
        <color rgb="FFFCFCFF"/>
      </colorScale>
    </cfRule>
    <cfRule type="colorScale" priority="7596">
      <colorScale>
        <cfvo type="min"/>
        <cfvo type="max"/>
        <color rgb="FFFFEF9C"/>
        <color rgb="FF63BE7B"/>
      </colorScale>
    </cfRule>
  </conditionalFormatting>
  <conditionalFormatting sqref="N2296">
    <cfRule type="colorScale" priority="7587">
      <colorScale>
        <cfvo type="min"/>
        <cfvo type="percentile" val="20"/>
        <cfvo type="max"/>
        <color rgb="FF92D050"/>
        <color theme="5" tint="0.79998168889431442"/>
        <color rgb="FFFF0000"/>
      </colorScale>
    </cfRule>
    <cfRule type="colorScale" priority="7588">
      <colorScale>
        <cfvo type="min"/>
        <cfvo type="max"/>
        <color rgb="FFFF0000"/>
        <color rgb="FF92D050"/>
      </colorScale>
    </cfRule>
    <cfRule type="colorScale" priority="7589">
      <colorScale>
        <cfvo type="min"/>
        <cfvo type="percentile" val="50"/>
        <cfvo type="max"/>
        <color rgb="FF5A8AC6"/>
        <color rgb="FFFCFCFF"/>
        <color rgb="FFF8696B"/>
      </colorScale>
    </cfRule>
    <cfRule type="colorScale" priority="7590">
      <colorScale>
        <cfvo type="formula" val="&quot;&gt;20&quot;"/>
        <cfvo type="formula" val="35"/>
        <color rgb="FFF8696B"/>
        <color rgb="FFFCFCFF"/>
      </colorScale>
    </cfRule>
    <cfRule type="colorScale" priority="7591">
      <colorScale>
        <cfvo type="min"/>
        <cfvo type="max"/>
        <color rgb="FFFFEF9C"/>
        <color rgb="FF63BE7B"/>
      </colorScale>
    </cfRule>
  </conditionalFormatting>
  <conditionalFormatting sqref="S2280:S2296">
    <cfRule type="containsText" dxfId="3962" priority="7583" operator="containsText" text="Short Buildup">
      <formula>NOT(ISERROR(SEARCH("Short Buildup",S2280)))</formula>
    </cfRule>
    <cfRule type="containsText" dxfId="3961" priority="7584" operator="containsText" text="Long Liquidation">
      <formula>NOT(ISERROR(SEARCH("Long Liquidation",S2280)))</formula>
    </cfRule>
    <cfRule type="containsText" dxfId="3960" priority="7585" operator="containsText" text="Short covering">
      <formula>NOT(ISERROR(SEARCH("Short covering",S2280)))</formula>
    </cfRule>
    <cfRule type="containsText" dxfId="3959" priority="7586" operator="containsText" text="Long Buildup">
      <formula>NOT(ISERROR(SEARCH("Long Buildup",S2280)))</formula>
    </cfRule>
  </conditionalFormatting>
  <conditionalFormatting sqref="F2280:F2295">
    <cfRule type="dataBar" priority="7582">
      <dataBar>
        <cfvo type="min"/>
        <cfvo type="max"/>
        <color rgb="FFFF555A"/>
      </dataBar>
    </cfRule>
  </conditionalFormatting>
  <conditionalFormatting sqref="G2280:G2295">
    <cfRule type="dataBar" priority="7581">
      <dataBar>
        <cfvo type="min"/>
        <cfvo type="max"/>
        <color rgb="FFFF555A"/>
      </dataBar>
    </cfRule>
  </conditionalFormatting>
  <conditionalFormatting sqref="H2280">
    <cfRule type="dataBar" priority="7580">
      <dataBar>
        <cfvo type="min"/>
        <cfvo type="max"/>
        <color rgb="FFFF555A"/>
      </dataBar>
    </cfRule>
  </conditionalFormatting>
  <conditionalFormatting sqref="I2280">
    <cfRule type="dataBar" priority="7579">
      <dataBar>
        <cfvo type="min"/>
        <cfvo type="max"/>
        <color rgb="FFFF555A"/>
      </dataBar>
    </cfRule>
  </conditionalFormatting>
  <conditionalFormatting sqref="J2280">
    <cfRule type="dataBar" priority="7578">
      <dataBar>
        <cfvo type="min"/>
        <cfvo type="max"/>
        <color rgb="FFFF555A"/>
      </dataBar>
    </cfRule>
  </conditionalFormatting>
  <conditionalFormatting sqref="E2281:E2295">
    <cfRule type="dataBar" priority="7577">
      <dataBar>
        <cfvo type="min"/>
        <cfvo type="max"/>
        <color rgb="FFFF555A"/>
      </dataBar>
    </cfRule>
  </conditionalFormatting>
  <conditionalFormatting sqref="H2281:H2295">
    <cfRule type="dataBar" priority="7576">
      <dataBar>
        <cfvo type="min"/>
        <cfvo type="max"/>
        <color rgb="FFFF555A"/>
      </dataBar>
    </cfRule>
  </conditionalFormatting>
  <conditionalFormatting sqref="I2281:I2295">
    <cfRule type="dataBar" priority="7575">
      <dataBar>
        <cfvo type="min"/>
        <cfvo type="max"/>
        <color rgb="FFFF555A"/>
      </dataBar>
    </cfRule>
  </conditionalFormatting>
  <conditionalFormatting sqref="J2281:J2295">
    <cfRule type="dataBar" priority="7574">
      <dataBar>
        <cfvo type="min"/>
        <cfvo type="max"/>
        <color rgb="FFFF555A"/>
      </dataBar>
    </cfRule>
  </conditionalFormatting>
  <conditionalFormatting sqref="L2280:L2295">
    <cfRule type="dataBar" priority="7573">
      <dataBar>
        <cfvo type="min"/>
        <cfvo type="max"/>
        <color rgb="FFFF555A"/>
      </dataBar>
    </cfRule>
  </conditionalFormatting>
  <conditionalFormatting sqref="M2280:M2295">
    <cfRule type="dataBar" priority="7572">
      <dataBar>
        <cfvo type="min"/>
        <cfvo type="max"/>
        <color rgb="FFFF555A"/>
      </dataBar>
    </cfRule>
  </conditionalFormatting>
  <conditionalFormatting sqref="N2280:N2295">
    <cfRule type="dataBar" priority="7571">
      <dataBar>
        <cfvo type="min"/>
        <cfvo type="max"/>
        <color rgb="FFFF555A"/>
      </dataBar>
    </cfRule>
  </conditionalFormatting>
  <conditionalFormatting sqref="Q2280:Q2295">
    <cfRule type="dataBar" priority="7570">
      <dataBar>
        <cfvo type="min"/>
        <cfvo type="max"/>
        <color rgb="FFFF555A"/>
      </dataBar>
    </cfRule>
  </conditionalFormatting>
  <conditionalFormatting sqref="O2280:O2295">
    <cfRule type="dataBar" priority="7569">
      <dataBar>
        <cfvo type="min"/>
        <cfvo type="max"/>
        <color rgb="FFFF555A"/>
      </dataBar>
    </cfRule>
  </conditionalFormatting>
  <conditionalFormatting sqref="P2280:P2295">
    <cfRule type="dataBar" priority="7568">
      <dataBar>
        <cfvo type="min"/>
        <cfvo type="max"/>
        <color rgb="FFFF555A"/>
      </dataBar>
    </cfRule>
  </conditionalFormatting>
  <conditionalFormatting sqref="R2297:R2313 D2297:D2312 C2313">
    <cfRule type="containsText" dxfId="3958" priority="7567" operator="containsText" text="DOWN">
      <formula>NOT(ISERROR(SEARCH("DOWN",C2297)))</formula>
    </cfRule>
  </conditionalFormatting>
  <conditionalFormatting sqref="R2297:R2313 D2297:D2312 C2313">
    <cfRule type="containsText" dxfId="3957" priority="7566" operator="containsText" text="UP">
      <formula>NOT(ISERROR(SEARCH("UP",C2297)))</formula>
    </cfRule>
  </conditionalFormatting>
  <conditionalFormatting sqref="I2313">
    <cfRule type="colorScale" priority="7565">
      <colorScale>
        <cfvo type="min"/>
        <cfvo type="max"/>
        <color rgb="FFFFEF9C"/>
        <color rgb="FF63BE7B"/>
      </colorScale>
    </cfRule>
  </conditionalFormatting>
  <conditionalFormatting sqref="M2313">
    <cfRule type="colorScale" priority="7564">
      <colorScale>
        <cfvo type="min"/>
        <cfvo type="max"/>
        <color rgb="FFFF7128"/>
        <color rgb="FFFFEF9C"/>
      </colorScale>
    </cfRule>
  </conditionalFormatting>
  <conditionalFormatting sqref="Q2313">
    <cfRule type="dataBar" priority="7563">
      <dataBar>
        <cfvo type="min"/>
        <cfvo type="max"/>
        <color rgb="FFFF555A"/>
      </dataBar>
    </cfRule>
  </conditionalFormatting>
  <conditionalFormatting sqref="E2297:E2313">
    <cfRule type="dataBar" priority="7562">
      <dataBar>
        <cfvo type="min"/>
        <cfvo type="max"/>
        <color rgb="FFFF555A"/>
      </dataBar>
    </cfRule>
  </conditionalFormatting>
  <conditionalFormatting sqref="F2313">
    <cfRule type="top10" dxfId="3956" priority="7561" rank="1"/>
  </conditionalFormatting>
  <conditionalFormatting sqref="G2313 P2313">
    <cfRule type="cellIs" dxfId="3955" priority="7560" operator="equal">
      <formula>$G$135</formula>
    </cfRule>
  </conditionalFormatting>
  <conditionalFormatting sqref="P2313">
    <cfRule type="cellIs" dxfId="3954" priority="7559" operator="equal">
      <formula>$J$135</formula>
    </cfRule>
  </conditionalFormatting>
  <conditionalFormatting sqref="G2313 P2313">
    <cfRule type="cellIs" dxfId="3953" priority="7558" operator="equal">
      <formula>#REF!</formula>
    </cfRule>
  </conditionalFormatting>
  <conditionalFormatting sqref="G2313">
    <cfRule type="top10" dxfId="3952" priority="7556" rank="1"/>
    <cfRule type="cellIs" dxfId="3951" priority="7557" operator="equal">
      <formula>$G$133</formula>
    </cfRule>
  </conditionalFormatting>
  <conditionalFormatting sqref="P2313">
    <cfRule type="top10" dxfId="3950" priority="7554" rank="1"/>
    <cfRule type="cellIs" dxfId="3949" priority="7555" operator="equal">
      <formula>$G$133</formula>
    </cfRule>
  </conditionalFormatting>
  <conditionalFormatting sqref="C2297:C2312">
    <cfRule type="containsText" dxfId="3948" priority="7550" operator="containsText" text="Short Buildup">
      <formula>NOT(ISERROR(SEARCH("Short Buildup",C2297)))</formula>
    </cfRule>
    <cfRule type="containsText" dxfId="3947" priority="7551" operator="containsText" text="Long Liquidation">
      <formula>NOT(ISERROR(SEARCH("Long Liquidation",C2297)))</formula>
    </cfRule>
    <cfRule type="containsText" dxfId="3946" priority="7552" operator="containsText" text="Short covering">
      <formula>NOT(ISERROR(SEARCH("Short covering",C2297)))</formula>
    </cfRule>
    <cfRule type="containsText" dxfId="3945" priority="7553" operator="containsText" text="Long Buildup">
      <formula>NOT(ISERROR(SEARCH("Long Buildup",C2297)))</formula>
    </cfRule>
  </conditionalFormatting>
  <conditionalFormatting sqref="H2313">
    <cfRule type="colorScale" priority="7545">
      <colorScale>
        <cfvo type="min"/>
        <cfvo type="percentile" val="20"/>
        <cfvo type="max"/>
        <color rgb="FF92D050"/>
        <color theme="5" tint="0.79998168889431442"/>
        <color rgb="FFFF0000"/>
      </colorScale>
    </cfRule>
    <cfRule type="colorScale" priority="7546">
      <colorScale>
        <cfvo type="min"/>
        <cfvo type="max"/>
        <color rgb="FFFF0000"/>
        <color rgb="FF92D050"/>
      </colorScale>
    </cfRule>
    <cfRule type="colorScale" priority="7547">
      <colorScale>
        <cfvo type="min"/>
        <cfvo type="percentile" val="50"/>
        <cfvo type="max"/>
        <color rgb="FF5A8AC6"/>
        <color rgb="FFFCFCFF"/>
        <color rgb="FFF8696B"/>
      </colorScale>
    </cfRule>
    <cfRule type="colorScale" priority="7548">
      <colorScale>
        <cfvo type="formula" val="&quot;&gt;20&quot;"/>
        <cfvo type="formula" val="35"/>
        <color rgb="FFF8696B"/>
        <color rgb="FFFCFCFF"/>
      </colorScale>
    </cfRule>
    <cfRule type="colorScale" priority="7549">
      <colorScale>
        <cfvo type="min"/>
        <cfvo type="max"/>
        <color rgb="FFFFEF9C"/>
        <color rgb="FF63BE7B"/>
      </colorScale>
    </cfRule>
  </conditionalFormatting>
  <conditionalFormatting sqref="N2313">
    <cfRule type="colorScale" priority="7540">
      <colorScale>
        <cfvo type="min"/>
        <cfvo type="percentile" val="20"/>
        <cfvo type="max"/>
        <color rgb="FF92D050"/>
        <color theme="5" tint="0.79998168889431442"/>
        <color rgb="FFFF0000"/>
      </colorScale>
    </cfRule>
    <cfRule type="colorScale" priority="7541">
      <colorScale>
        <cfvo type="min"/>
        <cfvo type="max"/>
        <color rgb="FFFF0000"/>
        <color rgb="FF92D050"/>
      </colorScale>
    </cfRule>
    <cfRule type="colorScale" priority="7542">
      <colorScale>
        <cfvo type="min"/>
        <cfvo type="percentile" val="50"/>
        <cfvo type="max"/>
        <color rgb="FF5A8AC6"/>
        <color rgb="FFFCFCFF"/>
        <color rgb="FFF8696B"/>
      </colorScale>
    </cfRule>
    <cfRule type="colorScale" priority="7543">
      <colorScale>
        <cfvo type="formula" val="&quot;&gt;20&quot;"/>
        <cfvo type="formula" val="35"/>
        <color rgb="FFF8696B"/>
        <color rgb="FFFCFCFF"/>
      </colorScale>
    </cfRule>
    <cfRule type="colorScale" priority="7544">
      <colorScale>
        <cfvo type="min"/>
        <cfvo type="max"/>
        <color rgb="FFFFEF9C"/>
        <color rgb="FF63BE7B"/>
      </colorScale>
    </cfRule>
  </conditionalFormatting>
  <conditionalFormatting sqref="S2297:S2313">
    <cfRule type="containsText" dxfId="3944" priority="7536" operator="containsText" text="Short Buildup">
      <formula>NOT(ISERROR(SEARCH("Short Buildup",S2297)))</formula>
    </cfRule>
    <cfRule type="containsText" dxfId="3943" priority="7537" operator="containsText" text="Long Liquidation">
      <formula>NOT(ISERROR(SEARCH("Long Liquidation",S2297)))</formula>
    </cfRule>
    <cfRule type="containsText" dxfId="3942" priority="7538" operator="containsText" text="Short covering">
      <formula>NOT(ISERROR(SEARCH("Short covering",S2297)))</formula>
    </cfRule>
    <cfRule type="containsText" dxfId="3941" priority="7539" operator="containsText" text="Long Buildup">
      <formula>NOT(ISERROR(SEARCH("Long Buildup",S2297)))</formula>
    </cfRule>
  </conditionalFormatting>
  <conditionalFormatting sqref="F2297:F2312">
    <cfRule type="dataBar" priority="7535">
      <dataBar>
        <cfvo type="min"/>
        <cfvo type="max"/>
        <color rgb="FFFF555A"/>
      </dataBar>
    </cfRule>
  </conditionalFormatting>
  <conditionalFormatting sqref="G2297:G2312">
    <cfRule type="dataBar" priority="7534">
      <dataBar>
        <cfvo type="min"/>
        <cfvo type="max"/>
        <color rgb="FFFF555A"/>
      </dataBar>
    </cfRule>
  </conditionalFormatting>
  <conditionalFormatting sqref="H2297">
    <cfRule type="dataBar" priority="7533">
      <dataBar>
        <cfvo type="min"/>
        <cfvo type="max"/>
        <color rgb="FFFF555A"/>
      </dataBar>
    </cfRule>
  </conditionalFormatting>
  <conditionalFormatting sqref="I2297">
    <cfRule type="dataBar" priority="7532">
      <dataBar>
        <cfvo type="min"/>
        <cfvo type="max"/>
        <color rgb="FFFF555A"/>
      </dataBar>
    </cfRule>
  </conditionalFormatting>
  <conditionalFormatting sqref="J2297">
    <cfRule type="dataBar" priority="7531">
      <dataBar>
        <cfvo type="min"/>
        <cfvo type="max"/>
        <color rgb="FFFF555A"/>
      </dataBar>
    </cfRule>
  </conditionalFormatting>
  <conditionalFormatting sqref="E2298:E2312">
    <cfRule type="dataBar" priority="7530">
      <dataBar>
        <cfvo type="min"/>
        <cfvo type="max"/>
        <color rgb="FFFF555A"/>
      </dataBar>
    </cfRule>
  </conditionalFormatting>
  <conditionalFormatting sqref="H2298:H2312">
    <cfRule type="dataBar" priority="7529">
      <dataBar>
        <cfvo type="min"/>
        <cfvo type="max"/>
        <color rgb="FFFF555A"/>
      </dataBar>
    </cfRule>
  </conditionalFormatting>
  <conditionalFormatting sqref="I2298:I2312">
    <cfRule type="dataBar" priority="7528">
      <dataBar>
        <cfvo type="min"/>
        <cfvo type="max"/>
        <color rgb="FFFF555A"/>
      </dataBar>
    </cfRule>
  </conditionalFormatting>
  <conditionalFormatting sqref="J2298:J2312">
    <cfRule type="dataBar" priority="7527">
      <dataBar>
        <cfvo type="min"/>
        <cfvo type="max"/>
        <color rgb="FFFF555A"/>
      </dataBar>
    </cfRule>
  </conditionalFormatting>
  <conditionalFormatting sqref="L2297:L2312">
    <cfRule type="dataBar" priority="7526">
      <dataBar>
        <cfvo type="min"/>
        <cfvo type="max"/>
        <color rgb="FFFF555A"/>
      </dataBar>
    </cfRule>
  </conditionalFormatting>
  <conditionalFormatting sqref="M2297:M2312">
    <cfRule type="dataBar" priority="7525">
      <dataBar>
        <cfvo type="min"/>
        <cfvo type="max"/>
        <color rgb="FFFF555A"/>
      </dataBar>
    </cfRule>
  </conditionalFormatting>
  <conditionalFormatting sqref="N2297:N2312">
    <cfRule type="dataBar" priority="7524">
      <dataBar>
        <cfvo type="min"/>
        <cfvo type="max"/>
        <color rgb="FFFF555A"/>
      </dataBar>
    </cfRule>
  </conditionalFormatting>
  <conditionalFormatting sqref="Q2297:Q2312">
    <cfRule type="dataBar" priority="7523">
      <dataBar>
        <cfvo type="min"/>
        <cfvo type="max"/>
        <color rgb="FFFF555A"/>
      </dataBar>
    </cfRule>
  </conditionalFormatting>
  <conditionalFormatting sqref="O2297:O2312">
    <cfRule type="dataBar" priority="7522">
      <dataBar>
        <cfvo type="min"/>
        <cfvo type="max"/>
        <color rgb="FFFF555A"/>
      </dataBar>
    </cfRule>
  </conditionalFormatting>
  <conditionalFormatting sqref="P2297:P2312">
    <cfRule type="dataBar" priority="7521">
      <dataBar>
        <cfvo type="min"/>
        <cfvo type="max"/>
        <color rgb="FFFF555A"/>
      </dataBar>
    </cfRule>
  </conditionalFormatting>
  <conditionalFormatting sqref="R2314:R2330 D2314:D2329 C2330">
    <cfRule type="containsText" dxfId="3940" priority="7520" operator="containsText" text="DOWN">
      <formula>NOT(ISERROR(SEARCH("DOWN",C2314)))</formula>
    </cfRule>
  </conditionalFormatting>
  <conditionalFormatting sqref="R2314:R2330 D2314:D2329 C2330">
    <cfRule type="containsText" dxfId="3939" priority="7519" operator="containsText" text="UP">
      <formula>NOT(ISERROR(SEARCH("UP",C2314)))</formula>
    </cfRule>
  </conditionalFormatting>
  <conditionalFormatting sqref="I2330">
    <cfRule type="colorScale" priority="7518">
      <colorScale>
        <cfvo type="min"/>
        <cfvo type="max"/>
        <color rgb="FFFFEF9C"/>
        <color rgb="FF63BE7B"/>
      </colorScale>
    </cfRule>
  </conditionalFormatting>
  <conditionalFormatting sqref="M2330">
    <cfRule type="colorScale" priority="7517">
      <colorScale>
        <cfvo type="min"/>
        <cfvo type="max"/>
        <color rgb="FFFF7128"/>
        <color rgb="FFFFEF9C"/>
      </colorScale>
    </cfRule>
  </conditionalFormatting>
  <conditionalFormatting sqref="Q2330">
    <cfRule type="dataBar" priority="7516">
      <dataBar>
        <cfvo type="min"/>
        <cfvo type="max"/>
        <color rgb="FFFF555A"/>
      </dataBar>
    </cfRule>
  </conditionalFormatting>
  <conditionalFormatting sqref="E2314:E2330">
    <cfRule type="dataBar" priority="7515">
      <dataBar>
        <cfvo type="min"/>
        <cfvo type="max"/>
        <color rgb="FFFF555A"/>
      </dataBar>
    </cfRule>
  </conditionalFormatting>
  <conditionalFormatting sqref="F2330">
    <cfRule type="top10" dxfId="3938" priority="7514" rank="1"/>
  </conditionalFormatting>
  <conditionalFormatting sqref="G2330 P2330">
    <cfRule type="cellIs" dxfId="3937" priority="7513" operator="equal">
      <formula>$G$135</formula>
    </cfRule>
  </conditionalFormatting>
  <conditionalFormatting sqref="P2330">
    <cfRule type="cellIs" dxfId="3936" priority="7512" operator="equal">
      <formula>$J$135</formula>
    </cfRule>
  </conditionalFormatting>
  <conditionalFormatting sqref="G2330 P2330">
    <cfRule type="cellIs" dxfId="3935" priority="7511" operator="equal">
      <formula>#REF!</formula>
    </cfRule>
  </conditionalFormatting>
  <conditionalFormatting sqref="G2330">
    <cfRule type="top10" dxfId="3934" priority="7509" rank="1"/>
    <cfRule type="cellIs" dxfId="3933" priority="7510" operator="equal">
      <formula>$G$133</formula>
    </cfRule>
  </conditionalFormatting>
  <conditionalFormatting sqref="P2330">
    <cfRule type="top10" dxfId="3932" priority="7507" rank="1"/>
    <cfRule type="cellIs" dxfId="3931" priority="7508" operator="equal">
      <formula>$G$133</formula>
    </cfRule>
  </conditionalFormatting>
  <conditionalFormatting sqref="C2314:C2329">
    <cfRule type="containsText" dxfId="3930" priority="7503" operator="containsText" text="Short Buildup">
      <formula>NOT(ISERROR(SEARCH("Short Buildup",C2314)))</formula>
    </cfRule>
    <cfRule type="containsText" dxfId="3929" priority="7504" operator="containsText" text="Long Liquidation">
      <formula>NOT(ISERROR(SEARCH("Long Liquidation",C2314)))</formula>
    </cfRule>
    <cfRule type="containsText" dxfId="3928" priority="7505" operator="containsText" text="Short covering">
      <formula>NOT(ISERROR(SEARCH("Short covering",C2314)))</formula>
    </cfRule>
    <cfRule type="containsText" dxfId="3927" priority="7506" operator="containsText" text="Long Buildup">
      <formula>NOT(ISERROR(SEARCH("Long Buildup",C2314)))</formula>
    </cfRule>
  </conditionalFormatting>
  <conditionalFormatting sqref="H2330">
    <cfRule type="colorScale" priority="7498">
      <colorScale>
        <cfvo type="min"/>
        <cfvo type="percentile" val="20"/>
        <cfvo type="max"/>
        <color rgb="FF92D050"/>
        <color theme="5" tint="0.79998168889431442"/>
        <color rgb="FFFF0000"/>
      </colorScale>
    </cfRule>
    <cfRule type="colorScale" priority="7499">
      <colorScale>
        <cfvo type="min"/>
        <cfvo type="max"/>
        <color rgb="FFFF0000"/>
        <color rgb="FF92D050"/>
      </colorScale>
    </cfRule>
    <cfRule type="colorScale" priority="7500">
      <colorScale>
        <cfvo type="min"/>
        <cfvo type="percentile" val="50"/>
        <cfvo type="max"/>
        <color rgb="FF5A8AC6"/>
        <color rgb="FFFCFCFF"/>
        <color rgb="FFF8696B"/>
      </colorScale>
    </cfRule>
    <cfRule type="colorScale" priority="7501">
      <colorScale>
        <cfvo type="formula" val="&quot;&gt;20&quot;"/>
        <cfvo type="formula" val="35"/>
        <color rgb="FFF8696B"/>
        <color rgb="FFFCFCFF"/>
      </colorScale>
    </cfRule>
    <cfRule type="colorScale" priority="7502">
      <colorScale>
        <cfvo type="min"/>
        <cfvo type="max"/>
        <color rgb="FFFFEF9C"/>
        <color rgb="FF63BE7B"/>
      </colorScale>
    </cfRule>
  </conditionalFormatting>
  <conditionalFormatting sqref="N2330">
    <cfRule type="colorScale" priority="7493">
      <colorScale>
        <cfvo type="min"/>
        <cfvo type="percentile" val="20"/>
        <cfvo type="max"/>
        <color rgb="FF92D050"/>
        <color theme="5" tint="0.79998168889431442"/>
        <color rgb="FFFF0000"/>
      </colorScale>
    </cfRule>
    <cfRule type="colorScale" priority="7494">
      <colorScale>
        <cfvo type="min"/>
        <cfvo type="max"/>
        <color rgb="FFFF0000"/>
        <color rgb="FF92D050"/>
      </colorScale>
    </cfRule>
    <cfRule type="colorScale" priority="7495">
      <colorScale>
        <cfvo type="min"/>
        <cfvo type="percentile" val="50"/>
        <cfvo type="max"/>
        <color rgb="FF5A8AC6"/>
        <color rgb="FFFCFCFF"/>
        <color rgb="FFF8696B"/>
      </colorScale>
    </cfRule>
    <cfRule type="colorScale" priority="7496">
      <colorScale>
        <cfvo type="formula" val="&quot;&gt;20&quot;"/>
        <cfvo type="formula" val="35"/>
        <color rgb="FFF8696B"/>
        <color rgb="FFFCFCFF"/>
      </colorScale>
    </cfRule>
    <cfRule type="colorScale" priority="7497">
      <colorScale>
        <cfvo type="min"/>
        <cfvo type="max"/>
        <color rgb="FFFFEF9C"/>
        <color rgb="FF63BE7B"/>
      </colorScale>
    </cfRule>
  </conditionalFormatting>
  <conditionalFormatting sqref="S2314:S2330">
    <cfRule type="containsText" dxfId="3926" priority="7489" operator="containsText" text="Short Buildup">
      <formula>NOT(ISERROR(SEARCH("Short Buildup",S2314)))</formula>
    </cfRule>
    <cfRule type="containsText" dxfId="3925" priority="7490" operator="containsText" text="Long Liquidation">
      <formula>NOT(ISERROR(SEARCH("Long Liquidation",S2314)))</formula>
    </cfRule>
    <cfRule type="containsText" dxfId="3924" priority="7491" operator="containsText" text="Short covering">
      <formula>NOT(ISERROR(SEARCH("Short covering",S2314)))</formula>
    </cfRule>
    <cfRule type="containsText" dxfId="3923" priority="7492" operator="containsText" text="Long Buildup">
      <formula>NOT(ISERROR(SEARCH("Long Buildup",S2314)))</formula>
    </cfRule>
  </conditionalFormatting>
  <conditionalFormatting sqref="F2314:F2329">
    <cfRule type="dataBar" priority="7488">
      <dataBar>
        <cfvo type="min"/>
        <cfvo type="max"/>
        <color rgb="FFFF555A"/>
      </dataBar>
    </cfRule>
  </conditionalFormatting>
  <conditionalFormatting sqref="G2314:G2329">
    <cfRule type="dataBar" priority="7487">
      <dataBar>
        <cfvo type="min"/>
        <cfvo type="max"/>
        <color rgb="FFFF555A"/>
      </dataBar>
    </cfRule>
  </conditionalFormatting>
  <conditionalFormatting sqref="H2314">
    <cfRule type="dataBar" priority="7486">
      <dataBar>
        <cfvo type="min"/>
        <cfvo type="max"/>
        <color rgb="FFFF555A"/>
      </dataBar>
    </cfRule>
  </conditionalFormatting>
  <conditionalFormatting sqref="I2314">
    <cfRule type="dataBar" priority="7485">
      <dataBar>
        <cfvo type="min"/>
        <cfvo type="max"/>
        <color rgb="FFFF555A"/>
      </dataBar>
    </cfRule>
  </conditionalFormatting>
  <conditionalFormatting sqref="J2314">
    <cfRule type="dataBar" priority="7484">
      <dataBar>
        <cfvo type="min"/>
        <cfvo type="max"/>
        <color rgb="FFFF555A"/>
      </dataBar>
    </cfRule>
  </conditionalFormatting>
  <conditionalFormatting sqref="E2315:E2329">
    <cfRule type="dataBar" priority="7483">
      <dataBar>
        <cfvo type="min"/>
        <cfvo type="max"/>
        <color rgb="FFFF555A"/>
      </dataBar>
    </cfRule>
  </conditionalFormatting>
  <conditionalFormatting sqref="H2315:H2329">
    <cfRule type="dataBar" priority="7482">
      <dataBar>
        <cfvo type="min"/>
        <cfvo type="max"/>
        <color rgb="FFFF555A"/>
      </dataBar>
    </cfRule>
  </conditionalFormatting>
  <conditionalFormatting sqref="I2315:I2329">
    <cfRule type="dataBar" priority="7481">
      <dataBar>
        <cfvo type="min"/>
        <cfvo type="max"/>
        <color rgb="FFFF555A"/>
      </dataBar>
    </cfRule>
  </conditionalFormatting>
  <conditionalFormatting sqref="J2315:J2329">
    <cfRule type="dataBar" priority="7480">
      <dataBar>
        <cfvo type="min"/>
        <cfvo type="max"/>
        <color rgb="FFFF555A"/>
      </dataBar>
    </cfRule>
  </conditionalFormatting>
  <conditionalFormatting sqref="L2314:L2329">
    <cfRule type="dataBar" priority="7479">
      <dataBar>
        <cfvo type="min"/>
        <cfvo type="max"/>
        <color rgb="FFFF555A"/>
      </dataBar>
    </cfRule>
  </conditionalFormatting>
  <conditionalFormatting sqref="M2314:M2329">
    <cfRule type="dataBar" priority="7478">
      <dataBar>
        <cfvo type="min"/>
        <cfvo type="max"/>
        <color rgb="FFFF555A"/>
      </dataBar>
    </cfRule>
  </conditionalFormatting>
  <conditionalFormatting sqref="N2314:N2329">
    <cfRule type="dataBar" priority="7477">
      <dataBar>
        <cfvo type="min"/>
        <cfvo type="max"/>
        <color rgb="FFFF555A"/>
      </dataBar>
    </cfRule>
  </conditionalFormatting>
  <conditionalFormatting sqref="Q2314:Q2329">
    <cfRule type="dataBar" priority="7476">
      <dataBar>
        <cfvo type="min"/>
        <cfvo type="max"/>
        <color rgb="FFFF555A"/>
      </dataBar>
    </cfRule>
  </conditionalFormatting>
  <conditionalFormatting sqref="O2314:O2329">
    <cfRule type="dataBar" priority="7475">
      <dataBar>
        <cfvo type="min"/>
        <cfvo type="max"/>
        <color rgb="FFFF555A"/>
      </dataBar>
    </cfRule>
  </conditionalFormatting>
  <conditionalFormatting sqref="P2314:P2329">
    <cfRule type="dataBar" priority="7474">
      <dataBar>
        <cfvo type="min"/>
        <cfvo type="max"/>
        <color rgb="FFFF555A"/>
      </dataBar>
    </cfRule>
  </conditionalFormatting>
  <conditionalFormatting sqref="R2331:R2347 D2331:D2346 C2347">
    <cfRule type="containsText" dxfId="3922" priority="7473" operator="containsText" text="DOWN">
      <formula>NOT(ISERROR(SEARCH("DOWN",C2331)))</formula>
    </cfRule>
  </conditionalFormatting>
  <conditionalFormatting sqref="R2331:R2347 D2331:D2346 C2347">
    <cfRule type="containsText" dxfId="3921" priority="7472" operator="containsText" text="UP">
      <formula>NOT(ISERROR(SEARCH("UP",C2331)))</formula>
    </cfRule>
  </conditionalFormatting>
  <conditionalFormatting sqref="I2347">
    <cfRule type="colorScale" priority="7471">
      <colorScale>
        <cfvo type="min"/>
        <cfvo type="max"/>
        <color rgb="FFFFEF9C"/>
        <color rgb="FF63BE7B"/>
      </colorScale>
    </cfRule>
  </conditionalFormatting>
  <conditionalFormatting sqref="M2347">
    <cfRule type="colorScale" priority="7470">
      <colorScale>
        <cfvo type="min"/>
        <cfvo type="max"/>
        <color rgb="FFFF7128"/>
        <color rgb="FFFFEF9C"/>
      </colorScale>
    </cfRule>
  </conditionalFormatting>
  <conditionalFormatting sqref="Q2347">
    <cfRule type="dataBar" priority="7469">
      <dataBar>
        <cfvo type="min"/>
        <cfvo type="max"/>
        <color rgb="FFFF555A"/>
      </dataBar>
    </cfRule>
  </conditionalFormatting>
  <conditionalFormatting sqref="E2331:E2347">
    <cfRule type="dataBar" priority="7468">
      <dataBar>
        <cfvo type="min"/>
        <cfvo type="max"/>
        <color rgb="FFFF555A"/>
      </dataBar>
    </cfRule>
  </conditionalFormatting>
  <conditionalFormatting sqref="F2347">
    <cfRule type="top10" dxfId="3920" priority="7467" rank="1"/>
  </conditionalFormatting>
  <conditionalFormatting sqref="G2347 P2347">
    <cfRule type="cellIs" dxfId="3919" priority="7466" operator="equal">
      <formula>$G$135</formula>
    </cfRule>
  </conditionalFormatting>
  <conditionalFormatting sqref="P2347">
    <cfRule type="cellIs" dxfId="3918" priority="7465" operator="equal">
      <formula>$J$135</formula>
    </cfRule>
  </conditionalFormatting>
  <conditionalFormatting sqref="G2347 P2347">
    <cfRule type="cellIs" dxfId="3917" priority="7464" operator="equal">
      <formula>#REF!</formula>
    </cfRule>
  </conditionalFormatting>
  <conditionalFormatting sqref="G2347">
    <cfRule type="top10" dxfId="3916" priority="7462" rank="1"/>
    <cfRule type="cellIs" dxfId="3915" priority="7463" operator="equal">
      <formula>$G$133</formula>
    </cfRule>
  </conditionalFormatting>
  <conditionalFormatting sqref="P2347">
    <cfRule type="top10" dxfId="3914" priority="7460" rank="1"/>
    <cfRule type="cellIs" dxfId="3913" priority="7461" operator="equal">
      <formula>$G$133</formula>
    </cfRule>
  </conditionalFormatting>
  <conditionalFormatting sqref="C2331:C2346">
    <cfRule type="containsText" dxfId="3912" priority="7456" operator="containsText" text="Short Buildup">
      <formula>NOT(ISERROR(SEARCH("Short Buildup",C2331)))</formula>
    </cfRule>
    <cfRule type="containsText" dxfId="3911" priority="7457" operator="containsText" text="Long Liquidation">
      <formula>NOT(ISERROR(SEARCH("Long Liquidation",C2331)))</formula>
    </cfRule>
    <cfRule type="containsText" dxfId="3910" priority="7458" operator="containsText" text="Short covering">
      <formula>NOT(ISERROR(SEARCH("Short covering",C2331)))</formula>
    </cfRule>
    <cfRule type="containsText" dxfId="3909" priority="7459" operator="containsText" text="Long Buildup">
      <formula>NOT(ISERROR(SEARCH("Long Buildup",C2331)))</formula>
    </cfRule>
  </conditionalFormatting>
  <conditionalFormatting sqref="H2347">
    <cfRule type="colorScale" priority="7451">
      <colorScale>
        <cfvo type="min"/>
        <cfvo type="percentile" val="20"/>
        <cfvo type="max"/>
        <color rgb="FF92D050"/>
        <color theme="5" tint="0.79998168889431442"/>
        <color rgb="FFFF0000"/>
      </colorScale>
    </cfRule>
    <cfRule type="colorScale" priority="7452">
      <colorScale>
        <cfvo type="min"/>
        <cfvo type="max"/>
        <color rgb="FFFF0000"/>
        <color rgb="FF92D050"/>
      </colorScale>
    </cfRule>
    <cfRule type="colorScale" priority="7453">
      <colorScale>
        <cfvo type="min"/>
        <cfvo type="percentile" val="50"/>
        <cfvo type="max"/>
        <color rgb="FF5A8AC6"/>
        <color rgb="FFFCFCFF"/>
        <color rgb="FFF8696B"/>
      </colorScale>
    </cfRule>
    <cfRule type="colorScale" priority="7454">
      <colorScale>
        <cfvo type="formula" val="&quot;&gt;20&quot;"/>
        <cfvo type="formula" val="35"/>
        <color rgb="FFF8696B"/>
        <color rgb="FFFCFCFF"/>
      </colorScale>
    </cfRule>
    <cfRule type="colorScale" priority="7455">
      <colorScale>
        <cfvo type="min"/>
        <cfvo type="max"/>
        <color rgb="FFFFEF9C"/>
        <color rgb="FF63BE7B"/>
      </colorScale>
    </cfRule>
  </conditionalFormatting>
  <conditionalFormatting sqref="N2347">
    <cfRule type="colorScale" priority="7446">
      <colorScale>
        <cfvo type="min"/>
        <cfvo type="percentile" val="20"/>
        <cfvo type="max"/>
        <color rgb="FF92D050"/>
        <color theme="5" tint="0.79998168889431442"/>
        <color rgb="FFFF0000"/>
      </colorScale>
    </cfRule>
    <cfRule type="colorScale" priority="7447">
      <colorScale>
        <cfvo type="min"/>
        <cfvo type="max"/>
        <color rgb="FFFF0000"/>
        <color rgb="FF92D050"/>
      </colorScale>
    </cfRule>
    <cfRule type="colorScale" priority="7448">
      <colorScale>
        <cfvo type="min"/>
        <cfvo type="percentile" val="50"/>
        <cfvo type="max"/>
        <color rgb="FF5A8AC6"/>
        <color rgb="FFFCFCFF"/>
        <color rgb="FFF8696B"/>
      </colorScale>
    </cfRule>
    <cfRule type="colorScale" priority="7449">
      <colorScale>
        <cfvo type="formula" val="&quot;&gt;20&quot;"/>
        <cfvo type="formula" val="35"/>
        <color rgb="FFF8696B"/>
        <color rgb="FFFCFCFF"/>
      </colorScale>
    </cfRule>
    <cfRule type="colorScale" priority="7450">
      <colorScale>
        <cfvo type="min"/>
        <cfvo type="max"/>
        <color rgb="FFFFEF9C"/>
        <color rgb="FF63BE7B"/>
      </colorScale>
    </cfRule>
  </conditionalFormatting>
  <conditionalFormatting sqref="S2331:S2347">
    <cfRule type="containsText" dxfId="3908" priority="7442" operator="containsText" text="Short Buildup">
      <formula>NOT(ISERROR(SEARCH("Short Buildup",S2331)))</formula>
    </cfRule>
    <cfRule type="containsText" dxfId="3907" priority="7443" operator="containsText" text="Long Liquidation">
      <formula>NOT(ISERROR(SEARCH("Long Liquidation",S2331)))</formula>
    </cfRule>
    <cfRule type="containsText" dxfId="3906" priority="7444" operator="containsText" text="Short covering">
      <formula>NOT(ISERROR(SEARCH("Short covering",S2331)))</formula>
    </cfRule>
    <cfRule type="containsText" dxfId="3905" priority="7445" operator="containsText" text="Long Buildup">
      <formula>NOT(ISERROR(SEARCH("Long Buildup",S2331)))</formula>
    </cfRule>
  </conditionalFormatting>
  <conditionalFormatting sqref="F2331:F2346">
    <cfRule type="dataBar" priority="7441">
      <dataBar>
        <cfvo type="min"/>
        <cfvo type="max"/>
        <color rgb="FFFF555A"/>
      </dataBar>
    </cfRule>
  </conditionalFormatting>
  <conditionalFormatting sqref="G2331:G2346">
    <cfRule type="dataBar" priority="7440">
      <dataBar>
        <cfvo type="min"/>
        <cfvo type="max"/>
        <color rgb="FFFF555A"/>
      </dataBar>
    </cfRule>
  </conditionalFormatting>
  <conditionalFormatting sqref="H2331">
    <cfRule type="dataBar" priority="7439">
      <dataBar>
        <cfvo type="min"/>
        <cfvo type="max"/>
        <color rgb="FFFF555A"/>
      </dataBar>
    </cfRule>
  </conditionalFormatting>
  <conditionalFormatting sqref="I2331">
    <cfRule type="dataBar" priority="7438">
      <dataBar>
        <cfvo type="min"/>
        <cfvo type="max"/>
        <color rgb="FFFF555A"/>
      </dataBar>
    </cfRule>
  </conditionalFormatting>
  <conditionalFormatting sqref="J2331">
    <cfRule type="dataBar" priority="7437">
      <dataBar>
        <cfvo type="min"/>
        <cfvo type="max"/>
        <color rgb="FFFF555A"/>
      </dataBar>
    </cfRule>
  </conditionalFormatting>
  <conditionalFormatting sqref="E2332:E2346">
    <cfRule type="dataBar" priority="7436">
      <dataBar>
        <cfvo type="min"/>
        <cfvo type="max"/>
        <color rgb="FFFF555A"/>
      </dataBar>
    </cfRule>
  </conditionalFormatting>
  <conditionalFormatting sqref="H2332:H2346">
    <cfRule type="dataBar" priority="7435">
      <dataBar>
        <cfvo type="min"/>
        <cfvo type="max"/>
        <color rgb="FFFF555A"/>
      </dataBar>
    </cfRule>
  </conditionalFormatting>
  <conditionalFormatting sqref="I2332:I2346">
    <cfRule type="dataBar" priority="7434">
      <dataBar>
        <cfvo type="min"/>
        <cfvo type="max"/>
        <color rgb="FFFF555A"/>
      </dataBar>
    </cfRule>
  </conditionalFormatting>
  <conditionalFormatting sqref="J2332:J2346">
    <cfRule type="dataBar" priority="7433">
      <dataBar>
        <cfvo type="min"/>
        <cfvo type="max"/>
        <color rgb="FFFF555A"/>
      </dataBar>
    </cfRule>
  </conditionalFormatting>
  <conditionalFormatting sqref="L2331:L2346">
    <cfRule type="dataBar" priority="7432">
      <dataBar>
        <cfvo type="min"/>
        <cfvo type="max"/>
        <color rgb="FFFF555A"/>
      </dataBar>
    </cfRule>
  </conditionalFormatting>
  <conditionalFormatting sqref="M2331:M2346">
    <cfRule type="dataBar" priority="7431">
      <dataBar>
        <cfvo type="min"/>
        <cfvo type="max"/>
        <color rgb="FFFF555A"/>
      </dataBar>
    </cfRule>
  </conditionalFormatting>
  <conditionalFormatting sqref="N2331:N2346">
    <cfRule type="dataBar" priority="7430">
      <dataBar>
        <cfvo type="min"/>
        <cfvo type="max"/>
        <color rgb="FFFF555A"/>
      </dataBar>
    </cfRule>
  </conditionalFormatting>
  <conditionalFormatting sqref="Q2331:Q2346">
    <cfRule type="dataBar" priority="7429">
      <dataBar>
        <cfvo type="min"/>
        <cfvo type="max"/>
        <color rgb="FFFF555A"/>
      </dataBar>
    </cfRule>
  </conditionalFormatting>
  <conditionalFormatting sqref="O2331:O2346">
    <cfRule type="dataBar" priority="7428">
      <dataBar>
        <cfvo type="min"/>
        <cfvo type="max"/>
        <color rgb="FFFF555A"/>
      </dataBar>
    </cfRule>
  </conditionalFormatting>
  <conditionalFormatting sqref="P2331:P2346">
    <cfRule type="dataBar" priority="7427">
      <dataBar>
        <cfvo type="min"/>
        <cfvo type="max"/>
        <color rgb="FFFF555A"/>
      </dataBar>
    </cfRule>
  </conditionalFormatting>
  <conditionalFormatting sqref="R2348:R2364 D2348:D2363 C2364">
    <cfRule type="containsText" dxfId="3904" priority="7426" operator="containsText" text="DOWN">
      <formula>NOT(ISERROR(SEARCH("DOWN",C2348)))</formula>
    </cfRule>
  </conditionalFormatting>
  <conditionalFormatting sqref="R2348:R2364 D2348:D2363 C2364">
    <cfRule type="containsText" dxfId="3903" priority="7425" operator="containsText" text="UP">
      <formula>NOT(ISERROR(SEARCH("UP",C2348)))</formula>
    </cfRule>
  </conditionalFormatting>
  <conditionalFormatting sqref="I2364">
    <cfRule type="colorScale" priority="7424">
      <colorScale>
        <cfvo type="min"/>
        <cfvo type="max"/>
        <color rgb="FFFFEF9C"/>
        <color rgb="FF63BE7B"/>
      </colorScale>
    </cfRule>
  </conditionalFormatting>
  <conditionalFormatting sqref="M2364">
    <cfRule type="colorScale" priority="7423">
      <colorScale>
        <cfvo type="min"/>
        <cfvo type="max"/>
        <color rgb="FFFF7128"/>
        <color rgb="FFFFEF9C"/>
      </colorScale>
    </cfRule>
  </conditionalFormatting>
  <conditionalFormatting sqref="Q2364">
    <cfRule type="dataBar" priority="7422">
      <dataBar>
        <cfvo type="min"/>
        <cfvo type="max"/>
        <color rgb="FFFF555A"/>
      </dataBar>
    </cfRule>
  </conditionalFormatting>
  <conditionalFormatting sqref="E2348:E2364">
    <cfRule type="dataBar" priority="7421">
      <dataBar>
        <cfvo type="min"/>
        <cfvo type="max"/>
        <color rgb="FFFF555A"/>
      </dataBar>
    </cfRule>
  </conditionalFormatting>
  <conditionalFormatting sqref="F2364">
    <cfRule type="top10" dxfId="3902" priority="7420" rank="1"/>
  </conditionalFormatting>
  <conditionalFormatting sqref="G2364 P2364">
    <cfRule type="cellIs" dxfId="3901" priority="7419" operator="equal">
      <formula>$G$135</formula>
    </cfRule>
  </conditionalFormatting>
  <conditionalFormatting sqref="P2364">
    <cfRule type="cellIs" dxfId="3900" priority="7418" operator="equal">
      <formula>$J$135</formula>
    </cfRule>
  </conditionalFormatting>
  <conditionalFormatting sqref="G2364 P2364">
    <cfRule type="cellIs" dxfId="3899" priority="7417" operator="equal">
      <formula>#REF!</formula>
    </cfRule>
  </conditionalFormatting>
  <conditionalFormatting sqref="G2364">
    <cfRule type="top10" dxfId="3898" priority="7415" rank="1"/>
    <cfRule type="cellIs" dxfId="3897" priority="7416" operator="equal">
      <formula>$G$133</formula>
    </cfRule>
  </conditionalFormatting>
  <conditionalFormatting sqref="P2364">
    <cfRule type="top10" dxfId="3896" priority="7413" rank="1"/>
    <cfRule type="cellIs" dxfId="3895" priority="7414" operator="equal">
      <formula>$G$133</formula>
    </cfRule>
  </conditionalFormatting>
  <conditionalFormatting sqref="C2348:C2363">
    <cfRule type="containsText" dxfId="3894" priority="7409" operator="containsText" text="Short Buildup">
      <formula>NOT(ISERROR(SEARCH("Short Buildup",C2348)))</formula>
    </cfRule>
    <cfRule type="containsText" dxfId="3893" priority="7410" operator="containsText" text="Long Liquidation">
      <formula>NOT(ISERROR(SEARCH("Long Liquidation",C2348)))</formula>
    </cfRule>
    <cfRule type="containsText" dxfId="3892" priority="7411" operator="containsText" text="Short covering">
      <formula>NOT(ISERROR(SEARCH("Short covering",C2348)))</formula>
    </cfRule>
    <cfRule type="containsText" dxfId="3891" priority="7412" operator="containsText" text="Long Buildup">
      <formula>NOT(ISERROR(SEARCH("Long Buildup",C2348)))</formula>
    </cfRule>
  </conditionalFormatting>
  <conditionalFormatting sqref="H2364">
    <cfRule type="colorScale" priority="7404">
      <colorScale>
        <cfvo type="min"/>
        <cfvo type="percentile" val="20"/>
        <cfvo type="max"/>
        <color rgb="FF92D050"/>
        <color theme="5" tint="0.79998168889431442"/>
        <color rgb="FFFF0000"/>
      </colorScale>
    </cfRule>
    <cfRule type="colorScale" priority="7405">
      <colorScale>
        <cfvo type="min"/>
        <cfvo type="max"/>
        <color rgb="FFFF0000"/>
        <color rgb="FF92D050"/>
      </colorScale>
    </cfRule>
    <cfRule type="colorScale" priority="7406">
      <colorScale>
        <cfvo type="min"/>
        <cfvo type="percentile" val="50"/>
        <cfvo type="max"/>
        <color rgb="FF5A8AC6"/>
        <color rgb="FFFCFCFF"/>
        <color rgb="FFF8696B"/>
      </colorScale>
    </cfRule>
    <cfRule type="colorScale" priority="7407">
      <colorScale>
        <cfvo type="formula" val="&quot;&gt;20&quot;"/>
        <cfvo type="formula" val="35"/>
        <color rgb="FFF8696B"/>
        <color rgb="FFFCFCFF"/>
      </colorScale>
    </cfRule>
    <cfRule type="colorScale" priority="7408">
      <colorScale>
        <cfvo type="min"/>
        <cfvo type="max"/>
        <color rgb="FFFFEF9C"/>
        <color rgb="FF63BE7B"/>
      </colorScale>
    </cfRule>
  </conditionalFormatting>
  <conditionalFormatting sqref="N2364">
    <cfRule type="colorScale" priority="7399">
      <colorScale>
        <cfvo type="min"/>
        <cfvo type="percentile" val="20"/>
        <cfvo type="max"/>
        <color rgb="FF92D050"/>
        <color theme="5" tint="0.79998168889431442"/>
        <color rgb="FFFF0000"/>
      </colorScale>
    </cfRule>
    <cfRule type="colorScale" priority="7400">
      <colorScale>
        <cfvo type="min"/>
        <cfvo type="max"/>
        <color rgb="FFFF0000"/>
        <color rgb="FF92D050"/>
      </colorScale>
    </cfRule>
    <cfRule type="colorScale" priority="7401">
      <colorScale>
        <cfvo type="min"/>
        <cfvo type="percentile" val="50"/>
        <cfvo type="max"/>
        <color rgb="FF5A8AC6"/>
        <color rgb="FFFCFCFF"/>
        <color rgb="FFF8696B"/>
      </colorScale>
    </cfRule>
    <cfRule type="colorScale" priority="7402">
      <colorScale>
        <cfvo type="formula" val="&quot;&gt;20&quot;"/>
        <cfvo type="formula" val="35"/>
        <color rgb="FFF8696B"/>
        <color rgb="FFFCFCFF"/>
      </colorScale>
    </cfRule>
    <cfRule type="colorScale" priority="7403">
      <colorScale>
        <cfvo type="min"/>
        <cfvo type="max"/>
        <color rgb="FFFFEF9C"/>
        <color rgb="FF63BE7B"/>
      </colorScale>
    </cfRule>
  </conditionalFormatting>
  <conditionalFormatting sqref="S2348:S2364">
    <cfRule type="containsText" dxfId="3890" priority="7395" operator="containsText" text="Short Buildup">
      <formula>NOT(ISERROR(SEARCH("Short Buildup",S2348)))</formula>
    </cfRule>
    <cfRule type="containsText" dxfId="3889" priority="7396" operator="containsText" text="Long Liquidation">
      <formula>NOT(ISERROR(SEARCH("Long Liquidation",S2348)))</formula>
    </cfRule>
    <cfRule type="containsText" dxfId="3888" priority="7397" operator="containsText" text="Short covering">
      <formula>NOT(ISERROR(SEARCH("Short covering",S2348)))</formula>
    </cfRule>
    <cfRule type="containsText" dxfId="3887" priority="7398" operator="containsText" text="Long Buildup">
      <formula>NOT(ISERROR(SEARCH("Long Buildup",S2348)))</formula>
    </cfRule>
  </conditionalFormatting>
  <conditionalFormatting sqref="F2348:F2363">
    <cfRule type="dataBar" priority="7394">
      <dataBar>
        <cfvo type="min"/>
        <cfvo type="max"/>
        <color rgb="FFFF555A"/>
      </dataBar>
    </cfRule>
  </conditionalFormatting>
  <conditionalFormatting sqref="G2348:G2363">
    <cfRule type="dataBar" priority="7393">
      <dataBar>
        <cfvo type="min"/>
        <cfvo type="max"/>
        <color rgb="FFFF555A"/>
      </dataBar>
    </cfRule>
  </conditionalFormatting>
  <conditionalFormatting sqref="H2348">
    <cfRule type="dataBar" priority="7392">
      <dataBar>
        <cfvo type="min"/>
        <cfvo type="max"/>
        <color rgb="FFFF555A"/>
      </dataBar>
    </cfRule>
  </conditionalFormatting>
  <conditionalFormatting sqref="I2348">
    <cfRule type="dataBar" priority="7391">
      <dataBar>
        <cfvo type="min"/>
        <cfvo type="max"/>
        <color rgb="FFFF555A"/>
      </dataBar>
    </cfRule>
  </conditionalFormatting>
  <conditionalFormatting sqref="J2348">
    <cfRule type="dataBar" priority="7390">
      <dataBar>
        <cfvo type="min"/>
        <cfvo type="max"/>
        <color rgb="FFFF555A"/>
      </dataBar>
    </cfRule>
  </conditionalFormatting>
  <conditionalFormatting sqref="E2349:E2363">
    <cfRule type="dataBar" priority="7389">
      <dataBar>
        <cfvo type="min"/>
        <cfvo type="max"/>
        <color rgb="FFFF555A"/>
      </dataBar>
    </cfRule>
  </conditionalFormatting>
  <conditionalFormatting sqref="H2349:H2363">
    <cfRule type="dataBar" priority="7388">
      <dataBar>
        <cfvo type="min"/>
        <cfvo type="max"/>
        <color rgb="FFFF555A"/>
      </dataBar>
    </cfRule>
  </conditionalFormatting>
  <conditionalFormatting sqref="I2349:I2363">
    <cfRule type="dataBar" priority="7387">
      <dataBar>
        <cfvo type="min"/>
        <cfvo type="max"/>
        <color rgb="FFFF555A"/>
      </dataBar>
    </cfRule>
  </conditionalFormatting>
  <conditionalFormatting sqref="J2349:J2363">
    <cfRule type="dataBar" priority="7386">
      <dataBar>
        <cfvo type="min"/>
        <cfvo type="max"/>
        <color rgb="FFFF555A"/>
      </dataBar>
    </cfRule>
  </conditionalFormatting>
  <conditionalFormatting sqref="L2348:L2363">
    <cfRule type="dataBar" priority="7385">
      <dataBar>
        <cfvo type="min"/>
        <cfvo type="max"/>
        <color rgb="FFFF555A"/>
      </dataBar>
    </cfRule>
  </conditionalFormatting>
  <conditionalFormatting sqref="M2348:M2363">
    <cfRule type="dataBar" priority="7384">
      <dataBar>
        <cfvo type="min"/>
        <cfvo type="max"/>
        <color rgb="FFFF555A"/>
      </dataBar>
    </cfRule>
  </conditionalFormatting>
  <conditionalFormatting sqref="N2348:N2363">
    <cfRule type="dataBar" priority="7383">
      <dataBar>
        <cfvo type="min"/>
        <cfvo type="max"/>
        <color rgb="FFFF555A"/>
      </dataBar>
    </cfRule>
  </conditionalFormatting>
  <conditionalFormatting sqref="Q2348:Q2363">
    <cfRule type="dataBar" priority="7382">
      <dataBar>
        <cfvo type="min"/>
        <cfvo type="max"/>
        <color rgb="FFFF555A"/>
      </dataBar>
    </cfRule>
  </conditionalFormatting>
  <conditionalFormatting sqref="O2348:O2363">
    <cfRule type="dataBar" priority="7381">
      <dataBar>
        <cfvo type="min"/>
        <cfvo type="max"/>
        <color rgb="FFFF555A"/>
      </dataBar>
    </cfRule>
  </conditionalFormatting>
  <conditionalFormatting sqref="P2348:P2363">
    <cfRule type="dataBar" priority="7380">
      <dataBar>
        <cfvo type="min"/>
        <cfvo type="max"/>
        <color rgb="FFFF555A"/>
      </dataBar>
    </cfRule>
  </conditionalFormatting>
  <conditionalFormatting sqref="R2365:R2381 D2365:D2380 C2381">
    <cfRule type="containsText" dxfId="3886" priority="7379" operator="containsText" text="DOWN">
      <formula>NOT(ISERROR(SEARCH("DOWN",C2365)))</formula>
    </cfRule>
  </conditionalFormatting>
  <conditionalFormatting sqref="R2365:R2381 D2365:D2380 C2381">
    <cfRule type="containsText" dxfId="3885" priority="7378" operator="containsText" text="UP">
      <formula>NOT(ISERROR(SEARCH("UP",C2365)))</formula>
    </cfRule>
  </conditionalFormatting>
  <conditionalFormatting sqref="I2381">
    <cfRule type="colorScale" priority="7377">
      <colorScale>
        <cfvo type="min"/>
        <cfvo type="max"/>
        <color rgb="FFFFEF9C"/>
        <color rgb="FF63BE7B"/>
      </colorScale>
    </cfRule>
  </conditionalFormatting>
  <conditionalFormatting sqref="M2381">
    <cfRule type="colorScale" priority="7376">
      <colorScale>
        <cfvo type="min"/>
        <cfvo type="max"/>
        <color rgb="FFFF7128"/>
        <color rgb="FFFFEF9C"/>
      </colorScale>
    </cfRule>
  </conditionalFormatting>
  <conditionalFormatting sqref="Q2381">
    <cfRule type="dataBar" priority="7375">
      <dataBar>
        <cfvo type="min"/>
        <cfvo type="max"/>
        <color rgb="FFFF555A"/>
      </dataBar>
    </cfRule>
  </conditionalFormatting>
  <conditionalFormatting sqref="E2365:E2381">
    <cfRule type="dataBar" priority="7374">
      <dataBar>
        <cfvo type="min"/>
        <cfvo type="max"/>
        <color rgb="FFFF555A"/>
      </dataBar>
    </cfRule>
  </conditionalFormatting>
  <conditionalFormatting sqref="F2381">
    <cfRule type="top10" dxfId="3884" priority="7373" rank="1"/>
  </conditionalFormatting>
  <conditionalFormatting sqref="G2381 P2381">
    <cfRule type="cellIs" dxfId="3883" priority="7372" operator="equal">
      <formula>$G$135</formula>
    </cfRule>
  </conditionalFormatting>
  <conditionalFormatting sqref="P2381">
    <cfRule type="cellIs" dxfId="3882" priority="7371" operator="equal">
      <formula>$J$135</formula>
    </cfRule>
  </conditionalFormatting>
  <conditionalFormatting sqref="G2381 P2381">
    <cfRule type="cellIs" dxfId="3881" priority="7370" operator="equal">
      <formula>#REF!</formula>
    </cfRule>
  </conditionalFormatting>
  <conditionalFormatting sqref="G2381">
    <cfRule type="top10" dxfId="3880" priority="7368" rank="1"/>
    <cfRule type="cellIs" dxfId="3879" priority="7369" operator="equal">
      <formula>$G$133</formula>
    </cfRule>
  </conditionalFormatting>
  <conditionalFormatting sqref="P2381">
    <cfRule type="top10" dxfId="3878" priority="7366" rank="1"/>
    <cfRule type="cellIs" dxfId="3877" priority="7367" operator="equal">
      <formula>$G$133</formula>
    </cfRule>
  </conditionalFormatting>
  <conditionalFormatting sqref="C2365:C2380">
    <cfRule type="containsText" dxfId="3876" priority="7362" operator="containsText" text="Short Buildup">
      <formula>NOT(ISERROR(SEARCH("Short Buildup",C2365)))</formula>
    </cfRule>
    <cfRule type="containsText" dxfId="3875" priority="7363" operator="containsText" text="Long Liquidation">
      <formula>NOT(ISERROR(SEARCH("Long Liquidation",C2365)))</formula>
    </cfRule>
    <cfRule type="containsText" dxfId="3874" priority="7364" operator="containsText" text="Short covering">
      <formula>NOT(ISERROR(SEARCH("Short covering",C2365)))</formula>
    </cfRule>
    <cfRule type="containsText" dxfId="3873" priority="7365" operator="containsText" text="Long Buildup">
      <formula>NOT(ISERROR(SEARCH("Long Buildup",C2365)))</formula>
    </cfRule>
  </conditionalFormatting>
  <conditionalFormatting sqref="H2381">
    <cfRule type="colorScale" priority="7357">
      <colorScale>
        <cfvo type="min"/>
        <cfvo type="percentile" val="20"/>
        <cfvo type="max"/>
        <color rgb="FF92D050"/>
        <color theme="5" tint="0.79998168889431442"/>
        <color rgb="FFFF0000"/>
      </colorScale>
    </cfRule>
    <cfRule type="colorScale" priority="7358">
      <colorScale>
        <cfvo type="min"/>
        <cfvo type="max"/>
        <color rgb="FFFF0000"/>
        <color rgb="FF92D050"/>
      </colorScale>
    </cfRule>
    <cfRule type="colorScale" priority="7359">
      <colorScale>
        <cfvo type="min"/>
        <cfvo type="percentile" val="50"/>
        <cfvo type="max"/>
        <color rgb="FF5A8AC6"/>
        <color rgb="FFFCFCFF"/>
        <color rgb="FFF8696B"/>
      </colorScale>
    </cfRule>
    <cfRule type="colorScale" priority="7360">
      <colorScale>
        <cfvo type="formula" val="&quot;&gt;20&quot;"/>
        <cfvo type="formula" val="35"/>
        <color rgb="FFF8696B"/>
        <color rgb="FFFCFCFF"/>
      </colorScale>
    </cfRule>
    <cfRule type="colorScale" priority="7361">
      <colorScale>
        <cfvo type="min"/>
        <cfvo type="max"/>
        <color rgb="FFFFEF9C"/>
        <color rgb="FF63BE7B"/>
      </colorScale>
    </cfRule>
  </conditionalFormatting>
  <conditionalFormatting sqref="N2381">
    <cfRule type="colorScale" priority="7352">
      <colorScale>
        <cfvo type="min"/>
        <cfvo type="percentile" val="20"/>
        <cfvo type="max"/>
        <color rgb="FF92D050"/>
        <color theme="5" tint="0.79998168889431442"/>
        <color rgb="FFFF0000"/>
      </colorScale>
    </cfRule>
    <cfRule type="colorScale" priority="7353">
      <colorScale>
        <cfvo type="min"/>
        <cfvo type="max"/>
        <color rgb="FFFF0000"/>
        <color rgb="FF92D050"/>
      </colorScale>
    </cfRule>
    <cfRule type="colorScale" priority="7354">
      <colorScale>
        <cfvo type="min"/>
        <cfvo type="percentile" val="50"/>
        <cfvo type="max"/>
        <color rgb="FF5A8AC6"/>
        <color rgb="FFFCFCFF"/>
        <color rgb="FFF8696B"/>
      </colorScale>
    </cfRule>
    <cfRule type="colorScale" priority="7355">
      <colorScale>
        <cfvo type="formula" val="&quot;&gt;20&quot;"/>
        <cfvo type="formula" val="35"/>
        <color rgb="FFF8696B"/>
        <color rgb="FFFCFCFF"/>
      </colorScale>
    </cfRule>
    <cfRule type="colorScale" priority="7356">
      <colorScale>
        <cfvo type="min"/>
        <cfvo type="max"/>
        <color rgb="FFFFEF9C"/>
        <color rgb="FF63BE7B"/>
      </colorScale>
    </cfRule>
  </conditionalFormatting>
  <conditionalFormatting sqref="S2365:S2381">
    <cfRule type="containsText" dxfId="3872" priority="7348" operator="containsText" text="Short Buildup">
      <formula>NOT(ISERROR(SEARCH("Short Buildup",S2365)))</formula>
    </cfRule>
    <cfRule type="containsText" dxfId="3871" priority="7349" operator="containsText" text="Long Liquidation">
      <formula>NOT(ISERROR(SEARCH("Long Liquidation",S2365)))</formula>
    </cfRule>
    <cfRule type="containsText" dxfId="3870" priority="7350" operator="containsText" text="Short covering">
      <formula>NOT(ISERROR(SEARCH("Short covering",S2365)))</formula>
    </cfRule>
    <cfRule type="containsText" dxfId="3869" priority="7351" operator="containsText" text="Long Buildup">
      <formula>NOT(ISERROR(SEARCH("Long Buildup",S2365)))</formula>
    </cfRule>
  </conditionalFormatting>
  <conditionalFormatting sqref="F2365:F2380">
    <cfRule type="dataBar" priority="7347">
      <dataBar>
        <cfvo type="min"/>
        <cfvo type="max"/>
        <color rgb="FFFF555A"/>
      </dataBar>
    </cfRule>
  </conditionalFormatting>
  <conditionalFormatting sqref="G2365:G2380">
    <cfRule type="dataBar" priority="7346">
      <dataBar>
        <cfvo type="min"/>
        <cfvo type="max"/>
        <color rgb="FFFF555A"/>
      </dataBar>
    </cfRule>
  </conditionalFormatting>
  <conditionalFormatting sqref="H2365">
    <cfRule type="dataBar" priority="7345">
      <dataBar>
        <cfvo type="min"/>
        <cfvo type="max"/>
        <color rgb="FFFF555A"/>
      </dataBar>
    </cfRule>
  </conditionalFormatting>
  <conditionalFormatting sqref="I2365">
    <cfRule type="dataBar" priority="7344">
      <dataBar>
        <cfvo type="min"/>
        <cfvo type="max"/>
        <color rgb="FFFF555A"/>
      </dataBar>
    </cfRule>
  </conditionalFormatting>
  <conditionalFormatting sqref="J2365">
    <cfRule type="dataBar" priority="7343">
      <dataBar>
        <cfvo type="min"/>
        <cfvo type="max"/>
        <color rgb="FFFF555A"/>
      </dataBar>
    </cfRule>
  </conditionalFormatting>
  <conditionalFormatting sqref="E2366:E2380">
    <cfRule type="dataBar" priority="7342">
      <dataBar>
        <cfvo type="min"/>
        <cfvo type="max"/>
        <color rgb="FFFF555A"/>
      </dataBar>
    </cfRule>
  </conditionalFormatting>
  <conditionalFormatting sqref="H2366:H2380">
    <cfRule type="dataBar" priority="7341">
      <dataBar>
        <cfvo type="min"/>
        <cfvo type="max"/>
        <color rgb="FFFF555A"/>
      </dataBar>
    </cfRule>
  </conditionalFormatting>
  <conditionalFormatting sqref="I2366:I2380">
    <cfRule type="dataBar" priority="7340">
      <dataBar>
        <cfvo type="min"/>
        <cfvo type="max"/>
        <color rgb="FFFF555A"/>
      </dataBar>
    </cfRule>
  </conditionalFormatting>
  <conditionalFormatting sqref="J2366:J2380">
    <cfRule type="dataBar" priority="7339">
      <dataBar>
        <cfvo type="min"/>
        <cfvo type="max"/>
        <color rgb="FFFF555A"/>
      </dataBar>
    </cfRule>
  </conditionalFormatting>
  <conditionalFormatting sqref="L2365:L2380">
    <cfRule type="dataBar" priority="7338">
      <dataBar>
        <cfvo type="min"/>
        <cfvo type="max"/>
        <color rgb="FFFF555A"/>
      </dataBar>
    </cfRule>
  </conditionalFormatting>
  <conditionalFormatting sqref="M2365:M2380">
    <cfRule type="dataBar" priority="7337">
      <dataBar>
        <cfvo type="min"/>
        <cfvo type="max"/>
        <color rgb="FFFF555A"/>
      </dataBar>
    </cfRule>
  </conditionalFormatting>
  <conditionalFormatting sqref="N2365:N2380">
    <cfRule type="dataBar" priority="7336">
      <dataBar>
        <cfvo type="min"/>
        <cfvo type="max"/>
        <color rgb="FFFF555A"/>
      </dataBar>
    </cfRule>
  </conditionalFormatting>
  <conditionalFormatting sqref="Q2365:Q2380">
    <cfRule type="dataBar" priority="7335">
      <dataBar>
        <cfvo type="min"/>
        <cfvo type="max"/>
        <color rgb="FFFF555A"/>
      </dataBar>
    </cfRule>
  </conditionalFormatting>
  <conditionalFormatting sqref="O2365:O2380">
    <cfRule type="dataBar" priority="7334">
      <dataBar>
        <cfvo type="min"/>
        <cfvo type="max"/>
        <color rgb="FFFF555A"/>
      </dataBar>
    </cfRule>
  </conditionalFormatting>
  <conditionalFormatting sqref="P2365:P2380">
    <cfRule type="dataBar" priority="7333">
      <dataBar>
        <cfvo type="min"/>
        <cfvo type="max"/>
        <color rgb="FFFF555A"/>
      </dataBar>
    </cfRule>
  </conditionalFormatting>
  <conditionalFormatting sqref="R2382:R2398 D2382:D2397 C2398">
    <cfRule type="containsText" dxfId="3868" priority="7332" operator="containsText" text="DOWN">
      <formula>NOT(ISERROR(SEARCH("DOWN",C2382)))</formula>
    </cfRule>
  </conditionalFormatting>
  <conditionalFormatting sqref="R2382:R2398 D2382:D2397 C2398">
    <cfRule type="containsText" dxfId="3867" priority="7331" operator="containsText" text="UP">
      <formula>NOT(ISERROR(SEARCH("UP",C2382)))</formula>
    </cfRule>
  </conditionalFormatting>
  <conditionalFormatting sqref="I2398">
    <cfRule type="colorScale" priority="7330">
      <colorScale>
        <cfvo type="min"/>
        <cfvo type="max"/>
        <color rgb="FFFFEF9C"/>
        <color rgb="FF63BE7B"/>
      </colorScale>
    </cfRule>
  </conditionalFormatting>
  <conditionalFormatting sqref="M2398">
    <cfRule type="colorScale" priority="7329">
      <colorScale>
        <cfvo type="min"/>
        <cfvo type="max"/>
        <color rgb="FFFF7128"/>
        <color rgb="FFFFEF9C"/>
      </colorScale>
    </cfRule>
  </conditionalFormatting>
  <conditionalFormatting sqref="Q2398">
    <cfRule type="dataBar" priority="7328">
      <dataBar>
        <cfvo type="min"/>
        <cfvo type="max"/>
        <color rgb="FFFF555A"/>
      </dataBar>
    </cfRule>
  </conditionalFormatting>
  <conditionalFormatting sqref="E2382:E2398">
    <cfRule type="dataBar" priority="7327">
      <dataBar>
        <cfvo type="min"/>
        <cfvo type="max"/>
        <color rgb="FFFF555A"/>
      </dataBar>
    </cfRule>
  </conditionalFormatting>
  <conditionalFormatting sqref="F2398">
    <cfRule type="top10" dxfId="3866" priority="7326" rank="1"/>
  </conditionalFormatting>
  <conditionalFormatting sqref="G2398 P2398">
    <cfRule type="cellIs" dxfId="3865" priority="7325" operator="equal">
      <formula>$G$135</formula>
    </cfRule>
  </conditionalFormatting>
  <conditionalFormatting sqref="P2398">
    <cfRule type="cellIs" dxfId="3864" priority="7324" operator="equal">
      <formula>$J$135</formula>
    </cfRule>
  </conditionalFormatting>
  <conditionalFormatting sqref="G2398 P2398">
    <cfRule type="cellIs" dxfId="3863" priority="7323" operator="equal">
      <formula>#REF!</formula>
    </cfRule>
  </conditionalFormatting>
  <conditionalFormatting sqref="G2398">
    <cfRule type="top10" dxfId="3862" priority="7321" rank="1"/>
    <cfRule type="cellIs" dxfId="3861" priority="7322" operator="equal">
      <formula>$G$133</formula>
    </cfRule>
  </conditionalFormatting>
  <conditionalFormatting sqref="P2398">
    <cfRule type="top10" dxfId="3860" priority="7319" rank="1"/>
    <cfRule type="cellIs" dxfId="3859" priority="7320" operator="equal">
      <formula>$G$133</formula>
    </cfRule>
  </conditionalFormatting>
  <conditionalFormatting sqref="C2382:C2397">
    <cfRule type="containsText" dxfId="3858" priority="7315" operator="containsText" text="Short Buildup">
      <formula>NOT(ISERROR(SEARCH("Short Buildup",C2382)))</formula>
    </cfRule>
    <cfRule type="containsText" dxfId="3857" priority="7316" operator="containsText" text="Long Liquidation">
      <formula>NOT(ISERROR(SEARCH("Long Liquidation",C2382)))</formula>
    </cfRule>
    <cfRule type="containsText" dxfId="3856" priority="7317" operator="containsText" text="Short covering">
      <formula>NOT(ISERROR(SEARCH("Short covering",C2382)))</formula>
    </cfRule>
    <cfRule type="containsText" dxfId="3855" priority="7318" operator="containsText" text="Long Buildup">
      <formula>NOT(ISERROR(SEARCH("Long Buildup",C2382)))</formula>
    </cfRule>
  </conditionalFormatting>
  <conditionalFormatting sqref="H2398">
    <cfRule type="colorScale" priority="7310">
      <colorScale>
        <cfvo type="min"/>
        <cfvo type="percentile" val="20"/>
        <cfvo type="max"/>
        <color rgb="FF92D050"/>
        <color theme="5" tint="0.79998168889431442"/>
        <color rgb="FFFF0000"/>
      </colorScale>
    </cfRule>
    <cfRule type="colorScale" priority="7311">
      <colorScale>
        <cfvo type="min"/>
        <cfvo type="max"/>
        <color rgb="FFFF0000"/>
        <color rgb="FF92D050"/>
      </colorScale>
    </cfRule>
    <cfRule type="colorScale" priority="7312">
      <colorScale>
        <cfvo type="min"/>
        <cfvo type="percentile" val="50"/>
        <cfvo type="max"/>
        <color rgb="FF5A8AC6"/>
        <color rgb="FFFCFCFF"/>
        <color rgb="FFF8696B"/>
      </colorScale>
    </cfRule>
    <cfRule type="colorScale" priority="7313">
      <colorScale>
        <cfvo type="formula" val="&quot;&gt;20&quot;"/>
        <cfvo type="formula" val="35"/>
        <color rgb="FFF8696B"/>
        <color rgb="FFFCFCFF"/>
      </colorScale>
    </cfRule>
    <cfRule type="colorScale" priority="7314">
      <colorScale>
        <cfvo type="min"/>
        <cfvo type="max"/>
        <color rgb="FFFFEF9C"/>
        <color rgb="FF63BE7B"/>
      </colorScale>
    </cfRule>
  </conditionalFormatting>
  <conditionalFormatting sqref="N2398">
    <cfRule type="colorScale" priority="7305">
      <colorScale>
        <cfvo type="min"/>
        <cfvo type="percentile" val="20"/>
        <cfvo type="max"/>
        <color rgb="FF92D050"/>
        <color theme="5" tint="0.79998168889431442"/>
        <color rgb="FFFF0000"/>
      </colorScale>
    </cfRule>
    <cfRule type="colorScale" priority="7306">
      <colorScale>
        <cfvo type="min"/>
        <cfvo type="max"/>
        <color rgb="FFFF0000"/>
        <color rgb="FF92D050"/>
      </colorScale>
    </cfRule>
    <cfRule type="colorScale" priority="7307">
      <colorScale>
        <cfvo type="min"/>
        <cfvo type="percentile" val="50"/>
        <cfvo type="max"/>
        <color rgb="FF5A8AC6"/>
        <color rgb="FFFCFCFF"/>
        <color rgb="FFF8696B"/>
      </colorScale>
    </cfRule>
    <cfRule type="colorScale" priority="7308">
      <colorScale>
        <cfvo type="formula" val="&quot;&gt;20&quot;"/>
        <cfvo type="formula" val="35"/>
        <color rgb="FFF8696B"/>
        <color rgb="FFFCFCFF"/>
      </colorScale>
    </cfRule>
    <cfRule type="colorScale" priority="7309">
      <colorScale>
        <cfvo type="min"/>
        <cfvo type="max"/>
        <color rgb="FFFFEF9C"/>
        <color rgb="FF63BE7B"/>
      </colorScale>
    </cfRule>
  </conditionalFormatting>
  <conditionalFormatting sqref="S2382:S2398">
    <cfRule type="containsText" dxfId="3854" priority="7301" operator="containsText" text="Short Buildup">
      <formula>NOT(ISERROR(SEARCH("Short Buildup",S2382)))</formula>
    </cfRule>
    <cfRule type="containsText" dxfId="3853" priority="7302" operator="containsText" text="Long Liquidation">
      <formula>NOT(ISERROR(SEARCH("Long Liquidation",S2382)))</formula>
    </cfRule>
    <cfRule type="containsText" dxfId="3852" priority="7303" operator="containsText" text="Short covering">
      <formula>NOT(ISERROR(SEARCH("Short covering",S2382)))</formula>
    </cfRule>
    <cfRule type="containsText" dxfId="3851" priority="7304" operator="containsText" text="Long Buildup">
      <formula>NOT(ISERROR(SEARCH("Long Buildup",S2382)))</formula>
    </cfRule>
  </conditionalFormatting>
  <conditionalFormatting sqref="F2382:F2397">
    <cfRule type="dataBar" priority="7300">
      <dataBar>
        <cfvo type="min"/>
        <cfvo type="max"/>
        <color rgb="FFFF555A"/>
      </dataBar>
    </cfRule>
  </conditionalFormatting>
  <conditionalFormatting sqref="G2382:G2397">
    <cfRule type="dataBar" priority="7299">
      <dataBar>
        <cfvo type="min"/>
        <cfvo type="max"/>
        <color rgb="FFFF555A"/>
      </dataBar>
    </cfRule>
  </conditionalFormatting>
  <conditionalFormatting sqref="H2382">
    <cfRule type="dataBar" priority="7298">
      <dataBar>
        <cfvo type="min"/>
        <cfvo type="max"/>
        <color rgb="FFFF555A"/>
      </dataBar>
    </cfRule>
  </conditionalFormatting>
  <conditionalFormatting sqref="I2382">
    <cfRule type="dataBar" priority="7297">
      <dataBar>
        <cfvo type="min"/>
        <cfvo type="max"/>
        <color rgb="FFFF555A"/>
      </dataBar>
    </cfRule>
  </conditionalFormatting>
  <conditionalFormatting sqref="J2382">
    <cfRule type="dataBar" priority="7296">
      <dataBar>
        <cfvo type="min"/>
        <cfvo type="max"/>
        <color rgb="FFFF555A"/>
      </dataBar>
    </cfRule>
  </conditionalFormatting>
  <conditionalFormatting sqref="E2383:E2397">
    <cfRule type="dataBar" priority="7295">
      <dataBar>
        <cfvo type="min"/>
        <cfvo type="max"/>
        <color rgb="FFFF555A"/>
      </dataBar>
    </cfRule>
  </conditionalFormatting>
  <conditionalFormatting sqref="H2383:H2397">
    <cfRule type="dataBar" priority="7294">
      <dataBar>
        <cfvo type="min"/>
        <cfvo type="max"/>
        <color rgb="FFFF555A"/>
      </dataBar>
    </cfRule>
  </conditionalFormatting>
  <conditionalFormatting sqref="I2383:I2397">
    <cfRule type="dataBar" priority="7293">
      <dataBar>
        <cfvo type="min"/>
        <cfvo type="max"/>
        <color rgb="FFFF555A"/>
      </dataBar>
    </cfRule>
  </conditionalFormatting>
  <conditionalFormatting sqref="J2383:J2397">
    <cfRule type="dataBar" priority="7292">
      <dataBar>
        <cfvo type="min"/>
        <cfvo type="max"/>
        <color rgb="FFFF555A"/>
      </dataBar>
    </cfRule>
  </conditionalFormatting>
  <conditionalFormatting sqref="L2382:L2397">
    <cfRule type="dataBar" priority="7291">
      <dataBar>
        <cfvo type="min"/>
        <cfvo type="max"/>
        <color rgb="FFFF555A"/>
      </dataBar>
    </cfRule>
  </conditionalFormatting>
  <conditionalFormatting sqref="M2382:M2397">
    <cfRule type="dataBar" priority="7290">
      <dataBar>
        <cfvo type="min"/>
        <cfvo type="max"/>
        <color rgb="FFFF555A"/>
      </dataBar>
    </cfRule>
  </conditionalFormatting>
  <conditionalFormatting sqref="N2382:N2397">
    <cfRule type="dataBar" priority="7289">
      <dataBar>
        <cfvo type="min"/>
        <cfvo type="max"/>
        <color rgb="FFFF555A"/>
      </dataBar>
    </cfRule>
  </conditionalFormatting>
  <conditionalFormatting sqref="Q2382:Q2397">
    <cfRule type="dataBar" priority="7288">
      <dataBar>
        <cfvo type="min"/>
        <cfvo type="max"/>
        <color rgb="FFFF555A"/>
      </dataBar>
    </cfRule>
  </conditionalFormatting>
  <conditionalFormatting sqref="O2382:O2397">
    <cfRule type="dataBar" priority="7287">
      <dataBar>
        <cfvo type="min"/>
        <cfvo type="max"/>
        <color rgb="FFFF555A"/>
      </dataBar>
    </cfRule>
  </conditionalFormatting>
  <conditionalFormatting sqref="P2382:P2397">
    <cfRule type="dataBar" priority="7286">
      <dataBar>
        <cfvo type="min"/>
        <cfvo type="max"/>
        <color rgb="FFFF555A"/>
      </dataBar>
    </cfRule>
  </conditionalFormatting>
  <conditionalFormatting sqref="R2399:R2415 D2399:D2414 C2415">
    <cfRule type="containsText" dxfId="3850" priority="7285" operator="containsText" text="DOWN">
      <formula>NOT(ISERROR(SEARCH("DOWN",C2399)))</formula>
    </cfRule>
  </conditionalFormatting>
  <conditionalFormatting sqref="R2399:R2415 D2399:D2414 C2415">
    <cfRule type="containsText" dxfId="3849" priority="7284" operator="containsText" text="UP">
      <formula>NOT(ISERROR(SEARCH("UP",C2399)))</formula>
    </cfRule>
  </conditionalFormatting>
  <conditionalFormatting sqref="I2415">
    <cfRule type="colorScale" priority="7283">
      <colorScale>
        <cfvo type="min"/>
        <cfvo type="max"/>
        <color rgb="FFFFEF9C"/>
        <color rgb="FF63BE7B"/>
      </colorScale>
    </cfRule>
  </conditionalFormatting>
  <conditionalFormatting sqref="M2415">
    <cfRule type="colorScale" priority="7282">
      <colorScale>
        <cfvo type="min"/>
        <cfvo type="max"/>
        <color rgb="FFFF7128"/>
        <color rgb="FFFFEF9C"/>
      </colorScale>
    </cfRule>
  </conditionalFormatting>
  <conditionalFormatting sqref="Q2415">
    <cfRule type="dataBar" priority="7281">
      <dataBar>
        <cfvo type="min"/>
        <cfvo type="max"/>
        <color rgb="FFFF555A"/>
      </dataBar>
    </cfRule>
  </conditionalFormatting>
  <conditionalFormatting sqref="E2399:E2415">
    <cfRule type="dataBar" priority="7280">
      <dataBar>
        <cfvo type="min"/>
        <cfvo type="max"/>
        <color rgb="FFFF555A"/>
      </dataBar>
    </cfRule>
  </conditionalFormatting>
  <conditionalFormatting sqref="F2415">
    <cfRule type="top10" dxfId="3848" priority="7279" rank="1"/>
  </conditionalFormatting>
  <conditionalFormatting sqref="G2415 P2415">
    <cfRule type="cellIs" dxfId="3847" priority="7278" operator="equal">
      <formula>$G$135</formula>
    </cfRule>
  </conditionalFormatting>
  <conditionalFormatting sqref="P2415">
    <cfRule type="cellIs" dxfId="3846" priority="7277" operator="equal">
      <formula>$J$135</formula>
    </cfRule>
  </conditionalFormatting>
  <conditionalFormatting sqref="G2415 P2415">
    <cfRule type="cellIs" dxfId="3845" priority="7276" operator="equal">
      <formula>#REF!</formula>
    </cfRule>
  </conditionalFormatting>
  <conditionalFormatting sqref="G2415">
    <cfRule type="top10" dxfId="3844" priority="7274" rank="1"/>
    <cfRule type="cellIs" dxfId="3843" priority="7275" operator="equal">
      <formula>$G$133</formula>
    </cfRule>
  </conditionalFormatting>
  <conditionalFormatting sqref="P2415">
    <cfRule type="top10" dxfId="3842" priority="7272" rank="1"/>
    <cfRule type="cellIs" dxfId="3841" priority="7273" operator="equal">
      <formula>$G$133</formula>
    </cfRule>
  </conditionalFormatting>
  <conditionalFormatting sqref="C2399:C2414">
    <cfRule type="containsText" dxfId="3840" priority="7268" operator="containsText" text="Short Buildup">
      <formula>NOT(ISERROR(SEARCH("Short Buildup",C2399)))</formula>
    </cfRule>
    <cfRule type="containsText" dxfId="3839" priority="7269" operator="containsText" text="Long Liquidation">
      <formula>NOT(ISERROR(SEARCH("Long Liquidation",C2399)))</formula>
    </cfRule>
    <cfRule type="containsText" dxfId="3838" priority="7270" operator="containsText" text="Short covering">
      <formula>NOT(ISERROR(SEARCH("Short covering",C2399)))</formula>
    </cfRule>
    <cfRule type="containsText" dxfId="3837" priority="7271" operator="containsText" text="Long Buildup">
      <formula>NOT(ISERROR(SEARCH("Long Buildup",C2399)))</formula>
    </cfRule>
  </conditionalFormatting>
  <conditionalFormatting sqref="H2415">
    <cfRule type="colorScale" priority="7263">
      <colorScale>
        <cfvo type="min"/>
        <cfvo type="percentile" val="20"/>
        <cfvo type="max"/>
        <color rgb="FF92D050"/>
        <color theme="5" tint="0.79998168889431442"/>
        <color rgb="FFFF0000"/>
      </colorScale>
    </cfRule>
    <cfRule type="colorScale" priority="7264">
      <colorScale>
        <cfvo type="min"/>
        <cfvo type="max"/>
        <color rgb="FFFF0000"/>
        <color rgb="FF92D050"/>
      </colorScale>
    </cfRule>
    <cfRule type="colorScale" priority="7265">
      <colorScale>
        <cfvo type="min"/>
        <cfvo type="percentile" val="50"/>
        <cfvo type="max"/>
        <color rgb="FF5A8AC6"/>
        <color rgb="FFFCFCFF"/>
        <color rgb="FFF8696B"/>
      </colorScale>
    </cfRule>
    <cfRule type="colorScale" priority="7266">
      <colorScale>
        <cfvo type="formula" val="&quot;&gt;20&quot;"/>
        <cfvo type="formula" val="35"/>
        <color rgb="FFF8696B"/>
        <color rgb="FFFCFCFF"/>
      </colorScale>
    </cfRule>
    <cfRule type="colorScale" priority="7267">
      <colorScale>
        <cfvo type="min"/>
        <cfvo type="max"/>
        <color rgb="FFFFEF9C"/>
        <color rgb="FF63BE7B"/>
      </colorScale>
    </cfRule>
  </conditionalFormatting>
  <conditionalFormatting sqref="N2415">
    <cfRule type="colorScale" priority="7258">
      <colorScale>
        <cfvo type="min"/>
        <cfvo type="percentile" val="20"/>
        <cfvo type="max"/>
        <color rgb="FF92D050"/>
        <color theme="5" tint="0.79998168889431442"/>
        <color rgb="FFFF0000"/>
      </colorScale>
    </cfRule>
    <cfRule type="colorScale" priority="7259">
      <colorScale>
        <cfvo type="min"/>
        <cfvo type="max"/>
        <color rgb="FFFF0000"/>
        <color rgb="FF92D050"/>
      </colorScale>
    </cfRule>
    <cfRule type="colorScale" priority="7260">
      <colorScale>
        <cfvo type="min"/>
        <cfvo type="percentile" val="50"/>
        <cfvo type="max"/>
        <color rgb="FF5A8AC6"/>
        <color rgb="FFFCFCFF"/>
        <color rgb="FFF8696B"/>
      </colorScale>
    </cfRule>
    <cfRule type="colorScale" priority="7261">
      <colorScale>
        <cfvo type="formula" val="&quot;&gt;20&quot;"/>
        <cfvo type="formula" val="35"/>
        <color rgb="FFF8696B"/>
        <color rgb="FFFCFCFF"/>
      </colorScale>
    </cfRule>
    <cfRule type="colorScale" priority="7262">
      <colorScale>
        <cfvo type="min"/>
        <cfvo type="max"/>
        <color rgb="FFFFEF9C"/>
        <color rgb="FF63BE7B"/>
      </colorScale>
    </cfRule>
  </conditionalFormatting>
  <conditionalFormatting sqref="S2399:S2415">
    <cfRule type="containsText" dxfId="3836" priority="7254" operator="containsText" text="Short Buildup">
      <formula>NOT(ISERROR(SEARCH("Short Buildup",S2399)))</formula>
    </cfRule>
    <cfRule type="containsText" dxfId="3835" priority="7255" operator="containsText" text="Long Liquidation">
      <formula>NOT(ISERROR(SEARCH("Long Liquidation",S2399)))</formula>
    </cfRule>
    <cfRule type="containsText" dxfId="3834" priority="7256" operator="containsText" text="Short covering">
      <formula>NOT(ISERROR(SEARCH("Short covering",S2399)))</formula>
    </cfRule>
    <cfRule type="containsText" dxfId="3833" priority="7257" operator="containsText" text="Long Buildup">
      <formula>NOT(ISERROR(SEARCH("Long Buildup",S2399)))</formula>
    </cfRule>
  </conditionalFormatting>
  <conditionalFormatting sqref="F2399:F2414">
    <cfRule type="dataBar" priority="7253">
      <dataBar>
        <cfvo type="min"/>
        <cfvo type="max"/>
        <color rgb="FFFF555A"/>
      </dataBar>
    </cfRule>
  </conditionalFormatting>
  <conditionalFormatting sqref="G2399:G2414">
    <cfRule type="dataBar" priority="7252">
      <dataBar>
        <cfvo type="min"/>
        <cfvo type="max"/>
        <color rgb="FFFF555A"/>
      </dataBar>
    </cfRule>
  </conditionalFormatting>
  <conditionalFormatting sqref="H2399">
    <cfRule type="dataBar" priority="7251">
      <dataBar>
        <cfvo type="min"/>
        <cfvo type="max"/>
        <color rgb="FFFF555A"/>
      </dataBar>
    </cfRule>
  </conditionalFormatting>
  <conditionalFormatting sqref="I2399">
    <cfRule type="dataBar" priority="7250">
      <dataBar>
        <cfvo type="min"/>
        <cfvo type="max"/>
        <color rgb="FFFF555A"/>
      </dataBar>
    </cfRule>
  </conditionalFormatting>
  <conditionalFormatting sqref="J2399">
    <cfRule type="dataBar" priority="7249">
      <dataBar>
        <cfvo type="min"/>
        <cfvo type="max"/>
        <color rgb="FFFF555A"/>
      </dataBar>
    </cfRule>
  </conditionalFormatting>
  <conditionalFormatting sqref="E2400:E2414">
    <cfRule type="dataBar" priority="7248">
      <dataBar>
        <cfvo type="min"/>
        <cfvo type="max"/>
        <color rgb="FFFF555A"/>
      </dataBar>
    </cfRule>
  </conditionalFormatting>
  <conditionalFormatting sqref="H2400:H2414">
    <cfRule type="dataBar" priority="7247">
      <dataBar>
        <cfvo type="min"/>
        <cfvo type="max"/>
        <color rgb="FFFF555A"/>
      </dataBar>
    </cfRule>
  </conditionalFormatting>
  <conditionalFormatting sqref="I2400:I2414">
    <cfRule type="dataBar" priority="7246">
      <dataBar>
        <cfvo type="min"/>
        <cfvo type="max"/>
        <color rgb="FFFF555A"/>
      </dataBar>
    </cfRule>
  </conditionalFormatting>
  <conditionalFormatting sqref="J2400:J2414">
    <cfRule type="dataBar" priority="7245">
      <dataBar>
        <cfvo type="min"/>
        <cfvo type="max"/>
        <color rgb="FFFF555A"/>
      </dataBar>
    </cfRule>
  </conditionalFormatting>
  <conditionalFormatting sqref="L2399:L2414">
    <cfRule type="dataBar" priority="7244">
      <dataBar>
        <cfvo type="min"/>
        <cfvo type="max"/>
        <color rgb="FFFF555A"/>
      </dataBar>
    </cfRule>
  </conditionalFormatting>
  <conditionalFormatting sqref="M2399:M2414">
    <cfRule type="dataBar" priority="7243">
      <dataBar>
        <cfvo type="min"/>
        <cfvo type="max"/>
        <color rgb="FFFF555A"/>
      </dataBar>
    </cfRule>
  </conditionalFormatting>
  <conditionalFormatting sqref="N2399:N2414">
    <cfRule type="dataBar" priority="7242">
      <dataBar>
        <cfvo type="min"/>
        <cfvo type="max"/>
        <color rgb="FFFF555A"/>
      </dataBar>
    </cfRule>
  </conditionalFormatting>
  <conditionalFormatting sqref="Q2399:Q2414">
    <cfRule type="dataBar" priority="7241">
      <dataBar>
        <cfvo type="min"/>
        <cfvo type="max"/>
        <color rgb="FFFF555A"/>
      </dataBar>
    </cfRule>
  </conditionalFormatting>
  <conditionalFormatting sqref="O2399:O2414">
    <cfRule type="dataBar" priority="7240">
      <dataBar>
        <cfvo type="min"/>
        <cfvo type="max"/>
        <color rgb="FFFF555A"/>
      </dataBar>
    </cfRule>
  </conditionalFormatting>
  <conditionalFormatting sqref="P2399:P2414">
    <cfRule type="dataBar" priority="7239">
      <dataBar>
        <cfvo type="min"/>
        <cfvo type="max"/>
        <color rgb="FFFF555A"/>
      </dataBar>
    </cfRule>
  </conditionalFormatting>
  <conditionalFormatting sqref="R2416:R2432 D2416:D2431 C2432">
    <cfRule type="containsText" dxfId="3832" priority="7238" operator="containsText" text="DOWN">
      <formula>NOT(ISERROR(SEARCH("DOWN",C2416)))</formula>
    </cfRule>
  </conditionalFormatting>
  <conditionalFormatting sqref="R2416:R2432 D2416:D2431 C2432">
    <cfRule type="containsText" dxfId="3831" priority="7237" operator="containsText" text="UP">
      <formula>NOT(ISERROR(SEARCH("UP",C2416)))</formula>
    </cfRule>
  </conditionalFormatting>
  <conditionalFormatting sqref="I2432">
    <cfRule type="colorScale" priority="7236">
      <colorScale>
        <cfvo type="min"/>
        <cfvo type="max"/>
        <color rgb="FFFFEF9C"/>
        <color rgb="FF63BE7B"/>
      </colorScale>
    </cfRule>
  </conditionalFormatting>
  <conditionalFormatting sqref="M2432">
    <cfRule type="colorScale" priority="7235">
      <colorScale>
        <cfvo type="min"/>
        <cfvo type="max"/>
        <color rgb="FFFF7128"/>
        <color rgb="FFFFEF9C"/>
      </colorScale>
    </cfRule>
  </conditionalFormatting>
  <conditionalFormatting sqref="Q2432">
    <cfRule type="dataBar" priority="7234">
      <dataBar>
        <cfvo type="min"/>
        <cfvo type="max"/>
        <color rgb="FFFF555A"/>
      </dataBar>
    </cfRule>
  </conditionalFormatting>
  <conditionalFormatting sqref="E2416:E2432">
    <cfRule type="dataBar" priority="7233">
      <dataBar>
        <cfvo type="min"/>
        <cfvo type="max"/>
        <color rgb="FFFF555A"/>
      </dataBar>
    </cfRule>
  </conditionalFormatting>
  <conditionalFormatting sqref="F2432">
    <cfRule type="top10" dxfId="3830" priority="7232" rank="1"/>
  </conditionalFormatting>
  <conditionalFormatting sqref="G2432 P2432">
    <cfRule type="cellIs" dxfId="3829" priority="7231" operator="equal">
      <formula>$G$135</formula>
    </cfRule>
  </conditionalFormatting>
  <conditionalFormatting sqref="P2432">
    <cfRule type="cellIs" dxfId="3828" priority="7230" operator="equal">
      <formula>$J$135</formula>
    </cfRule>
  </conditionalFormatting>
  <conditionalFormatting sqref="G2432 P2432">
    <cfRule type="cellIs" dxfId="3827" priority="7229" operator="equal">
      <formula>#REF!</formula>
    </cfRule>
  </conditionalFormatting>
  <conditionalFormatting sqref="G2432">
    <cfRule type="top10" dxfId="3826" priority="7227" rank="1"/>
    <cfRule type="cellIs" dxfId="3825" priority="7228" operator="equal">
      <formula>$G$133</formula>
    </cfRule>
  </conditionalFormatting>
  <conditionalFormatting sqref="P2432">
    <cfRule type="top10" dxfId="3824" priority="7225" rank="1"/>
    <cfRule type="cellIs" dxfId="3823" priority="7226" operator="equal">
      <formula>$G$133</formula>
    </cfRule>
  </conditionalFormatting>
  <conditionalFormatting sqref="C2416:C2431">
    <cfRule type="containsText" dxfId="3822" priority="7221" operator="containsText" text="Short Buildup">
      <formula>NOT(ISERROR(SEARCH("Short Buildup",C2416)))</formula>
    </cfRule>
    <cfRule type="containsText" dxfId="3821" priority="7222" operator="containsText" text="Long Liquidation">
      <formula>NOT(ISERROR(SEARCH("Long Liquidation",C2416)))</formula>
    </cfRule>
    <cfRule type="containsText" dxfId="3820" priority="7223" operator="containsText" text="Short covering">
      <formula>NOT(ISERROR(SEARCH("Short covering",C2416)))</formula>
    </cfRule>
    <cfRule type="containsText" dxfId="3819" priority="7224" operator="containsText" text="Long Buildup">
      <formula>NOT(ISERROR(SEARCH("Long Buildup",C2416)))</formula>
    </cfRule>
  </conditionalFormatting>
  <conditionalFormatting sqref="H2432">
    <cfRule type="colorScale" priority="7216">
      <colorScale>
        <cfvo type="min"/>
        <cfvo type="percentile" val="20"/>
        <cfvo type="max"/>
        <color rgb="FF92D050"/>
        <color theme="5" tint="0.79998168889431442"/>
        <color rgb="FFFF0000"/>
      </colorScale>
    </cfRule>
    <cfRule type="colorScale" priority="7217">
      <colorScale>
        <cfvo type="min"/>
        <cfvo type="max"/>
        <color rgb="FFFF0000"/>
        <color rgb="FF92D050"/>
      </colorScale>
    </cfRule>
    <cfRule type="colorScale" priority="7218">
      <colorScale>
        <cfvo type="min"/>
        <cfvo type="percentile" val="50"/>
        <cfvo type="max"/>
        <color rgb="FF5A8AC6"/>
        <color rgb="FFFCFCFF"/>
        <color rgb="FFF8696B"/>
      </colorScale>
    </cfRule>
    <cfRule type="colorScale" priority="7219">
      <colorScale>
        <cfvo type="formula" val="&quot;&gt;20&quot;"/>
        <cfvo type="formula" val="35"/>
        <color rgb="FFF8696B"/>
        <color rgb="FFFCFCFF"/>
      </colorScale>
    </cfRule>
    <cfRule type="colorScale" priority="7220">
      <colorScale>
        <cfvo type="min"/>
        <cfvo type="max"/>
        <color rgb="FFFFEF9C"/>
        <color rgb="FF63BE7B"/>
      </colorScale>
    </cfRule>
  </conditionalFormatting>
  <conditionalFormatting sqref="N2432">
    <cfRule type="colorScale" priority="7211">
      <colorScale>
        <cfvo type="min"/>
        <cfvo type="percentile" val="20"/>
        <cfvo type="max"/>
        <color rgb="FF92D050"/>
        <color theme="5" tint="0.79998168889431442"/>
        <color rgb="FFFF0000"/>
      </colorScale>
    </cfRule>
    <cfRule type="colorScale" priority="7212">
      <colorScale>
        <cfvo type="min"/>
        <cfvo type="max"/>
        <color rgb="FFFF0000"/>
        <color rgb="FF92D050"/>
      </colorScale>
    </cfRule>
    <cfRule type="colorScale" priority="7213">
      <colorScale>
        <cfvo type="min"/>
        <cfvo type="percentile" val="50"/>
        <cfvo type="max"/>
        <color rgb="FF5A8AC6"/>
        <color rgb="FFFCFCFF"/>
        <color rgb="FFF8696B"/>
      </colorScale>
    </cfRule>
    <cfRule type="colorScale" priority="7214">
      <colorScale>
        <cfvo type="formula" val="&quot;&gt;20&quot;"/>
        <cfvo type="formula" val="35"/>
        <color rgb="FFF8696B"/>
        <color rgb="FFFCFCFF"/>
      </colorScale>
    </cfRule>
    <cfRule type="colorScale" priority="7215">
      <colorScale>
        <cfvo type="min"/>
        <cfvo type="max"/>
        <color rgb="FFFFEF9C"/>
        <color rgb="FF63BE7B"/>
      </colorScale>
    </cfRule>
  </conditionalFormatting>
  <conditionalFormatting sqref="S2416:S2432">
    <cfRule type="containsText" dxfId="3818" priority="7207" operator="containsText" text="Short Buildup">
      <formula>NOT(ISERROR(SEARCH("Short Buildup",S2416)))</formula>
    </cfRule>
    <cfRule type="containsText" dxfId="3817" priority="7208" operator="containsText" text="Long Liquidation">
      <formula>NOT(ISERROR(SEARCH("Long Liquidation",S2416)))</formula>
    </cfRule>
    <cfRule type="containsText" dxfId="3816" priority="7209" operator="containsText" text="Short covering">
      <formula>NOT(ISERROR(SEARCH("Short covering",S2416)))</formula>
    </cfRule>
    <cfRule type="containsText" dxfId="3815" priority="7210" operator="containsText" text="Long Buildup">
      <formula>NOT(ISERROR(SEARCH("Long Buildup",S2416)))</formula>
    </cfRule>
  </conditionalFormatting>
  <conditionalFormatting sqref="F2416:F2431">
    <cfRule type="dataBar" priority="7206">
      <dataBar>
        <cfvo type="min"/>
        <cfvo type="max"/>
        <color rgb="FFFF555A"/>
      </dataBar>
    </cfRule>
  </conditionalFormatting>
  <conditionalFormatting sqref="G2416:G2431">
    <cfRule type="dataBar" priority="7205">
      <dataBar>
        <cfvo type="min"/>
        <cfvo type="max"/>
        <color rgb="FFFF555A"/>
      </dataBar>
    </cfRule>
  </conditionalFormatting>
  <conditionalFormatting sqref="H2416">
    <cfRule type="dataBar" priority="7204">
      <dataBar>
        <cfvo type="min"/>
        <cfvo type="max"/>
        <color rgb="FFFF555A"/>
      </dataBar>
    </cfRule>
  </conditionalFormatting>
  <conditionalFormatting sqref="I2416">
    <cfRule type="dataBar" priority="7203">
      <dataBar>
        <cfvo type="min"/>
        <cfvo type="max"/>
        <color rgb="FFFF555A"/>
      </dataBar>
    </cfRule>
  </conditionalFormatting>
  <conditionalFormatting sqref="J2416">
    <cfRule type="dataBar" priority="7202">
      <dataBar>
        <cfvo type="min"/>
        <cfvo type="max"/>
        <color rgb="FFFF555A"/>
      </dataBar>
    </cfRule>
  </conditionalFormatting>
  <conditionalFormatting sqref="E2417:E2431">
    <cfRule type="dataBar" priority="7201">
      <dataBar>
        <cfvo type="min"/>
        <cfvo type="max"/>
        <color rgb="FFFF555A"/>
      </dataBar>
    </cfRule>
  </conditionalFormatting>
  <conditionalFormatting sqref="H2417:H2431">
    <cfRule type="dataBar" priority="7200">
      <dataBar>
        <cfvo type="min"/>
        <cfvo type="max"/>
        <color rgb="FFFF555A"/>
      </dataBar>
    </cfRule>
  </conditionalFormatting>
  <conditionalFormatting sqref="I2417:I2431">
    <cfRule type="dataBar" priority="7199">
      <dataBar>
        <cfvo type="min"/>
        <cfvo type="max"/>
        <color rgb="FFFF555A"/>
      </dataBar>
    </cfRule>
  </conditionalFormatting>
  <conditionalFormatting sqref="J2417:J2431">
    <cfRule type="dataBar" priority="7198">
      <dataBar>
        <cfvo type="min"/>
        <cfvo type="max"/>
        <color rgb="FFFF555A"/>
      </dataBar>
    </cfRule>
  </conditionalFormatting>
  <conditionalFormatting sqref="L2416:L2431">
    <cfRule type="dataBar" priority="7197">
      <dataBar>
        <cfvo type="min"/>
        <cfvo type="max"/>
        <color rgb="FFFF555A"/>
      </dataBar>
    </cfRule>
  </conditionalFormatting>
  <conditionalFormatting sqref="M2416:M2431">
    <cfRule type="dataBar" priority="7196">
      <dataBar>
        <cfvo type="min"/>
        <cfvo type="max"/>
        <color rgb="FFFF555A"/>
      </dataBar>
    </cfRule>
  </conditionalFormatting>
  <conditionalFormatting sqref="N2416:N2431">
    <cfRule type="dataBar" priority="7195">
      <dataBar>
        <cfvo type="min"/>
        <cfvo type="max"/>
        <color rgb="FFFF555A"/>
      </dataBar>
    </cfRule>
  </conditionalFormatting>
  <conditionalFormatting sqref="Q2416:Q2431">
    <cfRule type="dataBar" priority="7194">
      <dataBar>
        <cfvo type="min"/>
        <cfvo type="max"/>
        <color rgb="FFFF555A"/>
      </dataBar>
    </cfRule>
  </conditionalFormatting>
  <conditionalFormatting sqref="O2416:O2431">
    <cfRule type="dataBar" priority="7193">
      <dataBar>
        <cfvo type="min"/>
        <cfvo type="max"/>
        <color rgb="FFFF555A"/>
      </dataBar>
    </cfRule>
  </conditionalFormatting>
  <conditionalFormatting sqref="P2416:P2431">
    <cfRule type="dataBar" priority="7192">
      <dataBar>
        <cfvo type="min"/>
        <cfvo type="max"/>
        <color rgb="FFFF555A"/>
      </dataBar>
    </cfRule>
  </conditionalFormatting>
  <conditionalFormatting sqref="R2433:R2449 D2433:D2448 C2449">
    <cfRule type="containsText" dxfId="3814" priority="7191" operator="containsText" text="DOWN">
      <formula>NOT(ISERROR(SEARCH("DOWN",C2433)))</formula>
    </cfRule>
  </conditionalFormatting>
  <conditionalFormatting sqref="R2433:R2449 D2433:D2448 C2449">
    <cfRule type="containsText" dxfId="3813" priority="7190" operator="containsText" text="UP">
      <formula>NOT(ISERROR(SEARCH("UP",C2433)))</formula>
    </cfRule>
  </conditionalFormatting>
  <conditionalFormatting sqref="I2449">
    <cfRule type="colorScale" priority="7189">
      <colorScale>
        <cfvo type="min"/>
        <cfvo type="max"/>
        <color rgb="FFFFEF9C"/>
        <color rgb="FF63BE7B"/>
      </colorScale>
    </cfRule>
  </conditionalFormatting>
  <conditionalFormatting sqref="M2449">
    <cfRule type="colorScale" priority="7188">
      <colorScale>
        <cfvo type="min"/>
        <cfvo type="max"/>
        <color rgb="FFFF7128"/>
        <color rgb="FFFFEF9C"/>
      </colorScale>
    </cfRule>
  </conditionalFormatting>
  <conditionalFormatting sqref="Q2449">
    <cfRule type="dataBar" priority="7187">
      <dataBar>
        <cfvo type="min"/>
        <cfvo type="max"/>
        <color rgb="FFFF555A"/>
      </dataBar>
    </cfRule>
  </conditionalFormatting>
  <conditionalFormatting sqref="E2433:E2449">
    <cfRule type="dataBar" priority="7186">
      <dataBar>
        <cfvo type="min"/>
        <cfvo type="max"/>
        <color rgb="FFFF555A"/>
      </dataBar>
    </cfRule>
  </conditionalFormatting>
  <conditionalFormatting sqref="F2449">
    <cfRule type="top10" dxfId="3812" priority="7185" rank="1"/>
  </conditionalFormatting>
  <conditionalFormatting sqref="G2449 P2449">
    <cfRule type="cellIs" dxfId="3811" priority="7184" operator="equal">
      <formula>$G$135</formula>
    </cfRule>
  </conditionalFormatting>
  <conditionalFormatting sqref="P2449">
    <cfRule type="cellIs" dxfId="3810" priority="7183" operator="equal">
      <formula>$J$135</formula>
    </cfRule>
  </conditionalFormatting>
  <conditionalFormatting sqref="G2449 P2449">
    <cfRule type="cellIs" dxfId="3809" priority="7182" operator="equal">
      <formula>#REF!</formula>
    </cfRule>
  </conditionalFormatting>
  <conditionalFormatting sqref="G2449">
    <cfRule type="top10" dxfId="3808" priority="7180" rank="1"/>
    <cfRule type="cellIs" dxfId="3807" priority="7181" operator="equal">
      <formula>$G$133</formula>
    </cfRule>
  </conditionalFormatting>
  <conditionalFormatting sqref="P2449">
    <cfRule type="top10" dxfId="3806" priority="7178" rank="1"/>
    <cfRule type="cellIs" dxfId="3805" priority="7179" operator="equal">
      <formula>$G$133</formula>
    </cfRule>
  </conditionalFormatting>
  <conditionalFormatting sqref="C2433:C2448">
    <cfRule type="containsText" dxfId="3804" priority="7174" operator="containsText" text="Short Buildup">
      <formula>NOT(ISERROR(SEARCH("Short Buildup",C2433)))</formula>
    </cfRule>
    <cfRule type="containsText" dxfId="3803" priority="7175" operator="containsText" text="Long Liquidation">
      <formula>NOT(ISERROR(SEARCH("Long Liquidation",C2433)))</formula>
    </cfRule>
    <cfRule type="containsText" dxfId="3802" priority="7176" operator="containsText" text="Short covering">
      <formula>NOT(ISERROR(SEARCH("Short covering",C2433)))</formula>
    </cfRule>
    <cfRule type="containsText" dxfId="3801" priority="7177" operator="containsText" text="Long Buildup">
      <formula>NOT(ISERROR(SEARCH("Long Buildup",C2433)))</formula>
    </cfRule>
  </conditionalFormatting>
  <conditionalFormatting sqref="H2449">
    <cfRule type="colorScale" priority="7169">
      <colorScale>
        <cfvo type="min"/>
        <cfvo type="percentile" val="20"/>
        <cfvo type="max"/>
        <color rgb="FF92D050"/>
        <color theme="5" tint="0.79998168889431442"/>
        <color rgb="FFFF0000"/>
      </colorScale>
    </cfRule>
    <cfRule type="colorScale" priority="7170">
      <colorScale>
        <cfvo type="min"/>
        <cfvo type="max"/>
        <color rgb="FFFF0000"/>
        <color rgb="FF92D050"/>
      </colorScale>
    </cfRule>
    <cfRule type="colorScale" priority="7171">
      <colorScale>
        <cfvo type="min"/>
        <cfvo type="percentile" val="50"/>
        <cfvo type="max"/>
        <color rgb="FF5A8AC6"/>
        <color rgb="FFFCFCFF"/>
        <color rgb="FFF8696B"/>
      </colorScale>
    </cfRule>
    <cfRule type="colorScale" priority="7172">
      <colorScale>
        <cfvo type="formula" val="&quot;&gt;20&quot;"/>
        <cfvo type="formula" val="35"/>
        <color rgb="FFF8696B"/>
        <color rgb="FFFCFCFF"/>
      </colorScale>
    </cfRule>
    <cfRule type="colorScale" priority="7173">
      <colorScale>
        <cfvo type="min"/>
        <cfvo type="max"/>
        <color rgb="FFFFEF9C"/>
        <color rgb="FF63BE7B"/>
      </colorScale>
    </cfRule>
  </conditionalFormatting>
  <conditionalFormatting sqref="N2449">
    <cfRule type="colorScale" priority="7164">
      <colorScale>
        <cfvo type="min"/>
        <cfvo type="percentile" val="20"/>
        <cfvo type="max"/>
        <color rgb="FF92D050"/>
        <color theme="5" tint="0.79998168889431442"/>
        <color rgb="FFFF0000"/>
      </colorScale>
    </cfRule>
    <cfRule type="colorScale" priority="7165">
      <colorScale>
        <cfvo type="min"/>
        <cfvo type="max"/>
        <color rgb="FFFF0000"/>
        <color rgb="FF92D050"/>
      </colorScale>
    </cfRule>
    <cfRule type="colorScale" priority="7166">
      <colorScale>
        <cfvo type="min"/>
        <cfvo type="percentile" val="50"/>
        <cfvo type="max"/>
        <color rgb="FF5A8AC6"/>
        <color rgb="FFFCFCFF"/>
        <color rgb="FFF8696B"/>
      </colorScale>
    </cfRule>
    <cfRule type="colorScale" priority="7167">
      <colorScale>
        <cfvo type="formula" val="&quot;&gt;20&quot;"/>
        <cfvo type="formula" val="35"/>
        <color rgb="FFF8696B"/>
        <color rgb="FFFCFCFF"/>
      </colorScale>
    </cfRule>
    <cfRule type="colorScale" priority="7168">
      <colorScale>
        <cfvo type="min"/>
        <cfvo type="max"/>
        <color rgb="FFFFEF9C"/>
        <color rgb="FF63BE7B"/>
      </colorScale>
    </cfRule>
  </conditionalFormatting>
  <conditionalFormatting sqref="S2433:S2449">
    <cfRule type="containsText" dxfId="3800" priority="7160" operator="containsText" text="Short Buildup">
      <formula>NOT(ISERROR(SEARCH("Short Buildup",S2433)))</formula>
    </cfRule>
    <cfRule type="containsText" dxfId="3799" priority="7161" operator="containsText" text="Long Liquidation">
      <formula>NOT(ISERROR(SEARCH("Long Liquidation",S2433)))</formula>
    </cfRule>
    <cfRule type="containsText" dxfId="3798" priority="7162" operator="containsText" text="Short covering">
      <formula>NOT(ISERROR(SEARCH("Short covering",S2433)))</formula>
    </cfRule>
    <cfRule type="containsText" dxfId="3797" priority="7163" operator="containsText" text="Long Buildup">
      <formula>NOT(ISERROR(SEARCH("Long Buildup",S2433)))</formula>
    </cfRule>
  </conditionalFormatting>
  <conditionalFormatting sqref="F2433:F2448">
    <cfRule type="dataBar" priority="7159">
      <dataBar>
        <cfvo type="min"/>
        <cfvo type="max"/>
        <color rgb="FFFF555A"/>
      </dataBar>
    </cfRule>
  </conditionalFormatting>
  <conditionalFormatting sqref="G2433:G2448">
    <cfRule type="dataBar" priority="7158">
      <dataBar>
        <cfvo type="min"/>
        <cfvo type="max"/>
        <color rgb="FFFF555A"/>
      </dataBar>
    </cfRule>
  </conditionalFormatting>
  <conditionalFormatting sqref="H2433">
    <cfRule type="dataBar" priority="7157">
      <dataBar>
        <cfvo type="min"/>
        <cfvo type="max"/>
        <color rgb="FFFF555A"/>
      </dataBar>
    </cfRule>
  </conditionalFormatting>
  <conditionalFormatting sqref="I2433">
    <cfRule type="dataBar" priority="7156">
      <dataBar>
        <cfvo type="min"/>
        <cfvo type="max"/>
        <color rgb="FFFF555A"/>
      </dataBar>
    </cfRule>
  </conditionalFormatting>
  <conditionalFormatting sqref="J2433">
    <cfRule type="dataBar" priority="7155">
      <dataBar>
        <cfvo type="min"/>
        <cfvo type="max"/>
        <color rgb="FFFF555A"/>
      </dataBar>
    </cfRule>
  </conditionalFormatting>
  <conditionalFormatting sqref="E2434:E2448">
    <cfRule type="dataBar" priority="7154">
      <dataBar>
        <cfvo type="min"/>
        <cfvo type="max"/>
        <color rgb="FFFF555A"/>
      </dataBar>
    </cfRule>
  </conditionalFormatting>
  <conditionalFormatting sqref="H2434:H2448">
    <cfRule type="dataBar" priority="7153">
      <dataBar>
        <cfvo type="min"/>
        <cfvo type="max"/>
        <color rgb="FFFF555A"/>
      </dataBar>
    </cfRule>
  </conditionalFormatting>
  <conditionalFormatting sqref="I2434:I2448">
    <cfRule type="dataBar" priority="7152">
      <dataBar>
        <cfvo type="min"/>
        <cfvo type="max"/>
        <color rgb="FFFF555A"/>
      </dataBar>
    </cfRule>
  </conditionalFormatting>
  <conditionalFormatting sqref="J2434:J2448">
    <cfRule type="dataBar" priority="7151">
      <dataBar>
        <cfvo type="min"/>
        <cfvo type="max"/>
        <color rgb="FFFF555A"/>
      </dataBar>
    </cfRule>
  </conditionalFormatting>
  <conditionalFormatting sqref="L2433:L2448">
    <cfRule type="dataBar" priority="7150">
      <dataBar>
        <cfvo type="min"/>
        <cfvo type="max"/>
        <color rgb="FFFF555A"/>
      </dataBar>
    </cfRule>
  </conditionalFormatting>
  <conditionalFormatting sqref="M2433:M2448">
    <cfRule type="dataBar" priority="7149">
      <dataBar>
        <cfvo type="min"/>
        <cfvo type="max"/>
        <color rgb="FFFF555A"/>
      </dataBar>
    </cfRule>
  </conditionalFormatting>
  <conditionalFormatting sqref="N2433:N2448">
    <cfRule type="dataBar" priority="7148">
      <dataBar>
        <cfvo type="min"/>
        <cfvo type="max"/>
        <color rgb="FFFF555A"/>
      </dataBar>
    </cfRule>
  </conditionalFormatting>
  <conditionalFormatting sqref="Q2433:Q2448">
    <cfRule type="dataBar" priority="7147">
      <dataBar>
        <cfvo type="min"/>
        <cfvo type="max"/>
        <color rgb="FFFF555A"/>
      </dataBar>
    </cfRule>
  </conditionalFormatting>
  <conditionalFormatting sqref="O2433:O2448">
    <cfRule type="dataBar" priority="7146">
      <dataBar>
        <cfvo type="min"/>
        <cfvo type="max"/>
        <color rgb="FFFF555A"/>
      </dataBar>
    </cfRule>
  </conditionalFormatting>
  <conditionalFormatting sqref="P2433:P2448">
    <cfRule type="dataBar" priority="7145">
      <dataBar>
        <cfvo type="min"/>
        <cfvo type="max"/>
        <color rgb="FFFF555A"/>
      </dataBar>
    </cfRule>
  </conditionalFormatting>
  <conditionalFormatting sqref="R2450:R2466 D2450:D2465 C2466">
    <cfRule type="containsText" dxfId="3796" priority="7144" operator="containsText" text="DOWN">
      <formula>NOT(ISERROR(SEARCH("DOWN",C2450)))</formula>
    </cfRule>
  </conditionalFormatting>
  <conditionalFormatting sqref="R2450:R2466 D2450:D2465 C2466">
    <cfRule type="containsText" dxfId="3795" priority="7143" operator="containsText" text="UP">
      <formula>NOT(ISERROR(SEARCH("UP",C2450)))</formula>
    </cfRule>
  </conditionalFormatting>
  <conditionalFormatting sqref="I2466">
    <cfRule type="colorScale" priority="7142">
      <colorScale>
        <cfvo type="min"/>
        <cfvo type="max"/>
        <color rgb="FFFFEF9C"/>
        <color rgb="FF63BE7B"/>
      </colorScale>
    </cfRule>
  </conditionalFormatting>
  <conditionalFormatting sqref="M2466">
    <cfRule type="colorScale" priority="7141">
      <colorScale>
        <cfvo type="min"/>
        <cfvo type="max"/>
        <color rgb="FFFF7128"/>
        <color rgb="FFFFEF9C"/>
      </colorScale>
    </cfRule>
  </conditionalFormatting>
  <conditionalFormatting sqref="Q2466">
    <cfRule type="dataBar" priority="7140">
      <dataBar>
        <cfvo type="min"/>
        <cfvo type="max"/>
        <color rgb="FFFF555A"/>
      </dataBar>
    </cfRule>
  </conditionalFormatting>
  <conditionalFormatting sqref="E2450:E2466">
    <cfRule type="dataBar" priority="7139">
      <dataBar>
        <cfvo type="min"/>
        <cfvo type="max"/>
        <color rgb="FFFF555A"/>
      </dataBar>
    </cfRule>
  </conditionalFormatting>
  <conditionalFormatting sqref="F2466">
    <cfRule type="top10" dxfId="3794" priority="7138" rank="1"/>
  </conditionalFormatting>
  <conditionalFormatting sqref="G2466 P2466">
    <cfRule type="cellIs" dxfId="3793" priority="7137" operator="equal">
      <formula>$G$135</formula>
    </cfRule>
  </conditionalFormatting>
  <conditionalFormatting sqref="P2466">
    <cfRule type="cellIs" dxfId="3792" priority="7136" operator="equal">
      <formula>$J$135</formula>
    </cfRule>
  </conditionalFormatting>
  <conditionalFormatting sqref="G2466 P2466">
    <cfRule type="cellIs" dxfId="3791" priority="7135" operator="equal">
      <formula>#REF!</formula>
    </cfRule>
  </conditionalFormatting>
  <conditionalFormatting sqref="G2466">
    <cfRule type="top10" dxfId="3790" priority="7133" rank="1"/>
    <cfRule type="cellIs" dxfId="3789" priority="7134" operator="equal">
      <formula>$G$133</formula>
    </cfRule>
  </conditionalFormatting>
  <conditionalFormatting sqref="P2466">
    <cfRule type="top10" dxfId="3788" priority="7131" rank="1"/>
    <cfRule type="cellIs" dxfId="3787" priority="7132" operator="equal">
      <formula>$G$133</formula>
    </cfRule>
  </conditionalFormatting>
  <conditionalFormatting sqref="C2450:C2465">
    <cfRule type="containsText" dxfId="3786" priority="7127" operator="containsText" text="Short Buildup">
      <formula>NOT(ISERROR(SEARCH("Short Buildup",C2450)))</formula>
    </cfRule>
    <cfRule type="containsText" dxfId="3785" priority="7128" operator="containsText" text="Long Liquidation">
      <formula>NOT(ISERROR(SEARCH("Long Liquidation",C2450)))</formula>
    </cfRule>
    <cfRule type="containsText" dxfId="3784" priority="7129" operator="containsText" text="Short covering">
      <formula>NOT(ISERROR(SEARCH("Short covering",C2450)))</formula>
    </cfRule>
    <cfRule type="containsText" dxfId="3783" priority="7130" operator="containsText" text="Long Buildup">
      <formula>NOT(ISERROR(SEARCH("Long Buildup",C2450)))</formula>
    </cfRule>
  </conditionalFormatting>
  <conditionalFormatting sqref="H2466">
    <cfRule type="colorScale" priority="7122">
      <colorScale>
        <cfvo type="min"/>
        <cfvo type="percentile" val="20"/>
        <cfvo type="max"/>
        <color rgb="FF92D050"/>
        <color theme="5" tint="0.79998168889431442"/>
        <color rgb="FFFF0000"/>
      </colorScale>
    </cfRule>
    <cfRule type="colorScale" priority="7123">
      <colorScale>
        <cfvo type="min"/>
        <cfvo type="max"/>
        <color rgb="FFFF0000"/>
        <color rgb="FF92D050"/>
      </colorScale>
    </cfRule>
    <cfRule type="colorScale" priority="7124">
      <colorScale>
        <cfvo type="min"/>
        <cfvo type="percentile" val="50"/>
        <cfvo type="max"/>
        <color rgb="FF5A8AC6"/>
        <color rgb="FFFCFCFF"/>
        <color rgb="FFF8696B"/>
      </colorScale>
    </cfRule>
    <cfRule type="colorScale" priority="7125">
      <colorScale>
        <cfvo type="formula" val="&quot;&gt;20&quot;"/>
        <cfvo type="formula" val="35"/>
        <color rgb="FFF8696B"/>
        <color rgb="FFFCFCFF"/>
      </colorScale>
    </cfRule>
    <cfRule type="colorScale" priority="7126">
      <colorScale>
        <cfvo type="min"/>
        <cfvo type="max"/>
        <color rgb="FFFFEF9C"/>
        <color rgb="FF63BE7B"/>
      </colorScale>
    </cfRule>
  </conditionalFormatting>
  <conditionalFormatting sqref="N2466">
    <cfRule type="colorScale" priority="7117">
      <colorScale>
        <cfvo type="min"/>
        <cfvo type="percentile" val="20"/>
        <cfvo type="max"/>
        <color rgb="FF92D050"/>
        <color theme="5" tint="0.79998168889431442"/>
        <color rgb="FFFF0000"/>
      </colorScale>
    </cfRule>
    <cfRule type="colorScale" priority="7118">
      <colorScale>
        <cfvo type="min"/>
        <cfvo type="max"/>
        <color rgb="FFFF0000"/>
        <color rgb="FF92D050"/>
      </colorScale>
    </cfRule>
    <cfRule type="colorScale" priority="7119">
      <colorScale>
        <cfvo type="min"/>
        <cfvo type="percentile" val="50"/>
        <cfvo type="max"/>
        <color rgb="FF5A8AC6"/>
        <color rgb="FFFCFCFF"/>
        <color rgb="FFF8696B"/>
      </colorScale>
    </cfRule>
    <cfRule type="colorScale" priority="7120">
      <colorScale>
        <cfvo type="formula" val="&quot;&gt;20&quot;"/>
        <cfvo type="formula" val="35"/>
        <color rgb="FFF8696B"/>
        <color rgb="FFFCFCFF"/>
      </colorScale>
    </cfRule>
    <cfRule type="colorScale" priority="7121">
      <colorScale>
        <cfvo type="min"/>
        <cfvo type="max"/>
        <color rgb="FFFFEF9C"/>
        <color rgb="FF63BE7B"/>
      </colorScale>
    </cfRule>
  </conditionalFormatting>
  <conditionalFormatting sqref="S2450:S2466">
    <cfRule type="containsText" dxfId="3782" priority="7113" operator="containsText" text="Short Buildup">
      <formula>NOT(ISERROR(SEARCH("Short Buildup",S2450)))</formula>
    </cfRule>
    <cfRule type="containsText" dxfId="3781" priority="7114" operator="containsText" text="Long Liquidation">
      <formula>NOT(ISERROR(SEARCH("Long Liquidation",S2450)))</formula>
    </cfRule>
    <cfRule type="containsText" dxfId="3780" priority="7115" operator="containsText" text="Short covering">
      <formula>NOT(ISERROR(SEARCH("Short covering",S2450)))</formula>
    </cfRule>
    <cfRule type="containsText" dxfId="3779" priority="7116" operator="containsText" text="Long Buildup">
      <formula>NOT(ISERROR(SEARCH("Long Buildup",S2450)))</formula>
    </cfRule>
  </conditionalFormatting>
  <conditionalFormatting sqref="F2450:F2465">
    <cfRule type="dataBar" priority="7112">
      <dataBar>
        <cfvo type="min"/>
        <cfvo type="max"/>
        <color rgb="FFFF555A"/>
      </dataBar>
    </cfRule>
  </conditionalFormatting>
  <conditionalFormatting sqref="G2450:G2465">
    <cfRule type="dataBar" priority="7111">
      <dataBar>
        <cfvo type="min"/>
        <cfvo type="max"/>
        <color rgb="FFFF555A"/>
      </dataBar>
    </cfRule>
  </conditionalFormatting>
  <conditionalFormatting sqref="H2450">
    <cfRule type="dataBar" priority="7110">
      <dataBar>
        <cfvo type="min"/>
        <cfvo type="max"/>
        <color rgb="FFFF555A"/>
      </dataBar>
    </cfRule>
  </conditionalFormatting>
  <conditionalFormatting sqref="I2450">
    <cfRule type="dataBar" priority="7109">
      <dataBar>
        <cfvo type="min"/>
        <cfvo type="max"/>
        <color rgb="FFFF555A"/>
      </dataBar>
    </cfRule>
  </conditionalFormatting>
  <conditionalFormatting sqref="J2450">
    <cfRule type="dataBar" priority="7108">
      <dataBar>
        <cfvo type="min"/>
        <cfvo type="max"/>
        <color rgb="FFFF555A"/>
      </dataBar>
    </cfRule>
  </conditionalFormatting>
  <conditionalFormatting sqref="E2451:E2465">
    <cfRule type="dataBar" priority="7107">
      <dataBar>
        <cfvo type="min"/>
        <cfvo type="max"/>
        <color rgb="FFFF555A"/>
      </dataBar>
    </cfRule>
  </conditionalFormatting>
  <conditionalFormatting sqref="H2451:H2465">
    <cfRule type="dataBar" priority="7106">
      <dataBar>
        <cfvo type="min"/>
        <cfvo type="max"/>
        <color rgb="FFFF555A"/>
      </dataBar>
    </cfRule>
  </conditionalFormatting>
  <conditionalFormatting sqref="I2451:I2465">
    <cfRule type="dataBar" priority="7105">
      <dataBar>
        <cfvo type="min"/>
        <cfvo type="max"/>
        <color rgb="FFFF555A"/>
      </dataBar>
    </cfRule>
  </conditionalFormatting>
  <conditionalFormatting sqref="J2451:J2465">
    <cfRule type="dataBar" priority="7104">
      <dataBar>
        <cfvo type="min"/>
        <cfvo type="max"/>
        <color rgb="FFFF555A"/>
      </dataBar>
    </cfRule>
  </conditionalFormatting>
  <conditionalFormatting sqref="L2450:L2465">
    <cfRule type="dataBar" priority="7103">
      <dataBar>
        <cfvo type="min"/>
        <cfvo type="max"/>
        <color rgb="FFFF555A"/>
      </dataBar>
    </cfRule>
  </conditionalFormatting>
  <conditionalFormatting sqref="M2450:M2465">
    <cfRule type="dataBar" priority="7102">
      <dataBar>
        <cfvo type="min"/>
        <cfvo type="max"/>
        <color rgb="FFFF555A"/>
      </dataBar>
    </cfRule>
  </conditionalFormatting>
  <conditionalFormatting sqref="N2450:N2465">
    <cfRule type="dataBar" priority="7101">
      <dataBar>
        <cfvo type="min"/>
        <cfvo type="max"/>
        <color rgb="FFFF555A"/>
      </dataBar>
    </cfRule>
  </conditionalFormatting>
  <conditionalFormatting sqref="Q2450:Q2465">
    <cfRule type="dataBar" priority="7100">
      <dataBar>
        <cfvo type="min"/>
        <cfvo type="max"/>
        <color rgb="FFFF555A"/>
      </dataBar>
    </cfRule>
  </conditionalFormatting>
  <conditionalFormatting sqref="O2450:O2465">
    <cfRule type="dataBar" priority="7099">
      <dataBar>
        <cfvo type="min"/>
        <cfvo type="max"/>
        <color rgb="FFFF555A"/>
      </dataBar>
    </cfRule>
  </conditionalFormatting>
  <conditionalFormatting sqref="P2450:P2465">
    <cfRule type="dataBar" priority="7098">
      <dataBar>
        <cfvo type="min"/>
        <cfvo type="max"/>
        <color rgb="FFFF555A"/>
      </dataBar>
    </cfRule>
  </conditionalFormatting>
  <conditionalFormatting sqref="R2467:R2483 D2467:D2482 C2483">
    <cfRule type="containsText" dxfId="3778" priority="7097" operator="containsText" text="DOWN">
      <formula>NOT(ISERROR(SEARCH("DOWN",C2467)))</formula>
    </cfRule>
  </conditionalFormatting>
  <conditionalFormatting sqref="R2467:R2483 D2467:D2482 C2483">
    <cfRule type="containsText" dxfId="3777" priority="7096" operator="containsText" text="UP">
      <formula>NOT(ISERROR(SEARCH("UP",C2467)))</formula>
    </cfRule>
  </conditionalFormatting>
  <conditionalFormatting sqref="I2483">
    <cfRule type="colorScale" priority="7095">
      <colorScale>
        <cfvo type="min"/>
        <cfvo type="max"/>
        <color rgb="FFFFEF9C"/>
        <color rgb="FF63BE7B"/>
      </colorScale>
    </cfRule>
  </conditionalFormatting>
  <conditionalFormatting sqref="M2483">
    <cfRule type="colorScale" priority="7094">
      <colorScale>
        <cfvo type="min"/>
        <cfvo type="max"/>
        <color rgb="FFFF7128"/>
        <color rgb="FFFFEF9C"/>
      </colorScale>
    </cfRule>
  </conditionalFormatting>
  <conditionalFormatting sqref="Q2483">
    <cfRule type="dataBar" priority="7093">
      <dataBar>
        <cfvo type="min"/>
        <cfvo type="max"/>
        <color rgb="FFFF555A"/>
      </dataBar>
    </cfRule>
  </conditionalFormatting>
  <conditionalFormatting sqref="E2467:E2483">
    <cfRule type="dataBar" priority="7092">
      <dataBar>
        <cfvo type="min"/>
        <cfvo type="max"/>
        <color rgb="FFFF555A"/>
      </dataBar>
    </cfRule>
  </conditionalFormatting>
  <conditionalFormatting sqref="F2483">
    <cfRule type="top10" dxfId="3776" priority="7091" rank="1"/>
  </conditionalFormatting>
  <conditionalFormatting sqref="G2483 P2483">
    <cfRule type="cellIs" dxfId="3775" priority="7090" operator="equal">
      <formula>$G$135</formula>
    </cfRule>
  </conditionalFormatting>
  <conditionalFormatting sqref="P2483">
    <cfRule type="cellIs" dxfId="3774" priority="7089" operator="equal">
      <formula>$J$135</formula>
    </cfRule>
  </conditionalFormatting>
  <conditionalFormatting sqref="G2483 P2483">
    <cfRule type="cellIs" dxfId="3773" priority="7088" operator="equal">
      <formula>#REF!</formula>
    </cfRule>
  </conditionalFormatting>
  <conditionalFormatting sqref="G2483">
    <cfRule type="top10" dxfId="3772" priority="7086" rank="1"/>
    <cfRule type="cellIs" dxfId="3771" priority="7087" operator="equal">
      <formula>$G$133</formula>
    </cfRule>
  </conditionalFormatting>
  <conditionalFormatting sqref="P2483">
    <cfRule type="top10" dxfId="3770" priority="7084" rank="1"/>
    <cfRule type="cellIs" dxfId="3769" priority="7085" operator="equal">
      <formula>$G$133</formula>
    </cfRule>
  </conditionalFormatting>
  <conditionalFormatting sqref="C2467:C2482">
    <cfRule type="containsText" dxfId="3768" priority="7080" operator="containsText" text="Short Buildup">
      <formula>NOT(ISERROR(SEARCH("Short Buildup",C2467)))</formula>
    </cfRule>
    <cfRule type="containsText" dxfId="3767" priority="7081" operator="containsText" text="Long Liquidation">
      <formula>NOT(ISERROR(SEARCH("Long Liquidation",C2467)))</formula>
    </cfRule>
    <cfRule type="containsText" dxfId="3766" priority="7082" operator="containsText" text="Short covering">
      <formula>NOT(ISERROR(SEARCH("Short covering",C2467)))</formula>
    </cfRule>
    <cfRule type="containsText" dxfId="3765" priority="7083" operator="containsText" text="Long Buildup">
      <formula>NOT(ISERROR(SEARCH("Long Buildup",C2467)))</formula>
    </cfRule>
  </conditionalFormatting>
  <conditionalFormatting sqref="H2483">
    <cfRule type="colorScale" priority="7075">
      <colorScale>
        <cfvo type="min"/>
        <cfvo type="percentile" val="20"/>
        <cfvo type="max"/>
        <color rgb="FF92D050"/>
        <color theme="5" tint="0.79998168889431442"/>
        <color rgb="FFFF0000"/>
      </colorScale>
    </cfRule>
    <cfRule type="colorScale" priority="7076">
      <colorScale>
        <cfvo type="min"/>
        <cfvo type="max"/>
        <color rgb="FFFF0000"/>
        <color rgb="FF92D050"/>
      </colorScale>
    </cfRule>
    <cfRule type="colorScale" priority="7077">
      <colorScale>
        <cfvo type="min"/>
        <cfvo type="percentile" val="50"/>
        <cfvo type="max"/>
        <color rgb="FF5A8AC6"/>
        <color rgb="FFFCFCFF"/>
        <color rgb="FFF8696B"/>
      </colorScale>
    </cfRule>
    <cfRule type="colorScale" priority="7078">
      <colorScale>
        <cfvo type="formula" val="&quot;&gt;20&quot;"/>
        <cfvo type="formula" val="35"/>
        <color rgb="FFF8696B"/>
        <color rgb="FFFCFCFF"/>
      </colorScale>
    </cfRule>
    <cfRule type="colorScale" priority="7079">
      <colorScale>
        <cfvo type="min"/>
        <cfvo type="max"/>
        <color rgb="FFFFEF9C"/>
        <color rgb="FF63BE7B"/>
      </colorScale>
    </cfRule>
  </conditionalFormatting>
  <conditionalFormatting sqref="N2483">
    <cfRule type="colorScale" priority="7070">
      <colorScale>
        <cfvo type="min"/>
        <cfvo type="percentile" val="20"/>
        <cfvo type="max"/>
        <color rgb="FF92D050"/>
        <color theme="5" tint="0.79998168889431442"/>
        <color rgb="FFFF0000"/>
      </colorScale>
    </cfRule>
    <cfRule type="colorScale" priority="7071">
      <colorScale>
        <cfvo type="min"/>
        <cfvo type="max"/>
        <color rgb="FFFF0000"/>
        <color rgb="FF92D050"/>
      </colorScale>
    </cfRule>
    <cfRule type="colorScale" priority="7072">
      <colorScale>
        <cfvo type="min"/>
        <cfvo type="percentile" val="50"/>
        <cfvo type="max"/>
        <color rgb="FF5A8AC6"/>
        <color rgb="FFFCFCFF"/>
        <color rgb="FFF8696B"/>
      </colorScale>
    </cfRule>
    <cfRule type="colorScale" priority="7073">
      <colorScale>
        <cfvo type="formula" val="&quot;&gt;20&quot;"/>
        <cfvo type="formula" val="35"/>
        <color rgb="FFF8696B"/>
        <color rgb="FFFCFCFF"/>
      </colorScale>
    </cfRule>
    <cfRule type="colorScale" priority="7074">
      <colorScale>
        <cfvo type="min"/>
        <cfvo type="max"/>
        <color rgb="FFFFEF9C"/>
        <color rgb="FF63BE7B"/>
      </colorScale>
    </cfRule>
  </conditionalFormatting>
  <conditionalFormatting sqref="S2467:S2483">
    <cfRule type="containsText" dxfId="3764" priority="7066" operator="containsText" text="Short Buildup">
      <formula>NOT(ISERROR(SEARCH("Short Buildup",S2467)))</formula>
    </cfRule>
    <cfRule type="containsText" dxfId="3763" priority="7067" operator="containsText" text="Long Liquidation">
      <formula>NOT(ISERROR(SEARCH("Long Liquidation",S2467)))</formula>
    </cfRule>
    <cfRule type="containsText" dxfId="3762" priority="7068" operator="containsText" text="Short covering">
      <formula>NOT(ISERROR(SEARCH("Short covering",S2467)))</formula>
    </cfRule>
    <cfRule type="containsText" dxfId="3761" priority="7069" operator="containsText" text="Long Buildup">
      <formula>NOT(ISERROR(SEARCH("Long Buildup",S2467)))</formula>
    </cfRule>
  </conditionalFormatting>
  <conditionalFormatting sqref="F2467:F2482">
    <cfRule type="dataBar" priority="7065">
      <dataBar>
        <cfvo type="min"/>
        <cfvo type="max"/>
        <color rgb="FFFF555A"/>
      </dataBar>
    </cfRule>
  </conditionalFormatting>
  <conditionalFormatting sqref="G2467:G2482">
    <cfRule type="dataBar" priority="7064">
      <dataBar>
        <cfvo type="min"/>
        <cfvo type="max"/>
        <color rgb="FFFF555A"/>
      </dataBar>
    </cfRule>
  </conditionalFormatting>
  <conditionalFormatting sqref="H2467">
    <cfRule type="dataBar" priority="7063">
      <dataBar>
        <cfvo type="min"/>
        <cfvo type="max"/>
        <color rgb="FFFF555A"/>
      </dataBar>
    </cfRule>
  </conditionalFormatting>
  <conditionalFormatting sqref="I2467">
    <cfRule type="dataBar" priority="7062">
      <dataBar>
        <cfvo type="min"/>
        <cfvo type="max"/>
        <color rgb="FFFF555A"/>
      </dataBar>
    </cfRule>
  </conditionalFormatting>
  <conditionalFormatting sqref="J2467">
    <cfRule type="dataBar" priority="7061">
      <dataBar>
        <cfvo type="min"/>
        <cfvo type="max"/>
        <color rgb="FFFF555A"/>
      </dataBar>
    </cfRule>
  </conditionalFormatting>
  <conditionalFormatting sqref="E2468:E2482">
    <cfRule type="dataBar" priority="7060">
      <dataBar>
        <cfvo type="min"/>
        <cfvo type="max"/>
        <color rgb="FFFF555A"/>
      </dataBar>
    </cfRule>
  </conditionalFormatting>
  <conditionalFormatting sqref="H2468:H2482">
    <cfRule type="dataBar" priority="7059">
      <dataBar>
        <cfvo type="min"/>
        <cfvo type="max"/>
        <color rgb="FFFF555A"/>
      </dataBar>
    </cfRule>
  </conditionalFormatting>
  <conditionalFormatting sqref="I2468:I2482">
    <cfRule type="dataBar" priority="7058">
      <dataBar>
        <cfvo type="min"/>
        <cfvo type="max"/>
        <color rgb="FFFF555A"/>
      </dataBar>
    </cfRule>
  </conditionalFormatting>
  <conditionalFormatting sqref="J2468:J2482">
    <cfRule type="dataBar" priority="7057">
      <dataBar>
        <cfvo type="min"/>
        <cfvo type="max"/>
        <color rgb="FFFF555A"/>
      </dataBar>
    </cfRule>
  </conditionalFormatting>
  <conditionalFormatting sqref="L2467:L2482">
    <cfRule type="dataBar" priority="7056">
      <dataBar>
        <cfvo type="min"/>
        <cfvo type="max"/>
        <color rgb="FFFF555A"/>
      </dataBar>
    </cfRule>
  </conditionalFormatting>
  <conditionalFormatting sqref="M2467:M2482">
    <cfRule type="dataBar" priority="7055">
      <dataBar>
        <cfvo type="min"/>
        <cfvo type="max"/>
        <color rgb="FFFF555A"/>
      </dataBar>
    </cfRule>
  </conditionalFormatting>
  <conditionalFormatting sqref="N2467:N2482">
    <cfRule type="dataBar" priority="7054">
      <dataBar>
        <cfvo type="min"/>
        <cfvo type="max"/>
        <color rgb="FFFF555A"/>
      </dataBar>
    </cfRule>
  </conditionalFormatting>
  <conditionalFormatting sqref="Q2467:Q2482">
    <cfRule type="dataBar" priority="7053">
      <dataBar>
        <cfvo type="min"/>
        <cfvo type="max"/>
        <color rgb="FFFF555A"/>
      </dataBar>
    </cfRule>
  </conditionalFormatting>
  <conditionalFormatting sqref="O2467:O2482">
    <cfRule type="dataBar" priority="7052">
      <dataBar>
        <cfvo type="min"/>
        <cfvo type="max"/>
        <color rgb="FFFF555A"/>
      </dataBar>
    </cfRule>
  </conditionalFormatting>
  <conditionalFormatting sqref="P2467:P2482">
    <cfRule type="dataBar" priority="7051">
      <dataBar>
        <cfvo type="min"/>
        <cfvo type="max"/>
        <color rgb="FFFF555A"/>
      </dataBar>
    </cfRule>
  </conditionalFormatting>
  <conditionalFormatting sqref="R2484:R2500 D2484:D2499 C2500">
    <cfRule type="containsText" dxfId="3760" priority="7050" operator="containsText" text="DOWN">
      <formula>NOT(ISERROR(SEARCH("DOWN",C2484)))</formula>
    </cfRule>
  </conditionalFormatting>
  <conditionalFormatting sqref="R2484:R2500 D2484:D2499 C2500">
    <cfRule type="containsText" dxfId="3759" priority="7049" operator="containsText" text="UP">
      <formula>NOT(ISERROR(SEARCH("UP",C2484)))</formula>
    </cfRule>
  </conditionalFormatting>
  <conditionalFormatting sqref="I2500">
    <cfRule type="colorScale" priority="7048">
      <colorScale>
        <cfvo type="min"/>
        <cfvo type="max"/>
        <color rgb="FFFFEF9C"/>
        <color rgb="FF63BE7B"/>
      </colorScale>
    </cfRule>
  </conditionalFormatting>
  <conditionalFormatting sqref="M2500">
    <cfRule type="colorScale" priority="7047">
      <colorScale>
        <cfvo type="min"/>
        <cfvo type="max"/>
        <color rgb="FFFF7128"/>
        <color rgb="FFFFEF9C"/>
      </colorScale>
    </cfRule>
  </conditionalFormatting>
  <conditionalFormatting sqref="Q2500">
    <cfRule type="dataBar" priority="7046">
      <dataBar>
        <cfvo type="min"/>
        <cfvo type="max"/>
        <color rgb="FFFF555A"/>
      </dataBar>
    </cfRule>
  </conditionalFormatting>
  <conditionalFormatting sqref="E2484:E2500">
    <cfRule type="dataBar" priority="7045">
      <dataBar>
        <cfvo type="min"/>
        <cfvo type="max"/>
        <color rgb="FFFF555A"/>
      </dataBar>
    </cfRule>
  </conditionalFormatting>
  <conditionalFormatting sqref="F2500">
    <cfRule type="top10" dxfId="3758" priority="7044" rank="1"/>
  </conditionalFormatting>
  <conditionalFormatting sqref="G2500 P2500">
    <cfRule type="cellIs" dxfId="3757" priority="7043" operator="equal">
      <formula>$G$135</formula>
    </cfRule>
  </conditionalFormatting>
  <conditionalFormatting sqref="P2500">
    <cfRule type="cellIs" dxfId="3756" priority="7042" operator="equal">
      <formula>$J$135</formula>
    </cfRule>
  </conditionalFormatting>
  <conditionalFormatting sqref="G2500 P2500">
    <cfRule type="cellIs" dxfId="3755" priority="7041" operator="equal">
      <formula>#REF!</formula>
    </cfRule>
  </conditionalFormatting>
  <conditionalFormatting sqref="G2500">
    <cfRule type="top10" dxfId="3754" priority="7039" rank="1"/>
    <cfRule type="cellIs" dxfId="3753" priority="7040" operator="equal">
      <formula>$G$133</formula>
    </cfRule>
  </conditionalFormatting>
  <conditionalFormatting sqref="P2500">
    <cfRule type="top10" dxfId="3752" priority="7037" rank="1"/>
    <cfRule type="cellIs" dxfId="3751" priority="7038" operator="equal">
      <formula>$G$133</formula>
    </cfRule>
  </conditionalFormatting>
  <conditionalFormatting sqref="C2484:C2499">
    <cfRule type="containsText" dxfId="3750" priority="7033" operator="containsText" text="Short Buildup">
      <formula>NOT(ISERROR(SEARCH("Short Buildup",C2484)))</formula>
    </cfRule>
    <cfRule type="containsText" dxfId="3749" priority="7034" operator="containsText" text="Long Liquidation">
      <formula>NOT(ISERROR(SEARCH("Long Liquidation",C2484)))</formula>
    </cfRule>
    <cfRule type="containsText" dxfId="3748" priority="7035" operator="containsText" text="Short covering">
      <formula>NOT(ISERROR(SEARCH("Short covering",C2484)))</formula>
    </cfRule>
    <cfRule type="containsText" dxfId="3747" priority="7036" operator="containsText" text="Long Buildup">
      <formula>NOT(ISERROR(SEARCH("Long Buildup",C2484)))</formula>
    </cfRule>
  </conditionalFormatting>
  <conditionalFormatting sqref="H2500">
    <cfRule type="colorScale" priority="7028">
      <colorScale>
        <cfvo type="min"/>
        <cfvo type="percentile" val="20"/>
        <cfvo type="max"/>
        <color rgb="FF92D050"/>
        <color theme="5" tint="0.79998168889431442"/>
        <color rgb="FFFF0000"/>
      </colorScale>
    </cfRule>
    <cfRule type="colorScale" priority="7029">
      <colorScale>
        <cfvo type="min"/>
        <cfvo type="max"/>
        <color rgb="FFFF0000"/>
        <color rgb="FF92D050"/>
      </colorScale>
    </cfRule>
    <cfRule type="colorScale" priority="7030">
      <colorScale>
        <cfvo type="min"/>
        <cfvo type="percentile" val="50"/>
        <cfvo type="max"/>
        <color rgb="FF5A8AC6"/>
        <color rgb="FFFCFCFF"/>
        <color rgb="FFF8696B"/>
      </colorScale>
    </cfRule>
    <cfRule type="colorScale" priority="7031">
      <colorScale>
        <cfvo type="formula" val="&quot;&gt;20&quot;"/>
        <cfvo type="formula" val="35"/>
        <color rgb="FFF8696B"/>
        <color rgb="FFFCFCFF"/>
      </colorScale>
    </cfRule>
    <cfRule type="colorScale" priority="7032">
      <colorScale>
        <cfvo type="min"/>
        <cfvo type="max"/>
        <color rgb="FFFFEF9C"/>
        <color rgb="FF63BE7B"/>
      </colorScale>
    </cfRule>
  </conditionalFormatting>
  <conditionalFormatting sqref="N2500">
    <cfRule type="colorScale" priority="7023">
      <colorScale>
        <cfvo type="min"/>
        <cfvo type="percentile" val="20"/>
        <cfvo type="max"/>
        <color rgb="FF92D050"/>
        <color theme="5" tint="0.79998168889431442"/>
        <color rgb="FFFF0000"/>
      </colorScale>
    </cfRule>
    <cfRule type="colorScale" priority="7024">
      <colorScale>
        <cfvo type="min"/>
        <cfvo type="max"/>
        <color rgb="FFFF0000"/>
        <color rgb="FF92D050"/>
      </colorScale>
    </cfRule>
    <cfRule type="colorScale" priority="7025">
      <colorScale>
        <cfvo type="min"/>
        <cfvo type="percentile" val="50"/>
        <cfvo type="max"/>
        <color rgb="FF5A8AC6"/>
        <color rgb="FFFCFCFF"/>
        <color rgb="FFF8696B"/>
      </colorScale>
    </cfRule>
    <cfRule type="colorScale" priority="7026">
      <colorScale>
        <cfvo type="formula" val="&quot;&gt;20&quot;"/>
        <cfvo type="formula" val="35"/>
        <color rgb="FFF8696B"/>
        <color rgb="FFFCFCFF"/>
      </colorScale>
    </cfRule>
    <cfRule type="colorScale" priority="7027">
      <colorScale>
        <cfvo type="min"/>
        <cfvo type="max"/>
        <color rgb="FFFFEF9C"/>
        <color rgb="FF63BE7B"/>
      </colorScale>
    </cfRule>
  </conditionalFormatting>
  <conditionalFormatting sqref="S2484:S2500">
    <cfRule type="containsText" dxfId="3746" priority="7019" operator="containsText" text="Short Buildup">
      <formula>NOT(ISERROR(SEARCH("Short Buildup",S2484)))</formula>
    </cfRule>
    <cfRule type="containsText" dxfId="3745" priority="7020" operator="containsText" text="Long Liquidation">
      <formula>NOT(ISERROR(SEARCH("Long Liquidation",S2484)))</formula>
    </cfRule>
    <cfRule type="containsText" dxfId="3744" priority="7021" operator="containsText" text="Short covering">
      <formula>NOT(ISERROR(SEARCH("Short covering",S2484)))</formula>
    </cfRule>
    <cfRule type="containsText" dxfId="3743" priority="7022" operator="containsText" text="Long Buildup">
      <formula>NOT(ISERROR(SEARCH("Long Buildup",S2484)))</formula>
    </cfRule>
  </conditionalFormatting>
  <conditionalFormatting sqref="F2484:F2499">
    <cfRule type="dataBar" priority="7018">
      <dataBar>
        <cfvo type="min"/>
        <cfvo type="max"/>
        <color rgb="FFFF555A"/>
      </dataBar>
    </cfRule>
  </conditionalFormatting>
  <conditionalFormatting sqref="G2484:G2499">
    <cfRule type="dataBar" priority="7017">
      <dataBar>
        <cfvo type="min"/>
        <cfvo type="max"/>
        <color rgb="FFFF555A"/>
      </dataBar>
    </cfRule>
  </conditionalFormatting>
  <conditionalFormatting sqref="H2484">
    <cfRule type="dataBar" priority="7016">
      <dataBar>
        <cfvo type="min"/>
        <cfvo type="max"/>
        <color rgb="FFFF555A"/>
      </dataBar>
    </cfRule>
  </conditionalFormatting>
  <conditionalFormatting sqref="I2484">
    <cfRule type="dataBar" priority="7015">
      <dataBar>
        <cfvo type="min"/>
        <cfvo type="max"/>
        <color rgb="FFFF555A"/>
      </dataBar>
    </cfRule>
  </conditionalFormatting>
  <conditionalFormatting sqref="J2484">
    <cfRule type="dataBar" priority="7014">
      <dataBar>
        <cfvo type="min"/>
        <cfvo type="max"/>
        <color rgb="FFFF555A"/>
      </dataBar>
    </cfRule>
  </conditionalFormatting>
  <conditionalFormatting sqref="E2485:E2499">
    <cfRule type="dataBar" priority="7013">
      <dataBar>
        <cfvo type="min"/>
        <cfvo type="max"/>
        <color rgb="FFFF555A"/>
      </dataBar>
    </cfRule>
  </conditionalFormatting>
  <conditionalFormatting sqref="H2485:H2499">
    <cfRule type="dataBar" priority="7012">
      <dataBar>
        <cfvo type="min"/>
        <cfvo type="max"/>
        <color rgb="FFFF555A"/>
      </dataBar>
    </cfRule>
  </conditionalFormatting>
  <conditionalFormatting sqref="I2485:I2499">
    <cfRule type="dataBar" priority="7011">
      <dataBar>
        <cfvo type="min"/>
        <cfvo type="max"/>
        <color rgb="FFFF555A"/>
      </dataBar>
    </cfRule>
  </conditionalFormatting>
  <conditionalFormatting sqref="J2485:J2499">
    <cfRule type="dataBar" priority="7010">
      <dataBar>
        <cfvo type="min"/>
        <cfvo type="max"/>
        <color rgb="FFFF555A"/>
      </dataBar>
    </cfRule>
  </conditionalFormatting>
  <conditionalFormatting sqref="L2484:L2499">
    <cfRule type="dataBar" priority="7009">
      <dataBar>
        <cfvo type="min"/>
        <cfvo type="max"/>
        <color rgb="FFFF555A"/>
      </dataBar>
    </cfRule>
  </conditionalFormatting>
  <conditionalFormatting sqref="M2484:M2499">
    <cfRule type="dataBar" priority="7008">
      <dataBar>
        <cfvo type="min"/>
        <cfvo type="max"/>
        <color rgb="FFFF555A"/>
      </dataBar>
    </cfRule>
  </conditionalFormatting>
  <conditionalFormatting sqref="N2484:N2499">
    <cfRule type="dataBar" priority="7007">
      <dataBar>
        <cfvo type="min"/>
        <cfvo type="max"/>
        <color rgb="FFFF555A"/>
      </dataBar>
    </cfRule>
  </conditionalFormatting>
  <conditionalFormatting sqref="Q2484:Q2499">
    <cfRule type="dataBar" priority="7006">
      <dataBar>
        <cfvo type="min"/>
        <cfvo type="max"/>
        <color rgb="FFFF555A"/>
      </dataBar>
    </cfRule>
  </conditionalFormatting>
  <conditionalFormatting sqref="O2484:O2499">
    <cfRule type="dataBar" priority="7005">
      <dataBar>
        <cfvo type="min"/>
        <cfvo type="max"/>
        <color rgb="FFFF555A"/>
      </dataBar>
    </cfRule>
  </conditionalFormatting>
  <conditionalFormatting sqref="P2484:P2499">
    <cfRule type="dataBar" priority="7004">
      <dataBar>
        <cfvo type="min"/>
        <cfvo type="max"/>
        <color rgb="FFFF555A"/>
      </dataBar>
    </cfRule>
  </conditionalFormatting>
  <conditionalFormatting sqref="R2501:R2517 D2501:D2516 C2517">
    <cfRule type="containsText" dxfId="3742" priority="7003" operator="containsText" text="DOWN">
      <formula>NOT(ISERROR(SEARCH("DOWN",C2501)))</formula>
    </cfRule>
  </conditionalFormatting>
  <conditionalFormatting sqref="R2501:R2517 D2501:D2516 C2517">
    <cfRule type="containsText" dxfId="3741" priority="7002" operator="containsText" text="UP">
      <formula>NOT(ISERROR(SEARCH("UP",C2501)))</formula>
    </cfRule>
  </conditionalFormatting>
  <conditionalFormatting sqref="I2517">
    <cfRule type="colorScale" priority="7001">
      <colorScale>
        <cfvo type="min"/>
        <cfvo type="max"/>
        <color rgb="FFFFEF9C"/>
        <color rgb="FF63BE7B"/>
      </colorScale>
    </cfRule>
  </conditionalFormatting>
  <conditionalFormatting sqref="M2517">
    <cfRule type="colorScale" priority="7000">
      <colorScale>
        <cfvo type="min"/>
        <cfvo type="max"/>
        <color rgb="FFFF7128"/>
        <color rgb="FFFFEF9C"/>
      </colorScale>
    </cfRule>
  </conditionalFormatting>
  <conditionalFormatting sqref="Q2517">
    <cfRule type="dataBar" priority="6999">
      <dataBar>
        <cfvo type="min"/>
        <cfvo type="max"/>
        <color rgb="FFFF555A"/>
      </dataBar>
    </cfRule>
  </conditionalFormatting>
  <conditionalFormatting sqref="E2501:E2517">
    <cfRule type="dataBar" priority="6998">
      <dataBar>
        <cfvo type="min"/>
        <cfvo type="max"/>
        <color rgb="FFFF555A"/>
      </dataBar>
    </cfRule>
  </conditionalFormatting>
  <conditionalFormatting sqref="F2517">
    <cfRule type="top10" dxfId="3740" priority="6997" rank="1"/>
  </conditionalFormatting>
  <conditionalFormatting sqref="G2517 P2517">
    <cfRule type="cellIs" dxfId="3739" priority="6996" operator="equal">
      <formula>$G$135</formula>
    </cfRule>
  </conditionalFormatting>
  <conditionalFormatting sqref="P2517">
    <cfRule type="cellIs" dxfId="3738" priority="6995" operator="equal">
      <formula>$J$135</formula>
    </cfRule>
  </conditionalFormatting>
  <conditionalFormatting sqref="G2517 P2517">
    <cfRule type="cellIs" dxfId="3737" priority="6994" operator="equal">
      <formula>#REF!</formula>
    </cfRule>
  </conditionalFormatting>
  <conditionalFormatting sqref="G2517">
    <cfRule type="top10" dxfId="3736" priority="6992" rank="1"/>
    <cfRule type="cellIs" dxfId="3735" priority="6993" operator="equal">
      <formula>$G$133</formula>
    </cfRule>
  </conditionalFormatting>
  <conditionalFormatting sqref="P2517">
    <cfRule type="top10" dxfId="3734" priority="6990" rank="1"/>
    <cfRule type="cellIs" dxfId="3733" priority="6991" operator="equal">
      <formula>$G$133</formula>
    </cfRule>
  </conditionalFormatting>
  <conditionalFormatting sqref="C2501:C2516">
    <cfRule type="containsText" dxfId="3732" priority="6986" operator="containsText" text="Short Buildup">
      <formula>NOT(ISERROR(SEARCH("Short Buildup",C2501)))</formula>
    </cfRule>
    <cfRule type="containsText" dxfId="3731" priority="6987" operator="containsText" text="Long Liquidation">
      <formula>NOT(ISERROR(SEARCH("Long Liquidation",C2501)))</formula>
    </cfRule>
    <cfRule type="containsText" dxfId="3730" priority="6988" operator="containsText" text="Short covering">
      <formula>NOT(ISERROR(SEARCH("Short covering",C2501)))</formula>
    </cfRule>
    <cfRule type="containsText" dxfId="3729" priority="6989" operator="containsText" text="Long Buildup">
      <formula>NOT(ISERROR(SEARCH("Long Buildup",C2501)))</formula>
    </cfRule>
  </conditionalFormatting>
  <conditionalFormatting sqref="H2517">
    <cfRule type="colorScale" priority="6981">
      <colorScale>
        <cfvo type="min"/>
        <cfvo type="percentile" val="20"/>
        <cfvo type="max"/>
        <color rgb="FF92D050"/>
        <color theme="5" tint="0.79998168889431442"/>
        <color rgb="FFFF0000"/>
      </colorScale>
    </cfRule>
    <cfRule type="colorScale" priority="6982">
      <colorScale>
        <cfvo type="min"/>
        <cfvo type="max"/>
        <color rgb="FFFF0000"/>
        <color rgb="FF92D050"/>
      </colorScale>
    </cfRule>
    <cfRule type="colorScale" priority="6983">
      <colorScale>
        <cfvo type="min"/>
        <cfvo type="percentile" val="50"/>
        <cfvo type="max"/>
        <color rgb="FF5A8AC6"/>
        <color rgb="FFFCFCFF"/>
        <color rgb="FFF8696B"/>
      </colorScale>
    </cfRule>
    <cfRule type="colorScale" priority="6984">
      <colorScale>
        <cfvo type="formula" val="&quot;&gt;20&quot;"/>
        <cfvo type="formula" val="35"/>
        <color rgb="FFF8696B"/>
        <color rgb="FFFCFCFF"/>
      </colorScale>
    </cfRule>
    <cfRule type="colorScale" priority="6985">
      <colorScale>
        <cfvo type="min"/>
        <cfvo type="max"/>
        <color rgb="FFFFEF9C"/>
        <color rgb="FF63BE7B"/>
      </colorScale>
    </cfRule>
  </conditionalFormatting>
  <conditionalFormatting sqref="N2517">
    <cfRule type="colorScale" priority="6976">
      <colorScale>
        <cfvo type="min"/>
        <cfvo type="percentile" val="20"/>
        <cfvo type="max"/>
        <color rgb="FF92D050"/>
        <color theme="5" tint="0.79998168889431442"/>
        <color rgb="FFFF0000"/>
      </colorScale>
    </cfRule>
    <cfRule type="colorScale" priority="6977">
      <colorScale>
        <cfvo type="min"/>
        <cfvo type="max"/>
        <color rgb="FFFF0000"/>
        <color rgb="FF92D050"/>
      </colorScale>
    </cfRule>
    <cfRule type="colorScale" priority="6978">
      <colorScale>
        <cfvo type="min"/>
        <cfvo type="percentile" val="50"/>
        <cfvo type="max"/>
        <color rgb="FF5A8AC6"/>
        <color rgb="FFFCFCFF"/>
        <color rgb="FFF8696B"/>
      </colorScale>
    </cfRule>
    <cfRule type="colorScale" priority="6979">
      <colorScale>
        <cfvo type="formula" val="&quot;&gt;20&quot;"/>
        <cfvo type="formula" val="35"/>
        <color rgb="FFF8696B"/>
        <color rgb="FFFCFCFF"/>
      </colorScale>
    </cfRule>
    <cfRule type="colorScale" priority="6980">
      <colorScale>
        <cfvo type="min"/>
        <cfvo type="max"/>
        <color rgb="FFFFEF9C"/>
        <color rgb="FF63BE7B"/>
      </colorScale>
    </cfRule>
  </conditionalFormatting>
  <conditionalFormatting sqref="S2501:S2517">
    <cfRule type="containsText" dxfId="3728" priority="6972" operator="containsText" text="Short Buildup">
      <formula>NOT(ISERROR(SEARCH("Short Buildup",S2501)))</formula>
    </cfRule>
    <cfRule type="containsText" dxfId="3727" priority="6973" operator="containsText" text="Long Liquidation">
      <formula>NOT(ISERROR(SEARCH("Long Liquidation",S2501)))</formula>
    </cfRule>
    <cfRule type="containsText" dxfId="3726" priority="6974" operator="containsText" text="Short covering">
      <formula>NOT(ISERROR(SEARCH("Short covering",S2501)))</formula>
    </cfRule>
    <cfRule type="containsText" dxfId="3725" priority="6975" operator="containsText" text="Long Buildup">
      <formula>NOT(ISERROR(SEARCH("Long Buildup",S2501)))</formula>
    </cfRule>
  </conditionalFormatting>
  <conditionalFormatting sqref="F2501:F2516">
    <cfRule type="dataBar" priority="6971">
      <dataBar>
        <cfvo type="min"/>
        <cfvo type="max"/>
        <color rgb="FFFF555A"/>
      </dataBar>
    </cfRule>
  </conditionalFormatting>
  <conditionalFormatting sqref="G2501:G2516">
    <cfRule type="dataBar" priority="6970">
      <dataBar>
        <cfvo type="min"/>
        <cfvo type="max"/>
        <color rgb="FFFF555A"/>
      </dataBar>
    </cfRule>
  </conditionalFormatting>
  <conditionalFormatting sqref="H2501">
    <cfRule type="dataBar" priority="6969">
      <dataBar>
        <cfvo type="min"/>
        <cfvo type="max"/>
        <color rgb="FFFF555A"/>
      </dataBar>
    </cfRule>
  </conditionalFormatting>
  <conditionalFormatting sqref="I2501">
    <cfRule type="dataBar" priority="6968">
      <dataBar>
        <cfvo type="min"/>
        <cfvo type="max"/>
        <color rgb="FFFF555A"/>
      </dataBar>
    </cfRule>
  </conditionalFormatting>
  <conditionalFormatting sqref="J2501">
    <cfRule type="dataBar" priority="6967">
      <dataBar>
        <cfvo type="min"/>
        <cfvo type="max"/>
        <color rgb="FFFF555A"/>
      </dataBar>
    </cfRule>
  </conditionalFormatting>
  <conditionalFormatting sqref="E2502:E2516">
    <cfRule type="dataBar" priority="6966">
      <dataBar>
        <cfvo type="min"/>
        <cfvo type="max"/>
        <color rgb="FFFF555A"/>
      </dataBar>
    </cfRule>
  </conditionalFormatting>
  <conditionalFormatting sqref="H2502:H2516">
    <cfRule type="dataBar" priority="6965">
      <dataBar>
        <cfvo type="min"/>
        <cfvo type="max"/>
        <color rgb="FFFF555A"/>
      </dataBar>
    </cfRule>
  </conditionalFormatting>
  <conditionalFormatting sqref="I2502:I2516">
    <cfRule type="dataBar" priority="6964">
      <dataBar>
        <cfvo type="min"/>
        <cfvo type="max"/>
        <color rgb="FFFF555A"/>
      </dataBar>
    </cfRule>
  </conditionalFormatting>
  <conditionalFormatting sqref="J2502:J2516">
    <cfRule type="dataBar" priority="6963">
      <dataBar>
        <cfvo type="min"/>
        <cfvo type="max"/>
        <color rgb="FFFF555A"/>
      </dataBar>
    </cfRule>
  </conditionalFormatting>
  <conditionalFormatting sqref="L2501:L2516">
    <cfRule type="dataBar" priority="6962">
      <dataBar>
        <cfvo type="min"/>
        <cfvo type="max"/>
        <color rgb="FFFF555A"/>
      </dataBar>
    </cfRule>
  </conditionalFormatting>
  <conditionalFormatting sqref="M2501:M2516">
    <cfRule type="dataBar" priority="6961">
      <dataBar>
        <cfvo type="min"/>
        <cfvo type="max"/>
        <color rgb="FFFF555A"/>
      </dataBar>
    </cfRule>
  </conditionalFormatting>
  <conditionalFormatting sqref="N2501:N2516">
    <cfRule type="dataBar" priority="6960">
      <dataBar>
        <cfvo type="min"/>
        <cfvo type="max"/>
        <color rgb="FFFF555A"/>
      </dataBar>
    </cfRule>
  </conditionalFormatting>
  <conditionalFormatting sqref="Q2501:Q2516">
    <cfRule type="dataBar" priority="6959">
      <dataBar>
        <cfvo type="min"/>
        <cfvo type="max"/>
        <color rgb="FFFF555A"/>
      </dataBar>
    </cfRule>
  </conditionalFormatting>
  <conditionalFormatting sqref="O2501:O2516">
    <cfRule type="dataBar" priority="6958">
      <dataBar>
        <cfvo type="min"/>
        <cfvo type="max"/>
        <color rgb="FFFF555A"/>
      </dataBar>
    </cfRule>
  </conditionalFormatting>
  <conditionalFormatting sqref="P2501:P2516">
    <cfRule type="dataBar" priority="6957">
      <dataBar>
        <cfvo type="min"/>
        <cfvo type="max"/>
        <color rgb="FFFF555A"/>
      </dataBar>
    </cfRule>
  </conditionalFormatting>
  <conditionalFormatting sqref="R2518:R2534 D2518:D2533 C2534">
    <cfRule type="containsText" dxfId="3724" priority="6956" operator="containsText" text="DOWN">
      <formula>NOT(ISERROR(SEARCH("DOWN",C2518)))</formula>
    </cfRule>
  </conditionalFormatting>
  <conditionalFormatting sqref="R2518:R2534 D2518:D2533 C2534">
    <cfRule type="containsText" dxfId="3723" priority="6955" operator="containsText" text="UP">
      <formula>NOT(ISERROR(SEARCH("UP",C2518)))</formula>
    </cfRule>
  </conditionalFormatting>
  <conditionalFormatting sqref="I2534">
    <cfRule type="colorScale" priority="6954">
      <colorScale>
        <cfvo type="min"/>
        <cfvo type="max"/>
        <color rgb="FFFFEF9C"/>
        <color rgb="FF63BE7B"/>
      </colorScale>
    </cfRule>
  </conditionalFormatting>
  <conditionalFormatting sqref="M2534">
    <cfRule type="colorScale" priority="6953">
      <colorScale>
        <cfvo type="min"/>
        <cfvo type="max"/>
        <color rgb="FFFF7128"/>
        <color rgb="FFFFEF9C"/>
      </colorScale>
    </cfRule>
  </conditionalFormatting>
  <conditionalFormatting sqref="Q2534">
    <cfRule type="dataBar" priority="6952">
      <dataBar>
        <cfvo type="min"/>
        <cfvo type="max"/>
        <color rgb="FFFF555A"/>
      </dataBar>
    </cfRule>
  </conditionalFormatting>
  <conditionalFormatting sqref="E2518:E2534">
    <cfRule type="dataBar" priority="6951">
      <dataBar>
        <cfvo type="min"/>
        <cfvo type="max"/>
        <color rgb="FFFF555A"/>
      </dataBar>
    </cfRule>
  </conditionalFormatting>
  <conditionalFormatting sqref="F2534">
    <cfRule type="top10" dxfId="3722" priority="6950" rank="1"/>
  </conditionalFormatting>
  <conditionalFormatting sqref="G2534 P2534">
    <cfRule type="cellIs" dxfId="3721" priority="6949" operator="equal">
      <formula>$G$135</formula>
    </cfRule>
  </conditionalFormatting>
  <conditionalFormatting sqref="P2534">
    <cfRule type="cellIs" dxfId="3720" priority="6948" operator="equal">
      <formula>$J$135</formula>
    </cfRule>
  </conditionalFormatting>
  <conditionalFormatting sqref="G2534 P2534">
    <cfRule type="cellIs" dxfId="3719" priority="6947" operator="equal">
      <formula>#REF!</formula>
    </cfRule>
  </conditionalFormatting>
  <conditionalFormatting sqref="G2534">
    <cfRule type="top10" dxfId="3718" priority="6945" rank="1"/>
    <cfRule type="cellIs" dxfId="3717" priority="6946" operator="equal">
      <formula>$G$133</formula>
    </cfRule>
  </conditionalFormatting>
  <conditionalFormatting sqref="P2534">
    <cfRule type="top10" dxfId="3716" priority="6943" rank="1"/>
    <cfRule type="cellIs" dxfId="3715" priority="6944" operator="equal">
      <formula>$G$133</formula>
    </cfRule>
  </conditionalFormatting>
  <conditionalFormatting sqref="C2518:C2533">
    <cfRule type="containsText" dxfId="3714" priority="6939" operator="containsText" text="Short Buildup">
      <formula>NOT(ISERROR(SEARCH("Short Buildup",C2518)))</formula>
    </cfRule>
    <cfRule type="containsText" dxfId="3713" priority="6940" operator="containsText" text="Long Liquidation">
      <formula>NOT(ISERROR(SEARCH("Long Liquidation",C2518)))</formula>
    </cfRule>
    <cfRule type="containsText" dxfId="3712" priority="6941" operator="containsText" text="Short covering">
      <formula>NOT(ISERROR(SEARCH("Short covering",C2518)))</formula>
    </cfRule>
    <cfRule type="containsText" dxfId="3711" priority="6942" operator="containsText" text="Long Buildup">
      <formula>NOT(ISERROR(SEARCH("Long Buildup",C2518)))</formula>
    </cfRule>
  </conditionalFormatting>
  <conditionalFormatting sqref="H2534">
    <cfRule type="colorScale" priority="6934">
      <colorScale>
        <cfvo type="min"/>
        <cfvo type="percentile" val="20"/>
        <cfvo type="max"/>
        <color rgb="FF92D050"/>
        <color theme="5" tint="0.79998168889431442"/>
        <color rgb="FFFF0000"/>
      </colorScale>
    </cfRule>
    <cfRule type="colorScale" priority="6935">
      <colorScale>
        <cfvo type="min"/>
        <cfvo type="max"/>
        <color rgb="FFFF0000"/>
        <color rgb="FF92D050"/>
      </colorScale>
    </cfRule>
    <cfRule type="colorScale" priority="6936">
      <colorScale>
        <cfvo type="min"/>
        <cfvo type="percentile" val="50"/>
        <cfvo type="max"/>
        <color rgb="FF5A8AC6"/>
        <color rgb="FFFCFCFF"/>
        <color rgb="FFF8696B"/>
      </colorScale>
    </cfRule>
    <cfRule type="colorScale" priority="6937">
      <colorScale>
        <cfvo type="formula" val="&quot;&gt;20&quot;"/>
        <cfvo type="formula" val="35"/>
        <color rgb="FFF8696B"/>
        <color rgb="FFFCFCFF"/>
      </colorScale>
    </cfRule>
    <cfRule type="colorScale" priority="6938">
      <colorScale>
        <cfvo type="min"/>
        <cfvo type="max"/>
        <color rgb="FFFFEF9C"/>
        <color rgb="FF63BE7B"/>
      </colorScale>
    </cfRule>
  </conditionalFormatting>
  <conditionalFormatting sqref="N2534">
    <cfRule type="colorScale" priority="6929">
      <colorScale>
        <cfvo type="min"/>
        <cfvo type="percentile" val="20"/>
        <cfvo type="max"/>
        <color rgb="FF92D050"/>
        <color theme="5" tint="0.79998168889431442"/>
        <color rgb="FFFF0000"/>
      </colorScale>
    </cfRule>
    <cfRule type="colorScale" priority="6930">
      <colorScale>
        <cfvo type="min"/>
        <cfvo type="max"/>
        <color rgb="FFFF0000"/>
        <color rgb="FF92D050"/>
      </colorScale>
    </cfRule>
    <cfRule type="colorScale" priority="6931">
      <colorScale>
        <cfvo type="min"/>
        <cfvo type="percentile" val="50"/>
        <cfvo type="max"/>
        <color rgb="FF5A8AC6"/>
        <color rgb="FFFCFCFF"/>
        <color rgb="FFF8696B"/>
      </colorScale>
    </cfRule>
    <cfRule type="colorScale" priority="6932">
      <colorScale>
        <cfvo type="formula" val="&quot;&gt;20&quot;"/>
        <cfvo type="formula" val="35"/>
        <color rgb="FFF8696B"/>
        <color rgb="FFFCFCFF"/>
      </colorScale>
    </cfRule>
    <cfRule type="colorScale" priority="6933">
      <colorScale>
        <cfvo type="min"/>
        <cfvo type="max"/>
        <color rgb="FFFFEF9C"/>
        <color rgb="FF63BE7B"/>
      </colorScale>
    </cfRule>
  </conditionalFormatting>
  <conditionalFormatting sqref="S2518:S2534">
    <cfRule type="containsText" dxfId="3710" priority="6925" operator="containsText" text="Short Buildup">
      <formula>NOT(ISERROR(SEARCH("Short Buildup",S2518)))</formula>
    </cfRule>
    <cfRule type="containsText" dxfId="3709" priority="6926" operator="containsText" text="Long Liquidation">
      <formula>NOT(ISERROR(SEARCH("Long Liquidation",S2518)))</formula>
    </cfRule>
    <cfRule type="containsText" dxfId="3708" priority="6927" operator="containsText" text="Short covering">
      <formula>NOT(ISERROR(SEARCH("Short covering",S2518)))</formula>
    </cfRule>
    <cfRule type="containsText" dxfId="3707" priority="6928" operator="containsText" text="Long Buildup">
      <formula>NOT(ISERROR(SEARCH("Long Buildup",S2518)))</formula>
    </cfRule>
  </conditionalFormatting>
  <conditionalFormatting sqref="F2518:F2533">
    <cfRule type="dataBar" priority="6924">
      <dataBar>
        <cfvo type="min"/>
        <cfvo type="max"/>
        <color rgb="FFFF555A"/>
      </dataBar>
    </cfRule>
  </conditionalFormatting>
  <conditionalFormatting sqref="G2518:G2533">
    <cfRule type="dataBar" priority="6923">
      <dataBar>
        <cfvo type="min"/>
        <cfvo type="max"/>
        <color rgb="FFFF555A"/>
      </dataBar>
    </cfRule>
  </conditionalFormatting>
  <conditionalFormatting sqref="H2518">
    <cfRule type="dataBar" priority="6922">
      <dataBar>
        <cfvo type="min"/>
        <cfvo type="max"/>
        <color rgb="FFFF555A"/>
      </dataBar>
    </cfRule>
  </conditionalFormatting>
  <conditionalFormatting sqref="I2518">
    <cfRule type="dataBar" priority="6921">
      <dataBar>
        <cfvo type="min"/>
        <cfvo type="max"/>
        <color rgb="FFFF555A"/>
      </dataBar>
    </cfRule>
  </conditionalFormatting>
  <conditionalFormatting sqref="J2518">
    <cfRule type="dataBar" priority="6920">
      <dataBar>
        <cfvo type="min"/>
        <cfvo type="max"/>
        <color rgb="FFFF555A"/>
      </dataBar>
    </cfRule>
  </conditionalFormatting>
  <conditionalFormatting sqref="E2519:E2533">
    <cfRule type="dataBar" priority="6919">
      <dataBar>
        <cfvo type="min"/>
        <cfvo type="max"/>
        <color rgb="FFFF555A"/>
      </dataBar>
    </cfRule>
  </conditionalFormatting>
  <conditionalFormatting sqref="H2519:H2533">
    <cfRule type="dataBar" priority="6918">
      <dataBar>
        <cfvo type="min"/>
        <cfvo type="max"/>
        <color rgb="FFFF555A"/>
      </dataBar>
    </cfRule>
  </conditionalFormatting>
  <conditionalFormatting sqref="I2519:I2533">
    <cfRule type="dataBar" priority="6917">
      <dataBar>
        <cfvo type="min"/>
        <cfvo type="max"/>
        <color rgb="FFFF555A"/>
      </dataBar>
    </cfRule>
  </conditionalFormatting>
  <conditionalFormatting sqref="J2519:J2533">
    <cfRule type="dataBar" priority="6916">
      <dataBar>
        <cfvo type="min"/>
        <cfvo type="max"/>
        <color rgb="FFFF555A"/>
      </dataBar>
    </cfRule>
  </conditionalFormatting>
  <conditionalFormatting sqref="L2518:L2533">
    <cfRule type="dataBar" priority="6915">
      <dataBar>
        <cfvo type="min"/>
        <cfvo type="max"/>
        <color rgb="FFFF555A"/>
      </dataBar>
    </cfRule>
  </conditionalFormatting>
  <conditionalFormatting sqref="M2518:M2533">
    <cfRule type="dataBar" priority="6914">
      <dataBar>
        <cfvo type="min"/>
        <cfvo type="max"/>
        <color rgb="FFFF555A"/>
      </dataBar>
    </cfRule>
  </conditionalFormatting>
  <conditionalFormatting sqref="N2518:N2533">
    <cfRule type="dataBar" priority="6913">
      <dataBar>
        <cfvo type="min"/>
        <cfvo type="max"/>
        <color rgb="FFFF555A"/>
      </dataBar>
    </cfRule>
  </conditionalFormatting>
  <conditionalFormatting sqref="Q2518:Q2533">
    <cfRule type="dataBar" priority="6912">
      <dataBar>
        <cfvo type="min"/>
        <cfvo type="max"/>
        <color rgb="FFFF555A"/>
      </dataBar>
    </cfRule>
  </conditionalFormatting>
  <conditionalFormatting sqref="O2518:O2533">
    <cfRule type="dataBar" priority="6911">
      <dataBar>
        <cfvo type="min"/>
        <cfvo type="max"/>
        <color rgb="FFFF555A"/>
      </dataBar>
    </cfRule>
  </conditionalFormatting>
  <conditionalFormatting sqref="P2518:P2533">
    <cfRule type="dataBar" priority="6910">
      <dataBar>
        <cfvo type="min"/>
        <cfvo type="max"/>
        <color rgb="FFFF555A"/>
      </dataBar>
    </cfRule>
  </conditionalFormatting>
  <conditionalFormatting sqref="R2535:R2551 D2535:D2550 C2551">
    <cfRule type="containsText" dxfId="3706" priority="6909" operator="containsText" text="DOWN">
      <formula>NOT(ISERROR(SEARCH("DOWN",C2535)))</formula>
    </cfRule>
  </conditionalFormatting>
  <conditionalFormatting sqref="R2535:R2551 D2535:D2550 C2551">
    <cfRule type="containsText" dxfId="3705" priority="6908" operator="containsText" text="UP">
      <formula>NOT(ISERROR(SEARCH("UP",C2535)))</formula>
    </cfRule>
  </conditionalFormatting>
  <conditionalFormatting sqref="I2551">
    <cfRule type="colorScale" priority="6907">
      <colorScale>
        <cfvo type="min"/>
        <cfvo type="max"/>
        <color rgb="FFFFEF9C"/>
        <color rgb="FF63BE7B"/>
      </colorScale>
    </cfRule>
  </conditionalFormatting>
  <conditionalFormatting sqref="M2551">
    <cfRule type="colorScale" priority="6906">
      <colorScale>
        <cfvo type="min"/>
        <cfvo type="max"/>
        <color rgb="FFFF7128"/>
        <color rgb="FFFFEF9C"/>
      </colorScale>
    </cfRule>
  </conditionalFormatting>
  <conditionalFormatting sqref="Q2551">
    <cfRule type="dataBar" priority="6905">
      <dataBar>
        <cfvo type="min"/>
        <cfvo type="max"/>
        <color rgb="FFFF555A"/>
      </dataBar>
    </cfRule>
  </conditionalFormatting>
  <conditionalFormatting sqref="E2535:E2551">
    <cfRule type="dataBar" priority="6904">
      <dataBar>
        <cfvo type="min"/>
        <cfvo type="max"/>
        <color rgb="FFFF555A"/>
      </dataBar>
    </cfRule>
  </conditionalFormatting>
  <conditionalFormatting sqref="F2551">
    <cfRule type="top10" dxfId="3704" priority="6903" rank="1"/>
  </conditionalFormatting>
  <conditionalFormatting sqref="G2551 P2551">
    <cfRule type="cellIs" dxfId="3703" priority="6902" operator="equal">
      <formula>$G$135</formula>
    </cfRule>
  </conditionalFormatting>
  <conditionalFormatting sqref="P2551">
    <cfRule type="cellIs" dxfId="3702" priority="6901" operator="equal">
      <formula>$J$135</formula>
    </cfRule>
  </conditionalFormatting>
  <conditionalFormatting sqref="G2551 P2551">
    <cfRule type="cellIs" dxfId="3701" priority="6900" operator="equal">
      <formula>#REF!</formula>
    </cfRule>
  </conditionalFormatting>
  <conditionalFormatting sqref="G2551">
    <cfRule type="top10" dxfId="3700" priority="6898" rank="1"/>
    <cfRule type="cellIs" dxfId="3699" priority="6899" operator="equal">
      <formula>$G$133</formula>
    </cfRule>
  </conditionalFormatting>
  <conditionalFormatting sqref="P2551">
    <cfRule type="top10" dxfId="3698" priority="6896" rank="1"/>
    <cfRule type="cellIs" dxfId="3697" priority="6897" operator="equal">
      <formula>$G$133</formula>
    </cfRule>
  </conditionalFormatting>
  <conditionalFormatting sqref="C2535:C2550">
    <cfRule type="containsText" dxfId="3696" priority="6892" operator="containsText" text="Short Buildup">
      <formula>NOT(ISERROR(SEARCH("Short Buildup",C2535)))</formula>
    </cfRule>
    <cfRule type="containsText" dxfId="3695" priority="6893" operator="containsText" text="Long Liquidation">
      <formula>NOT(ISERROR(SEARCH("Long Liquidation",C2535)))</formula>
    </cfRule>
    <cfRule type="containsText" dxfId="3694" priority="6894" operator="containsText" text="Short covering">
      <formula>NOT(ISERROR(SEARCH("Short covering",C2535)))</formula>
    </cfRule>
    <cfRule type="containsText" dxfId="3693" priority="6895" operator="containsText" text="Long Buildup">
      <formula>NOT(ISERROR(SEARCH("Long Buildup",C2535)))</formula>
    </cfRule>
  </conditionalFormatting>
  <conditionalFormatting sqref="H2551">
    <cfRule type="colorScale" priority="6887">
      <colorScale>
        <cfvo type="min"/>
        <cfvo type="percentile" val="20"/>
        <cfvo type="max"/>
        <color rgb="FF92D050"/>
        <color theme="5" tint="0.79998168889431442"/>
        <color rgb="FFFF0000"/>
      </colorScale>
    </cfRule>
    <cfRule type="colorScale" priority="6888">
      <colorScale>
        <cfvo type="min"/>
        <cfvo type="max"/>
        <color rgb="FFFF0000"/>
        <color rgb="FF92D050"/>
      </colorScale>
    </cfRule>
    <cfRule type="colorScale" priority="6889">
      <colorScale>
        <cfvo type="min"/>
        <cfvo type="percentile" val="50"/>
        <cfvo type="max"/>
        <color rgb="FF5A8AC6"/>
        <color rgb="FFFCFCFF"/>
        <color rgb="FFF8696B"/>
      </colorScale>
    </cfRule>
    <cfRule type="colorScale" priority="6890">
      <colorScale>
        <cfvo type="formula" val="&quot;&gt;20&quot;"/>
        <cfvo type="formula" val="35"/>
        <color rgb="FFF8696B"/>
        <color rgb="FFFCFCFF"/>
      </colorScale>
    </cfRule>
    <cfRule type="colorScale" priority="6891">
      <colorScale>
        <cfvo type="min"/>
        <cfvo type="max"/>
        <color rgb="FFFFEF9C"/>
        <color rgb="FF63BE7B"/>
      </colorScale>
    </cfRule>
  </conditionalFormatting>
  <conditionalFormatting sqref="N2551">
    <cfRule type="colorScale" priority="6882">
      <colorScale>
        <cfvo type="min"/>
        <cfvo type="percentile" val="20"/>
        <cfvo type="max"/>
        <color rgb="FF92D050"/>
        <color theme="5" tint="0.79998168889431442"/>
        <color rgb="FFFF0000"/>
      </colorScale>
    </cfRule>
    <cfRule type="colorScale" priority="6883">
      <colorScale>
        <cfvo type="min"/>
        <cfvo type="max"/>
        <color rgb="FFFF0000"/>
        <color rgb="FF92D050"/>
      </colorScale>
    </cfRule>
    <cfRule type="colorScale" priority="6884">
      <colorScale>
        <cfvo type="min"/>
        <cfvo type="percentile" val="50"/>
        <cfvo type="max"/>
        <color rgb="FF5A8AC6"/>
        <color rgb="FFFCFCFF"/>
        <color rgb="FFF8696B"/>
      </colorScale>
    </cfRule>
    <cfRule type="colorScale" priority="6885">
      <colorScale>
        <cfvo type="formula" val="&quot;&gt;20&quot;"/>
        <cfvo type="formula" val="35"/>
        <color rgb="FFF8696B"/>
        <color rgb="FFFCFCFF"/>
      </colorScale>
    </cfRule>
    <cfRule type="colorScale" priority="6886">
      <colorScale>
        <cfvo type="min"/>
        <cfvo type="max"/>
        <color rgb="FFFFEF9C"/>
        <color rgb="FF63BE7B"/>
      </colorScale>
    </cfRule>
  </conditionalFormatting>
  <conditionalFormatting sqref="S2535:S2551">
    <cfRule type="containsText" dxfId="3692" priority="6878" operator="containsText" text="Short Buildup">
      <formula>NOT(ISERROR(SEARCH("Short Buildup",S2535)))</formula>
    </cfRule>
    <cfRule type="containsText" dxfId="3691" priority="6879" operator="containsText" text="Long Liquidation">
      <formula>NOT(ISERROR(SEARCH("Long Liquidation",S2535)))</formula>
    </cfRule>
    <cfRule type="containsText" dxfId="3690" priority="6880" operator="containsText" text="Short covering">
      <formula>NOT(ISERROR(SEARCH("Short covering",S2535)))</formula>
    </cfRule>
    <cfRule type="containsText" dxfId="3689" priority="6881" operator="containsText" text="Long Buildup">
      <formula>NOT(ISERROR(SEARCH("Long Buildup",S2535)))</formula>
    </cfRule>
  </conditionalFormatting>
  <conditionalFormatting sqref="F2535:F2550">
    <cfRule type="dataBar" priority="6877">
      <dataBar>
        <cfvo type="min"/>
        <cfvo type="max"/>
        <color rgb="FFFF555A"/>
      </dataBar>
    </cfRule>
  </conditionalFormatting>
  <conditionalFormatting sqref="G2535:G2550">
    <cfRule type="dataBar" priority="6876">
      <dataBar>
        <cfvo type="min"/>
        <cfvo type="max"/>
        <color rgb="FFFF555A"/>
      </dataBar>
    </cfRule>
  </conditionalFormatting>
  <conditionalFormatting sqref="H2535">
    <cfRule type="dataBar" priority="6875">
      <dataBar>
        <cfvo type="min"/>
        <cfvo type="max"/>
        <color rgb="FFFF555A"/>
      </dataBar>
    </cfRule>
  </conditionalFormatting>
  <conditionalFormatting sqref="I2535">
    <cfRule type="dataBar" priority="6874">
      <dataBar>
        <cfvo type="min"/>
        <cfvo type="max"/>
        <color rgb="FFFF555A"/>
      </dataBar>
    </cfRule>
  </conditionalFormatting>
  <conditionalFormatting sqref="J2535">
    <cfRule type="dataBar" priority="6873">
      <dataBar>
        <cfvo type="min"/>
        <cfvo type="max"/>
        <color rgb="FFFF555A"/>
      </dataBar>
    </cfRule>
  </conditionalFormatting>
  <conditionalFormatting sqref="E2536:E2550">
    <cfRule type="dataBar" priority="6872">
      <dataBar>
        <cfvo type="min"/>
        <cfvo type="max"/>
        <color rgb="FFFF555A"/>
      </dataBar>
    </cfRule>
  </conditionalFormatting>
  <conditionalFormatting sqref="H2536:H2550">
    <cfRule type="dataBar" priority="6871">
      <dataBar>
        <cfvo type="min"/>
        <cfvo type="max"/>
        <color rgb="FFFF555A"/>
      </dataBar>
    </cfRule>
  </conditionalFormatting>
  <conditionalFormatting sqref="I2536:I2550">
    <cfRule type="dataBar" priority="6870">
      <dataBar>
        <cfvo type="min"/>
        <cfvo type="max"/>
        <color rgb="FFFF555A"/>
      </dataBar>
    </cfRule>
  </conditionalFormatting>
  <conditionalFormatting sqref="J2536:J2550">
    <cfRule type="dataBar" priority="6869">
      <dataBar>
        <cfvo type="min"/>
        <cfvo type="max"/>
        <color rgb="FFFF555A"/>
      </dataBar>
    </cfRule>
  </conditionalFormatting>
  <conditionalFormatting sqref="L2535:L2550">
    <cfRule type="dataBar" priority="6868">
      <dataBar>
        <cfvo type="min"/>
        <cfvo type="max"/>
        <color rgb="FFFF555A"/>
      </dataBar>
    </cfRule>
  </conditionalFormatting>
  <conditionalFormatting sqref="M2535:M2550">
    <cfRule type="dataBar" priority="6867">
      <dataBar>
        <cfvo type="min"/>
        <cfvo type="max"/>
        <color rgb="FFFF555A"/>
      </dataBar>
    </cfRule>
  </conditionalFormatting>
  <conditionalFormatting sqref="N2535:N2550">
    <cfRule type="dataBar" priority="6866">
      <dataBar>
        <cfvo type="min"/>
        <cfvo type="max"/>
        <color rgb="FFFF555A"/>
      </dataBar>
    </cfRule>
  </conditionalFormatting>
  <conditionalFormatting sqref="Q2535:Q2550">
    <cfRule type="dataBar" priority="6865">
      <dataBar>
        <cfvo type="min"/>
        <cfvo type="max"/>
        <color rgb="FFFF555A"/>
      </dataBar>
    </cfRule>
  </conditionalFormatting>
  <conditionalFormatting sqref="O2535:O2550">
    <cfRule type="dataBar" priority="6864">
      <dataBar>
        <cfvo type="min"/>
        <cfvo type="max"/>
        <color rgb="FFFF555A"/>
      </dataBar>
    </cfRule>
  </conditionalFormatting>
  <conditionalFormatting sqref="P2535:P2550">
    <cfRule type="dataBar" priority="6863">
      <dataBar>
        <cfvo type="min"/>
        <cfvo type="max"/>
        <color rgb="FFFF555A"/>
      </dataBar>
    </cfRule>
  </conditionalFormatting>
  <conditionalFormatting sqref="R2552:R2568 D2552:D2567 C2568">
    <cfRule type="containsText" dxfId="3688" priority="6862" operator="containsText" text="DOWN">
      <formula>NOT(ISERROR(SEARCH("DOWN",C2552)))</formula>
    </cfRule>
  </conditionalFormatting>
  <conditionalFormatting sqref="R2552:R2568 D2552:D2567 C2568">
    <cfRule type="containsText" dxfId="3687" priority="6861" operator="containsText" text="UP">
      <formula>NOT(ISERROR(SEARCH("UP",C2552)))</formula>
    </cfRule>
  </conditionalFormatting>
  <conditionalFormatting sqref="I2568">
    <cfRule type="colorScale" priority="6860">
      <colorScale>
        <cfvo type="min"/>
        <cfvo type="max"/>
        <color rgb="FFFFEF9C"/>
        <color rgb="FF63BE7B"/>
      </colorScale>
    </cfRule>
  </conditionalFormatting>
  <conditionalFormatting sqref="M2568">
    <cfRule type="colorScale" priority="6859">
      <colorScale>
        <cfvo type="min"/>
        <cfvo type="max"/>
        <color rgb="FFFF7128"/>
        <color rgb="FFFFEF9C"/>
      </colorScale>
    </cfRule>
  </conditionalFormatting>
  <conditionalFormatting sqref="Q2568">
    <cfRule type="dataBar" priority="6858">
      <dataBar>
        <cfvo type="min"/>
        <cfvo type="max"/>
        <color rgb="FFFF555A"/>
      </dataBar>
    </cfRule>
  </conditionalFormatting>
  <conditionalFormatting sqref="E2552:E2568">
    <cfRule type="dataBar" priority="6857">
      <dataBar>
        <cfvo type="min"/>
        <cfvo type="max"/>
        <color rgb="FFFF555A"/>
      </dataBar>
    </cfRule>
  </conditionalFormatting>
  <conditionalFormatting sqref="F2568">
    <cfRule type="top10" dxfId="3686" priority="6856" rank="1"/>
  </conditionalFormatting>
  <conditionalFormatting sqref="G2568 P2568">
    <cfRule type="cellIs" dxfId="3685" priority="6855" operator="equal">
      <formula>$G$135</formula>
    </cfRule>
  </conditionalFormatting>
  <conditionalFormatting sqref="P2568">
    <cfRule type="cellIs" dxfId="3684" priority="6854" operator="equal">
      <formula>$J$135</formula>
    </cfRule>
  </conditionalFormatting>
  <conditionalFormatting sqref="G2568 P2568">
    <cfRule type="cellIs" dxfId="3683" priority="6853" operator="equal">
      <formula>#REF!</formula>
    </cfRule>
  </conditionalFormatting>
  <conditionalFormatting sqref="G2568">
    <cfRule type="top10" dxfId="3682" priority="6851" rank="1"/>
    <cfRule type="cellIs" dxfId="3681" priority="6852" operator="equal">
      <formula>$G$133</formula>
    </cfRule>
  </conditionalFormatting>
  <conditionalFormatting sqref="P2568">
    <cfRule type="top10" dxfId="3680" priority="6849" rank="1"/>
    <cfRule type="cellIs" dxfId="3679" priority="6850" operator="equal">
      <formula>$G$133</formula>
    </cfRule>
  </conditionalFormatting>
  <conditionalFormatting sqref="C2552:C2567">
    <cfRule type="containsText" dxfId="3678" priority="6845" operator="containsText" text="Short Buildup">
      <formula>NOT(ISERROR(SEARCH("Short Buildup",C2552)))</formula>
    </cfRule>
    <cfRule type="containsText" dxfId="3677" priority="6846" operator="containsText" text="Long Liquidation">
      <formula>NOT(ISERROR(SEARCH("Long Liquidation",C2552)))</formula>
    </cfRule>
    <cfRule type="containsText" dxfId="3676" priority="6847" operator="containsText" text="Short covering">
      <formula>NOT(ISERROR(SEARCH("Short covering",C2552)))</formula>
    </cfRule>
    <cfRule type="containsText" dxfId="3675" priority="6848" operator="containsText" text="Long Buildup">
      <formula>NOT(ISERROR(SEARCH("Long Buildup",C2552)))</formula>
    </cfRule>
  </conditionalFormatting>
  <conditionalFormatting sqref="H2568">
    <cfRule type="colorScale" priority="6840">
      <colorScale>
        <cfvo type="min"/>
        <cfvo type="percentile" val="20"/>
        <cfvo type="max"/>
        <color rgb="FF92D050"/>
        <color theme="5" tint="0.79998168889431442"/>
        <color rgb="FFFF0000"/>
      </colorScale>
    </cfRule>
    <cfRule type="colorScale" priority="6841">
      <colorScale>
        <cfvo type="min"/>
        <cfvo type="max"/>
        <color rgb="FFFF0000"/>
        <color rgb="FF92D050"/>
      </colorScale>
    </cfRule>
    <cfRule type="colorScale" priority="6842">
      <colorScale>
        <cfvo type="min"/>
        <cfvo type="percentile" val="50"/>
        <cfvo type="max"/>
        <color rgb="FF5A8AC6"/>
        <color rgb="FFFCFCFF"/>
        <color rgb="FFF8696B"/>
      </colorScale>
    </cfRule>
    <cfRule type="colorScale" priority="6843">
      <colorScale>
        <cfvo type="formula" val="&quot;&gt;20&quot;"/>
        <cfvo type="formula" val="35"/>
        <color rgb="FFF8696B"/>
        <color rgb="FFFCFCFF"/>
      </colorScale>
    </cfRule>
    <cfRule type="colorScale" priority="6844">
      <colorScale>
        <cfvo type="min"/>
        <cfvo type="max"/>
        <color rgb="FFFFEF9C"/>
        <color rgb="FF63BE7B"/>
      </colorScale>
    </cfRule>
  </conditionalFormatting>
  <conditionalFormatting sqref="N2568">
    <cfRule type="colorScale" priority="6835">
      <colorScale>
        <cfvo type="min"/>
        <cfvo type="percentile" val="20"/>
        <cfvo type="max"/>
        <color rgb="FF92D050"/>
        <color theme="5" tint="0.79998168889431442"/>
        <color rgb="FFFF0000"/>
      </colorScale>
    </cfRule>
    <cfRule type="colorScale" priority="6836">
      <colorScale>
        <cfvo type="min"/>
        <cfvo type="max"/>
        <color rgb="FFFF0000"/>
        <color rgb="FF92D050"/>
      </colorScale>
    </cfRule>
    <cfRule type="colorScale" priority="6837">
      <colorScale>
        <cfvo type="min"/>
        <cfvo type="percentile" val="50"/>
        <cfvo type="max"/>
        <color rgb="FF5A8AC6"/>
        <color rgb="FFFCFCFF"/>
        <color rgb="FFF8696B"/>
      </colorScale>
    </cfRule>
    <cfRule type="colorScale" priority="6838">
      <colorScale>
        <cfvo type="formula" val="&quot;&gt;20&quot;"/>
        <cfvo type="formula" val="35"/>
        <color rgb="FFF8696B"/>
        <color rgb="FFFCFCFF"/>
      </colorScale>
    </cfRule>
    <cfRule type="colorScale" priority="6839">
      <colorScale>
        <cfvo type="min"/>
        <cfvo type="max"/>
        <color rgb="FFFFEF9C"/>
        <color rgb="FF63BE7B"/>
      </colorScale>
    </cfRule>
  </conditionalFormatting>
  <conditionalFormatting sqref="S2552:S2568">
    <cfRule type="containsText" dxfId="3674" priority="6831" operator="containsText" text="Short Buildup">
      <formula>NOT(ISERROR(SEARCH("Short Buildup",S2552)))</formula>
    </cfRule>
    <cfRule type="containsText" dxfId="3673" priority="6832" operator="containsText" text="Long Liquidation">
      <formula>NOT(ISERROR(SEARCH("Long Liquidation",S2552)))</formula>
    </cfRule>
    <cfRule type="containsText" dxfId="3672" priority="6833" operator="containsText" text="Short covering">
      <formula>NOT(ISERROR(SEARCH("Short covering",S2552)))</formula>
    </cfRule>
    <cfRule type="containsText" dxfId="3671" priority="6834" operator="containsText" text="Long Buildup">
      <formula>NOT(ISERROR(SEARCH("Long Buildup",S2552)))</formula>
    </cfRule>
  </conditionalFormatting>
  <conditionalFormatting sqref="F2552:F2567">
    <cfRule type="dataBar" priority="6830">
      <dataBar>
        <cfvo type="min"/>
        <cfvo type="max"/>
        <color rgb="FFFF555A"/>
      </dataBar>
    </cfRule>
  </conditionalFormatting>
  <conditionalFormatting sqref="G2552:G2567">
    <cfRule type="dataBar" priority="6829">
      <dataBar>
        <cfvo type="min"/>
        <cfvo type="max"/>
        <color rgb="FFFF555A"/>
      </dataBar>
    </cfRule>
  </conditionalFormatting>
  <conditionalFormatting sqref="H2552">
    <cfRule type="dataBar" priority="6828">
      <dataBar>
        <cfvo type="min"/>
        <cfvo type="max"/>
        <color rgb="FFFF555A"/>
      </dataBar>
    </cfRule>
  </conditionalFormatting>
  <conditionalFormatting sqref="I2552">
    <cfRule type="dataBar" priority="6827">
      <dataBar>
        <cfvo type="min"/>
        <cfvo type="max"/>
        <color rgb="FFFF555A"/>
      </dataBar>
    </cfRule>
  </conditionalFormatting>
  <conditionalFormatting sqref="J2552">
    <cfRule type="dataBar" priority="6826">
      <dataBar>
        <cfvo type="min"/>
        <cfvo type="max"/>
        <color rgb="FFFF555A"/>
      </dataBar>
    </cfRule>
  </conditionalFormatting>
  <conditionalFormatting sqref="E2553:E2567">
    <cfRule type="dataBar" priority="6825">
      <dataBar>
        <cfvo type="min"/>
        <cfvo type="max"/>
        <color rgb="FFFF555A"/>
      </dataBar>
    </cfRule>
  </conditionalFormatting>
  <conditionalFormatting sqref="H2553:H2567">
    <cfRule type="dataBar" priority="6824">
      <dataBar>
        <cfvo type="min"/>
        <cfvo type="max"/>
        <color rgb="FFFF555A"/>
      </dataBar>
    </cfRule>
  </conditionalFormatting>
  <conditionalFormatting sqref="I2553:I2567">
    <cfRule type="dataBar" priority="6823">
      <dataBar>
        <cfvo type="min"/>
        <cfvo type="max"/>
        <color rgb="FFFF555A"/>
      </dataBar>
    </cfRule>
  </conditionalFormatting>
  <conditionalFormatting sqref="J2553:J2567">
    <cfRule type="dataBar" priority="6822">
      <dataBar>
        <cfvo type="min"/>
        <cfvo type="max"/>
        <color rgb="FFFF555A"/>
      </dataBar>
    </cfRule>
  </conditionalFormatting>
  <conditionalFormatting sqref="L2552:L2567">
    <cfRule type="dataBar" priority="6821">
      <dataBar>
        <cfvo type="min"/>
        <cfvo type="max"/>
        <color rgb="FFFF555A"/>
      </dataBar>
    </cfRule>
  </conditionalFormatting>
  <conditionalFormatting sqref="M2552:M2567">
    <cfRule type="dataBar" priority="6820">
      <dataBar>
        <cfvo type="min"/>
        <cfvo type="max"/>
        <color rgb="FFFF555A"/>
      </dataBar>
    </cfRule>
  </conditionalFormatting>
  <conditionalFormatting sqref="N2552:N2567">
    <cfRule type="dataBar" priority="6819">
      <dataBar>
        <cfvo type="min"/>
        <cfvo type="max"/>
        <color rgb="FFFF555A"/>
      </dataBar>
    </cfRule>
  </conditionalFormatting>
  <conditionalFormatting sqref="Q2552:Q2567">
    <cfRule type="dataBar" priority="6818">
      <dataBar>
        <cfvo type="min"/>
        <cfvo type="max"/>
        <color rgb="FFFF555A"/>
      </dataBar>
    </cfRule>
  </conditionalFormatting>
  <conditionalFormatting sqref="O2552:O2567">
    <cfRule type="dataBar" priority="6817">
      <dataBar>
        <cfvo type="min"/>
        <cfvo type="max"/>
        <color rgb="FFFF555A"/>
      </dataBar>
    </cfRule>
  </conditionalFormatting>
  <conditionalFormatting sqref="P2552:P2567">
    <cfRule type="dataBar" priority="6816">
      <dataBar>
        <cfvo type="min"/>
        <cfvo type="max"/>
        <color rgb="FFFF555A"/>
      </dataBar>
    </cfRule>
  </conditionalFormatting>
  <conditionalFormatting sqref="R2569:R2585 D2569:D2584 C2585">
    <cfRule type="containsText" dxfId="3670" priority="6815" operator="containsText" text="DOWN">
      <formula>NOT(ISERROR(SEARCH("DOWN",C2569)))</formula>
    </cfRule>
  </conditionalFormatting>
  <conditionalFormatting sqref="R2569:R2585 D2569:D2584 C2585">
    <cfRule type="containsText" dxfId="3669" priority="6814" operator="containsText" text="UP">
      <formula>NOT(ISERROR(SEARCH("UP",C2569)))</formula>
    </cfRule>
  </conditionalFormatting>
  <conditionalFormatting sqref="I2585">
    <cfRule type="colorScale" priority="6813">
      <colorScale>
        <cfvo type="min"/>
        <cfvo type="max"/>
        <color rgb="FFFFEF9C"/>
        <color rgb="FF63BE7B"/>
      </colorScale>
    </cfRule>
  </conditionalFormatting>
  <conditionalFormatting sqref="M2585">
    <cfRule type="colorScale" priority="6812">
      <colorScale>
        <cfvo type="min"/>
        <cfvo type="max"/>
        <color rgb="FFFF7128"/>
        <color rgb="FFFFEF9C"/>
      </colorScale>
    </cfRule>
  </conditionalFormatting>
  <conditionalFormatting sqref="Q2585">
    <cfRule type="dataBar" priority="6811">
      <dataBar>
        <cfvo type="min"/>
        <cfvo type="max"/>
        <color rgb="FFFF555A"/>
      </dataBar>
    </cfRule>
  </conditionalFormatting>
  <conditionalFormatting sqref="E2569:E2585">
    <cfRule type="dataBar" priority="6810">
      <dataBar>
        <cfvo type="min"/>
        <cfvo type="max"/>
        <color rgb="FFFF555A"/>
      </dataBar>
    </cfRule>
  </conditionalFormatting>
  <conditionalFormatting sqref="F2585">
    <cfRule type="top10" dxfId="3668" priority="6809" rank="1"/>
  </conditionalFormatting>
  <conditionalFormatting sqref="G2585 P2585">
    <cfRule type="cellIs" dxfId="3667" priority="6808" operator="equal">
      <formula>$G$135</formula>
    </cfRule>
  </conditionalFormatting>
  <conditionalFormatting sqref="P2585">
    <cfRule type="cellIs" dxfId="3666" priority="6807" operator="equal">
      <formula>$J$135</formula>
    </cfRule>
  </conditionalFormatting>
  <conditionalFormatting sqref="G2585 P2585">
    <cfRule type="cellIs" dxfId="3665" priority="6806" operator="equal">
      <formula>#REF!</formula>
    </cfRule>
  </conditionalFormatting>
  <conditionalFormatting sqref="G2585">
    <cfRule type="top10" dxfId="3664" priority="6804" rank="1"/>
    <cfRule type="cellIs" dxfId="3663" priority="6805" operator="equal">
      <formula>$G$133</formula>
    </cfRule>
  </conditionalFormatting>
  <conditionalFormatting sqref="P2585">
    <cfRule type="top10" dxfId="3662" priority="6802" rank="1"/>
    <cfRule type="cellIs" dxfId="3661" priority="6803" operator="equal">
      <formula>$G$133</formula>
    </cfRule>
  </conditionalFormatting>
  <conditionalFormatting sqref="C2569:C2584">
    <cfRule type="containsText" dxfId="3660" priority="6798" operator="containsText" text="Short Buildup">
      <formula>NOT(ISERROR(SEARCH("Short Buildup",C2569)))</formula>
    </cfRule>
    <cfRule type="containsText" dxfId="3659" priority="6799" operator="containsText" text="Long Liquidation">
      <formula>NOT(ISERROR(SEARCH("Long Liquidation",C2569)))</formula>
    </cfRule>
    <cfRule type="containsText" dxfId="3658" priority="6800" operator="containsText" text="Short covering">
      <formula>NOT(ISERROR(SEARCH("Short covering",C2569)))</formula>
    </cfRule>
    <cfRule type="containsText" dxfId="3657" priority="6801" operator="containsText" text="Long Buildup">
      <formula>NOT(ISERROR(SEARCH("Long Buildup",C2569)))</formula>
    </cfRule>
  </conditionalFormatting>
  <conditionalFormatting sqref="H2585">
    <cfRule type="colorScale" priority="6793">
      <colorScale>
        <cfvo type="min"/>
        <cfvo type="percentile" val="20"/>
        <cfvo type="max"/>
        <color rgb="FF92D050"/>
        <color theme="5" tint="0.79998168889431442"/>
        <color rgb="FFFF0000"/>
      </colorScale>
    </cfRule>
    <cfRule type="colorScale" priority="6794">
      <colorScale>
        <cfvo type="min"/>
        <cfvo type="max"/>
        <color rgb="FFFF0000"/>
        <color rgb="FF92D050"/>
      </colorScale>
    </cfRule>
    <cfRule type="colorScale" priority="6795">
      <colorScale>
        <cfvo type="min"/>
        <cfvo type="percentile" val="50"/>
        <cfvo type="max"/>
        <color rgb="FF5A8AC6"/>
        <color rgb="FFFCFCFF"/>
        <color rgb="FFF8696B"/>
      </colorScale>
    </cfRule>
    <cfRule type="colorScale" priority="6796">
      <colorScale>
        <cfvo type="formula" val="&quot;&gt;20&quot;"/>
        <cfvo type="formula" val="35"/>
        <color rgb="FFF8696B"/>
        <color rgb="FFFCFCFF"/>
      </colorScale>
    </cfRule>
    <cfRule type="colorScale" priority="6797">
      <colorScale>
        <cfvo type="min"/>
        <cfvo type="max"/>
        <color rgb="FFFFEF9C"/>
        <color rgb="FF63BE7B"/>
      </colorScale>
    </cfRule>
  </conditionalFormatting>
  <conditionalFormatting sqref="N2585">
    <cfRule type="colorScale" priority="6788">
      <colorScale>
        <cfvo type="min"/>
        <cfvo type="percentile" val="20"/>
        <cfvo type="max"/>
        <color rgb="FF92D050"/>
        <color theme="5" tint="0.79998168889431442"/>
        <color rgb="FFFF0000"/>
      </colorScale>
    </cfRule>
    <cfRule type="colorScale" priority="6789">
      <colorScale>
        <cfvo type="min"/>
        <cfvo type="max"/>
        <color rgb="FFFF0000"/>
        <color rgb="FF92D050"/>
      </colorScale>
    </cfRule>
    <cfRule type="colorScale" priority="6790">
      <colorScale>
        <cfvo type="min"/>
        <cfvo type="percentile" val="50"/>
        <cfvo type="max"/>
        <color rgb="FF5A8AC6"/>
        <color rgb="FFFCFCFF"/>
        <color rgb="FFF8696B"/>
      </colorScale>
    </cfRule>
    <cfRule type="colorScale" priority="6791">
      <colorScale>
        <cfvo type="formula" val="&quot;&gt;20&quot;"/>
        <cfvo type="formula" val="35"/>
        <color rgb="FFF8696B"/>
        <color rgb="FFFCFCFF"/>
      </colorScale>
    </cfRule>
    <cfRule type="colorScale" priority="6792">
      <colorScale>
        <cfvo type="min"/>
        <cfvo type="max"/>
        <color rgb="FFFFEF9C"/>
        <color rgb="FF63BE7B"/>
      </colorScale>
    </cfRule>
  </conditionalFormatting>
  <conditionalFormatting sqref="S2569:S2585">
    <cfRule type="containsText" dxfId="3656" priority="6784" operator="containsText" text="Short Buildup">
      <formula>NOT(ISERROR(SEARCH("Short Buildup",S2569)))</formula>
    </cfRule>
    <cfRule type="containsText" dxfId="3655" priority="6785" operator="containsText" text="Long Liquidation">
      <formula>NOT(ISERROR(SEARCH("Long Liquidation",S2569)))</formula>
    </cfRule>
    <cfRule type="containsText" dxfId="3654" priority="6786" operator="containsText" text="Short covering">
      <formula>NOT(ISERROR(SEARCH("Short covering",S2569)))</formula>
    </cfRule>
    <cfRule type="containsText" dxfId="3653" priority="6787" operator="containsText" text="Long Buildup">
      <formula>NOT(ISERROR(SEARCH("Long Buildup",S2569)))</formula>
    </cfRule>
  </conditionalFormatting>
  <conditionalFormatting sqref="F2569:F2584">
    <cfRule type="dataBar" priority="6783">
      <dataBar>
        <cfvo type="min"/>
        <cfvo type="max"/>
        <color rgb="FFFF555A"/>
      </dataBar>
    </cfRule>
  </conditionalFormatting>
  <conditionalFormatting sqref="G2569:G2584">
    <cfRule type="dataBar" priority="6782">
      <dataBar>
        <cfvo type="min"/>
        <cfvo type="max"/>
        <color rgb="FFFF555A"/>
      </dataBar>
    </cfRule>
  </conditionalFormatting>
  <conditionalFormatting sqref="H2569">
    <cfRule type="dataBar" priority="6781">
      <dataBar>
        <cfvo type="min"/>
        <cfvo type="max"/>
        <color rgb="FFFF555A"/>
      </dataBar>
    </cfRule>
  </conditionalFormatting>
  <conditionalFormatting sqref="I2569">
    <cfRule type="dataBar" priority="6780">
      <dataBar>
        <cfvo type="min"/>
        <cfvo type="max"/>
        <color rgb="FFFF555A"/>
      </dataBar>
    </cfRule>
  </conditionalFormatting>
  <conditionalFormatting sqref="J2569">
    <cfRule type="dataBar" priority="6779">
      <dataBar>
        <cfvo type="min"/>
        <cfvo type="max"/>
        <color rgb="FFFF555A"/>
      </dataBar>
    </cfRule>
  </conditionalFormatting>
  <conditionalFormatting sqref="E2570:E2584">
    <cfRule type="dataBar" priority="6778">
      <dataBar>
        <cfvo type="min"/>
        <cfvo type="max"/>
        <color rgb="FFFF555A"/>
      </dataBar>
    </cfRule>
  </conditionalFormatting>
  <conditionalFormatting sqref="H2570:H2584">
    <cfRule type="dataBar" priority="6777">
      <dataBar>
        <cfvo type="min"/>
        <cfvo type="max"/>
        <color rgb="FFFF555A"/>
      </dataBar>
    </cfRule>
  </conditionalFormatting>
  <conditionalFormatting sqref="I2570:I2584">
    <cfRule type="dataBar" priority="6776">
      <dataBar>
        <cfvo type="min"/>
        <cfvo type="max"/>
        <color rgb="FFFF555A"/>
      </dataBar>
    </cfRule>
  </conditionalFormatting>
  <conditionalFormatting sqref="J2570:J2584">
    <cfRule type="dataBar" priority="6775">
      <dataBar>
        <cfvo type="min"/>
        <cfvo type="max"/>
        <color rgb="FFFF555A"/>
      </dataBar>
    </cfRule>
  </conditionalFormatting>
  <conditionalFormatting sqref="L2569:L2584">
    <cfRule type="dataBar" priority="6774">
      <dataBar>
        <cfvo type="min"/>
        <cfvo type="max"/>
        <color rgb="FFFF555A"/>
      </dataBar>
    </cfRule>
  </conditionalFormatting>
  <conditionalFormatting sqref="M2569:M2584">
    <cfRule type="dataBar" priority="6773">
      <dataBar>
        <cfvo type="min"/>
        <cfvo type="max"/>
        <color rgb="FFFF555A"/>
      </dataBar>
    </cfRule>
  </conditionalFormatting>
  <conditionalFormatting sqref="N2569:N2584">
    <cfRule type="dataBar" priority="6772">
      <dataBar>
        <cfvo type="min"/>
        <cfvo type="max"/>
        <color rgb="FFFF555A"/>
      </dataBar>
    </cfRule>
  </conditionalFormatting>
  <conditionalFormatting sqref="Q2569:Q2584">
    <cfRule type="dataBar" priority="6771">
      <dataBar>
        <cfvo type="min"/>
        <cfvo type="max"/>
        <color rgb="FFFF555A"/>
      </dataBar>
    </cfRule>
  </conditionalFormatting>
  <conditionalFormatting sqref="O2569:O2584">
    <cfRule type="dataBar" priority="6770">
      <dataBar>
        <cfvo type="min"/>
        <cfvo type="max"/>
        <color rgb="FFFF555A"/>
      </dataBar>
    </cfRule>
  </conditionalFormatting>
  <conditionalFormatting sqref="P2569:P2584">
    <cfRule type="dataBar" priority="6769">
      <dataBar>
        <cfvo type="min"/>
        <cfvo type="max"/>
        <color rgb="FFFF555A"/>
      </dataBar>
    </cfRule>
  </conditionalFormatting>
  <conditionalFormatting sqref="R2586:R2602 D2586:D2601 C2602">
    <cfRule type="containsText" dxfId="3652" priority="6768" operator="containsText" text="DOWN">
      <formula>NOT(ISERROR(SEARCH("DOWN",C2586)))</formula>
    </cfRule>
  </conditionalFormatting>
  <conditionalFormatting sqref="R2586:R2602 D2586:D2601 C2602">
    <cfRule type="containsText" dxfId="3651" priority="6767" operator="containsText" text="UP">
      <formula>NOT(ISERROR(SEARCH("UP",C2586)))</formula>
    </cfRule>
  </conditionalFormatting>
  <conditionalFormatting sqref="I2602">
    <cfRule type="colorScale" priority="6766">
      <colorScale>
        <cfvo type="min"/>
        <cfvo type="max"/>
        <color rgb="FFFFEF9C"/>
        <color rgb="FF63BE7B"/>
      </colorScale>
    </cfRule>
  </conditionalFormatting>
  <conditionalFormatting sqref="M2602">
    <cfRule type="colorScale" priority="6765">
      <colorScale>
        <cfvo type="min"/>
        <cfvo type="max"/>
        <color rgb="FFFF7128"/>
        <color rgb="FFFFEF9C"/>
      </colorScale>
    </cfRule>
  </conditionalFormatting>
  <conditionalFormatting sqref="Q2602">
    <cfRule type="dataBar" priority="6764">
      <dataBar>
        <cfvo type="min"/>
        <cfvo type="max"/>
        <color rgb="FFFF555A"/>
      </dataBar>
    </cfRule>
  </conditionalFormatting>
  <conditionalFormatting sqref="E2586:E2602">
    <cfRule type="dataBar" priority="6763">
      <dataBar>
        <cfvo type="min"/>
        <cfvo type="max"/>
        <color rgb="FFFF555A"/>
      </dataBar>
    </cfRule>
  </conditionalFormatting>
  <conditionalFormatting sqref="F2602">
    <cfRule type="top10" dxfId="3650" priority="6762" rank="1"/>
  </conditionalFormatting>
  <conditionalFormatting sqref="G2602 P2602">
    <cfRule type="cellIs" dxfId="3649" priority="6761" operator="equal">
      <formula>$G$135</formula>
    </cfRule>
  </conditionalFormatting>
  <conditionalFormatting sqref="P2602">
    <cfRule type="cellIs" dxfId="3648" priority="6760" operator="equal">
      <formula>$J$135</formula>
    </cfRule>
  </conditionalFormatting>
  <conditionalFormatting sqref="G2602 P2602">
    <cfRule type="cellIs" dxfId="3647" priority="6759" operator="equal">
      <formula>#REF!</formula>
    </cfRule>
  </conditionalFormatting>
  <conditionalFormatting sqref="G2602">
    <cfRule type="top10" dxfId="3646" priority="6757" rank="1"/>
    <cfRule type="cellIs" dxfId="3645" priority="6758" operator="equal">
      <formula>$G$133</formula>
    </cfRule>
  </conditionalFormatting>
  <conditionalFormatting sqref="P2602">
    <cfRule type="top10" dxfId="3644" priority="6755" rank="1"/>
    <cfRule type="cellIs" dxfId="3643" priority="6756" operator="equal">
      <formula>$G$133</formula>
    </cfRule>
  </conditionalFormatting>
  <conditionalFormatting sqref="C2586:C2601">
    <cfRule type="containsText" dxfId="3642" priority="6751" operator="containsText" text="Short Buildup">
      <formula>NOT(ISERROR(SEARCH("Short Buildup",C2586)))</formula>
    </cfRule>
    <cfRule type="containsText" dxfId="3641" priority="6752" operator="containsText" text="Long Liquidation">
      <formula>NOT(ISERROR(SEARCH("Long Liquidation",C2586)))</formula>
    </cfRule>
    <cfRule type="containsText" dxfId="3640" priority="6753" operator="containsText" text="Short covering">
      <formula>NOT(ISERROR(SEARCH("Short covering",C2586)))</formula>
    </cfRule>
    <cfRule type="containsText" dxfId="3639" priority="6754" operator="containsText" text="Long Buildup">
      <formula>NOT(ISERROR(SEARCH("Long Buildup",C2586)))</formula>
    </cfRule>
  </conditionalFormatting>
  <conditionalFormatting sqref="H2602">
    <cfRule type="colorScale" priority="6746">
      <colorScale>
        <cfvo type="min"/>
        <cfvo type="percentile" val="20"/>
        <cfvo type="max"/>
        <color rgb="FF92D050"/>
        <color theme="5" tint="0.79998168889431442"/>
        <color rgb="FFFF0000"/>
      </colorScale>
    </cfRule>
    <cfRule type="colorScale" priority="6747">
      <colorScale>
        <cfvo type="min"/>
        <cfvo type="max"/>
        <color rgb="FFFF0000"/>
        <color rgb="FF92D050"/>
      </colorScale>
    </cfRule>
    <cfRule type="colorScale" priority="6748">
      <colorScale>
        <cfvo type="min"/>
        <cfvo type="percentile" val="50"/>
        <cfvo type="max"/>
        <color rgb="FF5A8AC6"/>
        <color rgb="FFFCFCFF"/>
        <color rgb="FFF8696B"/>
      </colorScale>
    </cfRule>
    <cfRule type="colorScale" priority="6749">
      <colorScale>
        <cfvo type="formula" val="&quot;&gt;20&quot;"/>
        <cfvo type="formula" val="35"/>
        <color rgb="FFF8696B"/>
        <color rgb="FFFCFCFF"/>
      </colorScale>
    </cfRule>
    <cfRule type="colorScale" priority="6750">
      <colorScale>
        <cfvo type="min"/>
        <cfvo type="max"/>
        <color rgb="FFFFEF9C"/>
        <color rgb="FF63BE7B"/>
      </colorScale>
    </cfRule>
  </conditionalFormatting>
  <conditionalFormatting sqref="N2602">
    <cfRule type="colorScale" priority="6741">
      <colorScale>
        <cfvo type="min"/>
        <cfvo type="percentile" val="20"/>
        <cfvo type="max"/>
        <color rgb="FF92D050"/>
        <color theme="5" tint="0.79998168889431442"/>
        <color rgb="FFFF0000"/>
      </colorScale>
    </cfRule>
    <cfRule type="colorScale" priority="6742">
      <colorScale>
        <cfvo type="min"/>
        <cfvo type="max"/>
        <color rgb="FFFF0000"/>
        <color rgb="FF92D050"/>
      </colorScale>
    </cfRule>
    <cfRule type="colorScale" priority="6743">
      <colorScale>
        <cfvo type="min"/>
        <cfvo type="percentile" val="50"/>
        <cfvo type="max"/>
        <color rgb="FF5A8AC6"/>
        <color rgb="FFFCFCFF"/>
        <color rgb="FFF8696B"/>
      </colorScale>
    </cfRule>
    <cfRule type="colorScale" priority="6744">
      <colorScale>
        <cfvo type="formula" val="&quot;&gt;20&quot;"/>
        <cfvo type="formula" val="35"/>
        <color rgb="FFF8696B"/>
        <color rgb="FFFCFCFF"/>
      </colorScale>
    </cfRule>
    <cfRule type="colorScale" priority="6745">
      <colorScale>
        <cfvo type="min"/>
        <cfvo type="max"/>
        <color rgb="FFFFEF9C"/>
        <color rgb="FF63BE7B"/>
      </colorScale>
    </cfRule>
  </conditionalFormatting>
  <conditionalFormatting sqref="S2586:S2602">
    <cfRule type="containsText" dxfId="3638" priority="6737" operator="containsText" text="Short Buildup">
      <formula>NOT(ISERROR(SEARCH("Short Buildup",S2586)))</formula>
    </cfRule>
    <cfRule type="containsText" dxfId="3637" priority="6738" operator="containsText" text="Long Liquidation">
      <formula>NOT(ISERROR(SEARCH("Long Liquidation",S2586)))</formula>
    </cfRule>
    <cfRule type="containsText" dxfId="3636" priority="6739" operator="containsText" text="Short covering">
      <formula>NOT(ISERROR(SEARCH("Short covering",S2586)))</formula>
    </cfRule>
    <cfRule type="containsText" dxfId="3635" priority="6740" operator="containsText" text="Long Buildup">
      <formula>NOT(ISERROR(SEARCH("Long Buildup",S2586)))</formula>
    </cfRule>
  </conditionalFormatting>
  <conditionalFormatting sqref="F2586:F2601">
    <cfRule type="dataBar" priority="6736">
      <dataBar>
        <cfvo type="min"/>
        <cfvo type="max"/>
        <color rgb="FFFF555A"/>
      </dataBar>
    </cfRule>
  </conditionalFormatting>
  <conditionalFormatting sqref="G2586:G2601">
    <cfRule type="dataBar" priority="6735">
      <dataBar>
        <cfvo type="min"/>
        <cfvo type="max"/>
        <color rgb="FFFF555A"/>
      </dataBar>
    </cfRule>
  </conditionalFormatting>
  <conditionalFormatting sqref="H2586">
    <cfRule type="dataBar" priority="6734">
      <dataBar>
        <cfvo type="min"/>
        <cfvo type="max"/>
        <color rgb="FFFF555A"/>
      </dataBar>
    </cfRule>
  </conditionalFormatting>
  <conditionalFormatting sqref="I2586">
    <cfRule type="dataBar" priority="6733">
      <dataBar>
        <cfvo type="min"/>
        <cfvo type="max"/>
        <color rgb="FFFF555A"/>
      </dataBar>
    </cfRule>
  </conditionalFormatting>
  <conditionalFormatting sqref="J2586">
    <cfRule type="dataBar" priority="6732">
      <dataBar>
        <cfvo type="min"/>
        <cfvo type="max"/>
        <color rgb="FFFF555A"/>
      </dataBar>
    </cfRule>
  </conditionalFormatting>
  <conditionalFormatting sqref="E2587:E2601">
    <cfRule type="dataBar" priority="6731">
      <dataBar>
        <cfvo type="min"/>
        <cfvo type="max"/>
        <color rgb="FFFF555A"/>
      </dataBar>
    </cfRule>
  </conditionalFormatting>
  <conditionalFormatting sqref="H2587:H2601">
    <cfRule type="dataBar" priority="6730">
      <dataBar>
        <cfvo type="min"/>
        <cfvo type="max"/>
        <color rgb="FFFF555A"/>
      </dataBar>
    </cfRule>
  </conditionalFormatting>
  <conditionalFormatting sqref="I2587:I2601">
    <cfRule type="dataBar" priority="6729">
      <dataBar>
        <cfvo type="min"/>
        <cfvo type="max"/>
        <color rgb="FFFF555A"/>
      </dataBar>
    </cfRule>
  </conditionalFormatting>
  <conditionalFormatting sqref="J2587:J2601">
    <cfRule type="dataBar" priority="6728">
      <dataBar>
        <cfvo type="min"/>
        <cfvo type="max"/>
        <color rgb="FFFF555A"/>
      </dataBar>
    </cfRule>
  </conditionalFormatting>
  <conditionalFormatting sqref="L2586:L2601">
    <cfRule type="dataBar" priority="6727">
      <dataBar>
        <cfvo type="min"/>
        <cfvo type="max"/>
        <color rgb="FFFF555A"/>
      </dataBar>
    </cfRule>
  </conditionalFormatting>
  <conditionalFormatting sqref="M2586:M2601">
    <cfRule type="dataBar" priority="6726">
      <dataBar>
        <cfvo type="min"/>
        <cfvo type="max"/>
        <color rgb="FFFF555A"/>
      </dataBar>
    </cfRule>
  </conditionalFormatting>
  <conditionalFormatting sqref="N2586:N2601">
    <cfRule type="dataBar" priority="6725">
      <dataBar>
        <cfvo type="min"/>
        <cfvo type="max"/>
        <color rgb="FFFF555A"/>
      </dataBar>
    </cfRule>
  </conditionalFormatting>
  <conditionalFormatting sqref="Q2586:Q2601">
    <cfRule type="dataBar" priority="6724">
      <dataBar>
        <cfvo type="min"/>
        <cfvo type="max"/>
        <color rgb="FFFF555A"/>
      </dataBar>
    </cfRule>
  </conditionalFormatting>
  <conditionalFormatting sqref="O2586:O2601">
    <cfRule type="dataBar" priority="6723">
      <dataBar>
        <cfvo type="min"/>
        <cfvo type="max"/>
        <color rgb="FFFF555A"/>
      </dataBar>
    </cfRule>
  </conditionalFormatting>
  <conditionalFormatting sqref="P2586:P2601">
    <cfRule type="dataBar" priority="6722">
      <dataBar>
        <cfvo type="min"/>
        <cfvo type="max"/>
        <color rgb="FFFF555A"/>
      </dataBar>
    </cfRule>
  </conditionalFormatting>
  <conditionalFormatting sqref="R2603:R2619 D2603:D2618 C2619">
    <cfRule type="containsText" dxfId="3634" priority="6721" operator="containsText" text="DOWN">
      <formula>NOT(ISERROR(SEARCH("DOWN",C2603)))</formula>
    </cfRule>
  </conditionalFormatting>
  <conditionalFormatting sqref="R2603:R2619 D2603:D2618 C2619">
    <cfRule type="containsText" dxfId="3633" priority="6720" operator="containsText" text="UP">
      <formula>NOT(ISERROR(SEARCH("UP",C2603)))</formula>
    </cfRule>
  </conditionalFormatting>
  <conditionalFormatting sqref="I2619">
    <cfRule type="colorScale" priority="6719">
      <colorScale>
        <cfvo type="min"/>
        <cfvo type="max"/>
        <color rgb="FFFFEF9C"/>
        <color rgb="FF63BE7B"/>
      </colorScale>
    </cfRule>
  </conditionalFormatting>
  <conditionalFormatting sqref="M2619">
    <cfRule type="colorScale" priority="6718">
      <colorScale>
        <cfvo type="min"/>
        <cfvo type="max"/>
        <color rgb="FFFF7128"/>
        <color rgb="FFFFEF9C"/>
      </colorScale>
    </cfRule>
  </conditionalFormatting>
  <conditionalFormatting sqref="Q2619">
    <cfRule type="dataBar" priority="6717">
      <dataBar>
        <cfvo type="min"/>
        <cfvo type="max"/>
        <color rgb="FFFF555A"/>
      </dataBar>
    </cfRule>
  </conditionalFormatting>
  <conditionalFormatting sqref="E2603:E2619">
    <cfRule type="dataBar" priority="6716">
      <dataBar>
        <cfvo type="min"/>
        <cfvo type="max"/>
        <color rgb="FFFF555A"/>
      </dataBar>
    </cfRule>
  </conditionalFormatting>
  <conditionalFormatting sqref="F2619">
    <cfRule type="top10" dxfId="3632" priority="6715" rank="1"/>
  </conditionalFormatting>
  <conditionalFormatting sqref="G2619 P2619">
    <cfRule type="cellIs" dxfId="3631" priority="6714" operator="equal">
      <formula>$G$135</formula>
    </cfRule>
  </conditionalFormatting>
  <conditionalFormatting sqref="P2619">
    <cfRule type="cellIs" dxfId="3630" priority="6713" operator="equal">
      <formula>$J$135</formula>
    </cfRule>
  </conditionalFormatting>
  <conditionalFormatting sqref="G2619 P2619">
    <cfRule type="cellIs" dxfId="3629" priority="6712" operator="equal">
      <formula>#REF!</formula>
    </cfRule>
  </conditionalFormatting>
  <conditionalFormatting sqref="G2619">
    <cfRule type="top10" dxfId="3628" priority="6710" rank="1"/>
    <cfRule type="cellIs" dxfId="3627" priority="6711" operator="equal">
      <formula>$G$133</formula>
    </cfRule>
  </conditionalFormatting>
  <conditionalFormatting sqref="P2619">
    <cfRule type="top10" dxfId="3626" priority="6708" rank="1"/>
    <cfRule type="cellIs" dxfId="3625" priority="6709" operator="equal">
      <formula>$G$133</formula>
    </cfRule>
  </conditionalFormatting>
  <conditionalFormatting sqref="C2603:C2618">
    <cfRule type="containsText" dxfId="3624" priority="6704" operator="containsText" text="Short Buildup">
      <formula>NOT(ISERROR(SEARCH("Short Buildup",C2603)))</formula>
    </cfRule>
    <cfRule type="containsText" dxfId="3623" priority="6705" operator="containsText" text="Long Liquidation">
      <formula>NOT(ISERROR(SEARCH("Long Liquidation",C2603)))</formula>
    </cfRule>
    <cfRule type="containsText" dxfId="3622" priority="6706" operator="containsText" text="Short covering">
      <formula>NOT(ISERROR(SEARCH("Short covering",C2603)))</formula>
    </cfRule>
    <cfRule type="containsText" dxfId="3621" priority="6707" operator="containsText" text="Long Buildup">
      <formula>NOT(ISERROR(SEARCH("Long Buildup",C2603)))</formula>
    </cfRule>
  </conditionalFormatting>
  <conditionalFormatting sqref="H2619">
    <cfRule type="colorScale" priority="6699">
      <colorScale>
        <cfvo type="min"/>
        <cfvo type="percentile" val="20"/>
        <cfvo type="max"/>
        <color rgb="FF92D050"/>
        <color theme="5" tint="0.79998168889431442"/>
        <color rgb="FFFF0000"/>
      </colorScale>
    </cfRule>
    <cfRule type="colorScale" priority="6700">
      <colorScale>
        <cfvo type="min"/>
        <cfvo type="max"/>
        <color rgb="FFFF0000"/>
        <color rgb="FF92D050"/>
      </colorScale>
    </cfRule>
    <cfRule type="colorScale" priority="6701">
      <colorScale>
        <cfvo type="min"/>
        <cfvo type="percentile" val="50"/>
        <cfvo type="max"/>
        <color rgb="FF5A8AC6"/>
        <color rgb="FFFCFCFF"/>
        <color rgb="FFF8696B"/>
      </colorScale>
    </cfRule>
    <cfRule type="colorScale" priority="6702">
      <colorScale>
        <cfvo type="formula" val="&quot;&gt;20&quot;"/>
        <cfvo type="formula" val="35"/>
        <color rgb="FFF8696B"/>
        <color rgb="FFFCFCFF"/>
      </colorScale>
    </cfRule>
    <cfRule type="colorScale" priority="6703">
      <colorScale>
        <cfvo type="min"/>
        <cfvo type="max"/>
        <color rgb="FFFFEF9C"/>
        <color rgb="FF63BE7B"/>
      </colorScale>
    </cfRule>
  </conditionalFormatting>
  <conditionalFormatting sqref="N2619">
    <cfRule type="colorScale" priority="6694">
      <colorScale>
        <cfvo type="min"/>
        <cfvo type="percentile" val="20"/>
        <cfvo type="max"/>
        <color rgb="FF92D050"/>
        <color theme="5" tint="0.79998168889431442"/>
        <color rgb="FFFF0000"/>
      </colorScale>
    </cfRule>
    <cfRule type="colorScale" priority="6695">
      <colorScale>
        <cfvo type="min"/>
        <cfvo type="max"/>
        <color rgb="FFFF0000"/>
        <color rgb="FF92D050"/>
      </colorScale>
    </cfRule>
    <cfRule type="colorScale" priority="6696">
      <colorScale>
        <cfvo type="min"/>
        <cfvo type="percentile" val="50"/>
        <cfvo type="max"/>
        <color rgb="FF5A8AC6"/>
        <color rgb="FFFCFCFF"/>
        <color rgb="FFF8696B"/>
      </colorScale>
    </cfRule>
    <cfRule type="colorScale" priority="6697">
      <colorScale>
        <cfvo type="formula" val="&quot;&gt;20&quot;"/>
        <cfvo type="formula" val="35"/>
        <color rgb="FFF8696B"/>
        <color rgb="FFFCFCFF"/>
      </colorScale>
    </cfRule>
    <cfRule type="colorScale" priority="6698">
      <colorScale>
        <cfvo type="min"/>
        <cfvo type="max"/>
        <color rgb="FFFFEF9C"/>
        <color rgb="FF63BE7B"/>
      </colorScale>
    </cfRule>
  </conditionalFormatting>
  <conditionalFormatting sqref="S2603:S2619">
    <cfRule type="containsText" dxfId="3620" priority="6690" operator="containsText" text="Short Buildup">
      <formula>NOT(ISERROR(SEARCH("Short Buildup",S2603)))</formula>
    </cfRule>
    <cfRule type="containsText" dxfId="3619" priority="6691" operator="containsText" text="Long Liquidation">
      <formula>NOT(ISERROR(SEARCH("Long Liquidation",S2603)))</formula>
    </cfRule>
    <cfRule type="containsText" dxfId="3618" priority="6692" operator="containsText" text="Short covering">
      <formula>NOT(ISERROR(SEARCH("Short covering",S2603)))</formula>
    </cfRule>
    <cfRule type="containsText" dxfId="3617" priority="6693" operator="containsText" text="Long Buildup">
      <formula>NOT(ISERROR(SEARCH("Long Buildup",S2603)))</formula>
    </cfRule>
  </conditionalFormatting>
  <conditionalFormatting sqref="F2603:F2618">
    <cfRule type="dataBar" priority="6689">
      <dataBar>
        <cfvo type="min"/>
        <cfvo type="max"/>
        <color rgb="FFFF555A"/>
      </dataBar>
    </cfRule>
  </conditionalFormatting>
  <conditionalFormatting sqref="G2603:G2618">
    <cfRule type="dataBar" priority="6688">
      <dataBar>
        <cfvo type="min"/>
        <cfvo type="max"/>
        <color rgb="FFFF555A"/>
      </dataBar>
    </cfRule>
  </conditionalFormatting>
  <conditionalFormatting sqref="H2603">
    <cfRule type="dataBar" priority="6687">
      <dataBar>
        <cfvo type="min"/>
        <cfvo type="max"/>
        <color rgb="FFFF555A"/>
      </dataBar>
    </cfRule>
  </conditionalFormatting>
  <conditionalFormatting sqref="I2603">
    <cfRule type="dataBar" priority="6686">
      <dataBar>
        <cfvo type="min"/>
        <cfvo type="max"/>
        <color rgb="FFFF555A"/>
      </dataBar>
    </cfRule>
  </conditionalFormatting>
  <conditionalFormatting sqref="J2603">
    <cfRule type="dataBar" priority="6685">
      <dataBar>
        <cfvo type="min"/>
        <cfvo type="max"/>
        <color rgb="FFFF555A"/>
      </dataBar>
    </cfRule>
  </conditionalFormatting>
  <conditionalFormatting sqref="E2604:E2618">
    <cfRule type="dataBar" priority="6684">
      <dataBar>
        <cfvo type="min"/>
        <cfvo type="max"/>
        <color rgb="FFFF555A"/>
      </dataBar>
    </cfRule>
  </conditionalFormatting>
  <conditionalFormatting sqref="H2604:H2618">
    <cfRule type="dataBar" priority="6683">
      <dataBar>
        <cfvo type="min"/>
        <cfvo type="max"/>
        <color rgb="FFFF555A"/>
      </dataBar>
    </cfRule>
  </conditionalFormatting>
  <conditionalFormatting sqref="I2604:I2618">
    <cfRule type="dataBar" priority="6682">
      <dataBar>
        <cfvo type="min"/>
        <cfvo type="max"/>
        <color rgb="FFFF555A"/>
      </dataBar>
    </cfRule>
  </conditionalFormatting>
  <conditionalFormatting sqref="J2604:J2618">
    <cfRule type="dataBar" priority="6681">
      <dataBar>
        <cfvo type="min"/>
        <cfvo type="max"/>
        <color rgb="FFFF555A"/>
      </dataBar>
    </cfRule>
  </conditionalFormatting>
  <conditionalFormatting sqref="L2603:L2618">
    <cfRule type="dataBar" priority="6680">
      <dataBar>
        <cfvo type="min"/>
        <cfvo type="max"/>
        <color rgb="FFFF555A"/>
      </dataBar>
    </cfRule>
  </conditionalFormatting>
  <conditionalFormatting sqref="M2603:M2618">
    <cfRule type="dataBar" priority="6679">
      <dataBar>
        <cfvo type="min"/>
        <cfvo type="max"/>
        <color rgb="FFFF555A"/>
      </dataBar>
    </cfRule>
  </conditionalFormatting>
  <conditionalFormatting sqref="N2603:N2618">
    <cfRule type="dataBar" priority="6678">
      <dataBar>
        <cfvo type="min"/>
        <cfvo type="max"/>
        <color rgb="FFFF555A"/>
      </dataBar>
    </cfRule>
  </conditionalFormatting>
  <conditionalFormatting sqref="Q2603:Q2618">
    <cfRule type="dataBar" priority="6677">
      <dataBar>
        <cfvo type="min"/>
        <cfvo type="max"/>
        <color rgb="FFFF555A"/>
      </dataBar>
    </cfRule>
  </conditionalFormatting>
  <conditionalFormatting sqref="O2603:O2618">
    <cfRule type="dataBar" priority="6676">
      <dataBar>
        <cfvo type="min"/>
        <cfvo type="max"/>
        <color rgb="FFFF555A"/>
      </dataBar>
    </cfRule>
  </conditionalFormatting>
  <conditionalFormatting sqref="P2603:P2618">
    <cfRule type="dataBar" priority="6675">
      <dataBar>
        <cfvo type="min"/>
        <cfvo type="max"/>
        <color rgb="FFFF555A"/>
      </dataBar>
    </cfRule>
  </conditionalFormatting>
  <conditionalFormatting sqref="R2620:R2636 D2620:D2635 C2636">
    <cfRule type="containsText" dxfId="3616" priority="6674" operator="containsText" text="DOWN">
      <formula>NOT(ISERROR(SEARCH("DOWN",C2620)))</formula>
    </cfRule>
  </conditionalFormatting>
  <conditionalFormatting sqref="R2620:R2636 D2620:D2635 C2636">
    <cfRule type="containsText" dxfId="3615" priority="6673" operator="containsText" text="UP">
      <formula>NOT(ISERROR(SEARCH("UP",C2620)))</formula>
    </cfRule>
  </conditionalFormatting>
  <conditionalFormatting sqref="I2636">
    <cfRule type="colorScale" priority="6672">
      <colorScale>
        <cfvo type="min"/>
        <cfvo type="max"/>
        <color rgb="FFFFEF9C"/>
        <color rgb="FF63BE7B"/>
      </colorScale>
    </cfRule>
  </conditionalFormatting>
  <conditionalFormatting sqref="M2636">
    <cfRule type="colorScale" priority="6671">
      <colorScale>
        <cfvo type="min"/>
        <cfvo type="max"/>
        <color rgb="FFFF7128"/>
        <color rgb="FFFFEF9C"/>
      </colorScale>
    </cfRule>
  </conditionalFormatting>
  <conditionalFormatting sqref="Q2636">
    <cfRule type="dataBar" priority="6670">
      <dataBar>
        <cfvo type="min"/>
        <cfvo type="max"/>
        <color rgb="FFFF555A"/>
      </dataBar>
    </cfRule>
  </conditionalFormatting>
  <conditionalFormatting sqref="E2620:E2636">
    <cfRule type="dataBar" priority="6669">
      <dataBar>
        <cfvo type="min"/>
        <cfvo type="max"/>
        <color rgb="FFFF555A"/>
      </dataBar>
    </cfRule>
  </conditionalFormatting>
  <conditionalFormatting sqref="F2636">
    <cfRule type="top10" dxfId="3614" priority="6668" rank="1"/>
  </conditionalFormatting>
  <conditionalFormatting sqref="G2636 P2636">
    <cfRule type="cellIs" dxfId="3613" priority="6667" operator="equal">
      <formula>$G$135</formula>
    </cfRule>
  </conditionalFormatting>
  <conditionalFormatting sqref="P2636">
    <cfRule type="cellIs" dxfId="3612" priority="6666" operator="equal">
      <formula>$J$135</formula>
    </cfRule>
  </conditionalFormatting>
  <conditionalFormatting sqref="G2636 P2636">
    <cfRule type="cellIs" dxfId="3611" priority="6665" operator="equal">
      <formula>#REF!</formula>
    </cfRule>
  </conditionalFormatting>
  <conditionalFormatting sqref="G2636">
    <cfRule type="top10" dxfId="3610" priority="6663" rank="1"/>
    <cfRule type="cellIs" dxfId="3609" priority="6664" operator="equal">
      <formula>$G$133</formula>
    </cfRule>
  </conditionalFormatting>
  <conditionalFormatting sqref="P2636">
    <cfRule type="top10" dxfId="3608" priority="6661" rank="1"/>
    <cfRule type="cellIs" dxfId="3607" priority="6662" operator="equal">
      <formula>$G$133</formula>
    </cfRule>
  </conditionalFormatting>
  <conditionalFormatting sqref="C2620:C2635">
    <cfRule type="containsText" dxfId="3606" priority="6657" operator="containsText" text="Short Buildup">
      <formula>NOT(ISERROR(SEARCH("Short Buildup",C2620)))</formula>
    </cfRule>
    <cfRule type="containsText" dxfId="3605" priority="6658" operator="containsText" text="Long Liquidation">
      <formula>NOT(ISERROR(SEARCH("Long Liquidation",C2620)))</formula>
    </cfRule>
    <cfRule type="containsText" dxfId="3604" priority="6659" operator="containsText" text="Short covering">
      <formula>NOT(ISERROR(SEARCH("Short covering",C2620)))</formula>
    </cfRule>
    <cfRule type="containsText" dxfId="3603" priority="6660" operator="containsText" text="Long Buildup">
      <formula>NOT(ISERROR(SEARCH("Long Buildup",C2620)))</formula>
    </cfRule>
  </conditionalFormatting>
  <conditionalFormatting sqref="H2636">
    <cfRule type="colorScale" priority="6652">
      <colorScale>
        <cfvo type="min"/>
        <cfvo type="percentile" val="20"/>
        <cfvo type="max"/>
        <color rgb="FF92D050"/>
        <color theme="5" tint="0.79998168889431442"/>
        <color rgb="FFFF0000"/>
      </colorScale>
    </cfRule>
    <cfRule type="colorScale" priority="6653">
      <colorScale>
        <cfvo type="min"/>
        <cfvo type="max"/>
        <color rgb="FFFF0000"/>
        <color rgb="FF92D050"/>
      </colorScale>
    </cfRule>
    <cfRule type="colorScale" priority="6654">
      <colorScale>
        <cfvo type="min"/>
        <cfvo type="percentile" val="50"/>
        <cfvo type="max"/>
        <color rgb="FF5A8AC6"/>
        <color rgb="FFFCFCFF"/>
        <color rgb="FFF8696B"/>
      </colorScale>
    </cfRule>
    <cfRule type="colorScale" priority="6655">
      <colorScale>
        <cfvo type="formula" val="&quot;&gt;20&quot;"/>
        <cfvo type="formula" val="35"/>
        <color rgb="FFF8696B"/>
        <color rgb="FFFCFCFF"/>
      </colorScale>
    </cfRule>
    <cfRule type="colorScale" priority="6656">
      <colorScale>
        <cfvo type="min"/>
        <cfvo type="max"/>
        <color rgb="FFFFEF9C"/>
        <color rgb="FF63BE7B"/>
      </colorScale>
    </cfRule>
  </conditionalFormatting>
  <conditionalFormatting sqref="N2636">
    <cfRule type="colorScale" priority="6647">
      <colorScale>
        <cfvo type="min"/>
        <cfvo type="percentile" val="20"/>
        <cfvo type="max"/>
        <color rgb="FF92D050"/>
        <color theme="5" tint="0.79998168889431442"/>
        <color rgb="FFFF0000"/>
      </colorScale>
    </cfRule>
    <cfRule type="colorScale" priority="6648">
      <colorScale>
        <cfvo type="min"/>
        <cfvo type="max"/>
        <color rgb="FFFF0000"/>
        <color rgb="FF92D050"/>
      </colorScale>
    </cfRule>
    <cfRule type="colorScale" priority="6649">
      <colorScale>
        <cfvo type="min"/>
        <cfvo type="percentile" val="50"/>
        <cfvo type="max"/>
        <color rgb="FF5A8AC6"/>
        <color rgb="FFFCFCFF"/>
        <color rgb="FFF8696B"/>
      </colorScale>
    </cfRule>
    <cfRule type="colorScale" priority="6650">
      <colorScale>
        <cfvo type="formula" val="&quot;&gt;20&quot;"/>
        <cfvo type="formula" val="35"/>
        <color rgb="FFF8696B"/>
        <color rgb="FFFCFCFF"/>
      </colorScale>
    </cfRule>
    <cfRule type="colorScale" priority="6651">
      <colorScale>
        <cfvo type="min"/>
        <cfvo type="max"/>
        <color rgb="FFFFEF9C"/>
        <color rgb="FF63BE7B"/>
      </colorScale>
    </cfRule>
  </conditionalFormatting>
  <conditionalFormatting sqref="S2620:S2636">
    <cfRule type="containsText" dxfId="3602" priority="6643" operator="containsText" text="Short Buildup">
      <formula>NOT(ISERROR(SEARCH("Short Buildup",S2620)))</formula>
    </cfRule>
    <cfRule type="containsText" dxfId="3601" priority="6644" operator="containsText" text="Long Liquidation">
      <formula>NOT(ISERROR(SEARCH("Long Liquidation",S2620)))</formula>
    </cfRule>
    <cfRule type="containsText" dxfId="3600" priority="6645" operator="containsText" text="Short covering">
      <formula>NOT(ISERROR(SEARCH("Short covering",S2620)))</formula>
    </cfRule>
    <cfRule type="containsText" dxfId="3599" priority="6646" operator="containsText" text="Long Buildup">
      <formula>NOT(ISERROR(SEARCH("Long Buildup",S2620)))</formula>
    </cfRule>
  </conditionalFormatting>
  <conditionalFormatting sqref="F2620:F2635">
    <cfRule type="dataBar" priority="6642">
      <dataBar>
        <cfvo type="min"/>
        <cfvo type="max"/>
        <color rgb="FFFF555A"/>
      </dataBar>
    </cfRule>
  </conditionalFormatting>
  <conditionalFormatting sqref="G2620:G2635">
    <cfRule type="dataBar" priority="6641">
      <dataBar>
        <cfvo type="min"/>
        <cfvo type="max"/>
        <color rgb="FFFF555A"/>
      </dataBar>
    </cfRule>
  </conditionalFormatting>
  <conditionalFormatting sqref="H2620">
    <cfRule type="dataBar" priority="6640">
      <dataBar>
        <cfvo type="min"/>
        <cfvo type="max"/>
        <color rgb="FFFF555A"/>
      </dataBar>
    </cfRule>
  </conditionalFormatting>
  <conditionalFormatting sqref="I2620">
    <cfRule type="dataBar" priority="6639">
      <dataBar>
        <cfvo type="min"/>
        <cfvo type="max"/>
        <color rgb="FFFF555A"/>
      </dataBar>
    </cfRule>
  </conditionalFormatting>
  <conditionalFormatting sqref="J2620">
    <cfRule type="dataBar" priority="6638">
      <dataBar>
        <cfvo type="min"/>
        <cfvo type="max"/>
        <color rgb="FFFF555A"/>
      </dataBar>
    </cfRule>
  </conditionalFormatting>
  <conditionalFormatting sqref="E2621:E2635">
    <cfRule type="dataBar" priority="6637">
      <dataBar>
        <cfvo type="min"/>
        <cfvo type="max"/>
        <color rgb="FFFF555A"/>
      </dataBar>
    </cfRule>
  </conditionalFormatting>
  <conditionalFormatting sqref="H2621:H2635">
    <cfRule type="dataBar" priority="6636">
      <dataBar>
        <cfvo type="min"/>
        <cfvo type="max"/>
        <color rgb="FFFF555A"/>
      </dataBar>
    </cfRule>
  </conditionalFormatting>
  <conditionalFormatting sqref="I2621:I2635">
    <cfRule type="dataBar" priority="6635">
      <dataBar>
        <cfvo type="min"/>
        <cfvo type="max"/>
        <color rgb="FFFF555A"/>
      </dataBar>
    </cfRule>
  </conditionalFormatting>
  <conditionalFormatting sqref="J2621:J2635">
    <cfRule type="dataBar" priority="6634">
      <dataBar>
        <cfvo type="min"/>
        <cfvo type="max"/>
        <color rgb="FFFF555A"/>
      </dataBar>
    </cfRule>
  </conditionalFormatting>
  <conditionalFormatting sqref="L2620:L2635">
    <cfRule type="dataBar" priority="6633">
      <dataBar>
        <cfvo type="min"/>
        <cfvo type="max"/>
        <color rgb="FFFF555A"/>
      </dataBar>
    </cfRule>
  </conditionalFormatting>
  <conditionalFormatting sqref="M2620:M2635">
    <cfRule type="dataBar" priority="6632">
      <dataBar>
        <cfvo type="min"/>
        <cfvo type="max"/>
        <color rgb="FFFF555A"/>
      </dataBar>
    </cfRule>
  </conditionalFormatting>
  <conditionalFormatting sqref="N2620:N2635">
    <cfRule type="dataBar" priority="6631">
      <dataBar>
        <cfvo type="min"/>
        <cfvo type="max"/>
        <color rgb="FFFF555A"/>
      </dataBar>
    </cfRule>
  </conditionalFormatting>
  <conditionalFormatting sqref="Q2620:Q2635">
    <cfRule type="dataBar" priority="6630">
      <dataBar>
        <cfvo type="min"/>
        <cfvo type="max"/>
        <color rgb="FFFF555A"/>
      </dataBar>
    </cfRule>
  </conditionalFormatting>
  <conditionalFormatting sqref="O2620:O2635">
    <cfRule type="dataBar" priority="6629">
      <dataBar>
        <cfvo type="min"/>
        <cfvo type="max"/>
        <color rgb="FFFF555A"/>
      </dataBar>
    </cfRule>
  </conditionalFormatting>
  <conditionalFormatting sqref="P2620:P2635">
    <cfRule type="dataBar" priority="6628">
      <dataBar>
        <cfvo type="min"/>
        <cfvo type="max"/>
        <color rgb="FFFF555A"/>
      </dataBar>
    </cfRule>
  </conditionalFormatting>
  <conditionalFormatting sqref="R2637:R2653 D2637:D2652 C2653">
    <cfRule type="containsText" dxfId="3598" priority="6627" operator="containsText" text="DOWN">
      <formula>NOT(ISERROR(SEARCH("DOWN",C2637)))</formula>
    </cfRule>
  </conditionalFormatting>
  <conditionalFormatting sqref="R2637:R2653 D2637:D2652 C2653">
    <cfRule type="containsText" dxfId="3597" priority="6626" operator="containsText" text="UP">
      <formula>NOT(ISERROR(SEARCH("UP",C2637)))</formula>
    </cfRule>
  </conditionalFormatting>
  <conditionalFormatting sqref="I2653">
    <cfRule type="colorScale" priority="6625">
      <colorScale>
        <cfvo type="min"/>
        <cfvo type="max"/>
        <color rgb="FFFFEF9C"/>
        <color rgb="FF63BE7B"/>
      </colorScale>
    </cfRule>
  </conditionalFormatting>
  <conditionalFormatting sqref="M2653">
    <cfRule type="colorScale" priority="6624">
      <colorScale>
        <cfvo type="min"/>
        <cfvo type="max"/>
        <color rgb="FFFF7128"/>
        <color rgb="FFFFEF9C"/>
      </colorScale>
    </cfRule>
  </conditionalFormatting>
  <conditionalFormatting sqref="Q2653">
    <cfRule type="dataBar" priority="6623">
      <dataBar>
        <cfvo type="min"/>
        <cfvo type="max"/>
        <color rgb="FFFF555A"/>
      </dataBar>
    </cfRule>
  </conditionalFormatting>
  <conditionalFormatting sqref="E2637:E2653">
    <cfRule type="dataBar" priority="6622">
      <dataBar>
        <cfvo type="min"/>
        <cfvo type="max"/>
        <color rgb="FFFF555A"/>
      </dataBar>
    </cfRule>
  </conditionalFormatting>
  <conditionalFormatting sqref="F2653">
    <cfRule type="top10" dxfId="3596" priority="6621" rank="1"/>
  </conditionalFormatting>
  <conditionalFormatting sqref="G2653 P2653">
    <cfRule type="cellIs" dxfId="3595" priority="6620" operator="equal">
      <formula>$G$135</formula>
    </cfRule>
  </conditionalFormatting>
  <conditionalFormatting sqref="P2653">
    <cfRule type="cellIs" dxfId="3594" priority="6619" operator="equal">
      <formula>$J$135</formula>
    </cfRule>
  </conditionalFormatting>
  <conditionalFormatting sqref="G2653 P2653">
    <cfRule type="cellIs" dxfId="3593" priority="6618" operator="equal">
      <formula>#REF!</formula>
    </cfRule>
  </conditionalFormatting>
  <conditionalFormatting sqref="G2653">
    <cfRule type="top10" dxfId="3592" priority="6616" rank="1"/>
    <cfRule type="cellIs" dxfId="3591" priority="6617" operator="equal">
      <formula>$G$133</formula>
    </cfRule>
  </conditionalFormatting>
  <conditionalFormatting sqref="P2653">
    <cfRule type="top10" dxfId="3590" priority="6614" rank="1"/>
    <cfRule type="cellIs" dxfId="3589" priority="6615" operator="equal">
      <formula>$G$133</formula>
    </cfRule>
  </conditionalFormatting>
  <conditionalFormatting sqref="C2637:C2652">
    <cfRule type="containsText" dxfId="3588" priority="6610" operator="containsText" text="Short Buildup">
      <formula>NOT(ISERROR(SEARCH("Short Buildup",C2637)))</formula>
    </cfRule>
    <cfRule type="containsText" dxfId="3587" priority="6611" operator="containsText" text="Long Liquidation">
      <formula>NOT(ISERROR(SEARCH("Long Liquidation",C2637)))</formula>
    </cfRule>
    <cfRule type="containsText" dxfId="3586" priority="6612" operator="containsText" text="Short covering">
      <formula>NOT(ISERROR(SEARCH("Short covering",C2637)))</formula>
    </cfRule>
    <cfRule type="containsText" dxfId="3585" priority="6613" operator="containsText" text="Long Buildup">
      <formula>NOT(ISERROR(SEARCH("Long Buildup",C2637)))</formula>
    </cfRule>
  </conditionalFormatting>
  <conditionalFormatting sqref="H2653">
    <cfRule type="colorScale" priority="6605">
      <colorScale>
        <cfvo type="min"/>
        <cfvo type="percentile" val="20"/>
        <cfvo type="max"/>
        <color rgb="FF92D050"/>
        <color theme="5" tint="0.79998168889431442"/>
        <color rgb="FFFF0000"/>
      </colorScale>
    </cfRule>
    <cfRule type="colorScale" priority="6606">
      <colorScale>
        <cfvo type="min"/>
        <cfvo type="max"/>
        <color rgb="FFFF0000"/>
        <color rgb="FF92D050"/>
      </colorScale>
    </cfRule>
    <cfRule type="colorScale" priority="6607">
      <colorScale>
        <cfvo type="min"/>
        <cfvo type="percentile" val="50"/>
        <cfvo type="max"/>
        <color rgb="FF5A8AC6"/>
        <color rgb="FFFCFCFF"/>
        <color rgb="FFF8696B"/>
      </colorScale>
    </cfRule>
    <cfRule type="colorScale" priority="6608">
      <colorScale>
        <cfvo type="formula" val="&quot;&gt;20&quot;"/>
        <cfvo type="formula" val="35"/>
        <color rgb="FFF8696B"/>
        <color rgb="FFFCFCFF"/>
      </colorScale>
    </cfRule>
    <cfRule type="colorScale" priority="6609">
      <colorScale>
        <cfvo type="min"/>
        <cfvo type="max"/>
        <color rgb="FFFFEF9C"/>
        <color rgb="FF63BE7B"/>
      </colorScale>
    </cfRule>
  </conditionalFormatting>
  <conditionalFormatting sqref="N2653">
    <cfRule type="colorScale" priority="6600">
      <colorScale>
        <cfvo type="min"/>
        <cfvo type="percentile" val="20"/>
        <cfvo type="max"/>
        <color rgb="FF92D050"/>
        <color theme="5" tint="0.79998168889431442"/>
        <color rgb="FFFF0000"/>
      </colorScale>
    </cfRule>
    <cfRule type="colorScale" priority="6601">
      <colorScale>
        <cfvo type="min"/>
        <cfvo type="max"/>
        <color rgb="FFFF0000"/>
        <color rgb="FF92D050"/>
      </colorScale>
    </cfRule>
    <cfRule type="colorScale" priority="6602">
      <colorScale>
        <cfvo type="min"/>
        <cfvo type="percentile" val="50"/>
        <cfvo type="max"/>
        <color rgb="FF5A8AC6"/>
        <color rgb="FFFCFCFF"/>
        <color rgb="FFF8696B"/>
      </colorScale>
    </cfRule>
    <cfRule type="colorScale" priority="6603">
      <colorScale>
        <cfvo type="formula" val="&quot;&gt;20&quot;"/>
        <cfvo type="formula" val="35"/>
        <color rgb="FFF8696B"/>
        <color rgb="FFFCFCFF"/>
      </colorScale>
    </cfRule>
    <cfRule type="colorScale" priority="6604">
      <colorScale>
        <cfvo type="min"/>
        <cfvo type="max"/>
        <color rgb="FFFFEF9C"/>
        <color rgb="FF63BE7B"/>
      </colorScale>
    </cfRule>
  </conditionalFormatting>
  <conditionalFormatting sqref="S2637:S2653">
    <cfRule type="containsText" dxfId="3584" priority="6596" operator="containsText" text="Short Buildup">
      <formula>NOT(ISERROR(SEARCH("Short Buildup",S2637)))</formula>
    </cfRule>
    <cfRule type="containsText" dxfId="3583" priority="6597" operator="containsText" text="Long Liquidation">
      <formula>NOT(ISERROR(SEARCH("Long Liquidation",S2637)))</formula>
    </cfRule>
    <cfRule type="containsText" dxfId="3582" priority="6598" operator="containsText" text="Short covering">
      <formula>NOT(ISERROR(SEARCH("Short covering",S2637)))</formula>
    </cfRule>
    <cfRule type="containsText" dxfId="3581" priority="6599" operator="containsText" text="Long Buildup">
      <formula>NOT(ISERROR(SEARCH("Long Buildup",S2637)))</formula>
    </cfRule>
  </conditionalFormatting>
  <conditionalFormatting sqref="F2637:F2652">
    <cfRule type="dataBar" priority="6595">
      <dataBar>
        <cfvo type="min"/>
        <cfvo type="max"/>
        <color rgb="FFFF555A"/>
      </dataBar>
    </cfRule>
  </conditionalFormatting>
  <conditionalFormatting sqref="G2637:G2652">
    <cfRule type="dataBar" priority="6594">
      <dataBar>
        <cfvo type="min"/>
        <cfvo type="max"/>
        <color rgb="FFFF555A"/>
      </dataBar>
    </cfRule>
  </conditionalFormatting>
  <conditionalFormatting sqref="H2637">
    <cfRule type="dataBar" priority="6593">
      <dataBar>
        <cfvo type="min"/>
        <cfvo type="max"/>
        <color rgb="FFFF555A"/>
      </dataBar>
    </cfRule>
  </conditionalFormatting>
  <conditionalFormatting sqref="I2637">
    <cfRule type="dataBar" priority="6592">
      <dataBar>
        <cfvo type="min"/>
        <cfvo type="max"/>
        <color rgb="FFFF555A"/>
      </dataBar>
    </cfRule>
  </conditionalFormatting>
  <conditionalFormatting sqref="J2637">
    <cfRule type="dataBar" priority="6591">
      <dataBar>
        <cfvo type="min"/>
        <cfvo type="max"/>
        <color rgb="FFFF555A"/>
      </dataBar>
    </cfRule>
  </conditionalFormatting>
  <conditionalFormatting sqref="E2638:E2652">
    <cfRule type="dataBar" priority="6590">
      <dataBar>
        <cfvo type="min"/>
        <cfvo type="max"/>
        <color rgb="FFFF555A"/>
      </dataBar>
    </cfRule>
  </conditionalFormatting>
  <conditionalFormatting sqref="H2638:H2652">
    <cfRule type="dataBar" priority="6589">
      <dataBar>
        <cfvo type="min"/>
        <cfvo type="max"/>
        <color rgb="FFFF555A"/>
      </dataBar>
    </cfRule>
  </conditionalFormatting>
  <conditionalFormatting sqref="I2638:I2652">
    <cfRule type="dataBar" priority="6588">
      <dataBar>
        <cfvo type="min"/>
        <cfvo type="max"/>
        <color rgb="FFFF555A"/>
      </dataBar>
    </cfRule>
  </conditionalFormatting>
  <conditionalFormatting sqref="J2638:J2652">
    <cfRule type="dataBar" priority="6587">
      <dataBar>
        <cfvo type="min"/>
        <cfvo type="max"/>
        <color rgb="FFFF555A"/>
      </dataBar>
    </cfRule>
  </conditionalFormatting>
  <conditionalFormatting sqref="L2637:L2652">
    <cfRule type="dataBar" priority="6586">
      <dataBar>
        <cfvo type="min"/>
        <cfvo type="max"/>
        <color rgb="FFFF555A"/>
      </dataBar>
    </cfRule>
  </conditionalFormatting>
  <conditionalFormatting sqref="M2637:M2652">
    <cfRule type="dataBar" priority="6585">
      <dataBar>
        <cfvo type="min"/>
        <cfvo type="max"/>
        <color rgb="FFFF555A"/>
      </dataBar>
    </cfRule>
  </conditionalFormatting>
  <conditionalFormatting sqref="N2637:N2652">
    <cfRule type="dataBar" priority="6584">
      <dataBar>
        <cfvo type="min"/>
        <cfvo type="max"/>
        <color rgb="FFFF555A"/>
      </dataBar>
    </cfRule>
  </conditionalFormatting>
  <conditionalFormatting sqref="Q2637:Q2652">
    <cfRule type="dataBar" priority="6583">
      <dataBar>
        <cfvo type="min"/>
        <cfvo type="max"/>
        <color rgb="FFFF555A"/>
      </dataBar>
    </cfRule>
  </conditionalFormatting>
  <conditionalFormatting sqref="O2637:O2652">
    <cfRule type="dataBar" priority="6582">
      <dataBar>
        <cfvo type="min"/>
        <cfvo type="max"/>
        <color rgb="FFFF555A"/>
      </dataBar>
    </cfRule>
  </conditionalFormatting>
  <conditionalFormatting sqref="P2637:P2652">
    <cfRule type="dataBar" priority="6581">
      <dataBar>
        <cfvo type="min"/>
        <cfvo type="max"/>
        <color rgb="FFFF555A"/>
      </dataBar>
    </cfRule>
  </conditionalFormatting>
  <conditionalFormatting sqref="R2654:R2670 D2654:D2669 C2670">
    <cfRule type="containsText" dxfId="3580" priority="6580" operator="containsText" text="DOWN">
      <formula>NOT(ISERROR(SEARCH("DOWN",C2654)))</formula>
    </cfRule>
  </conditionalFormatting>
  <conditionalFormatting sqref="R2654:R2670 D2654:D2669 C2670">
    <cfRule type="containsText" dxfId="3579" priority="6579" operator="containsText" text="UP">
      <formula>NOT(ISERROR(SEARCH("UP",C2654)))</formula>
    </cfRule>
  </conditionalFormatting>
  <conditionalFormatting sqref="I2670">
    <cfRule type="colorScale" priority="6578">
      <colorScale>
        <cfvo type="min"/>
        <cfvo type="max"/>
        <color rgb="FFFFEF9C"/>
        <color rgb="FF63BE7B"/>
      </colorScale>
    </cfRule>
  </conditionalFormatting>
  <conditionalFormatting sqref="M2670">
    <cfRule type="colorScale" priority="6577">
      <colorScale>
        <cfvo type="min"/>
        <cfvo type="max"/>
        <color rgb="FFFF7128"/>
        <color rgb="FFFFEF9C"/>
      </colorScale>
    </cfRule>
  </conditionalFormatting>
  <conditionalFormatting sqref="Q2670">
    <cfRule type="dataBar" priority="6576">
      <dataBar>
        <cfvo type="min"/>
        <cfvo type="max"/>
        <color rgb="FFFF555A"/>
      </dataBar>
    </cfRule>
  </conditionalFormatting>
  <conditionalFormatting sqref="E2654:E2670">
    <cfRule type="dataBar" priority="6575">
      <dataBar>
        <cfvo type="min"/>
        <cfvo type="max"/>
        <color rgb="FFFF555A"/>
      </dataBar>
    </cfRule>
  </conditionalFormatting>
  <conditionalFormatting sqref="F2670">
    <cfRule type="top10" dxfId="3578" priority="6574" rank="1"/>
  </conditionalFormatting>
  <conditionalFormatting sqref="G2670 P2670">
    <cfRule type="cellIs" dxfId="3577" priority="6573" operator="equal">
      <formula>$G$135</formula>
    </cfRule>
  </conditionalFormatting>
  <conditionalFormatting sqref="P2670">
    <cfRule type="cellIs" dxfId="3576" priority="6572" operator="equal">
      <formula>$J$135</formula>
    </cfRule>
  </conditionalFormatting>
  <conditionalFormatting sqref="G2670 P2670">
    <cfRule type="cellIs" dxfId="3575" priority="6571" operator="equal">
      <formula>#REF!</formula>
    </cfRule>
  </conditionalFormatting>
  <conditionalFormatting sqref="G2670">
    <cfRule type="top10" dxfId="3574" priority="6569" rank="1"/>
    <cfRule type="cellIs" dxfId="3573" priority="6570" operator="equal">
      <formula>$G$133</formula>
    </cfRule>
  </conditionalFormatting>
  <conditionalFormatting sqref="P2670">
    <cfRule type="top10" dxfId="3572" priority="6567" rank="1"/>
    <cfRule type="cellIs" dxfId="3571" priority="6568" operator="equal">
      <formula>$G$133</formula>
    </cfRule>
  </conditionalFormatting>
  <conditionalFormatting sqref="C2654:C2669">
    <cfRule type="containsText" dxfId="3570" priority="6563" operator="containsText" text="Short Buildup">
      <formula>NOT(ISERROR(SEARCH("Short Buildup",C2654)))</formula>
    </cfRule>
    <cfRule type="containsText" dxfId="3569" priority="6564" operator="containsText" text="Long Liquidation">
      <formula>NOT(ISERROR(SEARCH("Long Liquidation",C2654)))</formula>
    </cfRule>
    <cfRule type="containsText" dxfId="3568" priority="6565" operator="containsText" text="Short covering">
      <formula>NOT(ISERROR(SEARCH("Short covering",C2654)))</formula>
    </cfRule>
    <cfRule type="containsText" dxfId="3567" priority="6566" operator="containsText" text="Long Buildup">
      <formula>NOT(ISERROR(SEARCH("Long Buildup",C2654)))</formula>
    </cfRule>
  </conditionalFormatting>
  <conditionalFormatting sqref="H2670">
    <cfRule type="colorScale" priority="6558">
      <colorScale>
        <cfvo type="min"/>
        <cfvo type="percentile" val="20"/>
        <cfvo type="max"/>
        <color rgb="FF92D050"/>
        <color theme="5" tint="0.79998168889431442"/>
        <color rgb="FFFF0000"/>
      </colorScale>
    </cfRule>
    <cfRule type="colorScale" priority="6559">
      <colorScale>
        <cfvo type="min"/>
        <cfvo type="max"/>
        <color rgb="FFFF0000"/>
        <color rgb="FF92D050"/>
      </colorScale>
    </cfRule>
    <cfRule type="colorScale" priority="6560">
      <colorScale>
        <cfvo type="min"/>
        <cfvo type="percentile" val="50"/>
        <cfvo type="max"/>
        <color rgb="FF5A8AC6"/>
        <color rgb="FFFCFCFF"/>
        <color rgb="FFF8696B"/>
      </colorScale>
    </cfRule>
    <cfRule type="colorScale" priority="6561">
      <colorScale>
        <cfvo type="formula" val="&quot;&gt;20&quot;"/>
        <cfvo type="formula" val="35"/>
        <color rgb="FFF8696B"/>
        <color rgb="FFFCFCFF"/>
      </colorScale>
    </cfRule>
    <cfRule type="colorScale" priority="6562">
      <colorScale>
        <cfvo type="min"/>
        <cfvo type="max"/>
        <color rgb="FFFFEF9C"/>
        <color rgb="FF63BE7B"/>
      </colorScale>
    </cfRule>
  </conditionalFormatting>
  <conditionalFormatting sqref="N2670">
    <cfRule type="colorScale" priority="6553">
      <colorScale>
        <cfvo type="min"/>
        <cfvo type="percentile" val="20"/>
        <cfvo type="max"/>
        <color rgb="FF92D050"/>
        <color theme="5" tint="0.79998168889431442"/>
        <color rgb="FFFF0000"/>
      </colorScale>
    </cfRule>
    <cfRule type="colorScale" priority="6554">
      <colorScale>
        <cfvo type="min"/>
        <cfvo type="max"/>
        <color rgb="FFFF0000"/>
        <color rgb="FF92D050"/>
      </colorScale>
    </cfRule>
    <cfRule type="colorScale" priority="6555">
      <colorScale>
        <cfvo type="min"/>
        <cfvo type="percentile" val="50"/>
        <cfvo type="max"/>
        <color rgb="FF5A8AC6"/>
        <color rgb="FFFCFCFF"/>
        <color rgb="FFF8696B"/>
      </colorScale>
    </cfRule>
    <cfRule type="colorScale" priority="6556">
      <colorScale>
        <cfvo type="formula" val="&quot;&gt;20&quot;"/>
        <cfvo type="formula" val="35"/>
        <color rgb="FFF8696B"/>
        <color rgb="FFFCFCFF"/>
      </colorScale>
    </cfRule>
    <cfRule type="colorScale" priority="6557">
      <colorScale>
        <cfvo type="min"/>
        <cfvo type="max"/>
        <color rgb="FFFFEF9C"/>
        <color rgb="FF63BE7B"/>
      </colorScale>
    </cfRule>
  </conditionalFormatting>
  <conditionalFormatting sqref="S2654:S2670">
    <cfRule type="containsText" dxfId="3566" priority="6549" operator="containsText" text="Short Buildup">
      <formula>NOT(ISERROR(SEARCH("Short Buildup",S2654)))</formula>
    </cfRule>
    <cfRule type="containsText" dxfId="3565" priority="6550" operator="containsText" text="Long Liquidation">
      <formula>NOT(ISERROR(SEARCH("Long Liquidation",S2654)))</formula>
    </cfRule>
    <cfRule type="containsText" dxfId="3564" priority="6551" operator="containsText" text="Short covering">
      <formula>NOT(ISERROR(SEARCH("Short covering",S2654)))</formula>
    </cfRule>
    <cfRule type="containsText" dxfId="3563" priority="6552" operator="containsText" text="Long Buildup">
      <formula>NOT(ISERROR(SEARCH("Long Buildup",S2654)))</formula>
    </cfRule>
  </conditionalFormatting>
  <conditionalFormatting sqref="F2654:F2669">
    <cfRule type="dataBar" priority="6548">
      <dataBar>
        <cfvo type="min"/>
        <cfvo type="max"/>
        <color rgb="FFFF555A"/>
      </dataBar>
    </cfRule>
  </conditionalFormatting>
  <conditionalFormatting sqref="G2654:G2669">
    <cfRule type="dataBar" priority="6547">
      <dataBar>
        <cfvo type="min"/>
        <cfvo type="max"/>
        <color rgb="FFFF555A"/>
      </dataBar>
    </cfRule>
  </conditionalFormatting>
  <conditionalFormatting sqref="H2654">
    <cfRule type="dataBar" priority="6546">
      <dataBar>
        <cfvo type="min"/>
        <cfvo type="max"/>
        <color rgb="FFFF555A"/>
      </dataBar>
    </cfRule>
  </conditionalFormatting>
  <conditionalFormatting sqref="I2654">
    <cfRule type="dataBar" priority="6545">
      <dataBar>
        <cfvo type="min"/>
        <cfvo type="max"/>
        <color rgb="FFFF555A"/>
      </dataBar>
    </cfRule>
  </conditionalFormatting>
  <conditionalFormatting sqref="J2654">
    <cfRule type="dataBar" priority="6544">
      <dataBar>
        <cfvo type="min"/>
        <cfvo type="max"/>
        <color rgb="FFFF555A"/>
      </dataBar>
    </cfRule>
  </conditionalFormatting>
  <conditionalFormatting sqref="E2655:E2669">
    <cfRule type="dataBar" priority="6543">
      <dataBar>
        <cfvo type="min"/>
        <cfvo type="max"/>
        <color rgb="FFFF555A"/>
      </dataBar>
    </cfRule>
  </conditionalFormatting>
  <conditionalFormatting sqref="H2655:H2669">
    <cfRule type="dataBar" priority="6542">
      <dataBar>
        <cfvo type="min"/>
        <cfvo type="max"/>
        <color rgb="FFFF555A"/>
      </dataBar>
    </cfRule>
  </conditionalFormatting>
  <conditionalFormatting sqref="I2655:I2669">
    <cfRule type="dataBar" priority="6541">
      <dataBar>
        <cfvo type="min"/>
        <cfvo type="max"/>
        <color rgb="FFFF555A"/>
      </dataBar>
    </cfRule>
  </conditionalFormatting>
  <conditionalFormatting sqref="J2655:J2669">
    <cfRule type="dataBar" priority="6540">
      <dataBar>
        <cfvo type="min"/>
        <cfvo type="max"/>
        <color rgb="FFFF555A"/>
      </dataBar>
    </cfRule>
  </conditionalFormatting>
  <conditionalFormatting sqref="L2654:L2669">
    <cfRule type="dataBar" priority="6539">
      <dataBar>
        <cfvo type="min"/>
        <cfvo type="max"/>
        <color rgb="FFFF555A"/>
      </dataBar>
    </cfRule>
  </conditionalFormatting>
  <conditionalFormatting sqref="M2654:M2669">
    <cfRule type="dataBar" priority="6538">
      <dataBar>
        <cfvo type="min"/>
        <cfvo type="max"/>
        <color rgb="FFFF555A"/>
      </dataBar>
    </cfRule>
  </conditionalFormatting>
  <conditionalFormatting sqref="N2654:N2669">
    <cfRule type="dataBar" priority="6537">
      <dataBar>
        <cfvo type="min"/>
        <cfvo type="max"/>
        <color rgb="FFFF555A"/>
      </dataBar>
    </cfRule>
  </conditionalFormatting>
  <conditionalFormatting sqref="Q2654:Q2669">
    <cfRule type="dataBar" priority="6536">
      <dataBar>
        <cfvo type="min"/>
        <cfvo type="max"/>
        <color rgb="FFFF555A"/>
      </dataBar>
    </cfRule>
  </conditionalFormatting>
  <conditionalFormatting sqref="O2654:O2669">
    <cfRule type="dataBar" priority="6535">
      <dataBar>
        <cfvo type="min"/>
        <cfvo type="max"/>
        <color rgb="FFFF555A"/>
      </dataBar>
    </cfRule>
  </conditionalFormatting>
  <conditionalFormatting sqref="P2654:P2669">
    <cfRule type="dataBar" priority="6534">
      <dataBar>
        <cfvo type="min"/>
        <cfvo type="max"/>
        <color rgb="FFFF555A"/>
      </dataBar>
    </cfRule>
  </conditionalFormatting>
  <conditionalFormatting sqref="R2671:R2687 D2671:D2686 C2687">
    <cfRule type="containsText" dxfId="3562" priority="6533" operator="containsText" text="DOWN">
      <formula>NOT(ISERROR(SEARCH("DOWN",C2671)))</formula>
    </cfRule>
  </conditionalFormatting>
  <conditionalFormatting sqref="R2671:R2687 D2671:D2686 C2687">
    <cfRule type="containsText" dxfId="3561" priority="6532" operator="containsText" text="UP">
      <formula>NOT(ISERROR(SEARCH("UP",C2671)))</formula>
    </cfRule>
  </conditionalFormatting>
  <conditionalFormatting sqref="I2687">
    <cfRule type="colorScale" priority="6531">
      <colorScale>
        <cfvo type="min"/>
        <cfvo type="max"/>
        <color rgb="FFFFEF9C"/>
        <color rgb="FF63BE7B"/>
      </colorScale>
    </cfRule>
  </conditionalFormatting>
  <conditionalFormatting sqref="M2687">
    <cfRule type="colorScale" priority="6530">
      <colorScale>
        <cfvo type="min"/>
        <cfvo type="max"/>
        <color rgb="FFFF7128"/>
        <color rgb="FFFFEF9C"/>
      </colorScale>
    </cfRule>
  </conditionalFormatting>
  <conditionalFormatting sqref="Q2687">
    <cfRule type="dataBar" priority="6529">
      <dataBar>
        <cfvo type="min"/>
        <cfvo type="max"/>
        <color rgb="FFFF555A"/>
      </dataBar>
    </cfRule>
  </conditionalFormatting>
  <conditionalFormatting sqref="E2671:E2687">
    <cfRule type="dataBar" priority="6528">
      <dataBar>
        <cfvo type="min"/>
        <cfvo type="max"/>
        <color rgb="FFFF555A"/>
      </dataBar>
    </cfRule>
  </conditionalFormatting>
  <conditionalFormatting sqref="F2687">
    <cfRule type="top10" dxfId="3560" priority="6527" rank="1"/>
  </conditionalFormatting>
  <conditionalFormatting sqref="G2687 P2687">
    <cfRule type="cellIs" dxfId="3559" priority="6526" operator="equal">
      <formula>$G$135</formula>
    </cfRule>
  </conditionalFormatting>
  <conditionalFormatting sqref="P2687">
    <cfRule type="cellIs" dxfId="3558" priority="6525" operator="equal">
      <formula>$J$135</formula>
    </cfRule>
  </conditionalFormatting>
  <conditionalFormatting sqref="G2687 P2687">
    <cfRule type="cellIs" dxfId="3557" priority="6524" operator="equal">
      <formula>#REF!</formula>
    </cfRule>
  </conditionalFormatting>
  <conditionalFormatting sqref="G2687">
    <cfRule type="top10" dxfId="3556" priority="6522" rank="1"/>
    <cfRule type="cellIs" dxfId="3555" priority="6523" operator="equal">
      <formula>$G$133</formula>
    </cfRule>
  </conditionalFormatting>
  <conditionalFormatting sqref="P2687">
    <cfRule type="top10" dxfId="3554" priority="6520" rank="1"/>
    <cfRule type="cellIs" dxfId="3553" priority="6521" operator="equal">
      <formula>$G$133</formula>
    </cfRule>
  </conditionalFormatting>
  <conditionalFormatting sqref="C2671:C2686">
    <cfRule type="containsText" dxfId="3552" priority="6516" operator="containsText" text="Short Buildup">
      <formula>NOT(ISERROR(SEARCH("Short Buildup",C2671)))</formula>
    </cfRule>
    <cfRule type="containsText" dxfId="3551" priority="6517" operator="containsText" text="Long Liquidation">
      <formula>NOT(ISERROR(SEARCH("Long Liquidation",C2671)))</formula>
    </cfRule>
    <cfRule type="containsText" dxfId="3550" priority="6518" operator="containsText" text="Short covering">
      <formula>NOT(ISERROR(SEARCH("Short covering",C2671)))</formula>
    </cfRule>
    <cfRule type="containsText" dxfId="3549" priority="6519" operator="containsText" text="Long Buildup">
      <formula>NOT(ISERROR(SEARCH("Long Buildup",C2671)))</formula>
    </cfRule>
  </conditionalFormatting>
  <conditionalFormatting sqref="H2687">
    <cfRule type="colorScale" priority="6511">
      <colorScale>
        <cfvo type="min"/>
        <cfvo type="percentile" val="20"/>
        <cfvo type="max"/>
        <color rgb="FF92D050"/>
        <color theme="5" tint="0.79998168889431442"/>
        <color rgb="FFFF0000"/>
      </colorScale>
    </cfRule>
    <cfRule type="colorScale" priority="6512">
      <colorScale>
        <cfvo type="min"/>
        <cfvo type="max"/>
        <color rgb="FFFF0000"/>
        <color rgb="FF92D050"/>
      </colorScale>
    </cfRule>
    <cfRule type="colorScale" priority="6513">
      <colorScale>
        <cfvo type="min"/>
        <cfvo type="percentile" val="50"/>
        <cfvo type="max"/>
        <color rgb="FF5A8AC6"/>
        <color rgb="FFFCFCFF"/>
        <color rgb="FFF8696B"/>
      </colorScale>
    </cfRule>
    <cfRule type="colorScale" priority="6514">
      <colorScale>
        <cfvo type="formula" val="&quot;&gt;20&quot;"/>
        <cfvo type="formula" val="35"/>
        <color rgb="FFF8696B"/>
        <color rgb="FFFCFCFF"/>
      </colorScale>
    </cfRule>
    <cfRule type="colorScale" priority="6515">
      <colorScale>
        <cfvo type="min"/>
        <cfvo type="max"/>
        <color rgb="FFFFEF9C"/>
        <color rgb="FF63BE7B"/>
      </colorScale>
    </cfRule>
  </conditionalFormatting>
  <conditionalFormatting sqref="N2687">
    <cfRule type="colorScale" priority="6506">
      <colorScale>
        <cfvo type="min"/>
        <cfvo type="percentile" val="20"/>
        <cfvo type="max"/>
        <color rgb="FF92D050"/>
        <color theme="5" tint="0.79998168889431442"/>
        <color rgb="FFFF0000"/>
      </colorScale>
    </cfRule>
    <cfRule type="colorScale" priority="6507">
      <colorScale>
        <cfvo type="min"/>
        <cfvo type="max"/>
        <color rgb="FFFF0000"/>
        <color rgb="FF92D050"/>
      </colorScale>
    </cfRule>
    <cfRule type="colorScale" priority="6508">
      <colorScale>
        <cfvo type="min"/>
        <cfvo type="percentile" val="50"/>
        <cfvo type="max"/>
        <color rgb="FF5A8AC6"/>
        <color rgb="FFFCFCFF"/>
        <color rgb="FFF8696B"/>
      </colorScale>
    </cfRule>
    <cfRule type="colorScale" priority="6509">
      <colorScale>
        <cfvo type="formula" val="&quot;&gt;20&quot;"/>
        <cfvo type="formula" val="35"/>
        <color rgb="FFF8696B"/>
        <color rgb="FFFCFCFF"/>
      </colorScale>
    </cfRule>
    <cfRule type="colorScale" priority="6510">
      <colorScale>
        <cfvo type="min"/>
        <cfvo type="max"/>
        <color rgb="FFFFEF9C"/>
        <color rgb="FF63BE7B"/>
      </colorScale>
    </cfRule>
  </conditionalFormatting>
  <conditionalFormatting sqref="S2671:S2687">
    <cfRule type="containsText" dxfId="3548" priority="6502" operator="containsText" text="Short Buildup">
      <formula>NOT(ISERROR(SEARCH("Short Buildup",S2671)))</formula>
    </cfRule>
    <cfRule type="containsText" dxfId="3547" priority="6503" operator="containsText" text="Long Liquidation">
      <formula>NOT(ISERROR(SEARCH("Long Liquidation",S2671)))</formula>
    </cfRule>
    <cfRule type="containsText" dxfId="3546" priority="6504" operator="containsText" text="Short covering">
      <formula>NOT(ISERROR(SEARCH("Short covering",S2671)))</formula>
    </cfRule>
    <cfRule type="containsText" dxfId="3545" priority="6505" operator="containsText" text="Long Buildup">
      <formula>NOT(ISERROR(SEARCH("Long Buildup",S2671)))</formula>
    </cfRule>
  </conditionalFormatting>
  <conditionalFormatting sqref="F2671:F2686">
    <cfRule type="dataBar" priority="6501">
      <dataBar>
        <cfvo type="min"/>
        <cfvo type="max"/>
        <color rgb="FFFF555A"/>
      </dataBar>
    </cfRule>
  </conditionalFormatting>
  <conditionalFormatting sqref="G2671:G2686">
    <cfRule type="dataBar" priority="6500">
      <dataBar>
        <cfvo type="min"/>
        <cfvo type="max"/>
        <color rgb="FFFF555A"/>
      </dataBar>
    </cfRule>
  </conditionalFormatting>
  <conditionalFormatting sqref="H2671">
    <cfRule type="dataBar" priority="6499">
      <dataBar>
        <cfvo type="min"/>
        <cfvo type="max"/>
        <color rgb="FFFF555A"/>
      </dataBar>
    </cfRule>
  </conditionalFormatting>
  <conditionalFormatting sqref="I2671">
    <cfRule type="dataBar" priority="6498">
      <dataBar>
        <cfvo type="min"/>
        <cfvo type="max"/>
        <color rgb="FFFF555A"/>
      </dataBar>
    </cfRule>
  </conditionalFormatting>
  <conditionalFormatting sqref="J2671">
    <cfRule type="dataBar" priority="6497">
      <dataBar>
        <cfvo type="min"/>
        <cfvo type="max"/>
        <color rgb="FFFF555A"/>
      </dataBar>
    </cfRule>
  </conditionalFormatting>
  <conditionalFormatting sqref="E2672:E2686">
    <cfRule type="dataBar" priority="6496">
      <dataBar>
        <cfvo type="min"/>
        <cfvo type="max"/>
        <color rgb="FFFF555A"/>
      </dataBar>
    </cfRule>
  </conditionalFormatting>
  <conditionalFormatting sqref="H2672:H2686">
    <cfRule type="dataBar" priority="6495">
      <dataBar>
        <cfvo type="min"/>
        <cfvo type="max"/>
        <color rgb="FFFF555A"/>
      </dataBar>
    </cfRule>
  </conditionalFormatting>
  <conditionalFormatting sqref="I2672:I2686">
    <cfRule type="dataBar" priority="6494">
      <dataBar>
        <cfvo type="min"/>
        <cfvo type="max"/>
        <color rgb="FFFF555A"/>
      </dataBar>
    </cfRule>
  </conditionalFormatting>
  <conditionalFormatting sqref="J2672:J2686">
    <cfRule type="dataBar" priority="6493">
      <dataBar>
        <cfvo type="min"/>
        <cfvo type="max"/>
        <color rgb="FFFF555A"/>
      </dataBar>
    </cfRule>
  </conditionalFormatting>
  <conditionalFormatting sqref="L2671:L2686">
    <cfRule type="dataBar" priority="6492">
      <dataBar>
        <cfvo type="min"/>
        <cfvo type="max"/>
        <color rgb="FFFF555A"/>
      </dataBar>
    </cfRule>
  </conditionalFormatting>
  <conditionalFormatting sqref="M2671:M2686">
    <cfRule type="dataBar" priority="6491">
      <dataBar>
        <cfvo type="min"/>
        <cfvo type="max"/>
        <color rgb="FFFF555A"/>
      </dataBar>
    </cfRule>
  </conditionalFormatting>
  <conditionalFormatting sqref="N2671:N2686">
    <cfRule type="dataBar" priority="6490">
      <dataBar>
        <cfvo type="min"/>
        <cfvo type="max"/>
        <color rgb="FFFF555A"/>
      </dataBar>
    </cfRule>
  </conditionalFormatting>
  <conditionalFormatting sqref="Q2671:Q2686">
    <cfRule type="dataBar" priority="6489">
      <dataBar>
        <cfvo type="min"/>
        <cfvo type="max"/>
        <color rgb="FFFF555A"/>
      </dataBar>
    </cfRule>
  </conditionalFormatting>
  <conditionalFormatting sqref="O2671:O2686">
    <cfRule type="dataBar" priority="6488">
      <dataBar>
        <cfvo type="min"/>
        <cfvo type="max"/>
        <color rgb="FFFF555A"/>
      </dataBar>
    </cfRule>
  </conditionalFormatting>
  <conditionalFormatting sqref="P2671:P2686">
    <cfRule type="dataBar" priority="6487">
      <dataBar>
        <cfvo type="min"/>
        <cfvo type="max"/>
        <color rgb="FFFF555A"/>
      </dataBar>
    </cfRule>
  </conditionalFormatting>
  <conditionalFormatting sqref="R2688:R2704 D2688:D2703 C2704">
    <cfRule type="containsText" dxfId="3544" priority="6486" operator="containsText" text="DOWN">
      <formula>NOT(ISERROR(SEARCH("DOWN",C2688)))</formula>
    </cfRule>
  </conditionalFormatting>
  <conditionalFormatting sqref="R2688:R2704 D2688:D2703 C2704">
    <cfRule type="containsText" dxfId="3543" priority="6485" operator="containsText" text="UP">
      <formula>NOT(ISERROR(SEARCH("UP",C2688)))</formula>
    </cfRule>
  </conditionalFormatting>
  <conditionalFormatting sqref="I2704">
    <cfRule type="colorScale" priority="6484">
      <colorScale>
        <cfvo type="min"/>
        <cfvo type="max"/>
        <color rgb="FFFFEF9C"/>
        <color rgb="FF63BE7B"/>
      </colorScale>
    </cfRule>
  </conditionalFormatting>
  <conditionalFormatting sqref="M2704">
    <cfRule type="colorScale" priority="6483">
      <colorScale>
        <cfvo type="min"/>
        <cfvo type="max"/>
        <color rgb="FFFF7128"/>
        <color rgb="FFFFEF9C"/>
      </colorScale>
    </cfRule>
  </conditionalFormatting>
  <conditionalFormatting sqref="Q2704">
    <cfRule type="dataBar" priority="6482">
      <dataBar>
        <cfvo type="min"/>
        <cfvo type="max"/>
        <color rgb="FFFF555A"/>
      </dataBar>
    </cfRule>
  </conditionalFormatting>
  <conditionalFormatting sqref="E2688:E2704">
    <cfRule type="dataBar" priority="6481">
      <dataBar>
        <cfvo type="min"/>
        <cfvo type="max"/>
        <color rgb="FFFF555A"/>
      </dataBar>
    </cfRule>
  </conditionalFormatting>
  <conditionalFormatting sqref="F2704">
    <cfRule type="top10" dxfId="3542" priority="6480" rank="1"/>
  </conditionalFormatting>
  <conditionalFormatting sqref="G2704 P2704">
    <cfRule type="cellIs" dxfId="3541" priority="6479" operator="equal">
      <formula>$G$135</formula>
    </cfRule>
  </conditionalFormatting>
  <conditionalFormatting sqref="P2704">
    <cfRule type="cellIs" dxfId="3540" priority="6478" operator="equal">
      <formula>$J$135</formula>
    </cfRule>
  </conditionalFormatting>
  <conditionalFormatting sqref="G2704 P2704">
    <cfRule type="cellIs" dxfId="3539" priority="6477" operator="equal">
      <formula>#REF!</formula>
    </cfRule>
  </conditionalFormatting>
  <conditionalFormatting sqref="G2704">
    <cfRule type="top10" dxfId="3538" priority="6475" rank="1"/>
    <cfRule type="cellIs" dxfId="3537" priority="6476" operator="equal">
      <formula>$G$133</formula>
    </cfRule>
  </conditionalFormatting>
  <conditionalFormatting sqref="P2704">
    <cfRule type="top10" dxfId="3536" priority="6473" rank="1"/>
    <cfRule type="cellIs" dxfId="3535" priority="6474" operator="equal">
      <formula>$G$133</formula>
    </cfRule>
  </conditionalFormatting>
  <conditionalFormatting sqref="C2688:C2703">
    <cfRule type="containsText" dxfId="3534" priority="6469" operator="containsText" text="Short Buildup">
      <formula>NOT(ISERROR(SEARCH("Short Buildup",C2688)))</formula>
    </cfRule>
    <cfRule type="containsText" dxfId="3533" priority="6470" operator="containsText" text="Long Liquidation">
      <formula>NOT(ISERROR(SEARCH("Long Liquidation",C2688)))</formula>
    </cfRule>
    <cfRule type="containsText" dxfId="3532" priority="6471" operator="containsText" text="Short covering">
      <formula>NOT(ISERROR(SEARCH("Short covering",C2688)))</formula>
    </cfRule>
    <cfRule type="containsText" dxfId="3531" priority="6472" operator="containsText" text="Long Buildup">
      <formula>NOT(ISERROR(SEARCH("Long Buildup",C2688)))</formula>
    </cfRule>
  </conditionalFormatting>
  <conditionalFormatting sqref="H2704">
    <cfRule type="colorScale" priority="6464">
      <colorScale>
        <cfvo type="min"/>
        <cfvo type="percentile" val="20"/>
        <cfvo type="max"/>
        <color rgb="FF92D050"/>
        <color theme="5" tint="0.79998168889431442"/>
        <color rgb="FFFF0000"/>
      </colorScale>
    </cfRule>
    <cfRule type="colorScale" priority="6465">
      <colorScale>
        <cfvo type="min"/>
        <cfvo type="max"/>
        <color rgb="FFFF0000"/>
        <color rgb="FF92D050"/>
      </colorScale>
    </cfRule>
    <cfRule type="colorScale" priority="6466">
      <colorScale>
        <cfvo type="min"/>
        <cfvo type="percentile" val="50"/>
        <cfvo type="max"/>
        <color rgb="FF5A8AC6"/>
        <color rgb="FFFCFCFF"/>
        <color rgb="FFF8696B"/>
      </colorScale>
    </cfRule>
    <cfRule type="colorScale" priority="6467">
      <colorScale>
        <cfvo type="formula" val="&quot;&gt;20&quot;"/>
        <cfvo type="formula" val="35"/>
        <color rgb="FFF8696B"/>
        <color rgb="FFFCFCFF"/>
      </colorScale>
    </cfRule>
    <cfRule type="colorScale" priority="6468">
      <colorScale>
        <cfvo type="min"/>
        <cfvo type="max"/>
        <color rgb="FFFFEF9C"/>
        <color rgb="FF63BE7B"/>
      </colorScale>
    </cfRule>
  </conditionalFormatting>
  <conditionalFormatting sqref="N2704">
    <cfRule type="colorScale" priority="6459">
      <colorScale>
        <cfvo type="min"/>
        <cfvo type="percentile" val="20"/>
        <cfvo type="max"/>
        <color rgb="FF92D050"/>
        <color theme="5" tint="0.79998168889431442"/>
        <color rgb="FFFF0000"/>
      </colorScale>
    </cfRule>
    <cfRule type="colorScale" priority="6460">
      <colorScale>
        <cfvo type="min"/>
        <cfvo type="max"/>
        <color rgb="FFFF0000"/>
        <color rgb="FF92D050"/>
      </colorScale>
    </cfRule>
    <cfRule type="colorScale" priority="6461">
      <colorScale>
        <cfvo type="min"/>
        <cfvo type="percentile" val="50"/>
        <cfvo type="max"/>
        <color rgb="FF5A8AC6"/>
        <color rgb="FFFCFCFF"/>
        <color rgb="FFF8696B"/>
      </colorScale>
    </cfRule>
    <cfRule type="colorScale" priority="6462">
      <colorScale>
        <cfvo type="formula" val="&quot;&gt;20&quot;"/>
        <cfvo type="formula" val="35"/>
        <color rgb="FFF8696B"/>
        <color rgb="FFFCFCFF"/>
      </colorScale>
    </cfRule>
    <cfRule type="colorScale" priority="6463">
      <colorScale>
        <cfvo type="min"/>
        <cfvo type="max"/>
        <color rgb="FFFFEF9C"/>
        <color rgb="FF63BE7B"/>
      </colorScale>
    </cfRule>
  </conditionalFormatting>
  <conditionalFormatting sqref="S2688:S2704">
    <cfRule type="containsText" dxfId="3530" priority="6455" operator="containsText" text="Short Buildup">
      <formula>NOT(ISERROR(SEARCH("Short Buildup",S2688)))</formula>
    </cfRule>
    <cfRule type="containsText" dxfId="3529" priority="6456" operator="containsText" text="Long Liquidation">
      <formula>NOT(ISERROR(SEARCH("Long Liquidation",S2688)))</formula>
    </cfRule>
    <cfRule type="containsText" dxfId="3528" priority="6457" operator="containsText" text="Short covering">
      <formula>NOT(ISERROR(SEARCH("Short covering",S2688)))</formula>
    </cfRule>
    <cfRule type="containsText" dxfId="3527" priority="6458" operator="containsText" text="Long Buildup">
      <formula>NOT(ISERROR(SEARCH("Long Buildup",S2688)))</formula>
    </cfRule>
  </conditionalFormatting>
  <conditionalFormatting sqref="F2688:F2703">
    <cfRule type="dataBar" priority="6454">
      <dataBar>
        <cfvo type="min"/>
        <cfvo type="max"/>
        <color rgb="FFFF555A"/>
      </dataBar>
    </cfRule>
  </conditionalFormatting>
  <conditionalFormatting sqref="G2688:G2703">
    <cfRule type="dataBar" priority="6453">
      <dataBar>
        <cfvo type="min"/>
        <cfvo type="max"/>
        <color rgb="FFFF555A"/>
      </dataBar>
    </cfRule>
  </conditionalFormatting>
  <conditionalFormatting sqref="H2688">
    <cfRule type="dataBar" priority="6452">
      <dataBar>
        <cfvo type="min"/>
        <cfvo type="max"/>
        <color rgb="FFFF555A"/>
      </dataBar>
    </cfRule>
  </conditionalFormatting>
  <conditionalFormatting sqref="I2688">
    <cfRule type="dataBar" priority="6451">
      <dataBar>
        <cfvo type="min"/>
        <cfvo type="max"/>
        <color rgb="FFFF555A"/>
      </dataBar>
    </cfRule>
  </conditionalFormatting>
  <conditionalFormatting sqref="J2688">
    <cfRule type="dataBar" priority="6450">
      <dataBar>
        <cfvo type="min"/>
        <cfvo type="max"/>
        <color rgb="FFFF555A"/>
      </dataBar>
    </cfRule>
  </conditionalFormatting>
  <conditionalFormatting sqref="E2689:E2703">
    <cfRule type="dataBar" priority="6449">
      <dataBar>
        <cfvo type="min"/>
        <cfvo type="max"/>
        <color rgb="FFFF555A"/>
      </dataBar>
    </cfRule>
  </conditionalFormatting>
  <conditionalFormatting sqref="H2689:H2703">
    <cfRule type="dataBar" priority="6448">
      <dataBar>
        <cfvo type="min"/>
        <cfvo type="max"/>
        <color rgb="FFFF555A"/>
      </dataBar>
    </cfRule>
  </conditionalFormatting>
  <conditionalFormatting sqref="I2689:I2703">
    <cfRule type="dataBar" priority="6447">
      <dataBar>
        <cfvo type="min"/>
        <cfvo type="max"/>
        <color rgb="FFFF555A"/>
      </dataBar>
    </cfRule>
  </conditionalFormatting>
  <conditionalFormatting sqref="J2689:J2703">
    <cfRule type="dataBar" priority="6446">
      <dataBar>
        <cfvo type="min"/>
        <cfvo type="max"/>
        <color rgb="FFFF555A"/>
      </dataBar>
    </cfRule>
  </conditionalFormatting>
  <conditionalFormatting sqref="L2688:L2703">
    <cfRule type="dataBar" priority="6445">
      <dataBar>
        <cfvo type="min"/>
        <cfvo type="max"/>
        <color rgb="FFFF555A"/>
      </dataBar>
    </cfRule>
  </conditionalFormatting>
  <conditionalFormatting sqref="M2688:M2703">
    <cfRule type="dataBar" priority="6444">
      <dataBar>
        <cfvo type="min"/>
        <cfvo type="max"/>
        <color rgb="FFFF555A"/>
      </dataBar>
    </cfRule>
  </conditionalFormatting>
  <conditionalFormatting sqref="N2688:N2703">
    <cfRule type="dataBar" priority="6443">
      <dataBar>
        <cfvo type="min"/>
        <cfvo type="max"/>
        <color rgb="FFFF555A"/>
      </dataBar>
    </cfRule>
  </conditionalFormatting>
  <conditionalFormatting sqref="Q2688:Q2703">
    <cfRule type="dataBar" priority="6442">
      <dataBar>
        <cfvo type="min"/>
        <cfvo type="max"/>
        <color rgb="FFFF555A"/>
      </dataBar>
    </cfRule>
  </conditionalFormatting>
  <conditionalFormatting sqref="O2688:O2703">
    <cfRule type="dataBar" priority="6441">
      <dataBar>
        <cfvo type="min"/>
        <cfvo type="max"/>
        <color rgb="FFFF555A"/>
      </dataBar>
    </cfRule>
  </conditionalFormatting>
  <conditionalFormatting sqref="P2688:P2703">
    <cfRule type="dataBar" priority="6440">
      <dataBar>
        <cfvo type="min"/>
        <cfvo type="max"/>
        <color rgb="FFFF555A"/>
      </dataBar>
    </cfRule>
  </conditionalFormatting>
  <conditionalFormatting sqref="R2705:R2721 D2705:D2720 C2721">
    <cfRule type="containsText" dxfId="3526" priority="6439" operator="containsText" text="DOWN">
      <formula>NOT(ISERROR(SEARCH("DOWN",C2705)))</formula>
    </cfRule>
  </conditionalFormatting>
  <conditionalFormatting sqref="R2705:R2721 D2705:D2720 C2721">
    <cfRule type="containsText" dxfId="3525" priority="6438" operator="containsText" text="UP">
      <formula>NOT(ISERROR(SEARCH("UP",C2705)))</formula>
    </cfRule>
  </conditionalFormatting>
  <conditionalFormatting sqref="I2721">
    <cfRule type="colorScale" priority="6437">
      <colorScale>
        <cfvo type="min"/>
        <cfvo type="max"/>
        <color rgb="FFFFEF9C"/>
        <color rgb="FF63BE7B"/>
      </colorScale>
    </cfRule>
  </conditionalFormatting>
  <conditionalFormatting sqref="M2721">
    <cfRule type="colorScale" priority="6436">
      <colorScale>
        <cfvo type="min"/>
        <cfvo type="max"/>
        <color rgb="FFFF7128"/>
        <color rgb="FFFFEF9C"/>
      </colorScale>
    </cfRule>
  </conditionalFormatting>
  <conditionalFormatting sqref="Q2721">
    <cfRule type="dataBar" priority="6435">
      <dataBar>
        <cfvo type="min"/>
        <cfvo type="max"/>
        <color rgb="FFFF555A"/>
      </dataBar>
    </cfRule>
  </conditionalFormatting>
  <conditionalFormatting sqref="E2705:E2721">
    <cfRule type="dataBar" priority="6434">
      <dataBar>
        <cfvo type="min"/>
        <cfvo type="max"/>
        <color rgb="FFFF555A"/>
      </dataBar>
    </cfRule>
  </conditionalFormatting>
  <conditionalFormatting sqref="F2721">
    <cfRule type="top10" dxfId="3524" priority="6433" rank="1"/>
  </conditionalFormatting>
  <conditionalFormatting sqref="G2721 P2721">
    <cfRule type="cellIs" dxfId="3523" priority="6432" operator="equal">
      <formula>$G$135</formula>
    </cfRule>
  </conditionalFormatting>
  <conditionalFormatting sqref="P2721">
    <cfRule type="cellIs" dxfId="3522" priority="6431" operator="equal">
      <formula>$J$135</formula>
    </cfRule>
  </conditionalFormatting>
  <conditionalFormatting sqref="G2721 P2721">
    <cfRule type="cellIs" dxfId="3521" priority="6430" operator="equal">
      <formula>#REF!</formula>
    </cfRule>
  </conditionalFormatting>
  <conditionalFormatting sqref="G2721">
    <cfRule type="top10" dxfId="3520" priority="6428" rank="1"/>
    <cfRule type="cellIs" dxfId="3519" priority="6429" operator="equal">
      <formula>$G$133</formula>
    </cfRule>
  </conditionalFormatting>
  <conditionalFormatting sqref="P2721">
    <cfRule type="top10" dxfId="3518" priority="6426" rank="1"/>
    <cfRule type="cellIs" dxfId="3517" priority="6427" operator="equal">
      <formula>$G$133</formula>
    </cfRule>
  </conditionalFormatting>
  <conditionalFormatting sqref="C2705:C2720">
    <cfRule type="containsText" dxfId="3516" priority="6422" operator="containsText" text="Short Buildup">
      <formula>NOT(ISERROR(SEARCH("Short Buildup",C2705)))</formula>
    </cfRule>
    <cfRule type="containsText" dxfId="3515" priority="6423" operator="containsText" text="Long Liquidation">
      <formula>NOT(ISERROR(SEARCH("Long Liquidation",C2705)))</formula>
    </cfRule>
    <cfRule type="containsText" dxfId="3514" priority="6424" operator="containsText" text="Short covering">
      <formula>NOT(ISERROR(SEARCH("Short covering",C2705)))</formula>
    </cfRule>
    <cfRule type="containsText" dxfId="3513" priority="6425" operator="containsText" text="Long Buildup">
      <formula>NOT(ISERROR(SEARCH("Long Buildup",C2705)))</formula>
    </cfRule>
  </conditionalFormatting>
  <conditionalFormatting sqref="H2721">
    <cfRule type="colorScale" priority="6417">
      <colorScale>
        <cfvo type="min"/>
        <cfvo type="percentile" val="20"/>
        <cfvo type="max"/>
        <color rgb="FF92D050"/>
        <color theme="5" tint="0.79998168889431442"/>
        <color rgb="FFFF0000"/>
      </colorScale>
    </cfRule>
    <cfRule type="colorScale" priority="6418">
      <colorScale>
        <cfvo type="min"/>
        <cfvo type="max"/>
        <color rgb="FFFF0000"/>
        <color rgb="FF92D050"/>
      </colorScale>
    </cfRule>
    <cfRule type="colorScale" priority="6419">
      <colorScale>
        <cfvo type="min"/>
        <cfvo type="percentile" val="50"/>
        <cfvo type="max"/>
        <color rgb="FF5A8AC6"/>
        <color rgb="FFFCFCFF"/>
        <color rgb="FFF8696B"/>
      </colorScale>
    </cfRule>
    <cfRule type="colorScale" priority="6420">
      <colorScale>
        <cfvo type="formula" val="&quot;&gt;20&quot;"/>
        <cfvo type="formula" val="35"/>
        <color rgb="FFF8696B"/>
        <color rgb="FFFCFCFF"/>
      </colorScale>
    </cfRule>
    <cfRule type="colorScale" priority="6421">
      <colorScale>
        <cfvo type="min"/>
        <cfvo type="max"/>
        <color rgb="FFFFEF9C"/>
        <color rgb="FF63BE7B"/>
      </colorScale>
    </cfRule>
  </conditionalFormatting>
  <conditionalFormatting sqref="N2721">
    <cfRule type="colorScale" priority="6412">
      <colorScale>
        <cfvo type="min"/>
        <cfvo type="percentile" val="20"/>
        <cfvo type="max"/>
        <color rgb="FF92D050"/>
        <color theme="5" tint="0.79998168889431442"/>
        <color rgb="FFFF0000"/>
      </colorScale>
    </cfRule>
    <cfRule type="colorScale" priority="6413">
      <colorScale>
        <cfvo type="min"/>
        <cfvo type="max"/>
        <color rgb="FFFF0000"/>
        <color rgb="FF92D050"/>
      </colorScale>
    </cfRule>
    <cfRule type="colorScale" priority="6414">
      <colorScale>
        <cfvo type="min"/>
        <cfvo type="percentile" val="50"/>
        <cfvo type="max"/>
        <color rgb="FF5A8AC6"/>
        <color rgb="FFFCFCFF"/>
        <color rgb="FFF8696B"/>
      </colorScale>
    </cfRule>
    <cfRule type="colorScale" priority="6415">
      <colorScale>
        <cfvo type="formula" val="&quot;&gt;20&quot;"/>
        <cfvo type="formula" val="35"/>
        <color rgb="FFF8696B"/>
        <color rgb="FFFCFCFF"/>
      </colorScale>
    </cfRule>
    <cfRule type="colorScale" priority="6416">
      <colorScale>
        <cfvo type="min"/>
        <cfvo type="max"/>
        <color rgb="FFFFEF9C"/>
        <color rgb="FF63BE7B"/>
      </colorScale>
    </cfRule>
  </conditionalFormatting>
  <conditionalFormatting sqref="S2705:S2721">
    <cfRule type="containsText" dxfId="3512" priority="6408" operator="containsText" text="Short Buildup">
      <formula>NOT(ISERROR(SEARCH("Short Buildup",S2705)))</formula>
    </cfRule>
    <cfRule type="containsText" dxfId="3511" priority="6409" operator="containsText" text="Long Liquidation">
      <formula>NOT(ISERROR(SEARCH("Long Liquidation",S2705)))</formula>
    </cfRule>
    <cfRule type="containsText" dxfId="3510" priority="6410" operator="containsText" text="Short covering">
      <formula>NOT(ISERROR(SEARCH("Short covering",S2705)))</formula>
    </cfRule>
    <cfRule type="containsText" dxfId="3509" priority="6411" operator="containsText" text="Long Buildup">
      <formula>NOT(ISERROR(SEARCH("Long Buildup",S2705)))</formula>
    </cfRule>
  </conditionalFormatting>
  <conditionalFormatting sqref="F2705:F2720">
    <cfRule type="dataBar" priority="6407">
      <dataBar>
        <cfvo type="min"/>
        <cfvo type="max"/>
        <color rgb="FFFF555A"/>
      </dataBar>
    </cfRule>
  </conditionalFormatting>
  <conditionalFormatting sqref="G2705:G2720">
    <cfRule type="dataBar" priority="6406">
      <dataBar>
        <cfvo type="min"/>
        <cfvo type="max"/>
        <color rgb="FFFF555A"/>
      </dataBar>
    </cfRule>
  </conditionalFormatting>
  <conditionalFormatting sqref="H2705">
    <cfRule type="dataBar" priority="6405">
      <dataBar>
        <cfvo type="min"/>
        <cfvo type="max"/>
        <color rgb="FFFF555A"/>
      </dataBar>
    </cfRule>
  </conditionalFormatting>
  <conditionalFormatting sqref="I2705">
    <cfRule type="dataBar" priority="6404">
      <dataBar>
        <cfvo type="min"/>
        <cfvo type="max"/>
        <color rgb="FFFF555A"/>
      </dataBar>
    </cfRule>
  </conditionalFormatting>
  <conditionalFormatting sqref="J2705">
    <cfRule type="dataBar" priority="6403">
      <dataBar>
        <cfvo type="min"/>
        <cfvo type="max"/>
        <color rgb="FFFF555A"/>
      </dataBar>
    </cfRule>
  </conditionalFormatting>
  <conditionalFormatting sqref="E2706:E2720">
    <cfRule type="dataBar" priority="6402">
      <dataBar>
        <cfvo type="min"/>
        <cfvo type="max"/>
        <color rgb="FFFF555A"/>
      </dataBar>
    </cfRule>
  </conditionalFormatting>
  <conditionalFormatting sqref="H2706:H2720">
    <cfRule type="dataBar" priority="6401">
      <dataBar>
        <cfvo type="min"/>
        <cfvo type="max"/>
        <color rgb="FFFF555A"/>
      </dataBar>
    </cfRule>
  </conditionalFormatting>
  <conditionalFormatting sqref="I2706:I2720">
    <cfRule type="dataBar" priority="6400">
      <dataBar>
        <cfvo type="min"/>
        <cfvo type="max"/>
        <color rgb="FFFF555A"/>
      </dataBar>
    </cfRule>
  </conditionalFormatting>
  <conditionalFormatting sqref="J2706:J2720">
    <cfRule type="dataBar" priority="6399">
      <dataBar>
        <cfvo type="min"/>
        <cfvo type="max"/>
        <color rgb="FFFF555A"/>
      </dataBar>
    </cfRule>
  </conditionalFormatting>
  <conditionalFormatting sqref="L2705:L2720">
    <cfRule type="dataBar" priority="6398">
      <dataBar>
        <cfvo type="min"/>
        <cfvo type="max"/>
        <color rgb="FFFF555A"/>
      </dataBar>
    </cfRule>
  </conditionalFormatting>
  <conditionalFormatting sqref="M2705:M2720">
    <cfRule type="dataBar" priority="6397">
      <dataBar>
        <cfvo type="min"/>
        <cfvo type="max"/>
        <color rgb="FFFF555A"/>
      </dataBar>
    </cfRule>
  </conditionalFormatting>
  <conditionalFormatting sqref="N2705:N2720">
    <cfRule type="dataBar" priority="6396">
      <dataBar>
        <cfvo type="min"/>
        <cfvo type="max"/>
        <color rgb="FFFF555A"/>
      </dataBar>
    </cfRule>
  </conditionalFormatting>
  <conditionalFormatting sqref="Q2705:Q2720">
    <cfRule type="dataBar" priority="6395">
      <dataBar>
        <cfvo type="min"/>
        <cfvo type="max"/>
        <color rgb="FFFF555A"/>
      </dataBar>
    </cfRule>
  </conditionalFormatting>
  <conditionalFormatting sqref="O2705:O2720">
    <cfRule type="dataBar" priority="6394">
      <dataBar>
        <cfvo type="min"/>
        <cfvo type="max"/>
        <color rgb="FFFF555A"/>
      </dataBar>
    </cfRule>
  </conditionalFormatting>
  <conditionalFormatting sqref="P2705:P2720">
    <cfRule type="dataBar" priority="6393">
      <dataBar>
        <cfvo type="min"/>
        <cfvo type="max"/>
        <color rgb="FFFF555A"/>
      </dataBar>
    </cfRule>
  </conditionalFormatting>
  <conditionalFormatting sqref="R2722:R2738 D2722:D2737 C2738">
    <cfRule type="containsText" dxfId="3508" priority="6392" operator="containsText" text="DOWN">
      <formula>NOT(ISERROR(SEARCH("DOWN",C2722)))</formula>
    </cfRule>
  </conditionalFormatting>
  <conditionalFormatting sqref="R2722:R2738 D2722:D2737 C2738">
    <cfRule type="containsText" dxfId="3507" priority="6391" operator="containsText" text="UP">
      <formula>NOT(ISERROR(SEARCH("UP",C2722)))</formula>
    </cfRule>
  </conditionalFormatting>
  <conditionalFormatting sqref="I2738">
    <cfRule type="colorScale" priority="6390">
      <colorScale>
        <cfvo type="min"/>
        <cfvo type="max"/>
        <color rgb="FFFFEF9C"/>
        <color rgb="FF63BE7B"/>
      </colorScale>
    </cfRule>
  </conditionalFormatting>
  <conditionalFormatting sqref="M2738">
    <cfRule type="colorScale" priority="6389">
      <colorScale>
        <cfvo type="min"/>
        <cfvo type="max"/>
        <color rgb="FFFF7128"/>
        <color rgb="FFFFEF9C"/>
      </colorScale>
    </cfRule>
  </conditionalFormatting>
  <conditionalFormatting sqref="Q2738">
    <cfRule type="dataBar" priority="6388">
      <dataBar>
        <cfvo type="min"/>
        <cfvo type="max"/>
        <color rgb="FFFF555A"/>
      </dataBar>
    </cfRule>
  </conditionalFormatting>
  <conditionalFormatting sqref="E2722:E2738">
    <cfRule type="dataBar" priority="6387">
      <dataBar>
        <cfvo type="min"/>
        <cfvo type="max"/>
        <color rgb="FFFF555A"/>
      </dataBar>
    </cfRule>
  </conditionalFormatting>
  <conditionalFormatting sqref="F2738">
    <cfRule type="top10" dxfId="3506" priority="6386" rank="1"/>
  </conditionalFormatting>
  <conditionalFormatting sqref="G2738 P2738">
    <cfRule type="cellIs" dxfId="3505" priority="6385" operator="equal">
      <formula>$G$135</formula>
    </cfRule>
  </conditionalFormatting>
  <conditionalFormatting sqref="P2738">
    <cfRule type="cellIs" dxfId="3504" priority="6384" operator="equal">
      <formula>$J$135</formula>
    </cfRule>
  </conditionalFormatting>
  <conditionalFormatting sqref="G2738 P2738">
    <cfRule type="cellIs" dxfId="3503" priority="6383" operator="equal">
      <formula>#REF!</formula>
    </cfRule>
  </conditionalFormatting>
  <conditionalFormatting sqref="G2738">
    <cfRule type="top10" dxfId="3502" priority="6381" rank="1"/>
    <cfRule type="cellIs" dxfId="3501" priority="6382" operator="equal">
      <formula>$G$133</formula>
    </cfRule>
  </conditionalFormatting>
  <conditionalFormatting sqref="P2738">
    <cfRule type="top10" dxfId="3500" priority="6379" rank="1"/>
    <cfRule type="cellIs" dxfId="3499" priority="6380" operator="equal">
      <formula>$G$133</formula>
    </cfRule>
  </conditionalFormatting>
  <conditionalFormatting sqref="C2722:C2737">
    <cfRule type="containsText" dxfId="3498" priority="6375" operator="containsText" text="Short Buildup">
      <formula>NOT(ISERROR(SEARCH("Short Buildup",C2722)))</formula>
    </cfRule>
    <cfRule type="containsText" dxfId="3497" priority="6376" operator="containsText" text="Long Liquidation">
      <formula>NOT(ISERROR(SEARCH("Long Liquidation",C2722)))</formula>
    </cfRule>
    <cfRule type="containsText" dxfId="3496" priority="6377" operator="containsText" text="Short covering">
      <formula>NOT(ISERROR(SEARCH("Short covering",C2722)))</formula>
    </cfRule>
    <cfRule type="containsText" dxfId="3495" priority="6378" operator="containsText" text="Long Buildup">
      <formula>NOT(ISERROR(SEARCH("Long Buildup",C2722)))</formula>
    </cfRule>
  </conditionalFormatting>
  <conditionalFormatting sqref="H2738">
    <cfRule type="colorScale" priority="6370">
      <colorScale>
        <cfvo type="min"/>
        <cfvo type="percentile" val="20"/>
        <cfvo type="max"/>
        <color rgb="FF92D050"/>
        <color theme="5" tint="0.79998168889431442"/>
        <color rgb="FFFF0000"/>
      </colorScale>
    </cfRule>
    <cfRule type="colorScale" priority="6371">
      <colorScale>
        <cfvo type="min"/>
        <cfvo type="max"/>
        <color rgb="FFFF0000"/>
        <color rgb="FF92D050"/>
      </colorScale>
    </cfRule>
    <cfRule type="colorScale" priority="6372">
      <colorScale>
        <cfvo type="min"/>
        <cfvo type="percentile" val="50"/>
        <cfvo type="max"/>
        <color rgb="FF5A8AC6"/>
        <color rgb="FFFCFCFF"/>
        <color rgb="FFF8696B"/>
      </colorScale>
    </cfRule>
    <cfRule type="colorScale" priority="6373">
      <colorScale>
        <cfvo type="formula" val="&quot;&gt;20&quot;"/>
        <cfvo type="formula" val="35"/>
        <color rgb="FFF8696B"/>
        <color rgb="FFFCFCFF"/>
      </colorScale>
    </cfRule>
    <cfRule type="colorScale" priority="6374">
      <colorScale>
        <cfvo type="min"/>
        <cfvo type="max"/>
        <color rgb="FFFFEF9C"/>
        <color rgb="FF63BE7B"/>
      </colorScale>
    </cfRule>
  </conditionalFormatting>
  <conditionalFormatting sqref="N2738">
    <cfRule type="colorScale" priority="6365">
      <colorScale>
        <cfvo type="min"/>
        <cfvo type="percentile" val="20"/>
        <cfvo type="max"/>
        <color rgb="FF92D050"/>
        <color theme="5" tint="0.79998168889431442"/>
        <color rgb="FFFF0000"/>
      </colorScale>
    </cfRule>
    <cfRule type="colorScale" priority="6366">
      <colorScale>
        <cfvo type="min"/>
        <cfvo type="max"/>
        <color rgb="FFFF0000"/>
        <color rgb="FF92D050"/>
      </colorScale>
    </cfRule>
    <cfRule type="colorScale" priority="6367">
      <colorScale>
        <cfvo type="min"/>
        <cfvo type="percentile" val="50"/>
        <cfvo type="max"/>
        <color rgb="FF5A8AC6"/>
        <color rgb="FFFCFCFF"/>
        <color rgb="FFF8696B"/>
      </colorScale>
    </cfRule>
    <cfRule type="colorScale" priority="6368">
      <colorScale>
        <cfvo type="formula" val="&quot;&gt;20&quot;"/>
        <cfvo type="formula" val="35"/>
        <color rgb="FFF8696B"/>
        <color rgb="FFFCFCFF"/>
      </colorScale>
    </cfRule>
    <cfRule type="colorScale" priority="6369">
      <colorScale>
        <cfvo type="min"/>
        <cfvo type="max"/>
        <color rgb="FFFFEF9C"/>
        <color rgb="FF63BE7B"/>
      </colorScale>
    </cfRule>
  </conditionalFormatting>
  <conditionalFormatting sqref="S2722:S2738">
    <cfRule type="containsText" dxfId="3494" priority="6361" operator="containsText" text="Short Buildup">
      <formula>NOT(ISERROR(SEARCH("Short Buildup",S2722)))</formula>
    </cfRule>
    <cfRule type="containsText" dxfId="3493" priority="6362" operator="containsText" text="Long Liquidation">
      <formula>NOT(ISERROR(SEARCH("Long Liquidation",S2722)))</formula>
    </cfRule>
    <cfRule type="containsText" dxfId="3492" priority="6363" operator="containsText" text="Short covering">
      <formula>NOT(ISERROR(SEARCH("Short covering",S2722)))</formula>
    </cfRule>
    <cfRule type="containsText" dxfId="3491" priority="6364" operator="containsText" text="Long Buildup">
      <formula>NOT(ISERROR(SEARCH("Long Buildup",S2722)))</formula>
    </cfRule>
  </conditionalFormatting>
  <conditionalFormatting sqref="F2722:F2737">
    <cfRule type="dataBar" priority="6360">
      <dataBar>
        <cfvo type="min"/>
        <cfvo type="max"/>
        <color rgb="FFFF555A"/>
      </dataBar>
    </cfRule>
  </conditionalFormatting>
  <conditionalFormatting sqref="G2722:G2737">
    <cfRule type="dataBar" priority="6359">
      <dataBar>
        <cfvo type="min"/>
        <cfvo type="max"/>
        <color rgb="FFFF555A"/>
      </dataBar>
    </cfRule>
  </conditionalFormatting>
  <conditionalFormatting sqref="H2722">
    <cfRule type="dataBar" priority="6358">
      <dataBar>
        <cfvo type="min"/>
        <cfvo type="max"/>
        <color rgb="FFFF555A"/>
      </dataBar>
    </cfRule>
  </conditionalFormatting>
  <conditionalFormatting sqref="I2722">
    <cfRule type="dataBar" priority="6357">
      <dataBar>
        <cfvo type="min"/>
        <cfvo type="max"/>
        <color rgb="FFFF555A"/>
      </dataBar>
    </cfRule>
  </conditionalFormatting>
  <conditionalFormatting sqref="J2722">
    <cfRule type="dataBar" priority="6356">
      <dataBar>
        <cfvo type="min"/>
        <cfvo type="max"/>
        <color rgb="FFFF555A"/>
      </dataBar>
    </cfRule>
  </conditionalFormatting>
  <conditionalFormatting sqref="E2723:E2737">
    <cfRule type="dataBar" priority="6355">
      <dataBar>
        <cfvo type="min"/>
        <cfvo type="max"/>
        <color rgb="FFFF555A"/>
      </dataBar>
    </cfRule>
  </conditionalFormatting>
  <conditionalFormatting sqref="H2723:H2737">
    <cfRule type="dataBar" priority="6354">
      <dataBar>
        <cfvo type="min"/>
        <cfvo type="max"/>
        <color rgb="FFFF555A"/>
      </dataBar>
    </cfRule>
  </conditionalFormatting>
  <conditionalFormatting sqref="I2723:I2737">
    <cfRule type="dataBar" priority="6353">
      <dataBar>
        <cfvo type="min"/>
        <cfvo type="max"/>
        <color rgb="FFFF555A"/>
      </dataBar>
    </cfRule>
  </conditionalFormatting>
  <conditionalFormatting sqref="J2723:J2737">
    <cfRule type="dataBar" priority="6352">
      <dataBar>
        <cfvo type="min"/>
        <cfvo type="max"/>
        <color rgb="FFFF555A"/>
      </dataBar>
    </cfRule>
  </conditionalFormatting>
  <conditionalFormatting sqref="L2722:L2737">
    <cfRule type="dataBar" priority="6351">
      <dataBar>
        <cfvo type="min"/>
        <cfvo type="max"/>
        <color rgb="FFFF555A"/>
      </dataBar>
    </cfRule>
  </conditionalFormatting>
  <conditionalFormatting sqref="M2722:M2737">
    <cfRule type="dataBar" priority="6350">
      <dataBar>
        <cfvo type="min"/>
        <cfvo type="max"/>
        <color rgb="FFFF555A"/>
      </dataBar>
    </cfRule>
  </conditionalFormatting>
  <conditionalFormatting sqref="N2722:N2737">
    <cfRule type="dataBar" priority="6349">
      <dataBar>
        <cfvo type="min"/>
        <cfvo type="max"/>
        <color rgb="FFFF555A"/>
      </dataBar>
    </cfRule>
  </conditionalFormatting>
  <conditionalFormatting sqref="Q2722:Q2737">
    <cfRule type="dataBar" priority="6348">
      <dataBar>
        <cfvo type="min"/>
        <cfvo type="max"/>
        <color rgb="FFFF555A"/>
      </dataBar>
    </cfRule>
  </conditionalFormatting>
  <conditionalFormatting sqref="O2722:O2737">
    <cfRule type="dataBar" priority="6347">
      <dataBar>
        <cfvo type="min"/>
        <cfvo type="max"/>
        <color rgb="FFFF555A"/>
      </dataBar>
    </cfRule>
  </conditionalFormatting>
  <conditionalFormatting sqref="P2722:P2737">
    <cfRule type="dataBar" priority="6346">
      <dataBar>
        <cfvo type="min"/>
        <cfvo type="max"/>
        <color rgb="FFFF555A"/>
      </dataBar>
    </cfRule>
  </conditionalFormatting>
  <conditionalFormatting sqref="R2739:R2755 D2739:D2754 C2755">
    <cfRule type="containsText" dxfId="3490" priority="6345" operator="containsText" text="DOWN">
      <formula>NOT(ISERROR(SEARCH("DOWN",C2739)))</formula>
    </cfRule>
  </conditionalFormatting>
  <conditionalFormatting sqref="R2739:R2755 D2739:D2754 C2755">
    <cfRule type="containsText" dxfId="3489" priority="6344" operator="containsText" text="UP">
      <formula>NOT(ISERROR(SEARCH("UP",C2739)))</formula>
    </cfRule>
  </conditionalFormatting>
  <conditionalFormatting sqref="I2755">
    <cfRule type="colorScale" priority="6343">
      <colorScale>
        <cfvo type="min"/>
        <cfvo type="max"/>
        <color rgb="FFFFEF9C"/>
        <color rgb="FF63BE7B"/>
      </colorScale>
    </cfRule>
  </conditionalFormatting>
  <conditionalFormatting sqref="M2755">
    <cfRule type="colorScale" priority="6342">
      <colorScale>
        <cfvo type="min"/>
        <cfvo type="max"/>
        <color rgb="FFFF7128"/>
        <color rgb="FFFFEF9C"/>
      </colorScale>
    </cfRule>
  </conditionalFormatting>
  <conditionalFormatting sqref="Q2755">
    <cfRule type="dataBar" priority="6341">
      <dataBar>
        <cfvo type="min"/>
        <cfvo type="max"/>
        <color rgb="FFFF555A"/>
      </dataBar>
    </cfRule>
  </conditionalFormatting>
  <conditionalFormatting sqref="E2739:E2755">
    <cfRule type="dataBar" priority="6340">
      <dataBar>
        <cfvo type="min"/>
        <cfvo type="max"/>
        <color rgb="FFFF555A"/>
      </dataBar>
    </cfRule>
  </conditionalFormatting>
  <conditionalFormatting sqref="F2755">
    <cfRule type="top10" dxfId="3488" priority="6339" rank="1"/>
  </conditionalFormatting>
  <conditionalFormatting sqref="G2755 P2755">
    <cfRule type="cellIs" dxfId="3487" priority="6338" operator="equal">
      <formula>$G$135</formula>
    </cfRule>
  </conditionalFormatting>
  <conditionalFormatting sqref="P2755">
    <cfRule type="cellIs" dxfId="3486" priority="6337" operator="equal">
      <formula>$J$135</formula>
    </cfRule>
  </conditionalFormatting>
  <conditionalFormatting sqref="G2755 P2755">
    <cfRule type="cellIs" dxfId="3485" priority="6336" operator="equal">
      <formula>#REF!</formula>
    </cfRule>
  </conditionalFormatting>
  <conditionalFormatting sqref="G2755">
    <cfRule type="top10" dxfId="3484" priority="6334" rank="1"/>
    <cfRule type="cellIs" dxfId="3483" priority="6335" operator="equal">
      <formula>$G$133</formula>
    </cfRule>
  </conditionalFormatting>
  <conditionalFormatting sqref="P2755">
    <cfRule type="top10" dxfId="3482" priority="6332" rank="1"/>
    <cfRule type="cellIs" dxfId="3481" priority="6333" operator="equal">
      <formula>$G$133</formula>
    </cfRule>
  </conditionalFormatting>
  <conditionalFormatting sqref="C2739:C2754">
    <cfRule type="containsText" dxfId="3480" priority="6328" operator="containsText" text="Short Buildup">
      <formula>NOT(ISERROR(SEARCH("Short Buildup",C2739)))</formula>
    </cfRule>
    <cfRule type="containsText" dxfId="3479" priority="6329" operator="containsText" text="Long Liquidation">
      <formula>NOT(ISERROR(SEARCH("Long Liquidation",C2739)))</formula>
    </cfRule>
    <cfRule type="containsText" dxfId="3478" priority="6330" operator="containsText" text="Short covering">
      <formula>NOT(ISERROR(SEARCH("Short covering",C2739)))</formula>
    </cfRule>
    <cfRule type="containsText" dxfId="3477" priority="6331" operator="containsText" text="Long Buildup">
      <formula>NOT(ISERROR(SEARCH("Long Buildup",C2739)))</formula>
    </cfRule>
  </conditionalFormatting>
  <conditionalFormatting sqref="H2755">
    <cfRule type="colorScale" priority="6323">
      <colorScale>
        <cfvo type="min"/>
        <cfvo type="percentile" val="20"/>
        <cfvo type="max"/>
        <color rgb="FF92D050"/>
        <color theme="5" tint="0.79998168889431442"/>
        <color rgb="FFFF0000"/>
      </colorScale>
    </cfRule>
    <cfRule type="colorScale" priority="6324">
      <colorScale>
        <cfvo type="min"/>
        <cfvo type="max"/>
        <color rgb="FFFF0000"/>
        <color rgb="FF92D050"/>
      </colorScale>
    </cfRule>
    <cfRule type="colorScale" priority="6325">
      <colorScale>
        <cfvo type="min"/>
        <cfvo type="percentile" val="50"/>
        <cfvo type="max"/>
        <color rgb="FF5A8AC6"/>
        <color rgb="FFFCFCFF"/>
        <color rgb="FFF8696B"/>
      </colorScale>
    </cfRule>
    <cfRule type="colorScale" priority="6326">
      <colorScale>
        <cfvo type="formula" val="&quot;&gt;20&quot;"/>
        <cfvo type="formula" val="35"/>
        <color rgb="FFF8696B"/>
        <color rgb="FFFCFCFF"/>
      </colorScale>
    </cfRule>
    <cfRule type="colorScale" priority="6327">
      <colorScale>
        <cfvo type="min"/>
        <cfvo type="max"/>
        <color rgb="FFFFEF9C"/>
        <color rgb="FF63BE7B"/>
      </colorScale>
    </cfRule>
  </conditionalFormatting>
  <conditionalFormatting sqref="N2755">
    <cfRule type="colorScale" priority="6318">
      <colorScale>
        <cfvo type="min"/>
        <cfvo type="percentile" val="20"/>
        <cfvo type="max"/>
        <color rgb="FF92D050"/>
        <color theme="5" tint="0.79998168889431442"/>
        <color rgb="FFFF0000"/>
      </colorScale>
    </cfRule>
    <cfRule type="colorScale" priority="6319">
      <colorScale>
        <cfvo type="min"/>
        <cfvo type="max"/>
        <color rgb="FFFF0000"/>
        <color rgb="FF92D050"/>
      </colorScale>
    </cfRule>
    <cfRule type="colorScale" priority="6320">
      <colorScale>
        <cfvo type="min"/>
        <cfvo type="percentile" val="50"/>
        <cfvo type="max"/>
        <color rgb="FF5A8AC6"/>
        <color rgb="FFFCFCFF"/>
        <color rgb="FFF8696B"/>
      </colorScale>
    </cfRule>
    <cfRule type="colorScale" priority="6321">
      <colorScale>
        <cfvo type="formula" val="&quot;&gt;20&quot;"/>
        <cfvo type="formula" val="35"/>
        <color rgb="FFF8696B"/>
        <color rgb="FFFCFCFF"/>
      </colorScale>
    </cfRule>
    <cfRule type="colorScale" priority="6322">
      <colorScale>
        <cfvo type="min"/>
        <cfvo type="max"/>
        <color rgb="FFFFEF9C"/>
        <color rgb="FF63BE7B"/>
      </colorScale>
    </cfRule>
  </conditionalFormatting>
  <conditionalFormatting sqref="S2739:S2755">
    <cfRule type="containsText" dxfId="3476" priority="6314" operator="containsText" text="Short Buildup">
      <formula>NOT(ISERROR(SEARCH("Short Buildup",S2739)))</formula>
    </cfRule>
    <cfRule type="containsText" dxfId="3475" priority="6315" operator="containsText" text="Long Liquidation">
      <formula>NOT(ISERROR(SEARCH("Long Liquidation",S2739)))</formula>
    </cfRule>
    <cfRule type="containsText" dxfId="3474" priority="6316" operator="containsText" text="Short covering">
      <formula>NOT(ISERROR(SEARCH("Short covering",S2739)))</formula>
    </cfRule>
    <cfRule type="containsText" dxfId="3473" priority="6317" operator="containsText" text="Long Buildup">
      <formula>NOT(ISERROR(SEARCH("Long Buildup",S2739)))</formula>
    </cfRule>
  </conditionalFormatting>
  <conditionalFormatting sqref="F2739:F2754">
    <cfRule type="dataBar" priority="6313">
      <dataBar>
        <cfvo type="min"/>
        <cfvo type="max"/>
        <color rgb="FFFF555A"/>
      </dataBar>
    </cfRule>
  </conditionalFormatting>
  <conditionalFormatting sqref="G2739:G2754">
    <cfRule type="dataBar" priority="6312">
      <dataBar>
        <cfvo type="min"/>
        <cfvo type="max"/>
        <color rgb="FFFF555A"/>
      </dataBar>
    </cfRule>
  </conditionalFormatting>
  <conditionalFormatting sqref="H2739">
    <cfRule type="dataBar" priority="6311">
      <dataBar>
        <cfvo type="min"/>
        <cfvo type="max"/>
        <color rgb="FFFF555A"/>
      </dataBar>
    </cfRule>
  </conditionalFormatting>
  <conditionalFormatting sqref="I2739">
    <cfRule type="dataBar" priority="6310">
      <dataBar>
        <cfvo type="min"/>
        <cfvo type="max"/>
        <color rgb="FFFF555A"/>
      </dataBar>
    </cfRule>
  </conditionalFormatting>
  <conditionalFormatting sqref="J2739">
    <cfRule type="dataBar" priority="6309">
      <dataBar>
        <cfvo type="min"/>
        <cfvo type="max"/>
        <color rgb="FFFF555A"/>
      </dataBar>
    </cfRule>
  </conditionalFormatting>
  <conditionalFormatting sqref="E2740:E2754">
    <cfRule type="dataBar" priority="6308">
      <dataBar>
        <cfvo type="min"/>
        <cfvo type="max"/>
        <color rgb="FFFF555A"/>
      </dataBar>
    </cfRule>
  </conditionalFormatting>
  <conditionalFormatting sqref="H2740:H2754">
    <cfRule type="dataBar" priority="6307">
      <dataBar>
        <cfvo type="min"/>
        <cfvo type="max"/>
        <color rgb="FFFF555A"/>
      </dataBar>
    </cfRule>
  </conditionalFormatting>
  <conditionalFormatting sqref="I2740:I2754">
    <cfRule type="dataBar" priority="6306">
      <dataBar>
        <cfvo type="min"/>
        <cfvo type="max"/>
        <color rgb="FFFF555A"/>
      </dataBar>
    </cfRule>
  </conditionalFormatting>
  <conditionalFormatting sqref="J2740:J2754">
    <cfRule type="dataBar" priority="6305">
      <dataBar>
        <cfvo type="min"/>
        <cfvo type="max"/>
        <color rgb="FFFF555A"/>
      </dataBar>
    </cfRule>
  </conditionalFormatting>
  <conditionalFormatting sqref="L2739:L2754">
    <cfRule type="dataBar" priority="6304">
      <dataBar>
        <cfvo type="min"/>
        <cfvo type="max"/>
        <color rgb="FFFF555A"/>
      </dataBar>
    </cfRule>
  </conditionalFormatting>
  <conditionalFormatting sqref="M2739:M2754">
    <cfRule type="dataBar" priority="6303">
      <dataBar>
        <cfvo type="min"/>
        <cfvo type="max"/>
        <color rgb="FFFF555A"/>
      </dataBar>
    </cfRule>
  </conditionalFormatting>
  <conditionalFormatting sqref="N2739:N2754">
    <cfRule type="dataBar" priority="6302">
      <dataBar>
        <cfvo type="min"/>
        <cfvo type="max"/>
        <color rgb="FFFF555A"/>
      </dataBar>
    </cfRule>
  </conditionalFormatting>
  <conditionalFormatting sqref="Q2739:Q2754">
    <cfRule type="dataBar" priority="6301">
      <dataBar>
        <cfvo type="min"/>
        <cfvo type="max"/>
        <color rgb="FFFF555A"/>
      </dataBar>
    </cfRule>
  </conditionalFormatting>
  <conditionalFormatting sqref="O2739:O2754">
    <cfRule type="dataBar" priority="6300">
      <dataBar>
        <cfvo type="min"/>
        <cfvo type="max"/>
        <color rgb="FFFF555A"/>
      </dataBar>
    </cfRule>
  </conditionalFormatting>
  <conditionalFormatting sqref="P2739:P2754">
    <cfRule type="dataBar" priority="6299">
      <dataBar>
        <cfvo type="min"/>
        <cfvo type="max"/>
        <color rgb="FFFF555A"/>
      </dataBar>
    </cfRule>
  </conditionalFormatting>
  <conditionalFormatting sqref="R2756:R2772 D2756:D2771 C2772">
    <cfRule type="containsText" dxfId="3472" priority="6298" operator="containsText" text="DOWN">
      <formula>NOT(ISERROR(SEARCH("DOWN",C2756)))</formula>
    </cfRule>
  </conditionalFormatting>
  <conditionalFormatting sqref="R2756:R2772 D2756:D2771 C2772">
    <cfRule type="containsText" dxfId="3471" priority="6297" operator="containsText" text="UP">
      <formula>NOT(ISERROR(SEARCH("UP",C2756)))</formula>
    </cfRule>
  </conditionalFormatting>
  <conditionalFormatting sqref="I2772">
    <cfRule type="colorScale" priority="6296">
      <colorScale>
        <cfvo type="min"/>
        <cfvo type="max"/>
        <color rgb="FFFFEF9C"/>
        <color rgb="FF63BE7B"/>
      </colorScale>
    </cfRule>
  </conditionalFormatting>
  <conditionalFormatting sqref="M2772">
    <cfRule type="colorScale" priority="6295">
      <colorScale>
        <cfvo type="min"/>
        <cfvo type="max"/>
        <color rgb="FFFF7128"/>
        <color rgb="FFFFEF9C"/>
      </colorScale>
    </cfRule>
  </conditionalFormatting>
  <conditionalFormatting sqref="Q2772">
    <cfRule type="dataBar" priority="6294">
      <dataBar>
        <cfvo type="min"/>
        <cfvo type="max"/>
        <color rgb="FFFF555A"/>
      </dataBar>
    </cfRule>
  </conditionalFormatting>
  <conditionalFormatting sqref="E2756:E2772">
    <cfRule type="dataBar" priority="6293">
      <dataBar>
        <cfvo type="min"/>
        <cfvo type="max"/>
        <color rgb="FFFF555A"/>
      </dataBar>
    </cfRule>
  </conditionalFormatting>
  <conditionalFormatting sqref="F2772">
    <cfRule type="top10" dxfId="3470" priority="6292" rank="1"/>
  </conditionalFormatting>
  <conditionalFormatting sqref="G2772 P2772">
    <cfRule type="cellIs" dxfId="3469" priority="6291" operator="equal">
      <formula>$G$135</formula>
    </cfRule>
  </conditionalFormatting>
  <conditionalFormatting sqref="P2772">
    <cfRule type="cellIs" dxfId="3468" priority="6290" operator="equal">
      <formula>$J$135</formula>
    </cfRule>
  </conditionalFormatting>
  <conditionalFormatting sqref="G2772 P2772">
    <cfRule type="cellIs" dxfId="3467" priority="6289" operator="equal">
      <formula>#REF!</formula>
    </cfRule>
  </conditionalFormatting>
  <conditionalFormatting sqref="G2772">
    <cfRule type="top10" dxfId="3466" priority="6287" rank="1"/>
    <cfRule type="cellIs" dxfId="3465" priority="6288" operator="equal">
      <formula>$G$133</formula>
    </cfRule>
  </conditionalFormatting>
  <conditionalFormatting sqref="P2772">
    <cfRule type="top10" dxfId="3464" priority="6285" rank="1"/>
    <cfRule type="cellIs" dxfId="3463" priority="6286" operator="equal">
      <formula>$G$133</formula>
    </cfRule>
  </conditionalFormatting>
  <conditionalFormatting sqref="C2756:C2771">
    <cfRule type="containsText" dxfId="3462" priority="6281" operator="containsText" text="Short Buildup">
      <formula>NOT(ISERROR(SEARCH("Short Buildup",C2756)))</formula>
    </cfRule>
    <cfRule type="containsText" dxfId="3461" priority="6282" operator="containsText" text="Long Liquidation">
      <formula>NOT(ISERROR(SEARCH("Long Liquidation",C2756)))</formula>
    </cfRule>
    <cfRule type="containsText" dxfId="3460" priority="6283" operator="containsText" text="Short covering">
      <formula>NOT(ISERROR(SEARCH("Short covering",C2756)))</formula>
    </cfRule>
    <cfRule type="containsText" dxfId="3459" priority="6284" operator="containsText" text="Long Buildup">
      <formula>NOT(ISERROR(SEARCH("Long Buildup",C2756)))</formula>
    </cfRule>
  </conditionalFormatting>
  <conditionalFormatting sqref="H2772">
    <cfRule type="colorScale" priority="6276">
      <colorScale>
        <cfvo type="min"/>
        <cfvo type="percentile" val="20"/>
        <cfvo type="max"/>
        <color rgb="FF92D050"/>
        <color theme="5" tint="0.79998168889431442"/>
        <color rgb="FFFF0000"/>
      </colorScale>
    </cfRule>
    <cfRule type="colorScale" priority="6277">
      <colorScale>
        <cfvo type="min"/>
        <cfvo type="max"/>
        <color rgb="FFFF0000"/>
        <color rgb="FF92D050"/>
      </colorScale>
    </cfRule>
    <cfRule type="colorScale" priority="6278">
      <colorScale>
        <cfvo type="min"/>
        <cfvo type="percentile" val="50"/>
        <cfvo type="max"/>
        <color rgb="FF5A8AC6"/>
        <color rgb="FFFCFCFF"/>
        <color rgb="FFF8696B"/>
      </colorScale>
    </cfRule>
    <cfRule type="colorScale" priority="6279">
      <colorScale>
        <cfvo type="formula" val="&quot;&gt;20&quot;"/>
        <cfvo type="formula" val="35"/>
        <color rgb="FFF8696B"/>
        <color rgb="FFFCFCFF"/>
      </colorScale>
    </cfRule>
    <cfRule type="colorScale" priority="6280">
      <colorScale>
        <cfvo type="min"/>
        <cfvo type="max"/>
        <color rgb="FFFFEF9C"/>
        <color rgb="FF63BE7B"/>
      </colorScale>
    </cfRule>
  </conditionalFormatting>
  <conditionalFormatting sqref="N2772">
    <cfRule type="colorScale" priority="6271">
      <colorScale>
        <cfvo type="min"/>
        <cfvo type="percentile" val="20"/>
        <cfvo type="max"/>
        <color rgb="FF92D050"/>
        <color theme="5" tint="0.79998168889431442"/>
        <color rgb="FFFF0000"/>
      </colorScale>
    </cfRule>
    <cfRule type="colorScale" priority="6272">
      <colorScale>
        <cfvo type="min"/>
        <cfvo type="max"/>
        <color rgb="FFFF0000"/>
        <color rgb="FF92D050"/>
      </colorScale>
    </cfRule>
    <cfRule type="colorScale" priority="6273">
      <colorScale>
        <cfvo type="min"/>
        <cfvo type="percentile" val="50"/>
        <cfvo type="max"/>
        <color rgb="FF5A8AC6"/>
        <color rgb="FFFCFCFF"/>
        <color rgb="FFF8696B"/>
      </colorScale>
    </cfRule>
    <cfRule type="colorScale" priority="6274">
      <colorScale>
        <cfvo type="formula" val="&quot;&gt;20&quot;"/>
        <cfvo type="formula" val="35"/>
        <color rgb="FFF8696B"/>
        <color rgb="FFFCFCFF"/>
      </colorScale>
    </cfRule>
    <cfRule type="colorScale" priority="6275">
      <colorScale>
        <cfvo type="min"/>
        <cfvo type="max"/>
        <color rgb="FFFFEF9C"/>
        <color rgb="FF63BE7B"/>
      </colorScale>
    </cfRule>
  </conditionalFormatting>
  <conditionalFormatting sqref="S2756:S2772">
    <cfRule type="containsText" dxfId="3458" priority="6267" operator="containsText" text="Short Buildup">
      <formula>NOT(ISERROR(SEARCH("Short Buildup",S2756)))</formula>
    </cfRule>
    <cfRule type="containsText" dxfId="3457" priority="6268" operator="containsText" text="Long Liquidation">
      <formula>NOT(ISERROR(SEARCH("Long Liquidation",S2756)))</formula>
    </cfRule>
    <cfRule type="containsText" dxfId="3456" priority="6269" operator="containsText" text="Short covering">
      <formula>NOT(ISERROR(SEARCH("Short covering",S2756)))</formula>
    </cfRule>
    <cfRule type="containsText" dxfId="3455" priority="6270" operator="containsText" text="Long Buildup">
      <formula>NOT(ISERROR(SEARCH("Long Buildup",S2756)))</formula>
    </cfRule>
  </conditionalFormatting>
  <conditionalFormatting sqref="F2756:F2771">
    <cfRule type="dataBar" priority="6266">
      <dataBar>
        <cfvo type="min"/>
        <cfvo type="max"/>
        <color rgb="FFFF555A"/>
      </dataBar>
    </cfRule>
  </conditionalFormatting>
  <conditionalFormatting sqref="G2756:G2771">
    <cfRule type="dataBar" priority="6265">
      <dataBar>
        <cfvo type="min"/>
        <cfvo type="max"/>
        <color rgb="FFFF555A"/>
      </dataBar>
    </cfRule>
  </conditionalFormatting>
  <conditionalFormatting sqref="H2756">
    <cfRule type="dataBar" priority="6264">
      <dataBar>
        <cfvo type="min"/>
        <cfvo type="max"/>
        <color rgb="FFFF555A"/>
      </dataBar>
    </cfRule>
  </conditionalFormatting>
  <conditionalFormatting sqref="I2756">
    <cfRule type="dataBar" priority="6263">
      <dataBar>
        <cfvo type="min"/>
        <cfvo type="max"/>
        <color rgb="FFFF555A"/>
      </dataBar>
    </cfRule>
  </conditionalFormatting>
  <conditionalFormatting sqref="J2756">
    <cfRule type="dataBar" priority="6262">
      <dataBar>
        <cfvo type="min"/>
        <cfvo type="max"/>
        <color rgb="FFFF555A"/>
      </dataBar>
    </cfRule>
  </conditionalFormatting>
  <conditionalFormatting sqref="E2757:E2771">
    <cfRule type="dataBar" priority="6261">
      <dataBar>
        <cfvo type="min"/>
        <cfvo type="max"/>
        <color rgb="FFFF555A"/>
      </dataBar>
    </cfRule>
  </conditionalFormatting>
  <conditionalFormatting sqref="H2757:H2771">
    <cfRule type="dataBar" priority="6260">
      <dataBar>
        <cfvo type="min"/>
        <cfvo type="max"/>
        <color rgb="FFFF555A"/>
      </dataBar>
    </cfRule>
  </conditionalFormatting>
  <conditionalFormatting sqref="I2757:I2771">
    <cfRule type="dataBar" priority="6259">
      <dataBar>
        <cfvo type="min"/>
        <cfvo type="max"/>
        <color rgb="FFFF555A"/>
      </dataBar>
    </cfRule>
  </conditionalFormatting>
  <conditionalFormatting sqref="J2757:J2771">
    <cfRule type="dataBar" priority="6258">
      <dataBar>
        <cfvo type="min"/>
        <cfvo type="max"/>
        <color rgb="FFFF555A"/>
      </dataBar>
    </cfRule>
  </conditionalFormatting>
  <conditionalFormatting sqref="L2756:L2771">
    <cfRule type="dataBar" priority="6257">
      <dataBar>
        <cfvo type="min"/>
        <cfvo type="max"/>
        <color rgb="FFFF555A"/>
      </dataBar>
    </cfRule>
  </conditionalFormatting>
  <conditionalFormatting sqref="M2756:M2771">
    <cfRule type="dataBar" priority="6256">
      <dataBar>
        <cfvo type="min"/>
        <cfvo type="max"/>
        <color rgb="FFFF555A"/>
      </dataBar>
    </cfRule>
  </conditionalFormatting>
  <conditionalFormatting sqref="N2756:N2771">
    <cfRule type="dataBar" priority="6255">
      <dataBar>
        <cfvo type="min"/>
        <cfvo type="max"/>
        <color rgb="FFFF555A"/>
      </dataBar>
    </cfRule>
  </conditionalFormatting>
  <conditionalFormatting sqref="Q2756:Q2771">
    <cfRule type="dataBar" priority="6254">
      <dataBar>
        <cfvo type="min"/>
        <cfvo type="max"/>
        <color rgb="FFFF555A"/>
      </dataBar>
    </cfRule>
  </conditionalFormatting>
  <conditionalFormatting sqref="O2756:O2771">
    <cfRule type="dataBar" priority="6253">
      <dataBar>
        <cfvo type="min"/>
        <cfvo type="max"/>
        <color rgb="FFFF555A"/>
      </dataBar>
    </cfRule>
  </conditionalFormatting>
  <conditionalFormatting sqref="P2756:P2771">
    <cfRule type="dataBar" priority="6252">
      <dataBar>
        <cfvo type="min"/>
        <cfvo type="max"/>
        <color rgb="FFFF555A"/>
      </dataBar>
    </cfRule>
  </conditionalFormatting>
  <conditionalFormatting sqref="R2773:R2789 D2773:D2788 C2789">
    <cfRule type="containsText" dxfId="3454" priority="6251" operator="containsText" text="DOWN">
      <formula>NOT(ISERROR(SEARCH("DOWN",C2773)))</formula>
    </cfRule>
  </conditionalFormatting>
  <conditionalFormatting sqref="R2773:R2789 D2773:D2788 C2789">
    <cfRule type="containsText" dxfId="3453" priority="6250" operator="containsText" text="UP">
      <formula>NOT(ISERROR(SEARCH("UP",C2773)))</formula>
    </cfRule>
  </conditionalFormatting>
  <conditionalFormatting sqref="I2789">
    <cfRule type="colorScale" priority="6249">
      <colorScale>
        <cfvo type="min"/>
        <cfvo type="max"/>
        <color rgb="FFFFEF9C"/>
        <color rgb="FF63BE7B"/>
      </colorScale>
    </cfRule>
  </conditionalFormatting>
  <conditionalFormatting sqref="M2789">
    <cfRule type="colorScale" priority="6248">
      <colorScale>
        <cfvo type="min"/>
        <cfvo type="max"/>
        <color rgb="FFFF7128"/>
        <color rgb="FFFFEF9C"/>
      </colorScale>
    </cfRule>
  </conditionalFormatting>
  <conditionalFormatting sqref="Q2789">
    <cfRule type="dataBar" priority="6247">
      <dataBar>
        <cfvo type="min"/>
        <cfvo type="max"/>
        <color rgb="FFFF555A"/>
      </dataBar>
    </cfRule>
  </conditionalFormatting>
  <conditionalFormatting sqref="E2773:E2789">
    <cfRule type="dataBar" priority="6246">
      <dataBar>
        <cfvo type="min"/>
        <cfvo type="max"/>
        <color rgb="FFFF555A"/>
      </dataBar>
    </cfRule>
  </conditionalFormatting>
  <conditionalFormatting sqref="F2789">
    <cfRule type="top10" dxfId="3452" priority="6245" rank="1"/>
  </conditionalFormatting>
  <conditionalFormatting sqref="G2789 P2789">
    <cfRule type="cellIs" dxfId="3451" priority="6244" operator="equal">
      <formula>$G$135</formula>
    </cfRule>
  </conditionalFormatting>
  <conditionalFormatting sqref="P2789">
    <cfRule type="cellIs" dxfId="3450" priority="6243" operator="equal">
      <formula>$J$135</formula>
    </cfRule>
  </conditionalFormatting>
  <conditionalFormatting sqref="G2789 P2789">
    <cfRule type="cellIs" dxfId="3449" priority="6242" operator="equal">
      <formula>#REF!</formula>
    </cfRule>
  </conditionalFormatting>
  <conditionalFormatting sqref="G2789">
    <cfRule type="top10" dxfId="3448" priority="6240" rank="1"/>
    <cfRule type="cellIs" dxfId="3447" priority="6241" operator="equal">
      <formula>$G$133</formula>
    </cfRule>
  </conditionalFormatting>
  <conditionalFormatting sqref="P2789">
    <cfRule type="top10" dxfId="3446" priority="6238" rank="1"/>
    <cfRule type="cellIs" dxfId="3445" priority="6239" operator="equal">
      <formula>$G$133</formula>
    </cfRule>
  </conditionalFormatting>
  <conditionalFormatting sqref="C2773:C2788">
    <cfRule type="containsText" dxfId="3444" priority="6234" operator="containsText" text="Short Buildup">
      <formula>NOT(ISERROR(SEARCH("Short Buildup",C2773)))</formula>
    </cfRule>
    <cfRule type="containsText" dxfId="3443" priority="6235" operator="containsText" text="Long Liquidation">
      <formula>NOT(ISERROR(SEARCH("Long Liquidation",C2773)))</formula>
    </cfRule>
    <cfRule type="containsText" dxfId="3442" priority="6236" operator="containsText" text="Short covering">
      <formula>NOT(ISERROR(SEARCH("Short covering",C2773)))</formula>
    </cfRule>
    <cfRule type="containsText" dxfId="3441" priority="6237" operator="containsText" text="Long Buildup">
      <formula>NOT(ISERROR(SEARCH("Long Buildup",C2773)))</formula>
    </cfRule>
  </conditionalFormatting>
  <conditionalFormatting sqref="H2789">
    <cfRule type="colorScale" priority="6229">
      <colorScale>
        <cfvo type="min"/>
        <cfvo type="percentile" val="20"/>
        <cfvo type="max"/>
        <color rgb="FF92D050"/>
        <color theme="5" tint="0.79998168889431442"/>
        <color rgb="FFFF0000"/>
      </colorScale>
    </cfRule>
    <cfRule type="colorScale" priority="6230">
      <colorScale>
        <cfvo type="min"/>
        <cfvo type="max"/>
        <color rgb="FFFF0000"/>
        <color rgb="FF92D050"/>
      </colorScale>
    </cfRule>
    <cfRule type="colorScale" priority="6231">
      <colorScale>
        <cfvo type="min"/>
        <cfvo type="percentile" val="50"/>
        <cfvo type="max"/>
        <color rgb="FF5A8AC6"/>
        <color rgb="FFFCFCFF"/>
        <color rgb="FFF8696B"/>
      </colorScale>
    </cfRule>
    <cfRule type="colorScale" priority="6232">
      <colorScale>
        <cfvo type="formula" val="&quot;&gt;20&quot;"/>
        <cfvo type="formula" val="35"/>
        <color rgb="FFF8696B"/>
        <color rgb="FFFCFCFF"/>
      </colorScale>
    </cfRule>
    <cfRule type="colorScale" priority="6233">
      <colorScale>
        <cfvo type="min"/>
        <cfvo type="max"/>
        <color rgb="FFFFEF9C"/>
        <color rgb="FF63BE7B"/>
      </colorScale>
    </cfRule>
  </conditionalFormatting>
  <conditionalFormatting sqref="N2789">
    <cfRule type="colorScale" priority="6224">
      <colorScale>
        <cfvo type="min"/>
        <cfvo type="percentile" val="20"/>
        <cfvo type="max"/>
        <color rgb="FF92D050"/>
        <color theme="5" tint="0.79998168889431442"/>
        <color rgb="FFFF0000"/>
      </colorScale>
    </cfRule>
    <cfRule type="colorScale" priority="6225">
      <colorScale>
        <cfvo type="min"/>
        <cfvo type="max"/>
        <color rgb="FFFF0000"/>
        <color rgb="FF92D050"/>
      </colorScale>
    </cfRule>
    <cfRule type="colorScale" priority="6226">
      <colorScale>
        <cfvo type="min"/>
        <cfvo type="percentile" val="50"/>
        <cfvo type="max"/>
        <color rgb="FF5A8AC6"/>
        <color rgb="FFFCFCFF"/>
        <color rgb="FFF8696B"/>
      </colorScale>
    </cfRule>
    <cfRule type="colorScale" priority="6227">
      <colorScale>
        <cfvo type="formula" val="&quot;&gt;20&quot;"/>
        <cfvo type="formula" val="35"/>
        <color rgb="FFF8696B"/>
        <color rgb="FFFCFCFF"/>
      </colorScale>
    </cfRule>
    <cfRule type="colorScale" priority="6228">
      <colorScale>
        <cfvo type="min"/>
        <cfvo type="max"/>
        <color rgb="FFFFEF9C"/>
        <color rgb="FF63BE7B"/>
      </colorScale>
    </cfRule>
  </conditionalFormatting>
  <conditionalFormatting sqref="S2773:S2789">
    <cfRule type="containsText" dxfId="3440" priority="6220" operator="containsText" text="Short Buildup">
      <formula>NOT(ISERROR(SEARCH("Short Buildup",S2773)))</formula>
    </cfRule>
    <cfRule type="containsText" dxfId="3439" priority="6221" operator="containsText" text="Long Liquidation">
      <formula>NOT(ISERROR(SEARCH("Long Liquidation",S2773)))</formula>
    </cfRule>
    <cfRule type="containsText" dxfId="3438" priority="6222" operator="containsText" text="Short covering">
      <formula>NOT(ISERROR(SEARCH("Short covering",S2773)))</formula>
    </cfRule>
    <cfRule type="containsText" dxfId="3437" priority="6223" operator="containsText" text="Long Buildup">
      <formula>NOT(ISERROR(SEARCH("Long Buildup",S2773)))</formula>
    </cfRule>
  </conditionalFormatting>
  <conditionalFormatting sqref="F2773:F2788">
    <cfRule type="dataBar" priority="6219">
      <dataBar>
        <cfvo type="min"/>
        <cfvo type="max"/>
        <color rgb="FFFF555A"/>
      </dataBar>
    </cfRule>
  </conditionalFormatting>
  <conditionalFormatting sqref="G2773:G2788">
    <cfRule type="dataBar" priority="6218">
      <dataBar>
        <cfvo type="min"/>
        <cfvo type="max"/>
        <color rgb="FFFF555A"/>
      </dataBar>
    </cfRule>
  </conditionalFormatting>
  <conditionalFormatting sqref="H2773">
    <cfRule type="dataBar" priority="6217">
      <dataBar>
        <cfvo type="min"/>
        <cfvo type="max"/>
        <color rgb="FFFF555A"/>
      </dataBar>
    </cfRule>
  </conditionalFormatting>
  <conditionalFormatting sqref="I2773">
    <cfRule type="dataBar" priority="6216">
      <dataBar>
        <cfvo type="min"/>
        <cfvo type="max"/>
        <color rgb="FFFF555A"/>
      </dataBar>
    </cfRule>
  </conditionalFormatting>
  <conditionalFormatting sqref="J2773">
    <cfRule type="dataBar" priority="6215">
      <dataBar>
        <cfvo type="min"/>
        <cfvo type="max"/>
        <color rgb="FFFF555A"/>
      </dataBar>
    </cfRule>
  </conditionalFormatting>
  <conditionalFormatting sqref="E2774:E2788">
    <cfRule type="dataBar" priority="6214">
      <dataBar>
        <cfvo type="min"/>
        <cfvo type="max"/>
        <color rgb="FFFF555A"/>
      </dataBar>
    </cfRule>
  </conditionalFormatting>
  <conditionalFormatting sqref="H2774:H2788">
    <cfRule type="dataBar" priority="6213">
      <dataBar>
        <cfvo type="min"/>
        <cfvo type="max"/>
        <color rgb="FFFF555A"/>
      </dataBar>
    </cfRule>
  </conditionalFormatting>
  <conditionalFormatting sqref="I2774:I2788">
    <cfRule type="dataBar" priority="6212">
      <dataBar>
        <cfvo type="min"/>
        <cfvo type="max"/>
        <color rgb="FFFF555A"/>
      </dataBar>
    </cfRule>
  </conditionalFormatting>
  <conditionalFormatting sqref="J2774:J2788">
    <cfRule type="dataBar" priority="6211">
      <dataBar>
        <cfvo type="min"/>
        <cfvo type="max"/>
        <color rgb="FFFF555A"/>
      </dataBar>
    </cfRule>
  </conditionalFormatting>
  <conditionalFormatting sqref="L2773:L2788">
    <cfRule type="dataBar" priority="6210">
      <dataBar>
        <cfvo type="min"/>
        <cfvo type="max"/>
        <color rgb="FFFF555A"/>
      </dataBar>
    </cfRule>
  </conditionalFormatting>
  <conditionalFormatting sqref="M2773:M2788">
    <cfRule type="dataBar" priority="6209">
      <dataBar>
        <cfvo type="min"/>
        <cfvo type="max"/>
        <color rgb="FFFF555A"/>
      </dataBar>
    </cfRule>
  </conditionalFormatting>
  <conditionalFormatting sqref="N2773:N2788">
    <cfRule type="dataBar" priority="6208">
      <dataBar>
        <cfvo type="min"/>
        <cfvo type="max"/>
        <color rgb="FFFF555A"/>
      </dataBar>
    </cfRule>
  </conditionalFormatting>
  <conditionalFormatting sqref="Q2773:Q2788">
    <cfRule type="dataBar" priority="6207">
      <dataBar>
        <cfvo type="min"/>
        <cfvo type="max"/>
        <color rgb="FFFF555A"/>
      </dataBar>
    </cfRule>
  </conditionalFormatting>
  <conditionalFormatting sqref="O2773:O2788">
    <cfRule type="dataBar" priority="6206">
      <dataBar>
        <cfvo type="min"/>
        <cfvo type="max"/>
        <color rgb="FFFF555A"/>
      </dataBar>
    </cfRule>
  </conditionalFormatting>
  <conditionalFormatting sqref="P2773:P2788">
    <cfRule type="dataBar" priority="6205">
      <dataBar>
        <cfvo type="min"/>
        <cfvo type="max"/>
        <color rgb="FFFF555A"/>
      </dataBar>
    </cfRule>
  </conditionalFormatting>
  <conditionalFormatting sqref="R2790:R2806 D2790:D2805 C2806">
    <cfRule type="containsText" dxfId="3436" priority="6204" operator="containsText" text="DOWN">
      <formula>NOT(ISERROR(SEARCH("DOWN",C2790)))</formula>
    </cfRule>
  </conditionalFormatting>
  <conditionalFormatting sqref="R2790:R2806 D2790:D2805 C2806">
    <cfRule type="containsText" dxfId="3435" priority="6203" operator="containsText" text="UP">
      <formula>NOT(ISERROR(SEARCH("UP",C2790)))</formula>
    </cfRule>
  </conditionalFormatting>
  <conditionalFormatting sqref="I2806">
    <cfRule type="colorScale" priority="6202">
      <colorScale>
        <cfvo type="min"/>
        <cfvo type="max"/>
        <color rgb="FFFFEF9C"/>
        <color rgb="FF63BE7B"/>
      </colorScale>
    </cfRule>
  </conditionalFormatting>
  <conditionalFormatting sqref="M2806">
    <cfRule type="colorScale" priority="6201">
      <colorScale>
        <cfvo type="min"/>
        <cfvo type="max"/>
        <color rgb="FFFF7128"/>
        <color rgb="FFFFEF9C"/>
      </colorScale>
    </cfRule>
  </conditionalFormatting>
  <conditionalFormatting sqref="Q2806">
    <cfRule type="dataBar" priority="6200">
      <dataBar>
        <cfvo type="min"/>
        <cfvo type="max"/>
        <color rgb="FFFF555A"/>
      </dataBar>
    </cfRule>
  </conditionalFormatting>
  <conditionalFormatting sqref="E2790:E2806">
    <cfRule type="dataBar" priority="6199">
      <dataBar>
        <cfvo type="min"/>
        <cfvo type="max"/>
        <color rgb="FFFF555A"/>
      </dataBar>
    </cfRule>
  </conditionalFormatting>
  <conditionalFormatting sqref="F2806">
    <cfRule type="top10" dxfId="3434" priority="6198" rank="1"/>
  </conditionalFormatting>
  <conditionalFormatting sqref="G2806 P2806">
    <cfRule type="cellIs" dxfId="3433" priority="6197" operator="equal">
      <formula>$G$135</formula>
    </cfRule>
  </conditionalFormatting>
  <conditionalFormatting sqref="P2806">
    <cfRule type="cellIs" dxfId="3432" priority="6196" operator="equal">
      <formula>$J$135</formula>
    </cfRule>
  </conditionalFormatting>
  <conditionalFormatting sqref="G2806 P2806">
    <cfRule type="cellIs" dxfId="3431" priority="6195" operator="equal">
      <formula>#REF!</formula>
    </cfRule>
  </conditionalFormatting>
  <conditionalFormatting sqref="G2806">
    <cfRule type="top10" dxfId="3430" priority="6193" rank="1"/>
    <cfRule type="cellIs" dxfId="3429" priority="6194" operator="equal">
      <formula>$G$133</formula>
    </cfRule>
  </conditionalFormatting>
  <conditionalFormatting sqref="P2806">
    <cfRule type="top10" dxfId="3428" priority="6191" rank="1"/>
    <cfRule type="cellIs" dxfId="3427" priority="6192" operator="equal">
      <formula>$G$133</formula>
    </cfRule>
  </conditionalFormatting>
  <conditionalFormatting sqref="C2790:C2805">
    <cfRule type="containsText" dxfId="3426" priority="6187" operator="containsText" text="Short Buildup">
      <formula>NOT(ISERROR(SEARCH("Short Buildup",C2790)))</formula>
    </cfRule>
    <cfRule type="containsText" dxfId="3425" priority="6188" operator="containsText" text="Long Liquidation">
      <formula>NOT(ISERROR(SEARCH("Long Liquidation",C2790)))</formula>
    </cfRule>
    <cfRule type="containsText" dxfId="3424" priority="6189" operator="containsText" text="Short covering">
      <formula>NOT(ISERROR(SEARCH("Short covering",C2790)))</formula>
    </cfRule>
    <cfRule type="containsText" dxfId="3423" priority="6190" operator="containsText" text="Long Buildup">
      <formula>NOT(ISERROR(SEARCH("Long Buildup",C2790)))</formula>
    </cfRule>
  </conditionalFormatting>
  <conditionalFormatting sqref="H2806">
    <cfRule type="colorScale" priority="6182">
      <colorScale>
        <cfvo type="min"/>
        <cfvo type="percentile" val="20"/>
        <cfvo type="max"/>
        <color rgb="FF92D050"/>
        <color theme="5" tint="0.79998168889431442"/>
        <color rgb="FFFF0000"/>
      </colorScale>
    </cfRule>
    <cfRule type="colorScale" priority="6183">
      <colorScale>
        <cfvo type="min"/>
        <cfvo type="max"/>
        <color rgb="FFFF0000"/>
        <color rgb="FF92D050"/>
      </colorScale>
    </cfRule>
    <cfRule type="colorScale" priority="6184">
      <colorScale>
        <cfvo type="min"/>
        <cfvo type="percentile" val="50"/>
        <cfvo type="max"/>
        <color rgb="FF5A8AC6"/>
        <color rgb="FFFCFCFF"/>
        <color rgb="FFF8696B"/>
      </colorScale>
    </cfRule>
    <cfRule type="colorScale" priority="6185">
      <colorScale>
        <cfvo type="formula" val="&quot;&gt;20&quot;"/>
        <cfvo type="formula" val="35"/>
        <color rgb="FFF8696B"/>
        <color rgb="FFFCFCFF"/>
      </colorScale>
    </cfRule>
    <cfRule type="colorScale" priority="6186">
      <colorScale>
        <cfvo type="min"/>
        <cfvo type="max"/>
        <color rgb="FFFFEF9C"/>
        <color rgb="FF63BE7B"/>
      </colorScale>
    </cfRule>
  </conditionalFormatting>
  <conditionalFormatting sqref="N2806">
    <cfRule type="colorScale" priority="6177">
      <colorScale>
        <cfvo type="min"/>
        <cfvo type="percentile" val="20"/>
        <cfvo type="max"/>
        <color rgb="FF92D050"/>
        <color theme="5" tint="0.79998168889431442"/>
        <color rgb="FFFF0000"/>
      </colorScale>
    </cfRule>
    <cfRule type="colorScale" priority="6178">
      <colorScale>
        <cfvo type="min"/>
        <cfvo type="max"/>
        <color rgb="FFFF0000"/>
        <color rgb="FF92D050"/>
      </colorScale>
    </cfRule>
    <cfRule type="colorScale" priority="6179">
      <colorScale>
        <cfvo type="min"/>
        <cfvo type="percentile" val="50"/>
        <cfvo type="max"/>
        <color rgb="FF5A8AC6"/>
        <color rgb="FFFCFCFF"/>
        <color rgb="FFF8696B"/>
      </colorScale>
    </cfRule>
    <cfRule type="colorScale" priority="6180">
      <colorScale>
        <cfvo type="formula" val="&quot;&gt;20&quot;"/>
        <cfvo type="formula" val="35"/>
        <color rgb="FFF8696B"/>
        <color rgb="FFFCFCFF"/>
      </colorScale>
    </cfRule>
    <cfRule type="colorScale" priority="6181">
      <colorScale>
        <cfvo type="min"/>
        <cfvo type="max"/>
        <color rgb="FFFFEF9C"/>
        <color rgb="FF63BE7B"/>
      </colorScale>
    </cfRule>
  </conditionalFormatting>
  <conditionalFormatting sqref="S2790:S2806">
    <cfRule type="containsText" dxfId="3422" priority="6173" operator="containsText" text="Short Buildup">
      <formula>NOT(ISERROR(SEARCH("Short Buildup",S2790)))</formula>
    </cfRule>
    <cfRule type="containsText" dxfId="3421" priority="6174" operator="containsText" text="Long Liquidation">
      <formula>NOT(ISERROR(SEARCH("Long Liquidation",S2790)))</formula>
    </cfRule>
    <cfRule type="containsText" dxfId="3420" priority="6175" operator="containsText" text="Short covering">
      <formula>NOT(ISERROR(SEARCH("Short covering",S2790)))</formula>
    </cfRule>
    <cfRule type="containsText" dxfId="3419" priority="6176" operator="containsText" text="Long Buildup">
      <formula>NOT(ISERROR(SEARCH("Long Buildup",S2790)))</formula>
    </cfRule>
  </conditionalFormatting>
  <conditionalFormatting sqref="F2790:F2805">
    <cfRule type="dataBar" priority="6172">
      <dataBar>
        <cfvo type="min"/>
        <cfvo type="max"/>
        <color rgb="FFFF555A"/>
      </dataBar>
    </cfRule>
  </conditionalFormatting>
  <conditionalFormatting sqref="G2790:G2805">
    <cfRule type="dataBar" priority="6171">
      <dataBar>
        <cfvo type="min"/>
        <cfvo type="max"/>
        <color rgb="FFFF555A"/>
      </dataBar>
    </cfRule>
  </conditionalFormatting>
  <conditionalFormatting sqref="H2790">
    <cfRule type="dataBar" priority="6170">
      <dataBar>
        <cfvo type="min"/>
        <cfvo type="max"/>
        <color rgb="FFFF555A"/>
      </dataBar>
    </cfRule>
  </conditionalFormatting>
  <conditionalFormatting sqref="I2790">
    <cfRule type="dataBar" priority="6169">
      <dataBar>
        <cfvo type="min"/>
        <cfvo type="max"/>
        <color rgb="FFFF555A"/>
      </dataBar>
    </cfRule>
  </conditionalFormatting>
  <conditionalFormatting sqref="J2790">
    <cfRule type="dataBar" priority="6168">
      <dataBar>
        <cfvo type="min"/>
        <cfvo type="max"/>
        <color rgb="FFFF555A"/>
      </dataBar>
    </cfRule>
  </conditionalFormatting>
  <conditionalFormatting sqref="E2791:E2805">
    <cfRule type="dataBar" priority="6167">
      <dataBar>
        <cfvo type="min"/>
        <cfvo type="max"/>
        <color rgb="FFFF555A"/>
      </dataBar>
    </cfRule>
  </conditionalFormatting>
  <conditionalFormatting sqref="H2791:H2805">
    <cfRule type="dataBar" priority="6166">
      <dataBar>
        <cfvo type="min"/>
        <cfvo type="max"/>
        <color rgb="FFFF555A"/>
      </dataBar>
    </cfRule>
  </conditionalFormatting>
  <conditionalFormatting sqref="I2791:I2805">
    <cfRule type="dataBar" priority="6165">
      <dataBar>
        <cfvo type="min"/>
        <cfvo type="max"/>
        <color rgb="FFFF555A"/>
      </dataBar>
    </cfRule>
  </conditionalFormatting>
  <conditionalFormatting sqref="J2791:J2805">
    <cfRule type="dataBar" priority="6164">
      <dataBar>
        <cfvo type="min"/>
        <cfvo type="max"/>
        <color rgb="FFFF555A"/>
      </dataBar>
    </cfRule>
  </conditionalFormatting>
  <conditionalFormatting sqref="L2790:L2805">
    <cfRule type="dataBar" priority="6163">
      <dataBar>
        <cfvo type="min"/>
        <cfvo type="max"/>
        <color rgb="FFFF555A"/>
      </dataBar>
    </cfRule>
  </conditionalFormatting>
  <conditionalFormatting sqref="M2790:M2805">
    <cfRule type="dataBar" priority="6162">
      <dataBar>
        <cfvo type="min"/>
        <cfvo type="max"/>
        <color rgb="FFFF555A"/>
      </dataBar>
    </cfRule>
  </conditionalFormatting>
  <conditionalFormatting sqref="N2790:N2805">
    <cfRule type="dataBar" priority="6161">
      <dataBar>
        <cfvo type="min"/>
        <cfvo type="max"/>
        <color rgb="FFFF555A"/>
      </dataBar>
    </cfRule>
  </conditionalFormatting>
  <conditionalFormatting sqref="Q2790:Q2805">
    <cfRule type="dataBar" priority="6160">
      <dataBar>
        <cfvo type="min"/>
        <cfvo type="max"/>
        <color rgb="FFFF555A"/>
      </dataBar>
    </cfRule>
  </conditionalFormatting>
  <conditionalFormatting sqref="O2790:O2805">
    <cfRule type="dataBar" priority="6159">
      <dataBar>
        <cfvo type="min"/>
        <cfvo type="max"/>
        <color rgb="FFFF555A"/>
      </dataBar>
    </cfRule>
  </conditionalFormatting>
  <conditionalFormatting sqref="P2790:P2805">
    <cfRule type="dataBar" priority="6158">
      <dataBar>
        <cfvo type="min"/>
        <cfvo type="max"/>
        <color rgb="FFFF555A"/>
      </dataBar>
    </cfRule>
  </conditionalFormatting>
  <conditionalFormatting sqref="R2807:R2823 D2807:D2822 C2823">
    <cfRule type="containsText" dxfId="3418" priority="6157" operator="containsText" text="DOWN">
      <formula>NOT(ISERROR(SEARCH("DOWN",C2807)))</formula>
    </cfRule>
  </conditionalFormatting>
  <conditionalFormatting sqref="R2807:R2823 D2807:D2822 C2823">
    <cfRule type="containsText" dxfId="3417" priority="6156" operator="containsText" text="UP">
      <formula>NOT(ISERROR(SEARCH("UP",C2807)))</formula>
    </cfRule>
  </conditionalFormatting>
  <conditionalFormatting sqref="I2823">
    <cfRule type="colorScale" priority="6155">
      <colorScale>
        <cfvo type="min"/>
        <cfvo type="max"/>
        <color rgb="FFFFEF9C"/>
        <color rgb="FF63BE7B"/>
      </colorScale>
    </cfRule>
  </conditionalFormatting>
  <conditionalFormatting sqref="M2823">
    <cfRule type="colorScale" priority="6154">
      <colorScale>
        <cfvo type="min"/>
        <cfvo type="max"/>
        <color rgb="FFFF7128"/>
        <color rgb="FFFFEF9C"/>
      </colorScale>
    </cfRule>
  </conditionalFormatting>
  <conditionalFormatting sqref="Q2823">
    <cfRule type="dataBar" priority="6153">
      <dataBar>
        <cfvo type="min"/>
        <cfvo type="max"/>
        <color rgb="FFFF555A"/>
      </dataBar>
    </cfRule>
  </conditionalFormatting>
  <conditionalFormatting sqref="E2807:E2823">
    <cfRule type="dataBar" priority="6152">
      <dataBar>
        <cfvo type="min"/>
        <cfvo type="max"/>
        <color rgb="FFFF555A"/>
      </dataBar>
    </cfRule>
  </conditionalFormatting>
  <conditionalFormatting sqref="F2823">
    <cfRule type="top10" dxfId="3416" priority="6151" rank="1"/>
  </conditionalFormatting>
  <conditionalFormatting sqref="G2823 P2823">
    <cfRule type="cellIs" dxfId="3415" priority="6150" operator="equal">
      <formula>$G$135</formula>
    </cfRule>
  </conditionalFormatting>
  <conditionalFormatting sqref="P2823">
    <cfRule type="cellIs" dxfId="3414" priority="6149" operator="equal">
      <formula>$J$135</formula>
    </cfRule>
  </conditionalFormatting>
  <conditionalFormatting sqref="G2823 P2823">
    <cfRule type="cellIs" dxfId="3413" priority="6148" operator="equal">
      <formula>#REF!</formula>
    </cfRule>
  </conditionalFormatting>
  <conditionalFormatting sqref="G2823">
    <cfRule type="top10" dxfId="3412" priority="6146" rank="1"/>
    <cfRule type="cellIs" dxfId="3411" priority="6147" operator="equal">
      <formula>$G$133</formula>
    </cfRule>
  </conditionalFormatting>
  <conditionalFormatting sqref="P2823">
    <cfRule type="top10" dxfId="3410" priority="6144" rank="1"/>
    <cfRule type="cellIs" dxfId="3409" priority="6145" operator="equal">
      <formula>$G$133</formula>
    </cfRule>
  </conditionalFormatting>
  <conditionalFormatting sqref="C2807:C2822">
    <cfRule type="containsText" dxfId="3408" priority="6140" operator="containsText" text="Short Buildup">
      <formula>NOT(ISERROR(SEARCH("Short Buildup",C2807)))</formula>
    </cfRule>
    <cfRule type="containsText" dxfId="3407" priority="6141" operator="containsText" text="Long Liquidation">
      <formula>NOT(ISERROR(SEARCH("Long Liquidation",C2807)))</formula>
    </cfRule>
    <cfRule type="containsText" dxfId="3406" priority="6142" operator="containsText" text="Short covering">
      <formula>NOT(ISERROR(SEARCH("Short covering",C2807)))</formula>
    </cfRule>
    <cfRule type="containsText" dxfId="3405" priority="6143" operator="containsText" text="Long Buildup">
      <formula>NOT(ISERROR(SEARCH("Long Buildup",C2807)))</formula>
    </cfRule>
  </conditionalFormatting>
  <conditionalFormatting sqref="H2823">
    <cfRule type="colorScale" priority="6135">
      <colorScale>
        <cfvo type="min"/>
        <cfvo type="percentile" val="20"/>
        <cfvo type="max"/>
        <color rgb="FF92D050"/>
        <color theme="5" tint="0.79998168889431442"/>
        <color rgb="FFFF0000"/>
      </colorScale>
    </cfRule>
    <cfRule type="colorScale" priority="6136">
      <colorScale>
        <cfvo type="min"/>
        <cfvo type="max"/>
        <color rgb="FFFF0000"/>
        <color rgb="FF92D050"/>
      </colorScale>
    </cfRule>
    <cfRule type="colorScale" priority="6137">
      <colorScale>
        <cfvo type="min"/>
        <cfvo type="percentile" val="50"/>
        <cfvo type="max"/>
        <color rgb="FF5A8AC6"/>
        <color rgb="FFFCFCFF"/>
        <color rgb="FFF8696B"/>
      </colorScale>
    </cfRule>
    <cfRule type="colorScale" priority="6138">
      <colorScale>
        <cfvo type="formula" val="&quot;&gt;20&quot;"/>
        <cfvo type="formula" val="35"/>
        <color rgb="FFF8696B"/>
        <color rgb="FFFCFCFF"/>
      </colorScale>
    </cfRule>
    <cfRule type="colorScale" priority="6139">
      <colorScale>
        <cfvo type="min"/>
        <cfvo type="max"/>
        <color rgb="FFFFEF9C"/>
        <color rgb="FF63BE7B"/>
      </colorScale>
    </cfRule>
  </conditionalFormatting>
  <conditionalFormatting sqref="N2823">
    <cfRule type="colorScale" priority="6130">
      <colorScale>
        <cfvo type="min"/>
        <cfvo type="percentile" val="20"/>
        <cfvo type="max"/>
        <color rgb="FF92D050"/>
        <color theme="5" tint="0.79998168889431442"/>
        <color rgb="FFFF0000"/>
      </colorScale>
    </cfRule>
    <cfRule type="colorScale" priority="6131">
      <colorScale>
        <cfvo type="min"/>
        <cfvo type="max"/>
        <color rgb="FFFF0000"/>
        <color rgb="FF92D050"/>
      </colorScale>
    </cfRule>
    <cfRule type="colorScale" priority="6132">
      <colorScale>
        <cfvo type="min"/>
        <cfvo type="percentile" val="50"/>
        <cfvo type="max"/>
        <color rgb="FF5A8AC6"/>
        <color rgb="FFFCFCFF"/>
        <color rgb="FFF8696B"/>
      </colorScale>
    </cfRule>
    <cfRule type="colorScale" priority="6133">
      <colorScale>
        <cfvo type="formula" val="&quot;&gt;20&quot;"/>
        <cfvo type="formula" val="35"/>
        <color rgb="FFF8696B"/>
        <color rgb="FFFCFCFF"/>
      </colorScale>
    </cfRule>
    <cfRule type="colorScale" priority="6134">
      <colorScale>
        <cfvo type="min"/>
        <cfvo type="max"/>
        <color rgb="FFFFEF9C"/>
        <color rgb="FF63BE7B"/>
      </colorScale>
    </cfRule>
  </conditionalFormatting>
  <conditionalFormatting sqref="S2807:S2823">
    <cfRule type="containsText" dxfId="3404" priority="6126" operator="containsText" text="Short Buildup">
      <formula>NOT(ISERROR(SEARCH("Short Buildup",S2807)))</formula>
    </cfRule>
    <cfRule type="containsText" dxfId="3403" priority="6127" operator="containsText" text="Long Liquidation">
      <formula>NOT(ISERROR(SEARCH("Long Liquidation",S2807)))</formula>
    </cfRule>
    <cfRule type="containsText" dxfId="3402" priority="6128" operator="containsText" text="Short covering">
      <formula>NOT(ISERROR(SEARCH("Short covering",S2807)))</formula>
    </cfRule>
    <cfRule type="containsText" dxfId="3401" priority="6129" operator="containsText" text="Long Buildup">
      <formula>NOT(ISERROR(SEARCH("Long Buildup",S2807)))</formula>
    </cfRule>
  </conditionalFormatting>
  <conditionalFormatting sqref="F2807:F2822">
    <cfRule type="dataBar" priority="6125">
      <dataBar>
        <cfvo type="min"/>
        <cfvo type="max"/>
        <color rgb="FFFF555A"/>
      </dataBar>
    </cfRule>
  </conditionalFormatting>
  <conditionalFormatting sqref="G2807:G2822">
    <cfRule type="dataBar" priority="6124">
      <dataBar>
        <cfvo type="min"/>
        <cfvo type="max"/>
        <color rgb="FFFF555A"/>
      </dataBar>
    </cfRule>
  </conditionalFormatting>
  <conditionalFormatting sqref="H2807">
    <cfRule type="dataBar" priority="6123">
      <dataBar>
        <cfvo type="min"/>
        <cfvo type="max"/>
        <color rgb="FFFF555A"/>
      </dataBar>
    </cfRule>
  </conditionalFormatting>
  <conditionalFormatting sqref="I2807">
    <cfRule type="dataBar" priority="6122">
      <dataBar>
        <cfvo type="min"/>
        <cfvo type="max"/>
        <color rgb="FFFF555A"/>
      </dataBar>
    </cfRule>
  </conditionalFormatting>
  <conditionalFormatting sqref="J2807">
    <cfRule type="dataBar" priority="6121">
      <dataBar>
        <cfvo type="min"/>
        <cfvo type="max"/>
        <color rgb="FFFF555A"/>
      </dataBar>
    </cfRule>
  </conditionalFormatting>
  <conditionalFormatting sqref="E2808:E2822">
    <cfRule type="dataBar" priority="6120">
      <dataBar>
        <cfvo type="min"/>
        <cfvo type="max"/>
        <color rgb="FFFF555A"/>
      </dataBar>
    </cfRule>
  </conditionalFormatting>
  <conditionalFormatting sqref="H2808:H2822">
    <cfRule type="dataBar" priority="6119">
      <dataBar>
        <cfvo type="min"/>
        <cfvo type="max"/>
        <color rgb="FFFF555A"/>
      </dataBar>
    </cfRule>
  </conditionalFormatting>
  <conditionalFormatting sqref="I2808:I2822">
    <cfRule type="dataBar" priority="6118">
      <dataBar>
        <cfvo type="min"/>
        <cfvo type="max"/>
        <color rgb="FFFF555A"/>
      </dataBar>
    </cfRule>
  </conditionalFormatting>
  <conditionalFormatting sqref="J2808:J2822">
    <cfRule type="dataBar" priority="6117">
      <dataBar>
        <cfvo type="min"/>
        <cfvo type="max"/>
        <color rgb="FFFF555A"/>
      </dataBar>
    </cfRule>
  </conditionalFormatting>
  <conditionalFormatting sqref="L2807:L2822">
    <cfRule type="dataBar" priority="6116">
      <dataBar>
        <cfvo type="min"/>
        <cfvo type="max"/>
        <color rgb="FFFF555A"/>
      </dataBar>
    </cfRule>
  </conditionalFormatting>
  <conditionalFormatting sqref="M2807:M2822">
    <cfRule type="dataBar" priority="6115">
      <dataBar>
        <cfvo type="min"/>
        <cfvo type="max"/>
        <color rgb="FFFF555A"/>
      </dataBar>
    </cfRule>
  </conditionalFormatting>
  <conditionalFormatting sqref="N2807:N2822">
    <cfRule type="dataBar" priority="6114">
      <dataBar>
        <cfvo type="min"/>
        <cfvo type="max"/>
        <color rgb="FFFF555A"/>
      </dataBar>
    </cfRule>
  </conditionalFormatting>
  <conditionalFormatting sqref="Q2807:Q2822">
    <cfRule type="dataBar" priority="6113">
      <dataBar>
        <cfvo type="min"/>
        <cfvo type="max"/>
        <color rgb="FFFF555A"/>
      </dataBar>
    </cfRule>
  </conditionalFormatting>
  <conditionalFormatting sqref="O2807:O2822">
    <cfRule type="dataBar" priority="6112">
      <dataBar>
        <cfvo type="min"/>
        <cfvo type="max"/>
        <color rgb="FFFF555A"/>
      </dataBar>
    </cfRule>
  </conditionalFormatting>
  <conditionalFormatting sqref="P2807:P2822">
    <cfRule type="dataBar" priority="6111">
      <dataBar>
        <cfvo type="min"/>
        <cfvo type="max"/>
        <color rgb="FFFF555A"/>
      </dataBar>
    </cfRule>
  </conditionalFormatting>
  <conditionalFormatting sqref="R2824:R2840 D2824:D2839 C2840">
    <cfRule type="containsText" dxfId="3400" priority="6110" operator="containsText" text="DOWN">
      <formula>NOT(ISERROR(SEARCH("DOWN",C2824)))</formula>
    </cfRule>
  </conditionalFormatting>
  <conditionalFormatting sqref="R2824:R2840 D2824:D2839 C2840">
    <cfRule type="containsText" dxfId="3399" priority="6109" operator="containsText" text="UP">
      <formula>NOT(ISERROR(SEARCH("UP",C2824)))</formula>
    </cfRule>
  </conditionalFormatting>
  <conditionalFormatting sqref="I2840">
    <cfRule type="colorScale" priority="6108">
      <colorScale>
        <cfvo type="min"/>
        <cfvo type="max"/>
        <color rgb="FFFFEF9C"/>
        <color rgb="FF63BE7B"/>
      </colorScale>
    </cfRule>
  </conditionalFormatting>
  <conditionalFormatting sqref="M2840">
    <cfRule type="colorScale" priority="6107">
      <colorScale>
        <cfvo type="min"/>
        <cfvo type="max"/>
        <color rgb="FFFF7128"/>
        <color rgb="FFFFEF9C"/>
      </colorScale>
    </cfRule>
  </conditionalFormatting>
  <conditionalFormatting sqref="Q2840">
    <cfRule type="dataBar" priority="6106">
      <dataBar>
        <cfvo type="min"/>
        <cfvo type="max"/>
        <color rgb="FFFF555A"/>
      </dataBar>
    </cfRule>
  </conditionalFormatting>
  <conditionalFormatting sqref="E2824:E2840">
    <cfRule type="dataBar" priority="6105">
      <dataBar>
        <cfvo type="min"/>
        <cfvo type="max"/>
        <color rgb="FFFF555A"/>
      </dataBar>
    </cfRule>
  </conditionalFormatting>
  <conditionalFormatting sqref="F2840">
    <cfRule type="top10" dxfId="3398" priority="6104" rank="1"/>
  </conditionalFormatting>
  <conditionalFormatting sqref="G2840 P2840">
    <cfRule type="cellIs" dxfId="3397" priority="6103" operator="equal">
      <formula>$G$135</formula>
    </cfRule>
  </conditionalFormatting>
  <conditionalFormatting sqref="P2840">
    <cfRule type="cellIs" dxfId="3396" priority="6102" operator="equal">
      <formula>$J$135</formula>
    </cfRule>
  </conditionalFormatting>
  <conditionalFormatting sqref="G2840 P2840">
    <cfRule type="cellIs" dxfId="3395" priority="6101" operator="equal">
      <formula>#REF!</formula>
    </cfRule>
  </conditionalFormatting>
  <conditionalFormatting sqref="G2840">
    <cfRule type="top10" dxfId="3394" priority="6099" rank="1"/>
    <cfRule type="cellIs" dxfId="3393" priority="6100" operator="equal">
      <formula>$G$133</formula>
    </cfRule>
  </conditionalFormatting>
  <conditionalFormatting sqref="P2840">
    <cfRule type="top10" dxfId="3392" priority="6097" rank="1"/>
    <cfRule type="cellIs" dxfId="3391" priority="6098" operator="equal">
      <formula>$G$133</formula>
    </cfRule>
  </conditionalFormatting>
  <conditionalFormatting sqref="C2824:C2839">
    <cfRule type="containsText" dxfId="3390" priority="6093" operator="containsText" text="Short Buildup">
      <formula>NOT(ISERROR(SEARCH("Short Buildup",C2824)))</formula>
    </cfRule>
    <cfRule type="containsText" dxfId="3389" priority="6094" operator="containsText" text="Long Liquidation">
      <formula>NOT(ISERROR(SEARCH("Long Liquidation",C2824)))</formula>
    </cfRule>
    <cfRule type="containsText" dxfId="3388" priority="6095" operator="containsText" text="Short covering">
      <formula>NOT(ISERROR(SEARCH("Short covering",C2824)))</formula>
    </cfRule>
    <cfRule type="containsText" dxfId="3387" priority="6096" operator="containsText" text="Long Buildup">
      <formula>NOT(ISERROR(SEARCH("Long Buildup",C2824)))</formula>
    </cfRule>
  </conditionalFormatting>
  <conditionalFormatting sqref="H2840">
    <cfRule type="colorScale" priority="6088">
      <colorScale>
        <cfvo type="min"/>
        <cfvo type="percentile" val="20"/>
        <cfvo type="max"/>
        <color rgb="FF92D050"/>
        <color theme="5" tint="0.79998168889431442"/>
        <color rgb="FFFF0000"/>
      </colorScale>
    </cfRule>
    <cfRule type="colorScale" priority="6089">
      <colorScale>
        <cfvo type="min"/>
        <cfvo type="max"/>
        <color rgb="FFFF0000"/>
        <color rgb="FF92D050"/>
      </colorScale>
    </cfRule>
    <cfRule type="colorScale" priority="6090">
      <colorScale>
        <cfvo type="min"/>
        <cfvo type="percentile" val="50"/>
        <cfvo type="max"/>
        <color rgb="FF5A8AC6"/>
        <color rgb="FFFCFCFF"/>
        <color rgb="FFF8696B"/>
      </colorScale>
    </cfRule>
    <cfRule type="colorScale" priority="6091">
      <colorScale>
        <cfvo type="formula" val="&quot;&gt;20&quot;"/>
        <cfvo type="formula" val="35"/>
        <color rgb="FFF8696B"/>
        <color rgb="FFFCFCFF"/>
      </colorScale>
    </cfRule>
    <cfRule type="colorScale" priority="6092">
      <colorScale>
        <cfvo type="min"/>
        <cfvo type="max"/>
        <color rgb="FFFFEF9C"/>
        <color rgb="FF63BE7B"/>
      </colorScale>
    </cfRule>
  </conditionalFormatting>
  <conditionalFormatting sqref="N2840">
    <cfRule type="colorScale" priority="6083">
      <colorScale>
        <cfvo type="min"/>
        <cfvo type="percentile" val="20"/>
        <cfvo type="max"/>
        <color rgb="FF92D050"/>
        <color theme="5" tint="0.79998168889431442"/>
        <color rgb="FFFF0000"/>
      </colorScale>
    </cfRule>
    <cfRule type="colorScale" priority="6084">
      <colorScale>
        <cfvo type="min"/>
        <cfvo type="max"/>
        <color rgb="FFFF0000"/>
        <color rgb="FF92D050"/>
      </colorScale>
    </cfRule>
    <cfRule type="colorScale" priority="6085">
      <colorScale>
        <cfvo type="min"/>
        <cfvo type="percentile" val="50"/>
        <cfvo type="max"/>
        <color rgb="FF5A8AC6"/>
        <color rgb="FFFCFCFF"/>
        <color rgb="FFF8696B"/>
      </colorScale>
    </cfRule>
    <cfRule type="colorScale" priority="6086">
      <colorScale>
        <cfvo type="formula" val="&quot;&gt;20&quot;"/>
        <cfvo type="formula" val="35"/>
        <color rgb="FFF8696B"/>
        <color rgb="FFFCFCFF"/>
      </colorScale>
    </cfRule>
    <cfRule type="colorScale" priority="6087">
      <colorScale>
        <cfvo type="min"/>
        <cfvo type="max"/>
        <color rgb="FFFFEF9C"/>
        <color rgb="FF63BE7B"/>
      </colorScale>
    </cfRule>
  </conditionalFormatting>
  <conditionalFormatting sqref="S2824:S2840">
    <cfRule type="containsText" dxfId="3386" priority="6079" operator="containsText" text="Short Buildup">
      <formula>NOT(ISERROR(SEARCH("Short Buildup",S2824)))</formula>
    </cfRule>
    <cfRule type="containsText" dxfId="3385" priority="6080" operator="containsText" text="Long Liquidation">
      <formula>NOT(ISERROR(SEARCH("Long Liquidation",S2824)))</formula>
    </cfRule>
    <cfRule type="containsText" dxfId="3384" priority="6081" operator="containsText" text="Short covering">
      <formula>NOT(ISERROR(SEARCH("Short covering",S2824)))</formula>
    </cfRule>
    <cfRule type="containsText" dxfId="3383" priority="6082" operator="containsText" text="Long Buildup">
      <formula>NOT(ISERROR(SEARCH("Long Buildup",S2824)))</formula>
    </cfRule>
  </conditionalFormatting>
  <conditionalFormatting sqref="F2824:F2839">
    <cfRule type="dataBar" priority="6078">
      <dataBar>
        <cfvo type="min"/>
        <cfvo type="max"/>
        <color rgb="FFFF555A"/>
      </dataBar>
    </cfRule>
  </conditionalFormatting>
  <conditionalFormatting sqref="G2824:G2839">
    <cfRule type="dataBar" priority="6077">
      <dataBar>
        <cfvo type="min"/>
        <cfvo type="max"/>
        <color rgb="FFFF555A"/>
      </dataBar>
    </cfRule>
  </conditionalFormatting>
  <conditionalFormatting sqref="H2824">
    <cfRule type="dataBar" priority="6076">
      <dataBar>
        <cfvo type="min"/>
        <cfvo type="max"/>
        <color rgb="FFFF555A"/>
      </dataBar>
    </cfRule>
  </conditionalFormatting>
  <conditionalFormatting sqref="I2824">
    <cfRule type="dataBar" priority="6075">
      <dataBar>
        <cfvo type="min"/>
        <cfvo type="max"/>
        <color rgb="FFFF555A"/>
      </dataBar>
    </cfRule>
  </conditionalFormatting>
  <conditionalFormatting sqref="J2824">
    <cfRule type="dataBar" priority="6074">
      <dataBar>
        <cfvo type="min"/>
        <cfvo type="max"/>
        <color rgb="FFFF555A"/>
      </dataBar>
    </cfRule>
  </conditionalFormatting>
  <conditionalFormatting sqref="E2825:E2839">
    <cfRule type="dataBar" priority="6073">
      <dataBar>
        <cfvo type="min"/>
        <cfvo type="max"/>
        <color rgb="FFFF555A"/>
      </dataBar>
    </cfRule>
  </conditionalFormatting>
  <conditionalFormatting sqref="H2825:H2839">
    <cfRule type="dataBar" priority="6072">
      <dataBar>
        <cfvo type="min"/>
        <cfvo type="max"/>
        <color rgb="FFFF555A"/>
      </dataBar>
    </cfRule>
  </conditionalFormatting>
  <conditionalFormatting sqref="I2825:I2839">
    <cfRule type="dataBar" priority="6071">
      <dataBar>
        <cfvo type="min"/>
        <cfvo type="max"/>
        <color rgb="FFFF555A"/>
      </dataBar>
    </cfRule>
  </conditionalFormatting>
  <conditionalFormatting sqref="J2825:J2839">
    <cfRule type="dataBar" priority="6070">
      <dataBar>
        <cfvo type="min"/>
        <cfvo type="max"/>
        <color rgb="FFFF555A"/>
      </dataBar>
    </cfRule>
  </conditionalFormatting>
  <conditionalFormatting sqref="L2824:L2839">
    <cfRule type="dataBar" priority="6069">
      <dataBar>
        <cfvo type="min"/>
        <cfvo type="max"/>
        <color rgb="FFFF555A"/>
      </dataBar>
    </cfRule>
  </conditionalFormatting>
  <conditionalFormatting sqref="M2824:M2839">
    <cfRule type="dataBar" priority="6068">
      <dataBar>
        <cfvo type="min"/>
        <cfvo type="max"/>
        <color rgb="FFFF555A"/>
      </dataBar>
    </cfRule>
  </conditionalFormatting>
  <conditionalFormatting sqref="N2824:N2839">
    <cfRule type="dataBar" priority="6067">
      <dataBar>
        <cfvo type="min"/>
        <cfvo type="max"/>
        <color rgb="FFFF555A"/>
      </dataBar>
    </cfRule>
  </conditionalFormatting>
  <conditionalFormatting sqref="Q2824:Q2839">
    <cfRule type="dataBar" priority="6066">
      <dataBar>
        <cfvo type="min"/>
        <cfvo type="max"/>
        <color rgb="FFFF555A"/>
      </dataBar>
    </cfRule>
  </conditionalFormatting>
  <conditionalFormatting sqref="O2824:O2839">
    <cfRule type="dataBar" priority="6065">
      <dataBar>
        <cfvo type="min"/>
        <cfvo type="max"/>
        <color rgb="FFFF555A"/>
      </dataBar>
    </cfRule>
  </conditionalFormatting>
  <conditionalFormatting sqref="P2824:P2839">
    <cfRule type="dataBar" priority="6064">
      <dataBar>
        <cfvo type="min"/>
        <cfvo type="max"/>
        <color rgb="FFFF555A"/>
      </dataBar>
    </cfRule>
  </conditionalFormatting>
  <conditionalFormatting sqref="R2841:R2857 D2841:D2856 C2857">
    <cfRule type="containsText" dxfId="3382" priority="6063" operator="containsText" text="DOWN">
      <formula>NOT(ISERROR(SEARCH("DOWN",C2841)))</formula>
    </cfRule>
  </conditionalFormatting>
  <conditionalFormatting sqref="R2841:R2857 D2841:D2856 C2857">
    <cfRule type="containsText" dxfId="3381" priority="6062" operator="containsText" text="UP">
      <formula>NOT(ISERROR(SEARCH("UP",C2841)))</formula>
    </cfRule>
  </conditionalFormatting>
  <conditionalFormatting sqref="I2857">
    <cfRule type="colorScale" priority="6061">
      <colorScale>
        <cfvo type="min"/>
        <cfvo type="max"/>
        <color rgb="FFFFEF9C"/>
        <color rgb="FF63BE7B"/>
      </colorScale>
    </cfRule>
  </conditionalFormatting>
  <conditionalFormatting sqref="M2857">
    <cfRule type="colorScale" priority="6060">
      <colorScale>
        <cfvo type="min"/>
        <cfvo type="max"/>
        <color rgb="FFFF7128"/>
        <color rgb="FFFFEF9C"/>
      </colorScale>
    </cfRule>
  </conditionalFormatting>
  <conditionalFormatting sqref="Q2857">
    <cfRule type="dataBar" priority="6059">
      <dataBar>
        <cfvo type="min"/>
        <cfvo type="max"/>
        <color rgb="FFFF555A"/>
      </dataBar>
    </cfRule>
  </conditionalFormatting>
  <conditionalFormatting sqref="E2841:E2857">
    <cfRule type="dataBar" priority="6058">
      <dataBar>
        <cfvo type="min"/>
        <cfvo type="max"/>
        <color rgb="FFFF555A"/>
      </dataBar>
    </cfRule>
  </conditionalFormatting>
  <conditionalFormatting sqref="F2857">
    <cfRule type="top10" dxfId="3380" priority="6057" rank="1"/>
  </conditionalFormatting>
  <conditionalFormatting sqref="G2857 P2857">
    <cfRule type="cellIs" dxfId="3379" priority="6056" operator="equal">
      <formula>$G$135</formula>
    </cfRule>
  </conditionalFormatting>
  <conditionalFormatting sqref="P2857">
    <cfRule type="cellIs" dxfId="3378" priority="6055" operator="equal">
      <formula>$J$135</formula>
    </cfRule>
  </conditionalFormatting>
  <conditionalFormatting sqref="G2857 P2857">
    <cfRule type="cellIs" dxfId="3377" priority="6054" operator="equal">
      <formula>#REF!</formula>
    </cfRule>
  </conditionalFormatting>
  <conditionalFormatting sqref="G2857">
    <cfRule type="top10" dxfId="3376" priority="6052" rank="1"/>
    <cfRule type="cellIs" dxfId="3375" priority="6053" operator="equal">
      <formula>$G$133</formula>
    </cfRule>
  </conditionalFormatting>
  <conditionalFormatting sqref="P2857">
    <cfRule type="top10" dxfId="3374" priority="6050" rank="1"/>
    <cfRule type="cellIs" dxfId="3373" priority="6051" operator="equal">
      <formula>$G$133</formula>
    </cfRule>
  </conditionalFormatting>
  <conditionalFormatting sqref="C2841:C2856">
    <cfRule type="containsText" dxfId="3372" priority="6046" operator="containsText" text="Short Buildup">
      <formula>NOT(ISERROR(SEARCH("Short Buildup",C2841)))</formula>
    </cfRule>
    <cfRule type="containsText" dxfId="3371" priority="6047" operator="containsText" text="Long Liquidation">
      <formula>NOT(ISERROR(SEARCH("Long Liquidation",C2841)))</formula>
    </cfRule>
    <cfRule type="containsText" dxfId="3370" priority="6048" operator="containsText" text="Short covering">
      <formula>NOT(ISERROR(SEARCH("Short covering",C2841)))</formula>
    </cfRule>
    <cfRule type="containsText" dxfId="3369" priority="6049" operator="containsText" text="Long Buildup">
      <formula>NOT(ISERROR(SEARCH("Long Buildup",C2841)))</formula>
    </cfRule>
  </conditionalFormatting>
  <conditionalFormatting sqref="H2857">
    <cfRule type="colorScale" priority="6041">
      <colorScale>
        <cfvo type="min"/>
        <cfvo type="percentile" val="20"/>
        <cfvo type="max"/>
        <color rgb="FF92D050"/>
        <color theme="5" tint="0.79998168889431442"/>
        <color rgb="FFFF0000"/>
      </colorScale>
    </cfRule>
    <cfRule type="colorScale" priority="6042">
      <colorScale>
        <cfvo type="min"/>
        <cfvo type="max"/>
        <color rgb="FFFF0000"/>
        <color rgb="FF92D050"/>
      </colorScale>
    </cfRule>
    <cfRule type="colorScale" priority="6043">
      <colorScale>
        <cfvo type="min"/>
        <cfvo type="percentile" val="50"/>
        <cfvo type="max"/>
        <color rgb="FF5A8AC6"/>
        <color rgb="FFFCFCFF"/>
        <color rgb="FFF8696B"/>
      </colorScale>
    </cfRule>
    <cfRule type="colorScale" priority="6044">
      <colorScale>
        <cfvo type="formula" val="&quot;&gt;20&quot;"/>
        <cfvo type="formula" val="35"/>
        <color rgb="FFF8696B"/>
        <color rgb="FFFCFCFF"/>
      </colorScale>
    </cfRule>
    <cfRule type="colorScale" priority="6045">
      <colorScale>
        <cfvo type="min"/>
        <cfvo type="max"/>
        <color rgb="FFFFEF9C"/>
        <color rgb="FF63BE7B"/>
      </colorScale>
    </cfRule>
  </conditionalFormatting>
  <conditionalFormatting sqref="N2857">
    <cfRule type="colorScale" priority="6036">
      <colorScale>
        <cfvo type="min"/>
        <cfvo type="percentile" val="20"/>
        <cfvo type="max"/>
        <color rgb="FF92D050"/>
        <color theme="5" tint="0.79998168889431442"/>
        <color rgb="FFFF0000"/>
      </colorScale>
    </cfRule>
    <cfRule type="colorScale" priority="6037">
      <colorScale>
        <cfvo type="min"/>
        <cfvo type="max"/>
        <color rgb="FFFF0000"/>
        <color rgb="FF92D050"/>
      </colorScale>
    </cfRule>
    <cfRule type="colorScale" priority="6038">
      <colorScale>
        <cfvo type="min"/>
        <cfvo type="percentile" val="50"/>
        <cfvo type="max"/>
        <color rgb="FF5A8AC6"/>
        <color rgb="FFFCFCFF"/>
        <color rgb="FFF8696B"/>
      </colorScale>
    </cfRule>
    <cfRule type="colorScale" priority="6039">
      <colorScale>
        <cfvo type="formula" val="&quot;&gt;20&quot;"/>
        <cfvo type="formula" val="35"/>
        <color rgb="FFF8696B"/>
        <color rgb="FFFCFCFF"/>
      </colorScale>
    </cfRule>
    <cfRule type="colorScale" priority="6040">
      <colorScale>
        <cfvo type="min"/>
        <cfvo type="max"/>
        <color rgb="FFFFEF9C"/>
        <color rgb="FF63BE7B"/>
      </colorScale>
    </cfRule>
  </conditionalFormatting>
  <conditionalFormatting sqref="S2841:S2857">
    <cfRule type="containsText" dxfId="3368" priority="6032" operator="containsText" text="Short Buildup">
      <formula>NOT(ISERROR(SEARCH("Short Buildup",S2841)))</formula>
    </cfRule>
    <cfRule type="containsText" dxfId="3367" priority="6033" operator="containsText" text="Long Liquidation">
      <formula>NOT(ISERROR(SEARCH("Long Liquidation",S2841)))</formula>
    </cfRule>
    <cfRule type="containsText" dxfId="3366" priority="6034" operator="containsText" text="Short covering">
      <formula>NOT(ISERROR(SEARCH("Short covering",S2841)))</formula>
    </cfRule>
    <cfRule type="containsText" dxfId="3365" priority="6035" operator="containsText" text="Long Buildup">
      <formula>NOT(ISERROR(SEARCH("Long Buildup",S2841)))</formula>
    </cfRule>
  </conditionalFormatting>
  <conditionalFormatting sqref="F2841:F2856">
    <cfRule type="dataBar" priority="6031">
      <dataBar>
        <cfvo type="min"/>
        <cfvo type="max"/>
        <color rgb="FFFF555A"/>
      </dataBar>
    </cfRule>
  </conditionalFormatting>
  <conditionalFormatting sqref="G2841:G2856">
    <cfRule type="dataBar" priority="6030">
      <dataBar>
        <cfvo type="min"/>
        <cfvo type="max"/>
        <color rgb="FFFF555A"/>
      </dataBar>
    </cfRule>
  </conditionalFormatting>
  <conditionalFormatting sqref="H2841">
    <cfRule type="dataBar" priority="6029">
      <dataBar>
        <cfvo type="min"/>
        <cfvo type="max"/>
        <color rgb="FFFF555A"/>
      </dataBar>
    </cfRule>
  </conditionalFormatting>
  <conditionalFormatting sqref="I2841">
    <cfRule type="dataBar" priority="6028">
      <dataBar>
        <cfvo type="min"/>
        <cfvo type="max"/>
        <color rgb="FFFF555A"/>
      </dataBar>
    </cfRule>
  </conditionalFormatting>
  <conditionalFormatting sqref="J2841">
    <cfRule type="dataBar" priority="6027">
      <dataBar>
        <cfvo type="min"/>
        <cfvo type="max"/>
        <color rgb="FFFF555A"/>
      </dataBar>
    </cfRule>
  </conditionalFormatting>
  <conditionalFormatting sqref="E2842:E2856">
    <cfRule type="dataBar" priority="6026">
      <dataBar>
        <cfvo type="min"/>
        <cfvo type="max"/>
        <color rgb="FFFF555A"/>
      </dataBar>
    </cfRule>
  </conditionalFormatting>
  <conditionalFormatting sqref="H2842:H2856">
    <cfRule type="dataBar" priority="6025">
      <dataBar>
        <cfvo type="min"/>
        <cfvo type="max"/>
        <color rgb="FFFF555A"/>
      </dataBar>
    </cfRule>
  </conditionalFormatting>
  <conditionalFormatting sqref="I2842:I2856">
    <cfRule type="dataBar" priority="6024">
      <dataBar>
        <cfvo type="min"/>
        <cfvo type="max"/>
        <color rgb="FFFF555A"/>
      </dataBar>
    </cfRule>
  </conditionalFormatting>
  <conditionalFormatting sqref="J2842:J2856">
    <cfRule type="dataBar" priority="6023">
      <dataBar>
        <cfvo type="min"/>
        <cfvo type="max"/>
        <color rgb="FFFF555A"/>
      </dataBar>
    </cfRule>
  </conditionalFormatting>
  <conditionalFormatting sqref="L2841:L2856">
    <cfRule type="dataBar" priority="6022">
      <dataBar>
        <cfvo type="min"/>
        <cfvo type="max"/>
        <color rgb="FFFF555A"/>
      </dataBar>
    </cfRule>
  </conditionalFormatting>
  <conditionalFormatting sqref="M2841:M2856">
    <cfRule type="dataBar" priority="6021">
      <dataBar>
        <cfvo type="min"/>
        <cfvo type="max"/>
        <color rgb="FFFF555A"/>
      </dataBar>
    </cfRule>
  </conditionalFormatting>
  <conditionalFormatting sqref="N2841:N2856">
    <cfRule type="dataBar" priority="6020">
      <dataBar>
        <cfvo type="min"/>
        <cfvo type="max"/>
        <color rgb="FFFF555A"/>
      </dataBar>
    </cfRule>
  </conditionalFormatting>
  <conditionalFormatting sqref="Q2841:Q2856">
    <cfRule type="dataBar" priority="6019">
      <dataBar>
        <cfvo type="min"/>
        <cfvo type="max"/>
        <color rgb="FFFF555A"/>
      </dataBar>
    </cfRule>
  </conditionalFormatting>
  <conditionalFormatting sqref="O2841:O2856">
    <cfRule type="dataBar" priority="6018">
      <dataBar>
        <cfvo type="min"/>
        <cfvo type="max"/>
        <color rgb="FFFF555A"/>
      </dataBar>
    </cfRule>
  </conditionalFormatting>
  <conditionalFormatting sqref="P2841:P2856">
    <cfRule type="dataBar" priority="6017">
      <dataBar>
        <cfvo type="min"/>
        <cfvo type="max"/>
        <color rgb="FFFF555A"/>
      </dataBar>
    </cfRule>
  </conditionalFormatting>
  <conditionalFormatting sqref="R2858:R2874 D2858:D2873 C2874">
    <cfRule type="containsText" dxfId="3364" priority="6016" operator="containsText" text="DOWN">
      <formula>NOT(ISERROR(SEARCH("DOWN",C2858)))</formula>
    </cfRule>
  </conditionalFormatting>
  <conditionalFormatting sqref="R2858:R2874 D2858:D2873 C2874">
    <cfRule type="containsText" dxfId="3363" priority="6015" operator="containsText" text="UP">
      <formula>NOT(ISERROR(SEARCH("UP",C2858)))</formula>
    </cfRule>
  </conditionalFormatting>
  <conditionalFormatting sqref="I2874">
    <cfRule type="colorScale" priority="6014">
      <colorScale>
        <cfvo type="min"/>
        <cfvo type="max"/>
        <color rgb="FFFFEF9C"/>
        <color rgb="FF63BE7B"/>
      </colorScale>
    </cfRule>
  </conditionalFormatting>
  <conditionalFormatting sqref="M2874">
    <cfRule type="colorScale" priority="6013">
      <colorScale>
        <cfvo type="min"/>
        <cfvo type="max"/>
        <color rgb="FFFF7128"/>
        <color rgb="FFFFEF9C"/>
      </colorScale>
    </cfRule>
  </conditionalFormatting>
  <conditionalFormatting sqref="Q2874">
    <cfRule type="dataBar" priority="6012">
      <dataBar>
        <cfvo type="min"/>
        <cfvo type="max"/>
        <color rgb="FFFF555A"/>
      </dataBar>
    </cfRule>
  </conditionalFormatting>
  <conditionalFormatting sqref="E2858:E2874">
    <cfRule type="dataBar" priority="6011">
      <dataBar>
        <cfvo type="min"/>
        <cfvo type="max"/>
        <color rgb="FFFF555A"/>
      </dataBar>
    </cfRule>
  </conditionalFormatting>
  <conditionalFormatting sqref="F2874">
    <cfRule type="top10" dxfId="3362" priority="6010" rank="1"/>
  </conditionalFormatting>
  <conditionalFormatting sqref="G2874 P2874">
    <cfRule type="cellIs" dxfId="3361" priority="6009" operator="equal">
      <formula>$G$135</formula>
    </cfRule>
  </conditionalFormatting>
  <conditionalFormatting sqref="P2874">
    <cfRule type="cellIs" dxfId="3360" priority="6008" operator="equal">
      <formula>$J$135</formula>
    </cfRule>
  </conditionalFormatting>
  <conditionalFormatting sqref="G2874 P2874">
    <cfRule type="cellIs" dxfId="3359" priority="6007" operator="equal">
      <formula>#REF!</formula>
    </cfRule>
  </conditionalFormatting>
  <conditionalFormatting sqref="G2874">
    <cfRule type="top10" dxfId="3358" priority="6005" rank="1"/>
    <cfRule type="cellIs" dxfId="3357" priority="6006" operator="equal">
      <formula>$G$133</formula>
    </cfRule>
  </conditionalFormatting>
  <conditionalFormatting sqref="P2874">
    <cfRule type="top10" dxfId="3356" priority="6003" rank="1"/>
    <cfRule type="cellIs" dxfId="3355" priority="6004" operator="equal">
      <formula>$G$133</formula>
    </cfRule>
  </conditionalFormatting>
  <conditionalFormatting sqref="C2858:C2873">
    <cfRule type="containsText" dxfId="3354" priority="5999" operator="containsText" text="Short Buildup">
      <formula>NOT(ISERROR(SEARCH("Short Buildup",C2858)))</formula>
    </cfRule>
    <cfRule type="containsText" dxfId="3353" priority="6000" operator="containsText" text="Long Liquidation">
      <formula>NOT(ISERROR(SEARCH("Long Liquidation",C2858)))</formula>
    </cfRule>
    <cfRule type="containsText" dxfId="3352" priority="6001" operator="containsText" text="Short covering">
      <formula>NOT(ISERROR(SEARCH("Short covering",C2858)))</formula>
    </cfRule>
    <cfRule type="containsText" dxfId="3351" priority="6002" operator="containsText" text="Long Buildup">
      <formula>NOT(ISERROR(SEARCH("Long Buildup",C2858)))</formula>
    </cfRule>
  </conditionalFormatting>
  <conditionalFormatting sqref="H2874">
    <cfRule type="colorScale" priority="5994">
      <colorScale>
        <cfvo type="min"/>
        <cfvo type="percentile" val="20"/>
        <cfvo type="max"/>
        <color rgb="FF92D050"/>
        <color theme="5" tint="0.79998168889431442"/>
        <color rgb="FFFF0000"/>
      </colorScale>
    </cfRule>
    <cfRule type="colorScale" priority="5995">
      <colorScale>
        <cfvo type="min"/>
        <cfvo type="max"/>
        <color rgb="FFFF0000"/>
        <color rgb="FF92D050"/>
      </colorScale>
    </cfRule>
    <cfRule type="colorScale" priority="5996">
      <colorScale>
        <cfvo type="min"/>
        <cfvo type="percentile" val="50"/>
        <cfvo type="max"/>
        <color rgb="FF5A8AC6"/>
        <color rgb="FFFCFCFF"/>
        <color rgb="FFF8696B"/>
      </colorScale>
    </cfRule>
    <cfRule type="colorScale" priority="5997">
      <colorScale>
        <cfvo type="formula" val="&quot;&gt;20&quot;"/>
        <cfvo type="formula" val="35"/>
        <color rgb="FFF8696B"/>
        <color rgb="FFFCFCFF"/>
      </colorScale>
    </cfRule>
    <cfRule type="colorScale" priority="5998">
      <colorScale>
        <cfvo type="min"/>
        <cfvo type="max"/>
        <color rgb="FFFFEF9C"/>
        <color rgb="FF63BE7B"/>
      </colorScale>
    </cfRule>
  </conditionalFormatting>
  <conditionalFormatting sqref="N2874">
    <cfRule type="colorScale" priority="5989">
      <colorScale>
        <cfvo type="min"/>
        <cfvo type="percentile" val="20"/>
        <cfvo type="max"/>
        <color rgb="FF92D050"/>
        <color theme="5" tint="0.79998168889431442"/>
        <color rgb="FFFF0000"/>
      </colorScale>
    </cfRule>
    <cfRule type="colorScale" priority="5990">
      <colorScale>
        <cfvo type="min"/>
        <cfvo type="max"/>
        <color rgb="FFFF0000"/>
        <color rgb="FF92D050"/>
      </colorScale>
    </cfRule>
    <cfRule type="colorScale" priority="5991">
      <colorScale>
        <cfvo type="min"/>
        <cfvo type="percentile" val="50"/>
        <cfvo type="max"/>
        <color rgb="FF5A8AC6"/>
        <color rgb="FFFCFCFF"/>
        <color rgb="FFF8696B"/>
      </colorScale>
    </cfRule>
    <cfRule type="colorScale" priority="5992">
      <colorScale>
        <cfvo type="formula" val="&quot;&gt;20&quot;"/>
        <cfvo type="formula" val="35"/>
        <color rgb="FFF8696B"/>
        <color rgb="FFFCFCFF"/>
      </colorScale>
    </cfRule>
    <cfRule type="colorScale" priority="5993">
      <colorScale>
        <cfvo type="min"/>
        <cfvo type="max"/>
        <color rgb="FFFFEF9C"/>
        <color rgb="FF63BE7B"/>
      </colorScale>
    </cfRule>
  </conditionalFormatting>
  <conditionalFormatting sqref="S2858:S2874">
    <cfRule type="containsText" dxfId="3350" priority="5985" operator="containsText" text="Short Buildup">
      <formula>NOT(ISERROR(SEARCH("Short Buildup",S2858)))</formula>
    </cfRule>
    <cfRule type="containsText" dxfId="3349" priority="5986" operator="containsText" text="Long Liquidation">
      <formula>NOT(ISERROR(SEARCH("Long Liquidation",S2858)))</formula>
    </cfRule>
    <cfRule type="containsText" dxfId="3348" priority="5987" operator="containsText" text="Short covering">
      <formula>NOT(ISERROR(SEARCH("Short covering",S2858)))</formula>
    </cfRule>
    <cfRule type="containsText" dxfId="3347" priority="5988" operator="containsText" text="Long Buildup">
      <formula>NOT(ISERROR(SEARCH("Long Buildup",S2858)))</formula>
    </cfRule>
  </conditionalFormatting>
  <conditionalFormatting sqref="F2858:F2873">
    <cfRule type="dataBar" priority="5984">
      <dataBar>
        <cfvo type="min"/>
        <cfvo type="max"/>
        <color rgb="FFFF555A"/>
      </dataBar>
    </cfRule>
  </conditionalFormatting>
  <conditionalFormatting sqref="G2858:G2873">
    <cfRule type="dataBar" priority="5983">
      <dataBar>
        <cfvo type="min"/>
        <cfvo type="max"/>
        <color rgb="FFFF555A"/>
      </dataBar>
    </cfRule>
  </conditionalFormatting>
  <conditionalFormatting sqref="H2858">
    <cfRule type="dataBar" priority="5982">
      <dataBar>
        <cfvo type="min"/>
        <cfvo type="max"/>
        <color rgb="FFFF555A"/>
      </dataBar>
    </cfRule>
  </conditionalFormatting>
  <conditionalFormatting sqref="I2858">
    <cfRule type="dataBar" priority="5981">
      <dataBar>
        <cfvo type="min"/>
        <cfvo type="max"/>
        <color rgb="FFFF555A"/>
      </dataBar>
    </cfRule>
  </conditionalFormatting>
  <conditionalFormatting sqref="J2858">
    <cfRule type="dataBar" priority="5980">
      <dataBar>
        <cfvo type="min"/>
        <cfvo type="max"/>
        <color rgb="FFFF555A"/>
      </dataBar>
    </cfRule>
  </conditionalFormatting>
  <conditionalFormatting sqref="E2859:E2873">
    <cfRule type="dataBar" priority="5979">
      <dataBar>
        <cfvo type="min"/>
        <cfvo type="max"/>
        <color rgb="FFFF555A"/>
      </dataBar>
    </cfRule>
  </conditionalFormatting>
  <conditionalFormatting sqref="H2859:H2873">
    <cfRule type="dataBar" priority="5978">
      <dataBar>
        <cfvo type="min"/>
        <cfvo type="max"/>
        <color rgb="FFFF555A"/>
      </dataBar>
    </cfRule>
  </conditionalFormatting>
  <conditionalFormatting sqref="I2859:I2873">
    <cfRule type="dataBar" priority="5977">
      <dataBar>
        <cfvo type="min"/>
        <cfvo type="max"/>
        <color rgb="FFFF555A"/>
      </dataBar>
    </cfRule>
  </conditionalFormatting>
  <conditionalFormatting sqref="J2859:J2873">
    <cfRule type="dataBar" priority="5976">
      <dataBar>
        <cfvo type="min"/>
        <cfvo type="max"/>
        <color rgb="FFFF555A"/>
      </dataBar>
    </cfRule>
  </conditionalFormatting>
  <conditionalFormatting sqref="L2858:L2873">
    <cfRule type="dataBar" priority="5975">
      <dataBar>
        <cfvo type="min"/>
        <cfvo type="max"/>
        <color rgb="FFFF555A"/>
      </dataBar>
    </cfRule>
  </conditionalFormatting>
  <conditionalFormatting sqref="M2858:M2873">
    <cfRule type="dataBar" priority="5974">
      <dataBar>
        <cfvo type="min"/>
        <cfvo type="max"/>
        <color rgb="FFFF555A"/>
      </dataBar>
    </cfRule>
  </conditionalFormatting>
  <conditionalFormatting sqref="N2858:N2873">
    <cfRule type="dataBar" priority="5973">
      <dataBar>
        <cfvo type="min"/>
        <cfvo type="max"/>
        <color rgb="FFFF555A"/>
      </dataBar>
    </cfRule>
  </conditionalFormatting>
  <conditionalFormatting sqref="Q2858:Q2873">
    <cfRule type="dataBar" priority="5972">
      <dataBar>
        <cfvo type="min"/>
        <cfvo type="max"/>
        <color rgb="FFFF555A"/>
      </dataBar>
    </cfRule>
  </conditionalFormatting>
  <conditionalFormatting sqref="O2858:O2873">
    <cfRule type="dataBar" priority="5971">
      <dataBar>
        <cfvo type="min"/>
        <cfvo type="max"/>
        <color rgb="FFFF555A"/>
      </dataBar>
    </cfRule>
  </conditionalFormatting>
  <conditionalFormatting sqref="P2858:P2873">
    <cfRule type="dataBar" priority="5970">
      <dataBar>
        <cfvo type="min"/>
        <cfvo type="max"/>
        <color rgb="FFFF555A"/>
      </dataBar>
    </cfRule>
  </conditionalFormatting>
  <conditionalFormatting sqref="R2875:R2891 D2875:D2890 C2891">
    <cfRule type="containsText" dxfId="3346" priority="5969" operator="containsText" text="DOWN">
      <formula>NOT(ISERROR(SEARCH("DOWN",C2875)))</formula>
    </cfRule>
  </conditionalFormatting>
  <conditionalFormatting sqref="R2875:R2891 D2875:D2890 C2891">
    <cfRule type="containsText" dxfId="3345" priority="5968" operator="containsText" text="UP">
      <formula>NOT(ISERROR(SEARCH("UP",C2875)))</formula>
    </cfRule>
  </conditionalFormatting>
  <conditionalFormatting sqref="I2891">
    <cfRule type="colorScale" priority="5967">
      <colorScale>
        <cfvo type="min"/>
        <cfvo type="max"/>
        <color rgb="FFFFEF9C"/>
        <color rgb="FF63BE7B"/>
      </colorScale>
    </cfRule>
  </conditionalFormatting>
  <conditionalFormatting sqref="M2891">
    <cfRule type="colorScale" priority="5966">
      <colorScale>
        <cfvo type="min"/>
        <cfvo type="max"/>
        <color rgb="FFFF7128"/>
        <color rgb="FFFFEF9C"/>
      </colorScale>
    </cfRule>
  </conditionalFormatting>
  <conditionalFormatting sqref="Q2891">
    <cfRule type="dataBar" priority="5965">
      <dataBar>
        <cfvo type="min"/>
        <cfvo type="max"/>
        <color rgb="FFFF555A"/>
      </dataBar>
    </cfRule>
  </conditionalFormatting>
  <conditionalFormatting sqref="E2875:E2891">
    <cfRule type="dataBar" priority="5964">
      <dataBar>
        <cfvo type="min"/>
        <cfvo type="max"/>
        <color rgb="FFFF555A"/>
      </dataBar>
    </cfRule>
  </conditionalFormatting>
  <conditionalFormatting sqref="F2891">
    <cfRule type="top10" dxfId="3344" priority="5963" rank="1"/>
  </conditionalFormatting>
  <conditionalFormatting sqref="G2891 P2891">
    <cfRule type="cellIs" dxfId="3343" priority="5962" operator="equal">
      <formula>$G$135</formula>
    </cfRule>
  </conditionalFormatting>
  <conditionalFormatting sqref="P2891">
    <cfRule type="cellIs" dxfId="3342" priority="5961" operator="equal">
      <formula>$J$135</formula>
    </cfRule>
  </conditionalFormatting>
  <conditionalFormatting sqref="G2891 P2891">
    <cfRule type="cellIs" dxfId="3341" priority="5960" operator="equal">
      <formula>#REF!</formula>
    </cfRule>
  </conditionalFormatting>
  <conditionalFormatting sqref="G2891">
    <cfRule type="top10" dxfId="3340" priority="5958" rank="1"/>
    <cfRule type="cellIs" dxfId="3339" priority="5959" operator="equal">
      <formula>$G$133</formula>
    </cfRule>
  </conditionalFormatting>
  <conditionalFormatting sqref="P2891">
    <cfRule type="top10" dxfId="3338" priority="5956" rank="1"/>
    <cfRule type="cellIs" dxfId="3337" priority="5957" operator="equal">
      <formula>$G$133</formula>
    </cfRule>
  </conditionalFormatting>
  <conditionalFormatting sqref="C2875:C2890">
    <cfRule type="containsText" dxfId="3336" priority="5952" operator="containsText" text="Short Buildup">
      <formula>NOT(ISERROR(SEARCH("Short Buildup",C2875)))</formula>
    </cfRule>
    <cfRule type="containsText" dxfId="3335" priority="5953" operator="containsText" text="Long Liquidation">
      <formula>NOT(ISERROR(SEARCH("Long Liquidation",C2875)))</formula>
    </cfRule>
    <cfRule type="containsText" dxfId="3334" priority="5954" operator="containsText" text="Short covering">
      <formula>NOT(ISERROR(SEARCH("Short covering",C2875)))</formula>
    </cfRule>
    <cfRule type="containsText" dxfId="3333" priority="5955" operator="containsText" text="Long Buildup">
      <formula>NOT(ISERROR(SEARCH("Long Buildup",C2875)))</formula>
    </cfRule>
  </conditionalFormatting>
  <conditionalFormatting sqref="H2891">
    <cfRule type="colorScale" priority="5947">
      <colorScale>
        <cfvo type="min"/>
        <cfvo type="percentile" val="20"/>
        <cfvo type="max"/>
        <color rgb="FF92D050"/>
        <color theme="5" tint="0.79998168889431442"/>
        <color rgb="FFFF0000"/>
      </colorScale>
    </cfRule>
    <cfRule type="colorScale" priority="5948">
      <colorScale>
        <cfvo type="min"/>
        <cfvo type="max"/>
        <color rgb="FFFF0000"/>
        <color rgb="FF92D050"/>
      </colorScale>
    </cfRule>
    <cfRule type="colorScale" priority="5949">
      <colorScale>
        <cfvo type="min"/>
        <cfvo type="percentile" val="50"/>
        <cfvo type="max"/>
        <color rgb="FF5A8AC6"/>
        <color rgb="FFFCFCFF"/>
        <color rgb="FFF8696B"/>
      </colorScale>
    </cfRule>
    <cfRule type="colorScale" priority="5950">
      <colorScale>
        <cfvo type="formula" val="&quot;&gt;20&quot;"/>
        <cfvo type="formula" val="35"/>
        <color rgb="FFF8696B"/>
        <color rgb="FFFCFCFF"/>
      </colorScale>
    </cfRule>
    <cfRule type="colorScale" priority="5951">
      <colorScale>
        <cfvo type="min"/>
        <cfvo type="max"/>
        <color rgb="FFFFEF9C"/>
        <color rgb="FF63BE7B"/>
      </colorScale>
    </cfRule>
  </conditionalFormatting>
  <conditionalFormatting sqref="N2891">
    <cfRule type="colorScale" priority="5942">
      <colorScale>
        <cfvo type="min"/>
        <cfvo type="percentile" val="20"/>
        <cfvo type="max"/>
        <color rgb="FF92D050"/>
        <color theme="5" tint="0.79998168889431442"/>
        <color rgb="FFFF0000"/>
      </colorScale>
    </cfRule>
    <cfRule type="colorScale" priority="5943">
      <colorScale>
        <cfvo type="min"/>
        <cfvo type="max"/>
        <color rgb="FFFF0000"/>
        <color rgb="FF92D050"/>
      </colorScale>
    </cfRule>
    <cfRule type="colorScale" priority="5944">
      <colorScale>
        <cfvo type="min"/>
        <cfvo type="percentile" val="50"/>
        <cfvo type="max"/>
        <color rgb="FF5A8AC6"/>
        <color rgb="FFFCFCFF"/>
        <color rgb="FFF8696B"/>
      </colorScale>
    </cfRule>
    <cfRule type="colorScale" priority="5945">
      <colorScale>
        <cfvo type="formula" val="&quot;&gt;20&quot;"/>
        <cfvo type="formula" val="35"/>
        <color rgb="FFF8696B"/>
        <color rgb="FFFCFCFF"/>
      </colorScale>
    </cfRule>
    <cfRule type="colorScale" priority="5946">
      <colorScale>
        <cfvo type="min"/>
        <cfvo type="max"/>
        <color rgb="FFFFEF9C"/>
        <color rgb="FF63BE7B"/>
      </colorScale>
    </cfRule>
  </conditionalFormatting>
  <conditionalFormatting sqref="S2875:S2891">
    <cfRule type="containsText" dxfId="3332" priority="5938" operator="containsText" text="Short Buildup">
      <formula>NOT(ISERROR(SEARCH("Short Buildup",S2875)))</formula>
    </cfRule>
    <cfRule type="containsText" dxfId="3331" priority="5939" operator="containsText" text="Long Liquidation">
      <formula>NOT(ISERROR(SEARCH("Long Liquidation",S2875)))</formula>
    </cfRule>
    <cfRule type="containsText" dxfId="3330" priority="5940" operator="containsText" text="Short covering">
      <formula>NOT(ISERROR(SEARCH("Short covering",S2875)))</formula>
    </cfRule>
    <cfRule type="containsText" dxfId="3329" priority="5941" operator="containsText" text="Long Buildup">
      <formula>NOT(ISERROR(SEARCH("Long Buildup",S2875)))</formula>
    </cfRule>
  </conditionalFormatting>
  <conditionalFormatting sqref="F2875:F2890">
    <cfRule type="dataBar" priority="5937">
      <dataBar>
        <cfvo type="min"/>
        <cfvo type="max"/>
        <color rgb="FFFF555A"/>
      </dataBar>
    </cfRule>
  </conditionalFormatting>
  <conditionalFormatting sqref="G2875:G2890">
    <cfRule type="dataBar" priority="5936">
      <dataBar>
        <cfvo type="min"/>
        <cfvo type="max"/>
        <color rgb="FFFF555A"/>
      </dataBar>
    </cfRule>
  </conditionalFormatting>
  <conditionalFormatting sqref="H2875">
    <cfRule type="dataBar" priority="5935">
      <dataBar>
        <cfvo type="min"/>
        <cfvo type="max"/>
        <color rgb="FFFF555A"/>
      </dataBar>
    </cfRule>
  </conditionalFormatting>
  <conditionalFormatting sqref="I2875">
    <cfRule type="dataBar" priority="5934">
      <dataBar>
        <cfvo type="min"/>
        <cfvo type="max"/>
        <color rgb="FFFF555A"/>
      </dataBar>
    </cfRule>
  </conditionalFormatting>
  <conditionalFormatting sqref="J2875">
    <cfRule type="dataBar" priority="5933">
      <dataBar>
        <cfvo type="min"/>
        <cfvo type="max"/>
        <color rgb="FFFF555A"/>
      </dataBar>
    </cfRule>
  </conditionalFormatting>
  <conditionalFormatting sqref="E2876:E2890">
    <cfRule type="dataBar" priority="5932">
      <dataBar>
        <cfvo type="min"/>
        <cfvo type="max"/>
        <color rgb="FFFF555A"/>
      </dataBar>
    </cfRule>
  </conditionalFormatting>
  <conditionalFormatting sqref="H2876:H2890">
    <cfRule type="dataBar" priority="5931">
      <dataBar>
        <cfvo type="min"/>
        <cfvo type="max"/>
        <color rgb="FFFF555A"/>
      </dataBar>
    </cfRule>
  </conditionalFormatting>
  <conditionalFormatting sqref="I2876:I2890">
    <cfRule type="dataBar" priority="5930">
      <dataBar>
        <cfvo type="min"/>
        <cfvo type="max"/>
        <color rgb="FFFF555A"/>
      </dataBar>
    </cfRule>
  </conditionalFormatting>
  <conditionalFormatting sqref="J2876:J2890">
    <cfRule type="dataBar" priority="5929">
      <dataBar>
        <cfvo type="min"/>
        <cfvo type="max"/>
        <color rgb="FFFF555A"/>
      </dataBar>
    </cfRule>
  </conditionalFormatting>
  <conditionalFormatting sqref="L2875:L2890">
    <cfRule type="dataBar" priority="5928">
      <dataBar>
        <cfvo type="min"/>
        <cfvo type="max"/>
        <color rgb="FFFF555A"/>
      </dataBar>
    </cfRule>
  </conditionalFormatting>
  <conditionalFormatting sqref="M2875:M2890">
    <cfRule type="dataBar" priority="5927">
      <dataBar>
        <cfvo type="min"/>
        <cfvo type="max"/>
        <color rgb="FFFF555A"/>
      </dataBar>
    </cfRule>
  </conditionalFormatting>
  <conditionalFormatting sqref="N2875:N2890">
    <cfRule type="dataBar" priority="5926">
      <dataBar>
        <cfvo type="min"/>
        <cfvo type="max"/>
        <color rgb="FFFF555A"/>
      </dataBar>
    </cfRule>
  </conditionalFormatting>
  <conditionalFormatting sqref="Q2875:Q2890">
    <cfRule type="dataBar" priority="5925">
      <dataBar>
        <cfvo type="min"/>
        <cfvo type="max"/>
        <color rgb="FFFF555A"/>
      </dataBar>
    </cfRule>
  </conditionalFormatting>
  <conditionalFormatting sqref="O2875:O2890">
    <cfRule type="dataBar" priority="5924">
      <dataBar>
        <cfvo type="min"/>
        <cfvo type="max"/>
        <color rgb="FFFF555A"/>
      </dataBar>
    </cfRule>
  </conditionalFormatting>
  <conditionalFormatting sqref="P2875:P2890">
    <cfRule type="dataBar" priority="5923">
      <dataBar>
        <cfvo type="min"/>
        <cfvo type="max"/>
        <color rgb="FFFF555A"/>
      </dataBar>
    </cfRule>
  </conditionalFormatting>
  <conditionalFormatting sqref="R2892:R2908 D2892:D2907 C2908">
    <cfRule type="containsText" dxfId="3328" priority="5922" operator="containsText" text="DOWN">
      <formula>NOT(ISERROR(SEARCH("DOWN",C2892)))</formula>
    </cfRule>
  </conditionalFormatting>
  <conditionalFormatting sqref="R2892:R2908 D2892:D2907 C2908">
    <cfRule type="containsText" dxfId="3327" priority="5921" operator="containsText" text="UP">
      <formula>NOT(ISERROR(SEARCH("UP",C2892)))</formula>
    </cfRule>
  </conditionalFormatting>
  <conditionalFormatting sqref="I2908">
    <cfRule type="colorScale" priority="5920">
      <colorScale>
        <cfvo type="min"/>
        <cfvo type="max"/>
        <color rgb="FFFFEF9C"/>
        <color rgb="FF63BE7B"/>
      </colorScale>
    </cfRule>
  </conditionalFormatting>
  <conditionalFormatting sqref="M2908">
    <cfRule type="colorScale" priority="5919">
      <colorScale>
        <cfvo type="min"/>
        <cfvo type="max"/>
        <color rgb="FFFF7128"/>
        <color rgb="FFFFEF9C"/>
      </colorScale>
    </cfRule>
  </conditionalFormatting>
  <conditionalFormatting sqref="Q2908">
    <cfRule type="dataBar" priority="5918">
      <dataBar>
        <cfvo type="min"/>
        <cfvo type="max"/>
        <color rgb="FFFF555A"/>
      </dataBar>
    </cfRule>
  </conditionalFormatting>
  <conditionalFormatting sqref="E2892:E2908">
    <cfRule type="dataBar" priority="5917">
      <dataBar>
        <cfvo type="min"/>
        <cfvo type="max"/>
        <color rgb="FFFF555A"/>
      </dataBar>
    </cfRule>
  </conditionalFormatting>
  <conditionalFormatting sqref="F2908">
    <cfRule type="top10" dxfId="3326" priority="5916" rank="1"/>
  </conditionalFormatting>
  <conditionalFormatting sqref="G2908 P2908">
    <cfRule type="cellIs" dxfId="3325" priority="5915" operator="equal">
      <formula>$G$135</formula>
    </cfRule>
  </conditionalFormatting>
  <conditionalFormatting sqref="P2908">
    <cfRule type="cellIs" dxfId="3324" priority="5914" operator="equal">
      <formula>$J$135</formula>
    </cfRule>
  </conditionalFormatting>
  <conditionalFormatting sqref="G2908 P2908">
    <cfRule type="cellIs" dxfId="3323" priority="5913" operator="equal">
      <formula>#REF!</formula>
    </cfRule>
  </conditionalFormatting>
  <conditionalFormatting sqref="G2908">
    <cfRule type="top10" dxfId="3322" priority="5911" rank="1"/>
    <cfRule type="cellIs" dxfId="3321" priority="5912" operator="equal">
      <formula>$G$133</formula>
    </cfRule>
  </conditionalFormatting>
  <conditionalFormatting sqref="P2908">
    <cfRule type="top10" dxfId="3320" priority="5909" rank="1"/>
    <cfRule type="cellIs" dxfId="3319" priority="5910" operator="equal">
      <formula>$G$133</formula>
    </cfRule>
  </conditionalFormatting>
  <conditionalFormatting sqref="C2892:C2907">
    <cfRule type="containsText" dxfId="3318" priority="5905" operator="containsText" text="Short Buildup">
      <formula>NOT(ISERROR(SEARCH("Short Buildup",C2892)))</formula>
    </cfRule>
    <cfRule type="containsText" dxfId="3317" priority="5906" operator="containsText" text="Long Liquidation">
      <formula>NOT(ISERROR(SEARCH("Long Liquidation",C2892)))</formula>
    </cfRule>
    <cfRule type="containsText" dxfId="3316" priority="5907" operator="containsText" text="Short covering">
      <formula>NOT(ISERROR(SEARCH("Short covering",C2892)))</formula>
    </cfRule>
    <cfRule type="containsText" dxfId="3315" priority="5908" operator="containsText" text="Long Buildup">
      <formula>NOT(ISERROR(SEARCH("Long Buildup",C2892)))</formula>
    </cfRule>
  </conditionalFormatting>
  <conditionalFormatting sqref="H2908">
    <cfRule type="colorScale" priority="5900">
      <colorScale>
        <cfvo type="min"/>
        <cfvo type="percentile" val="20"/>
        <cfvo type="max"/>
        <color rgb="FF92D050"/>
        <color theme="5" tint="0.79998168889431442"/>
        <color rgb="FFFF0000"/>
      </colorScale>
    </cfRule>
    <cfRule type="colorScale" priority="5901">
      <colorScale>
        <cfvo type="min"/>
        <cfvo type="max"/>
        <color rgb="FFFF0000"/>
        <color rgb="FF92D050"/>
      </colorScale>
    </cfRule>
    <cfRule type="colorScale" priority="5902">
      <colorScale>
        <cfvo type="min"/>
        <cfvo type="percentile" val="50"/>
        <cfvo type="max"/>
        <color rgb="FF5A8AC6"/>
        <color rgb="FFFCFCFF"/>
        <color rgb="FFF8696B"/>
      </colorScale>
    </cfRule>
    <cfRule type="colorScale" priority="5903">
      <colorScale>
        <cfvo type="formula" val="&quot;&gt;20&quot;"/>
        <cfvo type="formula" val="35"/>
        <color rgb="FFF8696B"/>
        <color rgb="FFFCFCFF"/>
      </colorScale>
    </cfRule>
    <cfRule type="colorScale" priority="5904">
      <colorScale>
        <cfvo type="min"/>
        <cfvo type="max"/>
        <color rgb="FFFFEF9C"/>
        <color rgb="FF63BE7B"/>
      </colorScale>
    </cfRule>
  </conditionalFormatting>
  <conditionalFormatting sqref="N2908">
    <cfRule type="colorScale" priority="5895">
      <colorScale>
        <cfvo type="min"/>
        <cfvo type="percentile" val="20"/>
        <cfvo type="max"/>
        <color rgb="FF92D050"/>
        <color theme="5" tint="0.79998168889431442"/>
        <color rgb="FFFF0000"/>
      </colorScale>
    </cfRule>
    <cfRule type="colorScale" priority="5896">
      <colorScale>
        <cfvo type="min"/>
        <cfvo type="max"/>
        <color rgb="FFFF0000"/>
        <color rgb="FF92D050"/>
      </colorScale>
    </cfRule>
    <cfRule type="colorScale" priority="5897">
      <colorScale>
        <cfvo type="min"/>
        <cfvo type="percentile" val="50"/>
        <cfvo type="max"/>
        <color rgb="FF5A8AC6"/>
        <color rgb="FFFCFCFF"/>
        <color rgb="FFF8696B"/>
      </colorScale>
    </cfRule>
    <cfRule type="colorScale" priority="5898">
      <colorScale>
        <cfvo type="formula" val="&quot;&gt;20&quot;"/>
        <cfvo type="formula" val="35"/>
        <color rgb="FFF8696B"/>
        <color rgb="FFFCFCFF"/>
      </colorScale>
    </cfRule>
    <cfRule type="colorScale" priority="5899">
      <colorScale>
        <cfvo type="min"/>
        <cfvo type="max"/>
        <color rgb="FFFFEF9C"/>
        <color rgb="FF63BE7B"/>
      </colorScale>
    </cfRule>
  </conditionalFormatting>
  <conditionalFormatting sqref="S2892:S2908">
    <cfRule type="containsText" dxfId="3314" priority="5891" operator="containsText" text="Short Buildup">
      <formula>NOT(ISERROR(SEARCH("Short Buildup",S2892)))</formula>
    </cfRule>
    <cfRule type="containsText" dxfId="3313" priority="5892" operator="containsText" text="Long Liquidation">
      <formula>NOT(ISERROR(SEARCH("Long Liquidation",S2892)))</formula>
    </cfRule>
    <cfRule type="containsText" dxfId="3312" priority="5893" operator="containsText" text="Short covering">
      <formula>NOT(ISERROR(SEARCH("Short covering",S2892)))</formula>
    </cfRule>
    <cfRule type="containsText" dxfId="3311" priority="5894" operator="containsText" text="Long Buildup">
      <formula>NOT(ISERROR(SEARCH("Long Buildup",S2892)))</formula>
    </cfRule>
  </conditionalFormatting>
  <conditionalFormatting sqref="F2892:F2907">
    <cfRule type="dataBar" priority="5890">
      <dataBar>
        <cfvo type="min"/>
        <cfvo type="max"/>
        <color rgb="FFFF555A"/>
      </dataBar>
    </cfRule>
  </conditionalFormatting>
  <conditionalFormatting sqref="G2892:G2907">
    <cfRule type="dataBar" priority="5889">
      <dataBar>
        <cfvo type="min"/>
        <cfvo type="max"/>
        <color rgb="FFFF555A"/>
      </dataBar>
    </cfRule>
  </conditionalFormatting>
  <conditionalFormatting sqref="H2892">
    <cfRule type="dataBar" priority="5888">
      <dataBar>
        <cfvo type="min"/>
        <cfvo type="max"/>
        <color rgb="FFFF555A"/>
      </dataBar>
    </cfRule>
  </conditionalFormatting>
  <conditionalFormatting sqref="I2892">
    <cfRule type="dataBar" priority="5887">
      <dataBar>
        <cfvo type="min"/>
        <cfvo type="max"/>
        <color rgb="FFFF555A"/>
      </dataBar>
    </cfRule>
  </conditionalFormatting>
  <conditionalFormatting sqref="J2892">
    <cfRule type="dataBar" priority="5886">
      <dataBar>
        <cfvo type="min"/>
        <cfvo type="max"/>
        <color rgb="FFFF555A"/>
      </dataBar>
    </cfRule>
  </conditionalFormatting>
  <conditionalFormatting sqref="E2893:E2907">
    <cfRule type="dataBar" priority="5885">
      <dataBar>
        <cfvo type="min"/>
        <cfvo type="max"/>
        <color rgb="FFFF555A"/>
      </dataBar>
    </cfRule>
  </conditionalFormatting>
  <conditionalFormatting sqref="H2893:H2907">
    <cfRule type="dataBar" priority="5884">
      <dataBar>
        <cfvo type="min"/>
        <cfvo type="max"/>
        <color rgb="FFFF555A"/>
      </dataBar>
    </cfRule>
  </conditionalFormatting>
  <conditionalFormatting sqref="I2893:I2907">
    <cfRule type="dataBar" priority="5883">
      <dataBar>
        <cfvo type="min"/>
        <cfvo type="max"/>
        <color rgb="FFFF555A"/>
      </dataBar>
    </cfRule>
  </conditionalFormatting>
  <conditionalFormatting sqref="J2893:J2907">
    <cfRule type="dataBar" priority="5882">
      <dataBar>
        <cfvo type="min"/>
        <cfvo type="max"/>
        <color rgb="FFFF555A"/>
      </dataBar>
    </cfRule>
  </conditionalFormatting>
  <conditionalFormatting sqref="L2892:L2907">
    <cfRule type="dataBar" priority="5881">
      <dataBar>
        <cfvo type="min"/>
        <cfvo type="max"/>
        <color rgb="FFFF555A"/>
      </dataBar>
    </cfRule>
  </conditionalFormatting>
  <conditionalFormatting sqref="M2892:M2907">
    <cfRule type="dataBar" priority="5880">
      <dataBar>
        <cfvo type="min"/>
        <cfvo type="max"/>
        <color rgb="FFFF555A"/>
      </dataBar>
    </cfRule>
  </conditionalFormatting>
  <conditionalFormatting sqref="N2892:N2907">
    <cfRule type="dataBar" priority="5879">
      <dataBar>
        <cfvo type="min"/>
        <cfvo type="max"/>
        <color rgb="FFFF555A"/>
      </dataBar>
    </cfRule>
  </conditionalFormatting>
  <conditionalFormatting sqref="Q2892:Q2907">
    <cfRule type="dataBar" priority="5878">
      <dataBar>
        <cfvo type="min"/>
        <cfvo type="max"/>
        <color rgb="FFFF555A"/>
      </dataBar>
    </cfRule>
  </conditionalFormatting>
  <conditionalFormatting sqref="O2892:O2907">
    <cfRule type="dataBar" priority="5877">
      <dataBar>
        <cfvo type="min"/>
        <cfvo type="max"/>
        <color rgb="FFFF555A"/>
      </dataBar>
    </cfRule>
  </conditionalFormatting>
  <conditionalFormatting sqref="P2892:P2907">
    <cfRule type="dataBar" priority="5876">
      <dataBar>
        <cfvo type="min"/>
        <cfvo type="max"/>
        <color rgb="FFFF555A"/>
      </dataBar>
    </cfRule>
  </conditionalFormatting>
  <conditionalFormatting sqref="R2909:R2925 D2909:D2924 C2925">
    <cfRule type="containsText" dxfId="3310" priority="5875" operator="containsText" text="DOWN">
      <formula>NOT(ISERROR(SEARCH("DOWN",C2909)))</formula>
    </cfRule>
  </conditionalFormatting>
  <conditionalFormatting sqref="R2909:R2925 D2909:D2924 C2925">
    <cfRule type="containsText" dxfId="3309" priority="5874" operator="containsText" text="UP">
      <formula>NOT(ISERROR(SEARCH("UP",C2909)))</formula>
    </cfRule>
  </conditionalFormatting>
  <conditionalFormatting sqref="I2925">
    <cfRule type="colorScale" priority="5873">
      <colorScale>
        <cfvo type="min"/>
        <cfvo type="max"/>
        <color rgb="FFFFEF9C"/>
        <color rgb="FF63BE7B"/>
      </colorScale>
    </cfRule>
  </conditionalFormatting>
  <conditionalFormatting sqref="M2925">
    <cfRule type="colorScale" priority="5872">
      <colorScale>
        <cfvo type="min"/>
        <cfvo type="max"/>
        <color rgb="FFFF7128"/>
        <color rgb="FFFFEF9C"/>
      </colorScale>
    </cfRule>
  </conditionalFormatting>
  <conditionalFormatting sqref="Q2925">
    <cfRule type="dataBar" priority="5871">
      <dataBar>
        <cfvo type="min"/>
        <cfvo type="max"/>
        <color rgb="FFFF555A"/>
      </dataBar>
    </cfRule>
  </conditionalFormatting>
  <conditionalFormatting sqref="E2909:E2925">
    <cfRule type="dataBar" priority="5870">
      <dataBar>
        <cfvo type="min"/>
        <cfvo type="max"/>
        <color rgb="FFFF555A"/>
      </dataBar>
    </cfRule>
  </conditionalFormatting>
  <conditionalFormatting sqref="F2925">
    <cfRule type="top10" dxfId="3308" priority="5869" rank="1"/>
  </conditionalFormatting>
  <conditionalFormatting sqref="G2925 P2925">
    <cfRule type="cellIs" dxfId="3307" priority="5868" operator="equal">
      <formula>$G$135</formula>
    </cfRule>
  </conditionalFormatting>
  <conditionalFormatting sqref="P2925">
    <cfRule type="cellIs" dxfId="3306" priority="5867" operator="equal">
      <formula>$J$135</formula>
    </cfRule>
  </conditionalFormatting>
  <conditionalFormatting sqref="G2925 P2925">
    <cfRule type="cellIs" dxfId="3305" priority="5866" operator="equal">
      <formula>#REF!</formula>
    </cfRule>
  </conditionalFormatting>
  <conditionalFormatting sqref="G2925">
    <cfRule type="top10" dxfId="3304" priority="5864" rank="1"/>
    <cfRule type="cellIs" dxfId="3303" priority="5865" operator="equal">
      <formula>$G$133</formula>
    </cfRule>
  </conditionalFormatting>
  <conditionalFormatting sqref="P2925">
    <cfRule type="top10" dxfId="3302" priority="5862" rank="1"/>
    <cfRule type="cellIs" dxfId="3301" priority="5863" operator="equal">
      <formula>$G$133</formula>
    </cfRule>
  </conditionalFormatting>
  <conditionalFormatting sqref="C2909:C2924">
    <cfRule type="containsText" dxfId="3300" priority="5858" operator="containsText" text="Short Buildup">
      <formula>NOT(ISERROR(SEARCH("Short Buildup",C2909)))</formula>
    </cfRule>
    <cfRule type="containsText" dxfId="3299" priority="5859" operator="containsText" text="Long Liquidation">
      <formula>NOT(ISERROR(SEARCH("Long Liquidation",C2909)))</formula>
    </cfRule>
    <cfRule type="containsText" dxfId="3298" priority="5860" operator="containsText" text="Short covering">
      <formula>NOT(ISERROR(SEARCH("Short covering",C2909)))</formula>
    </cfRule>
    <cfRule type="containsText" dxfId="3297" priority="5861" operator="containsText" text="Long Buildup">
      <formula>NOT(ISERROR(SEARCH("Long Buildup",C2909)))</formula>
    </cfRule>
  </conditionalFormatting>
  <conditionalFormatting sqref="H2925">
    <cfRule type="colorScale" priority="5853">
      <colorScale>
        <cfvo type="min"/>
        <cfvo type="percentile" val="20"/>
        <cfvo type="max"/>
        <color rgb="FF92D050"/>
        <color theme="5" tint="0.79998168889431442"/>
        <color rgb="FFFF0000"/>
      </colorScale>
    </cfRule>
    <cfRule type="colorScale" priority="5854">
      <colorScale>
        <cfvo type="min"/>
        <cfvo type="max"/>
        <color rgb="FFFF0000"/>
        <color rgb="FF92D050"/>
      </colorScale>
    </cfRule>
    <cfRule type="colorScale" priority="5855">
      <colorScale>
        <cfvo type="min"/>
        <cfvo type="percentile" val="50"/>
        <cfvo type="max"/>
        <color rgb="FF5A8AC6"/>
        <color rgb="FFFCFCFF"/>
        <color rgb="FFF8696B"/>
      </colorScale>
    </cfRule>
    <cfRule type="colorScale" priority="5856">
      <colorScale>
        <cfvo type="formula" val="&quot;&gt;20&quot;"/>
        <cfvo type="formula" val="35"/>
        <color rgb="FFF8696B"/>
        <color rgb="FFFCFCFF"/>
      </colorScale>
    </cfRule>
    <cfRule type="colorScale" priority="5857">
      <colorScale>
        <cfvo type="min"/>
        <cfvo type="max"/>
        <color rgb="FFFFEF9C"/>
        <color rgb="FF63BE7B"/>
      </colorScale>
    </cfRule>
  </conditionalFormatting>
  <conditionalFormatting sqref="N2925">
    <cfRule type="colorScale" priority="5848">
      <colorScale>
        <cfvo type="min"/>
        <cfvo type="percentile" val="20"/>
        <cfvo type="max"/>
        <color rgb="FF92D050"/>
        <color theme="5" tint="0.79998168889431442"/>
        <color rgb="FFFF0000"/>
      </colorScale>
    </cfRule>
    <cfRule type="colorScale" priority="5849">
      <colorScale>
        <cfvo type="min"/>
        <cfvo type="max"/>
        <color rgb="FFFF0000"/>
        <color rgb="FF92D050"/>
      </colorScale>
    </cfRule>
    <cfRule type="colorScale" priority="5850">
      <colorScale>
        <cfvo type="min"/>
        <cfvo type="percentile" val="50"/>
        <cfvo type="max"/>
        <color rgb="FF5A8AC6"/>
        <color rgb="FFFCFCFF"/>
        <color rgb="FFF8696B"/>
      </colorScale>
    </cfRule>
    <cfRule type="colorScale" priority="5851">
      <colorScale>
        <cfvo type="formula" val="&quot;&gt;20&quot;"/>
        <cfvo type="formula" val="35"/>
        <color rgb="FFF8696B"/>
        <color rgb="FFFCFCFF"/>
      </colorScale>
    </cfRule>
    <cfRule type="colorScale" priority="5852">
      <colorScale>
        <cfvo type="min"/>
        <cfvo type="max"/>
        <color rgb="FFFFEF9C"/>
        <color rgb="FF63BE7B"/>
      </colorScale>
    </cfRule>
  </conditionalFormatting>
  <conditionalFormatting sqref="S2909:S2925">
    <cfRule type="containsText" dxfId="3296" priority="5844" operator="containsText" text="Short Buildup">
      <formula>NOT(ISERROR(SEARCH("Short Buildup",S2909)))</formula>
    </cfRule>
    <cfRule type="containsText" dxfId="3295" priority="5845" operator="containsText" text="Long Liquidation">
      <formula>NOT(ISERROR(SEARCH("Long Liquidation",S2909)))</formula>
    </cfRule>
    <cfRule type="containsText" dxfId="3294" priority="5846" operator="containsText" text="Short covering">
      <formula>NOT(ISERROR(SEARCH("Short covering",S2909)))</formula>
    </cfRule>
    <cfRule type="containsText" dxfId="3293" priority="5847" operator="containsText" text="Long Buildup">
      <formula>NOT(ISERROR(SEARCH("Long Buildup",S2909)))</formula>
    </cfRule>
  </conditionalFormatting>
  <conditionalFormatting sqref="F2909:F2924">
    <cfRule type="dataBar" priority="5843">
      <dataBar>
        <cfvo type="min"/>
        <cfvo type="max"/>
        <color rgb="FFFF555A"/>
      </dataBar>
    </cfRule>
  </conditionalFormatting>
  <conditionalFormatting sqref="G2909:G2924">
    <cfRule type="dataBar" priority="5842">
      <dataBar>
        <cfvo type="min"/>
        <cfvo type="max"/>
        <color rgb="FFFF555A"/>
      </dataBar>
    </cfRule>
  </conditionalFormatting>
  <conditionalFormatting sqref="H2909">
    <cfRule type="dataBar" priority="5841">
      <dataBar>
        <cfvo type="min"/>
        <cfvo type="max"/>
        <color rgb="FFFF555A"/>
      </dataBar>
    </cfRule>
  </conditionalFormatting>
  <conditionalFormatting sqref="I2909">
    <cfRule type="dataBar" priority="5840">
      <dataBar>
        <cfvo type="min"/>
        <cfvo type="max"/>
        <color rgb="FFFF555A"/>
      </dataBar>
    </cfRule>
  </conditionalFormatting>
  <conditionalFormatting sqref="J2909">
    <cfRule type="dataBar" priority="5839">
      <dataBar>
        <cfvo type="min"/>
        <cfvo type="max"/>
        <color rgb="FFFF555A"/>
      </dataBar>
    </cfRule>
  </conditionalFormatting>
  <conditionalFormatting sqref="E2910:E2924">
    <cfRule type="dataBar" priority="5838">
      <dataBar>
        <cfvo type="min"/>
        <cfvo type="max"/>
        <color rgb="FFFF555A"/>
      </dataBar>
    </cfRule>
  </conditionalFormatting>
  <conditionalFormatting sqref="H2910:H2924">
    <cfRule type="dataBar" priority="5837">
      <dataBar>
        <cfvo type="min"/>
        <cfvo type="max"/>
        <color rgb="FFFF555A"/>
      </dataBar>
    </cfRule>
  </conditionalFormatting>
  <conditionalFormatting sqref="I2910:I2924">
    <cfRule type="dataBar" priority="5836">
      <dataBar>
        <cfvo type="min"/>
        <cfvo type="max"/>
        <color rgb="FFFF555A"/>
      </dataBar>
    </cfRule>
  </conditionalFormatting>
  <conditionalFormatting sqref="J2910:J2924">
    <cfRule type="dataBar" priority="5835">
      <dataBar>
        <cfvo type="min"/>
        <cfvo type="max"/>
        <color rgb="FFFF555A"/>
      </dataBar>
    </cfRule>
  </conditionalFormatting>
  <conditionalFormatting sqref="L2909:L2924">
    <cfRule type="dataBar" priority="5834">
      <dataBar>
        <cfvo type="min"/>
        <cfvo type="max"/>
        <color rgb="FFFF555A"/>
      </dataBar>
    </cfRule>
  </conditionalFormatting>
  <conditionalFormatting sqref="M2909:M2924">
    <cfRule type="dataBar" priority="5833">
      <dataBar>
        <cfvo type="min"/>
        <cfvo type="max"/>
        <color rgb="FFFF555A"/>
      </dataBar>
    </cfRule>
  </conditionalFormatting>
  <conditionalFormatting sqref="N2909:N2924">
    <cfRule type="dataBar" priority="5832">
      <dataBar>
        <cfvo type="min"/>
        <cfvo type="max"/>
        <color rgb="FFFF555A"/>
      </dataBar>
    </cfRule>
  </conditionalFormatting>
  <conditionalFormatting sqref="Q2909:Q2924">
    <cfRule type="dataBar" priority="5831">
      <dataBar>
        <cfvo type="min"/>
        <cfvo type="max"/>
        <color rgb="FFFF555A"/>
      </dataBar>
    </cfRule>
  </conditionalFormatting>
  <conditionalFormatting sqref="O2909:O2924">
    <cfRule type="dataBar" priority="5830">
      <dataBar>
        <cfvo type="min"/>
        <cfvo type="max"/>
        <color rgb="FFFF555A"/>
      </dataBar>
    </cfRule>
  </conditionalFormatting>
  <conditionalFormatting sqref="P2909:P2924">
    <cfRule type="dataBar" priority="5829">
      <dataBar>
        <cfvo type="min"/>
        <cfvo type="max"/>
        <color rgb="FFFF555A"/>
      </dataBar>
    </cfRule>
  </conditionalFormatting>
  <conditionalFormatting sqref="R2926:R2942 D2926:D2941 C2942">
    <cfRule type="containsText" dxfId="3292" priority="5828" operator="containsText" text="DOWN">
      <formula>NOT(ISERROR(SEARCH("DOWN",C2926)))</formula>
    </cfRule>
  </conditionalFormatting>
  <conditionalFormatting sqref="R2926:R2942 D2926:D2941 C2942">
    <cfRule type="containsText" dxfId="3291" priority="5827" operator="containsText" text="UP">
      <formula>NOT(ISERROR(SEARCH("UP",C2926)))</formula>
    </cfRule>
  </conditionalFormatting>
  <conditionalFormatting sqref="I2942">
    <cfRule type="colorScale" priority="5826">
      <colorScale>
        <cfvo type="min"/>
        <cfvo type="max"/>
        <color rgb="FFFFEF9C"/>
        <color rgb="FF63BE7B"/>
      </colorScale>
    </cfRule>
  </conditionalFormatting>
  <conditionalFormatting sqref="M2942">
    <cfRule type="colorScale" priority="5825">
      <colorScale>
        <cfvo type="min"/>
        <cfvo type="max"/>
        <color rgb="FFFF7128"/>
        <color rgb="FFFFEF9C"/>
      </colorScale>
    </cfRule>
  </conditionalFormatting>
  <conditionalFormatting sqref="Q2942">
    <cfRule type="dataBar" priority="5824">
      <dataBar>
        <cfvo type="min"/>
        <cfvo type="max"/>
        <color rgb="FFFF555A"/>
      </dataBar>
    </cfRule>
  </conditionalFormatting>
  <conditionalFormatting sqref="E2926:E2942">
    <cfRule type="dataBar" priority="5823">
      <dataBar>
        <cfvo type="min"/>
        <cfvo type="max"/>
        <color rgb="FFFF555A"/>
      </dataBar>
    </cfRule>
  </conditionalFormatting>
  <conditionalFormatting sqref="F2942">
    <cfRule type="top10" dxfId="3290" priority="5822" rank="1"/>
  </conditionalFormatting>
  <conditionalFormatting sqref="G2942 P2942">
    <cfRule type="cellIs" dxfId="3289" priority="5821" operator="equal">
      <formula>$G$135</formula>
    </cfRule>
  </conditionalFormatting>
  <conditionalFormatting sqref="P2942">
    <cfRule type="cellIs" dxfId="3288" priority="5820" operator="equal">
      <formula>$J$135</formula>
    </cfRule>
  </conditionalFormatting>
  <conditionalFormatting sqref="G2942 P2942">
    <cfRule type="cellIs" dxfId="3287" priority="5819" operator="equal">
      <formula>#REF!</formula>
    </cfRule>
  </conditionalFormatting>
  <conditionalFormatting sqref="G2942">
    <cfRule type="top10" dxfId="3286" priority="5817" rank="1"/>
    <cfRule type="cellIs" dxfId="3285" priority="5818" operator="equal">
      <formula>$G$133</formula>
    </cfRule>
  </conditionalFormatting>
  <conditionalFormatting sqref="P2942">
    <cfRule type="top10" dxfId="3284" priority="5815" rank="1"/>
    <cfRule type="cellIs" dxfId="3283" priority="5816" operator="equal">
      <formula>$G$133</formula>
    </cfRule>
  </conditionalFormatting>
  <conditionalFormatting sqref="C2926:C2941">
    <cfRule type="containsText" dxfId="3282" priority="5811" operator="containsText" text="Short Buildup">
      <formula>NOT(ISERROR(SEARCH("Short Buildup",C2926)))</formula>
    </cfRule>
    <cfRule type="containsText" dxfId="3281" priority="5812" operator="containsText" text="Long Liquidation">
      <formula>NOT(ISERROR(SEARCH("Long Liquidation",C2926)))</formula>
    </cfRule>
    <cfRule type="containsText" dxfId="3280" priority="5813" operator="containsText" text="Short covering">
      <formula>NOT(ISERROR(SEARCH("Short covering",C2926)))</formula>
    </cfRule>
    <cfRule type="containsText" dxfId="3279" priority="5814" operator="containsText" text="Long Buildup">
      <formula>NOT(ISERROR(SEARCH("Long Buildup",C2926)))</formula>
    </cfRule>
  </conditionalFormatting>
  <conditionalFormatting sqref="H2942">
    <cfRule type="colorScale" priority="5806">
      <colorScale>
        <cfvo type="min"/>
        <cfvo type="percentile" val="20"/>
        <cfvo type="max"/>
        <color rgb="FF92D050"/>
        <color theme="5" tint="0.79998168889431442"/>
        <color rgb="FFFF0000"/>
      </colorScale>
    </cfRule>
    <cfRule type="colorScale" priority="5807">
      <colorScale>
        <cfvo type="min"/>
        <cfvo type="max"/>
        <color rgb="FFFF0000"/>
        <color rgb="FF92D050"/>
      </colorScale>
    </cfRule>
    <cfRule type="colorScale" priority="5808">
      <colorScale>
        <cfvo type="min"/>
        <cfvo type="percentile" val="50"/>
        <cfvo type="max"/>
        <color rgb="FF5A8AC6"/>
        <color rgb="FFFCFCFF"/>
        <color rgb="FFF8696B"/>
      </colorScale>
    </cfRule>
    <cfRule type="colorScale" priority="5809">
      <colorScale>
        <cfvo type="formula" val="&quot;&gt;20&quot;"/>
        <cfvo type="formula" val="35"/>
        <color rgb="FFF8696B"/>
        <color rgb="FFFCFCFF"/>
      </colorScale>
    </cfRule>
    <cfRule type="colorScale" priority="5810">
      <colorScale>
        <cfvo type="min"/>
        <cfvo type="max"/>
        <color rgb="FFFFEF9C"/>
        <color rgb="FF63BE7B"/>
      </colorScale>
    </cfRule>
  </conditionalFormatting>
  <conditionalFormatting sqref="N2942">
    <cfRule type="colorScale" priority="5801">
      <colorScale>
        <cfvo type="min"/>
        <cfvo type="percentile" val="20"/>
        <cfvo type="max"/>
        <color rgb="FF92D050"/>
        <color theme="5" tint="0.79998168889431442"/>
        <color rgb="FFFF0000"/>
      </colorScale>
    </cfRule>
    <cfRule type="colorScale" priority="5802">
      <colorScale>
        <cfvo type="min"/>
        <cfvo type="max"/>
        <color rgb="FFFF0000"/>
        <color rgb="FF92D050"/>
      </colorScale>
    </cfRule>
    <cfRule type="colorScale" priority="5803">
      <colorScale>
        <cfvo type="min"/>
        <cfvo type="percentile" val="50"/>
        <cfvo type="max"/>
        <color rgb="FF5A8AC6"/>
        <color rgb="FFFCFCFF"/>
        <color rgb="FFF8696B"/>
      </colorScale>
    </cfRule>
    <cfRule type="colorScale" priority="5804">
      <colorScale>
        <cfvo type="formula" val="&quot;&gt;20&quot;"/>
        <cfvo type="formula" val="35"/>
        <color rgb="FFF8696B"/>
        <color rgb="FFFCFCFF"/>
      </colorScale>
    </cfRule>
    <cfRule type="colorScale" priority="5805">
      <colorScale>
        <cfvo type="min"/>
        <cfvo type="max"/>
        <color rgb="FFFFEF9C"/>
        <color rgb="FF63BE7B"/>
      </colorScale>
    </cfRule>
  </conditionalFormatting>
  <conditionalFormatting sqref="S2926:S2942">
    <cfRule type="containsText" dxfId="3278" priority="5797" operator="containsText" text="Short Buildup">
      <formula>NOT(ISERROR(SEARCH("Short Buildup",S2926)))</formula>
    </cfRule>
    <cfRule type="containsText" dxfId="3277" priority="5798" operator="containsText" text="Long Liquidation">
      <formula>NOT(ISERROR(SEARCH("Long Liquidation",S2926)))</formula>
    </cfRule>
    <cfRule type="containsText" dxfId="3276" priority="5799" operator="containsText" text="Short covering">
      <formula>NOT(ISERROR(SEARCH("Short covering",S2926)))</formula>
    </cfRule>
    <cfRule type="containsText" dxfId="3275" priority="5800" operator="containsText" text="Long Buildup">
      <formula>NOT(ISERROR(SEARCH("Long Buildup",S2926)))</formula>
    </cfRule>
  </conditionalFormatting>
  <conditionalFormatting sqref="F2926:F2941">
    <cfRule type="dataBar" priority="5796">
      <dataBar>
        <cfvo type="min"/>
        <cfvo type="max"/>
        <color rgb="FFFF555A"/>
      </dataBar>
    </cfRule>
  </conditionalFormatting>
  <conditionalFormatting sqref="G2926:G2941">
    <cfRule type="dataBar" priority="5795">
      <dataBar>
        <cfvo type="min"/>
        <cfvo type="max"/>
        <color rgb="FFFF555A"/>
      </dataBar>
    </cfRule>
  </conditionalFormatting>
  <conditionalFormatting sqref="H2926">
    <cfRule type="dataBar" priority="5794">
      <dataBar>
        <cfvo type="min"/>
        <cfvo type="max"/>
        <color rgb="FFFF555A"/>
      </dataBar>
    </cfRule>
  </conditionalFormatting>
  <conditionalFormatting sqref="I2926">
    <cfRule type="dataBar" priority="5793">
      <dataBar>
        <cfvo type="min"/>
        <cfvo type="max"/>
        <color rgb="FFFF555A"/>
      </dataBar>
    </cfRule>
  </conditionalFormatting>
  <conditionalFormatting sqref="J2926">
    <cfRule type="dataBar" priority="5792">
      <dataBar>
        <cfvo type="min"/>
        <cfvo type="max"/>
        <color rgb="FFFF555A"/>
      </dataBar>
    </cfRule>
  </conditionalFormatting>
  <conditionalFormatting sqref="E2927:E2941">
    <cfRule type="dataBar" priority="5791">
      <dataBar>
        <cfvo type="min"/>
        <cfvo type="max"/>
        <color rgb="FFFF555A"/>
      </dataBar>
    </cfRule>
  </conditionalFormatting>
  <conditionalFormatting sqref="H2927:H2941">
    <cfRule type="dataBar" priority="5790">
      <dataBar>
        <cfvo type="min"/>
        <cfvo type="max"/>
        <color rgb="FFFF555A"/>
      </dataBar>
    </cfRule>
  </conditionalFormatting>
  <conditionalFormatting sqref="I2927:I2941">
    <cfRule type="dataBar" priority="5789">
      <dataBar>
        <cfvo type="min"/>
        <cfvo type="max"/>
        <color rgb="FFFF555A"/>
      </dataBar>
    </cfRule>
  </conditionalFormatting>
  <conditionalFormatting sqref="J2927:J2941">
    <cfRule type="dataBar" priority="5788">
      <dataBar>
        <cfvo type="min"/>
        <cfvo type="max"/>
        <color rgb="FFFF555A"/>
      </dataBar>
    </cfRule>
  </conditionalFormatting>
  <conditionalFormatting sqref="L2926:L2941">
    <cfRule type="dataBar" priority="5787">
      <dataBar>
        <cfvo type="min"/>
        <cfvo type="max"/>
        <color rgb="FFFF555A"/>
      </dataBar>
    </cfRule>
  </conditionalFormatting>
  <conditionalFormatting sqref="M2926:M2941">
    <cfRule type="dataBar" priority="5786">
      <dataBar>
        <cfvo type="min"/>
        <cfvo type="max"/>
        <color rgb="FFFF555A"/>
      </dataBar>
    </cfRule>
  </conditionalFormatting>
  <conditionalFormatting sqref="N2926:N2941">
    <cfRule type="dataBar" priority="5785">
      <dataBar>
        <cfvo type="min"/>
        <cfvo type="max"/>
        <color rgb="FFFF555A"/>
      </dataBar>
    </cfRule>
  </conditionalFormatting>
  <conditionalFormatting sqref="Q2926:Q2941">
    <cfRule type="dataBar" priority="5784">
      <dataBar>
        <cfvo type="min"/>
        <cfvo type="max"/>
        <color rgb="FFFF555A"/>
      </dataBar>
    </cfRule>
  </conditionalFormatting>
  <conditionalFormatting sqref="O2926:O2941">
    <cfRule type="dataBar" priority="5783">
      <dataBar>
        <cfvo type="min"/>
        <cfvo type="max"/>
        <color rgb="FFFF555A"/>
      </dataBar>
    </cfRule>
  </conditionalFormatting>
  <conditionalFormatting sqref="P2926:P2941">
    <cfRule type="dataBar" priority="5782">
      <dataBar>
        <cfvo type="min"/>
        <cfvo type="max"/>
        <color rgb="FFFF555A"/>
      </dataBar>
    </cfRule>
  </conditionalFormatting>
  <conditionalFormatting sqref="R2943:R2959 D2943:D2958 C2959">
    <cfRule type="containsText" dxfId="3274" priority="5781" operator="containsText" text="DOWN">
      <formula>NOT(ISERROR(SEARCH("DOWN",C2943)))</formula>
    </cfRule>
  </conditionalFormatting>
  <conditionalFormatting sqref="R2943:R2959 D2943:D2958 C2959">
    <cfRule type="containsText" dxfId="3273" priority="5780" operator="containsText" text="UP">
      <formula>NOT(ISERROR(SEARCH("UP",C2943)))</formula>
    </cfRule>
  </conditionalFormatting>
  <conditionalFormatting sqref="I2959">
    <cfRule type="colorScale" priority="5779">
      <colorScale>
        <cfvo type="min"/>
        <cfvo type="max"/>
        <color rgb="FFFFEF9C"/>
        <color rgb="FF63BE7B"/>
      </colorScale>
    </cfRule>
  </conditionalFormatting>
  <conditionalFormatting sqref="M2959">
    <cfRule type="colorScale" priority="5778">
      <colorScale>
        <cfvo type="min"/>
        <cfvo type="max"/>
        <color rgb="FFFF7128"/>
        <color rgb="FFFFEF9C"/>
      </colorScale>
    </cfRule>
  </conditionalFormatting>
  <conditionalFormatting sqref="Q2959">
    <cfRule type="dataBar" priority="5777">
      <dataBar>
        <cfvo type="min"/>
        <cfvo type="max"/>
        <color rgb="FFFF555A"/>
      </dataBar>
    </cfRule>
  </conditionalFormatting>
  <conditionalFormatting sqref="E2943:E2959">
    <cfRule type="dataBar" priority="5776">
      <dataBar>
        <cfvo type="min"/>
        <cfvo type="max"/>
        <color rgb="FFFF555A"/>
      </dataBar>
    </cfRule>
  </conditionalFormatting>
  <conditionalFormatting sqref="F2959">
    <cfRule type="top10" dxfId="3272" priority="5775" rank="1"/>
  </conditionalFormatting>
  <conditionalFormatting sqref="G2959 P2959">
    <cfRule type="cellIs" dxfId="3271" priority="5774" operator="equal">
      <formula>$G$135</formula>
    </cfRule>
  </conditionalFormatting>
  <conditionalFormatting sqref="P2959">
    <cfRule type="cellIs" dxfId="3270" priority="5773" operator="equal">
      <formula>$J$135</formula>
    </cfRule>
  </conditionalFormatting>
  <conditionalFormatting sqref="G2959 P2959">
    <cfRule type="cellIs" dxfId="3269" priority="5772" operator="equal">
      <formula>#REF!</formula>
    </cfRule>
  </conditionalFormatting>
  <conditionalFormatting sqref="G2959">
    <cfRule type="top10" dxfId="3268" priority="5770" rank="1"/>
    <cfRule type="cellIs" dxfId="3267" priority="5771" operator="equal">
      <formula>$G$133</formula>
    </cfRule>
  </conditionalFormatting>
  <conditionalFormatting sqref="P2959">
    <cfRule type="top10" dxfId="3266" priority="5768" rank="1"/>
    <cfRule type="cellIs" dxfId="3265" priority="5769" operator="equal">
      <formula>$G$133</formula>
    </cfRule>
  </conditionalFormatting>
  <conditionalFormatting sqref="C2943:C2958">
    <cfRule type="containsText" dxfId="3264" priority="5764" operator="containsText" text="Short Buildup">
      <formula>NOT(ISERROR(SEARCH("Short Buildup",C2943)))</formula>
    </cfRule>
    <cfRule type="containsText" dxfId="3263" priority="5765" operator="containsText" text="Long Liquidation">
      <formula>NOT(ISERROR(SEARCH("Long Liquidation",C2943)))</formula>
    </cfRule>
    <cfRule type="containsText" dxfId="3262" priority="5766" operator="containsText" text="Short covering">
      <formula>NOT(ISERROR(SEARCH("Short covering",C2943)))</formula>
    </cfRule>
    <cfRule type="containsText" dxfId="3261" priority="5767" operator="containsText" text="Long Buildup">
      <formula>NOT(ISERROR(SEARCH("Long Buildup",C2943)))</formula>
    </cfRule>
  </conditionalFormatting>
  <conditionalFormatting sqref="H2959">
    <cfRule type="colorScale" priority="5759">
      <colorScale>
        <cfvo type="min"/>
        <cfvo type="percentile" val="20"/>
        <cfvo type="max"/>
        <color rgb="FF92D050"/>
        <color theme="5" tint="0.79998168889431442"/>
        <color rgb="FFFF0000"/>
      </colorScale>
    </cfRule>
    <cfRule type="colorScale" priority="5760">
      <colorScale>
        <cfvo type="min"/>
        <cfvo type="max"/>
        <color rgb="FFFF0000"/>
        <color rgb="FF92D050"/>
      </colorScale>
    </cfRule>
    <cfRule type="colorScale" priority="5761">
      <colorScale>
        <cfvo type="min"/>
        <cfvo type="percentile" val="50"/>
        <cfvo type="max"/>
        <color rgb="FF5A8AC6"/>
        <color rgb="FFFCFCFF"/>
        <color rgb="FFF8696B"/>
      </colorScale>
    </cfRule>
    <cfRule type="colorScale" priority="5762">
      <colorScale>
        <cfvo type="formula" val="&quot;&gt;20&quot;"/>
        <cfvo type="formula" val="35"/>
        <color rgb="FFF8696B"/>
        <color rgb="FFFCFCFF"/>
      </colorScale>
    </cfRule>
    <cfRule type="colorScale" priority="5763">
      <colorScale>
        <cfvo type="min"/>
        <cfvo type="max"/>
        <color rgb="FFFFEF9C"/>
        <color rgb="FF63BE7B"/>
      </colorScale>
    </cfRule>
  </conditionalFormatting>
  <conditionalFormatting sqref="N2959">
    <cfRule type="colorScale" priority="5754">
      <colorScale>
        <cfvo type="min"/>
        <cfvo type="percentile" val="20"/>
        <cfvo type="max"/>
        <color rgb="FF92D050"/>
        <color theme="5" tint="0.79998168889431442"/>
        <color rgb="FFFF0000"/>
      </colorScale>
    </cfRule>
    <cfRule type="colorScale" priority="5755">
      <colorScale>
        <cfvo type="min"/>
        <cfvo type="max"/>
        <color rgb="FFFF0000"/>
        <color rgb="FF92D050"/>
      </colorScale>
    </cfRule>
    <cfRule type="colorScale" priority="5756">
      <colorScale>
        <cfvo type="min"/>
        <cfvo type="percentile" val="50"/>
        <cfvo type="max"/>
        <color rgb="FF5A8AC6"/>
        <color rgb="FFFCFCFF"/>
        <color rgb="FFF8696B"/>
      </colorScale>
    </cfRule>
    <cfRule type="colorScale" priority="5757">
      <colorScale>
        <cfvo type="formula" val="&quot;&gt;20&quot;"/>
        <cfvo type="formula" val="35"/>
        <color rgb="FFF8696B"/>
        <color rgb="FFFCFCFF"/>
      </colorScale>
    </cfRule>
    <cfRule type="colorScale" priority="5758">
      <colorScale>
        <cfvo type="min"/>
        <cfvo type="max"/>
        <color rgb="FFFFEF9C"/>
        <color rgb="FF63BE7B"/>
      </colorScale>
    </cfRule>
  </conditionalFormatting>
  <conditionalFormatting sqref="S2943:S2959">
    <cfRule type="containsText" dxfId="3260" priority="5750" operator="containsText" text="Short Buildup">
      <formula>NOT(ISERROR(SEARCH("Short Buildup",S2943)))</formula>
    </cfRule>
    <cfRule type="containsText" dxfId="3259" priority="5751" operator="containsText" text="Long Liquidation">
      <formula>NOT(ISERROR(SEARCH("Long Liquidation",S2943)))</formula>
    </cfRule>
    <cfRule type="containsText" dxfId="3258" priority="5752" operator="containsText" text="Short covering">
      <formula>NOT(ISERROR(SEARCH("Short covering",S2943)))</formula>
    </cfRule>
    <cfRule type="containsText" dxfId="3257" priority="5753" operator="containsText" text="Long Buildup">
      <formula>NOT(ISERROR(SEARCH("Long Buildup",S2943)))</formula>
    </cfRule>
  </conditionalFormatting>
  <conditionalFormatting sqref="F2943:F2958">
    <cfRule type="dataBar" priority="5749">
      <dataBar>
        <cfvo type="min"/>
        <cfvo type="max"/>
        <color rgb="FFFF555A"/>
      </dataBar>
    </cfRule>
  </conditionalFormatting>
  <conditionalFormatting sqref="G2943:G2958">
    <cfRule type="dataBar" priority="5748">
      <dataBar>
        <cfvo type="min"/>
        <cfvo type="max"/>
        <color rgb="FFFF555A"/>
      </dataBar>
    </cfRule>
  </conditionalFormatting>
  <conditionalFormatting sqref="H2943">
    <cfRule type="dataBar" priority="5747">
      <dataBar>
        <cfvo type="min"/>
        <cfvo type="max"/>
        <color rgb="FFFF555A"/>
      </dataBar>
    </cfRule>
  </conditionalFormatting>
  <conditionalFormatting sqref="I2943">
    <cfRule type="dataBar" priority="5746">
      <dataBar>
        <cfvo type="min"/>
        <cfvo type="max"/>
        <color rgb="FFFF555A"/>
      </dataBar>
    </cfRule>
  </conditionalFormatting>
  <conditionalFormatting sqref="J2943">
    <cfRule type="dataBar" priority="5745">
      <dataBar>
        <cfvo type="min"/>
        <cfvo type="max"/>
        <color rgb="FFFF555A"/>
      </dataBar>
    </cfRule>
  </conditionalFormatting>
  <conditionalFormatting sqref="E2944:E2958">
    <cfRule type="dataBar" priority="5744">
      <dataBar>
        <cfvo type="min"/>
        <cfvo type="max"/>
        <color rgb="FFFF555A"/>
      </dataBar>
    </cfRule>
  </conditionalFormatting>
  <conditionalFormatting sqref="H2944:H2958">
    <cfRule type="dataBar" priority="5743">
      <dataBar>
        <cfvo type="min"/>
        <cfvo type="max"/>
        <color rgb="FFFF555A"/>
      </dataBar>
    </cfRule>
  </conditionalFormatting>
  <conditionalFormatting sqref="I2944:I2958">
    <cfRule type="dataBar" priority="5742">
      <dataBar>
        <cfvo type="min"/>
        <cfvo type="max"/>
        <color rgb="FFFF555A"/>
      </dataBar>
    </cfRule>
  </conditionalFormatting>
  <conditionalFormatting sqref="J2944:J2958">
    <cfRule type="dataBar" priority="5741">
      <dataBar>
        <cfvo type="min"/>
        <cfvo type="max"/>
        <color rgb="FFFF555A"/>
      </dataBar>
    </cfRule>
  </conditionalFormatting>
  <conditionalFormatting sqref="L2943:L2958">
    <cfRule type="dataBar" priority="5740">
      <dataBar>
        <cfvo type="min"/>
        <cfvo type="max"/>
        <color rgb="FFFF555A"/>
      </dataBar>
    </cfRule>
  </conditionalFormatting>
  <conditionalFormatting sqref="M2943:M2958">
    <cfRule type="dataBar" priority="5739">
      <dataBar>
        <cfvo type="min"/>
        <cfvo type="max"/>
        <color rgb="FFFF555A"/>
      </dataBar>
    </cfRule>
  </conditionalFormatting>
  <conditionalFormatting sqref="N2943:N2958">
    <cfRule type="dataBar" priority="5738">
      <dataBar>
        <cfvo type="min"/>
        <cfvo type="max"/>
        <color rgb="FFFF555A"/>
      </dataBar>
    </cfRule>
  </conditionalFormatting>
  <conditionalFormatting sqref="Q2943:Q2958">
    <cfRule type="dataBar" priority="5737">
      <dataBar>
        <cfvo type="min"/>
        <cfvo type="max"/>
        <color rgb="FFFF555A"/>
      </dataBar>
    </cfRule>
  </conditionalFormatting>
  <conditionalFormatting sqref="O2943:O2958">
    <cfRule type="dataBar" priority="5736">
      <dataBar>
        <cfvo type="min"/>
        <cfvo type="max"/>
        <color rgb="FFFF555A"/>
      </dataBar>
    </cfRule>
  </conditionalFormatting>
  <conditionalFormatting sqref="P2943:P2958">
    <cfRule type="dataBar" priority="5735">
      <dataBar>
        <cfvo type="min"/>
        <cfvo type="max"/>
        <color rgb="FFFF555A"/>
      </dataBar>
    </cfRule>
  </conditionalFormatting>
  <conditionalFormatting sqref="R2960:R2976 D2960:D2975 C2976">
    <cfRule type="containsText" dxfId="3256" priority="5734" operator="containsText" text="DOWN">
      <formula>NOT(ISERROR(SEARCH("DOWN",C2960)))</formula>
    </cfRule>
  </conditionalFormatting>
  <conditionalFormatting sqref="R2960:R2976 D2960:D2975 C2976">
    <cfRule type="containsText" dxfId="3255" priority="5733" operator="containsText" text="UP">
      <formula>NOT(ISERROR(SEARCH("UP",C2960)))</formula>
    </cfRule>
  </conditionalFormatting>
  <conditionalFormatting sqref="I2976">
    <cfRule type="colorScale" priority="5732">
      <colorScale>
        <cfvo type="min"/>
        <cfvo type="max"/>
        <color rgb="FFFFEF9C"/>
        <color rgb="FF63BE7B"/>
      </colorScale>
    </cfRule>
  </conditionalFormatting>
  <conditionalFormatting sqref="M2976">
    <cfRule type="colorScale" priority="5731">
      <colorScale>
        <cfvo type="min"/>
        <cfvo type="max"/>
        <color rgb="FFFF7128"/>
        <color rgb="FFFFEF9C"/>
      </colorScale>
    </cfRule>
  </conditionalFormatting>
  <conditionalFormatting sqref="Q2976">
    <cfRule type="dataBar" priority="5730">
      <dataBar>
        <cfvo type="min"/>
        <cfvo type="max"/>
        <color rgb="FFFF555A"/>
      </dataBar>
    </cfRule>
  </conditionalFormatting>
  <conditionalFormatting sqref="E2960:E2976">
    <cfRule type="dataBar" priority="5729">
      <dataBar>
        <cfvo type="min"/>
        <cfvo type="max"/>
        <color rgb="FFFF555A"/>
      </dataBar>
    </cfRule>
  </conditionalFormatting>
  <conditionalFormatting sqref="F2976">
    <cfRule type="top10" dxfId="3254" priority="5728" rank="1"/>
  </conditionalFormatting>
  <conditionalFormatting sqref="G2976 P2976">
    <cfRule type="cellIs" dxfId="3253" priority="5727" operator="equal">
      <formula>$G$135</formula>
    </cfRule>
  </conditionalFormatting>
  <conditionalFormatting sqref="P2976">
    <cfRule type="cellIs" dxfId="3252" priority="5726" operator="equal">
      <formula>$J$135</formula>
    </cfRule>
  </conditionalFormatting>
  <conditionalFormatting sqref="G2976 P2976">
    <cfRule type="cellIs" dxfId="3251" priority="5725" operator="equal">
      <formula>#REF!</formula>
    </cfRule>
  </conditionalFormatting>
  <conditionalFormatting sqref="G2976">
    <cfRule type="top10" dxfId="3250" priority="5723" rank="1"/>
    <cfRule type="cellIs" dxfId="3249" priority="5724" operator="equal">
      <formula>$G$133</formula>
    </cfRule>
  </conditionalFormatting>
  <conditionalFormatting sqref="P2976">
    <cfRule type="top10" dxfId="3248" priority="5721" rank="1"/>
    <cfRule type="cellIs" dxfId="3247" priority="5722" operator="equal">
      <formula>$G$133</formula>
    </cfRule>
  </conditionalFormatting>
  <conditionalFormatting sqref="C2960:C2975">
    <cfRule type="containsText" dxfId="3246" priority="5717" operator="containsText" text="Short Buildup">
      <formula>NOT(ISERROR(SEARCH("Short Buildup",C2960)))</formula>
    </cfRule>
    <cfRule type="containsText" dxfId="3245" priority="5718" operator="containsText" text="Long Liquidation">
      <formula>NOT(ISERROR(SEARCH("Long Liquidation",C2960)))</formula>
    </cfRule>
    <cfRule type="containsText" dxfId="3244" priority="5719" operator="containsText" text="Short covering">
      <formula>NOT(ISERROR(SEARCH("Short covering",C2960)))</formula>
    </cfRule>
    <cfRule type="containsText" dxfId="3243" priority="5720" operator="containsText" text="Long Buildup">
      <formula>NOT(ISERROR(SEARCH("Long Buildup",C2960)))</formula>
    </cfRule>
  </conditionalFormatting>
  <conditionalFormatting sqref="H2976">
    <cfRule type="colorScale" priority="5712">
      <colorScale>
        <cfvo type="min"/>
        <cfvo type="percentile" val="20"/>
        <cfvo type="max"/>
        <color rgb="FF92D050"/>
        <color theme="5" tint="0.79998168889431442"/>
        <color rgb="FFFF0000"/>
      </colorScale>
    </cfRule>
    <cfRule type="colorScale" priority="5713">
      <colorScale>
        <cfvo type="min"/>
        <cfvo type="max"/>
        <color rgb="FFFF0000"/>
        <color rgb="FF92D050"/>
      </colorScale>
    </cfRule>
    <cfRule type="colorScale" priority="5714">
      <colorScale>
        <cfvo type="min"/>
        <cfvo type="percentile" val="50"/>
        <cfvo type="max"/>
        <color rgb="FF5A8AC6"/>
        <color rgb="FFFCFCFF"/>
        <color rgb="FFF8696B"/>
      </colorScale>
    </cfRule>
    <cfRule type="colorScale" priority="5715">
      <colorScale>
        <cfvo type="formula" val="&quot;&gt;20&quot;"/>
        <cfvo type="formula" val="35"/>
        <color rgb="FFF8696B"/>
        <color rgb="FFFCFCFF"/>
      </colorScale>
    </cfRule>
    <cfRule type="colorScale" priority="5716">
      <colorScale>
        <cfvo type="min"/>
        <cfvo type="max"/>
        <color rgb="FFFFEF9C"/>
        <color rgb="FF63BE7B"/>
      </colorScale>
    </cfRule>
  </conditionalFormatting>
  <conditionalFormatting sqref="N2976">
    <cfRule type="colorScale" priority="5707">
      <colorScale>
        <cfvo type="min"/>
        <cfvo type="percentile" val="20"/>
        <cfvo type="max"/>
        <color rgb="FF92D050"/>
        <color theme="5" tint="0.79998168889431442"/>
        <color rgb="FFFF0000"/>
      </colorScale>
    </cfRule>
    <cfRule type="colorScale" priority="5708">
      <colorScale>
        <cfvo type="min"/>
        <cfvo type="max"/>
        <color rgb="FFFF0000"/>
        <color rgb="FF92D050"/>
      </colorScale>
    </cfRule>
    <cfRule type="colorScale" priority="5709">
      <colorScale>
        <cfvo type="min"/>
        <cfvo type="percentile" val="50"/>
        <cfvo type="max"/>
        <color rgb="FF5A8AC6"/>
        <color rgb="FFFCFCFF"/>
        <color rgb="FFF8696B"/>
      </colorScale>
    </cfRule>
    <cfRule type="colorScale" priority="5710">
      <colorScale>
        <cfvo type="formula" val="&quot;&gt;20&quot;"/>
        <cfvo type="formula" val="35"/>
        <color rgb="FFF8696B"/>
        <color rgb="FFFCFCFF"/>
      </colorScale>
    </cfRule>
    <cfRule type="colorScale" priority="5711">
      <colorScale>
        <cfvo type="min"/>
        <cfvo type="max"/>
        <color rgb="FFFFEF9C"/>
        <color rgb="FF63BE7B"/>
      </colorScale>
    </cfRule>
  </conditionalFormatting>
  <conditionalFormatting sqref="S2960:S2976">
    <cfRule type="containsText" dxfId="3242" priority="5703" operator="containsText" text="Short Buildup">
      <formula>NOT(ISERROR(SEARCH("Short Buildup",S2960)))</formula>
    </cfRule>
    <cfRule type="containsText" dxfId="3241" priority="5704" operator="containsText" text="Long Liquidation">
      <formula>NOT(ISERROR(SEARCH("Long Liquidation",S2960)))</formula>
    </cfRule>
    <cfRule type="containsText" dxfId="3240" priority="5705" operator="containsText" text="Short covering">
      <formula>NOT(ISERROR(SEARCH("Short covering",S2960)))</formula>
    </cfRule>
    <cfRule type="containsText" dxfId="3239" priority="5706" operator="containsText" text="Long Buildup">
      <formula>NOT(ISERROR(SEARCH("Long Buildup",S2960)))</formula>
    </cfRule>
  </conditionalFormatting>
  <conditionalFormatting sqref="F2960:F2975">
    <cfRule type="dataBar" priority="5702">
      <dataBar>
        <cfvo type="min"/>
        <cfvo type="max"/>
        <color rgb="FFFF555A"/>
      </dataBar>
    </cfRule>
  </conditionalFormatting>
  <conditionalFormatting sqref="G2960:G2975">
    <cfRule type="dataBar" priority="5701">
      <dataBar>
        <cfvo type="min"/>
        <cfvo type="max"/>
        <color rgb="FFFF555A"/>
      </dataBar>
    </cfRule>
  </conditionalFormatting>
  <conditionalFormatting sqref="H2960">
    <cfRule type="dataBar" priority="5700">
      <dataBar>
        <cfvo type="min"/>
        <cfvo type="max"/>
        <color rgb="FFFF555A"/>
      </dataBar>
    </cfRule>
  </conditionalFormatting>
  <conditionalFormatting sqref="I2960">
    <cfRule type="dataBar" priority="5699">
      <dataBar>
        <cfvo type="min"/>
        <cfvo type="max"/>
        <color rgb="FFFF555A"/>
      </dataBar>
    </cfRule>
  </conditionalFormatting>
  <conditionalFormatting sqref="J2960">
    <cfRule type="dataBar" priority="5698">
      <dataBar>
        <cfvo type="min"/>
        <cfvo type="max"/>
        <color rgb="FFFF555A"/>
      </dataBar>
    </cfRule>
  </conditionalFormatting>
  <conditionalFormatting sqref="E2961:E2975">
    <cfRule type="dataBar" priority="5697">
      <dataBar>
        <cfvo type="min"/>
        <cfvo type="max"/>
        <color rgb="FFFF555A"/>
      </dataBar>
    </cfRule>
  </conditionalFormatting>
  <conditionalFormatting sqref="H2961:H2975">
    <cfRule type="dataBar" priority="5696">
      <dataBar>
        <cfvo type="min"/>
        <cfvo type="max"/>
        <color rgb="FFFF555A"/>
      </dataBar>
    </cfRule>
  </conditionalFormatting>
  <conditionalFormatting sqref="I2961:I2975">
    <cfRule type="dataBar" priority="5695">
      <dataBar>
        <cfvo type="min"/>
        <cfvo type="max"/>
        <color rgb="FFFF555A"/>
      </dataBar>
    </cfRule>
  </conditionalFormatting>
  <conditionalFormatting sqref="J2961:J2975">
    <cfRule type="dataBar" priority="5694">
      <dataBar>
        <cfvo type="min"/>
        <cfvo type="max"/>
        <color rgb="FFFF555A"/>
      </dataBar>
    </cfRule>
  </conditionalFormatting>
  <conditionalFormatting sqref="L2960:L2975">
    <cfRule type="dataBar" priority="5693">
      <dataBar>
        <cfvo type="min"/>
        <cfvo type="max"/>
        <color rgb="FFFF555A"/>
      </dataBar>
    </cfRule>
  </conditionalFormatting>
  <conditionalFormatting sqref="M2960:M2975">
    <cfRule type="dataBar" priority="5692">
      <dataBar>
        <cfvo type="min"/>
        <cfvo type="max"/>
        <color rgb="FFFF555A"/>
      </dataBar>
    </cfRule>
  </conditionalFormatting>
  <conditionalFormatting sqref="N2960:N2975">
    <cfRule type="dataBar" priority="5691">
      <dataBar>
        <cfvo type="min"/>
        <cfvo type="max"/>
        <color rgb="FFFF555A"/>
      </dataBar>
    </cfRule>
  </conditionalFormatting>
  <conditionalFormatting sqref="Q2960:Q2975">
    <cfRule type="dataBar" priority="5690">
      <dataBar>
        <cfvo type="min"/>
        <cfvo type="max"/>
        <color rgb="FFFF555A"/>
      </dataBar>
    </cfRule>
  </conditionalFormatting>
  <conditionalFormatting sqref="O2960:O2975">
    <cfRule type="dataBar" priority="5689">
      <dataBar>
        <cfvo type="min"/>
        <cfvo type="max"/>
        <color rgb="FFFF555A"/>
      </dataBar>
    </cfRule>
  </conditionalFormatting>
  <conditionalFormatting sqref="P2960:P2975">
    <cfRule type="dataBar" priority="5688">
      <dataBar>
        <cfvo type="min"/>
        <cfvo type="max"/>
        <color rgb="FFFF555A"/>
      </dataBar>
    </cfRule>
  </conditionalFormatting>
  <conditionalFormatting sqref="R2977:R2993 D2977:D2992 C2993">
    <cfRule type="containsText" dxfId="3238" priority="5687" operator="containsText" text="DOWN">
      <formula>NOT(ISERROR(SEARCH("DOWN",C2977)))</formula>
    </cfRule>
  </conditionalFormatting>
  <conditionalFormatting sqref="R2977:R2993 D2977:D2992 C2993">
    <cfRule type="containsText" dxfId="3237" priority="5686" operator="containsText" text="UP">
      <formula>NOT(ISERROR(SEARCH("UP",C2977)))</formula>
    </cfRule>
  </conditionalFormatting>
  <conditionalFormatting sqref="I2993">
    <cfRule type="colorScale" priority="5685">
      <colorScale>
        <cfvo type="min"/>
        <cfvo type="max"/>
        <color rgb="FFFFEF9C"/>
        <color rgb="FF63BE7B"/>
      </colorScale>
    </cfRule>
  </conditionalFormatting>
  <conditionalFormatting sqref="M2993">
    <cfRule type="colorScale" priority="5684">
      <colorScale>
        <cfvo type="min"/>
        <cfvo type="max"/>
        <color rgb="FFFF7128"/>
        <color rgb="FFFFEF9C"/>
      </colorScale>
    </cfRule>
  </conditionalFormatting>
  <conditionalFormatting sqref="Q2993">
    <cfRule type="dataBar" priority="5683">
      <dataBar>
        <cfvo type="min"/>
        <cfvo type="max"/>
        <color rgb="FFFF555A"/>
      </dataBar>
    </cfRule>
  </conditionalFormatting>
  <conditionalFormatting sqref="E2977:E2993">
    <cfRule type="dataBar" priority="5682">
      <dataBar>
        <cfvo type="min"/>
        <cfvo type="max"/>
        <color rgb="FFFF555A"/>
      </dataBar>
    </cfRule>
  </conditionalFormatting>
  <conditionalFormatting sqref="F2993">
    <cfRule type="top10" dxfId="3236" priority="5681" rank="1"/>
  </conditionalFormatting>
  <conditionalFormatting sqref="G2993 P2993">
    <cfRule type="cellIs" dxfId="3235" priority="5680" operator="equal">
      <formula>$G$135</formula>
    </cfRule>
  </conditionalFormatting>
  <conditionalFormatting sqref="P2993">
    <cfRule type="cellIs" dxfId="3234" priority="5679" operator="equal">
      <formula>$J$135</formula>
    </cfRule>
  </conditionalFormatting>
  <conditionalFormatting sqref="G2993 P2993">
    <cfRule type="cellIs" dxfId="3233" priority="5678" operator="equal">
      <formula>#REF!</formula>
    </cfRule>
  </conditionalFormatting>
  <conditionalFormatting sqref="G2993">
    <cfRule type="top10" dxfId="3232" priority="5676" rank="1"/>
    <cfRule type="cellIs" dxfId="3231" priority="5677" operator="equal">
      <formula>$G$133</formula>
    </cfRule>
  </conditionalFormatting>
  <conditionalFormatting sqref="P2993">
    <cfRule type="top10" dxfId="3230" priority="5674" rank="1"/>
    <cfRule type="cellIs" dxfId="3229" priority="5675" operator="equal">
      <formula>$G$133</formula>
    </cfRule>
  </conditionalFormatting>
  <conditionalFormatting sqref="C2977:C2992">
    <cfRule type="containsText" dxfId="3228" priority="5670" operator="containsText" text="Short Buildup">
      <formula>NOT(ISERROR(SEARCH("Short Buildup",C2977)))</formula>
    </cfRule>
    <cfRule type="containsText" dxfId="3227" priority="5671" operator="containsText" text="Long Liquidation">
      <formula>NOT(ISERROR(SEARCH("Long Liquidation",C2977)))</formula>
    </cfRule>
    <cfRule type="containsText" dxfId="3226" priority="5672" operator="containsText" text="Short covering">
      <formula>NOT(ISERROR(SEARCH("Short covering",C2977)))</formula>
    </cfRule>
    <cfRule type="containsText" dxfId="3225" priority="5673" operator="containsText" text="Long Buildup">
      <formula>NOT(ISERROR(SEARCH("Long Buildup",C2977)))</formula>
    </cfRule>
  </conditionalFormatting>
  <conditionalFormatting sqref="H2993">
    <cfRule type="colorScale" priority="5665">
      <colorScale>
        <cfvo type="min"/>
        <cfvo type="percentile" val="20"/>
        <cfvo type="max"/>
        <color rgb="FF92D050"/>
        <color theme="5" tint="0.79998168889431442"/>
        <color rgb="FFFF0000"/>
      </colorScale>
    </cfRule>
    <cfRule type="colorScale" priority="5666">
      <colorScale>
        <cfvo type="min"/>
        <cfvo type="max"/>
        <color rgb="FFFF0000"/>
        <color rgb="FF92D050"/>
      </colorScale>
    </cfRule>
    <cfRule type="colorScale" priority="5667">
      <colorScale>
        <cfvo type="min"/>
        <cfvo type="percentile" val="50"/>
        <cfvo type="max"/>
        <color rgb="FF5A8AC6"/>
        <color rgb="FFFCFCFF"/>
        <color rgb="FFF8696B"/>
      </colorScale>
    </cfRule>
    <cfRule type="colorScale" priority="5668">
      <colorScale>
        <cfvo type="formula" val="&quot;&gt;20&quot;"/>
        <cfvo type="formula" val="35"/>
        <color rgb="FFF8696B"/>
        <color rgb="FFFCFCFF"/>
      </colorScale>
    </cfRule>
    <cfRule type="colorScale" priority="5669">
      <colorScale>
        <cfvo type="min"/>
        <cfvo type="max"/>
        <color rgb="FFFFEF9C"/>
        <color rgb="FF63BE7B"/>
      </colorScale>
    </cfRule>
  </conditionalFormatting>
  <conditionalFormatting sqref="N2993">
    <cfRule type="colorScale" priority="5660">
      <colorScale>
        <cfvo type="min"/>
        <cfvo type="percentile" val="20"/>
        <cfvo type="max"/>
        <color rgb="FF92D050"/>
        <color theme="5" tint="0.79998168889431442"/>
        <color rgb="FFFF0000"/>
      </colorScale>
    </cfRule>
    <cfRule type="colorScale" priority="5661">
      <colorScale>
        <cfvo type="min"/>
        <cfvo type="max"/>
        <color rgb="FFFF0000"/>
        <color rgb="FF92D050"/>
      </colorScale>
    </cfRule>
    <cfRule type="colorScale" priority="5662">
      <colorScale>
        <cfvo type="min"/>
        <cfvo type="percentile" val="50"/>
        <cfvo type="max"/>
        <color rgb="FF5A8AC6"/>
        <color rgb="FFFCFCFF"/>
        <color rgb="FFF8696B"/>
      </colorScale>
    </cfRule>
    <cfRule type="colorScale" priority="5663">
      <colorScale>
        <cfvo type="formula" val="&quot;&gt;20&quot;"/>
        <cfvo type="formula" val="35"/>
        <color rgb="FFF8696B"/>
        <color rgb="FFFCFCFF"/>
      </colorScale>
    </cfRule>
    <cfRule type="colorScale" priority="5664">
      <colorScale>
        <cfvo type="min"/>
        <cfvo type="max"/>
        <color rgb="FFFFEF9C"/>
        <color rgb="FF63BE7B"/>
      </colorScale>
    </cfRule>
  </conditionalFormatting>
  <conditionalFormatting sqref="S2977:S2993">
    <cfRule type="containsText" dxfId="3224" priority="5656" operator="containsText" text="Short Buildup">
      <formula>NOT(ISERROR(SEARCH("Short Buildup",S2977)))</formula>
    </cfRule>
    <cfRule type="containsText" dxfId="3223" priority="5657" operator="containsText" text="Long Liquidation">
      <formula>NOT(ISERROR(SEARCH("Long Liquidation",S2977)))</formula>
    </cfRule>
    <cfRule type="containsText" dxfId="3222" priority="5658" operator="containsText" text="Short covering">
      <formula>NOT(ISERROR(SEARCH("Short covering",S2977)))</formula>
    </cfRule>
    <cfRule type="containsText" dxfId="3221" priority="5659" operator="containsText" text="Long Buildup">
      <formula>NOT(ISERROR(SEARCH("Long Buildup",S2977)))</formula>
    </cfRule>
  </conditionalFormatting>
  <conditionalFormatting sqref="F2977:F2992">
    <cfRule type="dataBar" priority="5655">
      <dataBar>
        <cfvo type="min"/>
        <cfvo type="max"/>
        <color rgb="FFFF555A"/>
      </dataBar>
    </cfRule>
  </conditionalFormatting>
  <conditionalFormatting sqref="G2977:G2992">
    <cfRule type="dataBar" priority="5654">
      <dataBar>
        <cfvo type="min"/>
        <cfvo type="max"/>
        <color rgb="FFFF555A"/>
      </dataBar>
    </cfRule>
  </conditionalFormatting>
  <conditionalFormatting sqref="H2977">
    <cfRule type="dataBar" priority="5653">
      <dataBar>
        <cfvo type="min"/>
        <cfvo type="max"/>
        <color rgb="FFFF555A"/>
      </dataBar>
    </cfRule>
  </conditionalFormatting>
  <conditionalFormatting sqref="I2977">
    <cfRule type="dataBar" priority="5652">
      <dataBar>
        <cfvo type="min"/>
        <cfvo type="max"/>
        <color rgb="FFFF555A"/>
      </dataBar>
    </cfRule>
  </conditionalFormatting>
  <conditionalFormatting sqref="J2977">
    <cfRule type="dataBar" priority="5651">
      <dataBar>
        <cfvo type="min"/>
        <cfvo type="max"/>
        <color rgb="FFFF555A"/>
      </dataBar>
    </cfRule>
  </conditionalFormatting>
  <conditionalFormatting sqref="E2978:E2992">
    <cfRule type="dataBar" priority="5650">
      <dataBar>
        <cfvo type="min"/>
        <cfvo type="max"/>
        <color rgb="FFFF555A"/>
      </dataBar>
    </cfRule>
  </conditionalFormatting>
  <conditionalFormatting sqref="H2978:H2992">
    <cfRule type="dataBar" priority="5649">
      <dataBar>
        <cfvo type="min"/>
        <cfvo type="max"/>
        <color rgb="FFFF555A"/>
      </dataBar>
    </cfRule>
  </conditionalFormatting>
  <conditionalFormatting sqref="I2978:I2992">
    <cfRule type="dataBar" priority="5648">
      <dataBar>
        <cfvo type="min"/>
        <cfvo type="max"/>
        <color rgb="FFFF555A"/>
      </dataBar>
    </cfRule>
  </conditionalFormatting>
  <conditionalFormatting sqref="J2978:J2992">
    <cfRule type="dataBar" priority="5647">
      <dataBar>
        <cfvo type="min"/>
        <cfvo type="max"/>
        <color rgb="FFFF555A"/>
      </dataBar>
    </cfRule>
  </conditionalFormatting>
  <conditionalFormatting sqref="L2977:L2992">
    <cfRule type="dataBar" priority="5646">
      <dataBar>
        <cfvo type="min"/>
        <cfvo type="max"/>
        <color rgb="FFFF555A"/>
      </dataBar>
    </cfRule>
  </conditionalFormatting>
  <conditionalFormatting sqref="M2977:M2992">
    <cfRule type="dataBar" priority="5645">
      <dataBar>
        <cfvo type="min"/>
        <cfvo type="max"/>
        <color rgb="FFFF555A"/>
      </dataBar>
    </cfRule>
  </conditionalFormatting>
  <conditionalFormatting sqref="N2977:N2992">
    <cfRule type="dataBar" priority="5644">
      <dataBar>
        <cfvo type="min"/>
        <cfvo type="max"/>
        <color rgb="FFFF555A"/>
      </dataBar>
    </cfRule>
  </conditionalFormatting>
  <conditionalFormatting sqref="Q2977:Q2992">
    <cfRule type="dataBar" priority="5643">
      <dataBar>
        <cfvo type="min"/>
        <cfvo type="max"/>
        <color rgb="FFFF555A"/>
      </dataBar>
    </cfRule>
  </conditionalFormatting>
  <conditionalFormatting sqref="O2977:O2992">
    <cfRule type="dataBar" priority="5642">
      <dataBar>
        <cfvo type="min"/>
        <cfvo type="max"/>
        <color rgb="FFFF555A"/>
      </dataBar>
    </cfRule>
  </conditionalFormatting>
  <conditionalFormatting sqref="P2977:P2992">
    <cfRule type="dataBar" priority="5641">
      <dataBar>
        <cfvo type="min"/>
        <cfvo type="max"/>
        <color rgb="FFFF555A"/>
      </dataBar>
    </cfRule>
  </conditionalFormatting>
  <conditionalFormatting sqref="R2994:R3010 D2994:D3009 C3010">
    <cfRule type="containsText" dxfId="3220" priority="5640" operator="containsText" text="DOWN">
      <formula>NOT(ISERROR(SEARCH("DOWN",C2994)))</formula>
    </cfRule>
  </conditionalFormatting>
  <conditionalFormatting sqref="R2994:R3010 D2994:D3009 C3010">
    <cfRule type="containsText" dxfId="3219" priority="5639" operator="containsText" text="UP">
      <formula>NOT(ISERROR(SEARCH("UP",C2994)))</formula>
    </cfRule>
  </conditionalFormatting>
  <conditionalFormatting sqref="I3010">
    <cfRule type="colorScale" priority="5638">
      <colorScale>
        <cfvo type="min"/>
        <cfvo type="max"/>
        <color rgb="FFFFEF9C"/>
        <color rgb="FF63BE7B"/>
      </colorScale>
    </cfRule>
  </conditionalFormatting>
  <conditionalFormatting sqref="M3010">
    <cfRule type="colorScale" priority="5637">
      <colorScale>
        <cfvo type="min"/>
        <cfvo type="max"/>
        <color rgb="FFFF7128"/>
        <color rgb="FFFFEF9C"/>
      </colorScale>
    </cfRule>
  </conditionalFormatting>
  <conditionalFormatting sqref="Q3010">
    <cfRule type="dataBar" priority="5636">
      <dataBar>
        <cfvo type="min"/>
        <cfvo type="max"/>
        <color rgb="FFFF555A"/>
      </dataBar>
    </cfRule>
  </conditionalFormatting>
  <conditionalFormatting sqref="E2994:E3010">
    <cfRule type="dataBar" priority="5635">
      <dataBar>
        <cfvo type="min"/>
        <cfvo type="max"/>
        <color rgb="FFFF555A"/>
      </dataBar>
    </cfRule>
  </conditionalFormatting>
  <conditionalFormatting sqref="F3010">
    <cfRule type="top10" dxfId="3218" priority="5634" rank="1"/>
  </conditionalFormatting>
  <conditionalFormatting sqref="G3010 P3010">
    <cfRule type="cellIs" dxfId="3217" priority="5633" operator="equal">
      <formula>$G$135</formula>
    </cfRule>
  </conditionalFormatting>
  <conditionalFormatting sqref="P3010">
    <cfRule type="cellIs" dxfId="3216" priority="5632" operator="equal">
      <formula>$J$135</formula>
    </cfRule>
  </conditionalFormatting>
  <conditionalFormatting sqref="G3010 P3010">
    <cfRule type="cellIs" dxfId="3215" priority="5631" operator="equal">
      <formula>#REF!</formula>
    </cfRule>
  </conditionalFormatting>
  <conditionalFormatting sqref="G3010">
    <cfRule type="top10" dxfId="3214" priority="5629" rank="1"/>
    <cfRule type="cellIs" dxfId="3213" priority="5630" operator="equal">
      <formula>$G$133</formula>
    </cfRule>
  </conditionalFormatting>
  <conditionalFormatting sqref="P3010">
    <cfRule type="top10" dxfId="3212" priority="5627" rank="1"/>
    <cfRule type="cellIs" dxfId="3211" priority="5628" operator="equal">
      <formula>$G$133</formula>
    </cfRule>
  </conditionalFormatting>
  <conditionalFormatting sqref="C2994:C3009">
    <cfRule type="containsText" dxfId="3210" priority="5623" operator="containsText" text="Short Buildup">
      <formula>NOT(ISERROR(SEARCH("Short Buildup",C2994)))</formula>
    </cfRule>
    <cfRule type="containsText" dxfId="3209" priority="5624" operator="containsText" text="Long Liquidation">
      <formula>NOT(ISERROR(SEARCH("Long Liquidation",C2994)))</formula>
    </cfRule>
    <cfRule type="containsText" dxfId="3208" priority="5625" operator="containsText" text="Short covering">
      <formula>NOT(ISERROR(SEARCH("Short covering",C2994)))</formula>
    </cfRule>
    <cfRule type="containsText" dxfId="3207" priority="5626" operator="containsText" text="Long Buildup">
      <formula>NOT(ISERROR(SEARCH("Long Buildup",C2994)))</formula>
    </cfRule>
  </conditionalFormatting>
  <conditionalFormatting sqref="H3010">
    <cfRule type="colorScale" priority="5618">
      <colorScale>
        <cfvo type="min"/>
        <cfvo type="percentile" val="20"/>
        <cfvo type="max"/>
        <color rgb="FF92D050"/>
        <color theme="5" tint="0.79998168889431442"/>
        <color rgb="FFFF0000"/>
      </colorScale>
    </cfRule>
    <cfRule type="colorScale" priority="5619">
      <colorScale>
        <cfvo type="min"/>
        <cfvo type="max"/>
        <color rgb="FFFF0000"/>
        <color rgb="FF92D050"/>
      </colorScale>
    </cfRule>
    <cfRule type="colorScale" priority="5620">
      <colorScale>
        <cfvo type="min"/>
        <cfvo type="percentile" val="50"/>
        <cfvo type="max"/>
        <color rgb="FF5A8AC6"/>
        <color rgb="FFFCFCFF"/>
        <color rgb="FFF8696B"/>
      </colorScale>
    </cfRule>
    <cfRule type="colorScale" priority="5621">
      <colorScale>
        <cfvo type="formula" val="&quot;&gt;20&quot;"/>
        <cfvo type="formula" val="35"/>
        <color rgb="FFF8696B"/>
        <color rgb="FFFCFCFF"/>
      </colorScale>
    </cfRule>
    <cfRule type="colorScale" priority="5622">
      <colorScale>
        <cfvo type="min"/>
        <cfvo type="max"/>
        <color rgb="FFFFEF9C"/>
        <color rgb="FF63BE7B"/>
      </colorScale>
    </cfRule>
  </conditionalFormatting>
  <conditionalFormatting sqref="N3010">
    <cfRule type="colorScale" priority="5613">
      <colorScale>
        <cfvo type="min"/>
        <cfvo type="percentile" val="20"/>
        <cfvo type="max"/>
        <color rgb="FF92D050"/>
        <color theme="5" tint="0.79998168889431442"/>
        <color rgb="FFFF0000"/>
      </colorScale>
    </cfRule>
    <cfRule type="colorScale" priority="5614">
      <colorScale>
        <cfvo type="min"/>
        <cfvo type="max"/>
        <color rgb="FFFF0000"/>
        <color rgb="FF92D050"/>
      </colorScale>
    </cfRule>
    <cfRule type="colorScale" priority="5615">
      <colorScale>
        <cfvo type="min"/>
        <cfvo type="percentile" val="50"/>
        <cfvo type="max"/>
        <color rgb="FF5A8AC6"/>
        <color rgb="FFFCFCFF"/>
        <color rgb="FFF8696B"/>
      </colorScale>
    </cfRule>
    <cfRule type="colorScale" priority="5616">
      <colorScale>
        <cfvo type="formula" val="&quot;&gt;20&quot;"/>
        <cfvo type="formula" val="35"/>
        <color rgb="FFF8696B"/>
        <color rgb="FFFCFCFF"/>
      </colorScale>
    </cfRule>
    <cfRule type="colorScale" priority="5617">
      <colorScale>
        <cfvo type="min"/>
        <cfvo type="max"/>
        <color rgb="FFFFEF9C"/>
        <color rgb="FF63BE7B"/>
      </colorScale>
    </cfRule>
  </conditionalFormatting>
  <conditionalFormatting sqref="S2994:S3010">
    <cfRule type="containsText" dxfId="3206" priority="5609" operator="containsText" text="Short Buildup">
      <formula>NOT(ISERROR(SEARCH("Short Buildup",S2994)))</formula>
    </cfRule>
    <cfRule type="containsText" dxfId="3205" priority="5610" operator="containsText" text="Long Liquidation">
      <formula>NOT(ISERROR(SEARCH("Long Liquidation",S2994)))</formula>
    </cfRule>
    <cfRule type="containsText" dxfId="3204" priority="5611" operator="containsText" text="Short covering">
      <formula>NOT(ISERROR(SEARCH("Short covering",S2994)))</formula>
    </cfRule>
    <cfRule type="containsText" dxfId="3203" priority="5612" operator="containsText" text="Long Buildup">
      <formula>NOT(ISERROR(SEARCH("Long Buildup",S2994)))</formula>
    </cfRule>
  </conditionalFormatting>
  <conditionalFormatting sqref="F2994:F3009">
    <cfRule type="dataBar" priority="5608">
      <dataBar>
        <cfvo type="min"/>
        <cfvo type="max"/>
        <color rgb="FFFF555A"/>
      </dataBar>
    </cfRule>
  </conditionalFormatting>
  <conditionalFormatting sqref="G2994:G3009">
    <cfRule type="dataBar" priority="5607">
      <dataBar>
        <cfvo type="min"/>
        <cfvo type="max"/>
        <color rgb="FFFF555A"/>
      </dataBar>
    </cfRule>
  </conditionalFormatting>
  <conditionalFormatting sqref="H2994">
    <cfRule type="dataBar" priority="5606">
      <dataBar>
        <cfvo type="min"/>
        <cfvo type="max"/>
        <color rgb="FFFF555A"/>
      </dataBar>
    </cfRule>
  </conditionalFormatting>
  <conditionalFormatting sqref="I2994">
    <cfRule type="dataBar" priority="5605">
      <dataBar>
        <cfvo type="min"/>
        <cfvo type="max"/>
        <color rgb="FFFF555A"/>
      </dataBar>
    </cfRule>
  </conditionalFormatting>
  <conditionalFormatting sqref="J2994">
    <cfRule type="dataBar" priority="5604">
      <dataBar>
        <cfvo type="min"/>
        <cfvo type="max"/>
        <color rgb="FFFF555A"/>
      </dataBar>
    </cfRule>
  </conditionalFormatting>
  <conditionalFormatting sqref="E2995:E3009">
    <cfRule type="dataBar" priority="5603">
      <dataBar>
        <cfvo type="min"/>
        <cfvo type="max"/>
        <color rgb="FFFF555A"/>
      </dataBar>
    </cfRule>
  </conditionalFormatting>
  <conditionalFormatting sqref="H2995:H3009">
    <cfRule type="dataBar" priority="5602">
      <dataBar>
        <cfvo type="min"/>
        <cfvo type="max"/>
        <color rgb="FFFF555A"/>
      </dataBar>
    </cfRule>
  </conditionalFormatting>
  <conditionalFormatting sqref="I2995:I3009">
    <cfRule type="dataBar" priority="5601">
      <dataBar>
        <cfvo type="min"/>
        <cfvo type="max"/>
        <color rgb="FFFF555A"/>
      </dataBar>
    </cfRule>
  </conditionalFormatting>
  <conditionalFormatting sqref="J2995:J3009">
    <cfRule type="dataBar" priority="5600">
      <dataBar>
        <cfvo type="min"/>
        <cfvo type="max"/>
        <color rgb="FFFF555A"/>
      </dataBar>
    </cfRule>
  </conditionalFormatting>
  <conditionalFormatting sqref="L2994:L3009">
    <cfRule type="dataBar" priority="5599">
      <dataBar>
        <cfvo type="min"/>
        <cfvo type="max"/>
        <color rgb="FFFF555A"/>
      </dataBar>
    </cfRule>
  </conditionalFormatting>
  <conditionalFormatting sqref="M2994:M3009">
    <cfRule type="dataBar" priority="5598">
      <dataBar>
        <cfvo type="min"/>
        <cfvo type="max"/>
        <color rgb="FFFF555A"/>
      </dataBar>
    </cfRule>
  </conditionalFormatting>
  <conditionalFormatting sqref="N2994:N3009">
    <cfRule type="dataBar" priority="5597">
      <dataBar>
        <cfvo type="min"/>
        <cfvo type="max"/>
        <color rgb="FFFF555A"/>
      </dataBar>
    </cfRule>
  </conditionalFormatting>
  <conditionalFormatting sqref="Q2994:Q3009">
    <cfRule type="dataBar" priority="5596">
      <dataBar>
        <cfvo type="min"/>
        <cfvo type="max"/>
        <color rgb="FFFF555A"/>
      </dataBar>
    </cfRule>
  </conditionalFormatting>
  <conditionalFormatting sqref="O2994:O3009">
    <cfRule type="dataBar" priority="5595">
      <dataBar>
        <cfvo type="min"/>
        <cfvo type="max"/>
        <color rgb="FFFF555A"/>
      </dataBar>
    </cfRule>
  </conditionalFormatting>
  <conditionalFormatting sqref="P2994:P3009">
    <cfRule type="dataBar" priority="5594">
      <dataBar>
        <cfvo type="min"/>
        <cfvo type="max"/>
        <color rgb="FFFF555A"/>
      </dataBar>
    </cfRule>
  </conditionalFormatting>
  <conditionalFormatting sqref="R3011:R3027 D3011:D3026 C3027">
    <cfRule type="containsText" dxfId="3202" priority="5593" operator="containsText" text="DOWN">
      <formula>NOT(ISERROR(SEARCH("DOWN",C3011)))</formula>
    </cfRule>
  </conditionalFormatting>
  <conditionalFormatting sqref="R3011:R3027 D3011:D3026 C3027">
    <cfRule type="containsText" dxfId="3201" priority="5592" operator="containsText" text="UP">
      <formula>NOT(ISERROR(SEARCH("UP",C3011)))</formula>
    </cfRule>
  </conditionalFormatting>
  <conditionalFormatting sqref="I3027">
    <cfRule type="colorScale" priority="5591">
      <colorScale>
        <cfvo type="min"/>
        <cfvo type="max"/>
        <color rgb="FFFFEF9C"/>
        <color rgb="FF63BE7B"/>
      </colorScale>
    </cfRule>
  </conditionalFormatting>
  <conditionalFormatting sqref="M3027">
    <cfRule type="colorScale" priority="5590">
      <colorScale>
        <cfvo type="min"/>
        <cfvo type="max"/>
        <color rgb="FFFF7128"/>
        <color rgb="FFFFEF9C"/>
      </colorScale>
    </cfRule>
  </conditionalFormatting>
  <conditionalFormatting sqref="Q3027">
    <cfRule type="dataBar" priority="5589">
      <dataBar>
        <cfvo type="min"/>
        <cfvo type="max"/>
        <color rgb="FFFF555A"/>
      </dataBar>
    </cfRule>
  </conditionalFormatting>
  <conditionalFormatting sqref="E3011:E3027">
    <cfRule type="dataBar" priority="5588">
      <dataBar>
        <cfvo type="min"/>
        <cfvo type="max"/>
        <color rgb="FFFF555A"/>
      </dataBar>
    </cfRule>
  </conditionalFormatting>
  <conditionalFormatting sqref="F3027">
    <cfRule type="top10" dxfId="3200" priority="5587" rank="1"/>
  </conditionalFormatting>
  <conditionalFormatting sqref="G3027 P3027">
    <cfRule type="cellIs" dxfId="3199" priority="5586" operator="equal">
      <formula>$G$135</formula>
    </cfRule>
  </conditionalFormatting>
  <conditionalFormatting sqref="P3027">
    <cfRule type="cellIs" dxfId="3198" priority="5585" operator="equal">
      <formula>$J$135</formula>
    </cfRule>
  </conditionalFormatting>
  <conditionalFormatting sqref="G3027 P3027">
    <cfRule type="cellIs" dxfId="3197" priority="5584" operator="equal">
      <formula>#REF!</formula>
    </cfRule>
  </conditionalFormatting>
  <conditionalFormatting sqref="G3027">
    <cfRule type="top10" dxfId="3196" priority="5582" rank="1"/>
    <cfRule type="cellIs" dxfId="3195" priority="5583" operator="equal">
      <formula>$G$133</formula>
    </cfRule>
  </conditionalFormatting>
  <conditionalFormatting sqref="P3027">
    <cfRule type="top10" dxfId="3194" priority="5580" rank="1"/>
    <cfRule type="cellIs" dxfId="3193" priority="5581" operator="equal">
      <formula>$G$133</formula>
    </cfRule>
  </conditionalFormatting>
  <conditionalFormatting sqref="C3011:C3026">
    <cfRule type="containsText" dxfId="3192" priority="5576" operator="containsText" text="Short Buildup">
      <formula>NOT(ISERROR(SEARCH("Short Buildup",C3011)))</formula>
    </cfRule>
    <cfRule type="containsText" dxfId="3191" priority="5577" operator="containsText" text="Long Liquidation">
      <formula>NOT(ISERROR(SEARCH("Long Liquidation",C3011)))</formula>
    </cfRule>
    <cfRule type="containsText" dxfId="3190" priority="5578" operator="containsText" text="Short covering">
      <formula>NOT(ISERROR(SEARCH("Short covering",C3011)))</formula>
    </cfRule>
    <cfRule type="containsText" dxfId="3189" priority="5579" operator="containsText" text="Long Buildup">
      <formula>NOT(ISERROR(SEARCH("Long Buildup",C3011)))</formula>
    </cfRule>
  </conditionalFormatting>
  <conditionalFormatting sqref="H3027">
    <cfRule type="colorScale" priority="5571">
      <colorScale>
        <cfvo type="min"/>
        <cfvo type="percentile" val="20"/>
        <cfvo type="max"/>
        <color rgb="FF92D050"/>
        <color theme="5" tint="0.79998168889431442"/>
        <color rgb="FFFF0000"/>
      </colorScale>
    </cfRule>
    <cfRule type="colorScale" priority="5572">
      <colorScale>
        <cfvo type="min"/>
        <cfvo type="max"/>
        <color rgb="FFFF0000"/>
        <color rgb="FF92D050"/>
      </colorScale>
    </cfRule>
    <cfRule type="colorScale" priority="5573">
      <colorScale>
        <cfvo type="min"/>
        <cfvo type="percentile" val="50"/>
        <cfvo type="max"/>
        <color rgb="FF5A8AC6"/>
        <color rgb="FFFCFCFF"/>
        <color rgb="FFF8696B"/>
      </colorScale>
    </cfRule>
    <cfRule type="colorScale" priority="5574">
      <colorScale>
        <cfvo type="formula" val="&quot;&gt;20&quot;"/>
        <cfvo type="formula" val="35"/>
        <color rgb="FFF8696B"/>
        <color rgb="FFFCFCFF"/>
      </colorScale>
    </cfRule>
    <cfRule type="colorScale" priority="5575">
      <colorScale>
        <cfvo type="min"/>
        <cfvo type="max"/>
        <color rgb="FFFFEF9C"/>
        <color rgb="FF63BE7B"/>
      </colorScale>
    </cfRule>
  </conditionalFormatting>
  <conditionalFormatting sqref="N3027">
    <cfRule type="colorScale" priority="5566">
      <colorScale>
        <cfvo type="min"/>
        <cfvo type="percentile" val="20"/>
        <cfvo type="max"/>
        <color rgb="FF92D050"/>
        <color theme="5" tint="0.79998168889431442"/>
        <color rgb="FFFF0000"/>
      </colorScale>
    </cfRule>
    <cfRule type="colorScale" priority="5567">
      <colorScale>
        <cfvo type="min"/>
        <cfvo type="max"/>
        <color rgb="FFFF0000"/>
        <color rgb="FF92D050"/>
      </colorScale>
    </cfRule>
    <cfRule type="colorScale" priority="5568">
      <colorScale>
        <cfvo type="min"/>
        <cfvo type="percentile" val="50"/>
        <cfvo type="max"/>
        <color rgb="FF5A8AC6"/>
        <color rgb="FFFCFCFF"/>
        <color rgb="FFF8696B"/>
      </colorScale>
    </cfRule>
    <cfRule type="colorScale" priority="5569">
      <colorScale>
        <cfvo type="formula" val="&quot;&gt;20&quot;"/>
        <cfvo type="formula" val="35"/>
        <color rgb="FFF8696B"/>
        <color rgb="FFFCFCFF"/>
      </colorScale>
    </cfRule>
    <cfRule type="colorScale" priority="5570">
      <colorScale>
        <cfvo type="min"/>
        <cfvo type="max"/>
        <color rgb="FFFFEF9C"/>
        <color rgb="FF63BE7B"/>
      </colorScale>
    </cfRule>
  </conditionalFormatting>
  <conditionalFormatting sqref="S3011:S3027">
    <cfRule type="containsText" dxfId="3188" priority="5562" operator="containsText" text="Short Buildup">
      <formula>NOT(ISERROR(SEARCH("Short Buildup",S3011)))</formula>
    </cfRule>
    <cfRule type="containsText" dxfId="3187" priority="5563" operator="containsText" text="Long Liquidation">
      <formula>NOT(ISERROR(SEARCH("Long Liquidation",S3011)))</formula>
    </cfRule>
    <cfRule type="containsText" dxfId="3186" priority="5564" operator="containsText" text="Short covering">
      <formula>NOT(ISERROR(SEARCH("Short covering",S3011)))</formula>
    </cfRule>
    <cfRule type="containsText" dxfId="3185" priority="5565" operator="containsText" text="Long Buildup">
      <formula>NOT(ISERROR(SEARCH("Long Buildup",S3011)))</formula>
    </cfRule>
  </conditionalFormatting>
  <conditionalFormatting sqref="F3011:F3026">
    <cfRule type="dataBar" priority="5561">
      <dataBar>
        <cfvo type="min"/>
        <cfvo type="max"/>
        <color rgb="FFFF555A"/>
      </dataBar>
    </cfRule>
  </conditionalFormatting>
  <conditionalFormatting sqref="G3011:G3026">
    <cfRule type="dataBar" priority="5560">
      <dataBar>
        <cfvo type="min"/>
        <cfvo type="max"/>
        <color rgb="FFFF555A"/>
      </dataBar>
    </cfRule>
  </conditionalFormatting>
  <conditionalFormatting sqref="H3011">
    <cfRule type="dataBar" priority="5559">
      <dataBar>
        <cfvo type="min"/>
        <cfvo type="max"/>
        <color rgb="FFFF555A"/>
      </dataBar>
    </cfRule>
  </conditionalFormatting>
  <conditionalFormatting sqref="I3011">
    <cfRule type="dataBar" priority="5558">
      <dataBar>
        <cfvo type="min"/>
        <cfvo type="max"/>
        <color rgb="FFFF555A"/>
      </dataBar>
    </cfRule>
  </conditionalFormatting>
  <conditionalFormatting sqref="J3011">
    <cfRule type="dataBar" priority="5557">
      <dataBar>
        <cfvo type="min"/>
        <cfvo type="max"/>
        <color rgb="FFFF555A"/>
      </dataBar>
    </cfRule>
  </conditionalFormatting>
  <conditionalFormatting sqref="E3012:E3026">
    <cfRule type="dataBar" priority="5556">
      <dataBar>
        <cfvo type="min"/>
        <cfvo type="max"/>
        <color rgb="FFFF555A"/>
      </dataBar>
    </cfRule>
  </conditionalFormatting>
  <conditionalFormatting sqref="H3012:H3026">
    <cfRule type="dataBar" priority="5555">
      <dataBar>
        <cfvo type="min"/>
        <cfvo type="max"/>
        <color rgb="FFFF555A"/>
      </dataBar>
    </cfRule>
  </conditionalFormatting>
  <conditionalFormatting sqref="I3012:I3026">
    <cfRule type="dataBar" priority="5554">
      <dataBar>
        <cfvo type="min"/>
        <cfvo type="max"/>
        <color rgb="FFFF555A"/>
      </dataBar>
    </cfRule>
  </conditionalFormatting>
  <conditionalFormatting sqref="J3012:J3026">
    <cfRule type="dataBar" priority="5553">
      <dataBar>
        <cfvo type="min"/>
        <cfvo type="max"/>
        <color rgb="FFFF555A"/>
      </dataBar>
    </cfRule>
  </conditionalFormatting>
  <conditionalFormatting sqref="L3011:L3026">
    <cfRule type="dataBar" priority="5552">
      <dataBar>
        <cfvo type="min"/>
        <cfvo type="max"/>
        <color rgb="FFFF555A"/>
      </dataBar>
    </cfRule>
  </conditionalFormatting>
  <conditionalFormatting sqref="M3011:M3026">
    <cfRule type="dataBar" priority="5551">
      <dataBar>
        <cfvo type="min"/>
        <cfvo type="max"/>
        <color rgb="FFFF555A"/>
      </dataBar>
    </cfRule>
  </conditionalFormatting>
  <conditionalFormatting sqref="N3011:N3026">
    <cfRule type="dataBar" priority="5550">
      <dataBar>
        <cfvo type="min"/>
        <cfvo type="max"/>
        <color rgb="FFFF555A"/>
      </dataBar>
    </cfRule>
  </conditionalFormatting>
  <conditionalFormatting sqref="Q3011:Q3026">
    <cfRule type="dataBar" priority="5549">
      <dataBar>
        <cfvo type="min"/>
        <cfvo type="max"/>
        <color rgb="FFFF555A"/>
      </dataBar>
    </cfRule>
  </conditionalFormatting>
  <conditionalFormatting sqref="O3011:O3026">
    <cfRule type="dataBar" priority="5548">
      <dataBar>
        <cfvo type="min"/>
        <cfvo type="max"/>
        <color rgb="FFFF555A"/>
      </dataBar>
    </cfRule>
  </conditionalFormatting>
  <conditionalFormatting sqref="P3011:P3026">
    <cfRule type="dataBar" priority="5547">
      <dataBar>
        <cfvo type="min"/>
        <cfvo type="max"/>
        <color rgb="FFFF555A"/>
      </dataBar>
    </cfRule>
  </conditionalFormatting>
  <conditionalFormatting sqref="R3028:R3044 D3028:D3043 C3044">
    <cfRule type="containsText" dxfId="3184" priority="5546" operator="containsText" text="DOWN">
      <formula>NOT(ISERROR(SEARCH("DOWN",C3028)))</formula>
    </cfRule>
  </conditionalFormatting>
  <conditionalFormatting sqref="R3028:R3044 D3028:D3043 C3044">
    <cfRule type="containsText" dxfId="3183" priority="5545" operator="containsText" text="UP">
      <formula>NOT(ISERROR(SEARCH("UP",C3028)))</formula>
    </cfRule>
  </conditionalFormatting>
  <conditionalFormatting sqref="I3044">
    <cfRule type="colorScale" priority="5544">
      <colorScale>
        <cfvo type="min"/>
        <cfvo type="max"/>
        <color rgb="FFFFEF9C"/>
        <color rgb="FF63BE7B"/>
      </colorScale>
    </cfRule>
  </conditionalFormatting>
  <conditionalFormatting sqref="M3044">
    <cfRule type="colorScale" priority="5543">
      <colorScale>
        <cfvo type="min"/>
        <cfvo type="max"/>
        <color rgb="FFFF7128"/>
        <color rgb="FFFFEF9C"/>
      </colorScale>
    </cfRule>
  </conditionalFormatting>
  <conditionalFormatting sqref="Q3044">
    <cfRule type="dataBar" priority="5542">
      <dataBar>
        <cfvo type="min"/>
        <cfvo type="max"/>
        <color rgb="FFFF555A"/>
      </dataBar>
    </cfRule>
  </conditionalFormatting>
  <conditionalFormatting sqref="E3028:E3044">
    <cfRule type="dataBar" priority="5541">
      <dataBar>
        <cfvo type="min"/>
        <cfvo type="max"/>
        <color rgb="FFFF555A"/>
      </dataBar>
    </cfRule>
  </conditionalFormatting>
  <conditionalFormatting sqref="F3044">
    <cfRule type="top10" dxfId="3182" priority="5540" rank="1"/>
  </conditionalFormatting>
  <conditionalFormatting sqref="G3044 P3044">
    <cfRule type="cellIs" dxfId="3181" priority="5539" operator="equal">
      <formula>$G$135</formula>
    </cfRule>
  </conditionalFormatting>
  <conditionalFormatting sqref="P3044">
    <cfRule type="cellIs" dxfId="3180" priority="5538" operator="equal">
      <formula>$J$135</formula>
    </cfRule>
  </conditionalFormatting>
  <conditionalFormatting sqref="G3044 P3044">
    <cfRule type="cellIs" dxfId="3179" priority="5537" operator="equal">
      <formula>#REF!</formula>
    </cfRule>
  </conditionalFormatting>
  <conditionalFormatting sqref="G3044">
    <cfRule type="top10" dxfId="3178" priority="5535" rank="1"/>
    <cfRule type="cellIs" dxfId="3177" priority="5536" operator="equal">
      <formula>$G$133</formula>
    </cfRule>
  </conditionalFormatting>
  <conditionalFormatting sqref="P3044">
    <cfRule type="top10" dxfId="3176" priority="5533" rank="1"/>
    <cfRule type="cellIs" dxfId="3175" priority="5534" operator="equal">
      <formula>$G$133</formula>
    </cfRule>
  </conditionalFormatting>
  <conditionalFormatting sqref="C3028:C3043">
    <cfRule type="containsText" dxfId="3174" priority="5529" operator="containsText" text="Short Buildup">
      <formula>NOT(ISERROR(SEARCH("Short Buildup",C3028)))</formula>
    </cfRule>
    <cfRule type="containsText" dxfId="3173" priority="5530" operator="containsText" text="Long Liquidation">
      <formula>NOT(ISERROR(SEARCH("Long Liquidation",C3028)))</formula>
    </cfRule>
    <cfRule type="containsText" dxfId="3172" priority="5531" operator="containsText" text="Short covering">
      <formula>NOT(ISERROR(SEARCH("Short covering",C3028)))</formula>
    </cfRule>
    <cfRule type="containsText" dxfId="3171" priority="5532" operator="containsText" text="Long Buildup">
      <formula>NOT(ISERROR(SEARCH("Long Buildup",C3028)))</formula>
    </cfRule>
  </conditionalFormatting>
  <conditionalFormatting sqref="H3044">
    <cfRule type="colorScale" priority="5524">
      <colorScale>
        <cfvo type="min"/>
        <cfvo type="percentile" val="20"/>
        <cfvo type="max"/>
        <color rgb="FF92D050"/>
        <color theme="5" tint="0.79998168889431442"/>
        <color rgb="FFFF0000"/>
      </colorScale>
    </cfRule>
    <cfRule type="colorScale" priority="5525">
      <colorScale>
        <cfvo type="min"/>
        <cfvo type="max"/>
        <color rgb="FFFF0000"/>
        <color rgb="FF92D050"/>
      </colorScale>
    </cfRule>
    <cfRule type="colorScale" priority="5526">
      <colorScale>
        <cfvo type="min"/>
        <cfvo type="percentile" val="50"/>
        <cfvo type="max"/>
        <color rgb="FF5A8AC6"/>
        <color rgb="FFFCFCFF"/>
        <color rgb="FFF8696B"/>
      </colorScale>
    </cfRule>
    <cfRule type="colorScale" priority="5527">
      <colorScale>
        <cfvo type="formula" val="&quot;&gt;20&quot;"/>
        <cfvo type="formula" val="35"/>
        <color rgb="FFF8696B"/>
        <color rgb="FFFCFCFF"/>
      </colorScale>
    </cfRule>
    <cfRule type="colorScale" priority="5528">
      <colorScale>
        <cfvo type="min"/>
        <cfvo type="max"/>
        <color rgb="FFFFEF9C"/>
        <color rgb="FF63BE7B"/>
      </colorScale>
    </cfRule>
  </conditionalFormatting>
  <conditionalFormatting sqref="N3044">
    <cfRule type="colorScale" priority="5519">
      <colorScale>
        <cfvo type="min"/>
        <cfvo type="percentile" val="20"/>
        <cfvo type="max"/>
        <color rgb="FF92D050"/>
        <color theme="5" tint="0.79998168889431442"/>
        <color rgb="FFFF0000"/>
      </colorScale>
    </cfRule>
    <cfRule type="colorScale" priority="5520">
      <colorScale>
        <cfvo type="min"/>
        <cfvo type="max"/>
        <color rgb="FFFF0000"/>
        <color rgb="FF92D050"/>
      </colorScale>
    </cfRule>
    <cfRule type="colorScale" priority="5521">
      <colorScale>
        <cfvo type="min"/>
        <cfvo type="percentile" val="50"/>
        <cfvo type="max"/>
        <color rgb="FF5A8AC6"/>
        <color rgb="FFFCFCFF"/>
        <color rgb="FFF8696B"/>
      </colorScale>
    </cfRule>
    <cfRule type="colorScale" priority="5522">
      <colorScale>
        <cfvo type="formula" val="&quot;&gt;20&quot;"/>
        <cfvo type="formula" val="35"/>
        <color rgb="FFF8696B"/>
        <color rgb="FFFCFCFF"/>
      </colorScale>
    </cfRule>
    <cfRule type="colorScale" priority="5523">
      <colorScale>
        <cfvo type="min"/>
        <cfvo type="max"/>
        <color rgb="FFFFEF9C"/>
        <color rgb="FF63BE7B"/>
      </colorScale>
    </cfRule>
  </conditionalFormatting>
  <conditionalFormatting sqref="S3028:S3044">
    <cfRule type="containsText" dxfId="3170" priority="5515" operator="containsText" text="Short Buildup">
      <formula>NOT(ISERROR(SEARCH("Short Buildup",S3028)))</formula>
    </cfRule>
    <cfRule type="containsText" dxfId="3169" priority="5516" operator="containsText" text="Long Liquidation">
      <formula>NOT(ISERROR(SEARCH("Long Liquidation",S3028)))</formula>
    </cfRule>
    <cfRule type="containsText" dxfId="3168" priority="5517" operator="containsText" text="Short covering">
      <formula>NOT(ISERROR(SEARCH("Short covering",S3028)))</formula>
    </cfRule>
    <cfRule type="containsText" dxfId="3167" priority="5518" operator="containsText" text="Long Buildup">
      <formula>NOT(ISERROR(SEARCH("Long Buildup",S3028)))</formula>
    </cfRule>
  </conditionalFormatting>
  <conditionalFormatting sqref="F3028:F3043">
    <cfRule type="dataBar" priority="5514">
      <dataBar>
        <cfvo type="min"/>
        <cfvo type="max"/>
        <color rgb="FFFF555A"/>
      </dataBar>
    </cfRule>
  </conditionalFormatting>
  <conditionalFormatting sqref="G3028:G3043">
    <cfRule type="dataBar" priority="5513">
      <dataBar>
        <cfvo type="min"/>
        <cfvo type="max"/>
        <color rgb="FFFF555A"/>
      </dataBar>
    </cfRule>
  </conditionalFormatting>
  <conditionalFormatting sqref="H3028">
    <cfRule type="dataBar" priority="5512">
      <dataBar>
        <cfvo type="min"/>
        <cfvo type="max"/>
        <color rgb="FFFF555A"/>
      </dataBar>
    </cfRule>
  </conditionalFormatting>
  <conditionalFormatting sqref="I3028">
    <cfRule type="dataBar" priority="5511">
      <dataBar>
        <cfvo type="min"/>
        <cfvo type="max"/>
        <color rgb="FFFF555A"/>
      </dataBar>
    </cfRule>
  </conditionalFormatting>
  <conditionalFormatting sqref="J3028">
    <cfRule type="dataBar" priority="5510">
      <dataBar>
        <cfvo type="min"/>
        <cfvo type="max"/>
        <color rgb="FFFF555A"/>
      </dataBar>
    </cfRule>
  </conditionalFormatting>
  <conditionalFormatting sqref="E3029:E3043">
    <cfRule type="dataBar" priority="5509">
      <dataBar>
        <cfvo type="min"/>
        <cfvo type="max"/>
        <color rgb="FFFF555A"/>
      </dataBar>
    </cfRule>
  </conditionalFormatting>
  <conditionalFormatting sqref="H3029:H3043">
    <cfRule type="dataBar" priority="5508">
      <dataBar>
        <cfvo type="min"/>
        <cfvo type="max"/>
        <color rgb="FFFF555A"/>
      </dataBar>
    </cfRule>
  </conditionalFormatting>
  <conditionalFormatting sqref="I3029:I3043">
    <cfRule type="dataBar" priority="5507">
      <dataBar>
        <cfvo type="min"/>
        <cfvo type="max"/>
        <color rgb="FFFF555A"/>
      </dataBar>
    </cfRule>
  </conditionalFormatting>
  <conditionalFormatting sqref="J3029:J3043">
    <cfRule type="dataBar" priority="5506">
      <dataBar>
        <cfvo type="min"/>
        <cfvo type="max"/>
        <color rgb="FFFF555A"/>
      </dataBar>
    </cfRule>
  </conditionalFormatting>
  <conditionalFormatting sqref="L3028:L3043">
    <cfRule type="dataBar" priority="5505">
      <dataBar>
        <cfvo type="min"/>
        <cfvo type="max"/>
        <color rgb="FFFF555A"/>
      </dataBar>
    </cfRule>
  </conditionalFormatting>
  <conditionalFormatting sqref="M3028:M3043">
    <cfRule type="dataBar" priority="5504">
      <dataBar>
        <cfvo type="min"/>
        <cfvo type="max"/>
        <color rgb="FFFF555A"/>
      </dataBar>
    </cfRule>
  </conditionalFormatting>
  <conditionalFormatting sqref="N3028:N3043">
    <cfRule type="dataBar" priority="5503">
      <dataBar>
        <cfvo type="min"/>
        <cfvo type="max"/>
        <color rgb="FFFF555A"/>
      </dataBar>
    </cfRule>
  </conditionalFormatting>
  <conditionalFormatting sqref="Q3028:Q3043">
    <cfRule type="dataBar" priority="5502">
      <dataBar>
        <cfvo type="min"/>
        <cfvo type="max"/>
        <color rgb="FFFF555A"/>
      </dataBar>
    </cfRule>
  </conditionalFormatting>
  <conditionalFormatting sqref="O3028:O3043">
    <cfRule type="dataBar" priority="5501">
      <dataBar>
        <cfvo type="min"/>
        <cfvo type="max"/>
        <color rgb="FFFF555A"/>
      </dataBar>
    </cfRule>
  </conditionalFormatting>
  <conditionalFormatting sqref="P3028:P3043">
    <cfRule type="dataBar" priority="5500">
      <dataBar>
        <cfvo type="min"/>
        <cfvo type="max"/>
        <color rgb="FFFF555A"/>
      </dataBar>
    </cfRule>
  </conditionalFormatting>
  <conditionalFormatting sqref="R3045:R3061 D3045:D3060 C3061">
    <cfRule type="containsText" dxfId="3166" priority="5499" operator="containsText" text="DOWN">
      <formula>NOT(ISERROR(SEARCH("DOWN",C3045)))</formula>
    </cfRule>
  </conditionalFormatting>
  <conditionalFormatting sqref="R3045:R3061 D3045:D3060 C3061">
    <cfRule type="containsText" dxfId="3165" priority="5498" operator="containsText" text="UP">
      <formula>NOT(ISERROR(SEARCH("UP",C3045)))</formula>
    </cfRule>
  </conditionalFormatting>
  <conditionalFormatting sqref="I3061">
    <cfRule type="colorScale" priority="5497">
      <colorScale>
        <cfvo type="min"/>
        <cfvo type="max"/>
        <color rgb="FFFFEF9C"/>
        <color rgb="FF63BE7B"/>
      </colorScale>
    </cfRule>
  </conditionalFormatting>
  <conditionalFormatting sqref="M3061">
    <cfRule type="colorScale" priority="5496">
      <colorScale>
        <cfvo type="min"/>
        <cfvo type="max"/>
        <color rgb="FFFF7128"/>
        <color rgb="FFFFEF9C"/>
      </colorScale>
    </cfRule>
  </conditionalFormatting>
  <conditionalFormatting sqref="Q3061">
    <cfRule type="dataBar" priority="5495">
      <dataBar>
        <cfvo type="min"/>
        <cfvo type="max"/>
        <color rgb="FFFF555A"/>
      </dataBar>
    </cfRule>
  </conditionalFormatting>
  <conditionalFormatting sqref="E3045:E3061">
    <cfRule type="dataBar" priority="5494">
      <dataBar>
        <cfvo type="min"/>
        <cfvo type="max"/>
        <color rgb="FFFF555A"/>
      </dataBar>
    </cfRule>
  </conditionalFormatting>
  <conditionalFormatting sqref="F3061">
    <cfRule type="top10" dxfId="3164" priority="5493" rank="1"/>
  </conditionalFormatting>
  <conditionalFormatting sqref="G3061 P3061">
    <cfRule type="cellIs" dxfId="3163" priority="5492" operator="equal">
      <formula>$G$135</formula>
    </cfRule>
  </conditionalFormatting>
  <conditionalFormatting sqref="P3061">
    <cfRule type="cellIs" dxfId="3162" priority="5491" operator="equal">
      <formula>$J$135</formula>
    </cfRule>
  </conditionalFormatting>
  <conditionalFormatting sqref="G3061 P3061">
    <cfRule type="cellIs" dxfId="3161" priority="5490" operator="equal">
      <formula>#REF!</formula>
    </cfRule>
  </conditionalFormatting>
  <conditionalFormatting sqref="G3061">
    <cfRule type="top10" dxfId="3160" priority="5488" rank="1"/>
    <cfRule type="cellIs" dxfId="3159" priority="5489" operator="equal">
      <formula>$G$133</formula>
    </cfRule>
  </conditionalFormatting>
  <conditionalFormatting sqref="P3061">
    <cfRule type="top10" dxfId="3158" priority="5486" rank="1"/>
    <cfRule type="cellIs" dxfId="3157" priority="5487" operator="equal">
      <formula>$G$133</formula>
    </cfRule>
  </conditionalFormatting>
  <conditionalFormatting sqref="C3045:C3060">
    <cfRule type="containsText" dxfId="3156" priority="5482" operator="containsText" text="Short Buildup">
      <formula>NOT(ISERROR(SEARCH("Short Buildup",C3045)))</formula>
    </cfRule>
    <cfRule type="containsText" dxfId="3155" priority="5483" operator="containsText" text="Long Liquidation">
      <formula>NOT(ISERROR(SEARCH("Long Liquidation",C3045)))</formula>
    </cfRule>
    <cfRule type="containsText" dxfId="3154" priority="5484" operator="containsText" text="Short covering">
      <formula>NOT(ISERROR(SEARCH("Short covering",C3045)))</formula>
    </cfRule>
    <cfRule type="containsText" dxfId="3153" priority="5485" operator="containsText" text="Long Buildup">
      <formula>NOT(ISERROR(SEARCH("Long Buildup",C3045)))</formula>
    </cfRule>
  </conditionalFormatting>
  <conditionalFormatting sqref="H3061">
    <cfRule type="colorScale" priority="5477">
      <colorScale>
        <cfvo type="min"/>
        <cfvo type="percentile" val="20"/>
        <cfvo type="max"/>
        <color rgb="FF92D050"/>
        <color theme="5" tint="0.79998168889431442"/>
        <color rgb="FFFF0000"/>
      </colorScale>
    </cfRule>
    <cfRule type="colorScale" priority="5478">
      <colorScale>
        <cfvo type="min"/>
        <cfvo type="max"/>
        <color rgb="FFFF0000"/>
        <color rgb="FF92D050"/>
      </colorScale>
    </cfRule>
    <cfRule type="colorScale" priority="5479">
      <colorScale>
        <cfvo type="min"/>
        <cfvo type="percentile" val="50"/>
        <cfvo type="max"/>
        <color rgb="FF5A8AC6"/>
        <color rgb="FFFCFCFF"/>
        <color rgb="FFF8696B"/>
      </colorScale>
    </cfRule>
    <cfRule type="colorScale" priority="5480">
      <colorScale>
        <cfvo type="formula" val="&quot;&gt;20&quot;"/>
        <cfvo type="formula" val="35"/>
        <color rgb="FFF8696B"/>
        <color rgb="FFFCFCFF"/>
      </colorScale>
    </cfRule>
    <cfRule type="colorScale" priority="5481">
      <colorScale>
        <cfvo type="min"/>
        <cfvo type="max"/>
        <color rgb="FFFFEF9C"/>
        <color rgb="FF63BE7B"/>
      </colorScale>
    </cfRule>
  </conditionalFormatting>
  <conditionalFormatting sqref="N3061">
    <cfRule type="colorScale" priority="5472">
      <colorScale>
        <cfvo type="min"/>
        <cfvo type="percentile" val="20"/>
        <cfvo type="max"/>
        <color rgb="FF92D050"/>
        <color theme="5" tint="0.79998168889431442"/>
        <color rgb="FFFF0000"/>
      </colorScale>
    </cfRule>
    <cfRule type="colorScale" priority="5473">
      <colorScale>
        <cfvo type="min"/>
        <cfvo type="max"/>
        <color rgb="FFFF0000"/>
        <color rgb="FF92D050"/>
      </colorScale>
    </cfRule>
    <cfRule type="colorScale" priority="5474">
      <colorScale>
        <cfvo type="min"/>
        <cfvo type="percentile" val="50"/>
        <cfvo type="max"/>
        <color rgb="FF5A8AC6"/>
        <color rgb="FFFCFCFF"/>
        <color rgb="FFF8696B"/>
      </colorScale>
    </cfRule>
    <cfRule type="colorScale" priority="5475">
      <colorScale>
        <cfvo type="formula" val="&quot;&gt;20&quot;"/>
        <cfvo type="formula" val="35"/>
        <color rgb="FFF8696B"/>
        <color rgb="FFFCFCFF"/>
      </colorScale>
    </cfRule>
    <cfRule type="colorScale" priority="5476">
      <colorScale>
        <cfvo type="min"/>
        <cfvo type="max"/>
        <color rgb="FFFFEF9C"/>
        <color rgb="FF63BE7B"/>
      </colorScale>
    </cfRule>
  </conditionalFormatting>
  <conditionalFormatting sqref="S3045:S3061">
    <cfRule type="containsText" dxfId="3152" priority="5468" operator="containsText" text="Short Buildup">
      <formula>NOT(ISERROR(SEARCH("Short Buildup",S3045)))</formula>
    </cfRule>
    <cfRule type="containsText" dxfId="3151" priority="5469" operator="containsText" text="Long Liquidation">
      <formula>NOT(ISERROR(SEARCH("Long Liquidation",S3045)))</formula>
    </cfRule>
    <cfRule type="containsText" dxfId="3150" priority="5470" operator="containsText" text="Short covering">
      <formula>NOT(ISERROR(SEARCH("Short covering",S3045)))</formula>
    </cfRule>
    <cfRule type="containsText" dxfId="3149" priority="5471" operator="containsText" text="Long Buildup">
      <formula>NOT(ISERROR(SEARCH("Long Buildup",S3045)))</formula>
    </cfRule>
  </conditionalFormatting>
  <conditionalFormatting sqref="F3045:F3060">
    <cfRule type="dataBar" priority="5467">
      <dataBar>
        <cfvo type="min"/>
        <cfvo type="max"/>
        <color rgb="FFFF555A"/>
      </dataBar>
    </cfRule>
  </conditionalFormatting>
  <conditionalFormatting sqref="G3045:G3060">
    <cfRule type="dataBar" priority="5466">
      <dataBar>
        <cfvo type="min"/>
        <cfvo type="max"/>
        <color rgb="FFFF555A"/>
      </dataBar>
    </cfRule>
  </conditionalFormatting>
  <conditionalFormatting sqref="H3045">
    <cfRule type="dataBar" priority="5465">
      <dataBar>
        <cfvo type="min"/>
        <cfvo type="max"/>
        <color rgb="FFFF555A"/>
      </dataBar>
    </cfRule>
  </conditionalFormatting>
  <conditionalFormatting sqref="I3045">
    <cfRule type="dataBar" priority="5464">
      <dataBar>
        <cfvo type="min"/>
        <cfvo type="max"/>
        <color rgb="FFFF555A"/>
      </dataBar>
    </cfRule>
  </conditionalFormatting>
  <conditionalFormatting sqref="J3045">
    <cfRule type="dataBar" priority="5463">
      <dataBar>
        <cfvo type="min"/>
        <cfvo type="max"/>
        <color rgb="FFFF555A"/>
      </dataBar>
    </cfRule>
  </conditionalFormatting>
  <conditionalFormatting sqref="E3046:E3060">
    <cfRule type="dataBar" priority="5462">
      <dataBar>
        <cfvo type="min"/>
        <cfvo type="max"/>
        <color rgb="FFFF555A"/>
      </dataBar>
    </cfRule>
  </conditionalFormatting>
  <conditionalFormatting sqref="H3046:H3060">
    <cfRule type="dataBar" priority="5461">
      <dataBar>
        <cfvo type="min"/>
        <cfvo type="max"/>
        <color rgb="FFFF555A"/>
      </dataBar>
    </cfRule>
  </conditionalFormatting>
  <conditionalFormatting sqref="I3046:I3060">
    <cfRule type="dataBar" priority="5460">
      <dataBar>
        <cfvo type="min"/>
        <cfvo type="max"/>
        <color rgb="FFFF555A"/>
      </dataBar>
    </cfRule>
  </conditionalFormatting>
  <conditionalFormatting sqref="J3046:J3060">
    <cfRule type="dataBar" priority="5459">
      <dataBar>
        <cfvo type="min"/>
        <cfvo type="max"/>
        <color rgb="FFFF555A"/>
      </dataBar>
    </cfRule>
  </conditionalFormatting>
  <conditionalFormatting sqref="L3045:L3060">
    <cfRule type="dataBar" priority="5458">
      <dataBar>
        <cfvo type="min"/>
        <cfvo type="max"/>
        <color rgb="FFFF555A"/>
      </dataBar>
    </cfRule>
  </conditionalFormatting>
  <conditionalFormatting sqref="M3045:M3060">
    <cfRule type="dataBar" priority="5457">
      <dataBar>
        <cfvo type="min"/>
        <cfvo type="max"/>
        <color rgb="FFFF555A"/>
      </dataBar>
    </cfRule>
  </conditionalFormatting>
  <conditionalFormatting sqref="N3045:N3060">
    <cfRule type="dataBar" priority="5456">
      <dataBar>
        <cfvo type="min"/>
        <cfvo type="max"/>
        <color rgb="FFFF555A"/>
      </dataBar>
    </cfRule>
  </conditionalFormatting>
  <conditionalFormatting sqref="Q3045:Q3060">
    <cfRule type="dataBar" priority="5455">
      <dataBar>
        <cfvo type="min"/>
        <cfvo type="max"/>
        <color rgb="FFFF555A"/>
      </dataBar>
    </cfRule>
  </conditionalFormatting>
  <conditionalFormatting sqref="O3045:O3060">
    <cfRule type="dataBar" priority="5454">
      <dataBar>
        <cfvo type="min"/>
        <cfvo type="max"/>
        <color rgb="FFFF555A"/>
      </dataBar>
    </cfRule>
  </conditionalFormatting>
  <conditionalFormatting sqref="P3045:P3060">
    <cfRule type="dataBar" priority="5453">
      <dataBar>
        <cfvo type="min"/>
        <cfvo type="max"/>
        <color rgb="FFFF555A"/>
      </dataBar>
    </cfRule>
  </conditionalFormatting>
  <conditionalFormatting sqref="R3062:R3078 D3062:D3077 C3078">
    <cfRule type="containsText" dxfId="3148" priority="5452" operator="containsText" text="DOWN">
      <formula>NOT(ISERROR(SEARCH("DOWN",C3062)))</formula>
    </cfRule>
  </conditionalFormatting>
  <conditionalFormatting sqref="R3062:R3078 D3062:D3077 C3078">
    <cfRule type="containsText" dxfId="3147" priority="5451" operator="containsText" text="UP">
      <formula>NOT(ISERROR(SEARCH("UP",C3062)))</formula>
    </cfRule>
  </conditionalFormatting>
  <conditionalFormatting sqref="I3078">
    <cfRule type="colorScale" priority="5450">
      <colorScale>
        <cfvo type="min"/>
        <cfvo type="max"/>
        <color rgb="FFFFEF9C"/>
        <color rgb="FF63BE7B"/>
      </colorScale>
    </cfRule>
  </conditionalFormatting>
  <conditionalFormatting sqref="M3078">
    <cfRule type="colorScale" priority="5449">
      <colorScale>
        <cfvo type="min"/>
        <cfvo type="max"/>
        <color rgb="FFFF7128"/>
        <color rgb="FFFFEF9C"/>
      </colorScale>
    </cfRule>
  </conditionalFormatting>
  <conditionalFormatting sqref="Q3078">
    <cfRule type="dataBar" priority="5448">
      <dataBar>
        <cfvo type="min"/>
        <cfvo type="max"/>
        <color rgb="FFFF555A"/>
      </dataBar>
    </cfRule>
  </conditionalFormatting>
  <conditionalFormatting sqref="E3062:E3078">
    <cfRule type="dataBar" priority="5447">
      <dataBar>
        <cfvo type="min"/>
        <cfvo type="max"/>
        <color rgb="FFFF555A"/>
      </dataBar>
    </cfRule>
  </conditionalFormatting>
  <conditionalFormatting sqref="F3078">
    <cfRule type="top10" dxfId="3146" priority="5446" rank="1"/>
  </conditionalFormatting>
  <conditionalFormatting sqref="G3078 P3078">
    <cfRule type="cellIs" dxfId="3145" priority="5445" operator="equal">
      <formula>$G$135</formula>
    </cfRule>
  </conditionalFormatting>
  <conditionalFormatting sqref="P3078">
    <cfRule type="cellIs" dxfId="3144" priority="5444" operator="equal">
      <formula>$J$135</formula>
    </cfRule>
  </conditionalFormatting>
  <conditionalFormatting sqref="G3078 P3078">
    <cfRule type="cellIs" dxfId="3143" priority="5443" operator="equal">
      <formula>#REF!</formula>
    </cfRule>
  </conditionalFormatting>
  <conditionalFormatting sqref="G3078">
    <cfRule type="top10" dxfId="3142" priority="5441" rank="1"/>
    <cfRule type="cellIs" dxfId="3141" priority="5442" operator="equal">
      <formula>$G$133</formula>
    </cfRule>
  </conditionalFormatting>
  <conditionalFormatting sqref="P3078">
    <cfRule type="top10" dxfId="3140" priority="5439" rank="1"/>
    <cfRule type="cellIs" dxfId="3139" priority="5440" operator="equal">
      <formula>$G$133</formula>
    </cfRule>
  </conditionalFormatting>
  <conditionalFormatting sqref="C3062:C3077">
    <cfRule type="containsText" dxfId="3138" priority="5435" operator="containsText" text="Short Buildup">
      <formula>NOT(ISERROR(SEARCH("Short Buildup",C3062)))</formula>
    </cfRule>
    <cfRule type="containsText" dxfId="3137" priority="5436" operator="containsText" text="Long Liquidation">
      <formula>NOT(ISERROR(SEARCH("Long Liquidation",C3062)))</formula>
    </cfRule>
    <cfRule type="containsText" dxfId="3136" priority="5437" operator="containsText" text="Short covering">
      <formula>NOT(ISERROR(SEARCH("Short covering",C3062)))</formula>
    </cfRule>
    <cfRule type="containsText" dxfId="3135" priority="5438" operator="containsText" text="Long Buildup">
      <formula>NOT(ISERROR(SEARCH("Long Buildup",C3062)))</formula>
    </cfRule>
  </conditionalFormatting>
  <conditionalFormatting sqref="H3078">
    <cfRule type="colorScale" priority="5430">
      <colorScale>
        <cfvo type="min"/>
        <cfvo type="percentile" val="20"/>
        <cfvo type="max"/>
        <color rgb="FF92D050"/>
        <color theme="5" tint="0.79998168889431442"/>
        <color rgb="FFFF0000"/>
      </colorScale>
    </cfRule>
    <cfRule type="colorScale" priority="5431">
      <colorScale>
        <cfvo type="min"/>
        <cfvo type="max"/>
        <color rgb="FFFF0000"/>
        <color rgb="FF92D050"/>
      </colorScale>
    </cfRule>
    <cfRule type="colorScale" priority="5432">
      <colorScale>
        <cfvo type="min"/>
        <cfvo type="percentile" val="50"/>
        <cfvo type="max"/>
        <color rgb="FF5A8AC6"/>
        <color rgb="FFFCFCFF"/>
        <color rgb="FFF8696B"/>
      </colorScale>
    </cfRule>
    <cfRule type="colorScale" priority="5433">
      <colorScale>
        <cfvo type="formula" val="&quot;&gt;20&quot;"/>
        <cfvo type="formula" val="35"/>
        <color rgb="FFF8696B"/>
        <color rgb="FFFCFCFF"/>
      </colorScale>
    </cfRule>
    <cfRule type="colorScale" priority="5434">
      <colorScale>
        <cfvo type="min"/>
        <cfvo type="max"/>
        <color rgb="FFFFEF9C"/>
        <color rgb="FF63BE7B"/>
      </colorScale>
    </cfRule>
  </conditionalFormatting>
  <conditionalFormatting sqref="N3078">
    <cfRule type="colorScale" priority="5425">
      <colorScale>
        <cfvo type="min"/>
        <cfvo type="percentile" val="20"/>
        <cfvo type="max"/>
        <color rgb="FF92D050"/>
        <color theme="5" tint="0.79998168889431442"/>
        <color rgb="FFFF0000"/>
      </colorScale>
    </cfRule>
    <cfRule type="colorScale" priority="5426">
      <colorScale>
        <cfvo type="min"/>
        <cfvo type="max"/>
        <color rgb="FFFF0000"/>
        <color rgb="FF92D050"/>
      </colorScale>
    </cfRule>
    <cfRule type="colorScale" priority="5427">
      <colorScale>
        <cfvo type="min"/>
        <cfvo type="percentile" val="50"/>
        <cfvo type="max"/>
        <color rgb="FF5A8AC6"/>
        <color rgb="FFFCFCFF"/>
        <color rgb="FFF8696B"/>
      </colorScale>
    </cfRule>
    <cfRule type="colorScale" priority="5428">
      <colorScale>
        <cfvo type="formula" val="&quot;&gt;20&quot;"/>
        <cfvo type="formula" val="35"/>
        <color rgb="FFF8696B"/>
        <color rgb="FFFCFCFF"/>
      </colorScale>
    </cfRule>
    <cfRule type="colorScale" priority="5429">
      <colorScale>
        <cfvo type="min"/>
        <cfvo type="max"/>
        <color rgb="FFFFEF9C"/>
        <color rgb="FF63BE7B"/>
      </colorScale>
    </cfRule>
  </conditionalFormatting>
  <conditionalFormatting sqref="S3062:S3078">
    <cfRule type="containsText" dxfId="3134" priority="5421" operator="containsText" text="Short Buildup">
      <formula>NOT(ISERROR(SEARCH("Short Buildup",S3062)))</formula>
    </cfRule>
    <cfRule type="containsText" dxfId="3133" priority="5422" operator="containsText" text="Long Liquidation">
      <formula>NOT(ISERROR(SEARCH("Long Liquidation",S3062)))</formula>
    </cfRule>
    <cfRule type="containsText" dxfId="3132" priority="5423" operator="containsText" text="Short covering">
      <formula>NOT(ISERROR(SEARCH("Short covering",S3062)))</formula>
    </cfRule>
    <cfRule type="containsText" dxfId="3131" priority="5424" operator="containsText" text="Long Buildup">
      <formula>NOT(ISERROR(SEARCH("Long Buildup",S3062)))</formula>
    </cfRule>
  </conditionalFormatting>
  <conditionalFormatting sqref="F3062:F3077">
    <cfRule type="dataBar" priority="5420">
      <dataBar>
        <cfvo type="min"/>
        <cfvo type="max"/>
        <color rgb="FFFF555A"/>
      </dataBar>
    </cfRule>
  </conditionalFormatting>
  <conditionalFormatting sqref="G3062:G3077">
    <cfRule type="dataBar" priority="5419">
      <dataBar>
        <cfvo type="min"/>
        <cfvo type="max"/>
        <color rgb="FFFF555A"/>
      </dataBar>
    </cfRule>
  </conditionalFormatting>
  <conditionalFormatting sqref="H3062">
    <cfRule type="dataBar" priority="5418">
      <dataBar>
        <cfvo type="min"/>
        <cfvo type="max"/>
        <color rgb="FFFF555A"/>
      </dataBar>
    </cfRule>
  </conditionalFormatting>
  <conditionalFormatting sqref="I3062">
    <cfRule type="dataBar" priority="5417">
      <dataBar>
        <cfvo type="min"/>
        <cfvo type="max"/>
        <color rgb="FFFF555A"/>
      </dataBar>
    </cfRule>
  </conditionalFormatting>
  <conditionalFormatting sqref="J3062">
    <cfRule type="dataBar" priority="5416">
      <dataBar>
        <cfvo type="min"/>
        <cfvo type="max"/>
        <color rgb="FFFF555A"/>
      </dataBar>
    </cfRule>
  </conditionalFormatting>
  <conditionalFormatting sqref="E3063:E3077">
    <cfRule type="dataBar" priority="5415">
      <dataBar>
        <cfvo type="min"/>
        <cfvo type="max"/>
        <color rgb="FFFF555A"/>
      </dataBar>
    </cfRule>
  </conditionalFormatting>
  <conditionalFormatting sqref="H3063:H3077">
    <cfRule type="dataBar" priority="5414">
      <dataBar>
        <cfvo type="min"/>
        <cfvo type="max"/>
        <color rgb="FFFF555A"/>
      </dataBar>
    </cfRule>
  </conditionalFormatting>
  <conditionalFormatting sqref="I3063:I3077">
    <cfRule type="dataBar" priority="5413">
      <dataBar>
        <cfvo type="min"/>
        <cfvo type="max"/>
        <color rgb="FFFF555A"/>
      </dataBar>
    </cfRule>
  </conditionalFormatting>
  <conditionalFormatting sqref="J3063:J3077">
    <cfRule type="dataBar" priority="5412">
      <dataBar>
        <cfvo type="min"/>
        <cfvo type="max"/>
        <color rgb="FFFF555A"/>
      </dataBar>
    </cfRule>
  </conditionalFormatting>
  <conditionalFormatting sqref="L3062:L3077">
    <cfRule type="dataBar" priority="5411">
      <dataBar>
        <cfvo type="min"/>
        <cfvo type="max"/>
        <color rgb="FFFF555A"/>
      </dataBar>
    </cfRule>
  </conditionalFormatting>
  <conditionalFormatting sqref="M3062:M3077">
    <cfRule type="dataBar" priority="5410">
      <dataBar>
        <cfvo type="min"/>
        <cfvo type="max"/>
        <color rgb="FFFF555A"/>
      </dataBar>
    </cfRule>
  </conditionalFormatting>
  <conditionalFormatting sqref="N3062:N3077">
    <cfRule type="dataBar" priority="5409">
      <dataBar>
        <cfvo type="min"/>
        <cfvo type="max"/>
        <color rgb="FFFF555A"/>
      </dataBar>
    </cfRule>
  </conditionalFormatting>
  <conditionalFormatting sqref="Q3062:Q3077">
    <cfRule type="dataBar" priority="5408">
      <dataBar>
        <cfvo type="min"/>
        <cfvo type="max"/>
        <color rgb="FFFF555A"/>
      </dataBar>
    </cfRule>
  </conditionalFormatting>
  <conditionalFormatting sqref="O3062:O3077">
    <cfRule type="dataBar" priority="5407">
      <dataBar>
        <cfvo type="min"/>
        <cfvo type="max"/>
        <color rgb="FFFF555A"/>
      </dataBar>
    </cfRule>
  </conditionalFormatting>
  <conditionalFormatting sqref="P3062:P3077">
    <cfRule type="dataBar" priority="5406">
      <dataBar>
        <cfvo type="min"/>
        <cfvo type="max"/>
        <color rgb="FFFF555A"/>
      </dataBar>
    </cfRule>
  </conditionalFormatting>
  <conditionalFormatting sqref="R3079:R3095 D3079:D3094 C3095">
    <cfRule type="containsText" dxfId="3130" priority="5405" operator="containsText" text="DOWN">
      <formula>NOT(ISERROR(SEARCH("DOWN",C3079)))</formula>
    </cfRule>
  </conditionalFormatting>
  <conditionalFormatting sqref="R3079:R3095 D3079:D3094 C3095">
    <cfRule type="containsText" dxfId="3129" priority="5404" operator="containsText" text="UP">
      <formula>NOT(ISERROR(SEARCH("UP",C3079)))</formula>
    </cfRule>
  </conditionalFormatting>
  <conditionalFormatting sqref="I3095">
    <cfRule type="colorScale" priority="5403">
      <colorScale>
        <cfvo type="min"/>
        <cfvo type="max"/>
        <color rgb="FFFFEF9C"/>
        <color rgb="FF63BE7B"/>
      </colorScale>
    </cfRule>
  </conditionalFormatting>
  <conditionalFormatting sqref="M3095">
    <cfRule type="colorScale" priority="5402">
      <colorScale>
        <cfvo type="min"/>
        <cfvo type="max"/>
        <color rgb="FFFF7128"/>
        <color rgb="FFFFEF9C"/>
      </colorScale>
    </cfRule>
  </conditionalFormatting>
  <conditionalFormatting sqref="Q3095">
    <cfRule type="dataBar" priority="5401">
      <dataBar>
        <cfvo type="min"/>
        <cfvo type="max"/>
        <color rgb="FFFF555A"/>
      </dataBar>
    </cfRule>
  </conditionalFormatting>
  <conditionalFormatting sqref="E3079:E3095">
    <cfRule type="dataBar" priority="5400">
      <dataBar>
        <cfvo type="min"/>
        <cfvo type="max"/>
        <color rgb="FFFF555A"/>
      </dataBar>
    </cfRule>
  </conditionalFormatting>
  <conditionalFormatting sqref="F3095">
    <cfRule type="top10" dxfId="3128" priority="5399" rank="1"/>
  </conditionalFormatting>
  <conditionalFormatting sqref="G3095 P3095">
    <cfRule type="cellIs" dxfId="3127" priority="5398" operator="equal">
      <formula>$G$135</formula>
    </cfRule>
  </conditionalFormatting>
  <conditionalFormatting sqref="P3095">
    <cfRule type="cellIs" dxfId="3126" priority="5397" operator="equal">
      <formula>$J$135</formula>
    </cfRule>
  </conditionalFormatting>
  <conditionalFormatting sqref="G3095 P3095">
    <cfRule type="cellIs" dxfId="3125" priority="5396" operator="equal">
      <formula>#REF!</formula>
    </cfRule>
  </conditionalFormatting>
  <conditionalFormatting sqref="G3095">
    <cfRule type="top10" dxfId="3124" priority="5394" rank="1"/>
    <cfRule type="cellIs" dxfId="3123" priority="5395" operator="equal">
      <formula>$G$133</formula>
    </cfRule>
  </conditionalFormatting>
  <conditionalFormatting sqref="P3095">
    <cfRule type="top10" dxfId="3122" priority="5392" rank="1"/>
    <cfRule type="cellIs" dxfId="3121" priority="5393" operator="equal">
      <formula>$G$133</formula>
    </cfRule>
  </conditionalFormatting>
  <conditionalFormatting sqref="C3079:C3094">
    <cfRule type="containsText" dxfId="3120" priority="5388" operator="containsText" text="Short Buildup">
      <formula>NOT(ISERROR(SEARCH("Short Buildup",C3079)))</formula>
    </cfRule>
    <cfRule type="containsText" dxfId="3119" priority="5389" operator="containsText" text="Long Liquidation">
      <formula>NOT(ISERROR(SEARCH("Long Liquidation",C3079)))</formula>
    </cfRule>
    <cfRule type="containsText" dxfId="3118" priority="5390" operator="containsText" text="Short covering">
      <formula>NOT(ISERROR(SEARCH("Short covering",C3079)))</formula>
    </cfRule>
    <cfRule type="containsText" dxfId="3117" priority="5391" operator="containsText" text="Long Buildup">
      <formula>NOT(ISERROR(SEARCH("Long Buildup",C3079)))</formula>
    </cfRule>
  </conditionalFormatting>
  <conditionalFormatting sqref="H3095">
    <cfRule type="colorScale" priority="5383">
      <colorScale>
        <cfvo type="min"/>
        <cfvo type="percentile" val="20"/>
        <cfvo type="max"/>
        <color rgb="FF92D050"/>
        <color theme="5" tint="0.79998168889431442"/>
        <color rgb="FFFF0000"/>
      </colorScale>
    </cfRule>
    <cfRule type="colorScale" priority="5384">
      <colorScale>
        <cfvo type="min"/>
        <cfvo type="max"/>
        <color rgb="FFFF0000"/>
        <color rgb="FF92D050"/>
      </colorScale>
    </cfRule>
    <cfRule type="colorScale" priority="5385">
      <colorScale>
        <cfvo type="min"/>
        <cfvo type="percentile" val="50"/>
        <cfvo type="max"/>
        <color rgb="FF5A8AC6"/>
        <color rgb="FFFCFCFF"/>
        <color rgb="FFF8696B"/>
      </colorScale>
    </cfRule>
    <cfRule type="colorScale" priority="5386">
      <colorScale>
        <cfvo type="formula" val="&quot;&gt;20&quot;"/>
        <cfvo type="formula" val="35"/>
        <color rgb="FFF8696B"/>
        <color rgb="FFFCFCFF"/>
      </colorScale>
    </cfRule>
    <cfRule type="colorScale" priority="5387">
      <colorScale>
        <cfvo type="min"/>
        <cfvo type="max"/>
        <color rgb="FFFFEF9C"/>
        <color rgb="FF63BE7B"/>
      </colorScale>
    </cfRule>
  </conditionalFormatting>
  <conditionalFormatting sqref="N3095">
    <cfRule type="colorScale" priority="5378">
      <colorScale>
        <cfvo type="min"/>
        <cfvo type="percentile" val="20"/>
        <cfvo type="max"/>
        <color rgb="FF92D050"/>
        <color theme="5" tint="0.79998168889431442"/>
        <color rgb="FFFF0000"/>
      </colorScale>
    </cfRule>
    <cfRule type="colorScale" priority="5379">
      <colorScale>
        <cfvo type="min"/>
        <cfvo type="max"/>
        <color rgb="FFFF0000"/>
        <color rgb="FF92D050"/>
      </colorScale>
    </cfRule>
    <cfRule type="colorScale" priority="5380">
      <colorScale>
        <cfvo type="min"/>
        <cfvo type="percentile" val="50"/>
        <cfvo type="max"/>
        <color rgb="FF5A8AC6"/>
        <color rgb="FFFCFCFF"/>
        <color rgb="FFF8696B"/>
      </colorScale>
    </cfRule>
    <cfRule type="colorScale" priority="5381">
      <colorScale>
        <cfvo type="formula" val="&quot;&gt;20&quot;"/>
        <cfvo type="formula" val="35"/>
        <color rgb="FFF8696B"/>
        <color rgb="FFFCFCFF"/>
      </colorScale>
    </cfRule>
    <cfRule type="colorScale" priority="5382">
      <colorScale>
        <cfvo type="min"/>
        <cfvo type="max"/>
        <color rgb="FFFFEF9C"/>
        <color rgb="FF63BE7B"/>
      </colorScale>
    </cfRule>
  </conditionalFormatting>
  <conditionalFormatting sqref="S3079:S3095">
    <cfRule type="containsText" dxfId="3116" priority="5374" operator="containsText" text="Short Buildup">
      <formula>NOT(ISERROR(SEARCH("Short Buildup",S3079)))</formula>
    </cfRule>
    <cfRule type="containsText" dxfId="3115" priority="5375" operator="containsText" text="Long Liquidation">
      <formula>NOT(ISERROR(SEARCH("Long Liquidation",S3079)))</formula>
    </cfRule>
    <cfRule type="containsText" dxfId="3114" priority="5376" operator="containsText" text="Short covering">
      <formula>NOT(ISERROR(SEARCH("Short covering",S3079)))</formula>
    </cfRule>
    <cfRule type="containsText" dxfId="3113" priority="5377" operator="containsText" text="Long Buildup">
      <formula>NOT(ISERROR(SEARCH("Long Buildup",S3079)))</formula>
    </cfRule>
  </conditionalFormatting>
  <conditionalFormatting sqref="F3079:F3094">
    <cfRule type="dataBar" priority="5373">
      <dataBar>
        <cfvo type="min"/>
        <cfvo type="max"/>
        <color rgb="FFFF555A"/>
      </dataBar>
    </cfRule>
  </conditionalFormatting>
  <conditionalFormatting sqref="G3079:G3094">
    <cfRule type="dataBar" priority="5372">
      <dataBar>
        <cfvo type="min"/>
        <cfvo type="max"/>
        <color rgb="FFFF555A"/>
      </dataBar>
    </cfRule>
  </conditionalFormatting>
  <conditionalFormatting sqref="H3079">
    <cfRule type="dataBar" priority="5371">
      <dataBar>
        <cfvo type="min"/>
        <cfvo type="max"/>
        <color rgb="FFFF555A"/>
      </dataBar>
    </cfRule>
  </conditionalFormatting>
  <conditionalFormatting sqref="I3079">
    <cfRule type="dataBar" priority="5370">
      <dataBar>
        <cfvo type="min"/>
        <cfvo type="max"/>
        <color rgb="FFFF555A"/>
      </dataBar>
    </cfRule>
  </conditionalFormatting>
  <conditionalFormatting sqref="J3079">
    <cfRule type="dataBar" priority="5369">
      <dataBar>
        <cfvo type="min"/>
        <cfvo type="max"/>
        <color rgb="FFFF555A"/>
      </dataBar>
    </cfRule>
  </conditionalFormatting>
  <conditionalFormatting sqref="E3080:E3094">
    <cfRule type="dataBar" priority="5368">
      <dataBar>
        <cfvo type="min"/>
        <cfvo type="max"/>
        <color rgb="FFFF555A"/>
      </dataBar>
    </cfRule>
  </conditionalFormatting>
  <conditionalFormatting sqref="H3080:H3094">
    <cfRule type="dataBar" priority="5367">
      <dataBar>
        <cfvo type="min"/>
        <cfvo type="max"/>
        <color rgb="FFFF555A"/>
      </dataBar>
    </cfRule>
  </conditionalFormatting>
  <conditionalFormatting sqref="I3080:I3094">
    <cfRule type="dataBar" priority="5366">
      <dataBar>
        <cfvo type="min"/>
        <cfvo type="max"/>
        <color rgb="FFFF555A"/>
      </dataBar>
    </cfRule>
  </conditionalFormatting>
  <conditionalFormatting sqref="J3080:J3094">
    <cfRule type="dataBar" priority="5365">
      <dataBar>
        <cfvo type="min"/>
        <cfvo type="max"/>
        <color rgb="FFFF555A"/>
      </dataBar>
    </cfRule>
  </conditionalFormatting>
  <conditionalFormatting sqref="L3079:L3094">
    <cfRule type="dataBar" priority="5364">
      <dataBar>
        <cfvo type="min"/>
        <cfvo type="max"/>
        <color rgb="FFFF555A"/>
      </dataBar>
    </cfRule>
  </conditionalFormatting>
  <conditionalFormatting sqref="M3079:M3094">
    <cfRule type="dataBar" priority="5363">
      <dataBar>
        <cfvo type="min"/>
        <cfvo type="max"/>
        <color rgb="FFFF555A"/>
      </dataBar>
    </cfRule>
  </conditionalFormatting>
  <conditionalFormatting sqref="N3079:N3094">
    <cfRule type="dataBar" priority="5362">
      <dataBar>
        <cfvo type="min"/>
        <cfvo type="max"/>
        <color rgb="FFFF555A"/>
      </dataBar>
    </cfRule>
  </conditionalFormatting>
  <conditionalFormatting sqref="Q3079:Q3094">
    <cfRule type="dataBar" priority="5361">
      <dataBar>
        <cfvo type="min"/>
        <cfvo type="max"/>
        <color rgb="FFFF555A"/>
      </dataBar>
    </cfRule>
  </conditionalFormatting>
  <conditionalFormatting sqref="O3079:O3094">
    <cfRule type="dataBar" priority="5360">
      <dataBar>
        <cfvo type="min"/>
        <cfvo type="max"/>
        <color rgb="FFFF555A"/>
      </dataBar>
    </cfRule>
  </conditionalFormatting>
  <conditionalFormatting sqref="P3079:P3094">
    <cfRule type="dataBar" priority="5359">
      <dataBar>
        <cfvo type="min"/>
        <cfvo type="max"/>
        <color rgb="FFFF555A"/>
      </dataBar>
    </cfRule>
  </conditionalFormatting>
  <conditionalFormatting sqref="R3096:R3112 D3096:D3111 C3112">
    <cfRule type="containsText" dxfId="3112" priority="5358" operator="containsText" text="DOWN">
      <formula>NOT(ISERROR(SEARCH("DOWN",C3096)))</formula>
    </cfRule>
  </conditionalFormatting>
  <conditionalFormatting sqref="R3096:R3112 D3096:D3111 C3112">
    <cfRule type="containsText" dxfId="3111" priority="5357" operator="containsText" text="UP">
      <formula>NOT(ISERROR(SEARCH("UP",C3096)))</formula>
    </cfRule>
  </conditionalFormatting>
  <conditionalFormatting sqref="I3112">
    <cfRule type="colorScale" priority="5356">
      <colorScale>
        <cfvo type="min"/>
        <cfvo type="max"/>
        <color rgb="FFFFEF9C"/>
        <color rgb="FF63BE7B"/>
      </colorScale>
    </cfRule>
  </conditionalFormatting>
  <conditionalFormatting sqref="M3112">
    <cfRule type="colorScale" priority="5355">
      <colorScale>
        <cfvo type="min"/>
        <cfvo type="max"/>
        <color rgb="FFFF7128"/>
        <color rgb="FFFFEF9C"/>
      </colorScale>
    </cfRule>
  </conditionalFormatting>
  <conditionalFormatting sqref="Q3112">
    <cfRule type="dataBar" priority="5354">
      <dataBar>
        <cfvo type="min"/>
        <cfvo type="max"/>
        <color rgb="FFFF555A"/>
      </dataBar>
    </cfRule>
  </conditionalFormatting>
  <conditionalFormatting sqref="E3096:E3112">
    <cfRule type="dataBar" priority="5353">
      <dataBar>
        <cfvo type="min"/>
        <cfvo type="max"/>
        <color rgb="FFFF555A"/>
      </dataBar>
    </cfRule>
  </conditionalFormatting>
  <conditionalFormatting sqref="F3112">
    <cfRule type="top10" dxfId="3110" priority="5352" rank="1"/>
  </conditionalFormatting>
  <conditionalFormatting sqref="G3112 P3112">
    <cfRule type="cellIs" dxfId="3109" priority="5351" operator="equal">
      <formula>$G$135</formula>
    </cfRule>
  </conditionalFormatting>
  <conditionalFormatting sqref="P3112">
    <cfRule type="cellIs" dxfId="3108" priority="5350" operator="equal">
      <formula>$J$135</formula>
    </cfRule>
  </conditionalFormatting>
  <conditionalFormatting sqref="G3112 P3112">
    <cfRule type="cellIs" dxfId="3107" priority="5349" operator="equal">
      <formula>#REF!</formula>
    </cfRule>
  </conditionalFormatting>
  <conditionalFormatting sqref="G3112">
    <cfRule type="top10" dxfId="3106" priority="5347" rank="1"/>
    <cfRule type="cellIs" dxfId="3105" priority="5348" operator="equal">
      <formula>$G$133</formula>
    </cfRule>
  </conditionalFormatting>
  <conditionalFormatting sqref="P3112">
    <cfRule type="top10" dxfId="3104" priority="5345" rank="1"/>
    <cfRule type="cellIs" dxfId="3103" priority="5346" operator="equal">
      <formula>$G$133</formula>
    </cfRule>
  </conditionalFormatting>
  <conditionalFormatting sqref="C3096:C3111">
    <cfRule type="containsText" dxfId="3102" priority="5341" operator="containsText" text="Short Buildup">
      <formula>NOT(ISERROR(SEARCH("Short Buildup",C3096)))</formula>
    </cfRule>
    <cfRule type="containsText" dxfId="3101" priority="5342" operator="containsText" text="Long Liquidation">
      <formula>NOT(ISERROR(SEARCH("Long Liquidation",C3096)))</formula>
    </cfRule>
    <cfRule type="containsText" dxfId="3100" priority="5343" operator="containsText" text="Short covering">
      <formula>NOT(ISERROR(SEARCH("Short covering",C3096)))</formula>
    </cfRule>
    <cfRule type="containsText" dxfId="3099" priority="5344" operator="containsText" text="Long Buildup">
      <formula>NOT(ISERROR(SEARCH("Long Buildup",C3096)))</formula>
    </cfRule>
  </conditionalFormatting>
  <conditionalFormatting sqref="H3112">
    <cfRule type="colorScale" priority="5336">
      <colorScale>
        <cfvo type="min"/>
        <cfvo type="percentile" val="20"/>
        <cfvo type="max"/>
        <color rgb="FF92D050"/>
        <color theme="5" tint="0.79998168889431442"/>
        <color rgb="FFFF0000"/>
      </colorScale>
    </cfRule>
    <cfRule type="colorScale" priority="5337">
      <colorScale>
        <cfvo type="min"/>
        <cfvo type="max"/>
        <color rgb="FFFF0000"/>
        <color rgb="FF92D050"/>
      </colorScale>
    </cfRule>
    <cfRule type="colorScale" priority="5338">
      <colorScale>
        <cfvo type="min"/>
        <cfvo type="percentile" val="50"/>
        <cfvo type="max"/>
        <color rgb="FF5A8AC6"/>
        <color rgb="FFFCFCFF"/>
        <color rgb="FFF8696B"/>
      </colorScale>
    </cfRule>
    <cfRule type="colorScale" priority="5339">
      <colorScale>
        <cfvo type="formula" val="&quot;&gt;20&quot;"/>
        <cfvo type="formula" val="35"/>
        <color rgb="FFF8696B"/>
        <color rgb="FFFCFCFF"/>
      </colorScale>
    </cfRule>
    <cfRule type="colorScale" priority="5340">
      <colorScale>
        <cfvo type="min"/>
        <cfvo type="max"/>
        <color rgb="FFFFEF9C"/>
        <color rgb="FF63BE7B"/>
      </colorScale>
    </cfRule>
  </conditionalFormatting>
  <conditionalFormatting sqref="N3112">
    <cfRule type="colorScale" priority="5331">
      <colorScale>
        <cfvo type="min"/>
        <cfvo type="percentile" val="20"/>
        <cfvo type="max"/>
        <color rgb="FF92D050"/>
        <color theme="5" tint="0.79998168889431442"/>
        <color rgb="FFFF0000"/>
      </colorScale>
    </cfRule>
    <cfRule type="colorScale" priority="5332">
      <colorScale>
        <cfvo type="min"/>
        <cfvo type="max"/>
        <color rgb="FFFF0000"/>
        <color rgb="FF92D050"/>
      </colorScale>
    </cfRule>
    <cfRule type="colorScale" priority="5333">
      <colorScale>
        <cfvo type="min"/>
        <cfvo type="percentile" val="50"/>
        <cfvo type="max"/>
        <color rgb="FF5A8AC6"/>
        <color rgb="FFFCFCFF"/>
        <color rgb="FFF8696B"/>
      </colorScale>
    </cfRule>
    <cfRule type="colorScale" priority="5334">
      <colorScale>
        <cfvo type="formula" val="&quot;&gt;20&quot;"/>
        <cfvo type="formula" val="35"/>
        <color rgb="FFF8696B"/>
        <color rgb="FFFCFCFF"/>
      </colorScale>
    </cfRule>
    <cfRule type="colorScale" priority="5335">
      <colorScale>
        <cfvo type="min"/>
        <cfvo type="max"/>
        <color rgb="FFFFEF9C"/>
        <color rgb="FF63BE7B"/>
      </colorScale>
    </cfRule>
  </conditionalFormatting>
  <conditionalFormatting sqref="S3096:S3112">
    <cfRule type="containsText" dxfId="3098" priority="5327" operator="containsText" text="Short Buildup">
      <formula>NOT(ISERROR(SEARCH("Short Buildup",S3096)))</formula>
    </cfRule>
    <cfRule type="containsText" dxfId="3097" priority="5328" operator="containsText" text="Long Liquidation">
      <formula>NOT(ISERROR(SEARCH("Long Liquidation",S3096)))</formula>
    </cfRule>
    <cfRule type="containsText" dxfId="3096" priority="5329" operator="containsText" text="Short covering">
      <formula>NOT(ISERROR(SEARCH("Short covering",S3096)))</formula>
    </cfRule>
    <cfRule type="containsText" dxfId="3095" priority="5330" operator="containsText" text="Long Buildup">
      <formula>NOT(ISERROR(SEARCH("Long Buildup",S3096)))</formula>
    </cfRule>
  </conditionalFormatting>
  <conditionalFormatting sqref="F3096:F3111">
    <cfRule type="dataBar" priority="5326">
      <dataBar>
        <cfvo type="min"/>
        <cfvo type="max"/>
        <color rgb="FFFF555A"/>
      </dataBar>
    </cfRule>
  </conditionalFormatting>
  <conditionalFormatting sqref="G3096:G3111">
    <cfRule type="dataBar" priority="5325">
      <dataBar>
        <cfvo type="min"/>
        <cfvo type="max"/>
        <color rgb="FFFF555A"/>
      </dataBar>
    </cfRule>
  </conditionalFormatting>
  <conditionalFormatting sqref="H3096">
    <cfRule type="dataBar" priority="5324">
      <dataBar>
        <cfvo type="min"/>
        <cfvo type="max"/>
        <color rgb="FFFF555A"/>
      </dataBar>
    </cfRule>
  </conditionalFormatting>
  <conditionalFormatting sqref="I3096">
    <cfRule type="dataBar" priority="5323">
      <dataBar>
        <cfvo type="min"/>
        <cfvo type="max"/>
        <color rgb="FFFF555A"/>
      </dataBar>
    </cfRule>
  </conditionalFormatting>
  <conditionalFormatting sqref="J3096">
    <cfRule type="dataBar" priority="5322">
      <dataBar>
        <cfvo type="min"/>
        <cfvo type="max"/>
        <color rgb="FFFF555A"/>
      </dataBar>
    </cfRule>
  </conditionalFormatting>
  <conditionalFormatting sqref="E3097:E3111">
    <cfRule type="dataBar" priority="5321">
      <dataBar>
        <cfvo type="min"/>
        <cfvo type="max"/>
        <color rgb="FFFF555A"/>
      </dataBar>
    </cfRule>
  </conditionalFormatting>
  <conditionalFormatting sqref="H3097:H3111">
    <cfRule type="dataBar" priority="5320">
      <dataBar>
        <cfvo type="min"/>
        <cfvo type="max"/>
        <color rgb="FFFF555A"/>
      </dataBar>
    </cfRule>
  </conditionalFormatting>
  <conditionalFormatting sqref="I3097:I3111">
    <cfRule type="dataBar" priority="5319">
      <dataBar>
        <cfvo type="min"/>
        <cfvo type="max"/>
        <color rgb="FFFF555A"/>
      </dataBar>
    </cfRule>
  </conditionalFormatting>
  <conditionalFormatting sqref="J3097:J3111">
    <cfRule type="dataBar" priority="5318">
      <dataBar>
        <cfvo type="min"/>
        <cfvo type="max"/>
        <color rgb="FFFF555A"/>
      </dataBar>
    </cfRule>
  </conditionalFormatting>
  <conditionalFormatting sqref="L3096:L3111">
    <cfRule type="dataBar" priority="5317">
      <dataBar>
        <cfvo type="min"/>
        <cfvo type="max"/>
        <color rgb="FFFF555A"/>
      </dataBar>
    </cfRule>
  </conditionalFormatting>
  <conditionalFormatting sqref="M3096:M3111">
    <cfRule type="dataBar" priority="5316">
      <dataBar>
        <cfvo type="min"/>
        <cfvo type="max"/>
        <color rgb="FFFF555A"/>
      </dataBar>
    </cfRule>
  </conditionalFormatting>
  <conditionalFormatting sqref="N3096:N3111">
    <cfRule type="dataBar" priority="5315">
      <dataBar>
        <cfvo type="min"/>
        <cfvo type="max"/>
        <color rgb="FFFF555A"/>
      </dataBar>
    </cfRule>
  </conditionalFormatting>
  <conditionalFormatting sqref="Q3096:Q3111">
    <cfRule type="dataBar" priority="5314">
      <dataBar>
        <cfvo type="min"/>
        <cfvo type="max"/>
        <color rgb="FFFF555A"/>
      </dataBar>
    </cfRule>
  </conditionalFormatting>
  <conditionalFormatting sqref="O3096:O3111">
    <cfRule type="dataBar" priority="5313">
      <dataBar>
        <cfvo type="min"/>
        <cfvo type="max"/>
        <color rgb="FFFF555A"/>
      </dataBar>
    </cfRule>
  </conditionalFormatting>
  <conditionalFormatting sqref="P3096:P3111">
    <cfRule type="dataBar" priority="5312">
      <dataBar>
        <cfvo type="min"/>
        <cfvo type="max"/>
        <color rgb="FFFF555A"/>
      </dataBar>
    </cfRule>
  </conditionalFormatting>
  <conditionalFormatting sqref="R3113:R3129 D3113:D3128 C3129">
    <cfRule type="containsText" dxfId="3094" priority="5311" operator="containsText" text="DOWN">
      <formula>NOT(ISERROR(SEARCH("DOWN",C3113)))</formula>
    </cfRule>
  </conditionalFormatting>
  <conditionalFormatting sqref="R3113:R3129 D3113:D3128 C3129">
    <cfRule type="containsText" dxfId="3093" priority="5310" operator="containsText" text="UP">
      <formula>NOT(ISERROR(SEARCH("UP",C3113)))</formula>
    </cfRule>
  </conditionalFormatting>
  <conditionalFormatting sqref="I3129">
    <cfRule type="colorScale" priority="5309">
      <colorScale>
        <cfvo type="min"/>
        <cfvo type="max"/>
        <color rgb="FFFFEF9C"/>
        <color rgb="FF63BE7B"/>
      </colorScale>
    </cfRule>
  </conditionalFormatting>
  <conditionalFormatting sqref="M3129">
    <cfRule type="colorScale" priority="5308">
      <colorScale>
        <cfvo type="min"/>
        <cfvo type="max"/>
        <color rgb="FFFF7128"/>
        <color rgb="FFFFEF9C"/>
      </colorScale>
    </cfRule>
  </conditionalFormatting>
  <conditionalFormatting sqref="Q3129">
    <cfRule type="dataBar" priority="5307">
      <dataBar>
        <cfvo type="min"/>
        <cfvo type="max"/>
        <color rgb="FFFF555A"/>
      </dataBar>
    </cfRule>
  </conditionalFormatting>
  <conditionalFormatting sqref="E3113:E3129">
    <cfRule type="dataBar" priority="5306">
      <dataBar>
        <cfvo type="min"/>
        <cfvo type="max"/>
        <color rgb="FFFF555A"/>
      </dataBar>
    </cfRule>
  </conditionalFormatting>
  <conditionalFormatting sqref="F3129">
    <cfRule type="top10" dxfId="3092" priority="5305" rank="1"/>
  </conditionalFormatting>
  <conditionalFormatting sqref="G3129 P3129">
    <cfRule type="cellIs" dxfId="3091" priority="5304" operator="equal">
      <formula>$G$135</formula>
    </cfRule>
  </conditionalFormatting>
  <conditionalFormatting sqref="P3129">
    <cfRule type="cellIs" dxfId="3090" priority="5303" operator="equal">
      <formula>$J$135</formula>
    </cfRule>
  </conditionalFormatting>
  <conditionalFormatting sqref="G3129 P3129">
    <cfRule type="cellIs" dxfId="3089" priority="5302" operator="equal">
      <formula>#REF!</formula>
    </cfRule>
  </conditionalFormatting>
  <conditionalFormatting sqref="G3129">
    <cfRule type="top10" dxfId="3088" priority="5300" rank="1"/>
    <cfRule type="cellIs" dxfId="3087" priority="5301" operator="equal">
      <formula>$G$133</formula>
    </cfRule>
  </conditionalFormatting>
  <conditionalFormatting sqref="P3129">
    <cfRule type="top10" dxfId="3086" priority="5298" rank="1"/>
    <cfRule type="cellIs" dxfId="3085" priority="5299" operator="equal">
      <formula>$G$133</formula>
    </cfRule>
  </conditionalFormatting>
  <conditionalFormatting sqref="C3113:C3128">
    <cfRule type="containsText" dxfId="3084" priority="5294" operator="containsText" text="Short Buildup">
      <formula>NOT(ISERROR(SEARCH("Short Buildup",C3113)))</formula>
    </cfRule>
    <cfRule type="containsText" dxfId="3083" priority="5295" operator="containsText" text="Long Liquidation">
      <formula>NOT(ISERROR(SEARCH("Long Liquidation",C3113)))</formula>
    </cfRule>
    <cfRule type="containsText" dxfId="3082" priority="5296" operator="containsText" text="Short covering">
      <formula>NOT(ISERROR(SEARCH("Short covering",C3113)))</formula>
    </cfRule>
    <cfRule type="containsText" dxfId="3081" priority="5297" operator="containsText" text="Long Buildup">
      <formula>NOT(ISERROR(SEARCH("Long Buildup",C3113)))</formula>
    </cfRule>
  </conditionalFormatting>
  <conditionalFormatting sqref="H3129">
    <cfRule type="colorScale" priority="5289">
      <colorScale>
        <cfvo type="min"/>
        <cfvo type="percentile" val="20"/>
        <cfvo type="max"/>
        <color rgb="FF92D050"/>
        <color theme="5" tint="0.79998168889431442"/>
        <color rgb="FFFF0000"/>
      </colorScale>
    </cfRule>
    <cfRule type="colorScale" priority="5290">
      <colorScale>
        <cfvo type="min"/>
        <cfvo type="max"/>
        <color rgb="FFFF0000"/>
        <color rgb="FF92D050"/>
      </colorScale>
    </cfRule>
    <cfRule type="colorScale" priority="5291">
      <colorScale>
        <cfvo type="min"/>
        <cfvo type="percentile" val="50"/>
        <cfvo type="max"/>
        <color rgb="FF5A8AC6"/>
        <color rgb="FFFCFCFF"/>
        <color rgb="FFF8696B"/>
      </colorScale>
    </cfRule>
    <cfRule type="colorScale" priority="5292">
      <colorScale>
        <cfvo type="formula" val="&quot;&gt;20&quot;"/>
        <cfvo type="formula" val="35"/>
        <color rgb="FFF8696B"/>
        <color rgb="FFFCFCFF"/>
      </colorScale>
    </cfRule>
    <cfRule type="colorScale" priority="5293">
      <colorScale>
        <cfvo type="min"/>
        <cfvo type="max"/>
        <color rgb="FFFFEF9C"/>
        <color rgb="FF63BE7B"/>
      </colorScale>
    </cfRule>
  </conditionalFormatting>
  <conditionalFormatting sqref="N3129">
    <cfRule type="colorScale" priority="5284">
      <colorScale>
        <cfvo type="min"/>
        <cfvo type="percentile" val="20"/>
        <cfvo type="max"/>
        <color rgb="FF92D050"/>
        <color theme="5" tint="0.79998168889431442"/>
        <color rgb="FFFF0000"/>
      </colorScale>
    </cfRule>
    <cfRule type="colorScale" priority="5285">
      <colorScale>
        <cfvo type="min"/>
        <cfvo type="max"/>
        <color rgb="FFFF0000"/>
        <color rgb="FF92D050"/>
      </colorScale>
    </cfRule>
    <cfRule type="colorScale" priority="5286">
      <colorScale>
        <cfvo type="min"/>
        <cfvo type="percentile" val="50"/>
        <cfvo type="max"/>
        <color rgb="FF5A8AC6"/>
        <color rgb="FFFCFCFF"/>
        <color rgb="FFF8696B"/>
      </colorScale>
    </cfRule>
    <cfRule type="colorScale" priority="5287">
      <colorScale>
        <cfvo type="formula" val="&quot;&gt;20&quot;"/>
        <cfvo type="formula" val="35"/>
        <color rgb="FFF8696B"/>
        <color rgb="FFFCFCFF"/>
      </colorScale>
    </cfRule>
    <cfRule type="colorScale" priority="5288">
      <colorScale>
        <cfvo type="min"/>
        <cfvo type="max"/>
        <color rgb="FFFFEF9C"/>
        <color rgb="FF63BE7B"/>
      </colorScale>
    </cfRule>
  </conditionalFormatting>
  <conditionalFormatting sqref="S3113:S3129">
    <cfRule type="containsText" dxfId="3080" priority="5280" operator="containsText" text="Short Buildup">
      <formula>NOT(ISERROR(SEARCH("Short Buildup",S3113)))</formula>
    </cfRule>
    <cfRule type="containsText" dxfId="3079" priority="5281" operator="containsText" text="Long Liquidation">
      <formula>NOT(ISERROR(SEARCH("Long Liquidation",S3113)))</formula>
    </cfRule>
    <cfRule type="containsText" dxfId="3078" priority="5282" operator="containsText" text="Short covering">
      <formula>NOT(ISERROR(SEARCH("Short covering",S3113)))</formula>
    </cfRule>
    <cfRule type="containsText" dxfId="3077" priority="5283" operator="containsText" text="Long Buildup">
      <formula>NOT(ISERROR(SEARCH("Long Buildup",S3113)))</formula>
    </cfRule>
  </conditionalFormatting>
  <conditionalFormatting sqref="F3113:F3128">
    <cfRule type="dataBar" priority="5279">
      <dataBar>
        <cfvo type="min"/>
        <cfvo type="max"/>
        <color rgb="FFFF555A"/>
      </dataBar>
    </cfRule>
  </conditionalFormatting>
  <conditionalFormatting sqref="G3113:G3128">
    <cfRule type="dataBar" priority="5278">
      <dataBar>
        <cfvo type="min"/>
        <cfvo type="max"/>
        <color rgb="FFFF555A"/>
      </dataBar>
    </cfRule>
  </conditionalFormatting>
  <conditionalFormatting sqref="H3113">
    <cfRule type="dataBar" priority="5277">
      <dataBar>
        <cfvo type="min"/>
        <cfvo type="max"/>
        <color rgb="FFFF555A"/>
      </dataBar>
    </cfRule>
  </conditionalFormatting>
  <conditionalFormatting sqref="I3113">
    <cfRule type="dataBar" priority="5276">
      <dataBar>
        <cfvo type="min"/>
        <cfvo type="max"/>
        <color rgb="FFFF555A"/>
      </dataBar>
    </cfRule>
  </conditionalFormatting>
  <conditionalFormatting sqref="J3113">
    <cfRule type="dataBar" priority="5275">
      <dataBar>
        <cfvo type="min"/>
        <cfvo type="max"/>
        <color rgb="FFFF555A"/>
      </dataBar>
    </cfRule>
  </conditionalFormatting>
  <conditionalFormatting sqref="E3114:E3128">
    <cfRule type="dataBar" priority="5274">
      <dataBar>
        <cfvo type="min"/>
        <cfvo type="max"/>
        <color rgb="FFFF555A"/>
      </dataBar>
    </cfRule>
  </conditionalFormatting>
  <conditionalFormatting sqref="H3114:H3128">
    <cfRule type="dataBar" priority="5273">
      <dataBar>
        <cfvo type="min"/>
        <cfvo type="max"/>
        <color rgb="FFFF555A"/>
      </dataBar>
    </cfRule>
  </conditionalFormatting>
  <conditionalFormatting sqref="I3114:I3128">
    <cfRule type="dataBar" priority="5272">
      <dataBar>
        <cfvo type="min"/>
        <cfvo type="max"/>
        <color rgb="FFFF555A"/>
      </dataBar>
    </cfRule>
  </conditionalFormatting>
  <conditionalFormatting sqref="J3114:J3128">
    <cfRule type="dataBar" priority="5271">
      <dataBar>
        <cfvo type="min"/>
        <cfvo type="max"/>
        <color rgb="FFFF555A"/>
      </dataBar>
    </cfRule>
  </conditionalFormatting>
  <conditionalFormatting sqref="L3113:L3128">
    <cfRule type="dataBar" priority="5270">
      <dataBar>
        <cfvo type="min"/>
        <cfvo type="max"/>
        <color rgb="FFFF555A"/>
      </dataBar>
    </cfRule>
  </conditionalFormatting>
  <conditionalFormatting sqref="M3113:M3128">
    <cfRule type="dataBar" priority="5269">
      <dataBar>
        <cfvo type="min"/>
        <cfvo type="max"/>
        <color rgb="FFFF555A"/>
      </dataBar>
    </cfRule>
  </conditionalFormatting>
  <conditionalFormatting sqref="N3113:N3128">
    <cfRule type="dataBar" priority="5268">
      <dataBar>
        <cfvo type="min"/>
        <cfvo type="max"/>
        <color rgb="FFFF555A"/>
      </dataBar>
    </cfRule>
  </conditionalFormatting>
  <conditionalFormatting sqref="Q3113:Q3128">
    <cfRule type="dataBar" priority="5267">
      <dataBar>
        <cfvo type="min"/>
        <cfvo type="max"/>
        <color rgb="FFFF555A"/>
      </dataBar>
    </cfRule>
  </conditionalFormatting>
  <conditionalFormatting sqref="O3113:O3128">
    <cfRule type="dataBar" priority="5266">
      <dataBar>
        <cfvo type="min"/>
        <cfvo type="max"/>
        <color rgb="FFFF555A"/>
      </dataBar>
    </cfRule>
  </conditionalFormatting>
  <conditionalFormatting sqref="P3113:P3128">
    <cfRule type="dataBar" priority="5265">
      <dataBar>
        <cfvo type="min"/>
        <cfvo type="max"/>
        <color rgb="FFFF555A"/>
      </dataBar>
    </cfRule>
  </conditionalFormatting>
  <conditionalFormatting sqref="R3130:R3146 D3130:D3145 C3146">
    <cfRule type="containsText" dxfId="3076" priority="5264" operator="containsText" text="DOWN">
      <formula>NOT(ISERROR(SEARCH("DOWN",C3130)))</formula>
    </cfRule>
  </conditionalFormatting>
  <conditionalFormatting sqref="R3130:R3146 D3130:D3145 C3146">
    <cfRule type="containsText" dxfId="3075" priority="5263" operator="containsText" text="UP">
      <formula>NOT(ISERROR(SEARCH("UP",C3130)))</formula>
    </cfRule>
  </conditionalFormatting>
  <conditionalFormatting sqref="I3146">
    <cfRule type="colorScale" priority="5262">
      <colorScale>
        <cfvo type="min"/>
        <cfvo type="max"/>
        <color rgb="FFFFEF9C"/>
        <color rgb="FF63BE7B"/>
      </colorScale>
    </cfRule>
  </conditionalFormatting>
  <conditionalFormatting sqref="M3146">
    <cfRule type="colorScale" priority="5261">
      <colorScale>
        <cfvo type="min"/>
        <cfvo type="max"/>
        <color rgb="FFFF7128"/>
        <color rgb="FFFFEF9C"/>
      </colorScale>
    </cfRule>
  </conditionalFormatting>
  <conditionalFormatting sqref="Q3146">
    <cfRule type="dataBar" priority="5260">
      <dataBar>
        <cfvo type="min"/>
        <cfvo type="max"/>
        <color rgb="FFFF555A"/>
      </dataBar>
    </cfRule>
  </conditionalFormatting>
  <conditionalFormatting sqref="E3130:E3146">
    <cfRule type="dataBar" priority="5259">
      <dataBar>
        <cfvo type="min"/>
        <cfvo type="max"/>
        <color rgb="FFFF555A"/>
      </dataBar>
    </cfRule>
  </conditionalFormatting>
  <conditionalFormatting sqref="F3146">
    <cfRule type="top10" dxfId="3074" priority="5258" rank="1"/>
  </conditionalFormatting>
  <conditionalFormatting sqref="G3146 P3146">
    <cfRule type="cellIs" dxfId="3073" priority="5257" operator="equal">
      <formula>$G$135</formula>
    </cfRule>
  </conditionalFormatting>
  <conditionalFormatting sqref="P3146">
    <cfRule type="cellIs" dxfId="3072" priority="5256" operator="equal">
      <formula>$J$135</formula>
    </cfRule>
  </conditionalFormatting>
  <conditionalFormatting sqref="G3146 P3146">
    <cfRule type="cellIs" dxfId="3071" priority="5255" operator="equal">
      <formula>#REF!</formula>
    </cfRule>
  </conditionalFormatting>
  <conditionalFormatting sqref="G3146">
    <cfRule type="top10" dxfId="3070" priority="5253" rank="1"/>
    <cfRule type="cellIs" dxfId="3069" priority="5254" operator="equal">
      <formula>$G$133</formula>
    </cfRule>
  </conditionalFormatting>
  <conditionalFormatting sqref="P3146">
    <cfRule type="top10" dxfId="3068" priority="5251" rank="1"/>
    <cfRule type="cellIs" dxfId="3067" priority="5252" operator="equal">
      <formula>$G$133</formula>
    </cfRule>
  </conditionalFormatting>
  <conditionalFormatting sqref="C3130:C3145">
    <cfRule type="containsText" dxfId="3066" priority="5247" operator="containsText" text="Short Buildup">
      <formula>NOT(ISERROR(SEARCH("Short Buildup",C3130)))</formula>
    </cfRule>
    <cfRule type="containsText" dxfId="3065" priority="5248" operator="containsText" text="Long Liquidation">
      <formula>NOT(ISERROR(SEARCH("Long Liquidation",C3130)))</formula>
    </cfRule>
    <cfRule type="containsText" dxfId="3064" priority="5249" operator="containsText" text="Short covering">
      <formula>NOT(ISERROR(SEARCH("Short covering",C3130)))</formula>
    </cfRule>
    <cfRule type="containsText" dxfId="3063" priority="5250" operator="containsText" text="Long Buildup">
      <formula>NOT(ISERROR(SEARCH("Long Buildup",C3130)))</formula>
    </cfRule>
  </conditionalFormatting>
  <conditionalFormatting sqref="H3146">
    <cfRule type="colorScale" priority="5242">
      <colorScale>
        <cfvo type="min"/>
        <cfvo type="percentile" val="20"/>
        <cfvo type="max"/>
        <color rgb="FF92D050"/>
        <color theme="5" tint="0.79998168889431442"/>
        <color rgb="FFFF0000"/>
      </colorScale>
    </cfRule>
    <cfRule type="colorScale" priority="5243">
      <colorScale>
        <cfvo type="min"/>
        <cfvo type="max"/>
        <color rgb="FFFF0000"/>
        <color rgb="FF92D050"/>
      </colorScale>
    </cfRule>
    <cfRule type="colorScale" priority="5244">
      <colorScale>
        <cfvo type="min"/>
        <cfvo type="percentile" val="50"/>
        <cfvo type="max"/>
        <color rgb="FF5A8AC6"/>
        <color rgb="FFFCFCFF"/>
        <color rgb="FFF8696B"/>
      </colorScale>
    </cfRule>
    <cfRule type="colorScale" priority="5245">
      <colorScale>
        <cfvo type="formula" val="&quot;&gt;20&quot;"/>
        <cfvo type="formula" val="35"/>
        <color rgb="FFF8696B"/>
        <color rgb="FFFCFCFF"/>
      </colorScale>
    </cfRule>
    <cfRule type="colorScale" priority="5246">
      <colorScale>
        <cfvo type="min"/>
        <cfvo type="max"/>
        <color rgb="FFFFEF9C"/>
        <color rgb="FF63BE7B"/>
      </colorScale>
    </cfRule>
  </conditionalFormatting>
  <conditionalFormatting sqref="N3146">
    <cfRule type="colorScale" priority="5237">
      <colorScale>
        <cfvo type="min"/>
        <cfvo type="percentile" val="20"/>
        <cfvo type="max"/>
        <color rgb="FF92D050"/>
        <color theme="5" tint="0.79998168889431442"/>
        <color rgb="FFFF0000"/>
      </colorScale>
    </cfRule>
    <cfRule type="colorScale" priority="5238">
      <colorScale>
        <cfvo type="min"/>
        <cfvo type="max"/>
        <color rgb="FFFF0000"/>
        <color rgb="FF92D050"/>
      </colorScale>
    </cfRule>
    <cfRule type="colorScale" priority="5239">
      <colorScale>
        <cfvo type="min"/>
        <cfvo type="percentile" val="50"/>
        <cfvo type="max"/>
        <color rgb="FF5A8AC6"/>
        <color rgb="FFFCFCFF"/>
        <color rgb="FFF8696B"/>
      </colorScale>
    </cfRule>
    <cfRule type="colorScale" priority="5240">
      <colorScale>
        <cfvo type="formula" val="&quot;&gt;20&quot;"/>
        <cfvo type="formula" val="35"/>
        <color rgb="FFF8696B"/>
        <color rgb="FFFCFCFF"/>
      </colorScale>
    </cfRule>
    <cfRule type="colorScale" priority="5241">
      <colorScale>
        <cfvo type="min"/>
        <cfvo type="max"/>
        <color rgb="FFFFEF9C"/>
        <color rgb="FF63BE7B"/>
      </colorScale>
    </cfRule>
  </conditionalFormatting>
  <conditionalFormatting sqref="S3130:S3146">
    <cfRule type="containsText" dxfId="3062" priority="5233" operator="containsText" text="Short Buildup">
      <formula>NOT(ISERROR(SEARCH("Short Buildup",S3130)))</formula>
    </cfRule>
    <cfRule type="containsText" dxfId="3061" priority="5234" operator="containsText" text="Long Liquidation">
      <formula>NOT(ISERROR(SEARCH("Long Liquidation",S3130)))</formula>
    </cfRule>
    <cfRule type="containsText" dxfId="3060" priority="5235" operator="containsText" text="Short covering">
      <formula>NOT(ISERROR(SEARCH("Short covering",S3130)))</formula>
    </cfRule>
    <cfRule type="containsText" dxfId="3059" priority="5236" operator="containsText" text="Long Buildup">
      <formula>NOT(ISERROR(SEARCH("Long Buildup",S3130)))</formula>
    </cfRule>
  </conditionalFormatting>
  <conditionalFormatting sqref="F3130:F3145">
    <cfRule type="dataBar" priority="5232">
      <dataBar>
        <cfvo type="min"/>
        <cfvo type="max"/>
        <color rgb="FFFF555A"/>
      </dataBar>
    </cfRule>
  </conditionalFormatting>
  <conditionalFormatting sqref="G3130:G3145">
    <cfRule type="dataBar" priority="5231">
      <dataBar>
        <cfvo type="min"/>
        <cfvo type="max"/>
        <color rgb="FFFF555A"/>
      </dataBar>
    </cfRule>
  </conditionalFormatting>
  <conditionalFormatting sqref="H3130">
    <cfRule type="dataBar" priority="5230">
      <dataBar>
        <cfvo type="min"/>
        <cfvo type="max"/>
        <color rgb="FFFF555A"/>
      </dataBar>
    </cfRule>
  </conditionalFormatting>
  <conditionalFormatting sqref="I3130">
    <cfRule type="dataBar" priority="5229">
      <dataBar>
        <cfvo type="min"/>
        <cfvo type="max"/>
        <color rgb="FFFF555A"/>
      </dataBar>
    </cfRule>
  </conditionalFormatting>
  <conditionalFormatting sqref="J3130">
    <cfRule type="dataBar" priority="5228">
      <dataBar>
        <cfvo type="min"/>
        <cfvo type="max"/>
        <color rgb="FFFF555A"/>
      </dataBar>
    </cfRule>
  </conditionalFormatting>
  <conditionalFormatting sqref="E3131:E3145">
    <cfRule type="dataBar" priority="5227">
      <dataBar>
        <cfvo type="min"/>
        <cfvo type="max"/>
        <color rgb="FFFF555A"/>
      </dataBar>
    </cfRule>
  </conditionalFormatting>
  <conditionalFormatting sqref="H3131:H3145">
    <cfRule type="dataBar" priority="5226">
      <dataBar>
        <cfvo type="min"/>
        <cfvo type="max"/>
        <color rgb="FFFF555A"/>
      </dataBar>
    </cfRule>
  </conditionalFormatting>
  <conditionalFormatting sqref="I3131:I3145">
    <cfRule type="dataBar" priority="5225">
      <dataBar>
        <cfvo type="min"/>
        <cfvo type="max"/>
        <color rgb="FFFF555A"/>
      </dataBar>
    </cfRule>
  </conditionalFormatting>
  <conditionalFormatting sqref="J3131:J3145">
    <cfRule type="dataBar" priority="5224">
      <dataBar>
        <cfvo type="min"/>
        <cfvo type="max"/>
        <color rgb="FFFF555A"/>
      </dataBar>
    </cfRule>
  </conditionalFormatting>
  <conditionalFormatting sqref="L3130:L3145">
    <cfRule type="dataBar" priority="5223">
      <dataBar>
        <cfvo type="min"/>
        <cfvo type="max"/>
        <color rgb="FFFF555A"/>
      </dataBar>
    </cfRule>
  </conditionalFormatting>
  <conditionalFormatting sqref="M3130:M3145">
    <cfRule type="dataBar" priority="5222">
      <dataBar>
        <cfvo type="min"/>
        <cfvo type="max"/>
        <color rgb="FFFF555A"/>
      </dataBar>
    </cfRule>
  </conditionalFormatting>
  <conditionalFormatting sqref="N3130:N3145">
    <cfRule type="dataBar" priority="5221">
      <dataBar>
        <cfvo type="min"/>
        <cfvo type="max"/>
        <color rgb="FFFF555A"/>
      </dataBar>
    </cfRule>
  </conditionalFormatting>
  <conditionalFormatting sqref="Q3130:Q3145">
    <cfRule type="dataBar" priority="5220">
      <dataBar>
        <cfvo type="min"/>
        <cfvo type="max"/>
        <color rgb="FFFF555A"/>
      </dataBar>
    </cfRule>
  </conditionalFormatting>
  <conditionalFormatting sqref="O3130:O3145">
    <cfRule type="dataBar" priority="5219">
      <dataBar>
        <cfvo type="min"/>
        <cfvo type="max"/>
        <color rgb="FFFF555A"/>
      </dataBar>
    </cfRule>
  </conditionalFormatting>
  <conditionalFormatting sqref="P3130:P3145">
    <cfRule type="dataBar" priority="5218">
      <dataBar>
        <cfvo type="min"/>
        <cfvo type="max"/>
        <color rgb="FFFF555A"/>
      </dataBar>
    </cfRule>
  </conditionalFormatting>
  <conditionalFormatting sqref="R3147:R3163 D3147:D3162 C3163">
    <cfRule type="containsText" dxfId="3058" priority="5217" operator="containsText" text="DOWN">
      <formula>NOT(ISERROR(SEARCH("DOWN",C3147)))</formula>
    </cfRule>
  </conditionalFormatting>
  <conditionalFormatting sqref="R3147:R3163 D3147:D3162 C3163">
    <cfRule type="containsText" dxfId="3057" priority="5216" operator="containsText" text="UP">
      <formula>NOT(ISERROR(SEARCH("UP",C3147)))</formula>
    </cfRule>
  </conditionalFormatting>
  <conditionalFormatting sqref="I3163">
    <cfRule type="colorScale" priority="5215">
      <colorScale>
        <cfvo type="min"/>
        <cfvo type="max"/>
        <color rgb="FFFFEF9C"/>
        <color rgb="FF63BE7B"/>
      </colorScale>
    </cfRule>
  </conditionalFormatting>
  <conditionalFormatting sqref="M3163">
    <cfRule type="colorScale" priority="5214">
      <colorScale>
        <cfvo type="min"/>
        <cfvo type="max"/>
        <color rgb="FFFF7128"/>
        <color rgb="FFFFEF9C"/>
      </colorScale>
    </cfRule>
  </conditionalFormatting>
  <conditionalFormatting sqref="Q3163">
    <cfRule type="dataBar" priority="5213">
      <dataBar>
        <cfvo type="min"/>
        <cfvo type="max"/>
        <color rgb="FFFF555A"/>
      </dataBar>
    </cfRule>
  </conditionalFormatting>
  <conditionalFormatting sqref="E3147:E3163">
    <cfRule type="dataBar" priority="5212">
      <dataBar>
        <cfvo type="min"/>
        <cfvo type="max"/>
        <color rgb="FFFF555A"/>
      </dataBar>
    </cfRule>
  </conditionalFormatting>
  <conditionalFormatting sqref="F3163">
    <cfRule type="top10" dxfId="3056" priority="5211" rank="1"/>
  </conditionalFormatting>
  <conditionalFormatting sqref="G3163 P3163">
    <cfRule type="cellIs" dxfId="3055" priority="5210" operator="equal">
      <formula>$G$135</formula>
    </cfRule>
  </conditionalFormatting>
  <conditionalFormatting sqref="P3163">
    <cfRule type="cellIs" dxfId="3054" priority="5209" operator="equal">
      <formula>$J$135</formula>
    </cfRule>
  </conditionalFormatting>
  <conditionalFormatting sqref="G3163 P3163">
    <cfRule type="cellIs" dxfId="3053" priority="5208" operator="equal">
      <formula>#REF!</formula>
    </cfRule>
  </conditionalFormatting>
  <conditionalFormatting sqref="G3163">
    <cfRule type="top10" dxfId="3052" priority="5206" rank="1"/>
    <cfRule type="cellIs" dxfId="3051" priority="5207" operator="equal">
      <formula>$G$133</formula>
    </cfRule>
  </conditionalFormatting>
  <conditionalFormatting sqref="P3163">
    <cfRule type="top10" dxfId="3050" priority="5204" rank="1"/>
    <cfRule type="cellIs" dxfId="3049" priority="5205" operator="equal">
      <formula>$G$133</formula>
    </cfRule>
  </conditionalFormatting>
  <conditionalFormatting sqref="C3147:C3162">
    <cfRule type="containsText" dxfId="3048" priority="5200" operator="containsText" text="Short Buildup">
      <formula>NOT(ISERROR(SEARCH("Short Buildup",C3147)))</formula>
    </cfRule>
    <cfRule type="containsText" dxfId="3047" priority="5201" operator="containsText" text="Long Liquidation">
      <formula>NOT(ISERROR(SEARCH("Long Liquidation",C3147)))</formula>
    </cfRule>
    <cfRule type="containsText" dxfId="3046" priority="5202" operator="containsText" text="Short covering">
      <formula>NOT(ISERROR(SEARCH("Short covering",C3147)))</formula>
    </cfRule>
    <cfRule type="containsText" dxfId="3045" priority="5203" operator="containsText" text="Long Buildup">
      <formula>NOT(ISERROR(SEARCH("Long Buildup",C3147)))</formula>
    </cfRule>
  </conditionalFormatting>
  <conditionalFormatting sqref="H3163">
    <cfRule type="colorScale" priority="5195">
      <colorScale>
        <cfvo type="min"/>
        <cfvo type="percentile" val="20"/>
        <cfvo type="max"/>
        <color rgb="FF92D050"/>
        <color theme="5" tint="0.79998168889431442"/>
        <color rgb="FFFF0000"/>
      </colorScale>
    </cfRule>
    <cfRule type="colorScale" priority="5196">
      <colorScale>
        <cfvo type="min"/>
        <cfvo type="max"/>
        <color rgb="FFFF0000"/>
        <color rgb="FF92D050"/>
      </colorScale>
    </cfRule>
    <cfRule type="colorScale" priority="5197">
      <colorScale>
        <cfvo type="min"/>
        <cfvo type="percentile" val="50"/>
        <cfvo type="max"/>
        <color rgb="FF5A8AC6"/>
        <color rgb="FFFCFCFF"/>
        <color rgb="FFF8696B"/>
      </colorScale>
    </cfRule>
    <cfRule type="colorScale" priority="5198">
      <colorScale>
        <cfvo type="formula" val="&quot;&gt;20&quot;"/>
        <cfvo type="formula" val="35"/>
        <color rgb="FFF8696B"/>
        <color rgb="FFFCFCFF"/>
      </colorScale>
    </cfRule>
    <cfRule type="colorScale" priority="5199">
      <colorScale>
        <cfvo type="min"/>
        <cfvo type="max"/>
        <color rgb="FFFFEF9C"/>
        <color rgb="FF63BE7B"/>
      </colorScale>
    </cfRule>
  </conditionalFormatting>
  <conditionalFormatting sqref="N3163">
    <cfRule type="colorScale" priority="5190">
      <colorScale>
        <cfvo type="min"/>
        <cfvo type="percentile" val="20"/>
        <cfvo type="max"/>
        <color rgb="FF92D050"/>
        <color theme="5" tint="0.79998168889431442"/>
        <color rgb="FFFF0000"/>
      </colorScale>
    </cfRule>
    <cfRule type="colorScale" priority="5191">
      <colorScale>
        <cfvo type="min"/>
        <cfvo type="max"/>
        <color rgb="FFFF0000"/>
        <color rgb="FF92D050"/>
      </colorScale>
    </cfRule>
    <cfRule type="colorScale" priority="5192">
      <colorScale>
        <cfvo type="min"/>
        <cfvo type="percentile" val="50"/>
        <cfvo type="max"/>
        <color rgb="FF5A8AC6"/>
        <color rgb="FFFCFCFF"/>
        <color rgb="FFF8696B"/>
      </colorScale>
    </cfRule>
    <cfRule type="colorScale" priority="5193">
      <colorScale>
        <cfvo type="formula" val="&quot;&gt;20&quot;"/>
        <cfvo type="formula" val="35"/>
        <color rgb="FFF8696B"/>
        <color rgb="FFFCFCFF"/>
      </colorScale>
    </cfRule>
    <cfRule type="colorScale" priority="5194">
      <colorScale>
        <cfvo type="min"/>
        <cfvo type="max"/>
        <color rgb="FFFFEF9C"/>
        <color rgb="FF63BE7B"/>
      </colorScale>
    </cfRule>
  </conditionalFormatting>
  <conditionalFormatting sqref="S3147:S3163">
    <cfRule type="containsText" dxfId="3044" priority="5186" operator="containsText" text="Short Buildup">
      <formula>NOT(ISERROR(SEARCH("Short Buildup",S3147)))</formula>
    </cfRule>
    <cfRule type="containsText" dxfId="3043" priority="5187" operator="containsText" text="Long Liquidation">
      <formula>NOT(ISERROR(SEARCH("Long Liquidation",S3147)))</formula>
    </cfRule>
    <cfRule type="containsText" dxfId="3042" priority="5188" operator="containsText" text="Short covering">
      <formula>NOT(ISERROR(SEARCH("Short covering",S3147)))</formula>
    </cfRule>
    <cfRule type="containsText" dxfId="3041" priority="5189" operator="containsText" text="Long Buildup">
      <formula>NOT(ISERROR(SEARCH("Long Buildup",S3147)))</formula>
    </cfRule>
  </conditionalFormatting>
  <conditionalFormatting sqref="F3147:F3162">
    <cfRule type="dataBar" priority="5185">
      <dataBar>
        <cfvo type="min"/>
        <cfvo type="max"/>
        <color rgb="FFFF555A"/>
      </dataBar>
    </cfRule>
  </conditionalFormatting>
  <conditionalFormatting sqref="G3147:G3162">
    <cfRule type="dataBar" priority="5184">
      <dataBar>
        <cfvo type="min"/>
        <cfvo type="max"/>
        <color rgb="FFFF555A"/>
      </dataBar>
    </cfRule>
  </conditionalFormatting>
  <conditionalFormatting sqref="H3147">
    <cfRule type="dataBar" priority="5183">
      <dataBar>
        <cfvo type="min"/>
        <cfvo type="max"/>
        <color rgb="FFFF555A"/>
      </dataBar>
    </cfRule>
  </conditionalFormatting>
  <conditionalFormatting sqref="I3147">
    <cfRule type="dataBar" priority="5182">
      <dataBar>
        <cfvo type="min"/>
        <cfvo type="max"/>
        <color rgb="FFFF555A"/>
      </dataBar>
    </cfRule>
  </conditionalFormatting>
  <conditionalFormatting sqref="J3147">
    <cfRule type="dataBar" priority="5181">
      <dataBar>
        <cfvo type="min"/>
        <cfvo type="max"/>
        <color rgb="FFFF555A"/>
      </dataBar>
    </cfRule>
  </conditionalFormatting>
  <conditionalFormatting sqref="E3148:E3162">
    <cfRule type="dataBar" priority="5180">
      <dataBar>
        <cfvo type="min"/>
        <cfvo type="max"/>
        <color rgb="FFFF555A"/>
      </dataBar>
    </cfRule>
  </conditionalFormatting>
  <conditionalFormatting sqref="H3148:H3162">
    <cfRule type="dataBar" priority="5179">
      <dataBar>
        <cfvo type="min"/>
        <cfvo type="max"/>
        <color rgb="FFFF555A"/>
      </dataBar>
    </cfRule>
  </conditionalFormatting>
  <conditionalFormatting sqref="I3148:I3162">
    <cfRule type="dataBar" priority="5178">
      <dataBar>
        <cfvo type="min"/>
        <cfvo type="max"/>
        <color rgb="FFFF555A"/>
      </dataBar>
    </cfRule>
  </conditionalFormatting>
  <conditionalFormatting sqref="J3148:J3162">
    <cfRule type="dataBar" priority="5177">
      <dataBar>
        <cfvo type="min"/>
        <cfvo type="max"/>
        <color rgb="FFFF555A"/>
      </dataBar>
    </cfRule>
  </conditionalFormatting>
  <conditionalFormatting sqref="L3147:L3162">
    <cfRule type="dataBar" priority="5176">
      <dataBar>
        <cfvo type="min"/>
        <cfvo type="max"/>
        <color rgb="FFFF555A"/>
      </dataBar>
    </cfRule>
  </conditionalFormatting>
  <conditionalFormatting sqref="M3147:M3162">
    <cfRule type="dataBar" priority="5175">
      <dataBar>
        <cfvo type="min"/>
        <cfvo type="max"/>
        <color rgb="FFFF555A"/>
      </dataBar>
    </cfRule>
  </conditionalFormatting>
  <conditionalFormatting sqref="N3147:N3162">
    <cfRule type="dataBar" priority="5174">
      <dataBar>
        <cfvo type="min"/>
        <cfvo type="max"/>
        <color rgb="FFFF555A"/>
      </dataBar>
    </cfRule>
  </conditionalFormatting>
  <conditionalFormatting sqref="Q3147:Q3162">
    <cfRule type="dataBar" priority="5173">
      <dataBar>
        <cfvo type="min"/>
        <cfvo type="max"/>
        <color rgb="FFFF555A"/>
      </dataBar>
    </cfRule>
  </conditionalFormatting>
  <conditionalFormatting sqref="O3147:O3162">
    <cfRule type="dataBar" priority="5172">
      <dataBar>
        <cfvo type="min"/>
        <cfvo type="max"/>
        <color rgb="FFFF555A"/>
      </dataBar>
    </cfRule>
  </conditionalFormatting>
  <conditionalFormatting sqref="P3147:P3162">
    <cfRule type="dataBar" priority="5171">
      <dataBar>
        <cfvo type="min"/>
        <cfvo type="max"/>
        <color rgb="FFFF555A"/>
      </dataBar>
    </cfRule>
  </conditionalFormatting>
  <conditionalFormatting sqref="R3164:R3180 D3164:D3179 C3180">
    <cfRule type="containsText" dxfId="3040" priority="5170" operator="containsText" text="DOWN">
      <formula>NOT(ISERROR(SEARCH("DOWN",C3164)))</formula>
    </cfRule>
  </conditionalFormatting>
  <conditionalFormatting sqref="R3164:R3180 D3164:D3179 C3180">
    <cfRule type="containsText" dxfId="3039" priority="5169" operator="containsText" text="UP">
      <formula>NOT(ISERROR(SEARCH("UP",C3164)))</formula>
    </cfRule>
  </conditionalFormatting>
  <conditionalFormatting sqref="I3180">
    <cfRule type="colorScale" priority="5168">
      <colorScale>
        <cfvo type="min"/>
        <cfvo type="max"/>
        <color rgb="FFFFEF9C"/>
        <color rgb="FF63BE7B"/>
      </colorScale>
    </cfRule>
  </conditionalFormatting>
  <conditionalFormatting sqref="M3180">
    <cfRule type="colorScale" priority="5167">
      <colorScale>
        <cfvo type="min"/>
        <cfvo type="max"/>
        <color rgb="FFFF7128"/>
        <color rgb="FFFFEF9C"/>
      </colorScale>
    </cfRule>
  </conditionalFormatting>
  <conditionalFormatting sqref="Q3180">
    <cfRule type="dataBar" priority="5166">
      <dataBar>
        <cfvo type="min"/>
        <cfvo type="max"/>
        <color rgb="FFFF555A"/>
      </dataBar>
    </cfRule>
  </conditionalFormatting>
  <conditionalFormatting sqref="E3164:E3180">
    <cfRule type="dataBar" priority="5165">
      <dataBar>
        <cfvo type="min"/>
        <cfvo type="max"/>
        <color rgb="FFFF555A"/>
      </dataBar>
    </cfRule>
  </conditionalFormatting>
  <conditionalFormatting sqref="F3180">
    <cfRule type="top10" dxfId="3038" priority="5164" rank="1"/>
  </conditionalFormatting>
  <conditionalFormatting sqref="G3180 P3180">
    <cfRule type="cellIs" dxfId="3037" priority="5163" operator="equal">
      <formula>$G$135</formula>
    </cfRule>
  </conditionalFormatting>
  <conditionalFormatting sqref="P3180">
    <cfRule type="cellIs" dxfId="3036" priority="5162" operator="equal">
      <formula>$J$135</formula>
    </cfRule>
  </conditionalFormatting>
  <conditionalFormatting sqref="G3180 P3180">
    <cfRule type="cellIs" dxfId="3035" priority="5161" operator="equal">
      <formula>#REF!</formula>
    </cfRule>
  </conditionalFormatting>
  <conditionalFormatting sqref="G3180">
    <cfRule type="top10" dxfId="3034" priority="5159" rank="1"/>
    <cfRule type="cellIs" dxfId="3033" priority="5160" operator="equal">
      <formula>$G$133</formula>
    </cfRule>
  </conditionalFormatting>
  <conditionalFormatting sqref="P3180">
    <cfRule type="top10" dxfId="3032" priority="5157" rank="1"/>
    <cfRule type="cellIs" dxfId="3031" priority="5158" operator="equal">
      <formula>$G$133</formula>
    </cfRule>
  </conditionalFormatting>
  <conditionalFormatting sqref="C3164:C3179">
    <cfRule type="containsText" dxfId="3030" priority="5153" operator="containsText" text="Short Buildup">
      <formula>NOT(ISERROR(SEARCH("Short Buildup",C3164)))</formula>
    </cfRule>
    <cfRule type="containsText" dxfId="3029" priority="5154" operator="containsText" text="Long Liquidation">
      <formula>NOT(ISERROR(SEARCH("Long Liquidation",C3164)))</formula>
    </cfRule>
    <cfRule type="containsText" dxfId="3028" priority="5155" operator="containsText" text="Short covering">
      <formula>NOT(ISERROR(SEARCH("Short covering",C3164)))</formula>
    </cfRule>
    <cfRule type="containsText" dxfId="3027" priority="5156" operator="containsText" text="Long Buildup">
      <formula>NOT(ISERROR(SEARCH("Long Buildup",C3164)))</formula>
    </cfRule>
  </conditionalFormatting>
  <conditionalFormatting sqref="H3180">
    <cfRule type="colorScale" priority="5148">
      <colorScale>
        <cfvo type="min"/>
        <cfvo type="percentile" val="20"/>
        <cfvo type="max"/>
        <color rgb="FF92D050"/>
        <color theme="5" tint="0.79998168889431442"/>
        <color rgb="FFFF0000"/>
      </colorScale>
    </cfRule>
    <cfRule type="colorScale" priority="5149">
      <colorScale>
        <cfvo type="min"/>
        <cfvo type="max"/>
        <color rgb="FFFF0000"/>
        <color rgb="FF92D050"/>
      </colorScale>
    </cfRule>
    <cfRule type="colorScale" priority="5150">
      <colorScale>
        <cfvo type="min"/>
        <cfvo type="percentile" val="50"/>
        <cfvo type="max"/>
        <color rgb="FF5A8AC6"/>
        <color rgb="FFFCFCFF"/>
        <color rgb="FFF8696B"/>
      </colorScale>
    </cfRule>
    <cfRule type="colorScale" priority="5151">
      <colorScale>
        <cfvo type="formula" val="&quot;&gt;20&quot;"/>
        <cfvo type="formula" val="35"/>
        <color rgb="FFF8696B"/>
        <color rgb="FFFCFCFF"/>
      </colorScale>
    </cfRule>
    <cfRule type="colorScale" priority="5152">
      <colorScale>
        <cfvo type="min"/>
        <cfvo type="max"/>
        <color rgb="FFFFEF9C"/>
        <color rgb="FF63BE7B"/>
      </colorScale>
    </cfRule>
  </conditionalFormatting>
  <conditionalFormatting sqref="N3180">
    <cfRule type="colorScale" priority="5143">
      <colorScale>
        <cfvo type="min"/>
        <cfvo type="percentile" val="20"/>
        <cfvo type="max"/>
        <color rgb="FF92D050"/>
        <color theme="5" tint="0.79998168889431442"/>
        <color rgb="FFFF0000"/>
      </colorScale>
    </cfRule>
    <cfRule type="colorScale" priority="5144">
      <colorScale>
        <cfvo type="min"/>
        <cfvo type="max"/>
        <color rgb="FFFF0000"/>
        <color rgb="FF92D050"/>
      </colorScale>
    </cfRule>
    <cfRule type="colorScale" priority="5145">
      <colorScale>
        <cfvo type="min"/>
        <cfvo type="percentile" val="50"/>
        <cfvo type="max"/>
        <color rgb="FF5A8AC6"/>
        <color rgb="FFFCFCFF"/>
        <color rgb="FFF8696B"/>
      </colorScale>
    </cfRule>
    <cfRule type="colorScale" priority="5146">
      <colorScale>
        <cfvo type="formula" val="&quot;&gt;20&quot;"/>
        <cfvo type="formula" val="35"/>
        <color rgb="FFF8696B"/>
        <color rgb="FFFCFCFF"/>
      </colorScale>
    </cfRule>
    <cfRule type="colorScale" priority="5147">
      <colorScale>
        <cfvo type="min"/>
        <cfvo type="max"/>
        <color rgb="FFFFEF9C"/>
        <color rgb="FF63BE7B"/>
      </colorScale>
    </cfRule>
  </conditionalFormatting>
  <conditionalFormatting sqref="S3164:S3180">
    <cfRule type="containsText" dxfId="3026" priority="5139" operator="containsText" text="Short Buildup">
      <formula>NOT(ISERROR(SEARCH("Short Buildup",S3164)))</formula>
    </cfRule>
    <cfRule type="containsText" dxfId="3025" priority="5140" operator="containsText" text="Long Liquidation">
      <formula>NOT(ISERROR(SEARCH("Long Liquidation",S3164)))</formula>
    </cfRule>
    <cfRule type="containsText" dxfId="3024" priority="5141" operator="containsText" text="Short covering">
      <formula>NOT(ISERROR(SEARCH("Short covering",S3164)))</formula>
    </cfRule>
    <cfRule type="containsText" dxfId="3023" priority="5142" operator="containsText" text="Long Buildup">
      <formula>NOT(ISERROR(SEARCH("Long Buildup",S3164)))</formula>
    </cfRule>
  </conditionalFormatting>
  <conditionalFormatting sqref="F3164:F3179">
    <cfRule type="dataBar" priority="5138">
      <dataBar>
        <cfvo type="min"/>
        <cfvo type="max"/>
        <color rgb="FFFF555A"/>
      </dataBar>
    </cfRule>
  </conditionalFormatting>
  <conditionalFormatting sqref="G3164:G3179">
    <cfRule type="dataBar" priority="5137">
      <dataBar>
        <cfvo type="min"/>
        <cfvo type="max"/>
        <color rgb="FFFF555A"/>
      </dataBar>
    </cfRule>
  </conditionalFormatting>
  <conditionalFormatting sqref="H3164">
    <cfRule type="dataBar" priority="5136">
      <dataBar>
        <cfvo type="min"/>
        <cfvo type="max"/>
        <color rgb="FFFF555A"/>
      </dataBar>
    </cfRule>
  </conditionalFormatting>
  <conditionalFormatting sqref="I3164">
    <cfRule type="dataBar" priority="5135">
      <dataBar>
        <cfvo type="min"/>
        <cfvo type="max"/>
        <color rgb="FFFF555A"/>
      </dataBar>
    </cfRule>
  </conditionalFormatting>
  <conditionalFormatting sqref="J3164">
    <cfRule type="dataBar" priority="5134">
      <dataBar>
        <cfvo type="min"/>
        <cfvo type="max"/>
        <color rgb="FFFF555A"/>
      </dataBar>
    </cfRule>
  </conditionalFormatting>
  <conditionalFormatting sqref="E3165:E3179">
    <cfRule type="dataBar" priority="5133">
      <dataBar>
        <cfvo type="min"/>
        <cfvo type="max"/>
        <color rgb="FFFF555A"/>
      </dataBar>
    </cfRule>
  </conditionalFormatting>
  <conditionalFormatting sqref="H3165:H3179">
    <cfRule type="dataBar" priority="5132">
      <dataBar>
        <cfvo type="min"/>
        <cfvo type="max"/>
        <color rgb="FFFF555A"/>
      </dataBar>
    </cfRule>
  </conditionalFormatting>
  <conditionalFormatting sqref="I3165:I3179">
    <cfRule type="dataBar" priority="5131">
      <dataBar>
        <cfvo type="min"/>
        <cfvo type="max"/>
        <color rgb="FFFF555A"/>
      </dataBar>
    </cfRule>
  </conditionalFormatting>
  <conditionalFormatting sqref="J3165:J3179">
    <cfRule type="dataBar" priority="5130">
      <dataBar>
        <cfvo type="min"/>
        <cfvo type="max"/>
        <color rgb="FFFF555A"/>
      </dataBar>
    </cfRule>
  </conditionalFormatting>
  <conditionalFormatting sqref="L3164:L3179">
    <cfRule type="dataBar" priority="5129">
      <dataBar>
        <cfvo type="min"/>
        <cfvo type="max"/>
        <color rgb="FFFF555A"/>
      </dataBar>
    </cfRule>
  </conditionalFormatting>
  <conditionalFormatting sqref="M3164:M3179">
    <cfRule type="dataBar" priority="5128">
      <dataBar>
        <cfvo type="min"/>
        <cfvo type="max"/>
        <color rgb="FFFF555A"/>
      </dataBar>
    </cfRule>
  </conditionalFormatting>
  <conditionalFormatting sqref="N3164:N3179">
    <cfRule type="dataBar" priority="5127">
      <dataBar>
        <cfvo type="min"/>
        <cfvo type="max"/>
        <color rgb="FFFF555A"/>
      </dataBar>
    </cfRule>
  </conditionalFormatting>
  <conditionalFormatting sqref="Q3164:Q3179">
    <cfRule type="dataBar" priority="5126">
      <dataBar>
        <cfvo type="min"/>
        <cfvo type="max"/>
        <color rgb="FFFF555A"/>
      </dataBar>
    </cfRule>
  </conditionalFormatting>
  <conditionalFormatting sqref="O3164:O3179">
    <cfRule type="dataBar" priority="5125">
      <dataBar>
        <cfvo type="min"/>
        <cfvo type="max"/>
        <color rgb="FFFF555A"/>
      </dataBar>
    </cfRule>
  </conditionalFormatting>
  <conditionalFormatting sqref="P3164:P3179">
    <cfRule type="dataBar" priority="5124">
      <dataBar>
        <cfvo type="min"/>
        <cfvo type="max"/>
        <color rgb="FFFF555A"/>
      </dataBar>
    </cfRule>
  </conditionalFormatting>
  <conditionalFormatting sqref="R3181:R3197 D3181:D3196 C3197">
    <cfRule type="containsText" dxfId="3022" priority="5123" operator="containsText" text="DOWN">
      <formula>NOT(ISERROR(SEARCH("DOWN",C3181)))</formula>
    </cfRule>
  </conditionalFormatting>
  <conditionalFormatting sqref="R3181:R3197 D3181:D3196 C3197">
    <cfRule type="containsText" dxfId="3021" priority="5122" operator="containsText" text="UP">
      <formula>NOT(ISERROR(SEARCH("UP",C3181)))</formula>
    </cfRule>
  </conditionalFormatting>
  <conditionalFormatting sqref="I3197">
    <cfRule type="colorScale" priority="5121">
      <colorScale>
        <cfvo type="min"/>
        <cfvo type="max"/>
        <color rgb="FFFFEF9C"/>
        <color rgb="FF63BE7B"/>
      </colorScale>
    </cfRule>
  </conditionalFormatting>
  <conditionalFormatting sqref="M3197">
    <cfRule type="colorScale" priority="5120">
      <colorScale>
        <cfvo type="min"/>
        <cfvo type="max"/>
        <color rgb="FFFF7128"/>
        <color rgb="FFFFEF9C"/>
      </colorScale>
    </cfRule>
  </conditionalFormatting>
  <conditionalFormatting sqref="Q3197">
    <cfRule type="dataBar" priority="5119">
      <dataBar>
        <cfvo type="min"/>
        <cfvo type="max"/>
        <color rgb="FFFF555A"/>
      </dataBar>
    </cfRule>
  </conditionalFormatting>
  <conditionalFormatting sqref="E3181:E3197">
    <cfRule type="dataBar" priority="5118">
      <dataBar>
        <cfvo type="min"/>
        <cfvo type="max"/>
        <color rgb="FFFF555A"/>
      </dataBar>
    </cfRule>
  </conditionalFormatting>
  <conditionalFormatting sqref="F3197">
    <cfRule type="top10" dxfId="3020" priority="5117" rank="1"/>
  </conditionalFormatting>
  <conditionalFormatting sqref="G3197 P3197">
    <cfRule type="cellIs" dxfId="3019" priority="5116" operator="equal">
      <formula>$G$135</formula>
    </cfRule>
  </conditionalFormatting>
  <conditionalFormatting sqref="P3197">
    <cfRule type="cellIs" dxfId="3018" priority="5115" operator="equal">
      <formula>$J$135</formula>
    </cfRule>
  </conditionalFormatting>
  <conditionalFormatting sqref="G3197 P3197">
    <cfRule type="cellIs" dxfId="3017" priority="5114" operator="equal">
      <formula>#REF!</formula>
    </cfRule>
  </conditionalFormatting>
  <conditionalFormatting sqref="G3197">
    <cfRule type="top10" dxfId="3016" priority="5112" rank="1"/>
    <cfRule type="cellIs" dxfId="3015" priority="5113" operator="equal">
      <formula>$G$133</formula>
    </cfRule>
  </conditionalFormatting>
  <conditionalFormatting sqref="P3197">
    <cfRule type="top10" dxfId="3014" priority="5110" rank="1"/>
    <cfRule type="cellIs" dxfId="3013" priority="5111" operator="equal">
      <formula>$G$133</formula>
    </cfRule>
  </conditionalFormatting>
  <conditionalFormatting sqref="C3181:C3196">
    <cfRule type="containsText" dxfId="3012" priority="5106" operator="containsText" text="Short Buildup">
      <formula>NOT(ISERROR(SEARCH("Short Buildup",C3181)))</formula>
    </cfRule>
    <cfRule type="containsText" dxfId="3011" priority="5107" operator="containsText" text="Long Liquidation">
      <formula>NOT(ISERROR(SEARCH("Long Liquidation",C3181)))</formula>
    </cfRule>
    <cfRule type="containsText" dxfId="3010" priority="5108" operator="containsText" text="Short covering">
      <formula>NOT(ISERROR(SEARCH("Short covering",C3181)))</formula>
    </cfRule>
    <cfRule type="containsText" dxfId="3009" priority="5109" operator="containsText" text="Long Buildup">
      <formula>NOT(ISERROR(SEARCH("Long Buildup",C3181)))</formula>
    </cfRule>
  </conditionalFormatting>
  <conditionalFormatting sqref="H3197">
    <cfRule type="colorScale" priority="5101">
      <colorScale>
        <cfvo type="min"/>
        <cfvo type="percentile" val="20"/>
        <cfvo type="max"/>
        <color rgb="FF92D050"/>
        <color theme="5" tint="0.79998168889431442"/>
        <color rgb="FFFF0000"/>
      </colorScale>
    </cfRule>
    <cfRule type="colorScale" priority="5102">
      <colorScale>
        <cfvo type="min"/>
        <cfvo type="max"/>
        <color rgb="FFFF0000"/>
        <color rgb="FF92D050"/>
      </colorScale>
    </cfRule>
    <cfRule type="colorScale" priority="5103">
      <colorScale>
        <cfvo type="min"/>
        <cfvo type="percentile" val="50"/>
        <cfvo type="max"/>
        <color rgb="FF5A8AC6"/>
        <color rgb="FFFCFCFF"/>
        <color rgb="FFF8696B"/>
      </colorScale>
    </cfRule>
    <cfRule type="colorScale" priority="5104">
      <colorScale>
        <cfvo type="formula" val="&quot;&gt;20&quot;"/>
        <cfvo type="formula" val="35"/>
        <color rgb="FFF8696B"/>
        <color rgb="FFFCFCFF"/>
      </colorScale>
    </cfRule>
    <cfRule type="colorScale" priority="5105">
      <colorScale>
        <cfvo type="min"/>
        <cfvo type="max"/>
        <color rgb="FFFFEF9C"/>
        <color rgb="FF63BE7B"/>
      </colorScale>
    </cfRule>
  </conditionalFormatting>
  <conditionalFormatting sqref="N3197">
    <cfRule type="colorScale" priority="5096">
      <colorScale>
        <cfvo type="min"/>
        <cfvo type="percentile" val="20"/>
        <cfvo type="max"/>
        <color rgb="FF92D050"/>
        <color theme="5" tint="0.79998168889431442"/>
        <color rgb="FFFF0000"/>
      </colorScale>
    </cfRule>
    <cfRule type="colorScale" priority="5097">
      <colorScale>
        <cfvo type="min"/>
        <cfvo type="max"/>
        <color rgb="FFFF0000"/>
        <color rgb="FF92D050"/>
      </colorScale>
    </cfRule>
    <cfRule type="colorScale" priority="5098">
      <colorScale>
        <cfvo type="min"/>
        <cfvo type="percentile" val="50"/>
        <cfvo type="max"/>
        <color rgb="FF5A8AC6"/>
        <color rgb="FFFCFCFF"/>
        <color rgb="FFF8696B"/>
      </colorScale>
    </cfRule>
    <cfRule type="colorScale" priority="5099">
      <colorScale>
        <cfvo type="formula" val="&quot;&gt;20&quot;"/>
        <cfvo type="formula" val="35"/>
        <color rgb="FFF8696B"/>
        <color rgb="FFFCFCFF"/>
      </colorScale>
    </cfRule>
    <cfRule type="colorScale" priority="5100">
      <colorScale>
        <cfvo type="min"/>
        <cfvo type="max"/>
        <color rgb="FFFFEF9C"/>
        <color rgb="FF63BE7B"/>
      </colorScale>
    </cfRule>
  </conditionalFormatting>
  <conditionalFormatting sqref="S3181:S3197">
    <cfRule type="containsText" dxfId="3008" priority="5092" operator="containsText" text="Short Buildup">
      <formula>NOT(ISERROR(SEARCH("Short Buildup",S3181)))</formula>
    </cfRule>
    <cfRule type="containsText" dxfId="3007" priority="5093" operator="containsText" text="Long Liquidation">
      <formula>NOT(ISERROR(SEARCH("Long Liquidation",S3181)))</formula>
    </cfRule>
    <cfRule type="containsText" dxfId="3006" priority="5094" operator="containsText" text="Short covering">
      <formula>NOT(ISERROR(SEARCH("Short covering",S3181)))</formula>
    </cfRule>
    <cfRule type="containsText" dxfId="3005" priority="5095" operator="containsText" text="Long Buildup">
      <formula>NOT(ISERROR(SEARCH("Long Buildup",S3181)))</formula>
    </cfRule>
  </conditionalFormatting>
  <conditionalFormatting sqref="F3181:F3196">
    <cfRule type="dataBar" priority="5091">
      <dataBar>
        <cfvo type="min"/>
        <cfvo type="max"/>
        <color rgb="FFFF555A"/>
      </dataBar>
    </cfRule>
  </conditionalFormatting>
  <conditionalFormatting sqref="G3181:G3196">
    <cfRule type="dataBar" priority="5090">
      <dataBar>
        <cfvo type="min"/>
        <cfvo type="max"/>
        <color rgb="FFFF555A"/>
      </dataBar>
    </cfRule>
  </conditionalFormatting>
  <conditionalFormatting sqref="H3181">
    <cfRule type="dataBar" priority="5089">
      <dataBar>
        <cfvo type="min"/>
        <cfvo type="max"/>
        <color rgb="FFFF555A"/>
      </dataBar>
    </cfRule>
  </conditionalFormatting>
  <conditionalFormatting sqref="I3181">
    <cfRule type="dataBar" priority="5088">
      <dataBar>
        <cfvo type="min"/>
        <cfvo type="max"/>
        <color rgb="FFFF555A"/>
      </dataBar>
    </cfRule>
  </conditionalFormatting>
  <conditionalFormatting sqref="J3181">
    <cfRule type="dataBar" priority="5087">
      <dataBar>
        <cfvo type="min"/>
        <cfvo type="max"/>
        <color rgb="FFFF555A"/>
      </dataBar>
    </cfRule>
  </conditionalFormatting>
  <conditionalFormatting sqref="E3182:E3196">
    <cfRule type="dataBar" priority="5086">
      <dataBar>
        <cfvo type="min"/>
        <cfvo type="max"/>
        <color rgb="FFFF555A"/>
      </dataBar>
    </cfRule>
  </conditionalFormatting>
  <conditionalFormatting sqref="H3182:H3196">
    <cfRule type="dataBar" priority="5085">
      <dataBar>
        <cfvo type="min"/>
        <cfvo type="max"/>
        <color rgb="FFFF555A"/>
      </dataBar>
    </cfRule>
  </conditionalFormatting>
  <conditionalFormatting sqref="I3182:I3196">
    <cfRule type="dataBar" priority="5084">
      <dataBar>
        <cfvo type="min"/>
        <cfvo type="max"/>
        <color rgb="FFFF555A"/>
      </dataBar>
    </cfRule>
  </conditionalFormatting>
  <conditionalFormatting sqref="J3182:J3196">
    <cfRule type="dataBar" priority="5083">
      <dataBar>
        <cfvo type="min"/>
        <cfvo type="max"/>
        <color rgb="FFFF555A"/>
      </dataBar>
    </cfRule>
  </conditionalFormatting>
  <conditionalFormatting sqref="L3181:L3196">
    <cfRule type="dataBar" priority="5082">
      <dataBar>
        <cfvo type="min"/>
        <cfvo type="max"/>
        <color rgb="FFFF555A"/>
      </dataBar>
    </cfRule>
  </conditionalFormatting>
  <conditionalFormatting sqref="M3181:M3196">
    <cfRule type="dataBar" priority="5081">
      <dataBar>
        <cfvo type="min"/>
        <cfvo type="max"/>
        <color rgb="FFFF555A"/>
      </dataBar>
    </cfRule>
  </conditionalFormatting>
  <conditionalFormatting sqref="N3181:N3196">
    <cfRule type="dataBar" priority="5080">
      <dataBar>
        <cfvo type="min"/>
        <cfvo type="max"/>
        <color rgb="FFFF555A"/>
      </dataBar>
    </cfRule>
  </conditionalFormatting>
  <conditionalFormatting sqref="Q3181:Q3196">
    <cfRule type="dataBar" priority="5079">
      <dataBar>
        <cfvo type="min"/>
        <cfvo type="max"/>
        <color rgb="FFFF555A"/>
      </dataBar>
    </cfRule>
  </conditionalFormatting>
  <conditionalFormatting sqref="O3181:O3196">
    <cfRule type="dataBar" priority="5078">
      <dataBar>
        <cfvo type="min"/>
        <cfvo type="max"/>
        <color rgb="FFFF555A"/>
      </dataBar>
    </cfRule>
  </conditionalFormatting>
  <conditionalFormatting sqref="P3181:P3196">
    <cfRule type="dataBar" priority="5077">
      <dataBar>
        <cfvo type="min"/>
        <cfvo type="max"/>
        <color rgb="FFFF555A"/>
      </dataBar>
    </cfRule>
  </conditionalFormatting>
  <conditionalFormatting sqref="R3198:R3214 D3198:D3213 C3214">
    <cfRule type="containsText" dxfId="3004" priority="5076" operator="containsText" text="DOWN">
      <formula>NOT(ISERROR(SEARCH("DOWN",C3198)))</formula>
    </cfRule>
  </conditionalFormatting>
  <conditionalFormatting sqref="R3198:R3214 D3198:D3213 C3214">
    <cfRule type="containsText" dxfId="3003" priority="5075" operator="containsText" text="UP">
      <formula>NOT(ISERROR(SEARCH("UP",C3198)))</formula>
    </cfRule>
  </conditionalFormatting>
  <conditionalFormatting sqref="I3214">
    <cfRule type="colorScale" priority="5074">
      <colorScale>
        <cfvo type="min"/>
        <cfvo type="max"/>
        <color rgb="FFFFEF9C"/>
        <color rgb="FF63BE7B"/>
      </colorScale>
    </cfRule>
  </conditionalFormatting>
  <conditionalFormatting sqref="M3214">
    <cfRule type="colorScale" priority="5073">
      <colorScale>
        <cfvo type="min"/>
        <cfvo type="max"/>
        <color rgb="FFFF7128"/>
        <color rgb="FFFFEF9C"/>
      </colorScale>
    </cfRule>
  </conditionalFormatting>
  <conditionalFormatting sqref="Q3214">
    <cfRule type="dataBar" priority="5072">
      <dataBar>
        <cfvo type="min"/>
        <cfvo type="max"/>
        <color rgb="FFFF555A"/>
      </dataBar>
    </cfRule>
  </conditionalFormatting>
  <conditionalFormatting sqref="E3198:E3214">
    <cfRule type="dataBar" priority="5071">
      <dataBar>
        <cfvo type="min"/>
        <cfvo type="max"/>
        <color rgb="FFFF555A"/>
      </dataBar>
    </cfRule>
  </conditionalFormatting>
  <conditionalFormatting sqref="F3214">
    <cfRule type="top10" dxfId="3002" priority="5070" rank="1"/>
  </conditionalFormatting>
  <conditionalFormatting sqref="G3214 P3214">
    <cfRule type="cellIs" dxfId="3001" priority="5069" operator="equal">
      <formula>$G$135</formula>
    </cfRule>
  </conditionalFormatting>
  <conditionalFormatting sqref="P3214">
    <cfRule type="cellIs" dxfId="3000" priority="5068" operator="equal">
      <formula>$J$135</formula>
    </cfRule>
  </conditionalFormatting>
  <conditionalFormatting sqref="G3214 P3214">
    <cfRule type="cellIs" dxfId="2999" priority="5067" operator="equal">
      <formula>#REF!</formula>
    </cfRule>
  </conditionalFormatting>
  <conditionalFormatting sqref="G3214">
    <cfRule type="top10" dxfId="2998" priority="5065" rank="1"/>
    <cfRule type="cellIs" dxfId="2997" priority="5066" operator="equal">
      <formula>$G$133</formula>
    </cfRule>
  </conditionalFormatting>
  <conditionalFormatting sqref="P3214">
    <cfRule type="top10" dxfId="2996" priority="5063" rank="1"/>
    <cfRule type="cellIs" dxfId="2995" priority="5064" operator="equal">
      <formula>$G$133</formula>
    </cfRule>
  </conditionalFormatting>
  <conditionalFormatting sqref="C3198:C3213">
    <cfRule type="containsText" dxfId="2994" priority="5059" operator="containsText" text="Short Buildup">
      <formula>NOT(ISERROR(SEARCH("Short Buildup",C3198)))</formula>
    </cfRule>
    <cfRule type="containsText" dxfId="2993" priority="5060" operator="containsText" text="Long Liquidation">
      <formula>NOT(ISERROR(SEARCH("Long Liquidation",C3198)))</formula>
    </cfRule>
    <cfRule type="containsText" dxfId="2992" priority="5061" operator="containsText" text="Short covering">
      <formula>NOT(ISERROR(SEARCH("Short covering",C3198)))</formula>
    </cfRule>
    <cfRule type="containsText" dxfId="2991" priority="5062" operator="containsText" text="Long Buildup">
      <formula>NOT(ISERROR(SEARCH("Long Buildup",C3198)))</formula>
    </cfRule>
  </conditionalFormatting>
  <conditionalFormatting sqref="H3214">
    <cfRule type="colorScale" priority="5054">
      <colorScale>
        <cfvo type="min"/>
        <cfvo type="percentile" val="20"/>
        <cfvo type="max"/>
        <color rgb="FF92D050"/>
        <color theme="5" tint="0.79998168889431442"/>
        <color rgb="FFFF0000"/>
      </colorScale>
    </cfRule>
    <cfRule type="colorScale" priority="5055">
      <colorScale>
        <cfvo type="min"/>
        <cfvo type="max"/>
        <color rgb="FFFF0000"/>
        <color rgb="FF92D050"/>
      </colorScale>
    </cfRule>
    <cfRule type="colorScale" priority="5056">
      <colorScale>
        <cfvo type="min"/>
        <cfvo type="percentile" val="50"/>
        <cfvo type="max"/>
        <color rgb="FF5A8AC6"/>
        <color rgb="FFFCFCFF"/>
        <color rgb="FFF8696B"/>
      </colorScale>
    </cfRule>
    <cfRule type="colorScale" priority="5057">
      <colorScale>
        <cfvo type="formula" val="&quot;&gt;20&quot;"/>
        <cfvo type="formula" val="35"/>
        <color rgb="FFF8696B"/>
        <color rgb="FFFCFCFF"/>
      </colorScale>
    </cfRule>
    <cfRule type="colorScale" priority="5058">
      <colorScale>
        <cfvo type="min"/>
        <cfvo type="max"/>
        <color rgb="FFFFEF9C"/>
        <color rgb="FF63BE7B"/>
      </colorScale>
    </cfRule>
  </conditionalFormatting>
  <conditionalFormatting sqref="N3214">
    <cfRule type="colorScale" priority="5049">
      <colorScale>
        <cfvo type="min"/>
        <cfvo type="percentile" val="20"/>
        <cfvo type="max"/>
        <color rgb="FF92D050"/>
        <color theme="5" tint="0.79998168889431442"/>
        <color rgb="FFFF0000"/>
      </colorScale>
    </cfRule>
    <cfRule type="colorScale" priority="5050">
      <colorScale>
        <cfvo type="min"/>
        <cfvo type="max"/>
        <color rgb="FFFF0000"/>
        <color rgb="FF92D050"/>
      </colorScale>
    </cfRule>
    <cfRule type="colorScale" priority="5051">
      <colorScale>
        <cfvo type="min"/>
        <cfvo type="percentile" val="50"/>
        <cfvo type="max"/>
        <color rgb="FF5A8AC6"/>
        <color rgb="FFFCFCFF"/>
        <color rgb="FFF8696B"/>
      </colorScale>
    </cfRule>
    <cfRule type="colorScale" priority="5052">
      <colorScale>
        <cfvo type="formula" val="&quot;&gt;20&quot;"/>
        <cfvo type="formula" val="35"/>
        <color rgb="FFF8696B"/>
        <color rgb="FFFCFCFF"/>
      </colorScale>
    </cfRule>
    <cfRule type="colorScale" priority="5053">
      <colorScale>
        <cfvo type="min"/>
        <cfvo type="max"/>
        <color rgb="FFFFEF9C"/>
        <color rgb="FF63BE7B"/>
      </colorScale>
    </cfRule>
  </conditionalFormatting>
  <conditionalFormatting sqref="S3198:S3214">
    <cfRule type="containsText" dxfId="2990" priority="5045" operator="containsText" text="Short Buildup">
      <formula>NOT(ISERROR(SEARCH("Short Buildup",S3198)))</formula>
    </cfRule>
    <cfRule type="containsText" dxfId="2989" priority="5046" operator="containsText" text="Long Liquidation">
      <formula>NOT(ISERROR(SEARCH("Long Liquidation",S3198)))</formula>
    </cfRule>
    <cfRule type="containsText" dxfId="2988" priority="5047" operator="containsText" text="Short covering">
      <formula>NOT(ISERROR(SEARCH("Short covering",S3198)))</formula>
    </cfRule>
    <cfRule type="containsText" dxfId="2987" priority="5048" operator="containsText" text="Long Buildup">
      <formula>NOT(ISERROR(SEARCH("Long Buildup",S3198)))</formula>
    </cfRule>
  </conditionalFormatting>
  <conditionalFormatting sqref="F3198:F3213">
    <cfRule type="dataBar" priority="5044">
      <dataBar>
        <cfvo type="min"/>
        <cfvo type="max"/>
        <color rgb="FFFF555A"/>
      </dataBar>
    </cfRule>
  </conditionalFormatting>
  <conditionalFormatting sqref="G3198:G3213">
    <cfRule type="dataBar" priority="5043">
      <dataBar>
        <cfvo type="min"/>
        <cfvo type="max"/>
        <color rgb="FFFF555A"/>
      </dataBar>
    </cfRule>
  </conditionalFormatting>
  <conditionalFormatting sqref="H3198">
    <cfRule type="dataBar" priority="5042">
      <dataBar>
        <cfvo type="min"/>
        <cfvo type="max"/>
        <color rgb="FFFF555A"/>
      </dataBar>
    </cfRule>
  </conditionalFormatting>
  <conditionalFormatting sqref="I3198">
    <cfRule type="dataBar" priority="5041">
      <dataBar>
        <cfvo type="min"/>
        <cfvo type="max"/>
        <color rgb="FFFF555A"/>
      </dataBar>
    </cfRule>
  </conditionalFormatting>
  <conditionalFormatting sqref="J3198">
    <cfRule type="dataBar" priority="5040">
      <dataBar>
        <cfvo type="min"/>
        <cfvo type="max"/>
        <color rgb="FFFF555A"/>
      </dataBar>
    </cfRule>
  </conditionalFormatting>
  <conditionalFormatting sqref="E3199:E3213">
    <cfRule type="dataBar" priority="5039">
      <dataBar>
        <cfvo type="min"/>
        <cfvo type="max"/>
        <color rgb="FFFF555A"/>
      </dataBar>
    </cfRule>
  </conditionalFormatting>
  <conditionalFormatting sqref="H3199:H3213">
    <cfRule type="dataBar" priority="5038">
      <dataBar>
        <cfvo type="min"/>
        <cfvo type="max"/>
        <color rgb="FFFF555A"/>
      </dataBar>
    </cfRule>
  </conditionalFormatting>
  <conditionalFormatting sqref="I3199:I3213">
    <cfRule type="dataBar" priority="5037">
      <dataBar>
        <cfvo type="min"/>
        <cfvo type="max"/>
        <color rgb="FFFF555A"/>
      </dataBar>
    </cfRule>
  </conditionalFormatting>
  <conditionalFormatting sqref="J3199:J3213">
    <cfRule type="dataBar" priority="5036">
      <dataBar>
        <cfvo type="min"/>
        <cfvo type="max"/>
        <color rgb="FFFF555A"/>
      </dataBar>
    </cfRule>
  </conditionalFormatting>
  <conditionalFormatting sqref="L3198:L3213">
    <cfRule type="dataBar" priority="5035">
      <dataBar>
        <cfvo type="min"/>
        <cfvo type="max"/>
        <color rgb="FFFF555A"/>
      </dataBar>
    </cfRule>
  </conditionalFormatting>
  <conditionalFormatting sqref="M3198:M3213">
    <cfRule type="dataBar" priority="5034">
      <dataBar>
        <cfvo type="min"/>
        <cfvo type="max"/>
        <color rgb="FFFF555A"/>
      </dataBar>
    </cfRule>
  </conditionalFormatting>
  <conditionalFormatting sqref="N3198:N3213">
    <cfRule type="dataBar" priority="5033">
      <dataBar>
        <cfvo type="min"/>
        <cfvo type="max"/>
        <color rgb="FFFF555A"/>
      </dataBar>
    </cfRule>
  </conditionalFormatting>
  <conditionalFormatting sqref="Q3198:Q3213">
    <cfRule type="dataBar" priority="5032">
      <dataBar>
        <cfvo type="min"/>
        <cfvo type="max"/>
        <color rgb="FFFF555A"/>
      </dataBar>
    </cfRule>
  </conditionalFormatting>
  <conditionalFormatting sqref="O3198:O3213">
    <cfRule type="dataBar" priority="5031">
      <dataBar>
        <cfvo type="min"/>
        <cfvo type="max"/>
        <color rgb="FFFF555A"/>
      </dataBar>
    </cfRule>
  </conditionalFormatting>
  <conditionalFormatting sqref="P3198:P3213">
    <cfRule type="dataBar" priority="5030">
      <dataBar>
        <cfvo type="min"/>
        <cfvo type="max"/>
        <color rgb="FFFF555A"/>
      </dataBar>
    </cfRule>
  </conditionalFormatting>
  <conditionalFormatting sqref="R3215:R3231 D3215:D3230 C3231">
    <cfRule type="containsText" dxfId="2986" priority="5029" operator="containsText" text="DOWN">
      <formula>NOT(ISERROR(SEARCH("DOWN",C3215)))</formula>
    </cfRule>
  </conditionalFormatting>
  <conditionalFormatting sqref="R3215:R3231 D3215:D3230 C3231">
    <cfRule type="containsText" dxfId="2985" priority="5028" operator="containsText" text="UP">
      <formula>NOT(ISERROR(SEARCH("UP",C3215)))</formula>
    </cfRule>
  </conditionalFormatting>
  <conditionalFormatting sqref="I3231">
    <cfRule type="colorScale" priority="5027">
      <colorScale>
        <cfvo type="min"/>
        <cfvo type="max"/>
        <color rgb="FFFFEF9C"/>
        <color rgb="FF63BE7B"/>
      </colorScale>
    </cfRule>
  </conditionalFormatting>
  <conditionalFormatting sqref="M3231">
    <cfRule type="colorScale" priority="5026">
      <colorScale>
        <cfvo type="min"/>
        <cfvo type="max"/>
        <color rgb="FFFF7128"/>
        <color rgb="FFFFEF9C"/>
      </colorScale>
    </cfRule>
  </conditionalFormatting>
  <conditionalFormatting sqref="Q3231">
    <cfRule type="dataBar" priority="5025">
      <dataBar>
        <cfvo type="min"/>
        <cfvo type="max"/>
        <color rgb="FFFF555A"/>
      </dataBar>
    </cfRule>
  </conditionalFormatting>
  <conditionalFormatting sqref="E3215:E3231">
    <cfRule type="dataBar" priority="5024">
      <dataBar>
        <cfvo type="min"/>
        <cfvo type="max"/>
        <color rgb="FFFF555A"/>
      </dataBar>
    </cfRule>
  </conditionalFormatting>
  <conditionalFormatting sqref="F3231">
    <cfRule type="top10" dxfId="2984" priority="5023" rank="1"/>
  </conditionalFormatting>
  <conditionalFormatting sqref="G3231 P3231">
    <cfRule type="cellIs" dxfId="2983" priority="5022" operator="equal">
      <formula>$G$135</formula>
    </cfRule>
  </conditionalFormatting>
  <conditionalFormatting sqref="P3231">
    <cfRule type="cellIs" dxfId="2982" priority="5021" operator="equal">
      <formula>$J$135</formula>
    </cfRule>
  </conditionalFormatting>
  <conditionalFormatting sqref="G3231 P3231">
    <cfRule type="cellIs" dxfId="2981" priority="5020" operator="equal">
      <formula>#REF!</formula>
    </cfRule>
  </conditionalFormatting>
  <conditionalFormatting sqref="G3231">
    <cfRule type="top10" dxfId="2980" priority="5018" rank="1"/>
    <cfRule type="cellIs" dxfId="2979" priority="5019" operator="equal">
      <formula>$G$133</formula>
    </cfRule>
  </conditionalFormatting>
  <conditionalFormatting sqref="P3231">
    <cfRule type="top10" dxfId="2978" priority="5016" rank="1"/>
    <cfRule type="cellIs" dxfId="2977" priority="5017" operator="equal">
      <formula>$G$133</formula>
    </cfRule>
  </conditionalFormatting>
  <conditionalFormatting sqref="C3215:C3230">
    <cfRule type="containsText" dxfId="2976" priority="5012" operator="containsText" text="Short Buildup">
      <formula>NOT(ISERROR(SEARCH("Short Buildup",C3215)))</formula>
    </cfRule>
    <cfRule type="containsText" dxfId="2975" priority="5013" operator="containsText" text="Long Liquidation">
      <formula>NOT(ISERROR(SEARCH("Long Liquidation",C3215)))</formula>
    </cfRule>
    <cfRule type="containsText" dxfId="2974" priority="5014" operator="containsText" text="Short covering">
      <formula>NOT(ISERROR(SEARCH("Short covering",C3215)))</formula>
    </cfRule>
    <cfRule type="containsText" dxfId="2973" priority="5015" operator="containsText" text="Long Buildup">
      <formula>NOT(ISERROR(SEARCH("Long Buildup",C3215)))</formula>
    </cfRule>
  </conditionalFormatting>
  <conditionalFormatting sqref="H3231">
    <cfRule type="colorScale" priority="5007">
      <colorScale>
        <cfvo type="min"/>
        <cfvo type="percentile" val="20"/>
        <cfvo type="max"/>
        <color rgb="FF92D050"/>
        <color theme="5" tint="0.79998168889431442"/>
        <color rgb="FFFF0000"/>
      </colorScale>
    </cfRule>
    <cfRule type="colorScale" priority="5008">
      <colorScale>
        <cfvo type="min"/>
        <cfvo type="max"/>
        <color rgb="FFFF0000"/>
        <color rgb="FF92D050"/>
      </colorScale>
    </cfRule>
    <cfRule type="colorScale" priority="5009">
      <colorScale>
        <cfvo type="min"/>
        <cfvo type="percentile" val="50"/>
        <cfvo type="max"/>
        <color rgb="FF5A8AC6"/>
        <color rgb="FFFCFCFF"/>
        <color rgb="FFF8696B"/>
      </colorScale>
    </cfRule>
    <cfRule type="colorScale" priority="5010">
      <colorScale>
        <cfvo type="formula" val="&quot;&gt;20&quot;"/>
        <cfvo type="formula" val="35"/>
        <color rgb="FFF8696B"/>
        <color rgb="FFFCFCFF"/>
      </colorScale>
    </cfRule>
    <cfRule type="colorScale" priority="5011">
      <colorScale>
        <cfvo type="min"/>
        <cfvo type="max"/>
        <color rgb="FFFFEF9C"/>
        <color rgb="FF63BE7B"/>
      </colorScale>
    </cfRule>
  </conditionalFormatting>
  <conditionalFormatting sqref="N3231">
    <cfRule type="colorScale" priority="5002">
      <colorScale>
        <cfvo type="min"/>
        <cfvo type="percentile" val="20"/>
        <cfvo type="max"/>
        <color rgb="FF92D050"/>
        <color theme="5" tint="0.79998168889431442"/>
        <color rgb="FFFF0000"/>
      </colorScale>
    </cfRule>
    <cfRule type="colorScale" priority="5003">
      <colorScale>
        <cfvo type="min"/>
        <cfvo type="max"/>
        <color rgb="FFFF0000"/>
        <color rgb="FF92D050"/>
      </colorScale>
    </cfRule>
    <cfRule type="colorScale" priority="5004">
      <colorScale>
        <cfvo type="min"/>
        <cfvo type="percentile" val="50"/>
        <cfvo type="max"/>
        <color rgb="FF5A8AC6"/>
        <color rgb="FFFCFCFF"/>
        <color rgb="FFF8696B"/>
      </colorScale>
    </cfRule>
    <cfRule type="colorScale" priority="5005">
      <colorScale>
        <cfvo type="formula" val="&quot;&gt;20&quot;"/>
        <cfvo type="formula" val="35"/>
        <color rgb="FFF8696B"/>
        <color rgb="FFFCFCFF"/>
      </colorScale>
    </cfRule>
    <cfRule type="colorScale" priority="5006">
      <colorScale>
        <cfvo type="min"/>
        <cfvo type="max"/>
        <color rgb="FFFFEF9C"/>
        <color rgb="FF63BE7B"/>
      </colorScale>
    </cfRule>
  </conditionalFormatting>
  <conditionalFormatting sqref="S3215:S3231">
    <cfRule type="containsText" dxfId="2972" priority="4998" operator="containsText" text="Short Buildup">
      <formula>NOT(ISERROR(SEARCH("Short Buildup",S3215)))</formula>
    </cfRule>
    <cfRule type="containsText" dxfId="2971" priority="4999" operator="containsText" text="Long Liquidation">
      <formula>NOT(ISERROR(SEARCH("Long Liquidation",S3215)))</formula>
    </cfRule>
    <cfRule type="containsText" dxfId="2970" priority="5000" operator="containsText" text="Short covering">
      <formula>NOT(ISERROR(SEARCH("Short covering",S3215)))</formula>
    </cfRule>
    <cfRule type="containsText" dxfId="2969" priority="5001" operator="containsText" text="Long Buildup">
      <formula>NOT(ISERROR(SEARCH("Long Buildup",S3215)))</formula>
    </cfRule>
  </conditionalFormatting>
  <conditionalFormatting sqref="F3215:F3230">
    <cfRule type="dataBar" priority="4997">
      <dataBar>
        <cfvo type="min"/>
        <cfvo type="max"/>
        <color rgb="FFFF555A"/>
      </dataBar>
    </cfRule>
  </conditionalFormatting>
  <conditionalFormatting sqref="G3215:G3230">
    <cfRule type="dataBar" priority="4996">
      <dataBar>
        <cfvo type="min"/>
        <cfvo type="max"/>
        <color rgb="FFFF555A"/>
      </dataBar>
    </cfRule>
  </conditionalFormatting>
  <conditionalFormatting sqref="H3215">
    <cfRule type="dataBar" priority="4995">
      <dataBar>
        <cfvo type="min"/>
        <cfvo type="max"/>
        <color rgb="FFFF555A"/>
      </dataBar>
    </cfRule>
  </conditionalFormatting>
  <conditionalFormatting sqref="I3215">
    <cfRule type="dataBar" priority="4994">
      <dataBar>
        <cfvo type="min"/>
        <cfvo type="max"/>
        <color rgb="FFFF555A"/>
      </dataBar>
    </cfRule>
  </conditionalFormatting>
  <conditionalFormatting sqref="J3215">
    <cfRule type="dataBar" priority="4993">
      <dataBar>
        <cfvo type="min"/>
        <cfvo type="max"/>
        <color rgb="FFFF555A"/>
      </dataBar>
    </cfRule>
  </conditionalFormatting>
  <conditionalFormatting sqref="E3216:E3230">
    <cfRule type="dataBar" priority="4992">
      <dataBar>
        <cfvo type="min"/>
        <cfvo type="max"/>
        <color rgb="FFFF555A"/>
      </dataBar>
    </cfRule>
  </conditionalFormatting>
  <conditionalFormatting sqref="H3216:H3230">
    <cfRule type="dataBar" priority="4991">
      <dataBar>
        <cfvo type="min"/>
        <cfvo type="max"/>
        <color rgb="FFFF555A"/>
      </dataBar>
    </cfRule>
  </conditionalFormatting>
  <conditionalFormatting sqref="I3216:I3230">
    <cfRule type="dataBar" priority="4990">
      <dataBar>
        <cfvo type="min"/>
        <cfvo type="max"/>
        <color rgb="FFFF555A"/>
      </dataBar>
    </cfRule>
  </conditionalFormatting>
  <conditionalFormatting sqref="J3216:J3230">
    <cfRule type="dataBar" priority="4989">
      <dataBar>
        <cfvo type="min"/>
        <cfvo type="max"/>
        <color rgb="FFFF555A"/>
      </dataBar>
    </cfRule>
  </conditionalFormatting>
  <conditionalFormatting sqref="L3215:L3230">
    <cfRule type="dataBar" priority="4988">
      <dataBar>
        <cfvo type="min"/>
        <cfvo type="max"/>
        <color rgb="FFFF555A"/>
      </dataBar>
    </cfRule>
  </conditionalFormatting>
  <conditionalFormatting sqref="M3215:M3230">
    <cfRule type="dataBar" priority="4987">
      <dataBar>
        <cfvo type="min"/>
        <cfvo type="max"/>
        <color rgb="FFFF555A"/>
      </dataBar>
    </cfRule>
  </conditionalFormatting>
  <conditionalFormatting sqref="N3215:N3230">
    <cfRule type="dataBar" priority="4986">
      <dataBar>
        <cfvo type="min"/>
        <cfvo type="max"/>
        <color rgb="FFFF555A"/>
      </dataBar>
    </cfRule>
  </conditionalFormatting>
  <conditionalFormatting sqref="Q3215:Q3230">
    <cfRule type="dataBar" priority="4985">
      <dataBar>
        <cfvo type="min"/>
        <cfvo type="max"/>
        <color rgb="FFFF555A"/>
      </dataBar>
    </cfRule>
  </conditionalFormatting>
  <conditionalFormatting sqref="O3215:O3230">
    <cfRule type="dataBar" priority="4984">
      <dataBar>
        <cfvo type="min"/>
        <cfvo type="max"/>
        <color rgb="FFFF555A"/>
      </dataBar>
    </cfRule>
  </conditionalFormatting>
  <conditionalFormatting sqref="P3215:P3230">
    <cfRule type="dataBar" priority="4983">
      <dataBar>
        <cfvo type="min"/>
        <cfvo type="max"/>
        <color rgb="FFFF555A"/>
      </dataBar>
    </cfRule>
  </conditionalFormatting>
  <conditionalFormatting sqref="R3232:R3248 D3232:D3247 C3248">
    <cfRule type="containsText" dxfId="2968" priority="4982" operator="containsText" text="DOWN">
      <formula>NOT(ISERROR(SEARCH("DOWN",C3232)))</formula>
    </cfRule>
  </conditionalFormatting>
  <conditionalFormatting sqref="R3232:R3248 D3232:D3247 C3248">
    <cfRule type="containsText" dxfId="2967" priority="4981" operator="containsText" text="UP">
      <formula>NOT(ISERROR(SEARCH("UP",C3232)))</formula>
    </cfRule>
  </conditionalFormatting>
  <conditionalFormatting sqref="I3248">
    <cfRule type="colorScale" priority="4980">
      <colorScale>
        <cfvo type="min"/>
        <cfvo type="max"/>
        <color rgb="FFFFEF9C"/>
        <color rgb="FF63BE7B"/>
      </colorScale>
    </cfRule>
  </conditionalFormatting>
  <conditionalFormatting sqref="M3248">
    <cfRule type="colorScale" priority="4979">
      <colorScale>
        <cfvo type="min"/>
        <cfvo type="max"/>
        <color rgb="FFFF7128"/>
        <color rgb="FFFFEF9C"/>
      </colorScale>
    </cfRule>
  </conditionalFormatting>
  <conditionalFormatting sqref="Q3248">
    <cfRule type="dataBar" priority="4978">
      <dataBar>
        <cfvo type="min"/>
        <cfvo type="max"/>
        <color rgb="FFFF555A"/>
      </dataBar>
    </cfRule>
  </conditionalFormatting>
  <conditionalFormatting sqref="E3232:E3248">
    <cfRule type="dataBar" priority="4977">
      <dataBar>
        <cfvo type="min"/>
        <cfvo type="max"/>
        <color rgb="FFFF555A"/>
      </dataBar>
    </cfRule>
  </conditionalFormatting>
  <conditionalFormatting sqref="F3248">
    <cfRule type="top10" dxfId="2966" priority="4976" rank="1"/>
  </conditionalFormatting>
  <conditionalFormatting sqref="G3248 P3248">
    <cfRule type="cellIs" dxfId="2965" priority="4975" operator="equal">
      <formula>$G$135</formula>
    </cfRule>
  </conditionalFormatting>
  <conditionalFormatting sqref="P3248">
    <cfRule type="cellIs" dxfId="2964" priority="4974" operator="equal">
      <formula>$J$135</formula>
    </cfRule>
  </conditionalFormatting>
  <conditionalFormatting sqref="G3248 P3248">
    <cfRule type="cellIs" dxfId="2963" priority="4973" operator="equal">
      <formula>#REF!</formula>
    </cfRule>
  </conditionalFormatting>
  <conditionalFormatting sqref="G3248">
    <cfRule type="top10" dxfId="2962" priority="4971" rank="1"/>
    <cfRule type="cellIs" dxfId="2961" priority="4972" operator="equal">
      <formula>$G$133</formula>
    </cfRule>
  </conditionalFormatting>
  <conditionalFormatting sqref="P3248">
    <cfRule type="top10" dxfId="2960" priority="4969" rank="1"/>
    <cfRule type="cellIs" dxfId="2959" priority="4970" operator="equal">
      <formula>$G$133</formula>
    </cfRule>
  </conditionalFormatting>
  <conditionalFormatting sqref="C3232:C3247">
    <cfRule type="containsText" dxfId="2958" priority="4965" operator="containsText" text="Short Buildup">
      <formula>NOT(ISERROR(SEARCH("Short Buildup",C3232)))</formula>
    </cfRule>
    <cfRule type="containsText" dxfId="2957" priority="4966" operator="containsText" text="Long Liquidation">
      <formula>NOT(ISERROR(SEARCH("Long Liquidation",C3232)))</formula>
    </cfRule>
    <cfRule type="containsText" dxfId="2956" priority="4967" operator="containsText" text="Short covering">
      <formula>NOT(ISERROR(SEARCH("Short covering",C3232)))</formula>
    </cfRule>
    <cfRule type="containsText" dxfId="2955" priority="4968" operator="containsText" text="Long Buildup">
      <formula>NOT(ISERROR(SEARCH("Long Buildup",C3232)))</formula>
    </cfRule>
  </conditionalFormatting>
  <conditionalFormatting sqref="H3248">
    <cfRule type="colorScale" priority="4960">
      <colorScale>
        <cfvo type="min"/>
        <cfvo type="percentile" val="20"/>
        <cfvo type="max"/>
        <color rgb="FF92D050"/>
        <color theme="5" tint="0.79998168889431442"/>
        <color rgb="FFFF0000"/>
      </colorScale>
    </cfRule>
    <cfRule type="colorScale" priority="4961">
      <colorScale>
        <cfvo type="min"/>
        <cfvo type="max"/>
        <color rgb="FFFF0000"/>
        <color rgb="FF92D050"/>
      </colorScale>
    </cfRule>
    <cfRule type="colorScale" priority="4962">
      <colorScale>
        <cfvo type="min"/>
        <cfvo type="percentile" val="50"/>
        <cfvo type="max"/>
        <color rgb="FF5A8AC6"/>
        <color rgb="FFFCFCFF"/>
        <color rgb="FFF8696B"/>
      </colorScale>
    </cfRule>
    <cfRule type="colorScale" priority="4963">
      <colorScale>
        <cfvo type="formula" val="&quot;&gt;20&quot;"/>
        <cfvo type="formula" val="35"/>
        <color rgb="FFF8696B"/>
        <color rgb="FFFCFCFF"/>
      </colorScale>
    </cfRule>
    <cfRule type="colorScale" priority="4964">
      <colorScale>
        <cfvo type="min"/>
        <cfvo type="max"/>
        <color rgb="FFFFEF9C"/>
        <color rgb="FF63BE7B"/>
      </colorScale>
    </cfRule>
  </conditionalFormatting>
  <conditionalFormatting sqref="N3248">
    <cfRule type="colorScale" priority="4955">
      <colorScale>
        <cfvo type="min"/>
        <cfvo type="percentile" val="20"/>
        <cfvo type="max"/>
        <color rgb="FF92D050"/>
        <color theme="5" tint="0.79998168889431442"/>
        <color rgb="FFFF0000"/>
      </colorScale>
    </cfRule>
    <cfRule type="colorScale" priority="4956">
      <colorScale>
        <cfvo type="min"/>
        <cfvo type="max"/>
        <color rgb="FFFF0000"/>
        <color rgb="FF92D050"/>
      </colorScale>
    </cfRule>
    <cfRule type="colorScale" priority="4957">
      <colorScale>
        <cfvo type="min"/>
        <cfvo type="percentile" val="50"/>
        <cfvo type="max"/>
        <color rgb="FF5A8AC6"/>
        <color rgb="FFFCFCFF"/>
        <color rgb="FFF8696B"/>
      </colorScale>
    </cfRule>
    <cfRule type="colorScale" priority="4958">
      <colorScale>
        <cfvo type="formula" val="&quot;&gt;20&quot;"/>
        <cfvo type="formula" val="35"/>
        <color rgb="FFF8696B"/>
        <color rgb="FFFCFCFF"/>
      </colorScale>
    </cfRule>
    <cfRule type="colorScale" priority="4959">
      <colorScale>
        <cfvo type="min"/>
        <cfvo type="max"/>
        <color rgb="FFFFEF9C"/>
        <color rgb="FF63BE7B"/>
      </colorScale>
    </cfRule>
  </conditionalFormatting>
  <conditionalFormatting sqref="S3232:S3248">
    <cfRule type="containsText" dxfId="2954" priority="4951" operator="containsText" text="Short Buildup">
      <formula>NOT(ISERROR(SEARCH("Short Buildup",S3232)))</formula>
    </cfRule>
    <cfRule type="containsText" dxfId="2953" priority="4952" operator="containsText" text="Long Liquidation">
      <formula>NOT(ISERROR(SEARCH("Long Liquidation",S3232)))</formula>
    </cfRule>
    <cfRule type="containsText" dxfId="2952" priority="4953" operator="containsText" text="Short covering">
      <formula>NOT(ISERROR(SEARCH("Short covering",S3232)))</formula>
    </cfRule>
    <cfRule type="containsText" dxfId="2951" priority="4954" operator="containsText" text="Long Buildup">
      <formula>NOT(ISERROR(SEARCH("Long Buildup",S3232)))</formula>
    </cfRule>
  </conditionalFormatting>
  <conditionalFormatting sqref="F3232:F3247">
    <cfRule type="dataBar" priority="4950">
      <dataBar>
        <cfvo type="min"/>
        <cfvo type="max"/>
        <color rgb="FFFF555A"/>
      </dataBar>
    </cfRule>
  </conditionalFormatting>
  <conditionalFormatting sqref="G3232:G3247">
    <cfRule type="dataBar" priority="4949">
      <dataBar>
        <cfvo type="min"/>
        <cfvo type="max"/>
        <color rgb="FFFF555A"/>
      </dataBar>
    </cfRule>
  </conditionalFormatting>
  <conditionalFormatting sqref="H3232">
    <cfRule type="dataBar" priority="4948">
      <dataBar>
        <cfvo type="min"/>
        <cfvo type="max"/>
        <color rgb="FFFF555A"/>
      </dataBar>
    </cfRule>
  </conditionalFormatting>
  <conditionalFormatting sqref="I3232">
    <cfRule type="dataBar" priority="4947">
      <dataBar>
        <cfvo type="min"/>
        <cfvo type="max"/>
        <color rgb="FFFF555A"/>
      </dataBar>
    </cfRule>
  </conditionalFormatting>
  <conditionalFormatting sqref="J3232">
    <cfRule type="dataBar" priority="4946">
      <dataBar>
        <cfvo type="min"/>
        <cfvo type="max"/>
        <color rgb="FFFF555A"/>
      </dataBar>
    </cfRule>
  </conditionalFormatting>
  <conditionalFormatting sqref="E3233:E3247">
    <cfRule type="dataBar" priority="4945">
      <dataBar>
        <cfvo type="min"/>
        <cfvo type="max"/>
        <color rgb="FFFF555A"/>
      </dataBar>
    </cfRule>
  </conditionalFormatting>
  <conditionalFormatting sqref="H3233:H3247">
    <cfRule type="dataBar" priority="4944">
      <dataBar>
        <cfvo type="min"/>
        <cfvo type="max"/>
        <color rgb="FFFF555A"/>
      </dataBar>
    </cfRule>
  </conditionalFormatting>
  <conditionalFormatting sqref="I3233:I3247">
    <cfRule type="dataBar" priority="4943">
      <dataBar>
        <cfvo type="min"/>
        <cfvo type="max"/>
        <color rgb="FFFF555A"/>
      </dataBar>
    </cfRule>
  </conditionalFormatting>
  <conditionalFormatting sqref="J3233:J3247">
    <cfRule type="dataBar" priority="4942">
      <dataBar>
        <cfvo type="min"/>
        <cfvo type="max"/>
        <color rgb="FFFF555A"/>
      </dataBar>
    </cfRule>
  </conditionalFormatting>
  <conditionalFormatting sqref="L3232:L3247">
    <cfRule type="dataBar" priority="4941">
      <dataBar>
        <cfvo type="min"/>
        <cfvo type="max"/>
        <color rgb="FFFF555A"/>
      </dataBar>
    </cfRule>
  </conditionalFormatting>
  <conditionalFormatting sqref="M3232:M3247">
    <cfRule type="dataBar" priority="4940">
      <dataBar>
        <cfvo type="min"/>
        <cfvo type="max"/>
        <color rgb="FFFF555A"/>
      </dataBar>
    </cfRule>
  </conditionalFormatting>
  <conditionalFormatting sqref="N3232:N3247">
    <cfRule type="dataBar" priority="4939">
      <dataBar>
        <cfvo type="min"/>
        <cfvo type="max"/>
        <color rgb="FFFF555A"/>
      </dataBar>
    </cfRule>
  </conditionalFormatting>
  <conditionalFormatting sqref="Q3232:Q3247">
    <cfRule type="dataBar" priority="4938">
      <dataBar>
        <cfvo type="min"/>
        <cfvo type="max"/>
        <color rgb="FFFF555A"/>
      </dataBar>
    </cfRule>
  </conditionalFormatting>
  <conditionalFormatting sqref="O3232:O3247">
    <cfRule type="dataBar" priority="4937">
      <dataBar>
        <cfvo type="min"/>
        <cfvo type="max"/>
        <color rgb="FFFF555A"/>
      </dataBar>
    </cfRule>
  </conditionalFormatting>
  <conditionalFormatting sqref="P3232:P3247">
    <cfRule type="dataBar" priority="4936">
      <dataBar>
        <cfvo type="min"/>
        <cfvo type="max"/>
        <color rgb="FFFF555A"/>
      </dataBar>
    </cfRule>
  </conditionalFormatting>
  <conditionalFormatting sqref="R3249:R3265 D3249:D3264 C3265">
    <cfRule type="containsText" dxfId="2950" priority="4935" operator="containsText" text="DOWN">
      <formula>NOT(ISERROR(SEARCH("DOWN",C3249)))</formula>
    </cfRule>
  </conditionalFormatting>
  <conditionalFormatting sqref="R3249:R3265 D3249:D3264 C3265">
    <cfRule type="containsText" dxfId="2949" priority="4934" operator="containsText" text="UP">
      <formula>NOT(ISERROR(SEARCH("UP",C3249)))</formula>
    </cfRule>
  </conditionalFormatting>
  <conditionalFormatting sqref="I3265">
    <cfRule type="colorScale" priority="4933">
      <colorScale>
        <cfvo type="min"/>
        <cfvo type="max"/>
        <color rgb="FFFFEF9C"/>
        <color rgb="FF63BE7B"/>
      </colorScale>
    </cfRule>
  </conditionalFormatting>
  <conditionalFormatting sqref="M3265">
    <cfRule type="colorScale" priority="4932">
      <colorScale>
        <cfvo type="min"/>
        <cfvo type="max"/>
        <color rgb="FFFF7128"/>
        <color rgb="FFFFEF9C"/>
      </colorScale>
    </cfRule>
  </conditionalFormatting>
  <conditionalFormatting sqref="Q3265">
    <cfRule type="dataBar" priority="4931">
      <dataBar>
        <cfvo type="min"/>
        <cfvo type="max"/>
        <color rgb="FFFF555A"/>
      </dataBar>
    </cfRule>
  </conditionalFormatting>
  <conditionalFormatting sqref="E3249:E3265">
    <cfRule type="dataBar" priority="4930">
      <dataBar>
        <cfvo type="min"/>
        <cfvo type="max"/>
        <color rgb="FFFF555A"/>
      </dataBar>
    </cfRule>
  </conditionalFormatting>
  <conditionalFormatting sqref="F3265">
    <cfRule type="top10" dxfId="2948" priority="4929" rank="1"/>
  </conditionalFormatting>
  <conditionalFormatting sqref="G3265 P3265">
    <cfRule type="cellIs" dxfId="2947" priority="4928" operator="equal">
      <formula>$G$135</formula>
    </cfRule>
  </conditionalFormatting>
  <conditionalFormatting sqref="P3265">
    <cfRule type="cellIs" dxfId="2946" priority="4927" operator="equal">
      <formula>$J$135</formula>
    </cfRule>
  </conditionalFormatting>
  <conditionalFormatting sqref="G3265 P3265">
    <cfRule type="cellIs" dxfId="2945" priority="4926" operator="equal">
      <formula>#REF!</formula>
    </cfRule>
  </conditionalFormatting>
  <conditionalFormatting sqref="G3265">
    <cfRule type="top10" dxfId="2944" priority="4924" rank="1"/>
    <cfRule type="cellIs" dxfId="2943" priority="4925" operator="equal">
      <formula>$G$133</formula>
    </cfRule>
  </conditionalFormatting>
  <conditionalFormatting sqref="P3265">
    <cfRule type="top10" dxfId="2942" priority="4922" rank="1"/>
    <cfRule type="cellIs" dxfId="2941" priority="4923" operator="equal">
      <formula>$G$133</formula>
    </cfRule>
  </conditionalFormatting>
  <conditionalFormatting sqref="C3249:C3264">
    <cfRule type="containsText" dxfId="2940" priority="4918" operator="containsText" text="Short Buildup">
      <formula>NOT(ISERROR(SEARCH("Short Buildup",C3249)))</formula>
    </cfRule>
    <cfRule type="containsText" dxfId="2939" priority="4919" operator="containsText" text="Long Liquidation">
      <formula>NOT(ISERROR(SEARCH("Long Liquidation",C3249)))</formula>
    </cfRule>
    <cfRule type="containsText" dxfId="2938" priority="4920" operator="containsText" text="Short covering">
      <formula>NOT(ISERROR(SEARCH("Short covering",C3249)))</formula>
    </cfRule>
    <cfRule type="containsText" dxfId="2937" priority="4921" operator="containsText" text="Long Buildup">
      <formula>NOT(ISERROR(SEARCH("Long Buildup",C3249)))</formula>
    </cfRule>
  </conditionalFormatting>
  <conditionalFormatting sqref="H3265">
    <cfRule type="colorScale" priority="4913">
      <colorScale>
        <cfvo type="min"/>
        <cfvo type="percentile" val="20"/>
        <cfvo type="max"/>
        <color rgb="FF92D050"/>
        <color theme="5" tint="0.79998168889431442"/>
        <color rgb="FFFF0000"/>
      </colorScale>
    </cfRule>
    <cfRule type="colorScale" priority="4914">
      <colorScale>
        <cfvo type="min"/>
        <cfvo type="max"/>
        <color rgb="FFFF0000"/>
        <color rgb="FF92D050"/>
      </colorScale>
    </cfRule>
    <cfRule type="colorScale" priority="4915">
      <colorScale>
        <cfvo type="min"/>
        <cfvo type="percentile" val="50"/>
        <cfvo type="max"/>
        <color rgb="FF5A8AC6"/>
        <color rgb="FFFCFCFF"/>
        <color rgb="FFF8696B"/>
      </colorScale>
    </cfRule>
    <cfRule type="colorScale" priority="4916">
      <colorScale>
        <cfvo type="formula" val="&quot;&gt;20&quot;"/>
        <cfvo type="formula" val="35"/>
        <color rgb="FFF8696B"/>
        <color rgb="FFFCFCFF"/>
      </colorScale>
    </cfRule>
    <cfRule type="colorScale" priority="4917">
      <colorScale>
        <cfvo type="min"/>
        <cfvo type="max"/>
        <color rgb="FFFFEF9C"/>
        <color rgb="FF63BE7B"/>
      </colorScale>
    </cfRule>
  </conditionalFormatting>
  <conditionalFormatting sqref="N3265">
    <cfRule type="colorScale" priority="4908">
      <colorScale>
        <cfvo type="min"/>
        <cfvo type="percentile" val="20"/>
        <cfvo type="max"/>
        <color rgb="FF92D050"/>
        <color theme="5" tint="0.79998168889431442"/>
        <color rgb="FFFF0000"/>
      </colorScale>
    </cfRule>
    <cfRule type="colorScale" priority="4909">
      <colorScale>
        <cfvo type="min"/>
        <cfvo type="max"/>
        <color rgb="FFFF0000"/>
        <color rgb="FF92D050"/>
      </colorScale>
    </cfRule>
    <cfRule type="colorScale" priority="4910">
      <colorScale>
        <cfvo type="min"/>
        <cfvo type="percentile" val="50"/>
        <cfvo type="max"/>
        <color rgb="FF5A8AC6"/>
        <color rgb="FFFCFCFF"/>
        <color rgb="FFF8696B"/>
      </colorScale>
    </cfRule>
    <cfRule type="colorScale" priority="4911">
      <colorScale>
        <cfvo type="formula" val="&quot;&gt;20&quot;"/>
        <cfvo type="formula" val="35"/>
        <color rgb="FFF8696B"/>
        <color rgb="FFFCFCFF"/>
      </colorScale>
    </cfRule>
    <cfRule type="colorScale" priority="4912">
      <colorScale>
        <cfvo type="min"/>
        <cfvo type="max"/>
        <color rgb="FFFFEF9C"/>
        <color rgb="FF63BE7B"/>
      </colorScale>
    </cfRule>
  </conditionalFormatting>
  <conditionalFormatting sqref="S3249:S3265">
    <cfRule type="containsText" dxfId="2936" priority="4904" operator="containsText" text="Short Buildup">
      <formula>NOT(ISERROR(SEARCH("Short Buildup",S3249)))</formula>
    </cfRule>
    <cfRule type="containsText" dxfId="2935" priority="4905" operator="containsText" text="Long Liquidation">
      <formula>NOT(ISERROR(SEARCH("Long Liquidation",S3249)))</formula>
    </cfRule>
    <cfRule type="containsText" dxfId="2934" priority="4906" operator="containsText" text="Short covering">
      <formula>NOT(ISERROR(SEARCH("Short covering",S3249)))</formula>
    </cfRule>
    <cfRule type="containsText" dxfId="2933" priority="4907" operator="containsText" text="Long Buildup">
      <formula>NOT(ISERROR(SEARCH("Long Buildup",S3249)))</formula>
    </cfRule>
  </conditionalFormatting>
  <conditionalFormatting sqref="F3249:F3264">
    <cfRule type="dataBar" priority="4903">
      <dataBar>
        <cfvo type="min"/>
        <cfvo type="max"/>
        <color rgb="FFFF555A"/>
      </dataBar>
    </cfRule>
  </conditionalFormatting>
  <conditionalFormatting sqref="G3249:G3264">
    <cfRule type="dataBar" priority="4902">
      <dataBar>
        <cfvo type="min"/>
        <cfvo type="max"/>
        <color rgb="FFFF555A"/>
      </dataBar>
    </cfRule>
  </conditionalFormatting>
  <conditionalFormatting sqref="H3249">
    <cfRule type="dataBar" priority="4901">
      <dataBar>
        <cfvo type="min"/>
        <cfvo type="max"/>
        <color rgb="FFFF555A"/>
      </dataBar>
    </cfRule>
  </conditionalFormatting>
  <conditionalFormatting sqref="I3249">
    <cfRule type="dataBar" priority="4900">
      <dataBar>
        <cfvo type="min"/>
        <cfvo type="max"/>
        <color rgb="FFFF555A"/>
      </dataBar>
    </cfRule>
  </conditionalFormatting>
  <conditionalFormatting sqref="J3249">
    <cfRule type="dataBar" priority="4899">
      <dataBar>
        <cfvo type="min"/>
        <cfvo type="max"/>
        <color rgb="FFFF555A"/>
      </dataBar>
    </cfRule>
  </conditionalFormatting>
  <conditionalFormatting sqref="E3250:E3264">
    <cfRule type="dataBar" priority="4898">
      <dataBar>
        <cfvo type="min"/>
        <cfvo type="max"/>
        <color rgb="FFFF555A"/>
      </dataBar>
    </cfRule>
  </conditionalFormatting>
  <conditionalFormatting sqref="H3250:H3264">
    <cfRule type="dataBar" priority="4897">
      <dataBar>
        <cfvo type="min"/>
        <cfvo type="max"/>
        <color rgb="FFFF555A"/>
      </dataBar>
    </cfRule>
  </conditionalFormatting>
  <conditionalFormatting sqref="I3250:I3264">
    <cfRule type="dataBar" priority="4896">
      <dataBar>
        <cfvo type="min"/>
        <cfvo type="max"/>
        <color rgb="FFFF555A"/>
      </dataBar>
    </cfRule>
  </conditionalFormatting>
  <conditionalFormatting sqref="J3250:J3264">
    <cfRule type="dataBar" priority="4895">
      <dataBar>
        <cfvo type="min"/>
        <cfvo type="max"/>
        <color rgb="FFFF555A"/>
      </dataBar>
    </cfRule>
  </conditionalFormatting>
  <conditionalFormatting sqref="L3249:L3264">
    <cfRule type="dataBar" priority="4894">
      <dataBar>
        <cfvo type="min"/>
        <cfvo type="max"/>
        <color rgb="FFFF555A"/>
      </dataBar>
    </cfRule>
  </conditionalFormatting>
  <conditionalFormatting sqref="M3249:M3264">
    <cfRule type="dataBar" priority="4893">
      <dataBar>
        <cfvo type="min"/>
        <cfvo type="max"/>
        <color rgb="FFFF555A"/>
      </dataBar>
    </cfRule>
  </conditionalFormatting>
  <conditionalFormatting sqref="N3249:N3264">
    <cfRule type="dataBar" priority="4892">
      <dataBar>
        <cfvo type="min"/>
        <cfvo type="max"/>
        <color rgb="FFFF555A"/>
      </dataBar>
    </cfRule>
  </conditionalFormatting>
  <conditionalFormatting sqref="Q3249:Q3264">
    <cfRule type="dataBar" priority="4891">
      <dataBar>
        <cfvo type="min"/>
        <cfvo type="max"/>
        <color rgb="FFFF555A"/>
      </dataBar>
    </cfRule>
  </conditionalFormatting>
  <conditionalFormatting sqref="O3249:O3264">
    <cfRule type="dataBar" priority="4890">
      <dataBar>
        <cfvo type="min"/>
        <cfvo type="max"/>
        <color rgb="FFFF555A"/>
      </dataBar>
    </cfRule>
  </conditionalFormatting>
  <conditionalFormatting sqref="P3249:P3264">
    <cfRule type="dataBar" priority="4889">
      <dataBar>
        <cfvo type="min"/>
        <cfvo type="max"/>
        <color rgb="FFFF555A"/>
      </dataBar>
    </cfRule>
  </conditionalFormatting>
  <conditionalFormatting sqref="R3266:R3282 D3266:D3281 C3282">
    <cfRule type="containsText" dxfId="2932" priority="4888" operator="containsText" text="DOWN">
      <formula>NOT(ISERROR(SEARCH("DOWN",C3266)))</formula>
    </cfRule>
  </conditionalFormatting>
  <conditionalFormatting sqref="R3266:R3282 D3266:D3281 C3282">
    <cfRule type="containsText" dxfId="2931" priority="4887" operator="containsText" text="UP">
      <formula>NOT(ISERROR(SEARCH("UP",C3266)))</formula>
    </cfRule>
  </conditionalFormatting>
  <conditionalFormatting sqref="I3282">
    <cfRule type="colorScale" priority="4886">
      <colorScale>
        <cfvo type="min"/>
        <cfvo type="max"/>
        <color rgb="FFFFEF9C"/>
        <color rgb="FF63BE7B"/>
      </colorScale>
    </cfRule>
  </conditionalFormatting>
  <conditionalFormatting sqref="M3282">
    <cfRule type="colorScale" priority="4885">
      <colorScale>
        <cfvo type="min"/>
        <cfvo type="max"/>
        <color rgb="FFFF7128"/>
        <color rgb="FFFFEF9C"/>
      </colorScale>
    </cfRule>
  </conditionalFormatting>
  <conditionalFormatting sqref="Q3282">
    <cfRule type="dataBar" priority="4884">
      <dataBar>
        <cfvo type="min"/>
        <cfvo type="max"/>
        <color rgb="FFFF555A"/>
      </dataBar>
    </cfRule>
  </conditionalFormatting>
  <conditionalFormatting sqref="E3266:E3282">
    <cfRule type="dataBar" priority="4883">
      <dataBar>
        <cfvo type="min"/>
        <cfvo type="max"/>
        <color rgb="FFFF555A"/>
      </dataBar>
    </cfRule>
  </conditionalFormatting>
  <conditionalFormatting sqref="F3282">
    <cfRule type="top10" dxfId="2930" priority="4882" rank="1"/>
  </conditionalFormatting>
  <conditionalFormatting sqref="G3282 P3282">
    <cfRule type="cellIs" dxfId="2929" priority="4881" operator="equal">
      <formula>$G$135</formula>
    </cfRule>
  </conditionalFormatting>
  <conditionalFormatting sqref="P3282">
    <cfRule type="cellIs" dxfId="2928" priority="4880" operator="equal">
      <formula>$J$135</formula>
    </cfRule>
  </conditionalFormatting>
  <conditionalFormatting sqref="G3282 P3282">
    <cfRule type="cellIs" dxfId="2927" priority="4879" operator="equal">
      <formula>#REF!</formula>
    </cfRule>
  </conditionalFormatting>
  <conditionalFormatting sqref="G3282">
    <cfRule type="top10" dxfId="2926" priority="4877" rank="1"/>
    <cfRule type="cellIs" dxfId="2925" priority="4878" operator="equal">
      <formula>$G$133</formula>
    </cfRule>
  </conditionalFormatting>
  <conditionalFormatting sqref="P3282">
    <cfRule type="top10" dxfId="2924" priority="4875" rank="1"/>
    <cfRule type="cellIs" dxfId="2923" priority="4876" operator="equal">
      <formula>$G$133</formula>
    </cfRule>
  </conditionalFormatting>
  <conditionalFormatting sqref="C3266:C3281">
    <cfRule type="containsText" dxfId="2922" priority="4871" operator="containsText" text="Short Buildup">
      <formula>NOT(ISERROR(SEARCH("Short Buildup",C3266)))</formula>
    </cfRule>
    <cfRule type="containsText" dxfId="2921" priority="4872" operator="containsText" text="Long Liquidation">
      <formula>NOT(ISERROR(SEARCH("Long Liquidation",C3266)))</formula>
    </cfRule>
    <cfRule type="containsText" dxfId="2920" priority="4873" operator="containsText" text="Short covering">
      <formula>NOT(ISERROR(SEARCH("Short covering",C3266)))</formula>
    </cfRule>
    <cfRule type="containsText" dxfId="2919" priority="4874" operator="containsText" text="Long Buildup">
      <formula>NOT(ISERROR(SEARCH("Long Buildup",C3266)))</formula>
    </cfRule>
  </conditionalFormatting>
  <conditionalFormatting sqref="H3282">
    <cfRule type="colorScale" priority="4866">
      <colorScale>
        <cfvo type="min"/>
        <cfvo type="percentile" val="20"/>
        <cfvo type="max"/>
        <color rgb="FF92D050"/>
        <color theme="5" tint="0.79998168889431442"/>
        <color rgb="FFFF0000"/>
      </colorScale>
    </cfRule>
    <cfRule type="colorScale" priority="4867">
      <colorScale>
        <cfvo type="min"/>
        <cfvo type="max"/>
        <color rgb="FFFF0000"/>
        <color rgb="FF92D050"/>
      </colorScale>
    </cfRule>
    <cfRule type="colorScale" priority="4868">
      <colorScale>
        <cfvo type="min"/>
        <cfvo type="percentile" val="50"/>
        <cfvo type="max"/>
        <color rgb="FF5A8AC6"/>
        <color rgb="FFFCFCFF"/>
        <color rgb="FFF8696B"/>
      </colorScale>
    </cfRule>
    <cfRule type="colorScale" priority="4869">
      <colorScale>
        <cfvo type="formula" val="&quot;&gt;20&quot;"/>
        <cfvo type="formula" val="35"/>
        <color rgb="FFF8696B"/>
        <color rgb="FFFCFCFF"/>
      </colorScale>
    </cfRule>
    <cfRule type="colorScale" priority="4870">
      <colorScale>
        <cfvo type="min"/>
        <cfvo type="max"/>
        <color rgb="FFFFEF9C"/>
        <color rgb="FF63BE7B"/>
      </colorScale>
    </cfRule>
  </conditionalFormatting>
  <conditionalFormatting sqref="N3282">
    <cfRule type="colorScale" priority="4861">
      <colorScale>
        <cfvo type="min"/>
        <cfvo type="percentile" val="20"/>
        <cfvo type="max"/>
        <color rgb="FF92D050"/>
        <color theme="5" tint="0.79998168889431442"/>
        <color rgb="FFFF0000"/>
      </colorScale>
    </cfRule>
    <cfRule type="colorScale" priority="4862">
      <colorScale>
        <cfvo type="min"/>
        <cfvo type="max"/>
        <color rgb="FFFF0000"/>
        <color rgb="FF92D050"/>
      </colorScale>
    </cfRule>
    <cfRule type="colorScale" priority="4863">
      <colorScale>
        <cfvo type="min"/>
        <cfvo type="percentile" val="50"/>
        <cfvo type="max"/>
        <color rgb="FF5A8AC6"/>
        <color rgb="FFFCFCFF"/>
        <color rgb="FFF8696B"/>
      </colorScale>
    </cfRule>
    <cfRule type="colorScale" priority="4864">
      <colorScale>
        <cfvo type="formula" val="&quot;&gt;20&quot;"/>
        <cfvo type="formula" val="35"/>
        <color rgb="FFF8696B"/>
        <color rgb="FFFCFCFF"/>
      </colorScale>
    </cfRule>
    <cfRule type="colorScale" priority="4865">
      <colorScale>
        <cfvo type="min"/>
        <cfvo type="max"/>
        <color rgb="FFFFEF9C"/>
        <color rgb="FF63BE7B"/>
      </colorScale>
    </cfRule>
  </conditionalFormatting>
  <conditionalFormatting sqref="S3266:S3282">
    <cfRule type="containsText" dxfId="2918" priority="4857" operator="containsText" text="Short Buildup">
      <formula>NOT(ISERROR(SEARCH("Short Buildup",S3266)))</formula>
    </cfRule>
    <cfRule type="containsText" dxfId="2917" priority="4858" operator="containsText" text="Long Liquidation">
      <formula>NOT(ISERROR(SEARCH("Long Liquidation",S3266)))</formula>
    </cfRule>
    <cfRule type="containsText" dxfId="2916" priority="4859" operator="containsText" text="Short covering">
      <formula>NOT(ISERROR(SEARCH("Short covering",S3266)))</formula>
    </cfRule>
    <cfRule type="containsText" dxfId="2915" priority="4860" operator="containsText" text="Long Buildup">
      <formula>NOT(ISERROR(SEARCH("Long Buildup",S3266)))</formula>
    </cfRule>
  </conditionalFormatting>
  <conditionalFormatting sqref="F3266:F3281">
    <cfRule type="dataBar" priority="4856">
      <dataBar>
        <cfvo type="min"/>
        <cfvo type="max"/>
        <color rgb="FFFF555A"/>
      </dataBar>
    </cfRule>
  </conditionalFormatting>
  <conditionalFormatting sqref="G3266:G3281">
    <cfRule type="dataBar" priority="4855">
      <dataBar>
        <cfvo type="min"/>
        <cfvo type="max"/>
        <color rgb="FFFF555A"/>
      </dataBar>
    </cfRule>
  </conditionalFormatting>
  <conditionalFormatting sqref="H3266">
    <cfRule type="dataBar" priority="4854">
      <dataBar>
        <cfvo type="min"/>
        <cfvo type="max"/>
        <color rgb="FFFF555A"/>
      </dataBar>
    </cfRule>
  </conditionalFormatting>
  <conditionalFormatting sqref="I3266">
    <cfRule type="dataBar" priority="4853">
      <dataBar>
        <cfvo type="min"/>
        <cfvo type="max"/>
        <color rgb="FFFF555A"/>
      </dataBar>
    </cfRule>
  </conditionalFormatting>
  <conditionalFormatting sqref="J3266">
    <cfRule type="dataBar" priority="4852">
      <dataBar>
        <cfvo type="min"/>
        <cfvo type="max"/>
        <color rgb="FFFF555A"/>
      </dataBar>
    </cfRule>
  </conditionalFormatting>
  <conditionalFormatting sqref="E3267:E3281">
    <cfRule type="dataBar" priority="4851">
      <dataBar>
        <cfvo type="min"/>
        <cfvo type="max"/>
        <color rgb="FFFF555A"/>
      </dataBar>
    </cfRule>
  </conditionalFormatting>
  <conditionalFormatting sqref="H3267:H3281">
    <cfRule type="dataBar" priority="4850">
      <dataBar>
        <cfvo type="min"/>
        <cfvo type="max"/>
        <color rgb="FFFF555A"/>
      </dataBar>
    </cfRule>
  </conditionalFormatting>
  <conditionalFormatting sqref="I3267:I3281">
    <cfRule type="dataBar" priority="4849">
      <dataBar>
        <cfvo type="min"/>
        <cfvo type="max"/>
        <color rgb="FFFF555A"/>
      </dataBar>
    </cfRule>
  </conditionalFormatting>
  <conditionalFormatting sqref="J3267:J3281">
    <cfRule type="dataBar" priority="4848">
      <dataBar>
        <cfvo type="min"/>
        <cfvo type="max"/>
        <color rgb="FFFF555A"/>
      </dataBar>
    </cfRule>
  </conditionalFormatting>
  <conditionalFormatting sqref="L3266:L3281">
    <cfRule type="dataBar" priority="4847">
      <dataBar>
        <cfvo type="min"/>
        <cfvo type="max"/>
        <color rgb="FFFF555A"/>
      </dataBar>
    </cfRule>
  </conditionalFormatting>
  <conditionalFormatting sqref="M3266:M3281">
    <cfRule type="dataBar" priority="4846">
      <dataBar>
        <cfvo type="min"/>
        <cfvo type="max"/>
        <color rgb="FFFF555A"/>
      </dataBar>
    </cfRule>
  </conditionalFormatting>
  <conditionalFormatting sqref="N3266:N3281">
    <cfRule type="dataBar" priority="4845">
      <dataBar>
        <cfvo type="min"/>
        <cfvo type="max"/>
        <color rgb="FFFF555A"/>
      </dataBar>
    </cfRule>
  </conditionalFormatting>
  <conditionalFormatting sqref="Q3266:Q3281">
    <cfRule type="dataBar" priority="4844">
      <dataBar>
        <cfvo type="min"/>
        <cfvo type="max"/>
        <color rgb="FFFF555A"/>
      </dataBar>
    </cfRule>
  </conditionalFormatting>
  <conditionalFormatting sqref="O3266:O3281">
    <cfRule type="dataBar" priority="4843">
      <dataBar>
        <cfvo type="min"/>
        <cfvo type="max"/>
        <color rgb="FFFF555A"/>
      </dataBar>
    </cfRule>
  </conditionalFormatting>
  <conditionalFormatting sqref="P3266:P3281">
    <cfRule type="dataBar" priority="4842">
      <dataBar>
        <cfvo type="min"/>
        <cfvo type="max"/>
        <color rgb="FFFF555A"/>
      </dataBar>
    </cfRule>
  </conditionalFormatting>
  <conditionalFormatting sqref="R3283:R3299 D3283:D3298 C3299">
    <cfRule type="containsText" dxfId="2914" priority="4841" operator="containsText" text="DOWN">
      <formula>NOT(ISERROR(SEARCH("DOWN",C3283)))</formula>
    </cfRule>
  </conditionalFormatting>
  <conditionalFormatting sqref="R3283:R3299 D3283:D3298 C3299">
    <cfRule type="containsText" dxfId="2913" priority="4840" operator="containsText" text="UP">
      <formula>NOT(ISERROR(SEARCH("UP",C3283)))</formula>
    </cfRule>
  </conditionalFormatting>
  <conditionalFormatting sqref="I3299">
    <cfRule type="colorScale" priority="4839">
      <colorScale>
        <cfvo type="min"/>
        <cfvo type="max"/>
        <color rgb="FFFFEF9C"/>
        <color rgb="FF63BE7B"/>
      </colorScale>
    </cfRule>
  </conditionalFormatting>
  <conditionalFormatting sqref="M3299">
    <cfRule type="colorScale" priority="4838">
      <colorScale>
        <cfvo type="min"/>
        <cfvo type="max"/>
        <color rgb="FFFF7128"/>
        <color rgb="FFFFEF9C"/>
      </colorScale>
    </cfRule>
  </conditionalFormatting>
  <conditionalFormatting sqref="Q3299">
    <cfRule type="dataBar" priority="4837">
      <dataBar>
        <cfvo type="min"/>
        <cfvo type="max"/>
        <color rgb="FFFF555A"/>
      </dataBar>
    </cfRule>
  </conditionalFormatting>
  <conditionalFormatting sqref="E3283:E3299">
    <cfRule type="dataBar" priority="4836">
      <dataBar>
        <cfvo type="min"/>
        <cfvo type="max"/>
        <color rgb="FFFF555A"/>
      </dataBar>
    </cfRule>
  </conditionalFormatting>
  <conditionalFormatting sqref="F3299">
    <cfRule type="top10" dxfId="2912" priority="4835" rank="1"/>
  </conditionalFormatting>
  <conditionalFormatting sqref="G3299 P3299">
    <cfRule type="cellIs" dxfId="2911" priority="4834" operator="equal">
      <formula>$G$135</formula>
    </cfRule>
  </conditionalFormatting>
  <conditionalFormatting sqref="P3299">
    <cfRule type="cellIs" dxfId="2910" priority="4833" operator="equal">
      <formula>$J$135</formula>
    </cfRule>
  </conditionalFormatting>
  <conditionalFormatting sqref="G3299 P3299">
    <cfRule type="cellIs" dxfId="2909" priority="4832" operator="equal">
      <formula>#REF!</formula>
    </cfRule>
  </conditionalFormatting>
  <conditionalFormatting sqref="G3299">
    <cfRule type="top10" dxfId="2908" priority="4830" rank="1"/>
    <cfRule type="cellIs" dxfId="2907" priority="4831" operator="equal">
      <formula>$G$133</formula>
    </cfRule>
  </conditionalFormatting>
  <conditionalFormatting sqref="P3299">
    <cfRule type="top10" dxfId="2906" priority="4828" rank="1"/>
    <cfRule type="cellIs" dxfId="2905" priority="4829" operator="equal">
      <formula>$G$133</formula>
    </cfRule>
  </conditionalFormatting>
  <conditionalFormatting sqref="C3283:C3298">
    <cfRule type="containsText" dxfId="2904" priority="4824" operator="containsText" text="Short Buildup">
      <formula>NOT(ISERROR(SEARCH("Short Buildup",C3283)))</formula>
    </cfRule>
    <cfRule type="containsText" dxfId="2903" priority="4825" operator="containsText" text="Long Liquidation">
      <formula>NOT(ISERROR(SEARCH("Long Liquidation",C3283)))</formula>
    </cfRule>
    <cfRule type="containsText" dxfId="2902" priority="4826" operator="containsText" text="Short covering">
      <formula>NOT(ISERROR(SEARCH("Short covering",C3283)))</formula>
    </cfRule>
    <cfRule type="containsText" dxfId="2901" priority="4827" operator="containsText" text="Long Buildup">
      <formula>NOT(ISERROR(SEARCH("Long Buildup",C3283)))</formula>
    </cfRule>
  </conditionalFormatting>
  <conditionalFormatting sqref="H3299">
    <cfRule type="colorScale" priority="4819">
      <colorScale>
        <cfvo type="min"/>
        <cfvo type="percentile" val="20"/>
        <cfvo type="max"/>
        <color rgb="FF92D050"/>
        <color theme="5" tint="0.79998168889431442"/>
        <color rgb="FFFF0000"/>
      </colorScale>
    </cfRule>
    <cfRule type="colorScale" priority="4820">
      <colorScale>
        <cfvo type="min"/>
        <cfvo type="max"/>
        <color rgb="FFFF0000"/>
        <color rgb="FF92D050"/>
      </colorScale>
    </cfRule>
    <cfRule type="colorScale" priority="4821">
      <colorScale>
        <cfvo type="min"/>
        <cfvo type="percentile" val="50"/>
        <cfvo type="max"/>
        <color rgb="FF5A8AC6"/>
        <color rgb="FFFCFCFF"/>
        <color rgb="FFF8696B"/>
      </colorScale>
    </cfRule>
    <cfRule type="colorScale" priority="4822">
      <colorScale>
        <cfvo type="formula" val="&quot;&gt;20&quot;"/>
        <cfvo type="formula" val="35"/>
        <color rgb="FFF8696B"/>
        <color rgb="FFFCFCFF"/>
      </colorScale>
    </cfRule>
    <cfRule type="colorScale" priority="4823">
      <colorScale>
        <cfvo type="min"/>
        <cfvo type="max"/>
        <color rgb="FFFFEF9C"/>
        <color rgb="FF63BE7B"/>
      </colorScale>
    </cfRule>
  </conditionalFormatting>
  <conditionalFormatting sqref="N3299">
    <cfRule type="colorScale" priority="4814">
      <colorScale>
        <cfvo type="min"/>
        <cfvo type="percentile" val="20"/>
        <cfvo type="max"/>
        <color rgb="FF92D050"/>
        <color theme="5" tint="0.79998168889431442"/>
        <color rgb="FFFF0000"/>
      </colorScale>
    </cfRule>
    <cfRule type="colorScale" priority="4815">
      <colorScale>
        <cfvo type="min"/>
        <cfvo type="max"/>
        <color rgb="FFFF0000"/>
        <color rgb="FF92D050"/>
      </colorScale>
    </cfRule>
    <cfRule type="colorScale" priority="4816">
      <colorScale>
        <cfvo type="min"/>
        <cfvo type="percentile" val="50"/>
        <cfvo type="max"/>
        <color rgb="FF5A8AC6"/>
        <color rgb="FFFCFCFF"/>
        <color rgb="FFF8696B"/>
      </colorScale>
    </cfRule>
    <cfRule type="colorScale" priority="4817">
      <colorScale>
        <cfvo type="formula" val="&quot;&gt;20&quot;"/>
        <cfvo type="formula" val="35"/>
        <color rgb="FFF8696B"/>
        <color rgb="FFFCFCFF"/>
      </colorScale>
    </cfRule>
    <cfRule type="colorScale" priority="4818">
      <colorScale>
        <cfvo type="min"/>
        <cfvo type="max"/>
        <color rgb="FFFFEF9C"/>
        <color rgb="FF63BE7B"/>
      </colorScale>
    </cfRule>
  </conditionalFormatting>
  <conditionalFormatting sqref="S3283:S3299">
    <cfRule type="containsText" dxfId="2900" priority="4810" operator="containsText" text="Short Buildup">
      <formula>NOT(ISERROR(SEARCH("Short Buildup",S3283)))</formula>
    </cfRule>
    <cfRule type="containsText" dxfId="2899" priority="4811" operator="containsText" text="Long Liquidation">
      <formula>NOT(ISERROR(SEARCH("Long Liquidation",S3283)))</formula>
    </cfRule>
    <cfRule type="containsText" dxfId="2898" priority="4812" operator="containsText" text="Short covering">
      <formula>NOT(ISERROR(SEARCH("Short covering",S3283)))</formula>
    </cfRule>
    <cfRule type="containsText" dxfId="2897" priority="4813" operator="containsText" text="Long Buildup">
      <formula>NOT(ISERROR(SEARCH("Long Buildup",S3283)))</formula>
    </cfRule>
  </conditionalFormatting>
  <conditionalFormatting sqref="F3283:F3298">
    <cfRule type="dataBar" priority="4809">
      <dataBar>
        <cfvo type="min"/>
        <cfvo type="max"/>
        <color rgb="FFFF555A"/>
      </dataBar>
    </cfRule>
  </conditionalFormatting>
  <conditionalFormatting sqref="G3283:G3298">
    <cfRule type="dataBar" priority="4808">
      <dataBar>
        <cfvo type="min"/>
        <cfvo type="max"/>
        <color rgb="FFFF555A"/>
      </dataBar>
    </cfRule>
  </conditionalFormatting>
  <conditionalFormatting sqref="H3283">
    <cfRule type="dataBar" priority="4807">
      <dataBar>
        <cfvo type="min"/>
        <cfvo type="max"/>
        <color rgb="FFFF555A"/>
      </dataBar>
    </cfRule>
  </conditionalFormatting>
  <conditionalFormatting sqref="I3283">
    <cfRule type="dataBar" priority="4806">
      <dataBar>
        <cfvo type="min"/>
        <cfvo type="max"/>
        <color rgb="FFFF555A"/>
      </dataBar>
    </cfRule>
  </conditionalFormatting>
  <conditionalFormatting sqref="J3283">
    <cfRule type="dataBar" priority="4805">
      <dataBar>
        <cfvo type="min"/>
        <cfvo type="max"/>
        <color rgb="FFFF555A"/>
      </dataBar>
    </cfRule>
  </conditionalFormatting>
  <conditionalFormatting sqref="E3284:E3298">
    <cfRule type="dataBar" priority="4804">
      <dataBar>
        <cfvo type="min"/>
        <cfvo type="max"/>
        <color rgb="FFFF555A"/>
      </dataBar>
    </cfRule>
  </conditionalFormatting>
  <conditionalFormatting sqref="H3284:H3298">
    <cfRule type="dataBar" priority="4803">
      <dataBar>
        <cfvo type="min"/>
        <cfvo type="max"/>
        <color rgb="FFFF555A"/>
      </dataBar>
    </cfRule>
  </conditionalFormatting>
  <conditionalFormatting sqref="I3284:I3298">
    <cfRule type="dataBar" priority="4802">
      <dataBar>
        <cfvo type="min"/>
        <cfvo type="max"/>
        <color rgb="FFFF555A"/>
      </dataBar>
    </cfRule>
  </conditionalFormatting>
  <conditionalFormatting sqref="J3284:J3298">
    <cfRule type="dataBar" priority="4801">
      <dataBar>
        <cfvo type="min"/>
        <cfvo type="max"/>
        <color rgb="FFFF555A"/>
      </dataBar>
    </cfRule>
  </conditionalFormatting>
  <conditionalFormatting sqref="L3283:L3298">
    <cfRule type="dataBar" priority="4800">
      <dataBar>
        <cfvo type="min"/>
        <cfvo type="max"/>
        <color rgb="FFFF555A"/>
      </dataBar>
    </cfRule>
  </conditionalFormatting>
  <conditionalFormatting sqref="M3283:M3298">
    <cfRule type="dataBar" priority="4799">
      <dataBar>
        <cfvo type="min"/>
        <cfvo type="max"/>
        <color rgb="FFFF555A"/>
      </dataBar>
    </cfRule>
  </conditionalFormatting>
  <conditionalFormatting sqref="N3283:N3298">
    <cfRule type="dataBar" priority="4798">
      <dataBar>
        <cfvo type="min"/>
        <cfvo type="max"/>
        <color rgb="FFFF555A"/>
      </dataBar>
    </cfRule>
  </conditionalFormatting>
  <conditionalFormatting sqref="Q3283:Q3298">
    <cfRule type="dataBar" priority="4797">
      <dataBar>
        <cfvo type="min"/>
        <cfvo type="max"/>
        <color rgb="FFFF555A"/>
      </dataBar>
    </cfRule>
  </conditionalFormatting>
  <conditionalFormatting sqref="O3283:O3298">
    <cfRule type="dataBar" priority="4796">
      <dataBar>
        <cfvo type="min"/>
        <cfvo type="max"/>
        <color rgb="FFFF555A"/>
      </dataBar>
    </cfRule>
  </conditionalFormatting>
  <conditionalFormatting sqref="P3283:P3298">
    <cfRule type="dataBar" priority="4795">
      <dataBar>
        <cfvo type="min"/>
        <cfvo type="max"/>
        <color rgb="FFFF555A"/>
      </dataBar>
    </cfRule>
  </conditionalFormatting>
  <conditionalFormatting sqref="R3300:R3316 D3300:D3315 C3316">
    <cfRule type="containsText" dxfId="2896" priority="4794" operator="containsText" text="DOWN">
      <formula>NOT(ISERROR(SEARCH("DOWN",C3300)))</formula>
    </cfRule>
  </conditionalFormatting>
  <conditionalFormatting sqref="R3300:R3316 D3300:D3315 C3316">
    <cfRule type="containsText" dxfId="2895" priority="4793" operator="containsText" text="UP">
      <formula>NOT(ISERROR(SEARCH("UP",C3300)))</formula>
    </cfRule>
  </conditionalFormatting>
  <conditionalFormatting sqref="I3316">
    <cfRule type="colorScale" priority="4792">
      <colorScale>
        <cfvo type="min"/>
        <cfvo type="max"/>
        <color rgb="FFFFEF9C"/>
        <color rgb="FF63BE7B"/>
      </colorScale>
    </cfRule>
  </conditionalFormatting>
  <conditionalFormatting sqref="M3316">
    <cfRule type="colorScale" priority="4791">
      <colorScale>
        <cfvo type="min"/>
        <cfvo type="max"/>
        <color rgb="FFFF7128"/>
        <color rgb="FFFFEF9C"/>
      </colorScale>
    </cfRule>
  </conditionalFormatting>
  <conditionalFormatting sqref="Q3316">
    <cfRule type="dataBar" priority="4790">
      <dataBar>
        <cfvo type="min"/>
        <cfvo type="max"/>
        <color rgb="FFFF555A"/>
      </dataBar>
    </cfRule>
  </conditionalFormatting>
  <conditionalFormatting sqref="E3300:E3316">
    <cfRule type="dataBar" priority="4789">
      <dataBar>
        <cfvo type="min"/>
        <cfvo type="max"/>
        <color rgb="FFFF555A"/>
      </dataBar>
    </cfRule>
  </conditionalFormatting>
  <conditionalFormatting sqref="F3316">
    <cfRule type="top10" dxfId="2894" priority="4788" rank="1"/>
  </conditionalFormatting>
  <conditionalFormatting sqref="G3316 P3316">
    <cfRule type="cellIs" dxfId="2893" priority="4787" operator="equal">
      <formula>$G$135</formula>
    </cfRule>
  </conditionalFormatting>
  <conditionalFormatting sqref="P3316">
    <cfRule type="cellIs" dxfId="2892" priority="4786" operator="equal">
      <formula>$J$135</formula>
    </cfRule>
  </conditionalFormatting>
  <conditionalFormatting sqref="G3316 P3316">
    <cfRule type="cellIs" dxfId="2891" priority="4785" operator="equal">
      <formula>#REF!</formula>
    </cfRule>
  </conditionalFormatting>
  <conditionalFormatting sqref="G3316">
    <cfRule type="top10" dxfId="2890" priority="4783" rank="1"/>
    <cfRule type="cellIs" dxfId="2889" priority="4784" operator="equal">
      <formula>$G$133</formula>
    </cfRule>
  </conditionalFormatting>
  <conditionalFormatting sqref="P3316">
    <cfRule type="top10" dxfId="2888" priority="4781" rank="1"/>
    <cfRule type="cellIs" dxfId="2887" priority="4782" operator="equal">
      <formula>$G$133</formula>
    </cfRule>
  </conditionalFormatting>
  <conditionalFormatting sqref="C3300:C3315">
    <cfRule type="containsText" dxfId="2886" priority="4777" operator="containsText" text="Short Buildup">
      <formula>NOT(ISERROR(SEARCH("Short Buildup",C3300)))</formula>
    </cfRule>
    <cfRule type="containsText" dxfId="2885" priority="4778" operator="containsText" text="Long Liquidation">
      <formula>NOT(ISERROR(SEARCH("Long Liquidation",C3300)))</formula>
    </cfRule>
    <cfRule type="containsText" dxfId="2884" priority="4779" operator="containsText" text="Short covering">
      <formula>NOT(ISERROR(SEARCH("Short covering",C3300)))</formula>
    </cfRule>
    <cfRule type="containsText" dxfId="2883" priority="4780" operator="containsText" text="Long Buildup">
      <formula>NOT(ISERROR(SEARCH("Long Buildup",C3300)))</formula>
    </cfRule>
  </conditionalFormatting>
  <conditionalFormatting sqref="H3316">
    <cfRule type="colorScale" priority="4772">
      <colorScale>
        <cfvo type="min"/>
        <cfvo type="percentile" val="20"/>
        <cfvo type="max"/>
        <color rgb="FF92D050"/>
        <color theme="5" tint="0.79998168889431442"/>
        <color rgb="FFFF0000"/>
      </colorScale>
    </cfRule>
    <cfRule type="colorScale" priority="4773">
      <colorScale>
        <cfvo type="min"/>
        <cfvo type="max"/>
        <color rgb="FFFF0000"/>
        <color rgb="FF92D050"/>
      </colorScale>
    </cfRule>
    <cfRule type="colorScale" priority="4774">
      <colorScale>
        <cfvo type="min"/>
        <cfvo type="percentile" val="50"/>
        <cfvo type="max"/>
        <color rgb="FF5A8AC6"/>
        <color rgb="FFFCFCFF"/>
        <color rgb="FFF8696B"/>
      </colorScale>
    </cfRule>
    <cfRule type="colorScale" priority="4775">
      <colorScale>
        <cfvo type="formula" val="&quot;&gt;20&quot;"/>
        <cfvo type="formula" val="35"/>
        <color rgb="FFF8696B"/>
        <color rgb="FFFCFCFF"/>
      </colorScale>
    </cfRule>
    <cfRule type="colorScale" priority="4776">
      <colorScale>
        <cfvo type="min"/>
        <cfvo type="max"/>
        <color rgb="FFFFEF9C"/>
        <color rgb="FF63BE7B"/>
      </colorScale>
    </cfRule>
  </conditionalFormatting>
  <conditionalFormatting sqref="N3316">
    <cfRule type="colorScale" priority="4767">
      <colorScale>
        <cfvo type="min"/>
        <cfvo type="percentile" val="20"/>
        <cfvo type="max"/>
        <color rgb="FF92D050"/>
        <color theme="5" tint="0.79998168889431442"/>
        <color rgb="FFFF0000"/>
      </colorScale>
    </cfRule>
    <cfRule type="colorScale" priority="4768">
      <colorScale>
        <cfvo type="min"/>
        <cfvo type="max"/>
        <color rgb="FFFF0000"/>
        <color rgb="FF92D050"/>
      </colorScale>
    </cfRule>
    <cfRule type="colorScale" priority="4769">
      <colorScale>
        <cfvo type="min"/>
        <cfvo type="percentile" val="50"/>
        <cfvo type="max"/>
        <color rgb="FF5A8AC6"/>
        <color rgb="FFFCFCFF"/>
        <color rgb="FFF8696B"/>
      </colorScale>
    </cfRule>
    <cfRule type="colorScale" priority="4770">
      <colorScale>
        <cfvo type="formula" val="&quot;&gt;20&quot;"/>
        <cfvo type="formula" val="35"/>
        <color rgb="FFF8696B"/>
        <color rgb="FFFCFCFF"/>
      </colorScale>
    </cfRule>
    <cfRule type="colorScale" priority="4771">
      <colorScale>
        <cfvo type="min"/>
        <cfvo type="max"/>
        <color rgb="FFFFEF9C"/>
        <color rgb="FF63BE7B"/>
      </colorScale>
    </cfRule>
  </conditionalFormatting>
  <conditionalFormatting sqref="S3300:S3316">
    <cfRule type="containsText" dxfId="2882" priority="4763" operator="containsText" text="Short Buildup">
      <formula>NOT(ISERROR(SEARCH("Short Buildup",S3300)))</formula>
    </cfRule>
    <cfRule type="containsText" dxfId="2881" priority="4764" operator="containsText" text="Long Liquidation">
      <formula>NOT(ISERROR(SEARCH("Long Liquidation",S3300)))</formula>
    </cfRule>
    <cfRule type="containsText" dxfId="2880" priority="4765" operator="containsText" text="Short covering">
      <formula>NOT(ISERROR(SEARCH("Short covering",S3300)))</formula>
    </cfRule>
    <cfRule type="containsText" dxfId="2879" priority="4766" operator="containsText" text="Long Buildup">
      <formula>NOT(ISERROR(SEARCH("Long Buildup",S3300)))</formula>
    </cfRule>
  </conditionalFormatting>
  <conditionalFormatting sqref="F3300:F3315">
    <cfRule type="dataBar" priority="4762">
      <dataBar>
        <cfvo type="min"/>
        <cfvo type="max"/>
        <color rgb="FFFF555A"/>
      </dataBar>
    </cfRule>
  </conditionalFormatting>
  <conditionalFormatting sqref="G3300:G3315">
    <cfRule type="dataBar" priority="4761">
      <dataBar>
        <cfvo type="min"/>
        <cfvo type="max"/>
        <color rgb="FFFF555A"/>
      </dataBar>
    </cfRule>
  </conditionalFormatting>
  <conditionalFormatting sqref="H3300">
    <cfRule type="dataBar" priority="4760">
      <dataBar>
        <cfvo type="min"/>
        <cfvo type="max"/>
        <color rgb="FFFF555A"/>
      </dataBar>
    </cfRule>
  </conditionalFormatting>
  <conditionalFormatting sqref="I3300">
    <cfRule type="dataBar" priority="4759">
      <dataBar>
        <cfvo type="min"/>
        <cfvo type="max"/>
        <color rgb="FFFF555A"/>
      </dataBar>
    </cfRule>
  </conditionalFormatting>
  <conditionalFormatting sqref="J3300">
    <cfRule type="dataBar" priority="4758">
      <dataBar>
        <cfvo type="min"/>
        <cfvo type="max"/>
        <color rgb="FFFF555A"/>
      </dataBar>
    </cfRule>
  </conditionalFormatting>
  <conditionalFormatting sqref="E3301:E3315">
    <cfRule type="dataBar" priority="4757">
      <dataBar>
        <cfvo type="min"/>
        <cfvo type="max"/>
        <color rgb="FFFF555A"/>
      </dataBar>
    </cfRule>
  </conditionalFormatting>
  <conditionalFormatting sqref="H3301:H3315">
    <cfRule type="dataBar" priority="4756">
      <dataBar>
        <cfvo type="min"/>
        <cfvo type="max"/>
        <color rgb="FFFF555A"/>
      </dataBar>
    </cfRule>
  </conditionalFormatting>
  <conditionalFormatting sqref="I3301:I3315">
    <cfRule type="dataBar" priority="4755">
      <dataBar>
        <cfvo type="min"/>
        <cfvo type="max"/>
        <color rgb="FFFF555A"/>
      </dataBar>
    </cfRule>
  </conditionalFormatting>
  <conditionalFormatting sqref="J3301:J3315">
    <cfRule type="dataBar" priority="4754">
      <dataBar>
        <cfvo type="min"/>
        <cfvo type="max"/>
        <color rgb="FFFF555A"/>
      </dataBar>
    </cfRule>
  </conditionalFormatting>
  <conditionalFormatting sqref="L3300:L3315">
    <cfRule type="dataBar" priority="4753">
      <dataBar>
        <cfvo type="min"/>
        <cfvo type="max"/>
        <color rgb="FFFF555A"/>
      </dataBar>
    </cfRule>
  </conditionalFormatting>
  <conditionalFormatting sqref="M3300:M3315">
    <cfRule type="dataBar" priority="4752">
      <dataBar>
        <cfvo type="min"/>
        <cfvo type="max"/>
        <color rgb="FFFF555A"/>
      </dataBar>
    </cfRule>
  </conditionalFormatting>
  <conditionalFormatting sqref="N3300:N3315">
    <cfRule type="dataBar" priority="4751">
      <dataBar>
        <cfvo type="min"/>
        <cfvo type="max"/>
        <color rgb="FFFF555A"/>
      </dataBar>
    </cfRule>
  </conditionalFormatting>
  <conditionalFormatting sqref="Q3300:Q3315">
    <cfRule type="dataBar" priority="4750">
      <dataBar>
        <cfvo type="min"/>
        <cfvo type="max"/>
        <color rgb="FFFF555A"/>
      </dataBar>
    </cfRule>
  </conditionalFormatting>
  <conditionalFormatting sqref="O3300:O3315">
    <cfRule type="dataBar" priority="4749">
      <dataBar>
        <cfvo type="min"/>
        <cfvo type="max"/>
        <color rgb="FFFF555A"/>
      </dataBar>
    </cfRule>
  </conditionalFormatting>
  <conditionalFormatting sqref="P3300:P3315">
    <cfRule type="dataBar" priority="4748">
      <dataBar>
        <cfvo type="min"/>
        <cfvo type="max"/>
        <color rgb="FFFF555A"/>
      </dataBar>
    </cfRule>
  </conditionalFormatting>
  <conditionalFormatting sqref="R3317:R3333 D3317:D3332 C3333">
    <cfRule type="containsText" dxfId="2878" priority="4747" operator="containsText" text="DOWN">
      <formula>NOT(ISERROR(SEARCH("DOWN",C3317)))</formula>
    </cfRule>
  </conditionalFormatting>
  <conditionalFormatting sqref="R3317:R3333 D3317:D3332 C3333">
    <cfRule type="containsText" dxfId="2877" priority="4746" operator="containsText" text="UP">
      <formula>NOT(ISERROR(SEARCH("UP",C3317)))</formula>
    </cfRule>
  </conditionalFormatting>
  <conditionalFormatting sqref="I3333">
    <cfRule type="colorScale" priority="4745">
      <colorScale>
        <cfvo type="min"/>
        <cfvo type="max"/>
        <color rgb="FFFFEF9C"/>
        <color rgb="FF63BE7B"/>
      </colorScale>
    </cfRule>
  </conditionalFormatting>
  <conditionalFormatting sqref="M3333">
    <cfRule type="colorScale" priority="4744">
      <colorScale>
        <cfvo type="min"/>
        <cfvo type="max"/>
        <color rgb="FFFF7128"/>
        <color rgb="FFFFEF9C"/>
      </colorScale>
    </cfRule>
  </conditionalFormatting>
  <conditionalFormatting sqref="Q3333">
    <cfRule type="dataBar" priority="4743">
      <dataBar>
        <cfvo type="min"/>
        <cfvo type="max"/>
        <color rgb="FFFF555A"/>
      </dataBar>
    </cfRule>
  </conditionalFormatting>
  <conditionalFormatting sqref="E3317:E3333">
    <cfRule type="dataBar" priority="4742">
      <dataBar>
        <cfvo type="min"/>
        <cfvo type="max"/>
        <color rgb="FFFF555A"/>
      </dataBar>
    </cfRule>
  </conditionalFormatting>
  <conditionalFormatting sqref="F3333">
    <cfRule type="top10" dxfId="2876" priority="4741" rank="1"/>
  </conditionalFormatting>
  <conditionalFormatting sqref="G3333 P3333">
    <cfRule type="cellIs" dxfId="2875" priority="4740" operator="equal">
      <formula>$G$135</formula>
    </cfRule>
  </conditionalFormatting>
  <conditionalFormatting sqref="P3333">
    <cfRule type="cellIs" dxfId="2874" priority="4739" operator="equal">
      <formula>$J$135</formula>
    </cfRule>
  </conditionalFormatting>
  <conditionalFormatting sqref="G3333 P3333">
    <cfRule type="cellIs" dxfId="2873" priority="4738" operator="equal">
      <formula>#REF!</formula>
    </cfRule>
  </conditionalFormatting>
  <conditionalFormatting sqref="G3333">
    <cfRule type="top10" dxfId="2872" priority="4736" rank="1"/>
    <cfRule type="cellIs" dxfId="2871" priority="4737" operator="equal">
      <formula>$G$133</formula>
    </cfRule>
  </conditionalFormatting>
  <conditionalFormatting sqref="P3333">
    <cfRule type="top10" dxfId="2870" priority="4734" rank="1"/>
    <cfRule type="cellIs" dxfId="2869" priority="4735" operator="equal">
      <formula>$G$133</formula>
    </cfRule>
  </conditionalFormatting>
  <conditionalFormatting sqref="C3317:C3332">
    <cfRule type="containsText" dxfId="2868" priority="4730" operator="containsText" text="Short Buildup">
      <formula>NOT(ISERROR(SEARCH("Short Buildup",C3317)))</formula>
    </cfRule>
    <cfRule type="containsText" dxfId="2867" priority="4731" operator="containsText" text="Long Liquidation">
      <formula>NOT(ISERROR(SEARCH("Long Liquidation",C3317)))</formula>
    </cfRule>
    <cfRule type="containsText" dxfId="2866" priority="4732" operator="containsText" text="Short covering">
      <formula>NOT(ISERROR(SEARCH("Short covering",C3317)))</formula>
    </cfRule>
    <cfRule type="containsText" dxfId="2865" priority="4733" operator="containsText" text="Long Buildup">
      <formula>NOT(ISERROR(SEARCH("Long Buildup",C3317)))</formula>
    </cfRule>
  </conditionalFormatting>
  <conditionalFormatting sqref="H3333">
    <cfRule type="colorScale" priority="4725">
      <colorScale>
        <cfvo type="min"/>
        <cfvo type="percentile" val="20"/>
        <cfvo type="max"/>
        <color rgb="FF92D050"/>
        <color theme="5" tint="0.79998168889431442"/>
        <color rgb="FFFF0000"/>
      </colorScale>
    </cfRule>
    <cfRule type="colorScale" priority="4726">
      <colorScale>
        <cfvo type="min"/>
        <cfvo type="max"/>
        <color rgb="FFFF0000"/>
        <color rgb="FF92D050"/>
      </colorScale>
    </cfRule>
    <cfRule type="colorScale" priority="4727">
      <colorScale>
        <cfvo type="min"/>
        <cfvo type="percentile" val="50"/>
        <cfvo type="max"/>
        <color rgb="FF5A8AC6"/>
        <color rgb="FFFCFCFF"/>
        <color rgb="FFF8696B"/>
      </colorScale>
    </cfRule>
    <cfRule type="colorScale" priority="4728">
      <colorScale>
        <cfvo type="formula" val="&quot;&gt;20&quot;"/>
        <cfvo type="formula" val="35"/>
        <color rgb="FFF8696B"/>
        <color rgb="FFFCFCFF"/>
      </colorScale>
    </cfRule>
    <cfRule type="colorScale" priority="4729">
      <colorScale>
        <cfvo type="min"/>
        <cfvo type="max"/>
        <color rgb="FFFFEF9C"/>
        <color rgb="FF63BE7B"/>
      </colorScale>
    </cfRule>
  </conditionalFormatting>
  <conditionalFormatting sqref="N3333">
    <cfRule type="colorScale" priority="4720">
      <colorScale>
        <cfvo type="min"/>
        <cfvo type="percentile" val="20"/>
        <cfvo type="max"/>
        <color rgb="FF92D050"/>
        <color theme="5" tint="0.79998168889431442"/>
        <color rgb="FFFF0000"/>
      </colorScale>
    </cfRule>
    <cfRule type="colorScale" priority="4721">
      <colorScale>
        <cfvo type="min"/>
        <cfvo type="max"/>
        <color rgb="FFFF0000"/>
        <color rgb="FF92D050"/>
      </colorScale>
    </cfRule>
    <cfRule type="colorScale" priority="4722">
      <colorScale>
        <cfvo type="min"/>
        <cfvo type="percentile" val="50"/>
        <cfvo type="max"/>
        <color rgb="FF5A8AC6"/>
        <color rgb="FFFCFCFF"/>
        <color rgb="FFF8696B"/>
      </colorScale>
    </cfRule>
    <cfRule type="colorScale" priority="4723">
      <colorScale>
        <cfvo type="formula" val="&quot;&gt;20&quot;"/>
        <cfvo type="formula" val="35"/>
        <color rgb="FFF8696B"/>
        <color rgb="FFFCFCFF"/>
      </colorScale>
    </cfRule>
    <cfRule type="colorScale" priority="4724">
      <colorScale>
        <cfvo type="min"/>
        <cfvo type="max"/>
        <color rgb="FFFFEF9C"/>
        <color rgb="FF63BE7B"/>
      </colorScale>
    </cfRule>
  </conditionalFormatting>
  <conditionalFormatting sqref="S3317:S3333">
    <cfRule type="containsText" dxfId="2864" priority="4716" operator="containsText" text="Short Buildup">
      <formula>NOT(ISERROR(SEARCH("Short Buildup",S3317)))</formula>
    </cfRule>
    <cfRule type="containsText" dxfId="2863" priority="4717" operator="containsText" text="Long Liquidation">
      <formula>NOT(ISERROR(SEARCH("Long Liquidation",S3317)))</formula>
    </cfRule>
    <cfRule type="containsText" dxfId="2862" priority="4718" operator="containsText" text="Short covering">
      <formula>NOT(ISERROR(SEARCH("Short covering",S3317)))</formula>
    </cfRule>
    <cfRule type="containsText" dxfId="2861" priority="4719" operator="containsText" text="Long Buildup">
      <formula>NOT(ISERROR(SEARCH("Long Buildup",S3317)))</formula>
    </cfRule>
  </conditionalFormatting>
  <conditionalFormatting sqref="F3317:F3332">
    <cfRule type="dataBar" priority="4715">
      <dataBar>
        <cfvo type="min"/>
        <cfvo type="max"/>
        <color rgb="FFFF555A"/>
      </dataBar>
    </cfRule>
  </conditionalFormatting>
  <conditionalFormatting sqref="G3317:G3332">
    <cfRule type="dataBar" priority="4714">
      <dataBar>
        <cfvo type="min"/>
        <cfvo type="max"/>
        <color rgb="FFFF555A"/>
      </dataBar>
    </cfRule>
  </conditionalFormatting>
  <conditionalFormatting sqref="H3317">
    <cfRule type="dataBar" priority="4713">
      <dataBar>
        <cfvo type="min"/>
        <cfvo type="max"/>
        <color rgb="FFFF555A"/>
      </dataBar>
    </cfRule>
  </conditionalFormatting>
  <conditionalFormatting sqref="I3317">
    <cfRule type="dataBar" priority="4712">
      <dataBar>
        <cfvo type="min"/>
        <cfvo type="max"/>
        <color rgb="FFFF555A"/>
      </dataBar>
    </cfRule>
  </conditionalFormatting>
  <conditionalFormatting sqref="J3317">
    <cfRule type="dataBar" priority="4711">
      <dataBar>
        <cfvo type="min"/>
        <cfvo type="max"/>
        <color rgb="FFFF555A"/>
      </dataBar>
    </cfRule>
  </conditionalFormatting>
  <conditionalFormatting sqref="E3318:E3332">
    <cfRule type="dataBar" priority="4710">
      <dataBar>
        <cfvo type="min"/>
        <cfvo type="max"/>
        <color rgb="FFFF555A"/>
      </dataBar>
    </cfRule>
  </conditionalFormatting>
  <conditionalFormatting sqref="H3318:H3332">
    <cfRule type="dataBar" priority="4709">
      <dataBar>
        <cfvo type="min"/>
        <cfvo type="max"/>
        <color rgb="FFFF555A"/>
      </dataBar>
    </cfRule>
  </conditionalFormatting>
  <conditionalFormatting sqref="I3318:I3332">
    <cfRule type="dataBar" priority="4708">
      <dataBar>
        <cfvo type="min"/>
        <cfvo type="max"/>
        <color rgb="FFFF555A"/>
      </dataBar>
    </cfRule>
  </conditionalFormatting>
  <conditionalFormatting sqref="J3318:J3332">
    <cfRule type="dataBar" priority="4707">
      <dataBar>
        <cfvo type="min"/>
        <cfvo type="max"/>
        <color rgb="FFFF555A"/>
      </dataBar>
    </cfRule>
  </conditionalFormatting>
  <conditionalFormatting sqref="L3317:L3332">
    <cfRule type="dataBar" priority="4706">
      <dataBar>
        <cfvo type="min"/>
        <cfvo type="max"/>
        <color rgb="FFFF555A"/>
      </dataBar>
    </cfRule>
  </conditionalFormatting>
  <conditionalFormatting sqref="M3317:M3332">
    <cfRule type="dataBar" priority="4705">
      <dataBar>
        <cfvo type="min"/>
        <cfvo type="max"/>
        <color rgb="FFFF555A"/>
      </dataBar>
    </cfRule>
  </conditionalFormatting>
  <conditionalFormatting sqref="N3317:N3332">
    <cfRule type="dataBar" priority="4704">
      <dataBar>
        <cfvo type="min"/>
        <cfvo type="max"/>
        <color rgb="FFFF555A"/>
      </dataBar>
    </cfRule>
  </conditionalFormatting>
  <conditionalFormatting sqref="Q3317:Q3332">
    <cfRule type="dataBar" priority="4703">
      <dataBar>
        <cfvo type="min"/>
        <cfvo type="max"/>
        <color rgb="FFFF555A"/>
      </dataBar>
    </cfRule>
  </conditionalFormatting>
  <conditionalFormatting sqref="O3317:O3332">
    <cfRule type="dataBar" priority="4702">
      <dataBar>
        <cfvo type="min"/>
        <cfvo type="max"/>
        <color rgb="FFFF555A"/>
      </dataBar>
    </cfRule>
  </conditionalFormatting>
  <conditionalFormatting sqref="P3317:P3332">
    <cfRule type="dataBar" priority="4701">
      <dataBar>
        <cfvo type="min"/>
        <cfvo type="max"/>
        <color rgb="FFFF555A"/>
      </dataBar>
    </cfRule>
  </conditionalFormatting>
  <conditionalFormatting sqref="R3334:R3350 D3334:D3349 C3350">
    <cfRule type="containsText" dxfId="2860" priority="4700" operator="containsText" text="DOWN">
      <formula>NOT(ISERROR(SEARCH("DOWN",C3334)))</formula>
    </cfRule>
  </conditionalFormatting>
  <conditionalFormatting sqref="R3334:R3350 D3334:D3349 C3350">
    <cfRule type="containsText" dxfId="2859" priority="4699" operator="containsText" text="UP">
      <formula>NOT(ISERROR(SEARCH("UP",C3334)))</formula>
    </cfRule>
  </conditionalFormatting>
  <conditionalFormatting sqref="I3350">
    <cfRule type="colorScale" priority="4698">
      <colorScale>
        <cfvo type="min"/>
        <cfvo type="max"/>
        <color rgb="FFFFEF9C"/>
        <color rgb="FF63BE7B"/>
      </colorScale>
    </cfRule>
  </conditionalFormatting>
  <conditionalFormatting sqref="M3350">
    <cfRule type="colorScale" priority="4697">
      <colorScale>
        <cfvo type="min"/>
        <cfvo type="max"/>
        <color rgb="FFFF7128"/>
        <color rgb="FFFFEF9C"/>
      </colorScale>
    </cfRule>
  </conditionalFormatting>
  <conditionalFormatting sqref="Q3350">
    <cfRule type="dataBar" priority="4696">
      <dataBar>
        <cfvo type="min"/>
        <cfvo type="max"/>
        <color rgb="FFFF555A"/>
      </dataBar>
    </cfRule>
  </conditionalFormatting>
  <conditionalFormatting sqref="E3334:E3350">
    <cfRule type="dataBar" priority="4695">
      <dataBar>
        <cfvo type="min"/>
        <cfvo type="max"/>
        <color rgb="FFFF555A"/>
      </dataBar>
    </cfRule>
  </conditionalFormatting>
  <conditionalFormatting sqref="F3350">
    <cfRule type="top10" dxfId="2858" priority="4694" rank="1"/>
  </conditionalFormatting>
  <conditionalFormatting sqref="G3350 P3350">
    <cfRule type="cellIs" dxfId="2857" priority="4693" operator="equal">
      <formula>$G$135</formula>
    </cfRule>
  </conditionalFormatting>
  <conditionalFormatting sqref="P3350">
    <cfRule type="cellIs" dxfId="2856" priority="4692" operator="equal">
      <formula>$J$135</formula>
    </cfRule>
  </conditionalFormatting>
  <conditionalFormatting sqref="G3350 P3350">
    <cfRule type="cellIs" dxfId="2855" priority="4691" operator="equal">
      <formula>#REF!</formula>
    </cfRule>
  </conditionalFormatting>
  <conditionalFormatting sqref="G3350">
    <cfRule type="top10" dxfId="2854" priority="4689" rank="1"/>
    <cfRule type="cellIs" dxfId="2853" priority="4690" operator="equal">
      <formula>$G$133</formula>
    </cfRule>
  </conditionalFormatting>
  <conditionalFormatting sqref="P3350">
    <cfRule type="top10" dxfId="2852" priority="4687" rank="1"/>
    <cfRule type="cellIs" dxfId="2851" priority="4688" operator="equal">
      <formula>$G$133</formula>
    </cfRule>
  </conditionalFormatting>
  <conditionalFormatting sqref="C3334:C3349">
    <cfRule type="containsText" dxfId="2850" priority="4683" operator="containsText" text="Short Buildup">
      <formula>NOT(ISERROR(SEARCH("Short Buildup",C3334)))</formula>
    </cfRule>
    <cfRule type="containsText" dxfId="2849" priority="4684" operator="containsText" text="Long Liquidation">
      <formula>NOT(ISERROR(SEARCH("Long Liquidation",C3334)))</formula>
    </cfRule>
    <cfRule type="containsText" dxfId="2848" priority="4685" operator="containsText" text="Short covering">
      <formula>NOT(ISERROR(SEARCH("Short covering",C3334)))</formula>
    </cfRule>
    <cfRule type="containsText" dxfId="2847" priority="4686" operator="containsText" text="Long Buildup">
      <formula>NOT(ISERROR(SEARCH("Long Buildup",C3334)))</formula>
    </cfRule>
  </conditionalFormatting>
  <conditionalFormatting sqref="H3350">
    <cfRule type="colorScale" priority="4678">
      <colorScale>
        <cfvo type="min"/>
        <cfvo type="percentile" val="20"/>
        <cfvo type="max"/>
        <color rgb="FF92D050"/>
        <color theme="5" tint="0.79998168889431442"/>
        <color rgb="FFFF0000"/>
      </colorScale>
    </cfRule>
    <cfRule type="colorScale" priority="4679">
      <colorScale>
        <cfvo type="min"/>
        <cfvo type="max"/>
        <color rgb="FFFF0000"/>
        <color rgb="FF92D050"/>
      </colorScale>
    </cfRule>
    <cfRule type="colorScale" priority="4680">
      <colorScale>
        <cfvo type="min"/>
        <cfvo type="percentile" val="50"/>
        <cfvo type="max"/>
        <color rgb="FF5A8AC6"/>
        <color rgb="FFFCFCFF"/>
        <color rgb="FFF8696B"/>
      </colorScale>
    </cfRule>
    <cfRule type="colorScale" priority="4681">
      <colorScale>
        <cfvo type="formula" val="&quot;&gt;20&quot;"/>
        <cfvo type="formula" val="35"/>
        <color rgb="FFF8696B"/>
        <color rgb="FFFCFCFF"/>
      </colorScale>
    </cfRule>
    <cfRule type="colorScale" priority="4682">
      <colorScale>
        <cfvo type="min"/>
        <cfvo type="max"/>
        <color rgb="FFFFEF9C"/>
        <color rgb="FF63BE7B"/>
      </colorScale>
    </cfRule>
  </conditionalFormatting>
  <conditionalFormatting sqref="N3350">
    <cfRule type="colorScale" priority="4673">
      <colorScale>
        <cfvo type="min"/>
        <cfvo type="percentile" val="20"/>
        <cfvo type="max"/>
        <color rgb="FF92D050"/>
        <color theme="5" tint="0.79998168889431442"/>
        <color rgb="FFFF0000"/>
      </colorScale>
    </cfRule>
    <cfRule type="colorScale" priority="4674">
      <colorScale>
        <cfvo type="min"/>
        <cfvo type="max"/>
        <color rgb="FFFF0000"/>
        <color rgb="FF92D050"/>
      </colorScale>
    </cfRule>
    <cfRule type="colorScale" priority="4675">
      <colorScale>
        <cfvo type="min"/>
        <cfvo type="percentile" val="50"/>
        <cfvo type="max"/>
        <color rgb="FF5A8AC6"/>
        <color rgb="FFFCFCFF"/>
        <color rgb="FFF8696B"/>
      </colorScale>
    </cfRule>
    <cfRule type="colorScale" priority="4676">
      <colorScale>
        <cfvo type="formula" val="&quot;&gt;20&quot;"/>
        <cfvo type="formula" val="35"/>
        <color rgb="FFF8696B"/>
        <color rgb="FFFCFCFF"/>
      </colorScale>
    </cfRule>
    <cfRule type="colorScale" priority="4677">
      <colorScale>
        <cfvo type="min"/>
        <cfvo type="max"/>
        <color rgb="FFFFEF9C"/>
        <color rgb="FF63BE7B"/>
      </colorScale>
    </cfRule>
  </conditionalFormatting>
  <conditionalFormatting sqref="S3334:S3350">
    <cfRule type="containsText" dxfId="2846" priority="4669" operator="containsText" text="Short Buildup">
      <formula>NOT(ISERROR(SEARCH("Short Buildup",S3334)))</formula>
    </cfRule>
    <cfRule type="containsText" dxfId="2845" priority="4670" operator="containsText" text="Long Liquidation">
      <formula>NOT(ISERROR(SEARCH("Long Liquidation",S3334)))</formula>
    </cfRule>
    <cfRule type="containsText" dxfId="2844" priority="4671" operator="containsText" text="Short covering">
      <formula>NOT(ISERROR(SEARCH("Short covering",S3334)))</formula>
    </cfRule>
    <cfRule type="containsText" dxfId="2843" priority="4672" operator="containsText" text="Long Buildup">
      <formula>NOT(ISERROR(SEARCH("Long Buildup",S3334)))</formula>
    </cfRule>
  </conditionalFormatting>
  <conditionalFormatting sqref="F3334:F3349">
    <cfRule type="dataBar" priority="4668">
      <dataBar>
        <cfvo type="min"/>
        <cfvo type="max"/>
        <color rgb="FFFF555A"/>
      </dataBar>
    </cfRule>
  </conditionalFormatting>
  <conditionalFormatting sqref="G3334:G3349">
    <cfRule type="dataBar" priority="4667">
      <dataBar>
        <cfvo type="min"/>
        <cfvo type="max"/>
        <color rgb="FFFF555A"/>
      </dataBar>
    </cfRule>
  </conditionalFormatting>
  <conditionalFormatting sqref="H3334">
    <cfRule type="dataBar" priority="4666">
      <dataBar>
        <cfvo type="min"/>
        <cfvo type="max"/>
        <color rgb="FFFF555A"/>
      </dataBar>
    </cfRule>
  </conditionalFormatting>
  <conditionalFormatting sqref="I3334">
    <cfRule type="dataBar" priority="4665">
      <dataBar>
        <cfvo type="min"/>
        <cfvo type="max"/>
        <color rgb="FFFF555A"/>
      </dataBar>
    </cfRule>
  </conditionalFormatting>
  <conditionalFormatting sqref="J3334">
    <cfRule type="dataBar" priority="4664">
      <dataBar>
        <cfvo type="min"/>
        <cfvo type="max"/>
        <color rgb="FFFF555A"/>
      </dataBar>
    </cfRule>
  </conditionalFormatting>
  <conditionalFormatting sqref="E3335:E3349">
    <cfRule type="dataBar" priority="4663">
      <dataBar>
        <cfvo type="min"/>
        <cfvo type="max"/>
        <color rgb="FFFF555A"/>
      </dataBar>
    </cfRule>
  </conditionalFormatting>
  <conditionalFormatting sqref="H3335:H3349">
    <cfRule type="dataBar" priority="4662">
      <dataBar>
        <cfvo type="min"/>
        <cfvo type="max"/>
        <color rgb="FFFF555A"/>
      </dataBar>
    </cfRule>
  </conditionalFormatting>
  <conditionalFormatting sqref="I3335:I3349">
    <cfRule type="dataBar" priority="4661">
      <dataBar>
        <cfvo type="min"/>
        <cfvo type="max"/>
        <color rgb="FFFF555A"/>
      </dataBar>
    </cfRule>
  </conditionalFormatting>
  <conditionalFormatting sqref="J3335:J3349">
    <cfRule type="dataBar" priority="4660">
      <dataBar>
        <cfvo type="min"/>
        <cfvo type="max"/>
        <color rgb="FFFF555A"/>
      </dataBar>
    </cfRule>
  </conditionalFormatting>
  <conditionalFormatting sqref="L3334:L3349">
    <cfRule type="dataBar" priority="4659">
      <dataBar>
        <cfvo type="min"/>
        <cfvo type="max"/>
        <color rgb="FFFF555A"/>
      </dataBar>
    </cfRule>
  </conditionalFormatting>
  <conditionalFormatting sqref="M3334:M3349">
    <cfRule type="dataBar" priority="4658">
      <dataBar>
        <cfvo type="min"/>
        <cfvo type="max"/>
        <color rgb="FFFF555A"/>
      </dataBar>
    </cfRule>
  </conditionalFormatting>
  <conditionalFormatting sqref="N3334:N3349">
    <cfRule type="dataBar" priority="4657">
      <dataBar>
        <cfvo type="min"/>
        <cfvo type="max"/>
        <color rgb="FFFF555A"/>
      </dataBar>
    </cfRule>
  </conditionalFormatting>
  <conditionalFormatting sqref="Q3334:Q3349">
    <cfRule type="dataBar" priority="4656">
      <dataBar>
        <cfvo type="min"/>
        <cfvo type="max"/>
        <color rgb="FFFF555A"/>
      </dataBar>
    </cfRule>
  </conditionalFormatting>
  <conditionalFormatting sqref="O3334:O3349">
    <cfRule type="dataBar" priority="4655">
      <dataBar>
        <cfvo type="min"/>
        <cfvo type="max"/>
        <color rgb="FFFF555A"/>
      </dataBar>
    </cfRule>
  </conditionalFormatting>
  <conditionalFormatting sqref="P3334:P3349">
    <cfRule type="dataBar" priority="4654">
      <dataBar>
        <cfvo type="min"/>
        <cfvo type="max"/>
        <color rgb="FFFF555A"/>
      </dataBar>
    </cfRule>
  </conditionalFormatting>
  <conditionalFormatting sqref="R3351:R3367 D3351:D3366 C3367">
    <cfRule type="containsText" dxfId="2842" priority="4653" operator="containsText" text="DOWN">
      <formula>NOT(ISERROR(SEARCH("DOWN",C3351)))</formula>
    </cfRule>
  </conditionalFormatting>
  <conditionalFormatting sqref="R3351:R3367 D3351:D3366 C3367">
    <cfRule type="containsText" dxfId="2841" priority="4652" operator="containsText" text="UP">
      <formula>NOT(ISERROR(SEARCH("UP",C3351)))</formula>
    </cfRule>
  </conditionalFormatting>
  <conditionalFormatting sqref="I3367">
    <cfRule type="colorScale" priority="4651">
      <colorScale>
        <cfvo type="min"/>
        <cfvo type="max"/>
        <color rgb="FFFFEF9C"/>
        <color rgb="FF63BE7B"/>
      </colorScale>
    </cfRule>
  </conditionalFormatting>
  <conditionalFormatting sqref="M3367">
    <cfRule type="colorScale" priority="4650">
      <colorScale>
        <cfvo type="min"/>
        <cfvo type="max"/>
        <color rgb="FFFF7128"/>
        <color rgb="FFFFEF9C"/>
      </colorScale>
    </cfRule>
  </conditionalFormatting>
  <conditionalFormatting sqref="Q3367">
    <cfRule type="dataBar" priority="4649">
      <dataBar>
        <cfvo type="min"/>
        <cfvo type="max"/>
        <color rgb="FFFF555A"/>
      </dataBar>
    </cfRule>
  </conditionalFormatting>
  <conditionalFormatting sqref="E3351:E3367">
    <cfRule type="dataBar" priority="4648">
      <dataBar>
        <cfvo type="min"/>
        <cfvo type="max"/>
        <color rgb="FFFF555A"/>
      </dataBar>
    </cfRule>
  </conditionalFormatting>
  <conditionalFormatting sqref="F3367">
    <cfRule type="top10" dxfId="2840" priority="4647" rank="1"/>
  </conditionalFormatting>
  <conditionalFormatting sqref="G3367 P3367">
    <cfRule type="cellIs" dxfId="2839" priority="4646" operator="equal">
      <formula>$G$135</formula>
    </cfRule>
  </conditionalFormatting>
  <conditionalFormatting sqref="P3367">
    <cfRule type="cellIs" dxfId="2838" priority="4645" operator="equal">
      <formula>$J$135</formula>
    </cfRule>
  </conditionalFormatting>
  <conditionalFormatting sqref="G3367 P3367">
    <cfRule type="cellIs" dxfId="2837" priority="4644" operator="equal">
      <formula>#REF!</formula>
    </cfRule>
  </conditionalFormatting>
  <conditionalFormatting sqref="G3367">
    <cfRule type="top10" dxfId="2836" priority="4642" rank="1"/>
    <cfRule type="cellIs" dxfId="2835" priority="4643" operator="equal">
      <formula>$G$133</formula>
    </cfRule>
  </conditionalFormatting>
  <conditionalFormatting sqref="P3367">
    <cfRule type="top10" dxfId="2834" priority="4640" rank="1"/>
    <cfRule type="cellIs" dxfId="2833" priority="4641" operator="equal">
      <formula>$G$133</formula>
    </cfRule>
  </conditionalFormatting>
  <conditionalFormatting sqref="C3351:C3366">
    <cfRule type="containsText" dxfId="2832" priority="4636" operator="containsText" text="Short Buildup">
      <formula>NOT(ISERROR(SEARCH("Short Buildup",C3351)))</formula>
    </cfRule>
    <cfRule type="containsText" dxfId="2831" priority="4637" operator="containsText" text="Long Liquidation">
      <formula>NOT(ISERROR(SEARCH("Long Liquidation",C3351)))</formula>
    </cfRule>
    <cfRule type="containsText" dxfId="2830" priority="4638" operator="containsText" text="Short covering">
      <formula>NOT(ISERROR(SEARCH("Short covering",C3351)))</formula>
    </cfRule>
    <cfRule type="containsText" dxfId="2829" priority="4639" operator="containsText" text="Long Buildup">
      <formula>NOT(ISERROR(SEARCH("Long Buildup",C3351)))</formula>
    </cfRule>
  </conditionalFormatting>
  <conditionalFormatting sqref="H3367">
    <cfRule type="colorScale" priority="4631">
      <colorScale>
        <cfvo type="min"/>
        <cfvo type="percentile" val="20"/>
        <cfvo type="max"/>
        <color rgb="FF92D050"/>
        <color theme="5" tint="0.79998168889431442"/>
        <color rgb="FFFF0000"/>
      </colorScale>
    </cfRule>
    <cfRule type="colorScale" priority="4632">
      <colorScale>
        <cfvo type="min"/>
        <cfvo type="max"/>
        <color rgb="FFFF0000"/>
        <color rgb="FF92D050"/>
      </colorScale>
    </cfRule>
    <cfRule type="colorScale" priority="4633">
      <colorScale>
        <cfvo type="min"/>
        <cfvo type="percentile" val="50"/>
        <cfvo type="max"/>
        <color rgb="FF5A8AC6"/>
        <color rgb="FFFCFCFF"/>
        <color rgb="FFF8696B"/>
      </colorScale>
    </cfRule>
    <cfRule type="colorScale" priority="4634">
      <colorScale>
        <cfvo type="formula" val="&quot;&gt;20&quot;"/>
        <cfvo type="formula" val="35"/>
        <color rgb="FFF8696B"/>
        <color rgb="FFFCFCFF"/>
      </colorScale>
    </cfRule>
    <cfRule type="colorScale" priority="4635">
      <colorScale>
        <cfvo type="min"/>
        <cfvo type="max"/>
        <color rgb="FFFFEF9C"/>
        <color rgb="FF63BE7B"/>
      </colorScale>
    </cfRule>
  </conditionalFormatting>
  <conditionalFormatting sqref="N3367">
    <cfRule type="colorScale" priority="4626">
      <colorScale>
        <cfvo type="min"/>
        <cfvo type="percentile" val="20"/>
        <cfvo type="max"/>
        <color rgb="FF92D050"/>
        <color theme="5" tint="0.79998168889431442"/>
        <color rgb="FFFF0000"/>
      </colorScale>
    </cfRule>
    <cfRule type="colorScale" priority="4627">
      <colorScale>
        <cfvo type="min"/>
        <cfvo type="max"/>
        <color rgb="FFFF0000"/>
        <color rgb="FF92D050"/>
      </colorScale>
    </cfRule>
    <cfRule type="colorScale" priority="4628">
      <colorScale>
        <cfvo type="min"/>
        <cfvo type="percentile" val="50"/>
        <cfvo type="max"/>
        <color rgb="FF5A8AC6"/>
        <color rgb="FFFCFCFF"/>
        <color rgb="FFF8696B"/>
      </colorScale>
    </cfRule>
    <cfRule type="colorScale" priority="4629">
      <colorScale>
        <cfvo type="formula" val="&quot;&gt;20&quot;"/>
        <cfvo type="formula" val="35"/>
        <color rgb="FFF8696B"/>
        <color rgb="FFFCFCFF"/>
      </colorScale>
    </cfRule>
    <cfRule type="colorScale" priority="4630">
      <colorScale>
        <cfvo type="min"/>
        <cfvo type="max"/>
        <color rgb="FFFFEF9C"/>
        <color rgb="FF63BE7B"/>
      </colorScale>
    </cfRule>
  </conditionalFormatting>
  <conditionalFormatting sqref="S3351:S3367">
    <cfRule type="containsText" dxfId="2828" priority="4622" operator="containsText" text="Short Buildup">
      <formula>NOT(ISERROR(SEARCH("Short Buildup",S3351)))</formula>
    </cfRule>
    <cfRule type="containsText" dxfId="2827" priority="4623" operator="containsText" text="Long Liquidation">
      <formula>NOT(ISERROR(SEARCH("Long Liquidation",S3351)))</formula>
    </cfRule>
    <cfRule type="containsText" dxfId="2826" priority="4624" operator="containsText" text="Short covering">
      <formula>NOT(ISERROR(SEARCH("Short covering",S3351)))</formula>
    </cfRule>
    <cfRule type="containsText" dxfId="2825" priority="4625" operator="containsText" text="Long Buildup">
      <formula>NOT(ISERROR(SEARCH("Long Buildup",S3351)))</formula>
    </cfRule>
  </conditionalFormatting>
  <conditionalFormatting sqref="F3351:F3366">
    <cfRule type="dataBar" priority="4621">
      <dataBar>
        <cfvo type="min"/>
        <cfvo type="max"/>
        <color rgb="FFFF555A"/>
      </dataBar>
    </cfRule>
  </conditionalFormatting>
  <conditionalFormatting sqref="G3351:G3366">
    <cfRule type="dataBar" priority="4620">
      <dataBar>
        <cfvo type="min"/>
        <cfvo type="max"/>
        <color rgb="FFFF555A"/>
      </dataBar>
    </cfRule>
  </conditionalFormatting>
  <conditionalFormatting sqref="H3351">
    <cfRule type="dataBar" priority="4619">
      <dataBar>
        <cfvo type="min"/>
        <cfvo type="max"/>
        <color rgb="FFFF555A"/>
      </dataBar>
    </cfRule>
  </conditionalFormatting>
  <conditionalFormatting sqref="I3351">
    <cfRule type="dataBar" priority="4618">
      <dataBar>
        <cfvo type="min"/>
        <cfvo type="max"/>
        <color rgb="FFFF555A"/>
      </dataBar>
    </cfRule>
  </conditionalFormatting>
  <conditionalFormatting sqref="J3351">
    <cfRule type="dataBar" priority="4617">
      <dataBar>
        <cfvo type="min"/>
        <cfvo type="max"/>
        <color rgb="FFFF555A"/>
      </dataBar>
    </cfRule>
  </conditionalFormatting>
  <conditionalFormatting sqref="E3352:E3366">
    <cfRule type="dataBar" priority="4616">
      <dataBar>
        <cfvo type="min"/>
        <cfvo type="max"/>
        <color rgb="FFFF555A"/>
      </dataBar>
    </cfRule>
  </conditionalFormatting>
  <conditionalFormatting sqref="H3352:H3366">
    <cfRule type="dataBar" priority="4615">
      <dataBar>
        <cfvo type="min"/>
        <cfvo type="max"/>
        <color rgb="FFFF555A"/>
      </dataBar>
    </cfRule>
  </conditionalFormatting>
  <conditionalFormatting sqref="I3352:I3366">
    <cfRule type="dataBar" priority="4614">
      <dataBar>
        <cfvo type="min"/>
        <cfvo type="max"/>
        <color rgb="FFFF555A"/>
      </dataBar>
    </cfRule>
  </conditionalFormatting>
  <conditionalFormatting sqref="J3352:J3366">
    <cfRule type="dataBar" priority="4613">
      <dataBar>
        <cfvo type="min"/>
        <cfvo type="max"/>
        <color rgb="FFFF555A"/>
      </dataBar>
    </cfRule>
  </conditionalFormatting>
  <conditionalFormatting sqref="L3351:L3366">
    <cfRule type="dataBar" priority="4612">
      <dataBar>
        <cfvo type="min"/>
        <cfvo type="max"/>
        <color rgb="FFFF555A"/>
      </dataBar>
    </cfRule>
  </conditionalFormatting>
  <conditionalFormatting sqref="M3351:M3366">
    <cfRule type="dataBar" priority="4611">
      <dataBar>
        <cfvo type="min"/>
        <cfvo type="max"/>
        <color rgb="FFFF555A"/>
      </dataBar>
    </cfRule>
  </conditionalFormatting>
  <conditionalFormatting sqref="N3351:N3366">
    <cfRule type="dataBar" priority="4610">
      <dataBar>
        <cfvo type="min"/>
        <cfvo type="max"/>
        <color rgb="FFFF555A"/>
      </dataBar>
    </cfRule>
  </conditionalFormatting>
  <conditionalFormatting sqref="Q3351:Q3366">
    <cfRule type="dataBar" priority="4609">
      <dataBar>
        <cfvo type="min"/>
        <cfvo type="max"/>
        <color rgb="FFFF555A"/>
      </dataBar>
    </cfRule>
  </conditionalFormatting>
  <conditionalFormatting sqref="O3351:O3366">
    <cfRule type="dataBar" priority="4608">
      <dataBar>
        <cfvo type="min"/>
        <cfvo type="max"/>
        <color rgb="FFFF555A"/>
      </dataBar>
    </cfRule>
  </conditionalFormatting>
  <conditionalFormatting sqref="P3351:P3366">
    <cfRule type="dataBar" priority="4607">
      <dataBar>
        <cfvo type="min"/>
        <cfvo type="max"/>
        <color rgb="FFFF555A"/>
      </dataBar>
    </cfRule>
  </conditionalFormatting>
  <conditionalFormatting sqref="R3368:R3384 D3368:D3383 C3384">
    <cfRule type="containsText" dxfId="2824" priority="4606" operator="containsText" text="DOWN">
      <formula>NOT(ISERROR(SEARCH("DOWN",C3368)))</formula>
    </cfRule>
  </conditionalFormatting>
  <conditionalFormatting sqref="R3368:R3384 D3368:D3383 C3384">
    <cfRule type="containsText" dxfId="2823" priority="4605" operator="containsText" text="UP">
      <formula>NOT(ISERROR(SEARCH("UP",C3368)))</formula>
    </cfRule>
  </conditionalFormatting>
  <conditionalFormatting sqref="I3384">
    <cfRule type="colorScale" priority="4604">
      <colorScale>
        <cfvo type="min"/>
        <cfvo type="max"/>
        <color rgb="FFFFEF9C"/>
        <color rgb="FF63BE7B"/>
      </colorScale>
    </cfRule>
  </conditionalFormatting>
  <conditionalFormatting sqref="M3384">
    <cfRule type="colorScale" priority="4603">
      <colorScale>
        <cfvo type="min"/>
        <cfvo type="max"/>
        <color rgb="FFFF7128"/>
        <color rgb="FFFFEF9C"/>
      </colorScale>
    </cfRule>
  </conditionalFormatting>
  <conditionalFormatting sqref="Q3384">
    <cfRule type="dataBar" priority="4602">
      <dataBar>
        <cfvo type="min"/>
        <cfvo type="max"/>
        <color rgb="FFFF555A"/>
      </dataBar>
    </cfRule>
  </conditionalFormatting>
  <conditionalFormatting sqref="E3368:E3384">
    <cfRule type="dataBar" priority="4601">
      <dataBar>
        <cfvo type="min"/>
        <cfvo type="max"/>
        <color rgb="FFFF555A"/>
      </dataBar>
    </cfRule>
  </conditionalFormatting>
  <conditionalFormatting sqref="F3384">
    <cfRule type="top10" dxfId="2822" priority="4600" rank="1"/>
  </conditionalFormatting>
  <conditionalFormatting sqref="G3384 P3384">
    <cfRule type="cellIs" dxfId="2821" priority="4599" operator="equal">
      <formula>$G$135</formula>
    </cfRule>
  </conditionalFormatting>
  <conditionalFormatting sqref="P3384">
    <cfRule type="cellIs" dxfId="2820" priority="4598" operator="equal">
      <formula>$J$135</formula>
    </cfRule>
  </conditionalFormatting>
  <conditionalFormatting sqref="G3384 P3384">
    <cfRule type="cellIs" dxfId="2819" priority="4597" operator="equal">
      <formula>#REF!</formula>
    </cfRule>
  </conditionalFormatting>
  <conditionalFormatting sqref="G3384">
    <cfRule type="top10" dxfId="2818" priority="4595" rank="1"/>
    <cfRule type="cellIs" dxfId="2817" priority="4596" operator="equal">
      <formula>$G$133</formula>
    </cfRule>
  </conditionalFormatting>
  <conditionalFormatting sqref="P3384">
    <cfRule type="top10" dxfId="2816" priority="4593" rank="1"/>
    <cfRule type="cellIs" dxfId="2815" priority="4594" operator="equal">
      <formula>$G$133</formula>
    </cfRule>
  </conditionalFormatting>
  <conditionalFormatting sqref="C3368:C3383">
    <cfRule type="containsText" dxfId="2814" priority="4589" operator="containsText" text="Short Buildup">
      <formula>NOT(ISERROR(SEARCH("Short Buildup",C3368)))</formula>
    </cfRule>
    <cfRule type="containsText" dxfId="2813" priority="4590" operator="containsText" text="Long Liquidation">
      <formula>NOT(ISERROR(SEARCH("Long Liquidation",C3368)))</formula>
    </cfRule>
    <cfRule type="containsText" dxfId="2812" priority="4591" operator="containsText" text="Short covering">
      <formula>NOT(ISERROR(SEARCH("Short covering",C3368)))</formula>
    </cfRule>
    <cfRule type="containsText" dxfId="2811" priority="4592" operator="containsText" text="Long Buildup">
      <formula>NOT(ISERROR(SEARCH("Long Buildup",C3368)))</formula>
    </cfRule>
  </conditionalFormatting>
  <conditionalFormatting sqref="H3384">
    <cfRule type="colorScale" priority="4584">
      <colorScale>
        <cfvo type="min"/>
        <cfvo type="percentile" val="20"/>
        <cfvo type="max"/>
        <color rgb="FF92D050"/>
        <color theme="5" tint="0.79998168889431442"/>
        <color rgb="FFFF0000"/>
      </colorScale>
    </cfRule>
    <cfRule type="colorScale" priority="4585">
      <colorScale>
        <cfvo type="min"/>
        <cfvo type="max"/>
        <color rgb="FFFF0000"/>
        <color rgb="FF92D050"/>
      </colorScale>
    </cfRule>
    <cfRule type="colorScale" priority="4586">
      <colorScale>
        <cfvo type="min"/>
        <cfvo type="percentile" val="50"/>
        <cfvo type="max"/>
        <color rgb="FF5A8AC6"/>
        <color rgb="FFFCFCFF"/>
        <color rgb="FFF8696B"/>
      </colorScale>
    </cfRule>
    <cfRule type="colorScale" priority="4587">
      <colorScale>
        <cfvo type="formula" val="&quot;&gt;20&quot;"/>
        <cfvo type="formula" val="35"/>
        <color rgb="FFF8696B"/>
        <color rgb="FFFCFCFF"/>
      </colorScale>
    </cfRule>
    <cfRule type="colorScale" priority="4588">
      <colorScale>
        <cfvo type="min"/>
        <cfvo type="max"/>
        <color rgb="FFFFEF9C"/>
        <color rgb="FF63BE7B"/>
      </colorScale>
    </cfRule>
  </conditionalFormatting>
  <conditionalFormatting sqref="N3384">
    <cfRule type="colorScale" priority="4579">
      <colorScale>
        <cfvo type="min"/>
        <cfvo type="percentile" val="20"/>
        <cfvo type="max"/>
        <color rgb="FF92D050"/>
        <color theme="5" tint="0.79998168889431442"/>
        <color rgb="FFFF0000"/>
      </colorScale>
    </cfRule>
    <cfRule type="colorScale" priority="4580">
      <colorScale>
        <cfvo type="min"/>
        <cfvo type="max"/>
        <color rgb="FFFF0000"/>
        <color rgb="FF92D050"/>
      </colorScale>
    </cfRule>
    <cfRule type="colorScale" priority="4581">
      <colorScale>
        <cfvo type="min"/>
        <cfvo type="percentile" val="50"/>
        <cfvo type="max"/>
        <color rgb="FF5A8AC6"/>
        <color rgb="FFFCFCFF"/>
        <color rgb="FFF8696B"/>
      </colorScale>
    </cfRule>
    <cfRule type="colorScale" priority="4582">
      <colorScale>
        <cfvo type="formula" val="&quot;&gt;20&quot;"/>
        <cfvo type="formula" val="35"/>
        <color rgb="FFF8696B"/>
        <color rgb="FFFCFCFF"/>
      </colorScale>
    </cfRule>
    <cfRule type="colorScale" priority="4583">
      <colorScale>
        <cfvo type="min"/>
        <cfvo type="max"/>
        <color rgb="FFFFEF9C"/>
        <color rgb="FF63BE7B"/>
      </colorScale>
    </cfRule>
  </conditionalFormatting>
  <conditionalFormatting sqref="S3368:S3384">
    <cfRule type="containsText" dxfId="2810" priority="4575" operator="containsText" text="Short Buildup">
      <formula>NOT(ISERROR(SEARCH("Short Buildup",S3368)))</formula>
    </cfRule>
    <cfRule type="containsText" dxfId="2809" priority="4576" operator="containsText" text="Long Liquidation">
      <formula>NOT(ISERROR(SEARCH("Long Liquidation",S3368)))</formula>
    </cfRule>
    <cfRule type="containsText" dxfId="2808" priority="4577" operator="containsText" text="Short covering">
      <formula>NOT(ISERROR(SEARCH("Short covering",S3368)))</formula>
    </cfRule>
    <cfRule type="containsText" dxfId="2807" priority="4578" operator="containsText" text="Long Buildup">
      <formula>NOT(ISERROR(SEARCH("Long Buildup",S3368)))</formula>
    </cfRule>
  </conditionalFormatting>
  <conditionalFormatting sqref="F3368:F3383">
    <cfRule type="dataBar" priority="4574">
      <dataBar>
        <cfvo type="min"/>
        <cfvo type="max"/>
        <color rgb="FFFF555A"/>
      </dataBar>
    </cfRule>
  </conditionalFormatting>
  <conditionalFormatting sqref="G3368:G3383">
    <cfRule type="dataBar" priority="4573">
      <dataBar>
        <cfvo type="min"/>
        <cfvo type="max"/>
        <color rgb="FFFF555A"/>
      </dataBar>
    </cfRule>
  </conditionalFormatting>
  <conditionalFormatting sqref="H3368">
    <cfRule type="dataBar" priority="4572">
      <dataBar>
        <cfvo type="min"/>
        <cfvo type="max"/>
        <color rgb="FFFF555A"/>
      </dataBar>
    </cfRule>
  </conditionalFormatting>
  <conditionalFormatting sqref="I3368">
    <cfRule type="dataBar" priority="4571">
      <dataBar>
        <cfvo type="min"/>
        <cfvo type="max"/>
        <color rgb="FFFF555A"/>
      </dataBar>
    </cfRule>
  </conditionalFormatting>
  <conditionalFormatting sqref="J3368">
    <cfRule type="dataBar" priority="4570">
      <dataBar>
        <cfvo type="min"/>
        <cfvo type="max"/>
        <color rgb="FFFF555A"/>
      </dataBar>
    </cfRule>
  </conditionalFormatting>
  <conditionalFormatting sqref="E3369:E3383">
    <cfRule type="dataBar" priority="4569">
      <dataBar>
        <cfvo type="min"/>
        <cfvo type="max"/>
        <color rgb="FFFF555A"/>
      </dataBar>
    </cfRule>
  </conditionalFormatting>
  <conditionalFormatting sqref="H3369:H3383">
    <cfRule type="dataBar" priority="4568">
      <dataBar>
        <cfvo type="min"/>
        <cfvo type="max"/>
        <color rgb="FFFF555A"/>
      </dataBar>
    </cfRule>
  </conditionalFormatting>
  <conditionalFormatting sqref="I3369:I3383">
    <cfRule type="dataBar" priority="4567">
      <dataBar>
        <cfvo type="min"/>
        <cfvo type="max"/>
        <color rgb="FFFF555A"/>
      </dataBar>
    </cfRule>
  </conditionalFormatting>
  <conditionalFormatting sqref="J3369:J3383">
    <cfRule type="dataBar" priority="4566">
      <dataBar>
        <cfvo type="min"/>
        <cfvo type="max"/>
        <color rgb="FFFF555A"/>
      </dataBar>
    </cfRule>
  </conditionalFormatting>
  <conditionalFormatting sqref="L3368:L3383">
    <cfRule type="dataBar" priority="4565">
      <dataBar>
        <cfvo type="min"/>
        <cfvo type="max"/>
        <color rgb="FFFF555A"/>
      </dataBar>
    </cfRule>
  </conditionalFormatting>
  <conditionalFormatting sqref="M3368:M3383">
    <cfRule type="dataBar" priority="4564">
      <dataBar>
        <cfvo type="min"/>
        <cfvo type="max"/>
        <color rgb="FFFF555A"/>
      </dataBar>
    </cfRule>
  </conditionalFormatting>
  <conditionalFormatting sqref="N3368:N3383">
    <cfRule type="dataBar" priority="4563">
      <dataBar>
        <cfvo type="min"/>
        <cfvo type="max"/>
        <color rgb="FFFF555A"/>
      </dataBar>
    </cfRule>
  </conditionalFormatting>
  <conditionalFormatting sqref="Q3368:Q3383">
    <cfRule type="dataBar" priority="4562">
      <dataBar>
        <cfvo type="min"/>
        <cfvo type="max"/>
        <color rgb="FFFF555A"/>
      </dataBar>
    </cfRule>
  </conditionalFormatting>
  <conditionalFormatting sqref="O3368:O3383">
    <cfRule type="dataBar" priority="4561">
      <dataBar>
        <cfvo type="min"/>
        <cfvo type="max"/>
        <color rgb="FFFF555A"/>
      </dataBar>
    </cfRule>
  </conditionalFormatting>
  <conditionalFormatting sqref="P3368:P3383">
    <cfRule type="dataBar" priority="4560">
      <dataBar>
        <cfvo type="min"/>
        <cfvo type="max"/>
        <color rgb="FFFF555A"/>
      </dataBar>
    </cfRule>
  </conditionalFormatting>
  <conditionalFormatting sqref="R3385:R3401 D3385:D3400 C3401">
    <cfRule type="containsText" dxfId="2806" priority="4559" operator="containsText" text="DOWN">
      <formula>NOT(ISERROR(SEARCH("DOWN",C3385)))</formula>
    </cfRule>
  </conditionalFormatting>
  <conditionalFormatting sqref="R3385:R3401 D3385:D3400 C3401">
    <cfRule type="containsText" dxfId="2805" priority="4558" operator="containsText" text="UP">
      <formula>NOT(ISERROR(SEARCH("UP",C3385)))</formula>
    </cfRule>
  </conditionalFormatting>
  <conditionalFormatting sqref="I3401">
    <cfRule type="colorScale" priority="4557">
      <colorScale>
        <cfvo type="min"/>
        <cfvo type="max"/>
        <color rgb="FFFFEF9C"/>
        <color rgb="FF63BE7B"/>
      </colorScale>
    </cfRule>
  </conditionalFormatting>
  <conditionalFormatting sqref="M3401">
    <cfRule type="colorScale" priority="4556">
      <colorScale>
        <cfvo type="min"/>
        <cfvo type="max"/>
        <color rgb="FFFF7128"/>
        <color rgb="FFFFEF9C"/>
      </colorScale>
    </cfRule>
  </conditionalFormatting>
  <conditionalFormatting sqref="Q3401">
    <cfRule type="dataBar" priority="4555">
      <dataBar>
        <cfvo type="min"/>
        <cfvo type="max"/>
        <color rgb="FFFF555A"/>
      </dataBar>
    </cfRule>
  </conditionalFormatting>
  <conditionalFormatting sqref="E3385:E3401">
    <cfRule type="dataBar" priority="4554">
      <dataBar>
        <cfvo type="min"/>
        <cfvo type="max"/>
        <color rgb="FFFF555A"/>
      </dataBar>
    </cfRule>
  </conditionalFormatting>
  <conditionalFormatting sqref="F3401">
    <cfRule type="top10" dxfId="2804" priority="4553" rank="1"/>
  </conditionalFormatting>
  <conditionalFormatting sqref="G3401 P3401">
    <cfRule type="cellIs" dxfId="2803" priority="4552" operator="equal">
      <formula>$G$135</formula>
    </cfRule>
  </conditionalFormatting>
  <conditionalFormatting sqref="P3401">
    <cfRule type="cellIs" dxfId="2802" priority="4551" operator="equal">
      <formula>$J$135</formula>
    </cfRule>
  </conditionalFormatting>
  <conditionalFormatting sqref="G3401 P3401">
    <cfRule type="cellIs" dxfId="2801" priority="4550" operator="equal">
      <formula>#REF!</formula>
    </cfRule>
  </conditionalFormatting>
  <conditionalFormatting sqref="G3401">
    <cfRule type="top10" dxfId="2800" priority="4548" rank="1"/>
    <cfRule type="cellIs" dxfId="2799" priority="4549" operator="equal">
      <formula>$G$133</formula>
    </cfRule>
  </conditionalFormatting>
  <conditionalFormatting sqref="P3401">
    <cfRule type="top10" dxfId="2798" priority="4546" rank="1"/>
    <cfRule type="cellIs" dxfId="2797" priority="4547" operator="equal">
      <formula>$G$133</formula>
    </cfRule>
  </conditionalFormatting>
  <conditionalFormatting sqref="C3385:C3400">
    <cfRule type="containsText" dxfId="2796" priority="4542" operator="containsText" text="Short Buildup">
      <formula>NOT(ISERROR(SEARCH("Short Buildup",C3385)))</formula>
    </cfRule>
    <cfRule type="containsText" dxfId="2795" priority="4543" operator="containsText" text="Long Liquidation">
      <formula>NOT(ISERROR(SEARCH("Long Liquidation",C3385)))</formula>
    </cfRule>
    <cfRule type="containsText" dxfId="2794" priority="4544" operator="containsText" text="Short covering">
      <formula>NOT(ISERROR(SEARCH("Short covering",C3385)))</formula>
    </cfRule>
    <cfRule type="containsText" dxfId="2793" priority="4545" operator="containsText" text="Long Buildup">
      <formula>NOT(ISERROR(SEARCH("Long Buildup",C3385)))</formula>
    </cfRule>
  </conditionalFormatting>
  <conditionalFormatting sqref="H3401">
    <cfRule type="colorScale" priority="4537">
      <colorScale>
        <cfvo type="min"/>
        <cfvo type="percentile" val="20"/>
        <cfvo type="max"/>
        <color rgb="FF92D050"/>
        <color theme="5" tint="0.79998168889431442"/>
        <color rgb="FFFF0000"/>
      </colorScale>
    </cfRule>
    <cfRule type="colorScale" priority="4538">
      <colorScale>
        <cfvo type="min"/>
        <cfvo type="max"/>
        <color rgb="FFFF0000"/>
        <color rgb="FF92D050"/>
      </colorScale>
    </cfRule>
    <cfRule type="colorScale" priority="4539">
      <colorScale>
        <cfvo type="min"/>
        <cfvo type="percentile" val="50"/>
        <cfvo type="max"/>
        <color rgb="FF5A8AC6"/>
        <color rgb="FFFCFCFF"/>
        <color rgb="FFF8696B"/>
      </colorScale>
    </cfRule>
    <cfRule type="colorScale" priority="4540">
      <colorScale>
        <cfvo type="formula" val="&quot;&gt;20&quot;"/>
        <cfvo type="formula" val="35"/>
        <color rgb="FFF8696B"/>
        <color rgb="FFFCFCFF"/>
      </colorScale>
    </cfRule>
    <cfRule type="colorScale" priority="4541">
      <colorScale>
        <cfvo type="min"/>
        <cfvo type="max"/>
        <color rgb="FFFFEF9C"/>
        <color rgb="FF63BE7B"/>
      </colorScale>
    </cfRule>
  </conditionalFormatting>
  <conditionalFormatting sqref="N3401">
    <cfRule type="colorScale" priority="4532">
      <colorScale>
        <cfvo type="min"/>
        <cfvo type="percentile" val="20"/>
        <cfvo type="max"/>
        <color rgb="FF92D050"/>
        <color theme="5" tint="0.79998168889431442"/>
        <color rgb="FFFF0000"/>
      </colorScale>
    </cfRule>
    <cfRule type="colorScale" priority="4533">
      <colorScale>
        <cfvo type="min"/>
        <cfvo type="max"/>
        <color rgb="FFFF0000"/>
        <color rgb="FF92D050"/>
      </colorScale>
    </cfRule>
    <cfRule type="colorScale" priority="4534">
      <colorScale>
        <cfvo type="min"/>
        <cfvo type="percentile" val="50"/>
        <cfvo type="max"/>
        <color rgb="FF5A8AC6"/>
        <color rgb="FFFCFCFF"/>
        <color rgb="FFF8696B"/>
      </colorScale>
    </cfRule>
    <cfRule type="colorScale" priority="4535">
      <colorScale>
        <cfvo type="formula" val="&quot;&gt;20&quot;"/>
        <cfvo type="formula" val="35"/>
        <color rgb="FFF8696B"/>
        <color rgb="FFFCFCFF"/>
      </colorScale>
    </cfRule>
    <cfRule type="colorScale" priority="4536">
      <colorScale>
        <cfvo type="min"/>
        <cfvo type="max"/>
        <color rgb="FFFFEF9C"/>
        <color rgb="FF63BE7B"/>
      </colorScale>
    </cfRule>
  </conditionalFormatting>
  <conditionalFormatting sqref="S3385:S3401">
    <cfRule type="containsText" dxfId="2792" priority="4528" operator="containsText" text="Short Buildup">
      <formula>NOT(ISERROR(SEARCH("Short Buildup",S3385)))</formula>
    </cfRule>
    <cfRule type="containsText" dxfId="2791" priority="4529" operator="containsText" text="Long Liquidation">
      <formula>NOT(ISERROR(SEARCH("Long Liquidation",S3385)))</formula>
    </cfRule>
    <cfRule type="containsText" dxfId="2790" priority="4530" operator="containsText" text="Short covering">
      <formula>NOT(ISERROR(SEARCH("Short covering",S3385)))</formula>
    </cfRule>
    <cfRule type="containsText" dxfId="2789" priority="4531" operator="containsText" text="Long Buildup">
      <formula>NOT(ISERROR(SEARCH("Long Buildup",S3385)))</formula>
    </cfRule>
  </conditionalFormatting>
  <conditionalFormatting sqref="F3385:F3400">
    <cfRule type="dataBar" priority="4527">
      <dataBar>
        <cfvo type="min"/>
        <cfvo type="max"/>
        <color rgb="FFFF555A"/>
      </dataBar>
    </cfRule>
  </conditionalFormatting>
  <conditionalFormatting sqref="G3385:G3400">
    <cfRule type="dataBar" priority="4526">
      <dataBar>
        <cfvo type="min"/>
        <cfvo type="max"/>
        <color rgb="FFFF555A"/>
      </dataBar>
    </cfRule>
  </conditionalFormatting>
  <conditionalFormatting sqref="H3385">
    <cfRule type="dataBar" priority="4525">
      <dataBar>
        <cfvo type="min"/>
        <cfvo type="max"/>
        <color rgb="FFFF555A"/>
      </dataBar>
    </cfRule>
  </conditionalFormatting>
  <conditionalFormatting sqref="I3385">
    <cfRule type="dataBar" priority="4524">
      <dataBar>
        <cfvo type="min"/>
        <cfvo type="max"/>
        <color rgb="FFFF555A"/>
      </dataBar>
    </cfRule>
  </conditionalFormatting>
  <conditionalFormatting sqref="J3385">
    <cfRule type="dataBar" priority="4523">
      <dataBar>
        <cfvo type="min"/>
        <cfvo type="max"/>
        <color rgb="FFFF555A"/>
      </dataBar>
    </cfRule>
  </conditionalFormatting>
  <conditionalFormatting sqref="E3386:E3400">
    <cfRule type="dataBar" priority="4522">
      <dataBar>
        <cfvo type="min"/>
        <cfvo type="max"/>
        <color rgb="FFFF555A"/>
      </dataBar>
    </cfRule>
  </conditionalFormatting>
  <conditionalFormatting sqref="H3386:H3400">
    <cfRule type="dataBar" priority="4521">
      <dataBar>
        <cfvo type="min"/>
        <cfvo type="max"/>
        <color rgb="FFFF555A"/>
      </dataBar>
    </cfRule>
  </conditionalFormatting>
  <conditionalFormatting sqref="I3386:I3400">
    <cfRule type="dataBar" priority="4520">
      <dataBar>
        <cfvo type="min"/>
        <cfvo type="max"/>
        <color rgb="FFFF555A"/>
      </dataBar>
    </cfRule>
  </conditionalFormatting>
  <conditionalFormatting sqref="J3386:J3400">
    <cfRule type="dataBar" priority="4519">
      <dataBar>
        <cfvo type="min"/>
        <cfvo type="max"/>
        <color rgb="FFFF555A"/>
      </dataBar>
    </cfRule>
  </conditionalFormatting>
  <conditionalFormatting sqref="L3385:L3400">
    <cfRule type="dataBar" priority="4518">
      <dataBar>
        <cfvo type="min"/>
        <cfvo type="max"/>
        <color rgb="FFFF555A"/>
      </dataBar>
    </cfRule>
  </conditionalFormatting>
  <conditionalFormatting sqref="M3385:M3400">
    <cfRule type="dataBar" priority="4517">
      <dataBar>
        <cfvo type="min"/>
        <cfvo type="max"/>
        <color rgb="FFFF555A"/>
      </dataBar>
    </cfRule>
  </conditionalFormatting>
  <conditionalFormatting sqref="N3385:N3400">
    <cfRule type="dataBar" priority="4516">
      <dataBar>
        <cfvo type="min"/>
        <cfvo type="max"/>
        <color rgb="FFFF555A"/>
      </dataBar>
    </cfRule>
  </conditionalFormatting>
  <conditionalFormatting sqref="Q3385:Q3400">
    <cfRule type="dataBar" priority="4515">
      <dataBar>
        <cfvo type="min"/>
        <cfvo type="max"/>
        <color rgb="FFFF555A"/>
      </dataBar>
    </cfRule>
  </conditionalFormatting>
  <conditionalFormatting sqref="O3385:O3400">
    <cfRule type="dataBar" priority="4514">
      <dataBar>
        <cfvo type="min"/>
        <cfvo type="max"/>
        <color rgb="FFFF555A"/>
      </dataBar>
    </cfRule>
  </conditionalFormatting>
  <conditionalFormatting sqref="P3385:P3400">
    <cfRule type="dataBar" priority="4513">
      <dataBar>
        <cfvo type="min"/>
        <cfvo type="max"/>
        <color rgb="FFFF555A"/>
      </dataBar>
    </cfRule>
  </conditionalFormatting>
  <conditionalFormatting sqref="R3402:R3418 D3402:D3417 C3418">
    <cfRule type="containsText" dxfId="2788" priority="4512" operator="containsText" text="DOWN">
      <formula>NOT(ISERROR(SEARCH("DOWN",C3402)))</formula>
    </cfRule>
  </conditionalFormatting>
  <conditionalFormatting sqref="R3402:R3418 D3402:D3417 C3418">
    <cfRule type="containsText" dxfId="2787" priority="4511" operator="containsText" text="UP">
      <formula>NOT(ISERROR(SEARCH("UP",C3402)))</formula>
    </cfRule>
  </conditionalFormatting>
  <conditionalFormatting sqref="I3418">
    <cfRule type="colorScale" priority="4510">
      <colorScale>
        <cfvo type="min"/>
        <cfvo type="max"/>
        <color rgb="FFFFEF9C"/>
        <color rgb="FF63BE7B"/>
      </colorScale>
    </cfRule>
  </conditionalFormatting>
  <conditionalFormatting sqref="M3418">
    <cfRule type="colorScale" priority="4509">
      <colorScale>
        <cfvo type="min"/>
        <cfvo type="max"/>
        <color rgb="FFFF7128"/>
        <color rgb="FFFFEF9C"/>
      </colorScale>
    </cfRule>
  </conditionalFormatting>
  <conditionalFormatting sqref="Q3418">
    <cfRule type="dataBar" priority="4508">
      <dataBar>
        <cfvo type="min"/>
        <cfvo type="max"/>
        <color rgb="FFFF555A"/>
      </dataBar>
    </cfRule>
  </conditionalFormatting>
  <conditionalFormatting sqref="E3402:E3418">
    <cfRule type="dataBar" priority="4507">
      <dataBar>
        <cfvo type="min"/>
        <cfvo type="max"/>
        <color rgb="FFFF555A"/>
      </dataBar>
    </cfRule>
  </conditionalFormatting>
  <conditionalFormatting sqref="F3418">
    <cfRule type="top10" dxfId="2786" priority="4506" rank="1"/>
  </conditionalFormatting>
  <conditionalFormatting sqref="G3418 P3418">
    <cfRule type="cellIs" dxfId="2785" priority="4505" operator="equal">
      <formula>$G$135</formula>
    </cfRule>
  </conditionalFormatting>
  <conditionalFormatting sqref="P3418">
    <cfRule type="cellIs" dxfId="2784" priority="4504" operator="equal">
      <formula>$J$135</formula>
    </cfRule>
  </conditionalFormatting>
  <conditionalFormatting sqref="G3418 P3418">
    <cfRule type="cellIs" dxfId="2783" priority="4503" operator="equal">
      <formula>#REF!</formula>
    </cfRule>
  </conditionalFormatting>
  <conditionalFormatting sqref="G3418">
    <cfRule type="top10" dxfId="2782" priority="4501" rank="1"/>
    <cfRule type="cellIs" dxfId="2781" priority="4502" operator="equal">
      <formula>$G$133</formula>
    </cfRule>
  </conditionalFormatting>
  <conditionalFormatting sqref="P3418">
    <cfRule type="top10" dxfId="2780" priority="4499" rank="1"/>
    <cfRule type="cellIs" dxfId="2779" priority="4500" operator="equal">
      <formula>$G$133</formula>
    </cfRule>
  </conditionalFormatting>
  <conditionalFormatting sqref="C3402:C3417">
    <cfRule type="containsText" dxfId="2778" priority="4495" operator="containsText" text="Short Buildup">
      <formula>NOT(ISERROR(SEARCH("Short Buildup",C3402)))</formula>
    </cfRule>
    <cfRule type="containsText" dxfId="2777" priority="4496" operator="containsText" text="Long Liquidation">
      <formula>NOT(ISERROR(SEARCH("Long Liquidation",C3402)))</formula>
    </cfRule>
    <cfRule type="containsText" dxfId="2776" priority="4497" operator="containsText" text="Short covering">
      <formula>NOT(ISERROR(SEARCH("Short covering",C3402)))</formula>
    </cfRule>
    <cfRule type="containsText" dxfId="2775" priority="4498" operator="containsText" text="Long Buildup">
      <formula>NOT(ISERROR(SEARCH("Long Buildup",C3402)))</formula>
    </cfRule>
  </conditionalFormatting>
  <conditionalFormatting sqref="H3418">
    <cfRule type="colorScale" priority="4490">
      <colorScale>
        <cfvo type="min"/>
        <cfvo type="percentile" val="20"/>
        <cfvo type="max"/>
        <color rgb="FF92D050"/>
        <color theme="5" tint="0.79998168889431442"/>
        <color rgb="FFFF0000"/>
      </colorScale>
    </cfRule>
    <cfRule type="colorScale" priority="4491">
      <colorScale>
        <cfvo type="min"/>
        <cfvo type="max"/>
        <color rgb="FFFF0000"/>
        <color rgb="FF92D050"/>
      </colorScale>
    </cfRule>
    <cfRule type="colorScale" priority="4492">
      <colorScale>
        <cfvo type="min"/>
        <cfvo type="percentile" val="50"/>
        <cfvo type="max"/>
        <color rgb="FF5A8AC6"/>
        <color rgb="FFFCFCFF"/>
        <color rgb="FFF8696B"/>
      </colorScale>
    </cfRule>
    <cfRule type="colorScale" priority="4493">
      <colorScale>
        <cfvo type="formula" val="&quot;&gt;20&quot;"/>
        <cfvo type="formula" val="35"/>
        <color rgb="FFF8696B"/>
        <color rgb="FFFCFCFF"/>
      </colorScale>
    </cfRule>
    <cfRule type="colorScale" priority="4494">
      <colorScale>
        <cfvo type="min"/>
        <cfvo type="max"/>
        <color rgb="FFFFEF9C"/>
        <color rgb="FF63BE7B"/>
      </colorScale>
    </cfRule>
  </conditionalFormatting>
  <conditionalFormatting sqref="N3418">
    <cfRule type="colorScale" priority="4485">
      <colorScale>
        <cfvo type="min"/>
        <cfvo type="percentile" val="20"/>
        <cfvo type="max"/>
        <color rgb="FF92D050"/>
        <color theme="5" tint="0.79998168889431442"/>
        <color rgb="FFFF0000"/>
      </colorScale>
    </cfRule>
    <cfRule type="colorScale" priority="4486">
      <colorScale>
        <cfvo type="min"/>
        <cfvo type="max"/>
        <color rgb="FFFF0000"/>
        <color rgb="FF92D050"/>
      </colorScale>
    </cfRule>
    <cfRule type="colorScale" priority="4487">
      <colorScale>
        <cfvo type="min"/>
        <cfvo type="percentile" val="50"/>
        <cfvo type="max"/>
        <color rgb="FF5A8AC6"/>
        <color rgb="FFFCFCFF"/>
        <color rgb="FFF8696B"/>
      </colorScale>
    </cfRule>
    <cfRule type="colorScale" priority="4488">
      <colorScale>
        <cfvo type="formula" val="&quot;&gt;20&quot;"/>
        <cfvo type="formula" val="35"/>
        <color rgb="FFF8696B"/>
        <color rgb="FFFCFCFF"/>
      </colorScale>
    </cfRule>
    <cfRule type="colorScale" priority="4489">
      <colorScale>
        <cfvo type="min"/>
        <cfvo type="max"/>
        <color rgb="FFFFEF9C"/>
        <color rgb="FF63BE7B"/>
      </colorScale>
    </cfRule>
  </conditionalFormatting>
  <conditionalFormatting sqref="S3402:S3418">
    <cfRule type="containsText" dxfId="2774" priority="4481" operator="containsText" text="Short Buildup">
      <formula>NOT(ISERROR(SEARCH("Short Buildup",S3402)))</formula>
    </cfRule>
    <cfRule type="containsText" dxfId="2773" priority="4482" operator="containsText" text="Long Liquidation">
      <formula>NOT(ISERROR(SEARCH("Long Liquidation",S3402)))</formula>
    </cfRule>
    <cfRule type="containsText" dxfId="2772" priority="4483" operator="containsText" text="Short covering">
      <formula>NOT(ISERROR(SEARCH("Short covering",S3402)))</formula>
    </cfRule>
    <cfRule type="containsText" dxfId="2771" priority="4484" operator="containsText" text="Long Buildup">
      <formula>NOT(ISERROR(SEARCH("Long Buildup",S3402)))</formula>
    </cfRule>
  </conditionalFormatting>
  <conditionalFormatting sqref="F3402:F3417">
    <cfRule type="dataBar" priority="4480">
      <dataBar>
        <cfvo type="min"/>
        <cfvo type="max"/>
        <color rgb="FFFF555A"/>
      </dataBar>
    </cfRule>
  </conditionalFormatting>
  <conditionalFormatting sqref="G3402:G3417">
    <cfRule type="dataBar" priority="4479">
      <dataBar>
        <cfvo type="min"/>
        <cfvo type="max"/>
        <color rgb="FFFF555A"/>
      </dataBar>
    </cfRule>
  </conditionalFormatting>
  <conditionalFormatting sqref="H3402">
    <cfRule type="dataBar" priority="4478">
      <dataBar>
        <cfvo type="min"/>
        <cfvo type="max"/>
        <color rgb="FFFF555A"/>
      </dataBar>
    </cfRule>
  </conditionalFormatting>
  <conditionalFormatting sqref="I3402">
    <cfRule type="dataBar" priority="4477">
      <dataBar>
        <cfvo type="min"/>
        <cfvo type="max"/>
        <color rgb="FFFF555A"/>
      </dataBar>
    </cfRule>
  </conditionalFormatting>
  <conditionalFormatting sqref="J3402">
    <cfRule type="dataBar" priority="4476">
      <dataBar>
        <cfvo type="min"/>
        <cfvo type="max"/>
        <color rgb="FFFF555A"/>
      </dataBar>
    </cfRule>
  </conditionalFormatting>
  <conditionalFormatting sqref="E3403:E3417">
    <cfRule type="dataBar" priority="4475">
      <dataBar>
        <cfvo type="min"/>
        <cfvo type="max"/>
        <color rgb="FFFF555A"/>
      </dataBar>
    </cfRule>
  </conditionalFormatting>
  <conditionalFormatting sqref="H3403:H3417">
    <cfRule type="dataBar" priority="4474">
      <dataBar>
        <cfvo type="min"/>
        <cfvo type="max"/>
        <color rgb="FFFF555A"/>
      </dataBar>
    </cfRule>
  </conditionalFormatting>
  <conditionalFormatting sqref="I3403:I3417">
    <cfRule type="dataBar" priority="4473">
      <dataBar>
        <cfvo type="min"/>
        <cfvo type="max"/>
        <color rgb="FFFF555A"/>
      </dataBar>
    </cfRule>
  </conditionalFormatting>
  <conditionalFormatting sqref="J3403:J3417">
    <cfRule type="dataBar" priority="4472">
      <dataBar>
        <cfvo type="min"/>
        <cfvo type="max"/>
        <color rgb="FFFF555A"/>
      </dataBar>
    </cfRule>
  </conditionalFormatting>
  <conditionalFormatting sqref="L3402:L3417">
    <cfRule type="dataBar" priority="4471">
      <dataBar>
        <cfvo type="min"/>
        <cfvo type="max"/>
        <color rgb="FFFF555A"/>
      </dataBar>
    </cfRule>
  </conditionalFormatting>
  <conditionalFormatting sqref="M3402:M3417">
    <cfRule type="dataBar" priority="4470">
      <dataBar>
        <cfvo type="min"/>
        <cfvo type="max"/>
        <color rgb="FFFF555A"/>
      </dataBar>
    </cfRule>
  </conditionalFormatting>
  <conditionalFormatting sqref="N3402:N3417">
    <cfRule type="dataBar" priority="4469">
      <dataBar>
        <cfvo type="min"/>
        <cfvo type="max"/>
        <color rgb="FFFF555A"/>
      </dataBar>
    </cfRule>
  </conditionalFormatting>
  <conditionalFormatting sqref="Q3402:Q3417">
    <cfRule type="dataBar" priority="4468">
      <dataBar>
        <cfvo type="min"/>
        <cfvo type="max"/>
        <color rgb="FFFF555A"/>
      </dataBar>
    </cfRule>
  </conditionalFormatting>
  <conditionalFormatting sqref="O3402:O3417">
    <cfRule type="dataBar" priority="4467">
      <dataBar>
        <cfvo type="min"/>
        <cfvo type="max"/>
        <color rgb="FFFF555A"/>
      </dataBar>
    </cfRule>
  </conditionalFormatting>
  <conditionalFormatting sqref="P3402:P3417">
    <cfRule type="dataBar" priority="4466">
      <dataBar>
        <cfvo type="min"/>
        <cfvo type="max"/>
        <color rgb="FFFF555A"/>
      </dataBar>
    </cfRule>
  </conditionalFormatting>
  <conditionalFormatting sqref="R3419:R3435 D3419:D3434 C3435">
    <cfRule type="containsText" dxfId="2770" priority="4465" operator="containsText" text="DOWN">
      <formula>NOT(ISERROR(SEARCH("DOWN",C3419)))</formula>
    </cfRule>
  </conditionalFormatting>
  <conditionalFormatting sqref="R3419:R3435 D3419:D3434 C3435">
    <cfRule type="containsText" dxfId="2769" priority="4464" operator="containsText" text="UP">
      <formula>NOT(ISERROR(SEARCH("UP",C3419)))</formula>
    </cfRule>
  </conditionalFormatting>
  <conditionalFormatting sqref="I3435">
    <cfRule type="colorScale" priority="4463">
      <colorScale>
        <cfvo type="min"/>
        <cfvo type="max"/>
        <color rgb="FFFFEF9C"/>
        <color rgb="FF63BE7B"/>
      </colorScale>
    </cfRule>
  </conditionalFormatting>
  <conditionalFormatting sqref="M3435">
    <cfRule type="colorScale" priority="4462">
      <colorScale>
        <cfvo type="min"/>
        <cfvo type="max"/>
        <color rgb="FFFF7128"/>
        <color rgb="FFFFEF9C"/>
      </colorScale>
    </cfRule>
  </conditionalFormatting>
  <conditionalFormatting sqref="Q3435">
    <cfRule type="dataBar" priority="4461">
      <dataBar>
        <cfvo type="min"/>
        <cfvo type="max"/>
        <color rgb="FFFF555A"/>
      </dataBar>
    </cfRule>
  </conditionalFormatting>
  <conditionalFormatting sqref="E3419:E3435">
    <cfRule type="dataBar" priority="4460">
      <dataBar>
        <cfvo type="min"/>
        <cfvo type="max"/>
        <color rgb="FFFF555A"/>
      </dataBar>
    </cfRule>
  </conditionalFormatting>
  <conditionalFormatting sqref="F3435">
    <cfRule type="top10" dxfId="2768" priority="4459" rank="1"/>
  </conditionalFormatting>
  <conditionalFormatting sqref="G3435 P3435">
    <cfRule type="cellIs" dxfId="2767" priority="4458" operator="equal">
      <formula>$G$135</formula>
    </cfRule>
  </conditionalFormatting>
  <conditionalFormatting sqref="P3435">
    <cfRule type="cellIs" dxfId="2766" priority="4457" operator="equal">
      <formula>$J$135</formula>
    </cfRule>
  </conditionalFormatting>
  <conditionalFormatting sqref="G3435 P3435">
    <cfRule type="cellIs" dxfId="2765" priority="4456" operator="equal">
      <formula>#REF!</formula>
    </cfRule>
  </conditionalFormatting>
  <conditionalFormatting sqref="G3435">
    <cfRule type="top10" dxfId="2764" priority="4454" rank="1"/>
    <cfRule type="cellIs" dxfId="2763" priority="4455" operator="equal">
      <formula>$G$133</formula>
    </cfRule>
  </conditionalFormatting>
  <conditionalFormatting sqref="P3435">
    <cfRule type="top10" dxfId="2762" priority="4452" rank="1"/>
    <cfRule type="cellIs" dxfId="2761" priority="4453" operator="equal">
      <formula>$G$133</formula>
    </cfRule>
  </conditionalFormatting>
  <conditionalFormatting sqref="C3419:C3434">
    <cfRule type="containsText" dxfId="2760" priority="4448" operator="containsText" text="Short Buildup">
      <formula>NOT(ISERROR(SEARCH("Short Buildup",C3419)))</formula>
    </cfRule>
    <cfRule type="containsText" dxfId="2759" priority="4449" operator="containsText" text="Long Liquidation">
      <formula>NOT(ISERROR(SEARCH("Long Liquidation",C3419)))</formula>
    </cfRule>
    <cfRule type="containsText" dxfId="2758" priority="4450" operator="containsText" text="Short covering">
      <formula>NOT(ISERROR(SEARCH("Short covering",C3419)))</formula>
    </cfRule>
    <cfRule type="containsText" dxfId="2757" priority="4451" operator="containsText" text="Long Buildup">
      <formula>NOT(ISERROR(SEARCH("Long Buildup",C3419)))</formula>
    </cfRule>
  </conditionalFormatting>
  <conditionalFormatting sqref="H3435">
    <cfRule type="colorScale" priority="4443">
      <colorScale>
        <cfvo type="min"/>
        <cfvo type="percentile" val="20"/>
        <cfvo type="max"/>
        <color rgb="FF92D050"/>
        <color theme="5" tint="0.79998168889431442"/>
        <color rgb="FFFF0000"/>
      </colorScale>
    </cfRule>
    <cfRule type="colorScale" priority="4444">
      <colorScale>
        <cfvo type="min"/>
        <cfvo type="max"/>
        <color rgb="FFFF0000"/>
        <color rgb="FF92D050"/>
      </colorScale>
    </cfRule>
    <cfRule type="colorScale" priority="4445">
      <colorScale>
        <cfvo type="min"/>
        <cfvo type="percentile" val="50"/>
        <cfvo type="max"/>
        <color rgb="FF5A8AC6"/>
        <color rgb="FFFCFCFF"/>
        <color rgb="FFF8696B"/>
      </colorScale>
    </cfRule>
    <cfRule type="colorScale" priority="4446">
      <colorScale>
        <cfvo type="formula" val="&quot;&gt;20&quot;"/>
        <cfvo type="formula" val="35"/>
        <color rgb="FFF8696B"/>
        <color rgb="FFFCFCFF"/>
      </colorScale>
    </cfRule>
    <cfRule type="colorScale" priority="4447">
      <colorScale>
        <cfvo type="min"/>
        <cfvo type="max"/>
        <color rgb="FFFFEF9C"/>
        <color rgb="FF63BE7B"/>
      </colorScale>
    </cfRule>
  </conditionalFormatting>
  <conditionalFormatting sqref="N3435">
    <cfRule type="colorScale" priority="4438">
      <colorScale>
        <cfvo type="min"/>
        <cfvo type="percentile" val="20"/>
        <cfvo type="max"/>
        <color rgb="FF92D050"/>
        <color theme="5" tint="0.79998168889431442"/>
        <color rgb="FFFF0000"/>
      </colorScale>
    </cfRule>
    <cfRule type="colorScale" priority="4439">
      <colorScale>
        <cfvo type="min"/>
        <cfvo type="max"/>
        <color rgb="FFFF0000"/>
        <color rgb="FF92D050"/>
      </colorScale>
    </cfRule>
    <cfRule type="colorScale" priority="4440">
      <colorScale>
        <cfvo type="min"/>
        <cfvo type="percentile" val="50"/>
        <cfvo type="max"/>
        <color rgb="FF5A8AC6"/>
        <color rgb="FFFCFCFF"/>
        <color rgb="FFF8696B"/>
      </colorScale>
    </cfRule>
    <cfRule type="colorScale" priority="4441">
      <colorScale>
        <cfvo type="formula" val="&quot;&gt;20&quot;"/>
        <cfvo type="formula" val="35"/>
        <color rgb="FFF8696B"/>
        <color rgb="FFFCFCFF"/>
      </colorScale>
    </cfRule>
    <cfRule type="colorScale" priority="4442">
      <colorScale>
        <cfvo type="min"/>
        <cfvo type="max"/>
        <color rgb="FFFFEF9C"/>
        <color rgb="FF63BE7B"/>
      </colorScale>
    </cfRule>
  </conditionalFormatting>
  <conditionalFormatting sqref="S3419:S3435">
    <cfRule type="containsText" dxfId="2756" priority="4434" operator="containsText" text="Short Buildup">
      <formula>NOT(ISERROR(SEARCH("Short Buildup",S3419)))</formula>
    </cfRule>
    <cfRule type="containsText" dxfId="2755" priority="4435" operator="containsText" text="Long Liquidation">
      <formula>NOT(ISERROR(SEARCH("Long Liquidation",S3419)))</formula>
    </cfRule>
    <cfRule type="containsText" dxfId="2754" priority="4436" operator="containsText" text="Short covering">
      <formula>NOT(ISERROR(SEARCH("Short covering",S3419)))</formula>
    </cfRule>
    <cfRule type="containsText" dxfId="2753" priority="4437" operator="containsText" text="Long Buildup">
      <formula>NOT(ISERROR(SEARCH("Long Buildup",S3419)))</formula>
    </cfRule>
  </conditionalFormatting>
  <conditionalFormatting sqref="F3419:F3434">
    <cfRule type="dataBar" priority="4433">
      <dataBar>
        <cfvo type="min"/>
        <cfvo type="max"/>
        <color rgb="FFFF555A"/>
      </dataBar>
    </cfRule>
  </conditionalFormatting>
  <conditionalFormatting sqref="G3419:G3434">
    <cfRule type="dataBar" priority="4432">
      <dataBar>
        <cfvo type="min"/>
        <cfvo type="max"/>
        <color rgb="FFFF555A"/>
      </dataBar>
    </cfRule>
  </conditionalFormatting>
  <conditionalFormatting sqref="H3419">
    <cfRule type="dataBar" priority="4431">
      <dataBar>
        <cfvo type="min"/>
        <cfvo type="max"/>
        <color rgb="FFFF555A"/>
      </dataBar>
    </cfRule>
  </conditionalFormatting>
  <conditionalFormatting sqref="I3419">
    <cfRule type="dataBar" priority="4430">
      <dataBar>
        <cfvo type="min"/>
        <cfvo type="max"/>
        <color rgb="FFFF555A"/>
      </dataBar>
    </cfRule>
  </conditionalFormatting>
  <conditionalFormatting sqref="J3419">
    <cfRule type="dataBar" priority="4429">
      <dataBar>
        <cfvo type="min"/>
        <cfvo type="max"/>
        <color rgb="FFFF555A"/>
      </dataBar>
    </cfRule>
  </conditionalFormatting>
  <conditionalFormatting sqref="E3420:E3434">
    <cfRule type="dataBar" priority="4428">
      <dataBar>
        <cfvo type="min"/>
        <cfvo type="max"/>
        <color rgb="FFFF555A"/>
      </dataBar>
    </cfRule>
  </conditionalFormatting>
  <conditionalFormatting sqref="H3420:H3434">
    <cfRule type="dataBar" priority="4427">
      <dataBar>
        <cfvo type="min"/>
        <cfvo type="max"/>
        <color rgb="FFFF555A"/>
      </dataBar>
    </cfRule>
  </conditionalFormatting>
  <conditionalFormatting sqref="I3420:I3434">
    <cfRule type="dataBar" priority="4426">
      <dataBar>
        <cfvo type="min"/>
        <cfvo type="max"/>
        <color rgb="FFFF555A"/>
      </dataBar>
    </cfRule>
  </conditionalFormatting>
  <conditionalFormatting sqref="J3420:J3434">
    <cfRule type="dataBar" priority="4425">
      <dataBar>
        <cfvo type="min"/>
        <cfvo type="max"/>
        <color rgb="FFFF555A"/>
      </dataBar>
    </cfRule>
  </conditionalFormatting>
  <conditionalFormatting sqref="L3419:L3434">
    <cfRule type="dataBar" priority="4424">
      <dataBar>
        <cfvo type="min"/>
        <cfvo type="max"/>
        <color rgb="FFFF555A"/>
      </dataBar>
    </cfRule>
  </conditionalFormatting>
  <conditionalFormatting sqref="M3419:M3434">
    <cfRule type="dataBar" priority="4423">
      <dataBar>
        <cfvo type="min"/>
        <cfvo type="max"/>
        <color rgb="FFFF555A"/>
      </dataBar>
    </cfRule>
  </conditionalFormatting>
  <conditionalFormatting sqref="N3419:N3434">
    <cfRule type="dataBar" priority="4422">
      <dataBar>
        <cfvo type="min"/>
        <cfvo type="max"/>
        <color rgb="FFFF555A"/>
      </dataBar>
    </cfRule>
  </conditionalFormatting>
  <conditionalFormatting sqref="Q3419:Q3434">
    <cfRule type="dataBar" priority="4421">
      <dataBar>
        <cfvo type="min"/>
        <cfvo type="max"/>
        <color rgb="FFFF555A"/>
      </dataBar>
    </cfRule>
  </conditionalFormatting>
  <conditionalFormatting sqref="O3419:O3434">
    <cfRule type="dataBar" priority="4420">
      <dataBar>
        <cfvo type="min"/>
        <cfvo type="max"/>
        <color rgb="FFFF555A"/>
      </dataBar>
    </cfRule>
  </conditionalFormatting>
  <conditionalFormatting sqref="P3419:P3434">
    <cfRule type="dataBar" priority="4419">
      <dataBar>
        <cfvo type="min"/>
        <cfvo type="max"/>
        <color rgb="FFFF555A"/>
      </dataBar>
    </cfRule>
  </conditionalFormatting>
  <conditionalFormatting sqref="R3436:R3452 D3436:D3451 C3452">
    <cfRule type="containsText" dxfId="2752" priority="4418" operator="containsText" text="DOWN">
      <formula>NOT(ISERROR(SEARCH("DOWN",C3436)))</formula>
    </cfRule>
  </conditionalFormatting>
  <conditionalFormatting sqref="R3436:R3452 D3436:D3451 C3452">
    <cfRule type="containsText" dxfId="2751" priority="4417" operator="containsText" text="UP">
      <formula>NOT(ISERROR(SEARCH("UP",C3436)))</formula>
    </cfRule>
  </conditionalFormatting>
  <conditionalFormatting sqref="I3452">
    <cfRule type="colorScale" priority="4416">
      <colorScale>
        <cfvo type="min"/>
        <cfvo type="max"/>
        <color rgb="FFFFEF9C"/>
        <color rgb="FF63BE7B"/>
      </colorScale>
    </cfRule>
  </conditionalFormatting>
  <conditionalFormatting sqref="M3452">
    <cfRule type="colorScale" priority="4415">
      <colorScale>
        <cfvo type="min"/>
        <cfvo type="max"/>
        <color rgb="FFFF7128"/>
        <color rgb="FFFFEF9C"/>
      </colorScale>
    </cfRule>
  </conditionalFormatting>
  <conditionalFormatting sqref="Q3452">
    <cfRule type="dataBar" priority="4414">
      <dataBar>
        <cfvo type="min"/>
        <cfvo type="max"/>
        <color rgb="FFFF555A"/>
      </dataBar>
    </cfRule>
  </conditionalFormatting>
  <conditionalFormatting sqref="E3436:E3452">
    <cfRule type="dataBar" priority="4413">
      <dataBar>
        <cfvo type="min"/>
        <cfvo type="max"/>
        <color rgb="FFFF555A"/>
      </dataBar>
    </cfRule>
  </conditionalFormatting>
  <conditionalFormatting sqref="F3452">
    <cfRule type="top10" dxfId="2750" priority="4412" rank="1"/>
  </conditionalFormatting>
  <conditionalFormatting sqref="G3452 P3452">
    <cfRule type="cellIs" dxfId="2749" priority="4411" operator="equal">
      <formula>$G$135</formula>
    </cfRule>
  </conditionalFormatting>
  <conditionalFormatting sqref="P3452">
    <cfRule type="cellIs" dxfId="2748" priority="4410" operator="equal">
      <formula>$J$135</formula>
    </cfRule>
  </conditionalFormatting>
  <conditionalFormatting sqref="G3452 P3452">
    <cfRule type="cellIs" dxfId="2747" priority="4409" operator="equal">
      <formula>#REF!</formula>
    </cfRule>
  </conditionalFormatting>
  <conditionalFormatting sqref="G3452">
    <cfRule type="top10" dxfId="2746" priority="4407" rank="1"/>
    <cfRule type="cellIs" dxfId="2745" priority="4408" operator="equal">
      <formula>$G$133</formula>
    </cfRule>
  </conditionalFormatting>
  <conditionalFormatting sqref="P3452">
    <cfRule type="top10" dxfId="2744" priority="4405" rank="1"/>
    <cfRule type="cellIs" dxfId="2743" priority="4406" operator="equal">
      <formula>$G$133</formula>
    </cfRule>
  </conditionalFormatting>
  <conditionalFormatting sqref="C3436:C3451">
    <cfRule type="containsText" dxfId="2742" priority="4401" operator="containsText" text="Short Buildup">
      <formula>NOT(ISERROR(SEARCH("Short Buildup",C3436)))</formula>
    </cfRule>
    <cfRule type="containsText" dxfId="2741" priority="4402" operator="containsText" text="Long Liquidation">
      <formula>NOT(ISERROR(SEARCH("Long Liquidation",C3436)))</formula>
    </cfRule>
    <cfRule type="containsText" dxfId="2740" priority="4403" operator="containsText" text="Short covering">
      <formula>NOT(ISERROR(SEARCH("Short covering",C3436)))</formula>
    </cfRule>
    <cfRule type="containsText" dxfId="2739" priority="4404" operator="containsText" text="Long Buildup">
      <formula>NOT(ISERROR(SEARCH("Long Buildup",C3436)))</formula>
    </cfRule>
  </conditionalFormatting>
  <conditionalFormatting sqref="H3452">
    <cfRule type="colorScale" priority="4396">
      <colorScale>
        <cfvo type="min"/>
        <cfvo type="percentile" val="20"/>
        <cfvo type="max"/>
        <color rgb="FF92D050"/>
        <color theme="5" tint="0.79998168889431442"/>
        <color rgb="FFFF0000"/>
      </colorScale>
    </cfRule>
    <cfRule type="colorScale" priority="4397">
      <colorScale>
        <cfvo type="min"/>
        <cfvo type="max"/>
        <color rgb="FFFF0000"/>
        <color rgb="FF92D050"/>
      </colorScale>
    </cfRule>
    <cfRule type="colorScale" priority="4398">
      <colorScale>
        <cfvo type="min"/>
        <cfvo type="percentile" val="50"/>
        <cfvo type="max"/>
        <color rgb="FF5A8AC6"/>
        <color rgb="FFFCFCFF"/>
        <color rgb="FFF8696B"/>
      </colorScale>
    </cfRule>
    <cfRule type="colorScale" priority="4399">
      <colorScale>
        <cfvo type="formula" val="&quot;&gt;20&quot;"/>
        <cfvo type="formula" val="35"/>
        <color rgb="FFF8696B"/>
        <color rgb="FFFCFCFF"/>
      </colorScale>
    </cfRule>
    <cfRule type="colorScale" priority="4400">
      <colorScale>
        <cfvo type="min"/>
        <cfvo type="max"/>
        <color rgb="FFFFEF9C"/>
        <color rgb="FF63BE7B"/>
      </colorScale>
    </cfRule>
  </conditionalFormatting>
  <conditionalFormatting sqref="N3452">
    <cfRule type="colorScale" priority="4391">
      <colorScale>
        <cfvo type="min"/>
        <cfvo type="percentile" val="20"/>
        <cfvo type="max"/>
        <color rgb="FF92D050"/>
        <color theme="5" tint="0.79998168889431442"/>
        <color rgb="FFFF0000"/>
      </colorScale>
    </cfRule>
    <cfRule type="colorScale" priority="4392">
      <colorScale>
        <cfvo type="min"/>
        <cfvo type="max"/>
        <color rgb="FFFF0000"/>
        <color rgb="FF92D050"/>
      </colorScale>
    </cfRule>
    <cfRule type="colorScale" priority="4393">
      <colorScale>
        <cfvo type="min"/>
        <cfvo type="percentile" val="50"/>
        <cfvo type="max"/>
        <color rgb="FF5A8AC6"/>
        <color rgb="FFFCFCFF"/>
        <color rgb="FFF8696B"/>
      </colorScale>
    </cfRule>
    <cfRule type="colorScale" priority="4394">
      <colorScale>
        <cfvo type="formula" val="&quot;&gt;20&quot;"/>
        <cfvo type="formula" val="35"/>
        <color rgb="FFF8696B"/>
        <color rgb="FFFCFCFF"/>
      </colorScale>
    </cfRule>
    <cfRule type="colorScale" priority="4395">
      <colorScale>
        <cfvo type="min"/>
        <cfvo type="max"/>
        <color rgb="FFFFEF9C"/>
        <color rgb="FF63BE7B"/>
      </colorScale>
    </cfRule>
  </conditionalFormatting>
  <conditionalFormatting sqref="S3436:S3452">
    <cfRule type="containsText" dxfId="2738" priority="4387" operator="containsText" text="Short Buildup">
      <formula>NOT(ISERROR(SEARCH("Short Buildup",S3436)))</formula>
    </cfRule>
    <cfRule type="containsText" dxfId="2737" priority="4388" operator="containsText" text="Long Liquidation">
      <formula>NOT(ISERROR(SEARCH("Long Liquidation",S3436)))</formula>
    </cfRule>
    <cfRule type="containsText" dxfId="2736" priority="4389" operator="containsText" text="Short covering">
      <formula>NOT(ISERROR(SEARCH("Short covering",S3436)))</formula>
    </cfRule>
    <cfRule type="containsText" dxfId="2735" priority="4390" operator="containsText" text="Long Buildup">
      <formula>NOT(ISERROR(SEARCH("Long Buildup",S3436)))</formula>
    </cfRule>
  </conditionalFormatting>
  <conditionalFormatting sqref="F3436:F3451">
    <cfRule type="dataBar" priority="4386">
      <dataBar>
        <cfvo type="min"/>
        <cfvo type="max"/>
        <color rgb="FFFF555A"/>
      </dataBar>
    </cfRule>
  </conditionalFormatting>
  <conditionalFormatting sqref="G3436:G3451">
    <cfRule type="dataBar" priority="4385">
      <dataBar>
        <cfvo type="min"/>
        <cfvo type="max"/>
        <color rgb="FFFF555A"/>
      </dataBar>
    </cfRule>
  </conditionalFormatting>
  <conditionalFormatting sqref="H3436">
    <cfRule type="dataBar" priority="4384">
      <dataBar>
        <cfvo type="min"/>
        <cfvo type="max"/>
        <color rgb="FFFF555A"/>
      </dataBar>
    </cfRule>
  </conditionalFormatting>
  <conditionalFormatting sqref="I3436">
    <cfRule type="dataBar" priority="4383">
      <dataBar>
        <cfvo type="min"/>
        <cfvo type="max"/>
        <color rgb="FFFF555A"/>
      </dataBar>
    </cfRule>
  </conditionalFormatting>
  <conditionalFormatting sqref="J3436">
    <cfRule type="dataBar" priority="4382">
      <dataBar>
        <cfvo type="min"/>
        <cfvo type="max"/>
        <color rgb="FFFF555A"/>
      </dataBar>
    </cfRule>
  </conditionalFormatting>
  <conditionalFormatting sqref="E3437:E3451">
    <cfRule type="dataBar" priority="4381">
      <dataBar>
        <cfvo type="min"/>
        <cfvo type="max"/>
        <color rgb="FFFF555A"/>
      </dataBar>
    </cfRule>
  </conditionalFormatting>
  <conditionalFormatting sqref="H3437:H3451">
    <cfRule type="dataBar" priority="4380">
      <dataBar>
        <cfvo type="min"/>
        <cfvo type="max"/>
        <color rgb="FFFF555A"/>
      </dataBar>
    </cfRule>
  </conditionalFormatting>
  <conditionalFormatting sqref="I3437:I3451">
    <cfRule type="dataBar" priority="4379">
      <dataBar>
        <cfvo type="min"/>
        <cfvo type="max"/>
        <color rgb="FFFF555A"/>
      </dataBar>
    </cfRule>
  </conditionalFormatting>
  <conditionalFormatting sqref="J3437:J3451">
    <cfRule type="dataBar" priority="4378">
      <dataBar>
        <cfvo type="min"/>
        <cfvo type="max"/>
        <color rgb="FFFF555A"/>
      </dataBar>
    </cfRule>
  </conditionalFormatting>
  <conditionalFormatting sqref="L3436:L3451">
    <cfRule type="dataBar" priority="4377">
      <dataBar>
        <cfvo type="min"/>
        <cfvo type="max"/>
        <color rgb="FFFF555A"/>
      </dataBar>
    </cfRule>
  </conditionalFormatting>
  <conditionalFormatting sqref="M3436:M3451">
    <cfRule type="dataBar" priority="4376">
      <dataBar>
        <cfvo type="min"/>
        <cfvo type="max"/>
        <color rgb="FFFF555A"/>
      </dataBar>
    </cfRule>
  </conditionalFormatting>
  <conditionalFormatting sqref="N3436:N3451">
    <cfRule type="dataBar" priority="4375">
      <dataBar>
        <cfvo type="min"/>
        <cfvo type="max"/>
        <color rgb="FFFF555A"/>
      </dataBar>
    </cfRule>
  </conditionalFormatting>
  <conditionalFormatting sqref="Q3436:Q3451">
    <cfRule type="dataBar" priority="4374">
      <dataBar>
        <cfvo type="min"/>
        <cfvo type="max"/>
        <color rgb="FFFF555A"/>
      </dataBar>
    </cfRule>
  </conditionalFormatting>
  <conditionalFormatting sqref="O3436:O3451">
    <cfRule type="dataBar" priority="4373">
      <dataBar>
        <cfvo type="min"/>
        <cfvo type="max"/>
        <color rgb="FFFF555A"/>
      </dataBar>
    </cfRule>
  </conditionalFormatting>
  <conditionalFormatting sqref="P3436:P3451">
    <cfRule type="dataBar" priority="4372">
      <dataBar>
        <cfvo type="min"/>
        <cfvo type="max"/>
        <color rgb="FFFF555A"/>
      </dataBar>
    </cfRule>
  </conditionalFormatting>
  <conditionalFormatting sqref="R3453:R3469 D3453:D3468 C3469">
    <cfRule type="containsText" dxfId="2734" priority="4371" operator="containsText" text="DOWN">
      <formula>NOT(ISERROR(SEARCH("DOWN",C3453)))</formula>
    </cfRule>
  </conditionalFormatting>
  <conditionalFormatting sqref="R3453:R3469 D3453:D3468 C3469">
    <cfRule type="containsText" dxfId="2733" priority="4370" operator="containsText" text="UP">
      <formula>NOT(ISERROR(SEARCH("UP",C3453)))</formula>
    </cfRule>
  </conditionalFormatting>
  <conditionalFormatting sqref="I3469">
    <cfRule type="colorScale" priority="4369">
      <colorScale>
        <cfvo type="min"/>
        <cfvo type="max"/>
        <color rgb="FFFFEF9C"/>
        <color rgb="FF63BE7B"/>
      </colorScale>
    </cfRule>
  </conditionalFormatting>
  <conditionalFormatting sqref="M3469">
    <cfRule type="colorScale" priority="4368">
      <colorScale>
        <cfvo type="min"/>
        <cfvo type="max"/>
        <color rgb="FFFF7128"/>
        <color rgb="FFFFEF9C"/>
      </colorScale>
    </cfRule>
  </conditionalFormatting>
  <conditionalFormatting sqref="Q3469">
    <cfRule type="dataBar" priority="4367">
      <dataBar>
        <cfvo type="min"/>
        <cfvo type="max"/>
        <color rgb="FFFF555A"/>
      </dataBar>
    </cfRule>
  </conditionalFormatting>
  <conditionalFormatting sqref="E3453:E3469">
    <cfRule type="dataBar" priority="4366">
      <dataBar>
        <cfvo type="min"/>
        <cfvo type="max"/>
        <color rgb="FFFF555A"/>
      </dataBar>
    </cfRule>
  </conditionalFormatting>
  <conditionalFormatting sqref="F3469">
    <cfRule type="top10" dxfId="2732" priority="4365" rank="1"/>
  </conditionalFormatting>
  <conditionalFormatting sqref="G3469 P3469">
    <cfRule type="cellIs" dxfId="2731" priority="4364" operator="equal">
      <formula>$G$135</formula>
    </cfRule>
  </conditionalFormatting>
  <conditionalFormatting sqref="P3469">
    <cfRule type="cellIs" dxfId="2730" priority="4363" operator="equal">
      <formula>$J$135</formula>
    </cfRule>
  </conditionalFormatting>
  <conditionalFormatting sqref="G3469 P3469">
    <cfRule type="cellIs" dxfId="2729" priority="4362" operator="equal">
      <formula>#REF!</formula>
    </cfRule>
  </conditionalFormatting>
  <conditionalFormatting sqref="G3469">
    <cfRule type="top10" dxfId="2728" priority="4360" rank="1"/>
    <cfRule type="cellIs" dxfId="2727" priority="4361" operator="equal">
      <formula>$G$133</formula>
    </cfRule>
  </conditionalFormatting>
  <conditionalFormatting sqref="P3469">
    <cfRule type="top10" dxfId="2726" priority="4358" rank="1"/>
    <cfRule type="cellIs" dxfId="2725" priority="4359" operator="equal">
      <formula>$G$133</formula>
    </cfRule>
  </conditionalFormatting>
  <conditionalFormatting sqref="C3453:C3468">
    <cfRule type="containsText" dxfId="2724" priority="4354" operator="containsText" text="Short Buildup">
      <formula>NOT(ISERROR(SEARCH("Short Buildup",C3453)))</formula>
    </cfRule>
    <cfRule type="containsText" dxfId="2723" priority="4355" operator="containsText" text="Long Liquidation">
      <formula>NOT(ISERROR(SEARCH("Long Liquidation",C3453)))</formula>
    </cfRule>
    <cfRule type="containsText" dxfId="2722" priority="4356" operator="containsText" text="Short covering">
      <formula>NOT(ISERROR(SEARCH("Short covering",C3453)))</formula>
    </cfRule>
    <cfRule type="containsText" dxfId="2721" priority="4357" operator="containsText" text="Long Buildup">
      <formula>NOT(ISERROR(SEARCH("Long Buildup",C3453)))</formula>
    </cfRule>
  </conditionalFormatting>
  <conditionalFormatting sqref="H3469">
    <cfRule type="colorScale" priority="4349">
      <colorScale>
        <cfvo type="min"/>
        <cfvo type="percentile" val="20"/>
        <cfvo type="max"/>
        <color rgb="FF92D050"/>
        <color theme="5" tint="0.79998168889431442"/>
        <color rgb="FFFF0000"/>
      </colorScale>
    </cfRule>
    <cfRule type="colorScale" priority="4350">
      <colorScale>
        <cfvo type="min"/>
        <cfvo type="max"/>
        <color rgb="FFFF0000"/>
        <color rgb="FF92D050"/>
      </colorScale>
    </cfRule>
    <cfRule type="colorScale" priority="4351">
      <colorScale>
        <cfvo type="min"/>
        <cfvo type="percentile" val="50"/>
        <cfvo type="max"/>
        <color rgb="FF5A8AC6"/>
        <color rgb="FFFCFCFF"/>
        <color rgb="FFF8696B"/>
      </colorScale>
    </cfRule>
    <cfRule type="colorScale" priority="4352">
      <colorScale>
        <cfvo type="formula" val="&quot;&gt;20&quot;"/>
        <cfvo type="formula" val="35"/>
        <color rgb="FFF8696B"/>
        <color rgb="FFFCFCFF"/>
      </colorScale>
    </cfRule>
    <cfRule type="colorScale" priority="4353">
      <colorScale>
        <cfvo type="min"/>
        <cfvo type="max"/>
        <color rgb="FFFFEF9C"/>
        <color rgb="FF63BE7B"/>
      </colorScale>
    </cfRule>
  </conditionalFormatting>
  <conditionalFormatting sqref="N3469">
    <cfRule type="colorScale" priority="4344">
      <colorScale>
        <cfvo type="min"/>
        <cfvo type="percentile" val="20"/>
        <cfvo type="max"/>
        <color rgb="FF92D050"/>
        <color theme="5" tint="0.79998168889431442"/>
        <color rgb="FFFF0000"/>
      </colorScale>
    </cfRule>
    <cfRule type="colorScale" priority="4345">
      <colorScale>
        <cfvo type="min"/>
        <cfvo type="max"/>
        <color rgb="FFFF0000"/>
        <color rgb="FF92D050"/>
      </colorScale>
    </cfRule>
    <cfRule type="colorScale" priority="4346">
      <colorScale>
        <cfvo type="min"/>
        <cfvo type="percentile" val="50"/>
        <cfvo type="max"/>
        <color rgb="FF5A8AC6"/>
        <color rgb="FFFCFCFF"/>
        <color rgb="FFF8696B"/>
      </colorScale>
    </cfRule>
    <cfRule type="colorScale" priority="4347">
      <colorScale>
        <cfvo type="formula" val="&quot;&gt;20&quot;"/>
        <cfvo type="formula" val="35"/>
        <color rgb="FFF8696B"/>
        <color rgb="FFFCFCFF"/>
      </colorScale>
    </cfRule>
    <cfRule type="colorScale" priority="4348">
      <colorScale>
        <cfvo type="min"/>
        <cfvo type="max"/>
        <color rgb="FFFFEF9C"/>
        <color rgb="FF63BE7B"/>
      </colorScale>
    </cfRule>
  </conditionalFormatting>
  <conditionalFormatting sqref="S3453:S3469">
    <cfRule type="containsText" dxfId="2720" priority="4340" operator="containsText" text="Short Buildup">
      <formula>NOT(ISERROR(SEARCH("Short Buildup",S3453)))</formula>
    </cfRule>
    <cfRule type="containsText" dxfId="2719" priority="4341" operator="containsText" text="Long Liquidation">
      <formula>NOT(ISERROR(SEARCH("Long Liquidation",S3453)))</formula>
    </cfRule>
    <cfRule type="containsText" dxfId="2718" priority="4342" operator="containsText" text="Short covering">
      <formula>NOT(ISERROR(SEARCH("Short covering",S3453)))</formula>
    </cfRule>
    <cfRule type="containsText" dxfId="2717" priority="4343" operator="containsText" text="Long Buildup">
      <formula>NOT(ISERROR(SEARCH("Long Buildup",S3453)))</formula>
    </cfRule>
  </conditionalFormatting>
  <conditionalFormatting sqref="F3453:F3468">
    <cfRule type="dataBar" priority="4339">
      <dataBar>
        <cfvo type="min"/>
        <cfvo type="max"/>
        <color rgb="FFFF555A"/>
      </dataBar>
    </cfRule>
  </conditionalFormatting>
  <conditionalFormatting sqref="G3453:G3468">
    <cfRule type="dataBar" priority="4338">
      <dataBar>
        <cfvo type="min"/>
        <cfvo type="max"/>
        <color rgb="FFFF555A"/>
      </dataBar>
    </cfRule>
  </conditionalFormatting>
  <conditionalFormatting sqref="H3453">
    <cfRule type="dataBar" priority="4337">
      <dataBar>
        <cfvo type="min"/>
        <cfvo type="max"/>
        <color rgb="FFFF555A"/>
      </dataBar>
    </cfRule>
  </conditionalFormatting>
  <conditionalFormatting sqref="I3453">
    <cfRule type="dataBar" priority="4336">
      <dataBar>
        <cfvo type="min"/>
        <cfvo type="max"/>
        <color rgb="FFFF555A"/>
      </dataBar>
    </cfRule>
  </conditionalFormatting>
  <conditionalFormatting sqref="J3453">
    <cfRule type="dataBar" priority="4335">
      <dataBar>
        <cfvo type="min"/>
        <cfvo type="max"/>
        <color rgb="FFFF555A"/>
      </dataBar>
    </cfRule>
  </conditionalFormatting>
  <conditionalFormatting sqref="E3454:E3468">
    <cfRule type="dataBar" priority="4334">
      <dataBar>
        <cfvo type="min"/>
        <cfvo type="max"/>
        <color rgb="FFFF555A"/>
      </dataBar>
    </cfRule>
  </conditionalFormatting>
  <conditionalFormatting sqref="H3454:H3468">
    <cfRule type="dataBar" priority="4333">
      <dataBar>
        <cfvo type="min"/>
        <cfvo type="max"/>
        <color rgb="FFFF555A"/>
      </dataBar>
    </cfRule>
  </conditionalFormatting>
  <conditionalFormatting sqref="I3454:I3468">
    <cfRule type="dataBar" priority="4332">
      <dataBar>
        <cfvo type="min"/>
        <cfvo type="max"/>
        <color rgb="FFFF555A"/>
      </dataBar>
    </cfRule>
  </conditionalFormatting>
  <conditionalFormatting sqref="J3454:J3468">
    <cfRule type="dataBar" priority="4331">
      <dataBar>
        <cfvo type="min"/>
        <cfvo type="max"/>
        <color rgb="FFFF555A"/>
      </dataBar>
    </cfRule>
  </conditionalFormatting>
  <conditionalFormatting sqref="L3453:L3468">
    <cfRule type="dataBar" priority="4330">
      <dataBar>
        <cfvo type="min"/>
        <cfvo type="max"/>
        <color rgb="FFFF555A"/>
      </dataBar>
    </cfRule>
  </conditionalFormatting>
  <conditionalFormatting sqref="M3453:M3468">
    <cfRule type="dataBar" priority="4329">
      <dataBar>
        <cfvo type="min"/>
        <cfvo type="max"/>
        <color rgb="FFFF555A"/>
      </dataBar>
    </cfRule>
  </conditionalFormatting>
  <conditionalFormatting sqref="N3453:N3468">
    <cfRule type="dataBar" priority="4328">
      <dataBar>
        <cfvo type="min"/>
        <cfvo type="max"/>
        <color rgb="FFFF555A"/>
      </dataBar>
    </cfRule>
  </conditionalFormatting>
  <conditionalFormatting sqref="Q3453:Q3468">
    <cfRule type="dataBar" priority="4327">
      <dataBar>
        <cfvo type="min"/>
        <cfvo type="max"/>
        <color rgb="FFFF555A"/>
      </dataBar>
    </cfRule>
  </conditionalFormatting>
  <conditionalFormatting sqref="O3453:O3468">
    <cfRule type="dataBar" priority="4326">
      <dataBar>
        <cfvo type="min"/>
        <cfvo type="max"/>
        <color rgb="FFFF555A"/>
      </dataBar>
    </cfRule>
  </conditionalFormatting>
  <conditionalFormatting sqref="P3453:P3468">
    <cfRule type="dataBar" priority="4325">
      <dataBar>
        <cfvo type="min"/>
        <cfvo type="max"/>
        <color rgb="FFFF555A"/>
      </dataBar>
    </cfRule>
  </conditionalFormatting>
  <conditionalFormatting sqref="R3470:R3486 D3470:D3485 C3486">
    <cfRule type="containsText" dxfId="2716" priority="4324" operator="containsText" text="DOWN">
      <formula>NOT(ISERROR(SEARCH("DOWN",C3470)))</formula>
    </cfRule>
  </conditionalFormatting>
  <conditionalFormatting sqref="R3470:R3486 D3470:D3485 C3486">
    <cfRule type="containsText" dxfId="2715" priority="4323" operator="containsText" text="UP">
      <formula>NOT(ISERROR(SEARCH("UP",C3470)))</formula>
    </cfRule>
  </conditionalFormatting>
  <conditionalFormatting sqref="I3486">
    <cfRule type="colorScale" priority="4322">
      <colorScale>
        <cfvo type="min"/>
        <cfvo type="max"/>
        <color rgb="FFFFEF9C"/>
        <color rgb="FF63BE7B"/>
      </colorScale>
    </cfRule>
  </conditionalFormatting>
  <conditionalFormatting sqref="M3486">
    <cfRule type="colorScale" priority="4321">
      <colorScale>
        <cfvo type="min"/>
        <cfvo type="max"/>
        <color rgb="FFFF7128"/>
        <color rgb="FFFFEF9C"/>
      </colorScale>
    </cfRule>
  </conditionalFormatting>
  <conditionalFormatting sqref="Q3486">
    <cfRule type="dataBar" priority="4320">
      <dataBar>
        <cfvo type="min"/>
        <cfvo type="max"/>
        <color rgb="FFFF555A"/>
      </dataBar>
    </cfRule>
  </conditionalFormatting>
  <conditionalFormatting sqref="E3470:E3486">
    <cfRule type="dataBar" priority="4319">
      <dataBar>
        <cfvo type="min"/>
        <cfvo type="max"/>
        <color rgb="FFFF555A"/>
      </dataBar>
    </cfRule>
  </conditionalFormatting>
  <conditionalFormatting sqref="F3486">
    <cfRule type="top10" dxfId="2714" priority="4318" rank="1"/>
  </conditionalFormatting>
  <conditionalFormatting sqref="G3486 P3486">
    <cfRule type="cellIs" dxfId="2713" priority="4317" operator="equal">
      <formula>$G$135</formula>
    </cfRule>
  </conditionalFormatting>
  <conditionalFormatting sqref="P3486">
    <cfRule type="cellIs" dxfId="2712" priority="4316" operator="equal">
      <formula>$J$135</formula>
    </cfRule>
  </conditionalFormatting>
  <conditionalFormatting sqref="G3486 P3486">
    <cfRule type="cellIs" dxfId="2711" priority="4315" operator="equal">
      <formula>#REF!</formula>
    </cfRule>
  </conditionalFormatting>
  <conditionalFormatting sqref="G3486">
    <cfRule type="top10" dxfId="2710" priority="4313" rank="1"/>
    <cfRule type="cellIs" dxfId="2709" priority="4314" operator="equal">
      <formula>$G$133</formula>
    </cfRule>
  </conditionalFormatting>
  <conditionalFormatting sqref="P3486">
    <cfRule type="top10" dxfId="2708" priority="4311" rank="1"/>
    <cfRule type="cellIs" dxfId="2707" priority="4312" operator="equal">
      <formula>$G$133</formula>
    </cfRule>
  </conditionalFormatting>
  <conditionalFormatting sqref="C3470:C3485">
    <cfRule type="containsText" dxfId="2706" priority="4307" operator="containsText" text="Short Buildup">
      <formula>NOT(ISERROR(SEARCH("Short Buildup",C3470)))</formula>
    </cfRule>
    <cfRule type="containsText" dxfId="2705" priority="4308" operator="containsText" text="Long Liquidation">
      <formula>NOT(ISERROR(SEARCH("Long Liquidation",C3470)))</formula>
    </cfRule>
    <cfRule type="containsText" dxfId="2704" priority="4309" operator="containsText" text="Short covering">
      <formula>NOT(ISERROR(SEARCH("Short covering",C3470)))</formula>
    </cfRule>
    <cfRule type="containsText" dxfId="2703" priority="4310" operator="containsText" text="Long Buildup">
      <formula>NOT(ISERROR(SEARCH("Long Buildup",C3470)))</formula>
    </cfRule>
  </conditionalFormatting>
  <conditionalFormatting sqref="H3486">
    <cfRule type="colorScale" priority="4302">
      <colorScale>
        <cfvo type="min"/>
        <cfvo type="percentile" val="20"/>
        <cfvo type="max"/>
        <color rgb="FF92D050"/>
        <color theme="5" tint="0.79998168889431442"/>
        <color rgb="FFFF0000"/>
      </colorScale>
    </cfRule>
    <cfRule type="colorScale" priority="4303">
      <colorScale>
        <cfvo type="min"/>
        <cfvo type="max"/>
        <color rgb="FFFF0000"/>
        <color rgb="FF92D050"/>
      </colorScale>
    </cfRule>
    <cfRule type="colorScale" priority="4304">
      <colorScale>
        <cfvo type="min"/>
        <cfvo type="percentile" val="50"/>
        <cfvo type="max"/>
        <color rgb="FF5A8AC6"/>
        <color rgb="FFFCFCFF"/>
        <color rgb="FFF8696B"/>
      </colorScale>
    </cfRule>
    <cfRule type="colorScale" priority="4305">
      <colorScale>
        <cfvo type="formula" val="&quot;&gt;20&quot;"/>
        <cfvo type="formula" val="35"/>
        <color rgb="FFF8696B"/>
        <color rgb="FFFCFCFF"/>
      </colorScale>
    </cfRule>
    <cfRule type="colorScale" priority="4306">
      <colorScale>
        <cfvo type="min"/>
        <cfvo type="max"/>
        <color rgb="FFFFEF9C"/>
        <color rgb="FF63BE7B"/>
      </colorScale>
    </cfRule>
  </conditionalFormatting>
  <conditionalFormatting sqref="N3486">
    <cfRule type="colorScale" priority="4297">
      <colorScale>
        <cfvo type="min"/>
        <cfvo type="percentile" val="20"/>
        <cfvo type="max"/>
        <color rgb="FF92D050"/>
        <color theme="5" tint="0.79998168889431442"/>
        <color rgb="FFFF0000"/>
      </colorScale>
    </cfRule>
    <cfRule type="colorScale" priority="4298">
      <colorScale>
        <cfvo type="min"/>
        <cfvo type="max"/>
        <color rgb="FFFF0000"/>
        <color rgb="FF92D050"/>
      </colorScale>
    </cfRule>
    <cfRule type="colorScale" priority="4299">
      <colorScale>
        <cfvo type="min"/>
        <cfvo type="percentile" val="50"/>
        <cfvo type="max"/>
        <color rgb="FF5A8AC6"/>
        <color rgb="FFFCFCFF"/>
        <color rgb="FFF8696B"/>
      </colorScale>
    </cfRule>
    <cfRule type="colorScale" priority="4300">
      <colorScale>
        <cfvo type="formula" val="&quot;&gt;20&quot;"/>
        <cfvo type="formula" val="35"/>
        <color rgb="FFF8696B"/>
        <color rgb="FFFCFCFF"/>
      </colorScale>
    </cfRule>
    <cfRule type="colorScale" priority="4301">
      <colorScale>
        <cfvo type="min"/>
        <cfvo type="max"/>
        <color rgb="FFFFEF9C"/>
        <color rgb="FF63BE7B"/>
      </colorScale>
    </cfRule>
  </conditionalFormatting>
  <conditionalFormatting sqref="S3470:S3486">
    <cfRule type="containsText" dxfId="2702" priority="4293" operator="containsText" text="Short Buildup">
      <formula>NOT(ISERROR(SEARCH("Short Buildup",S3470)))</formula>
    </cfRule>
    <cfRule type="containsText" dxfId="2701" priority="4294" operator="containsText" text="Long Liquidation">
      <formula>NOT(ISERROR(SEARCH("Long Liquidation",S3470)))</formula>
    </cfRule>
    <cfRule type="containsText" dxfId="2700" priority="4295" operator="containsText" text="Short covering">
      <formula>NOT(ISERROR(SEARCH("Short covering",S3470)))</formula>
    </cfRule>
    <cfRule type="containsText" dxfId="2699" priority="4296" operator="containsText" text="Long Buildup">
      <formula>NOT(ISERROR(SEARCH("Long Buildup",S3470)))</formula>
    </cfRule>
  </conditionalFormatting>
  <conditionalFormatting sqref="F3470:F3485">
    <cfRule type="dataBar" priority="4292">
      <dataBar>
        <cfvo type="min"/>
        <cfvo type="max"/>
        <color rgb="FFFF555A"/>
      </dataBar>
    </cfRule>
  </conditionalFormatting>
  <conditionalFormatting sqref="G3470:G3485">
    <cfRule type="dataBar" priority="4291">
      <dataBar>
        <cfvo type="min"/>
        <cfvo type="max"/>
        <color rgb="FFFF555A"/>
      </dataBar>
    </cfRule>
  </conditionalFormatting>
  <conditionalFormatting sqref="H3470">
    <cfRule type="dataBar" priority="4290">
      <dataBar>
        <cfvo type="min"/>
        <cfvo type="max"/>
        <color rgb="FFFF555A"/>
      </dataBar>
    </cfRule>
  </conditionalFormatting>
  <conditionalFormatting sqref="I3470">
    <cfRule type="dataBar" priority="4289">
      <dataBar>
        <cfvo type="min"/>
        <cfvo type="max"/>
        <color rgb="FFFF555A"/>
      </dataBar>
    </cfRule>
  </conditionalFormatting>
  <conditionalFormatting sqref="J3470">
    <cfRule type="dataBar" priority="4288">
      <dataBar>
        <cfvo type="min"/>
        <cfvo type="max"/>
        <color rgb="FFFF555A"/>
      </dataBar>
    </cfRule>
  </conditionalFormatting>
  <conditionalFormatting sqref="E3471:E3485">
    <cfRule type="dataBar" priority="4287">
      <dataBar>
        <cfvo type="min"/>
        <cfvo type="max"/>
        <color rgb="FFFF555A"/>
      </dataBar>
    </cfRule>
  </conditionalFormatting>
  <conditionalFormatting sqref="H3471:H3485">
    <cfRule type="dataBar" priority="4286">
      <dataBar>
        <cfvo type="min"/>
        <cfvo type="max"/>
        <color rgb="FFFF555A"/>
      </dataBar>
    </cfRule>
  </conditionalFormatting>
  <conditionalFormatting sqref="I3471:I3485">
    <cfRule type="dataBar" priority="4285">
      <dataBar>
        <cfvo type="min"/>
        <cfvo type="max"/>
        <color rgb="FFFF555A"/>
      </dataBar>
    </cfRule>
  </conditionalFormatting>
  <conditionalFormatting sqref="J3471:J3485">
    <cfRule type="dataBar" priority="4284">
      <dataBar>
        <cfvo type="min"/>
        <cfvo type="max"/>
        <color rgb="FFFF555A"/>
      </dataBar>
    </cfRule>
  </conditionalFormatting>
  <conditionalFormatting sqref="L3470:L3485">
    <cfRule type="dataBar" priority="4283">
      <dataBar>
        <cfvo type="min"/>
        <cfvo type="max"/>
        <color rgb="FFFF555A"/>
      </dataBar>
    </cfRule>
  </conditionalFormatting>
  <conditionalFormatting sqref="M3470:M3485">
    <cfRule type="dataBar" priority="4282">
      <dataBar>
        <cfvo type="min"/>
        <cfvo type="max"/>
        <color rgb="FFFF555A"/>
      </dataBar>
    </cfRule>
  </conditionalFormatting>
  <conditionalFormatting sqref="N3470:N3485">
    <cfRule type="dataBar" priority="4281">
      <dataBar>
        <cfvo type="min"/>
        <cfvo type="max"/>
        <color rgb="FFFF555A"/>
      </dataBar>
    </cfRule>
  </conditionalFormatting>
  <conditionalFormatting sqref="Q3470:Q3485">
    <cfRule type="dataBar" priority="4280">
      <dataBar>
        <cfvo type="min"/>
        <cfvo type="max"/>
        <color rgb="FFFF555A"/>
      </dataBar>
    </cfRule>
  </conditionalFormatting>
  <conditionalFormatting sqref="O3470:O3485">
    <cfRule type="dataBar" priority="4279">
      <dataBar>
        <cfvo type="min"/>
        <cfvo type="max"/>
        <color rgb="FFFF555A"/>
      </dataBar>
    </cfRule>
  </conditionalFormatting>
  <conditionalFormatting sqref="P3470:P3485">
    <cfRule type="dataBar" priority="4278">
      <dataBar>
        <cfvo type="min"/>
        <cfvo type="max"/>
        <color rgb="FFFF555A"/>
      </dataBar>
    </cfRule>
  </conditionalFormatting>
  <conditionalFormatting sqref="R3487:R3503 D3487:D3502 C3503">
    <cfRule type="containsText" dxfId="2698" priority="4277" operator="containsText" text="DOWN">
      <formula>NOT(ISERROR(SEARCH("DOWN",C3487)))</formula>
    </cfRule>
  </conditionalFormatting>
  <conditionalFormatting sqref="R3487:R3503 D3487:D3502 C3503">
    <cfRule type="containsText" dxfId="2697" priority="4276" operator="containsText" text="UP">
      <formula>NOT(ISERROR(SEARCH("UP",C3487)))</formula>
    </cfRule>
  </conditionalFormatting>
  <conditionalFormatting sqref="I3503">
    <cfRule type="colorScale" priority="4275">
      <colorScale>
        <cfvo type="min"/>
        <cfvo type="max"/>
        <color rgb="FFFFEF9C"/>
        <color rgb="FF63BE7B"/>
      </colorScale>
    </cfRule>
  </conditionalFormatting>
  <conditionalFormatting sqref="M3503">
    <cfRule type="colorScale" priority="4274">
      <colorScale>
        <cfvo type="min"/>
        <cfvo type="max"/>
        <color rgb="FFFF7128"/>
        <color rgb="FFFFEF9C"/>
      </colorScale>
    </cfRule>
  </conditionalFormatting>
  <conditionalFormatting sqref="Q3503">
    <cfRule type="dataBar" priority="4273">
      <dataBar>
        <cfvo type="min"/>
        <cfvo type="max"/>
        <color rgb="FFFF555A"/>
      </dataBar>
    </cfRule>
  </conditionalFormatting>
  <conditionalFormatting sqref="E3487:E3503">
    <cfRule type="dataBar" priority="4272">
      <dataBar>
        <cfvo type="min"/>
        <cfvo type="max"/>
        <color rgb="FFFF555A"/>
      </dataBar>
    </cfRule>
  </conditionalFormatting>
  <conditionalFormatting sqref="F3503">
    <cfRule type="top10" dxfId="2696" priority="4271" rank="1"/>
  </conditionalFormatting>
  <conditionalFormatting sqref="G3503 P3503">
    <cfRule type="cellIs" dxfId="2695" priority="4270" operator="equal">
      <formula>$G$135</formula>
    </cfRule>
  </conditionalFormatting>
  <conditionalFormatting sqref="P3503">
    <cfRule type="cellIs" dxfId="2694" priority="4269" operator="equal">
      <formula>$J$135</formula>
    </cfRule>
  </conditionalFormatting>
  <conditionalFormatting sqref="G3503 P3503">
    <cfRule type="cellIs" dxfId="2693" priority="4268" operator="equal">
      <formula>#REF!</formula>
    </cfRule>
  </conditionalFormatting>
  <conditionalFormatting sqref="G3503">
    <cfRule type="top10" dxfId="2692" priority="4266" rank="1"/>
    <cfRule type="cellIs" dxfId="2691" priority="4267" operator="equal">
      <formula>$G$133</formula>
    </cfRule>
  </conditionalFormatting>
  <conditionalFormatting sqref="P3503">
    <cfRule type="top10" dxfId="2690" priority="4264" rank="1"/>
    <cfRule type="cellIs" dxfId="2689" priority="4265" operator="equal">
      <formula>$G$133</formula>
    </cfRule>
  </conditionalFormatting>
  <conditionalFormatting sqref="C3487:C3502">
    <cfRule type="containsText" dxfId="2688" priority="4260" operator="containsText" text="Short Buildup">
      <formula>NOT(ISERROR(SEARCH("Short Buildup",C3487)))</formula>
    </cfRule>
    <cfRule type="containsText" dxfId="2687" priority="4261" operator="containsText" text="Long Liquidation">
      <formula>NOT(ISERROR(SEARCH("Long Liquidation",C3487)))</formula>
    </cfRule>
    <cfRule type="containsText" dxfId="2686" priority="4262" operator="containsText" text="Short covering">
      <formula>NOT(ISERROR(SEARCH("Short covering",C3487)))</formula>
    </cfRule>
    <cfRule type="containsText" dxfId="2685" priority="4263" operator="containsText" text="Long Buildup">
      <formula>NOT(ISERROR(SEARCH("Long Buildup",C3487)))</formula>
    </cfRule>
  </conditionalFormatting>
  <conditionalFormatting sqref="H3503">
    <cfRule type="colorScale" priority="4255">
      <colorScale>
        <cfvo type="min"/>
        <cfvo type="percentile" val="20"/>
        <cfvo type="max"/>
        <color rgb="FF92D050"/>
        <color theme="5" tint="0.79998168889431442"/>
        <color rgb="FFFF0000"/>
      </colorScale>
    </cfRule>
    <cfRule type="colorScale" priority="4256">
      <colorScale>
        <cfvo type="min"/>
        <cfvo type="max"/>
        <color rgb="FFFF0000"/>
        <color rgb="FF92D050"/>
      </colorScale>
    </cfRule>
    <cfRule type="colorScale" priority="4257">
      <colorScale>
        <cfvo type="min"/>
        <cfvo type="percentile" val="50"/>
        <cfvo type="max"/>
        <color rgb="FF5A8AC6"/>
        <color rgb="FFFCFCFF"/>
        <color rgb="FFF8696B"/>
      </colorScale>
    </cfRule>
    <cfRule type="colorScale" priority="4258">
      <colorScale>
        <cfvo type="formula" val="&quot;&gt;20&quot;"/>
        <cfvo type="formula" val="35"/>
        <color rgb="FFF8696B"/>
        <color rgb="FFFCFCFF"/>
      </colorScale>
    </cfRule>
    <cfRule type="colorScale" priority="4259">
      <colorScale>
        <cfvo type="min"/>
        <cfvo type="max"/>
        <color rgb="FFFFEF9C"/>
        <color rgb="FF63BE7B"/>
      </colorScale>
    </cfRule>
  </conditionalFormatting>
  <conditionalFormatting sqref="N3503">
    <cfRule type="colorScale" priority="4250">
      <colorScale>
        <cfvo type="min"/>
        <cfvo type="percentile" val="20"/>
        <cfvo type="max"/>
        <color rgb="FF92D050"/>
        <color theme="5" tint="0.79998168889431442"/>
        <color rgb="FFFF0000"/>
      </colorScale>
    </cfRule>
    <cfRule type="colorScale" priority="4251">
      <colorScale>
        <cfvo type="min"/>
        <cfvo type="max"/>
        <color rgb="FFFF0000"/>
        <color rgb="FF92D050"/>
      </colorScale>
    </cfRule>
    <cfRule type="colorScale" priority="4252">
      <colorScale>
        <cfvo type="min"/>
        <cfvo type="percentile" val="50"/>
        <cfvo type="max"/>
        <color rgb="FF5A8AC6"/>
        <color rgb="FFFCFCFF"/>
        <color rgb="FFF8696B"/>
      </colorScale>
    </cfRule>
    <cfRule type="colorScale" priority="4253">
      <colorScale>
        <cfvo type="formula" val="&quot;&gt;20&quot;"/>
        <cfvo type="formula" val="35"/>
        <color rgb="FFF8696B"/>
        <color rgb="FFFCFCFF"/>
      </colorScale>
    </cfRule>
    <cfRule type="colorScale" priority="4254">
      <colorScale>
        <cfvo type="min"/>
        <cfvo type="max"/>
        <color rgb="FFFFEF9C"/>
        <color rgb="FF63BE7B"/>
      </colorScale>
    </cfRule>
  </conditionalFormatting>
  <conditionalFormatting sqref="S3487:S3503">
    <cfRule type="containsText" dxfId="2684" priority="4246" operator="containsText" text="Short Buildup">
      <formula>NOT(ISERROR(SEARCH("Short Buildup",S3487)))</formula>
    </cfRule>
    <cfRule type="containsText" dxfId="2683" priority="4247" operator="containsText" text="Long Liquidation">
      <formula>NOT(ISERROR(SEARCH("Long Liquidation",S3487)))</formula>
    </cfRule>
    <cfRule type="containsText" dxfId="2682" priority="4248" operator="containsText" text="Short covering">
      <formula>NOT(ISERROR(SEARCH("Short covering",S3487)))</formula>
    </cfRule>
    <cfRule type="containsText" dxfId="2681" priority="4249" operator="containsText" text="Long Buildup">
      <formula>NOT(ISERROR(SEARCH("Long Buildup",S3487)))</formula>
    </cfRule>
  </conditionalFormatting>
  <conditionalFormatting sqref="F3487:F3502">
    <cfRule type="dataBar" priority="4245">
      <dataBar>
        <cfvo type="min"/>
        <cfvo type="max"/>
        <color rgb="FFFF555A"/>
      </dataBar>
    </cfRule>
  </conditionalFormatting>
  <conditionalFormatting sqref="G3487:G3502">
    <cfRule type="dataBar" priority="4244">
      <dataBar>
        <cfvo type="min"/>
        <cfvo type="max"/>
        <color rgb="FFFF555A"/>
      </dataBar>
    </cfRule>
  </conditionalFormatting>
  <conditionalFormatting sqref="H3487">
    <cfRule type="dataBar" priority="4243">
      <dataBar>
        <cfvo type="min"/>
        <cfvo type="max"/>
        <color rgb="FFFF555A"/>
      </dataBar>
    </cfRule>
  </conditionalFormatting>
  <conditionalFormatting sqref="I3487">
    <cfRule type="dataBar" priority="4242">
      <dataBar>
        <cfvo type="min"/>
        <cfvo type="max"/>
        <color rgb="FFFF555A"/>
      </dataBar>
    </cfRule>
  </conditionalFormatting>
  <conditionalFormatting sqref="J3487">
    <cfRule type="dataBar" priority="4241">
      <dataBar>
        <cfvo type="min"/>
        <cfvo type="max"/>
        <color rgb="FFFF555A"/>
      </dataBar>
    </cfRule>
  </conditionalFormatting>
  <conditionalFormatting sqref="E3488:E3502">
    <cfRule type="dataBar" priority="4240">
      <dataBar>
        <cfvo type="min"/>
        <cfvo type="max"/>
        <color rgb="FFFF555A"/>
      </dataBar>
    </cfRule>
  </conditionalFormatting>
  <conditionalFormatting sqref="H3488:H3502">
    <cfRule type="dataBar" priority="4239">
      <dataBar>
        <cfvo type="min"/>
        <cfvo type="max"/>
        <color rgb="FFFF555A"/>
      </dataBar>
    </cfRule>
  </conditionalFormatting>
  <conditionalFormatting sqref="I3488:I3502">
    <cfRule type="dataBar" priority="4238">
      <dataBar>
        <cfvo type="min"/>
        <cfvo type="max"/>
        <color rgb="FFFF555A"/>
      </dataBar>
    </cfRule>
  </conditionalFormatting>
  <conditionalFormatting sqref="J3488:J3502">
    <cfRule type="dataBar" priority="4237">
      <dataBar>
        <cfvo type="min"/>
        <cfvo type="max"/>
        <color rgb="FFFF555A"/>
      </dataBar>
    </cfRule>
  </conditionalFormatting>
  <conditionalFormatting sqref="L3487:L3502">
    <cfRule type="dataBar" priority="4236">
      <dataBar>
        <cfvo type="min"/>
        <cfvo type="max"/>
        <color rgb="FFFF555A"/>
      </dataBar>
    </cfRule>
  </conditionalFormatting>
  <conditionalFormatting sqref="M3487:M3502">
    <cfRule type="dataBar" priority="4235">
      <dataBar>
        <cfvo type="min"/>
        <cfvo type="max"/>
        <color rgb="FFFF555A"/>
      </dataBar>
    </cfRule>
  </conditionalFormatting>
  <conditionalFormatting sqref="N3487:N3502">
    <cfRule type="dataBar" priority="4234">
      <dataBar>
        <cfvo type="min"/>
        <cfvo type="max"/>
        <color rgb="FFFF555A"/>
      </dataBar>
    </cfRule>
  </conditionalFormatting>
  <conditionalFormatting sqref="Q3487:Q3502">
    <cfRule type="dataBar" priority="4233">
      <dataBar>
        <cfvo type="min"/>
        <cfvo type="max"/>
        <color rgb="FFFF555A"/>
      </dataBar>
    </cfRule>
  </conditionalFormatting>
  <conditionalFormatting sqref="O3487:O3502">
    <cfRule type="dataBar" priority="4232">
      <dataBar>
        <cfvo type="min"/>
        <cfvo type="max"/>
        <color rgb="FFFF555A"/>
      </dataBar>
    </cfRule>
  </conditionalFormatting>
  <conditionalFormatting sqref="P3487:P3502">
    <cfRule type="dataBar" priority="4231">
      <dataBar>
        <cfvo type="min"/>
        <cfvo type="max"/>
        <color rgb="FFFF555A"/>
      </dataBar>
    </cfRule>
  </conditionalFormatting>
  <conditionalFormatting sqref="R3504:R3520 D3504:D3519 C3520">
    <cfRule type="containsText" dxfId="2680" priority="4230" operator="containsText" text="DOWN">
      <formula>NOT(ISERROR(SEARCH("DOWN",C3504)))</formula>
    </cfRule>
  </conditionalFormatting>
  <conditionalFormatting sqref="R3504:R3520 D3504:D3519 C3520">
    <cfRule type="containsText" dxfId="2679" priority="4229" operator="containsText" text="UP">
      <formula>NOT(ISERROR(SEARCH("UP",C3504)))</formula>
    </cfRule>
  </conditionalFormatting>
  <conditionalFormatting sqref="I3520">
    <cfRule type="colorScale" priority="4228">
      <colorScale>
        <cfvo type="min"/>
        <cfvo type="max"/>
        <color rgb="FFFFEF9C"/>
        <color rgb="FF63BE7B"/>
      </colorScale>
    </cfRule>
  </conditionalFormatting>
  <conditionalFormatting sqref="M3520">
    <cfRule type="colorScale" priority="4227">
      <colorScale>
        <cfvo type="min"/>
        <cfvo type="max"/>
        <color rgb="FFFF7128"/>
        <color rgb="FFFFEF9C"/>
      </colorScale>
    </cfRule>
  </conditionalFormatting>
  <conditionalFormatting sqref="Q3520">
    <cfRule type="dataBar" priority="4226">
      <dataBar>
        <cfvo type="min"/>
        <cfvo type="max"/>
        <color rgb="FFFF555A"/>
      </dataBar>
    </cfRule>
  </conditionalFormatting>
  <conditionalFormatting sqref="E3504:E3520">
    <cfRule type="dataBar" priority="4225">
      <dataBar>
        <cfvo type="min"/>
        <cfvo type="max"/>
        <color rgb="FFFF555A"/>
      </dataBar>
    </cfRule>
  </conditionalFormatting>
  <conditionalFormatting sqref="F3520">
    <cfRule type="top10" dxfId="2678" priority="4224" rank="1"/>
  </conditionalFormatting>
  <conditionalFormatting sqref="G3520 P3520">
    <cfRule type="cellIs" dxfId="2677" priority="4223" operator="equal">
      <formula>$G$135</formula>
    </cfRule>
  </conditionalFormatting>
  <conditionalFormatting sqref="P3520">
    <cfRule type="cellIs" dxfId="2676" priority="4222" operator="equal">
      <formula>$J$135</formula>
    </cfRule>
  </conditionalFormatting>
  <conditionalFormatting sqref="G3520 P3520">
    <cfRule type="cellIs" dxfId="2675" priority="4221" operator="equal">
      <formula>#REF!</formula>
    </cfRule>
  </conditionalFormatting>
  <conditionalFormatting sqref="G3520">
    <cfRule type="top10" dxfId="2674" priority="4219" rank="1"/>
    <cfRule type="cellIs" dxfId="2673" priority="4220" operator="equal">
      <formula>$G$133</formula>
    </cfRule>
  </conditionalFormatting>
  <conditionalFormatting sqref="P3520">
    <cfRule type="top10" dxfId="2672" priority="4217" rank="1"/>
    <cfRule type="cellIs" dxfId="2671" priority="4218" operator="equal">
      <formula>$G$133</formula>
    </cfRule>
  </conditionalFormatting>
  <conditionalFormatting sqref="C3504:C3519">
    <cfRule type="containsText" dxfId="2670" priority="4213" operator="containsText" text="Short Buildup">
      <formula>NOT(ISERROR(SEARCH("Short Buildup",C3504)))</formula>
    </cfRule>
    <cfRule type="containsText" dxfId="2669" priority="4214" operator="containsText" text="Long Liquidation">
      <formula>NOT(ISERROR(SEARCH("Long Liquidation",C3504)))</formula>
    </cfRule>
    <cfRule type="containsText" dxfId="2668" priority="4215" operator="containsText" text="Short covering">
      <formula>NOT(ISERROR(SEARCH("Short covering",C3504)))</formula>
    </cfRule>
    <cfRule type="containsText" dxfId="2667" priority="4216" operator="containsText" text="Long Buildup">
      <formula>NOT(ISERROR(SEARCH("Long Buildup",C3504)))</formula>
    </cfRule>
  </conditionalFormatting>
  <conditionalFormatting sqref="H3520">
    <cfRule type="colorScale" priority="4208">
      <colorScale>
        <cfvo type="min"/>
        <cfvo type="percentile" val="20"/>
        <cfvo type="max"/>
        <color rgb="FF92D050"/>
        <color theme="5" tint="0.79998168889431442"/>
        <color rgb="FFFF0000"/>
      </colorScale>
    </cfRule>
    <cfRule type="colorScale" priority="4209">
      <colorScale>
        <cfvo type="min"/>
        <cfvo type="max"/>
        <color rgb="FFFF0000"/>
        <color rgb="FF92D050"/>
      </colorScale>
    </cfRule>
    <cfRule type="colorScale" priority="4210">
      <colorScale>
        <cfvo type="min"/>
        <cfvo type="percentile" val="50"/>
        <cfvo type="max"/>
        <color rgb="FF5A8AC6"/>
        <color rgb="FFFCFCFF"/>
        <color rgb="FFF8696B"/>
      </colorScale>
    </cfRule>
    <cfRule type="colorScale" priority="4211">
      <colorScale>
        <cfvo type="formula" val="&quot;&gt;20&quot;"/>
        <cfvo type="formula" val="35"/>
        <color rgb="FFF8696B"/>
        <color rgb="FFFCFCFF"/>
      </colorScale>
    </cfRule>
    <cfRule type="colorScale" priority="4212">
      <colorScale>
        <cfvo type="min"/>
        <cfvo type="max"/>
        <color rgb="FFFFEF9C"/>
        <color rgb="FF63BE7B"/>
      </colorScale>
    </cfRule>
  </conditionalFormatting>
  <conditionalFormatting sqref="N3520">
    <cfRule type="colorScale" priority="4203">
      <colorScale>
        <cfvo type="min"/>
        <cfvo type="percentile" val="20"/>
        <cfvo type="max"/>
        <color rgb="FF92D050"/>
        <color theme="5" tint="0.79998168889431442"/>
        <color rgb="FFFF0000"/>
      </colorScale>
    </cfRule>
    <cfRule type="colorScale" priority="4204">
      <colorScale>
        <cfvo type="min"/>
        <cfvo type="max"/>
        <color rgb="FFFF0000"/>
        <color rgb="FF92D050"/>
      </colorScale>
    </cfRule>
    <cfRule type="colorScale" priority="4205">
      <colorScale>
        <cfvo type="min"/>
        <cfvo type="percentile" val="50"/>
        <cfvo type="max"/>
        <color rgb="FF5A8AC6"/>
        <color rgb="FFFCFCFF"/>
        <color rgb="FFF8696B"/>
      </colorScale>
    </cfRule>
    <cfRule type="colorScale" priority="4206">
      <colorScale>
        <cfvo type="formula" val="&quot;&gt;20&quot;"/>
        <cfvo type="formula" val="35"/>
        <color rgb="FFF8696B"/>
        <color rgb="FFFCFCFF"/>
      </colorScale>
    </cfRule>
    <cfRule type="colorScale" priority="4207">
      <colorScale>
        <cfvo type="min"/>
        <cfvo type="max"/>
        <color rgb="FFFFEF9C"/>
        <color rgb="FF63BE7B"/>
      </colorScale>
    </cfRule>
  </conditionalFormatting>
  <conditionalFormatting sqref="S3504:S3520">
    <cfRule type="containsText" dxfId="2666" priority="4199" operator="containsText" text="Short Buildup">
      <formula>NOT(ISERROR(SEARCH("Short Buildup",S3504)))</formula>
    </cfRule>
    <cfRule type="containsText" dxfId="2665" priority="4200" operator="containsText" text="Long Liquidation">
      <formula>NOT(ISERROR(SEARCH("Long Liquidation",S3504)))</formula>
    </cfRule>
    <cfRule type="containsText" dxfId="2664" priority="4201" operator="containsText" text="Short covering">
      <formula>NOT(ISERROR(SEARCH("Short covering",S3504)))</formula>
    </cfRule>
    <cfRule type="containsText" dxfId="2663" priority="4202" operator="containsText" text="Long Buildup">
      <formula>NOT(ISERROR(SEARCH("Long Buildup",S3504)))</formula>
    </cfRule>
  </conditionalFormatting>
  <conditionalFormatting sqref="F3504:F3519">
    <cfRule type="dataBar" priority="4198">
      <dataBar>
        <cfvo type="min"/>
        <cfvo type="max"/>
        <color rgb="FFFF555A"/>
      </dataBar>
    </cfRule>
  </conditionalFormatting>
  <conditionalFormatting sqref="G3504:G3519">
    <cfRule type="dataBar" priority="4197">
      <dataBar>
        <cfvo type="min"/>
        <cfvo type="max"/>
        <color rgb="FFFF555A"/>
      </dataBar>
    </cfRule>
  </conditionalFormatting>
  <conditionalFormatting sqref="H3504">
    <cfRule type="dataBar" priority="4196">
      <dataBar>
        <cfvo type="min"/>
        <cfvo type="max"/>
        <color rgb="FFFF555A"/>
      </dataBar>
    </cfRule>
  </conditionalFormatting>
  <conditionalFormatting sqref="I3504">
    <cfRule type="dataBar" priority="4195">
      <dataBar>
        <cfvo type="min"/>
        <cfvo type="max"/>
        <color rgb="FFFF555A"/>
      </dataBar>
    </cfRule>
  </conditionalFormatting>
  <conditionalFormatting sqref="J3504">
    <cfRule type="dataBar" priority="4194">
      <dataBar>
        <cfvo type="min"/>
        <cfvo type="max"/>
        <color rgb="FFFF555A"/>
      </dataBar>
    </cfRule>
  </conditionalFormatting>
  <conditionalFormatting sqref="E3505:E3519">
    <cfRule type="dataBar" priority="4193">
      <dataBar>
        <cfvo type="min"/>
        <cfvo type="max"/>
        <color rgb="FFFF555A"/>
      </dataBar>
    </cfRule>
  </conditionalFormatting>
  <conditionalFormatting sqref="H3505:H3519">
    <cfRule type="dataBar" priority="4192">
      <dataBar>
        <cfvo type="min"/>
        <cfvo type="max"/>
        <color rgb="FFFF555A"/>
      </dataBar>
    </cfRule>
  </conditionalFormatting>
  <conditionalFormatting sqref="I3505:I3519">
    <cfRule type="dataBar" priority="4191">
      <dataBar>
        <cfvo type="min"/>
        <cfvo type="max"/>
        <color rgb="FFFF555A"/>
      </dataBar>
    </cfRule>
  </conditionalFormatting>
  <conditionalFormatting sqref="J3505:J3519">
    <cfRule type="dataBar" priority="4190">
      <dataBar>
        <cfvo type="min"/>
        <cfvo type="max"/>
        <color rgb="FFFF555A"/>
      </dataBar>
    </cfRule>
  </conditionalFormatting>
  <conditionalFormatting sqref="L3504:L3519">
    <cfRule type="dataBar" priority="4189">
      <dataBar>
        <cfvo type="min"/>
        <cfvo type="max"/>
        <color rgb="FFFF555A"/>
      </dataBar>
    </cfRule>
  </conditionalFormatting>
  <conditionalFormatting sqref="M3504:M3519">
    <cfRule type="dataBar" priority="4188">
      <dataBar>
        <cfvo type="min"/>
        <cfvo type="max"/>
        <color rgb="FFFF555A"/>
      </dataBar>
    </cfRule>
  </conditionalFormatting>
  <conditionalFormatting sqref="N3504:N3519">
    <cfRule type="dataBar" priority="4187">
      <dataBar>
        <cfvo type="min"/>
        <cfvo type="max"/>
        <color rgb="FFFF555A"/>
      </dataBar>
    </cfRule>
  </conditionalFormatting>
  <conditionalFormatting sqref="Q3504:Q3519">
    <cfRule type="dataBar" priority="4186">
      <dataBar>
        <cfvo type="min"/>
        <cfvo type="max"/>
        <color rgb="FFFF555A"/>
      </dataBar>
    </cfRule>
  </conditionalFormatting>
  <conditionalFormatting sqref="O3504:O3519">
    <cfRule type="dataBar" priority="4185">
      <dataBar>
        <cfvo type="min"/>
        <cfvo type="max"/>
        <color rgb="FFFF555A"/>
      </dataBar>
    </cfRule>
  </conditionalFormatting>
  <conditionalFormatting sqref="P3504:P3519">
    <cfRule type="dataBar" priority="4184">
      <dataBar>
        <cfvo type="min"/>
        <cfvo type="max"/>
        <color rgb="FFFF555A"/>
      </dataBar>
    </cfRule>
  </conditionalFormatting>
  <conditionalFormatting sqref="R3521:R3537 D3521:D3536 C3537">
    <cfRule type="containsText" dxfId="2662" priority="4183" operator="containsText" text="DOWN">
      <formula>NOT(ISERROR(SEARCH("DOWN",C3521)))</formula>
    </cfRule>
  </conditionalFormatting>
  <conditionalFormatting sqref="R3521:R3537 D3521:D3536 C3537">
    <cfRule type="containsText" dxfId="2661" priority="4182" operator="containsText" text="UP">
      <formula>NOT(ISERROR(SEARCH("UP",C3521)))</formula>
    </cfRule>
  </conditionalFormatting>
  <conditionalFormatting sqref="I3537">
    <cfRule type="colorScale" priority="4181">
      <colorScale>
        <cfvo type="min"/>
        <cfvo type="max"/>
        <color rgb="FFFFEF9C"/>
        <color rgb="FF63BE7B"/>
      </colorScale>
    </cfRule>
  </conditionalFormatting>
  <conditionalFormatting sqref="M3537">
    <cfRule type="colorScale" priority="4180">
      <colorScale>
        <cfvo type="min"/>
        <cfvo type="max"/>
        <color rgb="FFFF7128"/>
        <color rgb="FFFFEF9C"/>
      </colorScale>
    </cfRule>
  </conditionalFormatting>
  <conditionalFormatting sqref="Q3537">
    <cfRule type="dataBar" priority="4179">
      <dataBar>
        <cfvo type="min"/>
        <cfvo type="max"/>
        <color rgb="FFFF555A"/>
      </dataBar>
    </cfRule>
  </conditionalFormatting>
  <conditionalFormatting sqref="E3521:E3537">
    <cfRule type="dataBar" priority="4178">
      <dataBar>
        <cfvo type="min"/>
        <cfvo type="max"/>
        <color rgb="FFFF555A"/>
      </dataBar>
    </cfRule>
  </conditionalFormatting>
  <conditionalFormatting sqref="F3537">
    <cfRule type="top10" dxfId="2660" priority="4177" rank="1"/>
  </conditionalFormatting>
  <conditionalFormatting sqref="G3537 P3537">
    <cfRule type="cellIs" dxfId="2659" priority="4176" operator="equal">
      <formula>$G$135</formula>
    </cfRule>
  </conditionalFormatting>
  <conditionalFormatting sqref="P3537">
    <cfRule type="cellIs" dxfId="2658" priority="4175" operator="equal">
      <formula>$J$135</formula>
    </cfRule>
  </conditionalFormatting>
  <conditionalFormatting sqref="G3537 P3537">
    <cfRule type="cellIs" dxfId="2657" priority="4174" operator="equal">
      <formula>#REF!</formula>
    </cfRule>
  </conditionalFormatting>
  <conditionalFormatting sqref="G3537">
    <cfRule type="top10" dxfId="2656" priority="4172" rank="1"/>
    <cfRule type="cellIs" dxfId="2655" priority="4173" operator="equal">
      <formula>$G$133</formula>
    </cfRule>
  </conditionalFormatting>
  <conditionalFormatting sqref="P3537">
    <cfRule type="top10" dxfId="2654" priority="4170" rank="1"/>
    <cfRule type="cellIs" dxfId="2653" priority="4171" operator="equal">
      <formula>$G$133</formula>
    </cfRule>
  </conditionalFormatting>
  <conditionalFormatting sqref="C3521:C3536">
    <cfRule type="containsText" dxfId="2652" priority="4166" operator="containsText" text="Short Buildup">
      <formula>NOT(ISERROR(SEARCH("Short Buildup",C3521)))</formula>
    </cfRule>
    <cfRule type="containsText" dxfId="2651" priority="4167" operator="containsText" text="Long Liquidation">
      <formula>NOT(ISERROR(SEARCH("Long Liquidation",C3521)))</formula>
    </cfRule>
    <cfRule type="containsText" dxfId="2650" priority="4168" operator="containsText" text="Short covering">
      <formula>NOT(ISERROR(SEARCH("Short covering",C3521)))</formula>
    </cfRule>
    <cfRule type="containsText" dxfId="2649" priority="4169" operator="containsText" text="Long Buildup">
      <formula>NOT(ISERROR(SEARCH("Long Buildup",C3521)))</formula>
    </cfRule>
  </conditionalFormatting>
  <conditionalFormatting sqref="H3537">
    <cfRule type="colorScale" priority="4161">
      <colorScale>
        <cfvo type="min"/>
        <cfvo type="percentile" val="20"/>
        <cfvo type="max"/>
        <color rgb="FF92D050"/>
        <color theme="5" tint="0.79998168889431442"/>
        <color rgb="FFFF0000"/>
      </colorScale>
    </cfRule>
    <cfRule type="colorScale" priority="4162">
      <colorScale>
        <cfvo type="min"/>
        <cfvo type="max"/>
        <color rgb="FFFF0000"/>
        <color rgb="FF92D050"/>
      </colorScale>
    </cfRule>
    <cfRule type="colorScale" priority="4163">
      <colorScale>
        <cfvo type="min"/>
        <cfvo type="percentile" val="50"/>
        <cfvo type="max"/>
        <color rgb="FF5A8AC6"/>
        <color rgb="FFFCFCFF"/>
        <color rgb="FFF8696B"/>
      </colorScale>
    </cfRule>
    <cfRule type="colorScale" priority="4164">
      <colorScale>
        <cfvo type="formula" val="&quot;&gt;20&quot;"/>
        <cfvo type="formula" val="35"/>
        <color rgb="FFF8696B"/>
        <color rgb="FFFCFCFF"/>
      </colorScale>
    </cfRule>
    <cfRule type="colorScale" priority="4165">
      <colorScale>
        <cfvo type="min"/>
        <cfvo type="max"/>
        <color rgb="FFFFEF9C"/>
        <color rgb="FF63BE7B"/>
      </colorScale>
    </cfRule>
  </conditionalFormatting>
  <conditionalFormatting sqref="N3537">
    <cfRule type="colorScale" priority="4156">
      <colorScale>
        <cfvo type="min"/>
        <cfvo type="percentile" val="20"/>
        <cfvo type="max"/>
        <color rgb="FF92D050"/>
        <color theme="5" tint="0.79998168889431442"/>
        <color rgb="FFFF0000"/>
      </colorScale>
    </cfRule>
    <cfRule type="colorScale" priority="4157">
      <colorScale>
        <cfvo type="min"/>
        <cfvo type="max"/>
        <color rgb="FFFF0000"/>
        <color rgb="FF92D050"/>
      </colorScale>
    </cfRule>
    <cfRule type="colorScale" priority="4158">
      <colorScale>
        <cfvo type="min"/>
        <cfvo type="percentile" val="50"/>
        <cfvo type="max"/>
        <color rgb="FF5A8AC6"/>
        <color rgb="FFFCFCFF"/>
        <color rgb="FFF8696B"/>
      </colorScale>
    </cfRule>
    <cfRule type="colorScale" priority="4159">
      <colorScale>
        <cfvo type="formula" val="&quot;&gt;20&quot;"/>
        <cfvo type="formula" val="35"/>
        <color rgb="FFF8696B"/>
        <color rgb="FFFCFCFF"/>
      </colorScale>
    </cfRule>
    <cfRule type="colorScale" priority="4160">
      <colorScale>
        <cfvo type="min"/>
        <cfvo type="max"/>
        <color rgb="FFFFEF9C"/>
        <color rgb="FF63BE7B"/>
      </colorScale>
    </cfRule>
  </conditionalFormatting>
  <conditionalFormatting sqref="S3521:S3537">
    <cfRule type="containsText" dxfId="2648" priority="4152" operator="containsText" text="Short Buildup">
      <formula>NOT(ISERROR(SEARCH("Short Buildup",S3521)))</formula>
    </cfRule>
    <cfRule type="containsText" dxfId="2647" priority="4153" operator="containsText" text="Long Liquidation">
      <formula>NOT(ISERROR(SEARCH("Long Liquidation",S3521)))</formula>
    </cfRule>
    <cfRule type="containsText" dxfId="2646" priority="4154" operator="containsText" text="Short covering">
      <formula>NOT(ISERROR(SEARCH("Short covering",S3521)))</formula>
    </cfRule>
    <cfRule type="containsText" dxfId="2645" priority="4155" operator="containsText" text="Long Buildup">
      <formula>NOT(ISERROR(SEARCH("Long Buildup",S3521)))</formula>
    </cfRule>
  </conditionalFormatting>
  <conditionalFormatting sqref="F3521:F3536">
    <cfRule type="dataBar" priority="4151">
      <dataBar>
        <cfvo type="min"/>
        <cfvo type="max"/>
        <color rgb="FFFF555A"/>
      </dataBar>
    </cfRule>
  </conditionalFormatting>
  <conditionalFormatting sqref="G3521:G3536">
    <cfRule type="dataBar" priority="4150">
      <dataBar>
        <cfvo type="min"/>
        <cfvo type="max"/>
        <color rgb="FFFF555A"/>
      </dataBar>
    </cfRule>
  </conditionalFormatting>
  <conditionalFormatting sqref="H3521">
    <cfRule type="dataBar" priority="4149">
      <dataBar>
        <cfvo type="min"/>
        <cfvo type="max"/>
        <color rgb="FFFF555A"/>
      </dataBar>
    </cfRule>
  </conditionalFormatting>
  <conditionalFormatting sqref="I3521">
    <cfRule type="dataBar" priority="4148">
      <dataBar>
        <cfvo type="min"/>
        <cfvo type="max"/>
        <color rgb="FFFF555A"/>
      </dataBar>
    </cfRule>
  </conditionalFormatting>
  <conditionalFormatting sqref="J3521">
    <cfRule type="dataBar" priority="4147">
      <dataBar>
        <cfvo type="min"/>
        <cfvo type="max"/>
        <color rgb="FFFF555A"/>
      </dataBar>
    </cfRule>
  </conditionalFormatting>
  <conditionalFormatting sqref="E3522:E3536">
    <cfRule type="dataBar" priority="4146">
      <dataBar>
        <cfvo type="min"/>
        <cfvo type="max"/>
        <color rgb="FFFF555A"/>
      </dataBar>
    </cfRule>
  </conditionalFormatting>
  <conditionalFormatting sqref="H3522:H3536">
    <cfRule type="dataBar" priority="4145">
      <dataBar>
        <cfvo type="min"/>
        <cfvo type="max"/>
        <color rgb="FFFF555A"/>
      </dataBar>
    </cfRule>
  </conditionalFormatting>
  <conditionalFormatting sqref="I3522:I3536">
    <cfRule type="dataBar" priority="4144">
      <dataBar>
        <cfvo type="min"/>
        <cfvo type="max"/>
        <color rgb="FFFF555A"/>
      </dataBar>
    </cfRule>
  </conditionalFormatting>
  <conditionalFormatting sqref="J3522:J3536">
    <cfRule type="dataBar" priority="4143">
      <dataBar>
        <cfvo type="min"/>
        <cfvo type="max"/>
        <color rgb="FFFF555A"/>
      </dataBar>
    </cfRule>
  </conditionalFormatting>
  <conditionalFormatting sqref="L3521:L3536">
    <cfRule type="dataBar" priority="4142">
      <dataBar>
        <cfvo type="min"/>
        <cfvo type="max"/>
        <color rgb="FFFF555A"/>
      </dataBar>
    </cfRule>
  </conditionalFormatting>
  <conditionalFormatting sqref="M3521:M3536">
    <cfRule type="dataBar" priority="4141">
      <dataBar>
        <cfvo type="min"/>
        <cfvo type="max"/>
        <color rgb="FFFF555A"/>
      </dataBar>
    </cfRule>
  </conditionalFormatting>
  <conditionalFormatting sqref="N3521:N3536">
    <cfRule type="dataBar" priority="4140">
      <dataBar>
        <cfvo type="min"/>
        <cfvo type="max"/>
        <color rgb="FFFF555A"/>
      </dataBar>
    </cfRule>
  </conditionalFormatting>
  <conditionalFormatting sqref="Q3521:Q3536">
    <cfRule type="dataBar" priority="4139">
      <dataBar>
        <cfvo type="min"/>
        <cfvo type="max"/>
        <color rgb="FFFF555A"/>
      </dataBar>
    </cfRule>
  </conditionalFormatting>
  <conditionalFormatting sqref="O3521:O3536">
    <cfRule type="dataBar" priority="4138">
      <dataBar>
        <cfvo type="min"/>
        <cfvo type="max"/>
        <color rgb="FFFF555A"/>
      </dataBar>
    </cfRule>
  </conditionalFormatting>
  <conditionalFormatting sqref="P3521:P3536">
    <cfRule type="dataBar" priority="4137">
      <dataBar>
        <cfvo type="min"/>
        <cfvo type="max"/>
        <color rgb="FFFF555A"/>
      </dataBar>
    </cfRule>
  </conditionalFormatting>
  <conditionalFormatting sqref="R3538:R3554 D3538:D3553 C3554">
    <cfRule type="containsText" dxfId="2644" priority="4136" operator="containsText" text="DOWN">
      <formula>NOT(ISERROR(SEARCH("DOWN",C3538)))</formula>
    </cfRule>
  </conditionalFormatting>
  <conditionalFormatting sqref="R3538:R3554 D3538:D3553 C3554">
    <cfRule type="containsText" dxfId="2643" priority="4135" operator="containsText" text="UP">
      <formula>NOT(ISERROR(SEARCH("UP",C3538)))</formula>
    </cfRule>
  </conditionalFormatting>
  <conditionalFormatting sqref="I3554">
    <cfRule type="colorScale" priority="4134">
      <colorScale>
        <cfvo type="min"/>
        <cfvo type="max"/>
        <color rgb="FFFFEF9C"/>
        <color rgb="FF63BE7B"/>
      </colorScale>
    </cfRule>
  </conditionalFormatting>
  <conditionalFormatting sqref="M3554">
    <cfRule type="colorScale" priority="4133">
      <colorScale>
        <cfvo type="min"/>
        <cfvo type="max"/>
        <color rgb="FFFF7128"/>
        <color rgb="FFFFEF9C"/>
      </colorScale>
    </cfRule>
  </conditionalFormatting>
  <conditionalFormatting sqref="Q3554">
    <cfRule type="dataBar" priority="4132">
      <dataBar>
        <cfvo type="min"/>
        <cfvo type="max"/>
        <color rgb="FFFF555A"/>
      </dataBar>
    </cfRule>
  </conditionalFormatting>
  <conditionalFormatting sqref="E3538:E3554">
    <cfRule type="dataBar" priority="4131">
      <dataBar>
        <cfvo type="min"/>
        <cfvo type="max"/>
        <color rgb="FFFF555A"/>
      </dataBar>
    </cfRule>
  </conditionalFormatting>
  <conditionalFormatting sqref="F3554">
    <cfRule type="top10" dxfId="2642" priority="4130" rank="1"/>
  </conditionalFormatting>
  <conditionalFormatting sqref="G3554 P3554">
    <cfRule type="cellIs" dxfId="2641" priority="4129" operator="equal">
      <formula>$G$135</formula>
    </cfRule>
  </conditionalFormatting>
  <conditionalFormatting sqref="P3554">
    <cfRule type="cellIs" dxfId="2640" priority="4128" operator="equal">
      <formula>$J$135</formula>
    </cfRule>
  </conditionalFormatting>
  <conditionalFormatting sqref="G3554 P3554">
    <cfRule type="cellIs" dxfId="2639" priority="4127" operator="equal">
      <formula>#REF!</formula>
    </cfRule>
  </conditionalFormatting>
  <conditionalFormatting sqref="G3554">
    <cfRule type="top10" dxfId="2638" priority="4125" rank="1"/>
    <cfRule type="cellIs" dxfId="2637" priority="4126" operator="equal">
      <formula>$G$133</formula>
    </cfRule>
  </conditionalFormatting>
  <conditionalFormatting sqref="P3554">
    <cfRule type="top10" dxfId="2636" priority="4123" rank="1"/>
    <cfRule type="cellIs" dxfId="2635" priority="4124" operator="equal">
      <formula>$G$133</formula>
    </cfRule>
  </conditionalFormatting>
  <conditionalFormatting sqref="C3538:C3553">
    <cfRule type="containsText" dxfId="2634" priority="4119" operator="containsText" text="Short Buildup">
      <formula>NOT(ISERROR(SEARCH("Short Buildup",C3538)))</formula>
    </cfRule>
    <cfRule type="containsText" dxfId="2633" priority="4120" operator="containsText" text="Long Liquidation">
      <formula>NOT(ISERROR(SEARCH("Long Liquidation",C3538)))</formula>
    </cfRule>
    <cfRule type="containsText" dxfId="2632" priority="4121" operator="containsText" text="Short covering">
      <formula>NOT(ISERROR(SEARCH("Short covering",C3538)))</formula>
    </cfRule>
    <cfRule type="containsText" dxfId="2631" priority="4122" operator="containsText" text="Long Buildup">
      <formula>NOT(ISERROR(SEARCH("Long Buildup",C3538)))</formula>
    </cfRule>
  </conditionalFormatting>
  <conditionalFormatting sqref="H3554">
    <cfRule type="colorScale" priority="4114">
      <colorScale>
        <cfvo type="min"/>
        <cfvo type="percentile" val="20"/>
        <cfvo type="max"/>
        <color rgb="FF92D050"/>
        <color theme="5" tint="0.79998168889431442"/>
        <color rgb="FFFF0000"/>
      </colorScale>
    </cfRule>
    <cfRule type="colorScale" priority="4115">
      <colorScale>
        <cfvo type="min"/>
        <cfvo type="max"/>
        <color rgb="FFFF0000"/>
        <color rgb="FF92D050"/>
      </colorScale>
    </cfRule>
    <cfRule type="colorScale" priority="4116">
      <colorScale>
        <cfvo type="min"/>
        <cfvo type="percentile" val="50"/>
        <cfvo type="max"/>
        <color rgb="FF5A8AC6"/>
        <color rgb="FFFCFCFF"/>
        <color rgb="FFF8696B"/>
      </colorScale>
    </cfRule>
    <cfRule type="colorScale" priority="4117">
      <colorScale>
        <cfvo type="formula" val="&quot;&gt;20&quot;"/>
        <cfvo type="formula" val="35"/>
        <color rgb="FFF8696B"/>
        <color rgb="FFFCFCFF"/>
      </colorScale>
    </cfRule>
    <cfRule type="colorScale" priority="4118">
      <colorScale>
        <cfvo type="min"/>
        <cfvo type="max"/>
        <color rgb="FFFFEF9C"/>
        <color rgb="FF63BE7B"/>
      </colorScale>
    </cfRule>
  </conditionalFormatting>
  <conditionalFormatting sqref="N3554">
    <cfRule type="colorScale" priority="4109">
      <colorScale>
        <cfvo type="min"/>
        <cfvo type="percentile" val="20"/>
        <cfvo type="max"/>
        <color rgb="FF92D050"/>
        <color theme="5" tint="0.79998168889431442"/>
        <color rgb="FFFF0000"/>
      </colorScale>
    </cfRule>
    <cfRule type="colorScale" priority="4110">
      <colorScale>
        <cfvo type="min"/>
        <cfvo type="max"/>
        <color rgb="FFFF0000"/>
        <color rgb="FF92D050"/>
      </colorScale>
    </cfRule>
    <cfRule type="colorScale" priority="4111">
      <colorScale>
        <cfvo type="min"/>
        <cfvo type="percentile" val="50"/>
        <cfvo type="max"/>
        <color rgb="FF5A8AC6"/>
        <color rgb="FFFCFCFF"/>
        <color rgb="FFF8696B"/>
      </colorScale>
    </cfRule>
    <cfRule type="colorScale" priority="4112">
      <colorScale>
        <cfvo type="formula" val="&quot;&gt;20&quot;"/>
        <cfvo type="formula" val="35"/>
        <color rgb="FFF8696B"/>
        <color rgb="FFFCFCFF"/>
      </colorScale>
    </cfRule>
    <cfRule type="colorScale" priority="4113">
      <colorScale>
        <cfvo type="min"/>
        <cfvo type="max"/>
        <color rgb="FFFFEF9C"/>
        <color rgb="FF63BE7B"/>
      </colorScale>
    </cfRule>
  </conditionalFormatting>
  <conditionalFormatting sqref="S3538:S3554">
    <cfRule type="containsText" dxfId="2630" priority="4105" operator="containsText" text="Short Buildup">
      <formula>NOT(ISERROR(SEARCH("Short Buildup",S3538)))</formula>
    </cfRule>
    <cfRule type="containsText" dxfId="2629" priority="4106" operator="containsText" text="Long Liquidation">
      <formula>NOT(ISERROR(SEARCH("Long Liquidation",S3538)))</formula>
    </cfRule>
    <cfRule type="containsText" dxfId="2628" priority="4107" operator="containsText" text="Short covering">
      <formula>NOT(ISERROR(SEARCH("Short covering",S3538)))</formula>
    </cfRule>
    <cfRule type="containsText" dxfId="2627" priority="4108" operator="containsText" text="Long Buildup">
      <formula>NOT(ISERROR(SEARCH("Long Buildup",S3538)))</formula>
    </cfRule>
  </conditionalFormatting>
  <conditionalFormatting sqref="F3538:F3553">
    <cfRule type="dataBar" priority="4104">
      <dataBar>
        <cfvo type="min"/>
        <cfvo type="max"/>
        <color rgb="FFFF555A"/>
      </dataBar>
    </cfRule>
  </conditionalFormatting>
  <conditionalFormatting sqref="G3538:G3553">
    <cfRule type="dataBar" priority="4103">
      <dataBar>
        <cfvo type="min"/>
        <cfvo type="max"/>
        <color rgb="FFFF555A"/>
      </dataBar>
    </cfRule>
  </conditionalFormatting>
  <conditionalFormatting sqref="H3538">
    <cfRule type="dataBar" priority="4102">
      <dataBar>
        <cfvo type="min"/>
        <cfvo type="max"/>
        <color rgb="FFFF555A"/>
      </dataBar>
    </cfRule>
  </conditionalFormatting>
  <conditionalFormatting sqref="I3538">
    <cfRule type="dataBar" priority="4101">
      <dataBar>
        <cfvo type="min"/>
        <cfvo type="max"/>
        <color rgb="FFFF555A"/>
      </dataBar>
    </cfRule>
  </conditionalFormatting>
  <conditionalFormatting sqref="J3538">
    <cfRule type="dataBar" priority="4100">
      <dataBar>
        <cfvo type="min"/>
        <cfvo type="max"/>
        <color rgb="FFFF555A"/>
      </dataBar>
    </cfRule>
  </conditionalFormatting>
  <conditionalFormatting sqref="E3539:E3553">
    <cfRule type="dataBar" priority="4099">
      <dataBar>
        <cfvo type="min"/>
        <cfvo type="max"/>
        <color rgb="FFFF555A"/>
      </dataBar>
    </cfRule>
  </conditionalFormatting>
  <conditionalFormatting sqref="H3539:H3553">
    <cfRule type="dataBar" priority="4098">
      <dataBar>
        <cfvo type="min"/>
        <cfvo type="max"/>
        <color rgb="FFFF555A"/>
      </dataBar>
    </cfRule>
  </conditionalFormatting>
  <conditionalFormatting sqref="I3539:I3553">
    <cfRule type="dataBar" priority="4097">
      <dataBar>
        <cfvo type="min"/>
        <cfvo type="max"/>
        <color rgb="FFFF555A"/>
      </dataBar>
    </cfRule>
  </conditionalFormatting>
  <conditionalFormatting sqref="J3539:J3553">
    <cfRule type="dataBar" priority="4096">
      <dataBar>
        <cfvo type="min"/>
        <cfvo type="max"/>
        <color rgb="FFFF555A"/>
      </dataBar>
    </cfRule>
  </conditionalFormatting>
  <conditionalFormatting sqref="L3538:L3553">
    <cfRule type="dataBar" priority="4095">
      <dataBar>
        <cfvo type="min"/>
        <cfvo type="max"/>
        <color rgb="FFFF555A"/>
      </dataBar>
    </cfRule>
  </conditionalFormatting>
  <conditionalFormatting sqref="M3538:M3553">
    <cfRule type="dataBar" priority="4094">
      <dataBar>
        <cfvo type="min"/>
        <cfvo type="max"/>
        <color rgb="FFFF555A"/>
      </dataBar>
    </cfRule>
  </conditionalFormatting>
  <conditionalFormatting sqref="N3538:N3553">
    <cfRule type="dataBar" priority="4093">
      <dataBar>
        <cfvo type="min"/>
        <cfvo type="max"/>
        <color rgb="FFFF555A"/>
      </dataBar>
    </cfRule>
  </conditionalFormatting>
  <conditionalFormatting sqref="Q3538:Q3553">
    <cfRule type="dataBar" priority="4092">
      <dataBar>
        <cfvo type="min"/>
        <cfvo type="max"/>
        <color rgb="FFFF555A"/>
      </dataBar>
    </cfRule>
  </conditionalFormatting>
  <conditionalFormatting sqref="O3538:O3553">
    <cfRule type="dataBar" priority="4091">
      <dataBar>
        <cfvo type="min"/>
        <cfvo type="max"/>
        <color rgb="FFFF555A"/>
      </dataBar>
    </cfRule>
  </conditionalFormatting>
  <conditionalFormatting sqref="P3538:P3553">
    <cfRule type="dataBar" priority="4090">
      <dataBar>
        <cfvo type="min"/>
        <cfvo type="max"/>
        <color rgb="FFFF555A"/>
      </dataBar>
    </cfRule>
  </conditionalFormatting>
  <conditionalFormatting sqref="R3555:R3571 D3555:D3570 C3571">
    <cfRule type="containsText" dxfId="2626" priority="4089" operator="containsText" text="DOWN">
      <formula>NOT(ISERROR(SEARCH("DOWN",C3555)))</formula>
    </cfRule>
  </conditionalFormatting>
  <conditionalFormatting sqref="R3555:R3571 D3555:D3570 C3571">
    <cfRule type="containsText" dxfId="2625" priority="4088" operator="containsText" text="UP">
      <formula>NOT(ISERROR(SEARCH("UP",C3555)))</formula>
    </cfRule>
  </conditionalFormatting>
  <conditionalFormatting sqref="I3571">
    <cfRule type="colorScale" priority="4087">
      <colorScale>
        <cfvo type="min"/>
        <cfvo type="max"/>
        <color rgb="FFFFEF9C"/>
        <color rgb="FF63BE7B"/>
      </colorScale>
    </cfRule>
  </conditionalFormatting>
  <conditionalFormatting sqref="M3571">
    <cfRule type="colorScale" priority="4086">
      <colorScale>
        <cfvo type="min"/>
        <cfvo type="max"/>
        <color rgb="FFFF7128"/>
        <color rgb="FFFFEF9C"/>
      </colorScale>
    </cfRule>
  </conditionalFormatting>
  <conditionalFormatting sqref="Q3571">
    <cfRule type="dataBar" priority="4085">
      <dataBar>
        <cfvo type="min"/>
        <cfvo type="max"/>
        <color rgb="FFFF555A"/>
      </dataBar>
    </cfRule>
  </conditionalFormatting>
  <conditionalFormatting sqref="E3555:E3571">
    <cfRule type="dataBar" priority="4084">
      <dataBar>
        <cfvo type="min"/>
        <cfvo type="max"/>
        <color rgb="FFFF555A"/>
      </dataBar>
    </cfRule>
  </conditionalFormatting>
  <conditionalFormatting sqref="F3571">
    <cfRule type="top10" dxfId="2624" priority="4083" rank="1"/>
  </conditionalFormatting>
  <conditionalFormatting sqref="G3571 P3571">
    <cfRule type="cellIs" dxfId="2623" priority="4082" operator="equal">
      <formula>$G$135</formula>
    </cfRule>
  </conditionalFormatting>
  <conditionalFormatting sqref="P3571">
    <cfRule type="cellIs" dxfId="2622" priority="4081" operator="equal">
      <formula>$J$135</formula>
    </cfRule>
  </conditionalFormatting>
  <conditionalFormatting sqref="G3571 P3571">
    <cfRule type="cellIs" dxfId="2621" priority="4080" operator="equal">
      <formula>#REF!</formula>
    </cfRule>
  </conditionalFormatting>
  <conditionalFormatting sqref="G3571">
    <cfRule type="top10" dxfId="2620" priority="4078" rank="1"/>
    <cfRule type="cellIs" dxfId="2619" priority="4079" operator="equal">
      <formula>$G$133</formula>
    </cfRule>
  </conditionalFormatting>
  <conditionalFormatting sqref="P3571">
    <cfRule type="top10" dxfId="2618" priority="4076" rank="1"/>
    <cfRule type="cellIs" dxfId="2617" priority="4077" operator="equal">
      <formula>$G$133</formula>
    </cfRule>
  </conditionalFormatting>
  <conditionalFormatting sqref="C3555:C3570">
    <cfRule type="containsText" dxfId="2616" priority="4072" operator="containsText" text="Short Buildup">
      <formula>NOT(ISERROR(SEARCH("Short Buildup",C3555)))</formula>
    </cfRule>
    <cfRule type="containsText" dxfId="2615" priority="4073" operator="containsText" text="Long Liquidation">
      <formula>NOT(ISERROR(SEARCH("Long Liquidation",C3555)))</formula>
    </cfRule>
    <cfRule type="containsText" dxfId="2614" priority="4074" operator="containsText" text="Short covering">
      <formula>NOT(ISERROR(SEARCH("Short covering",C3555)))</formula>
    </cfRule>
    <cfRule type="containsText" dxfId="2613" priority="4075" operator="containsText" text="Long Buildup">
      <formula>NOT(ISERROR(SEARCH("Long Buildup",C3555)))</formula>
    </cfRule>
  </conditionalFormatting>
  <conditionalFormatting sqref="H3571">
    <cfRule type="colorScale" priority="4067">
      <colorScale>
        <cfvo type="min"/>
        <cfvo type="percentile" val="20"/>
        <cfvo type="max"/>
        <color rgb="FF92D050"/>
        <color theme="5" tint="0.79998168889431442"/>
        <color rgb="FFFF0000"/>
      </colorScale>
    </cfRule>
    <cfRule type="colorScale" priority="4068">
      <colorScale>
        <cfvo type="min"/>
        <cfvo type="max"/>
        <color rgb="FFFF0000"/>
        <color rgb="FF92D050"/>
      </colorScale>
    </cfRule>
    <cfRule type="colorScale" priority="4069">
      <colorScale>
        <cfvo type="min"/>
        <cfvo type="percentile" val="50"/>
        <cfvo type="max"/>
        <color rgb="FF5A8AC6"/>
        <color rgb="FFFCFCFF"/>
        <color rgb="FFF8696B"/>
      </colorScale>
    </cfRule>
    <cfRule type="colorScale" priority="4070">
      <colorScale>
        <cfvo type="formula" val="&quot;&gt;20&quot;"/>
        <cfvo type="formula" val="35"/>
        <color rgb="FFF8696B"/>
        <color rgb="FFFCFCFF"/>
      </colorScale>
    </cfRule>
    <cfRule type="colorScale" priority="4071">
      <colorScale>
        <cfvo type="min"/>
        <cfvo type="max"/>
        <color rgb="FFFFEF9C"/>
        <color rgb="FF63BE7B"/>
      </colorScale>
    </cfRule>
  </conditionalFormatting>
  <conditionalFormatting sqref="N3571">
    <cfRule type="colorScale" priority="4062">
      <colorScale>
        <cfvo type="min"/>
        <cfvo type="percentile" val="20"/>
        <cfvo type="max"/>
        <color rgb="FF92D050"/>
        <color theme="5" tint="0.79998168889431442"/>
        <color rgb="FFFF0000"/>
      </colorScale>
    </cfRule>
    <cfRule type="colorScale" priority="4063">
      <colorScale>
        <cfvo type="min"/>
        <cfvo type="max"/>
        <color rgb="FFFF0000"/>
        <color rgb="FF92D050"/>
      </colorScale>
    </cfRule>
    <cfRule type="colorScale" priority="4064">
      <colorScale>
        <cfvo type="min"/>
        <cfvo type="percentile" val="50"/>
        <cfvo type="max"/>
        <color rgb="FF5A8AC6"/>
        <color rgb="FFFCFCFF"/>
        <color rgb="FFF8696B"/>
      </colorScale>
    </cfRule>
    <cfRule type="colorScale" priority="4065">
      <colorScale>
        <cfvo type="formula" val="&quot;&gt;20&quot;"/>
        <cfvo type="formula" val="35"/>
        <color rgb="FFF8696B"/>
        <color rgb="FFFCFCFF"/>
      </colorScale>
    </cfRule>
    <cfRule type="colorScale" priority="4066">
      <colorScale>
        <cfvo type="min"/>
        <cfvo type="max"/>
        <color rgb="FFFFEF9C"/>
        <color rgb="FF63BE7B"/>
      </colorScale>
    </cfRule>
  </conditionalFormatting>
  <conditionalFormatting sqref="S3555:S3571">
    <cfRule type="containsText" dxfId="2612" priority="4058" operator="containsText" text="Short Buildup">
      <formula>NOT(ISERROR(SEARCH("Short Buildup",S3555)))</formula>
    </cfRule>
    <cfRule type="containsText" dxfId="2611" priority="4059" operator="containsText" text="Long Liquidation">
      <formula>NOT(ISERROR(SEARCH("Long Liquidation",S3555)))</formula>
    </cfRule>
    <cfRule type="containsText" dxfId="2610" priority="4060" operator="containsText" text="Short covering">
      <formula>NOT(ISERROR(SEARCH("Short covering",S3555)))</formula>
    </cfRule>
    <cfRule type="containsText" dxfId="2609" priority="4061" operator="containsText" text="Long Buildup">
      <formula>NOT(ISERROR(SEARCH("Long Buildup",S3555)))</formula>
    </cfRule>
  </conditionalFormatting>
  <conditionalFormatting sqref="F3555:F3570">
    <cfRule type="dataBar" priority="4057">
      <dataBar>
        <cfvo type="min"/>
        <cfvo type="max"/>
        <color rgb="FFFF555A"/>
      </dataBar>
    </cfRule>
  </conditionalFormatting>
  <conditionalFormatting sqref="G3555:G3570">
    <cfRule type="dataBar" priority="4056">
      <dataBar>
        <cfvo type="min"/>
        <cfvo type="max"/>
        <color rgb="FFFF555A"/>
      </dataBar>
    </cfRule>
  </conditionalFormatting>
  <conditionalFormatting sqref="H3555">
    <cfRule type="dataBar" priority="4055">
      <dataBar>
        <cfvo type="min"/>
        <cfvo type="max"/>
        <color rgb="FFFF555A"/>
      </dataBar>
    </cfRule>
  </conditionalFormatting>
  <conditionalFormatting sqref="I3555">
    <cfRule type="dataBar" priority="4054">
      <dataBar>
        <cfvo type="min"/>
        <cfvo type="max"/>
        <color rgb="FFFF555A"/>
      </dataBar>
    </cfRule>
  </conditionalFormatting>
  <conditionalFormatting sqref="J3555">
    <cfRule type="dataBar" priority="4053">
      <dataBar>
        <cfvo type="min"/>
        <cfvo type="max"/>
        <color rgb="FFFF555A"/>
      </dataBar>
    </cfRule>
  </conditionalFormatting>
  <conditionalFormatting sqref="E3556:E3570">
    <cfRule type="dataBar" priority="4052">
      <dataBar>
        <cfvo type="min"/>
        <cfvo type="max"/>
        <color rgb="FFFF555A"/>
      </dataBar>
    </cfRule>
  </conditionalFormatting>
  <conditionalFormatting sqref="H3556:H3570">
    <cfRule type="dataBar" priority="4051">
      <dataBar>
        <cfvo type="min"/>
        <cfvo type="max"/>
        <color rgb="FFFF555A"/>
      </dataBar>
    </cfRule>
  </conditionalFormatting>
  <conditionalFormatting sqref="I3556:I3570">
    <cfRule type="dataBar" priority="4050">
      <dataBar>
        <cfvo type="min"/>
        <cfvo type="max"/>
        <color rgb="FFFF555A"/>
      </dataBar>
    </cfRule>
  </conditionalFormatting>
  <conditionalFormatting sqref="J3556:J3570">
    <cfRule type="dataBar" priority="4049">
      <dataBar>
        <cfvo type="min"/>
        <cfvo type="max"/>
        <color rgb="FFFF555A"/>
      </dataBar>
    </cfRule>
  </conditionalFormatting>
  <conditionalFormatting sqref="L3555:L3570">
    <cfRule type="dataBar" priority="4048">
      <dataBar>
        <cfvo type="min"/>
        <cfvo type="max"/>
        <color rgb="FFFF555A"/>
      </dataBar>
    </cfRule>
  </conditionalFormatting>
  <conditionalFormatting sqref="M3555:M3570">
    <cfRule type="dataBar" priority="4047">
      <dataBar>
        <cfvo type="min"/>
        <cfvo type="max"/>
        <color rgb="FFFF555A"/>
      </dataBar>
    </cfRule>
  </conditionalFormatting>
  <conditionalFormatting sqref="N3555:N3570">
    <cfRule type="dataBar" priority="4046">
      <dataBar>
        <cfvo type="min"/>
        <cfvo type="max"/>
        <color rgb="FFFF555A"/>
      </dataBar>
    </cfRule>
  </conditionalFormatting>
  <conditionalFormatting sqref="Q3555:Q3570">
    <cfRule type="dataBar" priority="4045">
      <dataBar>
        <cfvo type="min"/>
        <cfvo type="max"/>
        <color rgb="FFFF555A"/>
      </dataBar>
    </cfRule>
  </conditionalFormatting>
  <conditionalFormatting sqref="O3555:O3570">
    <cfRule type="dataBar" priority="4044">
      <dataBar>
        <cfvo type="min"/>
        <cfvo type="max"/>
        <color rgb="FFFF555A"/>
      </dataBar>
    </cfRule>
  </conditionalFormatting>
  <conditionalFormatting sqref="P3555:P3570">
    <cfRule type="dataBar" priority="4043">
      <dataBar>
        <cfvo type="min"/>
        <cfvo type="max"/>
        <color rgb="FFFF555A"/>
      </dataBar>
    </cfRule>
  </conditionalFormatting>
  <conditionalFormatting sqref="R2:R18 D2:D17 C18">
    <cfRule type="containsText" dxfId="1079" priority="2820" operator="containsText" text="DOWN">
      <formula>NOT(ISERROR(SEARCH("DOWN",C2)))</formula>
    </cfRule>
  </conditionalFormatting>
  <conditionalFormatting sqref="R2:R18 D2:D17 C18">
    <cfRule type="containsText" dxfId="1078" priority="2819" operator="containsText" text="UP">
      <formula>NOT(ISERROR(SEARCH("UP",C2)))</formula>
    </cfRule>
  </conditionalFormatting>
  <conditionalFormatting sqref="I18">
    <cfRule type="colorScale" priority="2818">
      <colorScale>
        <cfvo type="min"/>
        <cfvo type="max"/>
        <color rgb="FFFFEF9C"/>
        <color rgb="FF63BE7B"/>
      </colorScale>
    </cfRule>
  </conditionalFormatting>
  <conditionalFormatting sqref="M18">
    <cfRule type="colorScale" priority="2817">
      <colorScale>
        <cfvo type="min"/>
        <cfvo type="max"/>
        <color rgb="FFFF7128"/>
        <color rgb="FFFFEF9C"/>
      </colorScale>
    </cfRule>
  </conditionalFormatting>
  <conditionalFormatting sqref="Q18">
    <cfRule type="dataBar" priority="2816">
      <dataBar>
        <cfvo type="min"/>
        <cfvo type="max"/>
        <color rgb="FFFF555A"/>
      </dataBar>
    </cfRule>
  </conditionalFormatting>
  <conditionalFormatting sqref="E2:E18">
    <cfRule type="dataBar" priority="2815">
      <dataBar>
        <cfvo type="min"/>
        <cfvo type="max"/>
        <color rgb="FFFF555A"/>
      </dataBar>
    </cfRule>
  </conditionalFormatting>
  <conditionalFormatting sqref="F18">
    <cfRule type="top10" dxfId="1077" priority="2814" rank="1"/>
  </conditionalFormatting>
  <conditionalFormatting sqref="G18 P18">
    <cfRule type="cellIs" dxfId="1076" priority="2813" operator="equal">
      <formula>$G$135</formula>
    </cfRule>
  </conditionalFormatting>
  <conditionalFormatting sqref="P18">
    <cfRule type="cellIs" dxfId="1075" priority="2812" operator="equal">
      <formula>$J$135</formula>
    </cfRule>
  </conditionalFormatting>
  <conditionalFormatting sqref="G18 P18">
    <cfRule type="cellIs" dxfId="1074" priority="2811" operator="equal">
      <formula>#REF!</formula>
    </cfRule>
  </conditionalFormatting>
  <conditionalFormatting sqref="G18">
    <cfRule type="top10" dxfId="1073" priority="2809" rank="1"/>
    <cfRule type="cellIs" dxfId="1072" priority="2810" operator="equal">
      <formula>$G$133</formula>
    </cfRule>
  </conditionalFormatting>
  <conditionalFormatting sqref="P18">
    <cfRule type="top10" dxfId="1071" priority="2807" rank="1"/>
    <cfRule type="cellIs" dxfId="1070" priority="2808" operator="equal">
      <formula>$G$133</formula>
    </cfRule>
  </conditionalFormatting>
  <conditionalFormatting sqref="C2:C17">
    <cfRule type="containsText" dxfId="1069" priority="2803" operator="containsText" text="Short Buildup">
      <formula>NOT(ISERROR(SEARCH("Short Buildup",C2)))</formula>
    </cfRule>
    <cfRule type="containsText" dxfId="1068" priority="2804" operator="containsText" text="Long Liquidation">
      <formula>NOT(ISERROR(SEARCH("Long Liquidation",C2)))</formula>
    </cfRule>
    <cfRule type="containsText" dxfId="1067" priority="2805" operator="containsText" text="Short covering">
      <formula>NOT(ISERROR(SEARCH("Short covering",C2)))</formula>
    </cfRule>
    <cfRule type="containsText" dxfId="1066" priority="2806" operator="containsText" text="Long Buildup">
      <formula>NOT(ISERROR(SEARCH("Long Buildup",C2)))</formula>
    </cfRule>
  </conditionalFormatting>
  <conditionalFormatting sqref="H18">
    <cfRule type="colorScale" priority="2798">
      <colorScale>
        <cfvo type="min"/>
        <cfvo type="percentile" val="20"/>
        <cfvo type="max"/>
        <color rgb="FF92D050"/>
        <color theme="5" tint="0.79998168889431442"/>
        <color rgb="FFFF0000"/>
      </colorScale>
    </cfRule>
    <cfRule type="colorScale" priority="2799">
      <colorScale>
        <cfvo type="min"/>
        <cfvo type="max"/>
        <color rgb="FFFF0000"/>
        <color rgb="FF92D050"/>
      </colorScale>
    </cfRule>
    <cfRule type="colorScale" priority="2800">
      <colorScale>
        <cfvo type="min"/>
        <cfvo type="percentile" val="50"/>
        <cfvo type="max"/>
        <color rgb="FF5A8AC6"/>
        <color rgb="FFFCFCFF"/>
        <color rgb="FFF8696B"/>
      </colorScale>
    </cfRule>
    <cfRule type="colorScale" priority="2801">
      <colorScale>
        <cfvo type="formula" val="&quot;&gt;20&quot;"/>
        <cfvo type="formula" val="35"/>
        <color rgb="FFF8696B"/>
        <color rgb="FFFCFCFF"/>
      </colorScale>
    </cfRule>
    <cfRule type="colorScale" priority="2802">
      <colorScale>
        <cfvo type="min"/>
        <cfvo type="max"/>
        <color rgb="FFFFEF9C"/>
        <color rgb="FF63BE7B"/>
      </colorScale>
    </cfRule>
  </conditionalFormatting>
  <conditionalFormatting sqref="N18">
    <cfRule type="colorScale" priority="2793">
      <colorScale>
        <cfvo type="min"/>
        <cfvo type="percentile" val="20"/>
        <cfvo type="max"/>
        <color rgb="FF92D050"/>
        <color theme="5" tint="0.79998168889431442"/>
        <color rgb="FFFF0000"/>
      </colorScale>
    </cfRule>
    <cfRule type="colorScale" priority="2794">
      <colorScale>
        <cfvo type="min"/>
        <cfvo type="max"/>
        <color rgb="FFFF0000"/>
        <color rgb="FF92D050"/>
      </colorScale>
    </cfRule>
    <cfRule type="colorScale" priority="2795">
      <colorScale>
        <cfvo type="min"/>
        <cfvo type="percentile" val="50"/>
        <cfvo type="max"/>
        <color rgb="FF5A8AC6"/>
        <color rgb="FFFCFCFF"/>
        <color rgb="FFF8696B"/>
      </colorScale>
    </cfRule>
    <cfRule type="colorScale" priority="2796">
      <colorScale>
        <cfvo type="formula" val="&quot;&gt;20&quot;"/>
        <cfvo type="formula" val="35"/>
        <color rgb="FFF8696B"/>
        <color rgb="FFFCFCFF"/>
      </colorScale>
    </cfRule>
    <cfRule type="colorScale" priority="2797">
      <colorScale>
        <cfvo type="min"/>
        <cfvo type="max"/>
        <color rgb="FFFFEF9C"/>
        <color rgb="FF63BE7B"/>
      </colorScale>
    </cfRule>
  </conditionalFormatting>
  <conditionalFormatting sqref="S2:S18">
    <cfRule type="containsText" dxfId="1065" priority="2789" operator="containsText" text="Short Buildup">
      <formula>NOT(ISERROR(SEARCH("Short Buildup",S2)))</formula>
    </cfRule>
    <cfRule type="containsText" dxfId="1064" priority="2790" operator="containsText" text="Long Liquidation">
      <formula>NOT(ISERROR(SEARCH("Long Liquidation",S2)))</formula>
    </cfRule>
    <cfRule type="containsText" dxfId="1063" priority="2791" operator="containsText" text="Short covering">
      <formula>NOT(ISERROR(SEARCH("Short covering",S2)))</formula>
    </cfRule>
    <cfRule type="containsText" dxfId="1062" priority="2792" operator="containsText" text="Long Buildup">
      <formula>NOT(ISERROR(SEARCH("Long Buildup",S2)))</formula>
    </cfRule>
  </conditionalFormatting>
  <conditionalFormatting sqref="F2:F17">
    <cfRule type="dataBar" priority="2788">
      <dataBar>
        <cfvo type="min"/>
        <cfvo type="max"/>
        <color rgb="FFFF555A"/>
      </dataBar>
    </cfRule>
  </conditionalFormatting>
  <conditionalFormatting sqref="G2:G17">
    <cfRule type="dataBar" priority="2787">
      <dataBar>
        <cfvo type="min"/>
        <cfvo type="max"/>
        <color rgb="FFFF555A"/>
      </dataBar>
    </cfRule>
  </conditionalFormatting>
  <conditionalFormatting sqref="H2">
    <cfRule type="dataBar" priority="2786">
      <dataBar>
        <cfvo type="min"/>
        <cfvo type="max"/>
        <color rgb="FFFF555A"/>
      </dataBar>
    </cfRule>
  </conditionalFormatting>
  <conditionalFormatting sqref="I2">
    <cfRule type="dataBar" priority="2785">
      <dataBar>
        <cfvo type="min"/>
        <cfvo type="max"/>
        <color rgb="FFFF555A"/>
      </dataBar>
    </cfRule>
  </conditionalFormatting>
  <conditionalFormatting sqref="J2">
    <cfRule type="dataBar" priority="2784">
      <dataBar>
        <cfvo type="min"/>
        <cfvo type="max"/>
        <color rgb="FFFF555A"/>
      </dataBar>
    </cfRule>
  </conditionalFormatting>
  <conditionalFormatting sqref="E3:E17">
    <cfRule type="dataBar" priority="2783">
      <dataBar>
        <cfvo type="min"/>
        <cfvo type="max"/>
        <color rgb="FFFF555A"/>
      </dataBar>
    </cfRule>
  </conditionalFormatting>
  <conditionalFormatting sqref="H3:H17">
    <cfRule type="dataBar" priority="2782">
      <dataBar>
        <cfvo type="min"/>
        <cfvo type="max"/>
        <color rgb="FFFF555A"/>
      </dataBar>
    </cfRule>
  </conditionalFormatting>
  <conditionalFormatting sqref="I3:I17">
    <cfRule type="dataBar" priority="2781">
      <dataBar>
        <cfvo type="min"/>
        <cfvo type="max"/>
        <color rgb="FFFF555A"/>
      </dataBar>
    </cfRule>
  </conditionalFormatting>
  <conditionalFormatting sqref="J3:J17">
    <cfRule type="dataBar" priority="2780">
      <dataBar>
        <cfvo type="min"/>
        <cfvo type="max"/>
        <color rgb="FFFF555A"/>
      </dataBar>
    </cfRule>
  </conditionalFormatting>
  <conditionalFormatting sqref="L2:L17">
    <cfRule type="dataBar" priority="2779">
      <dataBar>
        <cfvo type="min"/>
        <cfvo type="max"/>
        <color rgb="FFFF555A"/>
      </dataBar>
    </cfRule>
  </conditionalFormatting>
  <conditionalFormatting sqref="M2:M17">
    <cfRule type="dataBar" priority="2778">
      <dataBar>
        <cfvo type="min"/>
        <cfvo type="max"/>
        <color rgb="FFFF555A"/>
      </dataBar>
    </cfRule>
  </conditionalFormatting>
  <conditionalFormatting sqref="N2:N17">
    <cfRule type="dataBar" priority="2777">
      <dataBar>
        <cfvo type="min"/>
        <cfvo type="max"/>
        <color rgb="FFFF555A"/>
      </dataBar>
    </cfRule>
  </conditionalFormatting>
  <conditionalFormatting sqref="Q2:Q17">
    <cfRule type="dataBar" priority="2776">
      <dataBar>
        <cfvo type="min"/>
        <cfvo type="max"/>
        <color rgb="FFFF555A"/>
      </dataBar>
    </cfRule>
  </conditionalFormatting>
  <conditionalFormatting sqref="O2:O17">
    <cfRule type="dataBar" priority="2775">
      <dataBar>
        <cfvo type="min"/>
        <cfvo type="max"/>
        <color rgb="FFFF555A"/>
      </dataBar>
    </cfRule>
  </conditionalFormatting>
  <conditionalFormatting sqref="P2:P17">
    <cfRule type="dataBar" priority="2774">
      <dataBar>
        <cfvo type="min"/>
        <cfvo type="max"/>
        <color rgb="FFFF555A"/>
      </dataBar>
    </cfRule>
  </conditionalFormatting>
  <conditionalFormatting sqref="R19:R35 D19:D34 C35">
    <cfRule type="containsText" dxfId="1061" priority="2773" operator="containsText" text="DOWN">
      <formula>NOT(ISERROR(SEARCH("DOWN",C19)))</formula>
    </cfRule>
  </conditionalFormatting>
  <conditionalFormatting sqref="R19:R35 D19:D34 C35">
    <cfRule type="containsText" dxfId="1060" priority="2772" operator="containsText" text="UP">
      <formula>NOT(ISERROR(SEARCH("UP",C19)))</formula>
    </cfRule>
  </conditionalFormatting>
  <conditionalFormatting sqref="I35">
    <cfRule type="colorScale" priority="2771">
      <colorScale>
        <cfvo type="min"/>
        <cfvo type="max"/>
        <color rgb="FFFFEF9C"/>
        <color rgb="FF63BE7B"/>
      </colorScale>
    </cfRule>
  </conditionalFormatting>
  <conditionalFormatting sqref="M35">
    <cfRule type="colorScale" priority="2770">
      <colorScale>
        <cfvo type="min"/>
        <cfvo type="max"/>
        <color rgb="FFFF7128"/>
        <color rgb="FFFFEF9C"/>
      </colorScale>
    </cfRule>
  </conditionalFormatting>
  <conditionalFormatting sqref="Q35">
    <cfRule type="dataBar" priority="2769">
      <dataBar>
        <cfvo type="min"/>
        <cfvo type="max"/>
        <color rgb="FFFF555A"/>
      </dataBar>
    </cfRule>
  </conditionalFormatting>
  <conditionalFormatting sqref="E19:E35">
    <cfRule type="dataBar" priority="2768">
      <dataBar>
        <cfvo type="min"/>
        <cfvo type="max"/>
        <color rgb="FFFF555A"/>
      </dataBar>
    </cfRule>
  </conditionalFormatting>
  <conditionalFormatting sqref="F35">
    <cfRule type="top10" dxfId="1059" priority="2767" rank="1"/>
  </conditionalFormatting>
  <conditionalFormatting sqref="G35 P35">
    <cfRule type="cellIs" dxfId="1058" priority="2766" operator="equal">
      <formula>$G$135</formula>
    </cfRule>
  </conditionalFormatting>
  <conditionalFormatting sqref="P35">
    <cfRule type="cellIs" dxfId="1057" priority="2765" operator="equal">
      <formula>$J$135</formula>
    </cfRule>
  </conditionalFormatting>
  <conditionalFormatting sqref="G35 P35">
    <cfRule type="cellIs" dxfId="1056" priority="2764" operator="equal">
      <formula>#REF!</formula>
    </cfRule>
  </conditionalFormatting>
  <conditionalFormatting sqref="G35">
    <cfRule type="top10" dxfId="1055" priority="2762" rank="1"/>
    <cfRule type="cellIs" dxfId="1054" priority="2763" operator="equal">
      <formula>$G$133</formula>
    </cfRule>
  </conditionalFormatting>
  <conditionalFormatting sqref="P35">
    <cfRule type="top10" dxfId="1053" priority="2760" rank="1"/>
    <cfRule type="cellIs" dxfId="1052" priority="2761" operator="equal">
      <formula>$G$133</formula>
    </cfRule>
  </conditionalFormatting>
  <conditionalFormatting sqref="C19:C34">
    <cfRule type="containsText" dxfId="1051" priority="2756" operator="containsText" text="Short Buildup">
      <formula>NOT(ISERROR(SEARCH("Short Buildup",C19)))</formula>
    </cfRule>
    <cfRule type="containsText" dxfId="1050" priority="2757" operator="containsText" text="Long Liquidation">
      <formula>NOT(ISERROR(SEARCH("Long Liquidation",C19)))</formula>
    </cfRule>
    <cfRule type="containsText" dxfId="1049" priority="2758" operator="containsText" text="Short covering">
      <formula>NOT(ISERROR(SEARCH("Short covering",C19)))</formula>
    </cfRule>
    <cfRule type="containsText" dxfId="1048" priority="2759" operator="containsText" text="Long Buildup">
      <formula>NOT(ISERROR(SEARCH("Long Buildup",C19)))</formula>
    </cfRule>
  </conditionalFormatting>
  <conditionalFormatting sqref="H35">
    <cfRule type="colorScale" priority="2751">
      <colorScale>
        <cfvo type="min"/>
        <cfvo type="percentile" val="20"/>
        <cfvo type="max"/>
        <color rgb="FF92D050"/>
        <color theme="5" tint="0.79998168889431442"/>
        <color rgb="FFFF0000"/>
      </colorScale>
    </cfRule>
    <cfRule type="colorScale" priority="2752">
      <colorScale>
        <cfvo type="min"/>
        <cfvo type="max"/>
        <color rgb="FFFF0000"/>
        <color rgb="FF92D050"/>
      </colorScale>
    </cfRule>
    <cfRule type="colorScale" priority="2753">
      <colorScale>
        <cfvo type="min"/>
        <cfvo type="percentile" val="50"/>
        <cfvo type="max"/>
        <color rgb="FF5A8AC6"/>
        <color rgb="FFFCFCFF"/>
        <color rgb="FFF8696B"/>
      </colorScale>
    </cfRule>
    <cfRule type="colorScale" priority="2754">
      <colorScale>
        <cfvo type="formula" val="&quot;&gt;20&quot;"/>
        <cfvo type="formula" val="35"/>
        <color rgb="FFF8696B"/>
        <color rgb="FFFCFCFF"/>
      </colorScale>
    </cfRule>
    <cfRule type="colorScale" priority="2755">
      <colorScale>
        <cfvo type="min"/>
        <cfvo type="max"/>
        <color rgb="FFFFEF9C"/>
        <color rgb="FF63BE7B"/>
      </colorScale>
    </cfRule>
  </conditionalFormatting>
  <conditionalFormatting sqref="N35">
    <cfRule type="colorScale" priority="2746">
      <colorScale>
        <cfvo type="min"/>
        <cfvo type="percentile" val="20"/>
        <cfvo type="max"/>
        <color rgb="FF92D050"/>
        <color theme="5" tint="0.79998168889431442"/>
        <color rgb="FFFF0000"/>
      </colorScale>
    </cfRule>
    <cfRule type="colorScale" priority="2747">
      <colorScale>
        <cfvo type="min"/>
        <cfvo type="max"/>
        <color rgb="FFFF0000"/>
        <color rgb="FF92D050"/>
      </colorScale>
    </cfRule>
    <cfRule type="colorScale" priority="2748">
      <colorScale>
        <cfvo type="min"/>
        <cfvo type="percentile" val="50"/>
        <cfvo type="max"/>
        <color rgb="FF5A8AC6"/>
        <color rgb="FFFCFCFF"/>
        <color rgb="FFF8696B"/>
      </colorScale>
    </cfRule>
    <cfRule type="colorScale" priority="2749">
      <colorScale>
        <cfvo type="formula" val="&quot;&gt;20&quot;"/>
        <cfvo type="formula" val="35"/>
        <color rgb="FFF8696B"/>
        <color rgb="FFFCFCFF"/>
      </colorScale>
    </cfRule>
    <cfRule type="colorScale" priority="2750">
      <colorScale>
        <cfvo type="min"/>
        <cfvo type="max"/>
        <color rgb="FFFFEF9C"/>
        <color rgb="FF63BE7B"/>
      </colorScale>
    </cfRule>
  </conditionalFormatting>
  <conditionalFormatting sqref="S19:S35">
    <cfRule type="containsText" dxfId="1047" priority="2742" operator="containsText" text="Short Buildup">
      <formula>NOT(ISERROR(SEARCH("Short Buildup",S19)))</formula>
    </cfRule>
    <cfRule type="containsText" dxfId="1046" priority="2743" operator="containsText" text="Long Liquidation">
      <formula>NOT(ISERROR(SEARCH("Long Liquidation",S19)))</formula>
    </cfRule>
    <cfRule type="containsText" dxfId="1045" priority="2744" operator="containsText" text="Short covering">
      <formula>NOT(ISERROR(SEARCH("Short covering",S19)))</formula>
    </cfRule>
    <cfRule type="containsText" dxfId="1044" priority="2745" operator="containsText" text="Long Buildup">
      <formula>NOT(ISERROR(SEARCH("Long Buildup",S19)))</formula>
    </cfRule>
  </conditionalFormatting>
  <conditionalFormatting sqref="F19:F34">
    <cfRule type="dataBar" priority="2741">
      <dataBar>
        <cfvo type="min"/>
        <cfvo type="max"/>
        <color rgb="FFFF555A"/>
      </dataBar>
    </cfRule>
  </conditionalFormatting>
  <conditionalFormatting sqref="G19:G34">
    <cfRule type="dataBar" priority="2740">
      <dataBar>
        <cfvo type="min"/>
        <cfvo type="max"/>
        <color rgb="FFFF555A"/>
      </dataBar>
    </cfRule>
  </conditionalFormatting>
  <conditionalFormatting sqref="H19">
    <cfRule type="dataBar" priority="2739">
      <dataBar>
        <cfvo type="min"/>
        <cfvo type="max"/>
        <color rgb="FFFF555A"/>
      </dataBar>
    </cfRule>
  </conditionalFormatting>
  <conditionalFormatting sqref="I19">
    <cfRule type="dataBar" priority="2738">
      <dataBar>
        <cfvo type="min"/>
        <cfvo type="max"/>
        <color rgb="FFFF555A"/>
      </dataBar>
    </cfRule>
  </conditionalFormatting>
  <conditionalFormatting sqref="J19">
    <cfRule type="dataBar" priority="2737">
      <dataBar>
        <cfvo type="min"/>
        <cfvo type="max"/>
        <color rgb="FFFF555A"/>
      </dataBar>
    </cfRule>
  </conditionalFormatting>
  <conditionalFormatting sqref="E20:E34">
    <cfRule type="dataBar" priority="2736">
      <dataBar>
        <cfvo type="min"/>
        <cfvo type="max"/>
        <color rgb="FFFF555A"/>
      </dataBar>
    </cfRule>
  </conditionalFormatting>
  <conditionalFormatting sqref="H20:H34">
    <cfRule type="dataBar" priority="2735">
      <dataBar>
        <cfvo type="min"/>
        <cfvo type="max"/>
        <color rgb="FFFF555A"/>
      </dataBar>
    </cfRule>
  </conditionalFormatting>
  <conditionalFormatting sqref="I20:I34">
    <cfRule type="dataBar" priority="2734">
      <dataBar>
        <cfvo type="min"/>
        <cfvo type="max"/>
        <color rgb="FFFF555A"/>
      </dataBar>
    </cfRule>
  </conditionalFormatting>
  <conditionalFormatting sqref="J20:J34">
    <cfRule type="dataBar" priority="2733">
      <dataBar>
        <cfvo type="min"/>
        <cfvo type="max"/>
        <color rgb="FFFF555A"/>
      </dataBar>
    </cfRule>
  </conditionalFormatting>
  <conditionalFormatting sqref="L19:L34">
    <cfRule type="dataBar" priority="2732">
      <dataBar>
        <cfvo type="min"/>
        <cfvo type="max"/>
        <color rgb="FFFF555A"/>
      </dataBar>
    </cfRule>
  </conditionalFormatting>
  <conditionalFormatting sqref="M19:M34">
    <cfRule type="dataBar" priority="2731">
      <dataBar>
        <cfvo type="min"/>
        <cfvo type="max"/>
        <color rgb="FFFF555A"/>
      </dataBar>
    </cfRule>
  </conditionalFormatting>
  <conditionalFormatting sqref="N19:N34">
    <cfRule type="dataBar" priority="2730">
      <dataBar>
        <cfvo type="min"/>
        <cfvo type="max"/>
        <color rgb="FFFF555A"/>
      </dataBar>
    </cfRule>
  </conditionalFormatting>
  <conditionalFormatting sqref="Q19:Q34">
    <cfRule type="dataBar" priority="2729">
      <dataBar>
        <cfvo type="min"/>
        <cfvo type="max"/>
        <color rgb="FFFF555A"/>
      </dataBar>
    </cfRule>
  </conditionalFormatting>
  <conditionalFormatting sqref="O19:O34">
    <cfRule type="dataBar" priority="2728">
      <dataBar>
        <cfvo type="min"/>
        <cfvo type="max"/>
        <color rgb="FFFF555A"/>
      </dataBar>
    </cfRule>
  </conditionalFormatting>
  <conditionalFormatting sqref="P19:P34">
    <cfRule type="dataBar" priority="2727">
      <dataBar>
        <cfvo type="min"/>
        <cfvo type="max"/>
        <color rgb="FFFF555A"/>
      </dataBar>
    </cfRule>
  </conditionalFormatting>
  <conditionalFormatting sqref="R36:R52 D36:D51 C52">
    <cfRule type="containsText" dxfId="1043" priority="2726" operator="containsText" text="DOWN">
      <formula>NOT(ISERROR(SEARCH("DOWN",C36)))</formula>
    </cfRule>
  </conditionalFormatting>
  <conditionalFormatting sqref="R36:R52 D36:D51 C52">
    <cfRule type="containsText" dxfId="1042" priority="2725" operator="containsText" text="UP">
      <formula>NOT(ISERROR(SEARCH("UP",C36)))</formula>
    </cfRule>
  </conditionalFormatting>
  <conditionalFormatting sqref="I52">
    <cfRule type="colorScale" priority="2724">
      <colorScale>
        <cfvo type="min"/>
        <cfvo type="max"/>
        <color rgb="FFFFEF9C"/>
        <color rgb="FF63BE7B"/>
      </colorScale>
    </cfRule>
  </conditionalFormatting>
  <conditionalFormatting sqref="M52">
    <cfRule type="colorScale" priority="2723">
      <colorScale>
        <cfvo type="min"/>
        <cfvo type="max"/>
        <color rgb="FFFF7128"/>
        <color rgb="FFFFEF9C"/>
      </colorScale>
    </cfRule>
  </conditionalFormatting>
  <conditionalFormatting sqref="Q52">
    <cfRule type="dataBar" priority="2722">
      <dataBar>
        <cfvo type="min"/>
        <cfvo type="max"/>
        <color rgb="FFFF555A"/>
      </dataBar>
    </cfRule>
  </conditionalFormatting>
  <conditionalFormatting sqref="E36:E52">
    <cfRule type="dataBar" priority="2721">
      <dataBar>
        <cfvo type="min"/>
        <cfvo type="max"/>
        <color rgb="FFFF555A"/>
      </dataBar>
    </cfRule>
  </conditionalFormatting>
  <conditionalFormatting sqref="F52">
    <cfRule type="top10" dxfId="1041" priority="2720" rank="1"/>
  </conditionalFormatting>
  <conditionalFormatting sqref="G52 P52">
    <cfRule type="cellIs" dxfId="1040" priority="2719" operator="equal">
      <formula>$G$135</formula>
    </cfRule>
  </conditionalFormatting>
  <conditionalFormatting sqref="P52">
    <cfRule type="cellIs" dxfId="1039" priority="2718" operator="equal">
      <formula>$J$135</formula>
    </cfRule>
  </conditionalFormatting>
  <conditionalFormatting sqref="G52 P52">
    <cfRule type="cellIs" dxfId="1038" priority="2717" operator="equal">
      <formula>#REF!</formula>
    </cfRule>
  </conditionalFormatting>
  <conditionalFormatting sqref="G52">
    <cfRule type="top10" dxfId="1037" priority="2715" rank="1"/>
    <cfRule type="cellIs" dxfId="1036" priority="2716" operator="equal">
      <formula>$G$133</formula>
    </cfRule>
  </conditionalFormatting>
  <conditionalFormatting sqref="P52">
    <cfRule type="top10" dxfId="1035" priority="2713" rank="1"/>
    <cfRule type="cellIs" dxfId="1034" priority="2714" operator="equal">
      <formula>$G$133</formula>
    </cfRule>
  </conditionalFormatting>
  <conditionalFormatting sqref="C36:C51">
    <cfRule type="containsText" dxfId="1033" priority="2709" operator="containsText" text="Short Buildup">
      <formula>NOT(ISERROR(SEARCH("Short Buildup",C36)))</formula>
    </cfRule>
    <cfRule type="containsText" dxfId="1032" priority="2710" operator="containsText" text="Long Liquidation">
      <formula>NOT(ISERROR(SEARCH("Long Liquidation",C36)))</formula>
    </cfRule>
    <cfRule type="containsText" dxfId="1031" priority="2711" operator="containsText" text="Short covering">
      <formula>NOT(ISERROR(SEARCH("Short covering",C36)))</formula>
    </cfRule>
    <cfRule type="containsText" dxfId="1030" priority="2712" operator="containsText" text="Long Buildup">
      <formula>NOT(ISERROR(SEARCH("Long Buildup",C36)))</formula>
    </cfRule>
  </conditionalFormatting>
  <conditionalFormatting sqref="H52">
    <cfRule type="colorScale" priority="2704">
      <colorScale>
        <cfvo type="min"/>
        <cfvo type="percentile" val="20"/>
        <cfvo type="max"/>
        <color rgb="FF92D050"/>
        <color theme="5" tint="0.79998168889431442"/>
        <color rgb="FFFF0000"/>
      </colorScale>
    </cfRule>
    <cfRule type="colorScale" priority="2705">
      <colorScale>
        <cfvo type="min"/>
        <cfvo type="max"/>
        <color rgb="FFFF0000"/>
        <color rgb="FF92D050"/>
      </colorScale>
    </cfRule>
    <cfRule type="colorScale" priority="2706">
      <colorScale>
        <cfvo type="min"/>
        <cfvo type="percentile" val="50"/>
        <cfvo type="max"/>
        <color rgb="FF5A8AC6"/>
        <color rgb="FFFCFCFF"/>
        <color rgb="FFF8696B"/>
      </colorScale>
    </cfRule>
    <cfRule type="colorScale" priority="2707">
      <colorScale>
        <cfvo type="formula" val="&quot;&gt;20&quot;"/>
        <cfvo type="formula" val="35"/>
        <color rgb="FFF8696B"/>
        <color rgb="FFFCFCFF"/>
      </colorScale>
    </cfRule>
    <cfRule type="colorScale" priority="2708">
      <colorScale>
        <cfvo type="min"/>
        <cfvo type="max"/>
        <color rgb="FFFFEF9C"/>
        <color rgb="FF63BE7B"/>
      </colorScale>
    </cfRule>
  </conditionalFormatting>
  <conditionalFormatting sqref="N52">
    <cfRule type="colorScale" priority="2699">
      <colorScale>
        <cfvo type="min"/>
        <cfvo type="percentile" val="20"/>
        <cfvo type="max"/>
        <color rgb="FF92D050"/>
        <color theme="5" tint="0.79998168889431442"/>
        <color rgb="FFFF0000"/>
      </colorScale>
    </cfRule>
    <cfRule type="colorScale" priority="2700">
      <colorScale>
        <cfvo type="min"/>
        <cfvo type="max"/>
        <color rgb="FFFF0000"/>
        <color rgb="FF92D050"/>
      </colorScale>
    </cfRule>
    <cfRule type="colorScale" priority="2701">
      <colorScale>
        <cfvo type="min"/>
        <cfvo type="percentile" val="50"/>
        <cfvo type="max"/>
        <color rgb="FF5A8AC6"/>
        <color rgb="FFFCFCFF"/>
        <color rgb="FFF8696B"/>
      </colorScale>
    </cfRule>
    <cfRule type="colorScale" priority="2702">
      <colorScale>
        <cfvo type="formula" val="&quot;&gt;20&quot;"/>
        <cfvo type="formula" val="35"/>
        <color rgb="FFF8696B"/>
        <color rgb="FFFCFCFF"/>
      </colorScale>
    </cfRule>
    <cfRule type="colorScale" priority="2703">
      <colorScale>
        <cfvo type="min"/>
        <cfvo type="max"/>
        <color rgb="FFFFEF9C"/>
        <color rgb="FF63BE7B"/>
      </colorScale>
    </cfRule>
  </conditionalFormatting>
  <conditionalFormatting sqref="S36:S52">
    <cfRule type="containsText" dxfId="1029" priority="2695" operator="containsText" text="Short Buildup">
      <formula>NOT(ISERROR(SEARCH("Short Buildup",S36)))</formula>
    </cfRule>
    <cfRule type="containsText" dxfId="1028" priority="2696" operator="containsText" text="Long Liquidation">
      <formula>NOT(ISERROR(SEARCH("Long Liquidation",S36)))</formula>
    </cfRule>
    <cfRule type="containsText" dxfId="1027" priority="2697" operator="containsText" text="Short covering">
      <formula>NOT(ISERROR(SEARCH("Short covering",S36)))</formula>
    </cfRule>
    <cfRule type="containsText" dxfId="1026" priority="2698" operator="containsText" text="Long Buildup">
      <formula>NOT(ISERROR(SEARCH("Long Buildup",S36)))</formula>
    </cfRule>
  </conditionalFormatting>
  <conditionalFormatting sqref="F36:F51">
    <cfRule type="dataBar" priority="2694">
      <dataBar>
        <cfvo type="min"/>
        <cfvo type="max"/>
        <color rgb="FFFF555A"/>
      </dataBar>
    </cfRule>
  </conditionalFormatting>
  <conditionalFormatting sqref="G36:G51">
    <cfRule type="dataBar" priority="2693">
      <dataBar>
        <cfvo type="min"/>
        <cfvo type="max"/>
        <color rgb="FFFF555A"/>
      </dataBar>
    </cfRule>
  </conditionalFormatting>
  <conditionalFormatting sqref="H36">
    <cfRule type="dataBar" priority="2692">
      <dataBar>
        <cfvo type="min"/>
        <cfvo type="max"/>
        <color rgb="FFFF555A"/>
      </dataBar>
    </cfRule>
  </conditionalFormatting>
  <conditionalFormatting sqref="I36">
    <cfRule type="dataBar" priority="2691">
      <dataBar>
        <cfvo type="min"/>
        <cfvo type="max"/>
        <color rgb="FFFF555A"/>
      </dataBar>
    </cfRule>
  </conditionalFormatting>
  <conditionalFormatting sqref="J36">
    <cfRule type="dataBar" priority="2690">
      <dataBar>
        <cfvo type="min"/>
        <cfvo type="max"/>
        <color rgb="FFFF555A"/>
      </dataBar>
    </cfRule>
  </conditionalFormatting>
  <conditionalFormatting sqref="E37:E51">
    <cfRule type="dataBar" priority="2689">
      <dataBar>
        <cfvo type="min"/>
        <cfvo type="max"/>
        <color rgb="FFFF555A"/>
      </dataBar>
    </cfRule>
  </conditionalFormatting>
  <conditionalFormatting sqref="H37:H51">
    <cfRule type="dataBar" priority="2688">
      <dataBar>
        <cfvo type="min"/>
        <cfvo type="max"/>
        <color rgb="FFFF555A"/>
      </dataBar>
    </cfRule>
  </conditionalFormatting>
  <conditionalFormatting sqref="I37:I51">
    <cfRule type="dataBar" priority="2687">
      <dataBar>
        <cfvo type="min"/>
        <cfvo type="max"/>
        <color rgb="FFFF555A"/>
      </dataBar>
    </cfRule>
  </conditionalFormatting>
  <conditionalFormatting sqref="J37:J51">
    <cfRule type="dataBar" priority="2686">
      <dataBar>
        <cfvo type="min"/>
        <cfvo type="max"/>
        <color rgb="FFFF555A"/>
      </dataBar>
    </cfRule>
  </conditionalFormatting>
  <conditionalFormatting sqref="L36:L51">
    <cfRule type="dataBar" priority="2685">
      <dataBar>
        <cfvo type="min"/>
        <cfvo type="max"/>
        <color rgb="FFFF555A"/>
      </dataBar>
    </cfRule>
  </conditionalFormatting>
  <conditionalFormatting sqref="M36:M51">
    <cfRule type="dataBar" priority="2684">
      <dataBar>
        <cfvo type="min"/>
        <cfvo type="max"/>
        <color rgb="FFFF555A"/>
      </dataBar>
    </cfRule>
  </conditionalFormatting>
  <conditionalFormatting sqref="N36:N51">
    <cfRule type="dataBar" priority="2683">
      <dataBar>
        <cfvo type="min"/>
        <cfvo type="max"/>
        <color rgb="FFFF555A"/>
      </dataBar>
    </cfRule>
  </conditionalFormatting>
  <conditionalFormatting sqref="Q36:Q51">
    <cfRule type="dataBar" priority="2682">
      <dataBar>
        <cfvo type="min"/>
        <cfvo type="max"/>
        <color rgb="FFFF555A"/>
      </dataBar>
    </cfRule>
  </conditionalFormatting>
  <conditionalFormatting sqref="O36:O51">
    <cfRule type="dataBar" priority="2681">
      <dataBar>
        <cfvo type="min"/>
        <cfvo type="max"/>
        <color rgb="FFFF555A"/>
      </dataBar>
    </cfRule>
  </conditionalFormatting>
  <conditionalFormatting sqref="P36:P51">
    <cfRule type="dataBar" priority="2680">
      <dataBar>
        <cfvo type="min"/>
        <cfvo type="max"/>
        <color rgb="FFFF555A"/>
      </dataBar>
    </cfRule>
  </conditionalFormatting>
  <conditionalFormatting sqref="R53:R69 D53:D68 C69">
    <cfRule type="containsText" dxfId="1025" priority="2679" operator="containsText" text="DOWN">
      <formula>NOT(ISERROR(SEARCH("DOWN",C53)))</formula>
    </cfRule>
  </conditionalFormatting>
  <conditionalFormatting sqref="R53:R69 D53:D68 C69">
    <cfRule type="containsText" dxfId="1024" priority="2678" operator="containsText" text="UP">
      <formula>NOT(ISERROR(SEARCH("UP",C53)))</formula>
    </cfRule>
  </conditionalFormatting>
  <conditionalFormatting sqref="I69">
    <cfRule type="colorScale" priority="2677">
      <colorScale>
        <cfvo type="min"/>
        <cfvo type="max"/>
        <color rgb="FFFFEF9C"/>
        <color rgb="FF63BE7B"/>
      </colorScale>
    </cfRule>
  </conditionalFormatting>
  <conditionalFormatting sqref="M69">
    <cfRule type="colorScale" priority="2676">
      <colorScale>
        <cfvo type="min"/>
        <cfvo type="max"/>
        <color rgb="FFFF7128"/>
        <color rgb="FFFFEF9C"/>
      </colorScale>
    </cfRule>
  </conditionalFormatting>
  <conditionalFormatting sqref="Q69">
    <cfRule type="dataBar" priority="2675">
      <dataBar>
        <cfvo type="min"/>
        <cfvo type="max"/>
        <color rgb="FFFF555A"/>
      </dataBar>
    </cfRule>
  </conditionalFormatting>
  <conditionalFormatting sqref="E53:E69">
    <cfRule type="dataBar" priority="2674">
      <dataBar>
        <cfvo type="min"/>
        <cfvo type="max"/>
        <color rgb="FFFF555A"/>
      </dataBar>
    </cfRule>
  </conditionalFormatting>
  <conditionalFormatting sqref="F69">
    <cfRule type="top10" dxfId="1023" priority="2673" rank="1"/>
  </conditionalFormatting>
  <conditionalFormatting sqref="G69 P69">
    <cfRule type="cellIs" dxfId="1022" priority="2672" operator="equal">
      <formula>$G$135</formula>
    </cfRule>
  </conditionalFormatting>
  <conditionalFormatting sqref="P69">
    <cfRule type="cellIs" dxfId="1021" priority="2671" operator="equal">
      <formula>$J$135</formula>
    </cfRule>
  </conditionalFormatting>
  <conditionalFormatting sqref="G69 P69">
    <cfRule type="cellIs" dxfId="1020" priority="2670" operator="equal">
      <formula>#REF!</formula>
    </cfRule>
  </conditionalFormatting>
  <conditionalFormatting sqref="G69">
    <cfRule type="top10" dxfId="1019" priority="2668" rank="1"/>
    <cfRule type="cellIs" dxfId="1018" priority="2669" operator="equal">
      <formula>$G$133</formula>
    </cfRule>
  </conditionalFormatting>
  <conditionalFormatting sqref="P69">
    <cfRule type="top10" dxfId="1017" priority="2666" rank="1"/>
    <cfRule type="cellIs" dxfId="1016" priority="2667" operator="equal">
      <formula>$G$133</formula>
    </cfRule>
  </conditionalFormatting>
  <conditionalFormatting sqref="C53:C68">
    <cfRule type="containsText" dxfId="1015" priority="2662" operator="containsText" text="Short Buildup">
      <formula>NOT(ISERROR(SEARCH("Short Buildup",C53)))</formula>
    </cfRule>
    <cfRule type="containsText" dxfId="1014" priority="2663" operator="containsText" text="Long Liquidation">
      <formula>NOT(ISERROR(SEARCH("Long Liquidation",C53)))</formula>
    </cfRule>
    <cfRule type="containsText" dxfId="1013" priority="2664" operator="containsText" text="Short covering">
      <formula>NOT(ISERROR(SEARCH("Short covering",C53)))</formula>
    </cfRule>
    <cfRule type="containsText" dxfId="1012" priority="2665" operator="containsText" text="Long Buildup">
      <formula>NOT(ISERROR(SEARCH("Long Buildup",C53)))</formula>
    </cfRule>
  </conditionalFormatting>
  <conditionalFormatting sqref="H69">
    <cfRule type="colorScale" priority="2657">
      <colorScale>
        <cfvo type="min"/>
        <cfvo type="percentile" val="20"/>
        <cfvo type="max"/>
        <color rgb="FF92D050"/>
        <color theme="5" tint="0.79998168889431442"/>
        <color rgb="FFFF0000"/>
      </colorScale>
    </cfRule>
    <cfRule type="colorScale" priority="2658">
      <colorScale>
        <cfvo type="min"/>
        <cfvo type="max"/>
        <color rgb="FFFF0000"/>
        <color rgb="FF92D050"/>
      </colorScale>
    </cfRule>
    <cfRule type="colorScale" priority="2659">
      <colorScale>
        <cfvo type="min"/>
        <cfvo type="percentile" val="50"/>
        <cfvo type="max"/>
        <color rgb="FF5A8AC6"/>
        <color rgb="FFFCFCFF"/>
        <color rgb="FFF8696B"/>
      </colorScale>
    </cfRule>
    <cfRule type="colorScale" priority="2660">
      <colorScale>
        <cfvo type="formula" val="&quot;&gt;20&quot;"/>
        <cfvo type="formula" val="35"/>
        <color rgb="FFF8696B"/>
        <color rgb="FFFCFCFF"/>
      </colorScale>
    </cfRule>
    <cfRule type="colorScale" priority="2661">
      <colorScale>
        <cfvo type="min"/>
        <cfvo type="max"/>
        <color rgb="FFFFEF9C"/>
        <color rgb="FF63BE7B"/>
      </colorScale>
    </cfRule>
  </conditionalFormatting>
  <conditionalFormatting sqref="N69">
    <cfRule type="colorScale" priority="2652">
      <colorScale>
        <cfvo type="min"/>
        <cfvo type="percentile" val="20"/>
        <cfvo type="max"/>
        <color rgb="FF92D050"/>
        <color theme="5" tint="0.79998168889431442"/>
        <color rgb="FFFF0000"/>
      </colorScale>
    </cfRule>
    <cfRule type="colorScale" priority="2653">
      <colorScale>
        <cfvo type="min"/>
        <cfvo type="max"/>
        <color rgb="FFFF0000"/>
        <color rgb="FF92D050"/>
      </colorScale>
    </cfRule>
    <cfRule type="colorScale" priority="2654">
      <colorScale>
        <cfvo type="min"/>
        <cfvo type="percentile" val="50"/>
        <cfvo type="max"/>
        <color rgb="FF5A8AC6"/>
        <color rgb="FFFCFCFF"/>
        <color rgb="FFF8696B"/>
      </colorScale>
    </cfRule>
    <cfRule type="colorScale" priority="2655">
      <colorScale>
        <cfvo type="formula" val="&quot;&gt;20&quot;"/>
        <cfvo type="formula" val="35"/>
        <color rgb="FFF8696B"/>
        <color rgb="FFFCFCFF"/>
      </colorScale>
    </cfRule>
    <cfRule type="colorScale" priority="2656">
      <colorScale>
        <cfvo type="min"/>
        <cfvo type="max"/>
        <color rgb="FFFFEF9C"/>
        <color rgb="FF63BE7B"/>
      </colorScale>
    </cfRule>
  </conditionalFormatting>
  <conditionalFormatting sqref="S53:S69">
    <cfRule type="containsText" dxfId="1011" priority="2648" operator="containsText" text="Short Buildup">
      <formula>NOT(ISERROR(SEARCH("Short Buildup",S53)))</formula>
    </cfRule>
    <cfRule type="containsText" dxfId="1010" priority="2649" operator="containsText" text="Long Liquidation">
      <formula>NOT(ISERROR(SEARCH("Long Liquidation",S53)))</formula>
    </cfRule>
    <cfRule type="containsText" dxfId="1009" priority="2650" operator="containsText" text="Short covering">
      <formula>NOT(ISERROR(SEARCH("Short covering",S53)))</formula>
    </cfRule>
    <cfRule type="containsText" dxfId="1008" priority="2651" operator="containsText" text="Long Buildup">
      <formula>NOT(ISERROR(SEARCH("Long Buildup",S53)))</formula>
    </cfRule>
  </conditionalFormatting>
  <conditionalFormatting sqref="F53:F68">
    <cfRule type="dataBar" priority="2647">
      <dataBar>
        <cfvo type="min"/>
        <cfvo type="max"/>
        <color rgb="FFFF555A"/>
      </dataBar>
    </cfRule>
  </conditionalFormatting>
  <conditionalFormatting sqref="G53:G68">
    <cfRule type="dataBar" priority="2646">
      <dataBar>
        <cfvo type="min"/>
        <cfvo type="max"/>
        <color rgb="FFFF555A"/>
      </dataBar>
    </cfRule>
  </conditionalFormatting>
  <conditionalFormatting sqref="H53">
    <cfRule type="dataBar" priority="2645">
      <dataBar>
        <cfvo type="min"/>
        <cfvo type="max"/>
        <color rgb="FFFF555A"/>
      </dataBar>
    </cfRule>
  </conditionalFormatting>
  <conditionalFormatting sqref="I53">
    <cfRule type="dataBar" priority="2644">
      <dataBar>
        <cfvo type="min"/>
        <cfvo type="max"/>
        <color rgb="FFFF555A"/>
      </dataBar>
    </cfRule>
  </conditionalFormatting>
  <conditionalFormatting sqref="J53">
    <cfRule type="dataBar" priority="2643">
      <dataBar>
        <cfvo type="min"/>
        <cfvo type="max"/>
        <color rgb="FFFF555A"/>
      </dataBar>
    </cfRule>
  </conditionalFormatting>
  <conditionalFormatting sqref="E54:E68">
    <cfRule type="dataBar" priority="2642">
      <dataBar>
        <cfvo type="min"/>
        <cfvo type="max"/>
        <color rgb="FFFF555A"/>
      </dataBar>
    </cfRule>
  </conditionalFormatting>
  <conditionalFormatting sqref="H54:H68">
    <cfRule type="dataBar" priority="2641">
      <dataBar>
        <cfvo type="min"/>
        <cfvo type="max"/>
        <color rgb="FFFF555A"/>
      </dataBar>
    </cfRule>
  </conditionalFormatting>
  <conditionalFormatting sqref="I54:I68">
    <cfRule type="dataBar" priority="2640">
      <dataBar>
        <cfvo type="min"/>
        <cfvo type="max"/>
        <color rgb="FFFF555A"/>
      </dataBar>
    </cfRule>
  </conditionalFormatting>
  <conditionalFormatting sqref="J54:J68">
    <cfRule type="dataBar" priority="2639">
      <dataBar>
        <cfvo type="min"/>
        <cfvo type="max"/>
        <color rgb="FFFF555A"/>
      </dataBar>
    </cfRule>
  </conditionalFormatting>
  <conditionalFormatting sqref="L53:L68">
    <cfRule type="dataBar" priority="2638">
      <dataBar>
        <cfvo type="min"/>
        <cfvo type="max"/>
        <color rgb="FFFF555A"/>
      </dataBar>
    </cfRule>
  </conditionalFormatting>
  <conditionalFormatting sqref="M53:M68">
    <cfRule type="dataBar" priority="2637">
      <dataBar>
        <cfvo type="min"/>
        <cfvo type="max"/>
        <color rgb="FFFF555A"/>
      </dataBar>
    </cfRule>
  </conditionalFormatting>
  <conditionalFormatting sqref="N53:N68">
    <cfRule type="dataBar" priority="2636">
      <dataBar>
        <cfvo type="min"/>
        <cfvo type="max"/>
        <color rgb="FFFF555A"/>
      </dataBar>
    </cfRule>
  </conditionalFormatting>
  <conditionalFormatting sqref="Q53:Q68">
    <cfRule type="dataBar" priority="2635">
      <dataBar>
        <cfvo type="min"/>
        <cfvo type="max"/>
        <color rgb="FFFF555A"/>
      </dataBar>
    </cfRule>
  </conditionalFormatting>
  <conditionalFormatting sqref="O53:O68">
    <cfRule type="dataBar" priority="2634">
      <dataBar>
        <cfvo type="min"/>
        <cfvo type="max"/>
        <color rgb="FFFF555A"/>
      </dataBar>
    </cfRule>
  </conditionalFormatting>
  <conditionalFormatting sqref="P53:P68">
    <cfRule type="dataBar" priority="2633">
      <dataBar>
        <cfvo type="min"/>
        <cfvo type="max"/>
        <color rgb="FFFF555A"/>
      </dataBar>
    </cfRule>
  </conditionalFormatting>
  <conditionalFormatting sqref="R70:R86 D70:D85 C86">
    <cfRule type="containsText" dxfId="1007" priority="2632" operator="containsText" text="DOWN">
      <formula>NOT(ISERROR(SEARCH("DOWN",C70)))</formula>
    </cfRule>
  </conditionalFormatting>
  <conditionalFormatting sqref="R70:R86 D70:D85 C86">
    <cfRule type="containsText" dxfId="1006" priority="2631" operator="containsText" text="UP">
      <formula>NOT(ISERROR(SEARCH("UP",C70)))</formula>
    </cfRule>
  </conditionalFormatting>
  <conditionalFormatting sqref="I86">
    <cfRule type="colorScale" priority="2630">
      <colorScale>
        <cfvo type="min"/>
        <cfvo type="max"/>
        <color rgb="FFFFEF9C"/>
        <color rgb="FF63BE7B"/>
      </colorScale>
    </cfRule>
  </conditionalFormatting>
  <conditionalFormatting sqref="M86">
    <cfRule type="colorScale" priority="2629">
      <colorScale>
        <cfvo type="min"/>
        <cfvo type="max"/>
        <color rgb="FFFF7128"/>
        <color rgb="FFFFEF9C"/>
      </colorScale>
    </cfRule>
  </conditionalFormatting>
  <conditionalFormatting sqref="Q86">
    <cfRule type="dataBar" priority="2628">
      <dataBar>
        <cfvo type="min"/>
        <cfvo type="max"/>
        <color rgb="FFFF555A"/>
      </dataBar>
    </cfRule>
  </conditionalFormatting>
  <conditionalFormatting sqref="E70:E86">
    <cfRule type="dataBar" priority="2627">
      <dataBar>
        <cfvo type="min"/>
        <cfvo type="max"/>
        <color rgb="FFFF555A"/>
      </dataBar>
    </cfRule>
  </conditionalFormatting>
  <conditionalFormatting sqref="F86">
    <cfRule type="top10" dxfId="1005" priority="2626" rank="1"/>
  </conditionalFormatting>
  <conditionalFormatting sqref="G86 P86">
    <cfRule type="cellIs" dxfId="1004" priority="2625" operator="equal">
      <formula>$G$135</formula>
    </cfRule>
  </conditionalFormatting>
  <conditionalFormatting sqref="P86">
    <cfRule type="cellIs" dxfId="1003" priority="2624" operator="equal">
      <formula>$J$135</formula>
    </cfRule>
  </conditionalFormatting>
  <conditionalFormatting sqref="G86 P86">
    <cfRule type="cellIs" dxfId="1002" priority="2623" operator="equal">
      <formula>#REF!</formula>
    </cfRule>
  </conditionalFormatting>
  <conditionalFormatting sqref="G86">
    <cfRule type="top10" dxfId="1001" priority="2621" rank="1"/>
    <cfRule type="cellIs" dxfId="1000" priority="2622" operator="equal">
      <formula>$G$133</formula>
    </cfRule>
  </conditionalFormatting>
  <conditionalFormatting sqref="P86">
    <cfRule type="top10" dxfId="999" priority="2619" rank="1"/>
    <cfRule type="cellIs" dxfId="998" priority="2620" operator="equal">
      <formula>$G$133</formula>
    </cfRule>
  </conditionalFormatting>
  <conditionalFormatting sqref="C70:C85">
    <cfRule type="containsText" dxfId="997" priority="2615" operator="containsText" text="Short Buildup">
      <formula>NOT(ISERROR(SEARCH("Short Buildup",C70)))</formula>
    </cfRule>
    <cfRule type="containsText" dxfId="996" priority="2616" operator="containsText" text="Long Liquidation">
      <formula>NOT(ISERROR(SEARCH("Long Liquidation",C70)))</formula>
    </cfRule>
    <cfRule type="containsText" dxfId="995" priority="2617" operator="containsText" text="Short covering">
      <formula>NOT(ISERROR(SEARCH("Short covering",C70)))</formula>
    </cfRule>
    <cfRule type="containsText" dxfId="994" priority="2618" operator="containsText" text="Long Buildup">
      <formula>NOT(ISERROR(SEARCH("Long Buildup",C70)))</formula>
    </cfRule>
  </conditionalFormatting>
  <conditionalFormatting sqref="H86">
    <cfRule type="colorScale" priority="2610">
      <colorScale>
        <cfvo type="min"/>
        <cfvo type="percentile" val="20"/>
        <cfvo type="max"/>
        <color rgb="FF92D050"/>
        <color theme="5" tint="0.79998168889431442"/>
        <color rgb="FFFF0000"/>
      </colorScale>
    </cfRule>
    <cfRule type="colorScale" priority="2611">
      <colorScale>
        <cfvo type="min"/>
        <cfvo type="max"/>
        <color rgb="FFFF0000"/>
        <color rgb="FF92D050"/>
      </colorScale>
    </cfRule>
    <cfRule type="colorScale" priority="2612">
      <colorScale>
        <cfvo type="min"/>
        <cfvo type="percentile" val="50"/>
        <cfvo type="max"/>
        <color rgb="FF5A8AC6"/>
        <color rgb="FFFCFCFF"/>
        <color rgb="FFF8696B"/>
      </colorScale>
    </cfRule>
    <cfRule type="colorScale" priority="2613">
      <colorScale>
        <cfvo type="formula" val="&quot;&gt;20&quot;"/>
        <cfvo type="formula" val="35"/>
        <color rgb="FFF8696B"/>
        <color rgb="FFFCFCFF"/>
      </colorScale>
    </cfRule>
    <cfRule type="colorScale" priority="2614">
      <colorScale>
        <cfvo type="min"/>
        <cfvo type="max"/>
        <color rgb="FFFFEF9C"/>
        <color rgb="FF63BE7B"/>
      </colorScale>
    </cfRule>
  </conditionalFormatting>
  <conditionalFormatting sqref="N86">
    <cfRule type="colorScale" priority="2605">
      <colorScale>
        <cfvo type="min"/>
        <cfvo type="percentile" val="20"/>
        <cfvo type="max"/>
        <color rgb="FF92D050"/>
        <color theme="5" tint="0.79998168889431442"/>
        <color rgb="FFFF0000"/>
      </colorScale>
    </cfRule>
    <cfRule type="colorScale" priority="2606">
      <colorScale>
        <cfvo type="min"/>
        <cfvo type="max"/>
        <color rgb="FFFF0000"/>
        <color rgb="FF92D050"/>
      </colorScale>
    </cfRule>
    <cfRule type="colorScale" priority="2607">
      <colorScale>
        <cfvo type="min"/>
        <cfvo type="percentile" val="50"/>
        <cfvo type="max"/>
        <color rgb="FF5A8AC6"/>
        <color rgb="FFFCFCFF"/>
        <color rgb="FFF8696B"/>
      </colorScale>
    </cfRule>
    <cfRule type="colorScale" priority="2608">
      <colorScale>
        <cfvo type="formula" val="&quot;&gt;20&quot;"/>
        <cfvo type="formula" val="35"/>
        <color rgb="FFF8696B"/>
        <color rgb="FFFCFCFF"/>
      </colorScale>
    </cfRule>
    <cfRule type="colorScale" priority="2609">
      <colorScale>
        <cfvo type="min"/>
        <cfvo type="max"/>
        <color rgb="FFFFEF9C"/>
        <color rgb="FF63BE7B"/>
      </colorScale>
    </cfRule>
  </conditionalFormatting>
  <conditionalFormatting sqref="S70:S86">
    <cfRule type="containsText" dxfId="993" priority="2601" operator="containsText" text="Short Buildup">
      <formula>NOT(ISERROR(SEARCH("Short Buildup",S70)))</formula>
    </cfRule>
    <cfRule type="containsText" dxfId="992" priority="2602" operator="containsText" text="Long Liquidation">
      <formula>NOT(ISERROR(SEARCH("Long Liquidation",S70)))</formula>
    </cfRule>
    <cfRule type="containsText" dxfId="991" priority="2603" operator="containsText" text="Short covering">
      <formula>NOT(ISERROR(SEARCH("Short covering",S70)))</formula>
    </cfRule>
    <cfRule type="containsText" dxfId="990" priority="2604" operator="containsText" text="Long Buildup">
      <formula>NOT(ISERROR(SEARCH("Long Buildup",S70)))</formula>
    </cfRule>
  </conditionalFormatting>
  <conditionalFormatting sqref="F70:F85">
    <cfRule type="dataBar" priority="2600">
      <dataBar>
        <cfvo type="min"/>
        <cfvo type="max"/>
        <color rgb="FFFF555A"/>
      </dataBar>
    </cfRule>
  </conditionalFormatting>
  <conditionalFormatting sqref="G70:G85">
    <cfRule type="dataBar" priority="2599">
      <dataBar>
        <cfvo type="min"/>
        <cfvo type="max"/>
        <color rgb="FFFF555A"/>
      </dataBar>
    </cfRule>
  </conditionalFormatting>
  <conditionalFormatting sqref="H70">
    <cfRule type="dataBar" priority="2598">
      <dataBar>
        <cfvo type="min"/>
        <cfvo type="max"/>
        <color rgb="FFFF555A"/>
      </dataBar>
    </cfRule>
  </conditionalFormatting>
  <conditionalFormatting sqref="I70">
    <cfRule type="dataBar" priority="2597">
      <dataBar>
        <cfvo type="min"/>
        <cfvo type="max"/>
        <color rgb="FFFF555A"/>
      </dataBar>
    </cfRule>
  </conditionalFormatting>
  <conditionalFormatting sqref="J70">
    <cfRule type="dataBar" priority="2596">
      <dataBar>
        <cfvo type="min"/>
        <cfvo type="max"/>
        <color rgb="FFFF555A"/>
      </dataBar>
    </cfRule>
  </conditionalFormatting>
  <conditionalFormatting sqref="E71:E85">
    <cfRule type="dataBar" priority="2595">
      <dataBar>
        <cfvo type="min"/>
        <cfvo type="max"/>
        <color rgb="FFFF555A"/>
      </dataBar>
    </cfRule>
  </conditionalFormatting>
  <conditionalFormatting sqref="H71:H85">
    <cfRule type="dataBar" priority="2594">
      <dataBar>
        <cfvo type="min"/>
        <cfvo type="max"/>
        <color rgb="FFFF555A"/>
      </dataBar>
    </cfRule>
  </conditionalFormatting>
  <conditionalFormatting sqref="I71:I85">
    <cfRule type="dataBar" priority="2593">
      <dataBar>
        <cfvo type="min"/>
        <cfvo type="max"/>
        <color rgb="FFFF555A"/>
      </dataBar>
    </cfRule>
  </conditionalFormatting>
  <conditionalFormatting sqref="J71:J85">
    <cfRule type="dataBar" priority="2592">
      <dataBar>
        <cfvo type="min"/>
        <cfvo type="max"/>
        <color rgb="FFFF555A"/>
      </dataBar>
    </cfRule>
  </conditionalFormatting>
  <conditionalFormatting sqref="L70:L85">
    <cfRule type="dataBar" priority="2591">
      <dataBar>
        <cfvo type="min"/>
        <cfvo type="max"/>
        <color rgb="FFFF555A"/>
      </dataBar>
    </cfRule>
  </conditionalFormatting>
  <conditionalFormatting sqref="M70:M85">
    <cfRule type="dataBar" priority="2590">
      <dataBar>
        <cfvo type="min"/>
        <cfvo type="max"/>
        <color rgb="FFFF555A"/>
      </dataBar>
    </cfRule>
  </conditionalFormatting>
  <conditionalFormatting sqref="N70:N85">
    <cfRule type="dataBar" priority="2589">
      <dataBar>
        <cfvo type="min"/>
        <cfvo type="max"/>
        <color rgb="FFFF555A"/>
      </dataBar>
    </cfRule>
  </conditionalFormatting>
  <conditionalFormatting sqref="Q70:Q85">
    <cfRule type="dataBar" priority="2588">
      <dataBar>
        <cfvo type="min"/>
        <cfvo type="max"/>
        <color rgb="FFFF555A"/>
      </dataBar>
    </cfRule>
  </conditionalFormatting>
  <conditionalFormatting sqref="O70:O85">
    <cfRule type="dataBar" priority="2587">
      <dataBar>
        <cfvo type="min"/>
        <cfvo type="max"/>
        <color rgb="FFFF555A"/>
      </dataBar>
    </cfRule>
  </conditionalFormatting>
  <conditionalFormatting sqref="P70:P85">
    <cfRule type="dataBar" priority="2586">
      <dataBar>
        <cfvo type="min"/>
        <cfvo type="max"/>
        <color rgb="FFFF555A"/>
      </dataBar>
    </cfRule>
  </conditionalFormatting>
  <conditionalFormatting sqref="R87:R103 D87:D102 C103">
    <cfRule type="containsText" dxfId="989" priority="2585" operator="containsText" text="DOWN">
      <formula>NOT(ISERROR(SEARCH("DOWN",C87)))</formula>
    </cfRule>
  </conditionalFormatting>
  <conditionalFormatting sqref="R87:R103 D87:D102 C103">
    <cfRule type="containsText" dxfId="988" priority="2584" operator="containsText" text="UP">
      <formula>NOT(ISERROR(SEARCH("UP",C87)))</formula>
    </cfRule>
  </conditionalFormatting>
  <conditionalFormatting sqref="I103">
    <cfRule type="colorScale" priority="2583">
      <colorScale>
        <cfvo type="min"/>
        <cfvo type="max"/>
        <color rgb="FFFFEF9C"/>
        <color rgb="FF63BE7B"/>
      </colorScale>
    </cfRule>
  </conditionalFormatting>
  <conditionalFormatting sqref="M103">
    <cfRule type="colorScale" priority="2582">
      <colorScale>
        <cfvo type="min"/>
        <cfvo type="max"/>
        <color rgb="FFFF7128"/>
        <color rgb="FFFFEF9C"/>
      </colorScale>
    </cfRule>
  </conditionalFormatting>
  <conditionalFormatting sqref="Q103">
    <cfRule type="dataBar" priority="2581">
      <dataBar>
        <cfvo type="min"/>
        <cfvo type="max"/>
        <color rgb="FFFF555A"/>
      </dataBar>
    </cfRule>
  </conditionalFormatting>
  <conditionalFormatting sqref="E87:E103">
    <cfRule type="dataBar" priority="2580">
      <dataBar>
        <cfvo type="min"/>
        <cfvo type="max"/>
        <color rgb="FFFF555A"/>
      </dataBar>
    </cfRule>
  </conditionalFormatting>
  <conditionalFormatting sqref="F103">
    <cfRule type="top10" dxfId="987" priority="2579" rank="1"/>
  </conditionalFormatting>
  <conditionalFormatting sqref="G103 P103">
    <cfRule type="cellIs" dxfId="986" priority="2578" operator="equal">
      <formula>$G$135</formula>
    </cfRule>
  </conditionalFormatting>
  <conditionalFormatting sqref="P103">
    <cfRule type="cellIs" dxfId="985" priority="2577" operator="equal">
      <formula>$J$135</formula>
    </cfRule>
  </conditionalFormatting>
  <conditionalFormatting sqref="G103 P103">
    <cfRule type="cellIs" dxfId="984" priority="2576" operator="equal">
      <formula>#REF!</formula>
    </cfRule>
  </conditionalFormatting>
  <conditionalFormatting sqref="G103">
    <cfRule type="top10" dxfId="983" priority="2574" rank="1"/>
    <cfRule type="cellIs" dxfId="982" priority="2575" operator="equal">
      <formula>$G$133</formula>
    </cfRule>
  </conditionalFormatting>
  <conditionalFormatting sqref="P103">
    <cfRule type="top10" dxfId="981" priority="2572" rank="1"/>
    <cfRule type="cellIs" dxfId="980" priority="2573" operator="equal">
      <formula>$G$133</formula>
    </cfRule>
  </conditionalFormatting>
  <conditionalFormatting sqref="C87:C102">
    <cfRule type="containsText" dxfId="979" priority="2568" operator="containsText" text="Short Buildup">
      <formula>NOT(ISERROR(SEARCH("Short Buildup",C87)))</formula>
    </cfRule>
    <cfRule type="containsText" dxfId="978" priority="2569" operator="containsText" text="Long Liquidation">
      <formula>NOT(ISERROR(SEARCH("Long Liquidation",C87)))</formula>
    </cfRule>
    <cfRule type="containsText" dxfId="977" priority="2570" operator="containsText" text="Short covering">
      <formula>NOT(ISERROR(SEARCH("Short covering",C87)))</formula>
    </cfRule>
    <cfRule type="containsText" dxfId="976" priority="2571" operator="containsText" text="Long Buildup">
      <formula>NOT(ISERROR(SEARCH("Long Buildup",C87)))</formula>
    </cfRule>
  </conditionalFormatting>
  <conditionalFormatting sqref="H103">
    <cfRule type="colorScale" priority="2563">
      <colorScale>
        <cfvo type="min"/>
        <cfvo type="percentile" val="20"/>
        <cfvo type="max"/>
        <color rgb="FF92D050"/>
        <color theme="5" tint="0.79998168889431442"/>
        <color rgb="FFFF0000"/>
      </colorScale>
    </cfRule>
    <cfRule type="colorScale" priority="2564">
      <colorScale>
        <cfvo type="min"/>
        <cfvo type="max"/>
        <color rgb="FFFF0000"/>
        <color rgb="FF92D050"/>
      </colorScale>
    </cfRule>
    <cfRule type="colorScale" priority="2565">
      <colorScale>
        <cfvo type="min"/>
        <cfvo type="percentile" val="50"/>
        <cfvo type="max"/>
        <color rgb="FF5A8AC6"/>
        <color rgb="FFFCFCFF"/>
        <color rgb="FFF8696B"/>
      </colorScale>
    </cfRule>
    <cfRule type="colorScale" priority="2566">
      <colorScale>
        <cfvo type="formula" val="&quot;&gt;20&quot;"/>
        <cfvo type="formula" val="35"/>
        <color rgb="FFF8696B"/>
        <color rgb="FFFCFCFF"/>
      </colorScale>
    </cfRule>
    <cfRule type="colorScale" priority="2567">
      <colorScale>
        <cfvo type="min"/>
        <cfvo type="max"/>
        <color rgb="FFFFEF9C"/>
        <color rgb="FF63BE7B"/>
      </colorScale>
    </cfRule>
  </conditionalFormatting>
  <conditionalFormatting sqref="N103">
    <cfRule type="colorScale" priority="2558">
      <colorScale>
        <cfvo type="min"/>
        <cfvo type="percentile" val="20"/>
        <cfvo type="max"/>
        <color rgb="FF92D050"/>
        <color theme="5" tint="0.79998168889431442"/>
        <color rgb="FFFF0000"/>
      </colorScale>
    </cfRule>
    <cfRule type="colorScale" priority="2559">
      <colorScale>
        <cfvo type="min"/>
        <cfvo type="max"/>
        <color rgb="FFFF0000"/>
        <color rgb="FF92D050"/>
      </colorScale>
    </cfRule>
    <cfRule type="colorScale" priority="2560">
      <colorScale>
        <cfvo type="min"/>
        <cfvo type="percentile" val="50"/>
        <cfvo type="max"/>
        <color rgb="FF5A8AC6"/>
        <color rgb="FFFCFCFF"/>
        <color rgb="FFF8696B"/>
      </colorScale>
    </cfRule>
    <cfRule type="colorScale" priority="2561">
      <colorScale>
        <cfvo type="formula" val="&quot;&gt;20&quot;"/>
        <cfvo type="formula" val="35"/>
        <color rgb="FFF8696B"/>
        <color rgb="FFFCFCFF"/>
      </colorScale>
    </cfRule>
    <cfRule type="colorScale" priority="2562">
      <colorScale>
        <cfvo type="min"/>
        <cfvo type="max"/>
        <color rgb="FFFFEF9C"/>
        <color rgb="FF63BE7B"/>
      </colorScale>
    </cfRule>
  </conditionalFormatting>
  <conditionalFormatting sqref="S87:S103">
    <cfRule type="containsText" dxfId="975" priority="2554" operator="containsText" text="Short Buildup">
      <formula>NOT(ISERROR(SEARCH("Short Buildup",S87)))</formula>
    </cfRule>
    <cfRule type="containsText" dxfId="974" priority="2555" operator="containsText" text="Long Liquidation">
      <formula>NOT(ISERROR(SEARCH("Long Liquidation",S87)))</formula>
    </cfRule>
    <cfRule type="containsText" dxfId="973" priority="2556" operator="containsText" text="Short covering">
      <formula>NOT(ISERROR(SEARCH("Short covering",S87)))</formula>
    </cfRule>
    <cfRule type="containsText" dxfId="972" priority="2557" operator="containsText" text="Long Buildup">
      <formula>NOT(ISERROR(SEARCH("Long Buildup",S87)))</formula>
    </cfRule>
  </conditionalFormatting>
  <conditionalFormatting sqref="F87:F102">
    <cfRule type="dataBar" priority="2553">
      <dataBar>
        <cfvo type="min"/>
        <cfvo type="max"/>
        <color rgb="FFFF555A"/>
      </dataBar>
    </cfRule>
  </conditionalFormatting>
  <conditionalFormatting sqref="G87:G102">
    <cfRule type="dataBar" priority="2552">
      <dataBar>
        <cfvo type="min"/>
        <cfvo type="max"/>
        <color rgb="FFFF555A"/>
      </dataBar>
    </cfRule>
  </conditionalFormatting>
  <conditionalFormatting sqref="H87">
    <cfRule type="dataBar" priority="2551">
      <dataBar>
        <cfvo type="min"/>
        <cfvo type="max"/>
        <color rgb="FFFF555A"/>
      </dataBar>
    </cfRule>
  </conditionalFormatting>
  <conditionalFormatting sqref="I87">
    <cfRule type="dataBar" priority="2550">
      <dataBar>
        <cfvo type="min"/>
        <cfvo type="max"/>
        <color rgb="FFFF555A"/>
      </dataBar>
    </cfRule>
  </conditionalFormatting>
  <conditionalFormatting sqref="J87">
    <cfRule type="dataBar" priority="2549">
      <dataBar>
        <cfvo type="min"/>
        <cfvo type="max"/>
        <color rgb="FFFF555A"/>
      </dataBar>
    </cfRule>
  </conditionalFormatting>
  <conditionalFormatting sqref="E88:E102">
    <cfRule type="dataBar" priority="2548">
      <dataBar>
        <cfvo type="min"/>
        <cfvo type="max"/>
        <color rgb="FFFF555A"/>
      </dataBar>
    </cfRule>
  </conditionalFormatting>
  <conditionalFormatting sqref="H88:H102">
    <cfRule type="dataBar" priority="2547">
      <dataBar>
        <cfvo type="min"/>
        <cfvo type="max"/>
        <color rgb="FFFF555A"/>
      </dataBar>
    </cfRule>
  </conditionalFormatting>
  <conditionalFormatting sqref="I88:I102">
    <cfRule type="dataBar" priority="2546">
      <dataBar>
        <cfvo type="min"/>
        <cfvo type="max"/>
        <color rgb="FFFF555A"/>
      </dataBar>
    </cfRule>
  </conditionalFormatting>
  <conditionalFormatting sqref="J88:J102">
    <cfRule type="dataBar" priority="2545">
      <dataBar>
        <cfvo type="min"/>
        <cfvo type="max"/>
        <color rgb="FFFF555A"/>
      </dataBar>
    </cfRule>
  </conditionalFormatting>
  <conditionalFormatting sqref="L87:L102">
    <cfRule type="dataBar" priority="2544">
      <dataBar>
        <cfvo type="min"/>
        <cfvo type="max"/>
        <color rgb="FFFF555A"/>
      </dataBar>
    </cfRule>
  </conditionalFormatting>
  <conditionalFormatting sqref="M87:M102">
    <cfRule type="dataBar" priority="2543">
      <dataBar>
        <cfvo type="min"/>
        <cfvo type="max"/>
        <color rgb="FFFF555A"/>
      </dataBar>
    </cfRule>
  </conditionalFormatting>
  <conditionalFormatting sqref="N87:N102">
    <cfRule type="dataBar" priority="2542">
      <dataBar>
        <cfvo type="min"/>
        <cfvo type="max"/>
        <color rgb="FFFF555A"/>
      </dataBar>
    </cfRule>
  </conditionalFormatting>
  <conditionalFormatting sqref="Q87:Q102">
    <cfRule type="dataBar" priority="2541">
      <dataBar>
        <cfvo type="min"/>
        <cfvo type="max"/>
        <color rgb="FFFF555A"/>
      </dataBar>
    </cfRule>
  </conditionalFormatting>
  <conditionalFormatting sqref="O87:O102">
    <cfRule type="dataBar" priority="2540">
      <dataBar>
        <cfvo type="min"/>
        <cfvo type="max"/>
        <color rgb="FFFF555A"/>
      </dataBar>
    </cfRule>
  </conditionalFormatting>
  <conditionalFormatting sqref="P87:P102">
    <cfRule type="dataBar" priority="2539">
      <dataBar>
        <cfvo type="min"/>
        <cfvo type="max"/>
        <color rgb="FFFF555A"/>
      </dataBar>
    </cfRule>
  </conditionalFormatting>
  <conditionalFormatting sqref="R104:R120 D104:D119 C120">
    <cfRule type="containsText" dxfId="971" priority="2538" operator="containsText" text="DOWN">
      <formula>NOT(ISERROR(SEARCH("DOWN",C104)))</formula>
    </cfRule>
  </conditionalFormatting>
  <conditionalFormatting sqref="R104:R120 D104:D119 C120">
    <cfRule type="containsText" dxfId="970" priority="2537" operator="containsText" text="UP">
      <formula>NOT(ISERROR(SEARCH("UP",C104)))</formula>
    </cfRule>
  </conditionalFormatting>
  <conditionalFormatting sqref="I120">
    <cfRule type="colorScale" priority="2536">
      <colorScale>
        <cfvo type="min"/>
        <cfvo type="max"/>
        <color rgb="FFFFEF9C"/>
        <color rgb="FF63BE7B"/>
      </colorScale>
    </cfRule>
  </conditionalFormatting>
  <conditionalFormatting sqref="M120">
    <cfRule type="colorScale" priority="2535">
      <colorScale>
        <cfvo type="min"/>
        <cfvo type="max"/>
        <color rgb="FFFF7128"/>
        <color rgb="FFFFEF9C"/>
      </colorScale>
    </cfRule>
  </conditionalFormatting>
  <conditionalFormatting sqref="Q120">
    <cfRule type="dataBar" priority="2534">
      <dataBar>
        <cfvo type="min"/>
        <cfvo type="max"/>
        <color rgb="FFFF555A"/>
      </dataBar>
    </cfRule>
  </conditionalFormatting>
  <conditionalFormatting sqref="E104:E120">
    <cfRule type="dataBar" priority="2533">
      <dataBar>
        <cfvo type="min"/>
        <cfvo type="max"/>
        <color rgb="FFFF555A"/>
      </dataBar>
    </cfRule>
  </conditionalFormatting>
  <conditionalFormatting sqref="F120">
    <cfRule type="top10" dxfId="969" priority="2532" rank="1"/>
  </conditionalFormatting>
  <conditionalFormatting sqref="G120 P120">
    <cfRule type="cellIs" dxfId="968" priority="2531" operator="equal">
      <formula>$G$135</formula>
    </cfRule>
  </conditionalFormatting>
  <conditionalFormatting sqref="P120">
    <cfRule type="cellIs" dxfId="967" priority="2530" operator="equal">
      <formula>$J$135</formula>
    </cfRule>
  </conditionalFormatting>
  <conditionalFormatting sqref="G120 P120">
    <cfRule type="cellIs" dxfId="966" priority="2529" operator="equal">
      <formula>#REF!</formula>
    </cfRule>
  </conditionalFormatting>
  <conditionalFormatting sqref="G120">
    <cfRule type="top10" dxfId="965" priority="2527" rank="1"/>
    <cfRule type="cellIs" dxfId="964" priority="2528" operator="equal">
      <formula>$G$133</formula>
    </cfRule>
  </conditionalFormatting>
  <conditionalFormatting sqref="P120">
    <cfRule type="top10" dxfId="963" priority="2525" rank="1"/>
    <cfRule type="cellIs" dxfId="962" priority="2526" operator="equal">
      <formula>$G$133</formula>
    </cfRule>
  </conditionalFormatting>
  <conditionalFormatting sqref="C104:C119">
    <cfRule type="containsText" dxfId="961" priority="2521" operator="containsText" text="Short Buildup">
      <formula>NOT(ISERROR(SEARCH("Short Buildup",C104)))</formula>
    </cfRule>
    <cfRule type="containsText" dxfId="960" priority="2522" operator="containsText" text="Long Liquidation">
      <formula>NOT(ISERROR(SEARCH("Long Liquidation",C104)))</formula>
    </cfRule>
    <cfRule type="containsText" dxfId="959" priority="2523" operator="containsText" text="Short covering">
      <formula>NOT(ISERROR(SEARCH("Short covering",C104)))</formula>
    </cfRule>
    <cfRule type="containsText" dxfId="958" priority="2524" operator="containsText" text="Long Buildup">
      <formula>NOT(ISERROR(SEARCH("Long Buildup",C104)))</formula>
    </cfRule>
  </conditionalFormatting>
  <conditionalFormatting sqref="H120">
    <cfRule type="colorScale" priority="2516">
      <colorScale>
        <cfvo type="min"/>
        <cfvo type="percentile" val="20"/>
        <cfvo type="max"/>
        <color rgb="FF92D050"/>
        <color theme="5" tint="0.79998168889431442"/>
        <color rgb="FFFF0000"/>
      </colorScale>
    </cfRule>
    <cfRule type="colorScale" priority="2517">
      <colorScale>
        <cfvo type="min"/>
        <cfvo type="max"/>
        <color rgb="FFFF0000"/>
        <color rgb="FF92D050"/>
      </colorScale>
    </cfRule>
    <cfRule type="colorScale" priority="2518">
      <colorScale>
        <cfvo type="min"/>
        <cfvo type="percentile" val="50"/>
        <cfvo type="max"/>
        <color rgb="FF5A8AC6"/>
        <color rgb="FFFCFCFF"/>
        <color rgb="FFF8696B"/>
      </colorScale>
    </cfRule>
    <cfRule type="colorScale" priority="2519">
      <colorScale>
        <cfvo type="formula" val="&quot;&gt;20&quot;"/>
        <cfvo type="formula" val="35"/>
        <color rgb="FFF8696B"/>
        <color rgb="FFFCFCFF"/>
      </colorScale>
    </cfRule>
    <cfRule type="colorScale" priority="2520">
      <colorScale>
        <cfvo type="min"/>
        <cfvo type="max"/>
        <color rgb="FFFFEF9C"/>
        <color rgb="FF63BE7B"/>
      </colorScale>
    </cfRule>
  </conditionalFormatting>
  <conditionalFormatting sqref="N120">
    <cfRule type="colorScale" priority="2511">
      <colorScale>
        <cfvo type="min"/>
        <cfvo type="percentile" val="20"/>
        <cfvo type="max"/>
        <color rgb="FF92D050"/>
        <color theme="5" tint="0.79998168889431442"/>
        <color rgb="FFFF0000"/>
      </colorScale>
    </cfRule>
    <cfRule type="colorScale" priority="2512">
      <colorScale>
        <cfvo type="min"/>
        <cfvo type="max"/>
        <color rgb="FFFF0000"/>
        <color rgb="FF92D050"/>
      </colorScale>
    </cfRule>
    <cfRule type="colorScale" priority="2513">
      <colorScale>
        <cfvo type="min"/>
        <cfvo type="percentile" val="50"/>
        <cfvo type="max"/>
        <color rgb="FF5A8AC6"/>
        <color rgb="FFFCFCFF"/>
        <color rgb="FFF8696B"/>
      </colorScale>
    </cfRule>
    <cfRule type="colorScale" priority="2514">
      <colorScale>
        <cfvo type="formula" val="&quot;&gt;20&quot;"/>
        <cfvo type="formula" val="35"/>
        <color rgb="FFF8696B"/>
        <color rgb="FFFCFCFF"/>
      </colorScale>
    </cfRule>
    <cfRule type="colorScale" priority="2515">
      <colorScale>
        <cfvo type="min"/>
        <cfvo type="max"/>
        <color rgb="FFFFEF9C"/>
        <color rgb="FF63BE7B"/>
      </colorScale>
    </cfRule>
  </conditionalFormatting>
  <conditionalFormatting sqref="S104:S120">
    <cfRule type="containsText" dxfId="957" priority="2507" operator="containsText" text="Short Buildup">
      <formula>NOT(ISERROR(SEARCH("Short Buildup",S104)))</formula>
    </cfRule>
    <cfRule type="containsText" dxfId="956" priority="2508" operator="containsText" text="Long Liquidation">
      <formula>NOT(ISERROR(SEARCH("Long Liquidation",S104)))</formula>
    </cfRule>
    <cfRule type="containsText" dxfId="955" priority="2509" operator="containsText" text="Short covering">
      <formula>NOT(ISERROR(SEARCH("Short covering",S104)))</formula>
    </cfRule>
    <cfRule type="containsText" dxfId="954" priority="2510" operator="containsText" text="Long Buildup">
      <formula>NOT(ISERROR(SEARCH("Long Buildup",S104)))</formula>
    </cfRule>
  </conditionalFormatting>
  <conditionalFormatting sqref="F104:F119">
    <cfRule type="dataBar" priority="2506">
      <dataBar>
        <cfvo type="min"/>
        <cfvo type="max"/>
        <color rgb="FFFF555A"/>
      </dataBar>
    </cfRule>
  </conditionalFormatting>
  <conditionalFormatting sqref="G104:G119">
    <cfRule type="dataBar" priority="2505">
      <dataBar>
        <cfvo type="min"/>
        <cfvo type="max"/>
        <color rgb="FFFF555A"/>
      </dataBar>
    </cfRule>
  </conditionalFormatting>
  <conditionalFormatting sqref="H104">
    <cfRule type="dataBar" priority="2504">
      <dataBar>
        <cfvo type="min"/>
        <cfvo type="max"/>
        <color rgb="FFFF555A"/>
      </dataBar>
    </cfRule>
  </conditionalFormatting>
  <conditionalFormatting sqref="I104">
    <cfRule type="dataBar" priority="2503">
      <dataBar>
        <cfvo type="min"/>
        <cfvo type="max"/>
        <color rgb="FFFF555A"/>
      </dataBar>
    </cfRule>
  </conditionalFormatting>
  <conditionalFormatting sqref="J104">
    <cfRule type="dataBar" priority="2502">
      <dataBar>
        <cfvo type="min"/>
        <cfvo type="max"/>
        <color rgb="FFFF555A"/>
      </dataBar>
    </cfRule>
  </conditionalFormatting>
  <conditionalFormatting sqref="E105:E119">
    <cfRule type="dataBar" priority="2501">
      <dataBar>
        <cfvo type="min"/>
        <cfvo type="max"/>
        <color rgb="FFFF555A"/>
      </dataBar>
    </cfRule>
  </conditionalFormatting>
  <conditionalFormatting sqref="H105:H119">
    <cfRule type="dataBar" priority="2500">
      <dataBar>
        <cfvo type="min"/>
        <cfvo type="max"/>
        <color rgb="FFFF555A"/>
      </dataBar>
    </cfRule>
  </conditionalFormatting>
  <conditionalFormatting sqref="I105:I119">
    <cfRule type="dataBar" priority="2499">
      <dataBar>
        <cfvo type="min"/>
        <cfvo type="max"/>
        <color rgb="FFFF555A"/>
      </dataBar>
    </cfRule>
  </conditionalFormatting>
  <conditionalFormatting sqref="J105:J119">
    <cfRule type="dataBar" priority="2498">
      <dataBar>
        <cfvo type="min"/>
        <cfvo type="max"/>
        <color rgb="FFFF555A"/>
      </dataBar>
    </cfRule>
  </conditionalFormatting>
  <conditionalFormatting sqref="L104:L119">
    <cfRule type="dataBar" priority="2497">
      <dataBar>
        <cfvo type="min"/>
        <cfvo type="max"/>
        <color rgb="FFFF555A"/>
      </dataBar>
    </cfRule>
  </conditionalFormatting>
  <conditionalFormatting sqref="M104:M119">
    <cfRule type="dataBar" priority="2496">
      <dataBar>
        <cfvo type="min"/>
        <cfvo type="max"/>
        <color rgb="FFFF555A"/>
      </dataBar>
    </cfRule>
  </conditionalFormatting>
  <conditionalFormatting sqref="N104:N119">
    <cfRule type="dataBar" priority="2495">
      <dataBar>
        <cfvo type="min"/>
        <cfvo type="max"/>
        <color rgb="FFFF555A"/>
      </dataBar>
    </cfRule>
  </conditionalFormatting>
  <conditionalFormatting sqref="Q104:Q119">
    <cfRule type="dataBar" priority="2494">
      <dataBar>
        <cfvo type="min"/>
        <cfvo type="max"/>
        <color rgb="FFFF555A"/>
      </dataBar>
    </cfRule>
  </conditionalFormatting>
  <conditionalFormatting sqref="O104:O119">
    <cfRule type="dataBar" priority="2493">
      <dataBar>
        <cfvo type="min"/>
        <cfvo type="max"/>
        <color rgb="FFFF555A"/>
      </dataBar>
    </cfRule>
  </conditionalFormatting>
  <conditionalFormatting sqref="P104:P119">
    <cfRule type="dataBar" priority="2492">
      <dataBar>
        <cfvo type="min"/>
        <cfvo type="max"/>
        <color rgb="FFFF555A"/>
      </dataBar>
    </cfRule>
  </conditionalFormatting>
  <conditionalFormatting sqref="R121:R137 D121:D136 C137">
    <cfRule type="containsText" dxfId="953" priority="2491" operator="containsText" text="DOWN">
      <formula>NOT(ISERROR(SEARCH("DOWN",C121)))</formula>
    </cfRule>
  </conditionalFormatting>
  <conditionalFormatting sqref="R121:R137 D121:D136 C137">
    <cfRule type="containsText" dxfId="952" priority="2490" operator="containsText" text="UP">
      <formula>NOT(ISERROR(SEARCH("UP",C121)))</formula>
    </cfRule>
  </conditionalFormatting>
  <conditionalFormatting sqref="I137">
    <cfRule type="colorScale" priority="2489">
      <colorScale>
        <cfvo type="min"/>
        <cfvo type="max"/>
        <color rgb="FFFFEF9C"/>
        <color rgb="FF63BE7B"/>
      </colorScale>
    </cfRule>
  </conditionalFormatting>
  <conditionalFormatting sqref="M137">
    <cfRule type="colorScale" priority="2488">
      <colorScale>
        <cfvo type="min"/>
        <cfvo type="max"/>
        <color rgb="FFFF7128"/>
        <color rgb="FFFFEF9C"/>
      </colorScale>
    </cfRule>
  </conditionalFormatting>
  <conditionalFormatting sqref="Q137">
    <cfRule type="dataBar" priority="2487">
      <dataBar>
        <cfvo type="min"/>
        <cfvo type="max"/>
        <color rgb="FFFF555A"/>
      </dataBar>
    </cfRule>
  </conditionalFormatting>
  <conditionalFormatting sqref="E121:E137">
    <cfRule type="dataBar" priority="2486">
      <dataBar>
        <cfvo type="min"/>
        <cfvo type="max"/>
        <color rgb="FFFF555A"/>
      </dataBar>
    </cfRule>
  </conditionalFormatting>
  <conditionalFormatting sqref="F137">
    <cfRule type="top10" dxfId="951" priority="2485" rank="1"/>
  </conditionalFormatting>
  <conditionalFormatting sqref="G137 P137">
    <cfRule type="cellIs" dxfId="950" priority="2484" operator="equal">
      <formula>$G$135</formula>
    </cfRule>
  </conditionalFormatting>
  <conditionalFormatting sqref="P137">
    <cfRule type="cellIs" dxfId="949" priority="2483" operator="equal">
      <formula>$J$135</formula>
    </cfRule>
  </conditionalFormatting>
  <conditionalFormatting sqref="G137 P137">
    <cfRule type="cellIs" dxfId="948" priority="2482" operator="equal">
      <formula>#REF!</formula>
    </cfRule>
  </conditionalFormatting>
  <conditionalFormatting sqref="G137">
    <cfRule type="top10" dxfId="947" priority="2480" rank="1"/>
    <cfRule type="cellIs" dxfId="946" priority="2481" operator="equal">
      <formula>$G$133</formula>
    </cfRule>
  </conditionalFormatting>
  <conditionalFormatting sqref="P137">
    <cfRule type="top10" dxfId="945" priority="2478" rank="1"/>
    <cfRule type="cellIs" dxfId="944" priority="2479" operator="equal">
      <formula>$G$133</formula>
    </cfRule>
  </conditionalFormatting>
  <conditionalFormatting sqref="C121:C136">
    <cfRule type="containsText" dxfId="943" priority="2474" operator="containsText" text="Short Buildup">
      <formula>NOT(ISERROR(SEARCH("Short Buildup",C121)))</formula>
    </cfRule>
    <cfRule type="containsText" dxfId="942" priority="2475" operator="containsText" text="Long Liquidation">
      <formula>NOT(ISERROR(SEARCH("Long Liquidation",C121)))</formula>
    </cfRule>
    <cfRule type="containsText" dxfId="941" priority="2476" operator="containsText" text="Short covering">
      <formula>NOT(ISERROR(SEARCH("Short covering",C121)))</formula>
    </cfRule>
    <cfRule type="containsText" dxfId="940" priority="2477" operator="containsText" text="Long Buildup">
      <formula>NOT(ISERROR(SEARCH("Long Buildup",C121)))</formula>
    </cfRule>
  </conditionalFormatting>
  <conditionalFormatting sqref="H137">
    <cfRule type="colorScale" priority="2469">
      <colorScale>
        <cfvo type="min"/>
        <cfvo type="percentile" val="20"/>
        <cfvo type="max"/>
        <color rgb="FF92D050"/>
        <color theme="5" tint="0.79998168889431442"/>
        <color rgb="FFFF0000"/>
      </colorScale>
    </cfRule>
    <cfRule type="colorScale" priority="2470">
      <colorScale>
        <cfvo type="min"/>
        <cfvo type="max"/>
        <color rgb="FFFF0000"/>
        <color rgb="FF92D050"/>
      </colorScale>
    </cfRule>
    <cfRule type="colorScale" priority="2471">
      <colorScale>
        <cfvo type="min"/>
        <cfvo type="percentile" val="50"/>
        <cfvo type="max"/>
        <color rgb="FF5A8AC6"/>
        <color rgb="FFFCFCFF"/>
        <color rgb="FFF8696B"/>
      </colorScale>
    </cfRule>
    <cfRule type="colorScale" priority="2472">
      <colorScale>
        <cfvo type="formula" val="&quot;&gt;20&quot;"/>
        <cfvo type="formula" val="35"/>
        <color rgb="FFF8696B"/>
        <color rgb="FFFCFCFF"/>
      </colorScale>
    </cfRule>
    <cfRule type="colorScale" priority="2473">
      <colorScale>
        <cfvo type="min"/>
        <cfvo type="max"/>
        <color rgb="FFFFEF9C"/>
        <color rgb="FF63BE7B"/>
      </colorScale>
    </cfRule>
  </conditionalFormatting>
  <conditionalFormatting sqref="N137">
    <cfRule type="colorScale" priority="2464">
      <colorScale>
        <cfvo type="min"/>
        <cfvo type="percentile" val="20"/>
        <cfvo type="max"/>
        <color rgb="FF92D050"/>
        <color theme="5" tint="0.79998168889431442"/>
        <color rgb="FFFF0000"/>
      </colorScale>
    </cfRule>
    <cfRule type="colorScale" priority="2465">
      <colorScale>
        <cfvo type="min"/>
        <cfvo type="max"/>
        <color rgb="FFFF0000"/>
        <color rgb="FF92D050"/>
      </colorScale>
    </cfRule>
    <cfRule type="colorScale" priority="2466">
      <colorScale>
        <cfvo type="min"/>
        <cfvo type="percentile" val="50"/>
        <cfvo type="max"/>
        <color rgb="FF5A8AC6"/>
        <color rgb="FFFCFCFF"/>
        <color rgb="FFF8696B"/>
      </colorScale>
    </cfRule>
    <cfRule type="colorScale" priority="2467">
      <colorScale>
        <cfvo type="formula" val="&quot;&gt;20&quot;"/>
        <cfvo type="formula" val="35"/>
        <color rgb="FFF8696B"/>
        <color rgb="FFFCFCFF"/>
      </colorScale>
    </cfRule>
    <cfRule type="colorScale" priority="2468">
      <colorScale>
        <cfvo type="min"/>
        <cfvo type="max"/>
        <color rgb="FFFFEF9C"/>
        <color rgb="FF63BE7B"/>
      </colorScale>
    </cfRule>
  </conditionalFormatting>
  <conditionalFormatting sqref="S121:S137">
    <cfRule type="containsText" dxfId="939" priority="2460" operator="containsText" text="Short Buildup">
      <formula>NOT(ISERROR(SEARCH("Short Buildup",S121)))</formula>
    </cfRule>
    <cfRule type="containsText" dxfId="938" priority="2461" operator="containsText" text="Long Liquidation">
      <formula>NOT(ISERROR(SEARCH("Long Liquidation",S121)))</formula>
    </cfRule>
    <cfRule type="containsText" dxfId="937" priority="2462" operator="containsText" text="Short covering">
      <formula>NOT(ISERROR(SEARCH("Short covering",S121)))</formula>
    </cfRule>
    <cfRule type="containsText" dxfId="936" priority="2463" operator="containsText" text="Long Buildup">
      <formula>NOT(ISERROR(SEARCH("Long Buildup",S121)))</formula>
    </cfRule>
  </conditionalFormatting>
  <conditionalFormatting sqref="F121:F136">
    <cfRule type="dataBar" priority="2459">
      <dataBar>
        <cfvo type="min"/>
        <cfvo type="max"/>
        <color rgb="FFFF555A"/>
      </dataBar>
    </cfRule>
  </conditionalFormatting>
  <conditionalFormatting sqref="G121:G136">
    <cfRule type="dataBar" priority="2458">
      <dataBar>
        <cfvo type="min"/>
        <cfvo type="max"/>
        <color rgb="FFFF555A"/>
      </dataBar>
    </cfRule>
  </conditionalFormatting>
  <conditionalFormatting sqref="H121">
    <cfRule type="dataBar" priority="2457">
      <dataBar>
        <cfvo type="min"/>
        <cfvo type="max"/>
        <color rgb="FFFF555A"/>
      </dataBar>
    </cfRule>
  </conditionalFormatting>
  <conditionalFormatting sqref="I121">
    <cfRule type="dataBar" priority="2456">
      <dataBar>
        <cfvo type="min"/>
        <cfvo type="max"/>
        <color rgb="FFFF555A"/>
      </dataBar>
    </cfRule>
  </conditionalFormatting>
  <conditionalFormatting sqref="J121">
    <cfRule type="dataBar" priority="2455">
      <dataBar>
        <cfvo type="min"/>
        <cfvo type="max"/>
        <color rgb="FFFF555A"/>
      </dataBar>
    </cfRule>
  </conditionalFormatting>
  <conditionalFormatting sqref="E122:E136">
    <cfRule type="dataBar" priority="2454">
      <dataBar>
        <cfvo type="min"/>
        <cfvo type="max"/>
        <color rgb="FFFF555A"/>
      </dataBar>
    </cfRule>
  </conditionalFormatting>
  <conditionalFormatting sqref="H122:H136">
    <cfRule type="dataBar" priority="2453">
      <dataBar>
        <cfvo type="min"/>
        <cfvo type="max"/>
        <color rgb="FFFF555A"/>
      </dataBar>
    </cfRule>
  </conditionalFormatting>
  <conditionalFormatting sqref="I122:I136">
    <cfRule type="dataBar" priority="2452">
      <dataBar>
        <cfvo type="min"/>
        <cfvo type="max"/>
        <color rgb="FFFF555A"/>
      </dataBar>
    </cfRule>
  </conditionalFormatting>
  <conditionalFormatting sqref="J122:J136">
    <cfRule type="dataBar" priority="2451">
      <dataBar>
        <cfvo type="min"/>
        <cfvo type="max"/>
        <color rgb="FFFF555A"/>
      </dataBar>
    </cfRule>
  </conditionalFormatting>
  <conditionalFormatting sqref="L121:L136">
    <cfRule type="dataBar" priority="2450">
      <dataBar>
        <cfvo type="min"/>
        <cfvo type="max"/>
        <color rgb="FFFF555A"/>
      </dataBar>
    </cfRule>
  </conditionalFormatting>
  <conditionalFormatting sqref="M121:M136">
    <cfRule type="dataBar" priority="2449">
      <dataBar>
        <cfvo type="min"/>
        <cfvo type="max"/>
        <color rgb="FFFF555A"/>
      </dataBar>
    </cfRule>
  </conditionalFormatting>
  <conditionalFormatting sqref="N121:N136">
    <cfRule type="dataBar" priority="2448">
      <dataBar>
        <cfvo type="min"/>
        <cfvo type="max"/>
        <color rgb="FFFF555A"/>
      </dataBar>
    </cfRule>
  </conditionalFormatting>
  <conditionalFormatting sqref="Q121:Q136">
    <cfRule type="dataBar" priority="2447">
      <dataBar>
        <cfvo type="min"/>
        <cfvo type="max"/>
        <color rgb="FFFF555A"/>
      </dataBar>
    </cfRule>
  </conditionalFormatting>
  <conditionalFormatting sqref="O121:O136">
    <cfRule type="dataBar" priority="2446">
      <dataBar>
        <cfvo type="min"/>
        <cfvo type="max"/>
        <color rgb="FFFF555A"/>
      </dataBar>
    </cfRule>
  </conditionalFormatting>
  <conditionalFormatting sqref="P121:P136">
    <cfRule type="dataBar" priority="2445">
      <dataBar>
        <cfvo type="min"/>
        <cfvo type="max"/>
        <color rgb="FFFF555A"/>
      </dataBar>
    </cfRule>
  </conditionalFormatting>
  <conditionalFormatting sqref="R138:R154 D138:D153 C154">
    <cfRule type="containsText" dxfId="935" priority="2444" operator="containsText" text="DOWN">
      <formula>NOT(ISERROR(SEARCH("DOWN",C138)))</formula>
    </cfRule>
  </conditionalFormatting>
  <conditionalFormatting sqref="R138:R154 D138:D153 C154">
    <cfRule type="containsText" dxfId="934" priority="2443" operator="containsText" text="UP">
      <formula>NOT(ISERROR(SEARCH("UP",C138)))</formula>
    </cfRule>
  </conditionalFormatting>
  <conditionalFormatting sqref="I154">
    <cfRule type="colorScale" priority="2442">
      <colorScale>
        <cfvo type="min"/>
        <cfvo type="max"/>
        <color rgb="FFFFEF9C"/>
        <color rgb="FF63BE7B"/>
      </colorScale>
    </cfRule>
  </conditionalFormatting>
  <conditionalFormatting sqref="M154">
    <cfRule type="colorScale" priority="2441">
      <colorScale>
        <cfvo type="min"/>
        <cfvo type="max"/>
        <color rgb="FFFF7128"/>
        <color rgb="FFFFEF9C"/>
      </colorScale>
    </cfRule>
  </conditionalFormatting>
  <conditionalFormatting sqref="Q154">
    <cfRule type="dataBar" priority="2440">
      <dataBar>
        <cfvo type="min"/>
        <cfvo type="max"/>
        <color rgb="FFFF555A"/>
      </dataBar>
    </cfRule>
  </conditionalFormatting>
  <conditionalFormatting sqref="E138:E154">
    <cfRule type="dataBar" priority="2439">
      <dataBar>
        <cfvo type="min"/>
        <cfvo type="max"/>
        <color rgb="FFFF555A"/>
      </dataBar>
    </cfRule>
  </conditionalFormatting>
  <conditionalFormatting sqref="F154">
    <cfRule type="top10" dxfId="933" priority="2438" rank="1"/>
  </conditionalFormatting>
  <conditionalFormatting sqref="G154 P154">
    <cfRule type="cellIs" dxfId="932" priority="2437" operator="equal">
      <formula>$G$135</formula>
    </cfRule>
  </conditionalFormatting>
  <conditionalFormatting sqref="P154">
    <cfRule type="cellIs" dxfId="931" priority="2436" operator="equal">
      <formula>$J$135</formula>
    </cfRule>
  </conditionalFormatting>
  <conditionalFormatting sqref="G154 P154">
    <cfRule type="cellIs" dxfId="930" priority="2435" operator="equal">
      <formula>#REF!</formula>
    </cfRule>
  </conditionalFormatting>
  <conditionalFormatting sqref="G154">
    <cfRule type="top10" dxfId="929" priority="2433" rank="1"/>
    <cfRule type="cellIs" dxfId="928" priority="2434" operator="equal">
      <formula>$G$133</formula>
    </cfRule>
  </conditionalFormatting>
  <conditionalFormatting sqref="P154">
    <cfRule type="top10" dxfId="927" priority="2431" rank="1"/>
    <cfRule type="cellIs" dxfId="926" priority="2432" operator="equal">
      <formula>$G$133</formula>
    </cfRule>
  </conditionalFormatting>
  <conditionalFormatting sqref="C138:C153">
    <cfRule type="containsText" dxfId="925" priority="2427" operator="containsText" text="Short Buildup">
      <formula>NOT(ISERROR(SEARCH("Short Buildup",C138)))</formula>
    </cfRule>
    <cfRule type="containsText" dxfId="924" priority="2428" operator="containsText" text="Long Liquidation">
      <formula>NOT(ISERROR(SEARCH("Long Liquidation",C138)))</formula>
    </cfRule>
    <cfRule type="containsText" dxfId="923" priority="2429" operator="containsText" text="Short covering">
      <formula>NOT(ISERROR(SEARCH("Short covering",C138)))</formula>
    </cfRule>
    <cfRule type="containsText" dxfId="922" priority="2430" operator="containsText" text="Long Buildup">
      <formula>NOT(ISERROR(SEARCH("Long Buildup",C138)))</formula>
    </cfRule>
  </conditionalFormatting>
  <conditionalFormatting sqref="H154">
    <cfRule type="colorScale" priority="2422">
      <colorScale>
        <cfvo type="min"/>
        <cfvo type="percentile" val="20"/>
        <cfvo type="max"/>
        <color rgb="FF92D050"/>
        <color theme="5" tint="0.79998168889431442"/>
        <color rgb="FFFF0000"/>
      </colorScale>
    </cfRule>
    <cfRule type="colorScale" priority="2423">
      <colorScale>
        <cfvo type="min"/>
        <cfvo type="max"/>
        <color rgb="FFFF0000"/>
        <color rgb="FF92D050"/>
      </colorScale>
    </cfRule>
    <cfRule type="colorScale" priority="2424">
      <colorScale>
        <cfvo type="min"/>
        <cfvo type="percentile" val="50"/>
        <cfvo type="max"/>
        <color rgb="FF5A8AC6"/>
        <color rgb="FFFCFCFF"/>
        <color rgb="FFF8696B"/>
      </colorScale>
    </cfRule>
    <cfRule type="colorScale" priority="2425">
      <colorScale>
        <cfvo type="formula" val="&quot;&gt;20&quot;"/>
        <cfvo type="formula" val="35"/>
        <color rgb="FFF8696B"/>
        <color rgb="FFFCFCFF"/>
      </colorScale>
    </cfRule>
    <cfRule type="colorScale" priority="2426">
      <colorScale>
        <cfvo type="min"/>
        <cfvo type="max"/>
        <color rgb="FFFFEF9C"/>
        <color rgb="FF63BE7B"/>
      </colorScale>
    </cfRule>
  </conditionalFormatting>
  <conditionalFormatting sqref="N154">
    <cfRule type="colorScale" priority="2417">
      <colorScale>
        <cfvo type="min"/>
        <cfvo type="percentile" val="20"/>
        <cfvo type="max"/>
        <color rgb="FF92D050"/>
        <color theme="5" tint="0.79998168889431442"/>
        <color rgb="FFFF0000"/>
      </colorScale>
    </cfRule>
    <cfRule type="colorScale" priority="2418">
      <colorScale>
        <cfvo type="min"/>
        <cfvo type="max"/>
        <color rgb="FFFF0000"/>
        <color rgb="FF92D050"/>
      </colorScale>
    </cfRule>
    <cfRule type="colorScale" priority="2419">
      <colorScale>
        <cfvo type="min"/>
        <cfvo type="percentile" val="50"/>
        <cfvo type="max"/>
        <color rgb="FF5A8AC6"/>
        <color rgb="FFFCFCFF"/>
        <color rgb="FFF8696B"/>
      </colorScale>
    </cfRule>
    <cfRule type="colorScale" priority="2420">
      <colorScale>
        <cfvo type="formula" val="&quot;&gt;20&quot;"/>
        <cfvo type="formula" val="35"/>
        <color rgb="FFF8696B"/>
        <color rgb="FFFCFCFF"/>
      </colorScale>
    </cfRule>
    <cfRule type="colorScale" priority="2421">
      <colorScale>
        <cfvo type="min"/>
        <cfvo type="max"/>
        <color rgb="FFFFEF9C"/>
        <color rgb="FF63BE7B"/>
      </colorScale>
    </cfRule>
  </conditionalFormatting>
  <conditionalFormatting sqref="S138:S154">
    <cfRule type="containsText" dxfId="921" priority="2413" operator="containsText" text="Short Buildup">
      <formula>NOT(ISERROR(SEARCH("Short Buildup",S138)))</formula>
    </cfRule>
    <cfRule type="containsText" dxfId="920" priority="2414" operator="containsText" text="Long Liquidation">
      <formula>NOT(ISERROR(SEARCH("Long Liquidation",S138)))</formula>
    </cfRule>
    <cfRule type="containsText" dxfId="919" priority="2415" operator="containsText" text="Short covering">
      <formula>NOT(ISERROR(SEARCH("Short covering",S138)))</formula>
    </cfRule>
    <cfRule type="containsText" dxfId="918" priority="2416" operator="containsText" text="Long Buildup">
      <formula>NOT(ISERROR(SEARCH("Long Buildup",S138)))</formula>
    </cfRule>
  </conditionalFormatting>
  <conditionalFormatting sqref="F138:F153">
    <cfRule type="dataBar" priority="2412">
      <dataBar>
        <cfvo type="min"/>
        <cfvo type="max"/>
        <color rgb="FFFF555A"/>
      </dataBar>
    </cfRule>
  </conditionalFormatting>
  <conditionalFormatting sqref="G138:G153">
    <cfRule type="dataBar" priority="2411">
      <dataBar>
        <cfvo type="min"/>
        <cfvo type="max"/>
        <color rgb="FFFF555A"/>
      </dataBar>
    </cfRule>
  </conditionalFormatting>
  <conditionalFormatting sqref="H138">
    <cfRule type="dataBar" priority="2410">
      <dataBar>
        <cfvo type="min"/>
        <cfvo type="max"/>
        <color rgb="FFFF555A"/>
      </dataBar>
    </cfRule>
  </conditionalFormatting>
  <conditionalFormatting sqref="I138">
    <cfRule type="dataBar" priority="2409">
      <dataBar>
        <cfvo type="min"/>
        <cfvo type="max"/>
        <color rgb="FFFF555A"/>
      </dataBar>
    </cfRule>
  </conditionalFormatting>
  <conditionalFormatting sqref="J138">
    <cfRule type="dataBar" priority="2408">
      <dataBar>
        <cfvo type="min"/>
        <cfvo type="max"/>
        <color rgb="FFFF555A"/>
      </dataBar>
    </cfRule>
  </conditionalFormatting>
  <conditionalFormatting sqref="E139:E153">
    <cfRule type="dataBar" priority="2407">
      <dataBar>
        <cfvo type="min"/>
        <cfvo type="max"/>
        <color rgb="FFFF555A"/>
      </dataBar>
    </cfRule>
  </conditionalFormatting>
  <conditionalFormatting sqref="H139:H153">
    <cfRule type="dataBar" priority="2406">
      <dataBar>
        <cfvo type="min"/>
        <cfvo type="max"/>
        <color rgb="FFFF555A"/>
      </dataBar>
    </cfRule>
  </conditionalFormatting>
  <conditionalFormatting sqref="I139:I153">
    <cfRule type="dataBar" priority="2405">
      <dataBar>
        <cfvo type="min"/>
        <cfvo type="max"/>
        <color rgb="FFFF555A"/>
      </dataBar>
    </cfRule>
  </conditionalFormatting>
  <conditionalFormatting sqref="J139:J153">
    <cfRule type="dataBar" priority="2404">
      <dataBar>
        <cfvo type="min"/>
        <cfvo type="max"/>
        <color rgb="FFFF555A"/>
      </dataBar>
    </cfRule>
  </conditionalFormatting>
  <conditionalFormatting sqref="L138:L153">
    <cfRule type="dataBar" priority="2403">
      <dataBar>
        <cfvo type="min"/>
        <cfvo type="max"/>
        <color rgb="FFFF555A"/>
      </dataBar>
    </cfRule>
  </conditionalFormatting>
  <conditionalFormatting sqref="M138:M153">
    <cfRule type="dataBar" priority="2402">
      <dataBar>
        <cfvo type="min"/>
        <cfvo type="max"/>
        <color rgb="FFFF555A"/>
      </dataBar>
    </cfRule>
  </conditionalFormatting>
  <conditionalFormatting sqref="N138:N153">
    <cfRule type="dataBar" priority="2401">
      <dataBar>
        <cfvo type="min"/>
        <cfvo type="max"/>
        <color rgb="FFFF555A"/>
      </dataBar>
    </cfRule>
  </conditionalFormatting>
  <conditionalFormatting sqref="Q138:Q153">
    <cfRule type="dataBar" priority="2400">
      <dataBar>
        <cfvo type="min"/>
        <cfvo type="max"/>
        <color rgb="FFFF555A"/>
      </dataBar>
    </cfRule>
  </conditionalFormatting>
  <conditionalFormatting sqref="O138:O153">
    <cfRule type="dataBar" priority="2399">
      <dataBar>
        <cfvo type="min"/>
        <cfvo type="max"/>
        <color rgb="FFFF555A"/>
      </dataBar>
    </cfRule>
  </conditionalFormatting>
  <conditionalFormatting sqref="P138:P153">
    <cfRule type="dataBar" priority="2398">
      <dataBar>
        <cfvo type="min"/>
        <cfvo type="max"/>
        <color rgb="FFFF555A"/>
      </dataBar>
    </cfRule>
  </conditionalFormatting>
  <conditionalFormatting sqref="R155:R171 D155:D170 C171">
    <cfRule type="containsText" dxfId="917" priority="2397" operator="containsText" text="DOWN">
      <formula>NOT(ISERROR(SEARCH("DOWN",C155)))</formula>
    </cfRule>
  </conditionalFormatting>
  <conditionalFormatting sqref="R155:R171 D155:D170 C171">
    <cfRule type="containsText" dxfId="916" priority="2396" operator="containsText" text="UP">
      <formula>NOT(ISERROR(SEARCH("UP",C155)))</formula>
    </cfRule>
  </conditionalFormatting>
  <conditionalFormatting sqref="I171">
    <cfRule type="colorScale" priority="2395">
      <colorScale>
        <cfvo type="min"/>
        <cfvo type="max"/>
        <color rgb="FFFFEF9C"/>
        <color rgb="FF63BE7B"/>
      </colorScale>
    </cfRule>
  </conditionalFormatting>
  <conditionalFormatting sqref="M171">
    <cfRule type="colorScale" priority="2394">
      <colorScale>
        <cfvo type="min"/>
        <cfvo type="max"/>
        <color rgb="FFFF7128"/>
        <color rgb="FFFFEF9C"/>
      </colorScale>
    </cfRule>
  </conditionalFormatting>
  <conditionalFormatting sqref="Q171">
    <cfRule type="dataBar" priority="2393">
      <dataBar>
        <cfvo type="min"/>
        <cfvo type="max"/>
        <color rgb="FFFF555A"/>
      </dataBar>
    </cfRule>
  </conditionalFormatting>
  <conditionalFormatting sqref="E155:E171">
    <cfRule type="dataBar" priority="2392">
      <dataBar>
        <cfvo type="min"/>
        <cfvo type="max"/>
        <color rgb="FFFF555A"/>
      </dataBar>
    </cfRule>
  </conditionalFormatting>
  <conditionalFormatting sqref="F171">
    <cfRule type="top10" dxfId="915" priority="2391" rank="1"/>
  </conditionalFormatting>
  <conditionalFormatting sqref="G171 P171">
    <cfRule type="cellIs" dxfId="914" priority="2390" operator="equal">
      <formula>$G$135</formula>
    </cfRule>
  </conditionalFormatting>
  <conditionalFormatting sqref="P171">
    <cfRule type="cellIs" dxfId="913" priority="2389" operator="equal">
      <formula>$J$135</formula>
    </cfRule>
  </conditionalFormatting>
  <conditionalFormatting sqref="G171 P171">
    <cfRule type="cellIs" dxfId="912" priority="2388" operator="equal">
      <formula>#REF!</formula>
    </cfRule>
  </conditionalFormatting>
  <conditionalFormatting sqref="G171">
    <cfRule type="top10" dxfId="911" priority="2386" rank="1"/>
    <cfRule type="cellIs" dxfId="910" priority="2387" operator="equal">
      <formula>$G$133</formula>
    </cfRule>
  </conditionalFormatting>
  <conditionalFormatting sqref="P171">
    <cfRule type="top10" dxfId="909" priority="2384" rank="1"/>
    <cfRule type="cellIs" dxfId="908" priority="2385" operator="equal">
      <formula>$G$133</formula>
    </cfRule>
  </conditionalFormatting>
  <conditionalFormatting sqref="C155:C170">
    <cfRule type="containsText" dxfId="907" priority="2380" operator="containsText" text="Short Buildup">
      <formula>NOT(ISERROR(SEARCH("Short Buildup",C155)))</formula>
    </cfRule>
    <cfRule type="containsText" dxfId="906" priority="2381" operator="containsText" text="Long Liquidation">
      <formula>NOT(ISERROR(SEARCH("Long Liquidation",C155)))</formula>
    </cfRule>
    <cfRule type="containsText" dxfId="905" priority="2382" operator="containsText" text="Short covering">
      <formula>NOT(ISERROR(SEARCH("Short covering",C155)))</formula>
    </cfRule>
    <cfRule type="containsText" dxfId="904" priority="2383" operator="containsText" text="Long Buildup">
      <formula>NOT(ISERROR(SEARCH("Long Buildup",C155)))</formula>
    </cfRule>
  </conditionalFormatting>
  <conditionalFormatting sqref="H171">
    <cfRule type="colorScale" priority="2375">
      <colorScale>
        <cfvo type="min"/>
        <cfvo type="percentile" val="20"/>
        <cfvo type="max"/>
        <color rgb="FF92D050"/>
        <color theme="5" tint="0.79998168889431442"/>
        <color rgb="FFFF0000"/>
      </colorScale>
    </cfRule>
    <cfRule type="colorScale" priority="2376">
      <colorScale>
        <cfvo type="min"/>
        <cfvo type="max"/>
        <color rgb="FFFF0000"/>
        <color rgb="FF92D050"/>
      </colorScale>
    </cfRule>
    <cfRule type="colorScale" priority="2377">
      <colorScale>
        <cfvo type="min"/>
        <cfvo type="percentile" val="50"/>
        <cfvo type="max"/>
        <color rgb="FF5A8AC6"/>
        <color rgb="FFFCFCFF"/>
        <color rgb="FFF8696B"/>
      </colorScale>
    </cfRule>
    <cfRule type="colorScale" priority="2378">
      <colorScale>
        <cfvo type="formula" val="&quot;&gt;20&quot;"/>
        <cfvo type="formula" val="35"/>
        <color rgb="FFF8696B"/>
        <color rgb="FFFCFCFF"/>
      </colorScale>
    </cfRule>
    <cfRule type="colorScale" priority="2379">
      <colorScale>
        <cfvo type="min"/>
        <cfvo type="max"/>
        <color rgb="FFFFEF9C"/>
        <color rgb="FF63BE7B"/>
      </colorScale>
    </cfRule>
  </conditionalFormatting>
  <conditionalFormatting sqref="N171">
    <cfRule type="colorScale" priority="2370">
      <colorScale>
        <cfvo type="min"/>
        <cfvo type="percentile" val="20"/>
        <cfvo type="max"/>
        <color rgb="FF92D050"/>
        <color theme="5" tint="0.79998168889431442"/>
        <color rgb="FFFF0000"/>
      </colorScale>
    </cfRule>
    <cfRule type="colorScale" priority="2371">
      <colorScale>
        <cfvo type="min"/>
        <cfvo type="max"/>
        <color rgb="FFFF0000"/>
        <color rgb="FF92D050"/>
      </colorScale>
    </cfRule>
    <cfRule type="colorScale" priority="2372">
      <colorScale>
        <cfvo type="min"/>
        <cfvo type="percentile" val="50"/>
        <cfvo type="max"/>
        <color rgb="FF5A8AC6"/>
        <color rgb="FFFCFCFF"/>
        <color rgb="FFF8696B"/>
      </colorScale>
    </cfRule>
    <cfRule type="colorScale" priority="2373">
      <colorScale>
        <cfvo type="formula" val="&quot;&gt;20&quot;"/>
        <cfvo type="formula" val="35"/>
        <color rgb="FFF8696B"/>
        <color rgb="FFFCFCFF"/>
      </colorScale>
    </cfRule>
    <cfRule type="colorScale" priority="2374">
      <colorScale>
        <cfvo type="min"/>
        <cfvo type="max"/>
        <color rgb="FFFFEF9C"/>
        <color rgb="FF63BE7B"/>
      </colorScale>
    </cfRule>
  </conditionalFormatting>
  <conditionalFormatting sqref="S155:S171">
    <cfRule type="containsText" dxfId="903" priority="2366" operator="containsText" text="Short Buildup">
      <formula>NOT(ISERROR(SEARCH("Short Buildup",S155)))</formula>
    </cfRule>
    <cfRule type="containsText" dxfId="902" priority="2367" operator="containsText" text="Long Liquidation">
      <formula>NOT(ISERROR(SEARCH("Long Liquidation",S155)))</formula>
    </cfRule>
    <cfRule type="containsText" dxfId="901" priority="2368" operator="containsText" text="Short covering">
      <formula>NOT(ISERROR(SEARCH("Short covering",S155)))</formula>
    </cfRule>
    <cfRule type="containsText" dxfId="900" priority="2369" operator="containsText" text="Long Buildup">
      <formula>NOT(ISERROR(SEARCH("Long Buildup",S155)))</formula>
    </cfRule>
  </conditionalFormatting>
  <conditionalFormatting sqref="F155:F170">
    <cfRule type="dataBar" priority="2365">
      <dataBar>
        <cfvo type="min"/>
        <cfvo type="max"/>
        <color rgb="FFFF555A"/>
      </dataBar>
    </cfRule>
  </conditionalFormatting>
  <conditionalFormatting sqref="G155:G170">
    <cfRule type="dataBar" priority="2364">
      <dataBar>
        <cfvo type="min"/>
        <cfvo type="max"/>
        <color rgb="FFFF555A"/>
      </dataBar>
    </cfRule>
  </conditionalFormatting>
  <conditionalFormatting sqref="H155">
    <cfRule type="dataBar" priority="2363">
      <dataBar>
        <cfvo type="min"/>
        <cfvo type="max"/>
        <color rgb="FFFF555A"/>
      </dataBar>
    </cfRule>
  </conditionalFormatting>
  <conditionalFormatting sqref="I155">
    <cfRule type="dataBar" priority="2362">
      <dataBar>
        <cfvo type="min"/>
        <cfvo type="max"/>
        <color rgb="FFFF555A"/>
      </dataBar>
    </cfRule>
  </conditionalFormatting>
  <conditionalFormatting sqref="J155">
    <cfRule type="dataBar" priority="2361">
      <dataBar>
        <cfvo type="min"/>
        <cfvo type="max"/>
        <color rgb="FFFF555A"/>
      </dataBar>
    </cfRule>
  </conditionalFormatting>
  <conditionalFormatting sqref="E156:E170">
    <cfRule type="dataBar" priority="2360">
      <dataBar>
        <cfvo type="min"/>
        <cfvo type="max"/>
        <color rgb="FFFF555A"/>
      </dataBar>
    </cfRule>
  </conditionalFormatting>
  <conditionalFormatting sqref="H156:H170">
    <cfRule type="dataBar" priority="2359">
      <dataBar>
        <cfvo type="min"/>
        <cfvo type="max"/>
        <color rgb="FFFF555A"/>
      </dataBar>
    </cfRule>
  </conditionalFormatting>
  <conditionalFormatting sqref="I156:I170">
    <cfRule type="dataBar" priority="2358">
      <dataBar>
        <cfvo type="min"/>
        <cfvo type="max"/>
        <color rgb="FFFF555A"/>
      </dataBar>
    </cfRule>
  </conditionalFormatting>
  <conditionalFormatting sqref="J156:J170">
    <cfRule type="dataBar" priority="2357">
      <dataBar>
        <cfvo type="min"/>
        <cfvo type="max"/>
        <color rgb="FFFF555A"/>
      </dataBar>
    </cfRule>
  </conditionalFormatting>
  <conditionalFormatting sqref="L155:L170">
    <cfRule type="dataBar" priority="2356">
      <dataBar>
        <cfvo type="min"/>
        <cfvo type="max"/>
        <color rgb="FFFF555A"/>
      </dataBar>
    </cfRule>
  </conditionalFormatting>
  <conditionalFormatting sqref="M155:M170">
    <cfRule type="dataBar" priority="2355">
      <dataBar>
        <cfvo type="min"/>
        <cfvo type="max"/>
        <color rgb="FFFF555A"/>
      </dataBar>
    </cfRule>
  </conditionalFormatting>
  <conditionalFormatting sqref="N155:N170">
    <cfRule type="dataBar" priority="2354">
      <dataBar>
        <cfvo type="min"/>
        <cfvo type="max"/>
        <color rgb="FFFF555A"/>
      </dataBar>
    </cfRule>
  </conditionalFormatting>
  <conditionalFormatting sqref="Q155:Q170">
    <cfRule type="dataBar" priority="2353">
      <dataBar>
        <cfvo type="min"/>
        <cfvo type="max"/>
        <color rgb="FFFF555A"/>
      </dataBar>
    </cfRule>
  </conditionalFormatting>
  <conditionalFormatting sqref="O155:O170">
    <cfRule type="dataBar" priority="2352">
      <dataBar>
        <cfvo type="min"/>
        <cfvo type="max"/>
        <color rgb="FFFF555A"/>
      </dataBar>
    </cfRule>
  </conditionalFormatting>
  <conditionalFormatting sqref="P155:P170">
    <cfRule type="dataBar" priority="2351">
      <dataBar>
        <cfvo type="min"/>
        <cfvo type="max"/>
        <color rgb="FFFF555A"/>
      </dataBar>
    </cfRule>
  </conditionalFormatting>
  <conditionalFormatting sqref="R172:R188 D172:D187 C188">
    <cfRule type="containsText" dxfId="899" priority="2350" operator="containsText" text="DOWN">
      <formula>NOT(ISERROR(SEARCH("DOWN",C172)))</formula>
    </cfRule>
  </conditionalFormatting>
  <conditionalFormatting sqref="R172:R188 D172:D187 C188">
    <cfRule type="containsText" dxfId="898" priority="2349" operator="containsText" text="UP">
      <formula>NOT(ISERROR(SEARCH("UP",C172)))</formula>
    </cfRule>
  </conditionalFormatting>
  <conditionalFormatting sqref="I188">
    <cfRule type="colorScale" priority="2348">
      <colorScale>
        <cfvo type="min"/>
        <cfvo type="max"/>
        <color rgb="FFFFEF9C"/>
        <color rgb="FF63BE7B"/>
      </colorScale>
    </cfRule>
  </conditionalFormatting>
  <conditionalFormatting sqref="M188">
    <cfRule type="colorScale" priority="2347">
      <colorScale>
        <cfvo type="min"/>
        <cfvo type="max"/>
        <color rgb="FFFF7128"/>
        <color rgb="FFFFEF9C"/>
      </colorScale>
    </cfRule>
  </conditionalFormatting>
  <conditionalFormatting sqref="Q188">
    <cfRule type="dataBar" priority="2346">
      <dataBar>
        <cfvo type="min"/>
        <cfvo type="max"/>
        <color rgb="FFFF555A"/>
      </dataBar>
    </cfRule>
  </conditionalFormatting>
  <conditionalFormatting sqref="E172:E188">
    <cfRule type="dataBar" priority="2345">
      <dataBar>
        <cfvo type="min"/>
        <cfvo type="max"/>
        <color rgb="FFFF555A"/>
      </dataBar>
    </cfRule>
  </conditionalFormatting>
  <conditionalFormatting sqref="F188">
    <cfRule type="top10" dxfId="897" priority="2344" rank="1"/>
  </conditionalFormatting>
  <conditionalFormatting sqref="G188 P188">
    <cfRule type="cellIs" dxfId="896" priority="2343" operator="equal">
      <formula>$G$135</formula>
    </cfRule>
  </conditionalFormatting>
  <conditionalFormatting sqref="P188">
    <cfRule type="cellIs" dxfId="895" priority="2342" operator="equal">
      <formula>$J$135</formula>
    </cfRule>
  </conditionalFormatting>
  <conditionalFormatting sqref="G188 P188">
    <cfRule type="cellIs" dxfId="894" priority="2341" operator="equal">
      <formula>#REF!</formula>
    </cfRule>
  </conditionalFormatting>
  <conditionalFormatting sqref="G188">
    <cfRule type="top10" dxfId="893" priority="2339" rank="1"/>
    <cfRule type="cellIs" dxfId="892" priority="2340" operator="equal">
      <formula>$G$133</formula>
    </cfRule>
  </conditionalFormatting>
  <conditionalFormatting sqref="P188">
    <cfRule type="top10" dxfId="891" priority="2337" rank="1"/>
    <cfRule type="cellIs" dxfId="890" priority="2338" operator="equal">
      <formula>$G$133</formula>
    </cfRule>
  </conditionalFormatting>
  <conditionalFormatting sqref="C172:C187">
    <cfRule type="containsText" dxfId="889" priority="2333" operator="containsText" text="Short Buildup">
      <formula>NOT(ISERROR(SEARCH("Short Buildup",C172)))</formula>
    </cfRule>
    <cfRule type="containsText" dxfId="888" priority="2334" operator="containsText" text="Long Liquidation">
      <formula>NOT(ISERROR(SEARCH("Long Liquidation",C172)))</formula>
    </cfRule>
    <cfRule type="containsText" dxfId="887" priority="2335" operator="containsText" text="Short covering">
      <formula>NOT(ISERROR(SEARCH("Short covering",C172)))</formula>
    </cfRule>
    <cfRule type="containsText" dxfId="886" priority="2336" operator="containsText" text="Long Buildup">
      <formula>NOT(ISERROR(SEARCH("Long Buildup",C172)))</formula>
    </cfRule>
  </conditionalFormatting>
  <conditionalFormatting sqref="H188">
    <cfRule type="colorScale" priority="2328">
      <colorScale>
        <cfvo type="min"/>
        <cfvo type="percentile" val="20"/>
        <cfvo type="max"/>
        <color rgb="FF92D050"/>
        <color theme="5" tint="0.79998168889431442"/>
        <color rgb="FFFF0000"/>
      </colorScale>
    </cfRule>
    <cfRule type="colorScale" priority="2329">
      <colorScale>
        <cfvo type="min"/>
        <cfvo type="max"/>
        <color rgb="FFFF0000"/>
        <color rgb="FF92D050"/>
      </colorScale>
    </cfRule>
    <cfRule type="colorScale" priority="2330">
      <colorScale>
        <cfvo type="min"/>
        <cfvo type="percentile" val="50"/>
        <cfvo type="max"/>
        <color rgb="FF5A8AC6"/>
        <color rgb="FFFCFCFF"/>
        <color rgb="FFF8696B"/>
      </colorScale>
    </cfRule>
    <cfRule type="colorScale" priority="2331">
      <colorScale>
        <cfvo type="formula" val="&quot;&gt;20&quot;"/>
        <cfvo type="formula" val="35"/>
        <color rgb="FFF8696B"/>
        <color rgb="FFFCFCFF"/>
      </colorScale>
    </cfRule>
    <cfRule type="colorScale" priority="2332">
      <colorScale>
        <cfvo type="min"/>
        <cfvo type="max"/>
        <color rgb="FFFFEF9C"/>
        <color rgb="FF63BE7B"/>
      </colorScale>
    </cfRule>
  </conditionalFormatting>
  <conditionalFormatting sqref="N188">
    <cfRule type="colorScale" priority="2323">
      <colorScale>
        <cfvo type="min"/>
        <cfvo type="percentile" val="20"/>
        <cfvo type="max"/>
        <color rgb="FF92D050"/>
        <color theme="5" tint="0.79998168889431442"/>
        <color rgb="FFFF0000"/>
      </colorScale>
    </cfRule>
    <cfRule type="colorScale" priority="2324">
      <colorScale>
        <cfvo type="min"/>
        <cfvo type="max"/>
        <color rgb="FFFF0000"/>
        <color rgb="FF92D050"/>
      </colorScale>
    </cfRule>
    <cfRule type="colorScale" priority="2325">
      <colorScale>
        <cfvo type="min"/>
        <cfvo type="percentile" val="50"/>
        <cfvo type="max"/>
        <color rgb="FF5A8AC6"/>
        <color rgb="FFFCFCFF"/>
        <color rgb="FFF8696B"/>
      </colorScale>
    </cfRule>
    <cfRule type="colorScale" priority="2326">
      <colorScale>
        <cfvo type="formula" val="&quot;&gt;20&quot;"/>
        <cfvo type="formula" val="35"/>
        <color rgb="FFF8696B"/>
        <color rgb="FFFCFCFF"/>
      </colorScale>
    </cfRule>
    <cfRule type="colorScale" priority="2327">
      <colorScale>
        <cfvo type="min"/>
        <cfvo type="max"/>
        <color rgb="FFFFEF9C"/>
        <color rgb="FF63BE7B"/>
      </colorScale>
    </cfRule>
  </conditionalFormatting>
  <conditionalFormatting sqref="S172:S188">
    <cfRule type="containsText" dxfId="885" priority="2319" operator="containsText" text="Short Buildup">
      <formula>NOT(ISERROR(SEARCH("Short Buildup",S172)))</formula>
    </cfRule>
    <cfRule type="containsText" dxfId="884" priority="2320" operator="containsText" text="Long Liquidation">
      <formula>NOT(ISERROR(SEARCH("Long Liquidation",S172)))</formula>
    </cfRule>
    <cfRule type="containsText" dxfId="883" priority="2321" operator="containsText" text="Short covering">
      <formula>NOT(ISERROR(SEARCH("Short covering",S172)))</formula>
    </cfRule>
    <cfRule type="containsText" dxfId="882" priority="2322" operator="containsText" text="Long Buildup">
      <formula>NOT(ISERROR(SEARCH("Long Buildup",S172)))</formula>
    </cfRule>
  </conditionalFormatting>
  <conditionalFormatting sqref="F172:F187">
    <cfRule type="dataBar" priority="2318">
      <dataBar>
        <cfvo type="min"/>
        <cfvo type="max"/>
        <color rgb="FFFF555A"/>
      </dataBar>
    </cfRule>
  </conditionalFormatting>
  <conditionalFormatting sqref="G172:G187">
    <cfRule type="dataBar" priority="2317">
      <dataBar>
        <cfvo type="min"/>
        <cfvo type="max"/>
        <color rgb="FFFF555A"/>
      </dataBar>
    </cfRule>
  </conditionalFormatting>
  <conditionalFormatting sqref="H172">
    <cfRule type="dataBar" priority="2316">
      <dataBar>
        <cfvo type="min"/>
        <cfvo type="max"/>
        <color rgb="FFFF555A"/>
      </dataBar>
    </cfRule>
  </conditionalFormatting>
  <conditionalFormatting sqref="I172">
    <cfRule type="dataBar" priority="2315">
      <dataBar>
        <cfvo type="min"/>
        <cfvo type="max"/>
        <color rgb="FFFF555A"/>
      </dataBar>
    </cfRule>
  </conditionalFormatting>
  <conditionalFormatting sqref="J172">
    <cfRule type="dataBar" priority="2314">
      <dataBar>
        <cfvo type="min"/>
        <cfvo type="max"/>
        <color rgb="FFFF555A"/>
      </dataBar>
    </cfRule>
  </conditionalFormatting>
  <conditionalFormatting sqref="E173:E187">
    <cfRule type="dataBar" priority="2313">
      <dataBar>
        <cfvo type="min"/>
        <cfvo type="max"/>
        <color rgb="FFFF555A"/>
      </dataBar>
    </cfRule>
  </conditionalFormatting>
  <conditionalFormatting sqref="H173:H187">
    <cfRule type="dataBar" priority="2312">
      <dataBar>
        <cfvo type="min"/>
        <cfvo type="max"/>
        <color rgb="FFFF555A"/>
      </dataBar>
    </cfRule>
  </conditionalFormatting>
  <conditionalFormatting sqref="I173:I187">
    <cfRule type="dataBar" priority="2311">
      <dataBar>
        <cfvo type="min"/>
        <cfvo type="max"/>
        <color rgb="FFFF555A"/>
      </dataBar>
    </cfRule>
  </conditionalFormatting>
  <conditionalFormatting sqref="J173:J187">
    <cfRule type="dataBar" priority="2310">
      <dataBar>
        <cfvo type="min"/>
        <cfvo type="max"/>
        <color rgb="FFFF555A"/>
      </dataBar>
    </cfRule>
  </conditionalFormatting>
  <conditionalFormatting sqref="L172:L187">
    <cfRule type="dataBar" priority="2309">
      <dataBar>
        <cfvo type="min"/>
        <cfvo type="max"/>
        <color rgb="FFFF555A"/>
      </dataBar>
    </cfRule>
  </conditionalFormatting>
  <conditionalFormatting sqref="M172:M187">
    <cfRule type="dataBar" priority="2308">
      <dataBar>
        <cfvo type="min"/>
        <cfvo type="max"/>
        <color rgb="FFFF555A"/>
      </dataBar>
    </cfRule>
  </conditionalFormatting>
  <conditionalFormatting sqref="N172:N187">
    <cfRule type="dataBar" priority="2307">
      <dataBar>
        <cfvo type="min"/>
        <cfvo type="max"/>
        <color rgb="FFFF555A"/>
      </dataBar>
    </cfRule>
  </conditionalFormatting>
  <conditionalFormatting sqref="Q172:Q187">
    <cfRule type="dataBar" priority="2306">
      <dataBar>
        <cfvo type="min"/>
        <cfvo type="max"/>
        <color rgb="FFFF555A"/>
      </dataBar>
    </cfRule>
  </conditionalFormatting>
  <conditionalFormatting sqref="O172:O187">
    <cfRule type="dataBar" priority="2305">
      <dataBar>
        <cfvo type="min"/>
        <cfvo type="max"/>
        <color rgb="FFFF555A"/>
      </dataBar>
    </cfRule>
  </conditionalFormatting>
  <conditionalFormatting sqref="P172:P187">
    <cfRule type="dataBar" priority="2304">
      <dataBar>
        <cfvo type="min"/>
        <cfvo type="max"/>
        <color rgb="FFFF555A"/>
      </dataBar>
    </cfRule>
  </conditionalFormatting>
  <conditionalFormatting sqref="R189:R205 D189:D204 C205">
    <cfRule type="containsText" dxfId="881" priority="2303" operator="containsText" text="DOWN">
      <formula>NOT(ISERROR(SEARCH("DOWN",C189)))</formula>
    </cfRule>
  </conditionalFormatting>
  <conditionalFormatting sqref="R189:R205 D189:D204 C205">
    <cfRule type="containsText" dxfId="880" priority="2302" operator="containsText" text="UP">
      <formula>NOT(ISERROR(SEARCH("UP",C189)))</formula>
    </cfRule>
  </conditionalFormatting>
  <conditionalFormatting sqref="I205">
    <cfRule type="colorScale" priority="2301">
      <colorScale>
        <cfvo type="min"/>
        <cfvo type="max"/>
        <color rgb="FFFFEF9C"/>
        <color rgb="FF63BE7B"/>
      </colorScale>
    </cfRule>
  </conditionalFormatting>
  <conditionalFormatting sqref="M205">
    <cfRule type="colorScale" priority="2300">
      <colorScale>
        <cfvo type="min"/>
        <cfvo type="max"/>
        <color rgb="FFFF7128"/>
        <color rgb="FFFFEF9C"/>
      </colorScale>
    </cfRule>
  </conditionalFormatting>
  <conditionalFormatting sqref="Q205">
    <cfRule type="dataBar" priority="2299">
      <dataBar>
        <cfvo type="min"/>
        <cfvo type="max"/>
        <color rgb="FFFF555A"/>
      </dataBar>
    </cfRule>
  </conditionalFormatting>
  <conditionalFormatting sqref="E189:E205">
    <cfRule type="dataBar" priority="2298">
      <dataBar>
        <cfvo type="min"/>
        <cfvo type="max"/>
        <color rgb="FFFF555A"/>
      </dataBar>
    </cfRule>
  </conditionalFormatting>
  <conditionalFormatting sqref="F205">
    <cfRule type="top10" dxfId="879" priority="2297" rank="1"/>
  </conditionalFormatting>
  <conditionalFormatting sqref="G205 P205">
    <cfRule type="cellIs" dxfId="878" priority="2296" operator="equal">
      <formula>$G$135</formula>
    </cfRule>
  </conditionalFormatting>
  <conditionalFormatting sqref="P205">
    <cfRule type="cellIs" dxfId="877" priority="2295" operator="equal">
      <formula>$J$135</formula>
    </cfRule>
  </conditionalFormatting>
  <conditionalFormatting sqref="G205 P205">
    <cfRule type="cellIs" dxfId="876" priority="2294" operator="equal">
      <formula>#REF!</formula>
    </cfRule>
  </conditionalFormatting>
  <conditionalFormatting sqref="G205">
    <cfRule type="top10" dxfId="875" priority="2292" rank="1"/>
    <cfRule type="cellIs" dxfId="874" priority="2293" operator="equal">
      <formula>$G$133</formula>
    </cfRule>
  </conditionalFormatting>
  <conditionalFormatting sqref="P205">
    <cfRule type="top10" dxfId="873" priority="2290" rank="1"/>
    <cfRule type="cellIs" dxfId="872" priority="2291" operator="equal">
      <formula>$G$133</formula>
    </cfRule>
  </conditionalFormatting>
  <conditionalFormatting sqref="C189:C204">
    <cfRule type="containsText" dxfId="871" priority="2286" operator="containsText" text="Short Buildup">
      <formula>NOT(ISERROR(SEARCH("Short Buildup",C189)))</formula>
    </cfRule>
    <cfRule type="containsText" dxfId="870" priority="2287" operator="containsText" text="Long Liquidation">
      <formula>NOT(ISERROR(SEARCH("Long Liquidation",C189)))</formula>
    </cfRule>
    <cfRule type="containsText" dxfId="869" priority="2288" operator="containsText" text="Short covering">
      <formula>NOT(ISERROR(SEARCH("Short covering",C189)))</formula>
    </cfRule>
    <cfRule type="containsText" dxfId="868" priority="2289" operator="containsText" text="Long Buildup">
      <formula>NOT(ISERROR(SEARCH("Long Buildup",C189)))</formula>
    </cfRule>
  </conditionalFormatting>
  <conditionalFormatting sqref="H205">
    <cfRule type="colorScale" priority="2281">
      <colorScale>
        <cfvo type="min"/>
        <cfvo type="percentile" val="20"/>
        <cfvo type="max"/>
        <color rgb="FF92D050"/>
        <color theme="5" tint="0.79998168889431442"/>
        <color rgb="FFFF0000"/>
      </colorScale>
    </cfRule>
    <cfRule type="colorScale" priority="2282">
      <colorScale>
        <cfvo type="min"/>
        <cfvo type="max"/>
        <color rgb="FFFF0000"/>
        <color rgb="FF92D050"/>
      </colorScale>
    </cfRule>
    <cfRule type="colorScale" priority="2283">
      <colorScale>
        <cfvo type="min"/>
        <cfvo type="percentile" val="50"/>
        <cfvo type="max"/>
        <color rgb="FF5A8AC6"/>
        <color rgb="FFFCFCFF"/>
        <color rgb="FFF8696B"/>
      </colorScale>
    </cfRule>
    <cfRule type="colorScale" priority="2284">
      <colorScale>
        <cfvo type="formula" val="&quot;&gt;20&quot;"/>
        <cfvo type="formula" val="35"/>
        <color rgb="FFF8696B"/>
        <color rgb="FFFCFCFF"/>
      </colorScale>
    </cfRule>
    <cfRule type="colorScale" priority="2285">
      <colorScale>
        <cfvo type="min"/>
        <cfvo type="max"/>
        <color rgb="FFFFEF9C"/>
        <color rgb="FF63BE7B"/>
      </colorScale>
    </cfRule>
  </conditionalFormatting>
  <conditionalFormatting sqref="N205">
    <cfRule type="colorScale" priority="2276">
      <colorScale>
        <cfvo type="min"/>
        <cfvo type="percentile" val="20"/>
        <cfvo type="max"/>
        <color rgb="FF92D050"/>
        <color theme="5" tint="0.79998168889431442"/>
        <color rgb="FFFF0000"/>
      </colorScale>
    </cfRule>
    <cfRule type="colorScale" priority="2277">
      <colorScale>
        <cfvo type="min"/>
        <cfvo type="max"/>
        <color rgb="FFFF0000"/>
        <color rgb="FF92D050"/>
      </colorScale>
    </cfRule>
    <cfRule type="colorScale" priority="2278">
      <colorScale>
        <cfvo type="min"/>
        <cfvo type="percentile" val="50"/>
        <cfvo type="max"/>
        <color rgb="FF5A8AC6"/>
        <color rgb="FFFCFCFF"/>
        <color rgb="FFF8696B"/>
      </colorScale>
    </cfRule>
    <cfRule type="colorScale" priority="2279">
      <colorScale>
        <cfvo type="formula" val="&quot;&gt;20&quot;"/>
        <cfvo type="formula" val="35"/>
        <color rgb="FFF8696B"/>
        <color rgb="FFFCFCFF"/>
      </colorScale>
    </cfRule>
    <cfRule type="colorScale" priority="2280">
      <colorScale>
        <cfvo type="min"/>
        <cfvo type="max"/>
        <color rgb="FFFFEF9C"/>
        <color rgb="FF63BE7B"/>
      </colorScale>
    </cfRule>
  </conditionalFormatting>
  <conditionalFormatting sqref="S189:S205">
    <cfRule type="containsText" dxfId="867" priority="2272" operator="containsText" text="Short Buildup">
      <formula>NOT(ISERROR(SEARCH("Short Buildup",S189)))</formula>
    </cfRule>
    <cfRule type="containsText" dxfId="866" priority="2273" operator="containsText" text="Long Liquidation">
      <formula>NOT(ISERROR(SEARCH("Long Liquidation",S189)))</formula>
    </cfRule>
    <cfRule type="containsText" dxfId="865" priority="2274" operator="containsText" text="Short covering">
      <formula>NOT(ISERROR(SEARCH("Short covering",S189)))</formula>
    </cfRule>
    <cfRule type="containsText" dxfId="864" priority="2275" operator="containsText" text="Long Buildup">
      <formula>NOT(ISERROR(SEARCH("Long Buildup",S189)))</formula>
    </cfRule>
  </conditionalFormatting>
  <conditionalFormatting sqref="F189:F204">
    <cfRule type="dataBar" priority="2271">
      <dataBar>
        <cfvo type="min"/>
        <cfvo type="max"/>
        <color rgb="FFFF555A"/>
      </dataBar>
    </cfRule>
  </conditionalFormatting>
  <conditionalFormatting sqref="G189:G204">
    <cfRule type="dataBar" priority="2270">
      <dataBar>
        <cfvo type="min"/>
        <cfvo type="max"/>
        <color rgb="FFFF555A"/>
      </dataBar>
    </cfRule>
  </conditionalFormatting>
  <conditionalFormatting sqref="H189">
    <cfRule type="dataBar" priority="2269">
      <dataBar>
        <cfvo type="min"/>
        <cfvo type="max"/>
        <color rgb="FFFF555A"/>
      </dataBar>
    </cfRule>
  </conditionalFormatting>
  <conditionalFormatting sqref="I189">
    <cfRule type="dataBar" priority="2268">
      <dataBar>
        <cfvo type="min"/>
        <cfvo type="max"/>
        <color rgb="FFFF555A"/>
      </dataBar>
    </cfRule>
  </conditionalFormatting>
  <conditionalFormatting sqref="J189">
    <cfRule type="dataBar" priority="2267">
      <dataBar>
        <cfvo type="min"/>
        <cfvo type="max"/>
        <color rgb="FFFF555A"/>
      </dataBar>
    </cfRule>
  </conditionalFormatting>
  <conditionalFormatting sqref="E190:E204">
    <cfRule type="dataBar" priority="2266">
      <dataBar>
        <cfvo type="min"/>
        <cfvo type="max"/>
        <color rgb="FFFF555A"/>
      </dataBar>
    </cfRule>
  </conditionalFormatting>
  <conditionalFormatting sqref="H190:H204">
    <cfRule type="dataBar" priority="2265">
      <dataBar>
        <cfvo type="min"/>
        <cfvo type="max"/>
        <color rgb="FFFF555A"/>
      </dataBar>
    </cfRule>
  </conditionalFormatting>
  <conditionalFormatting sqref="I190:I204">
    <cfRule type="dataBar" priority="2264">
      <dataBar>
        <cfvo type="min"/>
        <cfvo type="max"/>
        <color rgb="FFFF555A"/>
      </dataBar>
    </cfRule>
  </conditionalFormatting>
  <conditionalFormatting sqref="J190:J204">
    <cfRule type="dataBar" priority="2263">
      <dataBar>
        <cfvo type="min"/>
        <cfvo type="max"/>
        <color rgb="FFFF555A"/>
      </dataBar>
    </cfRule>
  </conditionalFormatting>
  <conditionalFormatting sqref="L189:L204">
    <cfRule type="dataBar" priority="2262">
      <dataBar>
        <cfvo type="min"/>
        <cfvo type="max"/>
        <color rgb="FFFF555A"/>
      </dataBar>
    </cfRule>
  </conditionalFormatting>
  <conditionalFormatting sqref="M189:M204">
    <cfRule type="dataBar" priority="2261">
      <dataBar>
        <cfvo type="min"/>
        <cfvo type="max"/>
        <color rgb="FFFF555A"/>
      </dataBar>
    </cfRule>
  </conditionalFormatting>
  <conditionalFormatting sqref="N189:N204">
    <cfRule type="dataBar" priority="2260">
      <dataBar>
        <cfvo type="min"/>
        <cfvo type="max"/>
        <color rgb="FFFF555A"/>
      </dataBar>
    </cfRule>
  </conditionalFormatting>
  <conditionalFormatting sqref="Q189:Q204">
    <cfRule type="dataBar" priority="2259">
      <dataBar>
        <cfvo type="min"/>
        <cfvo type="max"/>
        <color rgb="FFFF555A"/>
      </dataBar>
    </cfRule>
  </conditionalFormatting>
  <conditionalFormatting sqref="O189:O204">
    <cfRule type="dataBar" priority="2258">
      <dataBar>
        <cfvo type="min"/>
        <cfvo type="max"/>
        <color rgb="FFFF555A"/>
      </dataBar>
    </cfRule>
  </conditionalFormatting>
  <conditionalFormatting sqref="P189:P204">
    <cfRule type="dataBar" priority="2257">
      <dataBar>
        <cfvo type="min"/>
        <cfvo type="max"/>
        <color rgb="FFFF555A"/>
      </dataBar>
    </cfRule>
  </conditionalFormatting>
  <conditionalFormatting sqref="R206:R222 D206:D221 C222">
    <cfRule type="containsText" dxfId="863" priority="2256" operator="containsText" text="DOWN">
      <formula>NOT(ISERROR(SEARCH("DOWN",C206)))</formula>
    </cfRule>
  </conditionalFormatting>
  <conditionalFormatting sqref="R206:R222 D206:D221 C222">
    <cfRule type="containsText" dxfId="862" priority="2255" operator="containsText" text="UP">
      <formula>NOT(ISERROR(SEARCH("UP",C206)))</formula>
    </cfRule>
  </conditionalFormatting>
  <conditionalFormatting sqref="I222">
    <cfRule type="colorScale" priority="2254">
      <colorScale>
        <cfvo type="min"/>
        <cfvo type="max"/>
        <color rgb="FFFFEF9C"/>
        <color rgb="FF63BE7B"/>
      </colorScale>
    </cfRule>
  </conditionalFormatting>
  <conditionalFormatting sqref="M222">
    <cfRule type="colorScale" priority="2253">
      <colorScale>
        <cfvo type="min"/>
        <cfvo type="max"/>
        <color rgb="FFFF7128"/>
        <color rgb="FFFFEF9C"/>
      </colorScale>
    </cfRule>
  </conditionalFormatting>
  <conditionalFormatting sqref="Q222">
    <cfRule type="dataBar" priority="2252">
      <dataBar>
        <cfvo type="min"/>
        <cfvo type="max"/>
        <color rgb="FFFF555A"/>
      </dataBar>
    </cfRule>
  </conditionalFormatting>
  <conditionalFormatting sqref="E206:E222">
    <cfRule type="dataBar" priority="2251">
      <dataBar>
        <cfvo type="min"/>
        <cfvo type="max"/>
        <color rgb="FFFF555A"/>
      </dataBar>
    </cfRule>
  </conditionalFormatting>
  <conditionalFormatting sqref="F222">
    <cfRule type="top10" dxfId="861" priority="2250" rank="1"/>
  </conditionalFormatting>
  <conditionalFormatting sqref="G222 P222">
    <cfRule type="cellIs" dxfId="860" priority="2249" operator="equal">
      <formula>$G$135</formula>
    </cfRule>
  </conditionalFormatting>
  <conditionalFormatting sqref="P222">
    <cfRule type="cellIs" dxfId="859" priority="2248" operator="equal">
      <formula>$J$135</formula>
    </cfRule>
  </conditionalFormatting>
  <conditionalFormatting sqref="G222 P222">
    <cfRule type="cellIs" dxfId="858" priority="2247" operator="equal">
      <formula>#REF!</formula>
    </cfRule>
  </conditionalFormatting>
  <conditionalFormatting sqref="G222">
    <cfRule type="top10" dxfId="857" priority="2245" rank="1"/>
    <cfRule type="cellIs" dxfId="856" priority="2246" operator="equal">
      <formula>$G$133</formula>
    </cfRule>
  </conditionalFormatting>
  <conditionalFormatting sqref="P222">
    <cfRule type="top10" dxfId="855" priority="2243" rank="1"/>
    <cfRule type="cellIs" dxfId="854" priority="2244" operator="equal">
      <formula>$G$133</formula>
    </cfRule>
  </conditionalFormatting>
  <conditionalFormatting sqref="C206:C221">
    <cfRule type="containsText" dxfId="853" priority="2239" operator="containsText" text="Short Buildup">
      <formula>NOT(ISERROR(SEARCH("Short Buildup",C206)))</formula>
    </cfRule>
    <cfRule type="containsText" dxfId="852" priority="2240" operator="containsText" text="Long Liquidation">
      <formula>NOT(ISERROR(SEARCH("Long Liquidation",C206)))</formula>
    </cfRule>
    <cfRule type="containsText" dxfId="851" priority="2241" operator="containsText" text="Short covering">
      <formula>NOT(ISERROR(SEARCH("Short covering",C206)))</formula>
    </cfRule>
    <cfRule type="containsText" dxfId="850" priority="2242" operator="containsText" text="Long Buildup">
      <formula>NOT(ISERROR(SEARCH("Long Buildup",C206)))</formula>
    </cfRule>
  </conditionalFormatting>
  <conditionalFormatting sqref="H222">
    <cfRule type="colorScale" priority="2234">
      <colorScale>
        <cfvo type="min"/>
        <cfvo type="percentile" val="20"/>
        <cfvo type="max"/>
        <color rgb="FF92D050"/>
        <color theme="5" tint="0.79998168889431442"/>
        <color rgb="FFFF0000"/>
      </colorScale>
    </cfRule>
    <cfRule type="colorScale" priority="2235">
      <colorScale>
        <cfvo type="min"/>
        <cfvo type="max"/>
        <color rgb="FFFF0000"/>
        <color rgb="FF92D050"/>
      </colorScale>
    </cfRule>
    <cfRule type="colorScale" priority="2236">
      <colorScale>
        <cfvo type="min"/>
        <cfvo type="percentile" val="50"/>
        <cfvo type="max"/>
        <color rgb="FF5A8AC6"/>
        <color rgb="FFFCFCFF"/>
        <color rgb="FFF8696B"/>
      </colorScale>
    </cfRule>
    <cfRule type="colorScale" priority="2237">
      <colorScale>
        <cfvo type="formula" val="&quot;&gt;20&quot;"/>
        <cfvo type="formula" val="35"/>
        <color rgb="FFF8696B"/>
        <color rgb="FFFCFCFF"/>
      </colorScale>
    </cfRule>
    <cfRule type="colorScale" priority="2238">
      <colorScale>
        <cfvo type="min"/>
        <cfvo type="max"/>
        <color rgb="FFFFEF9C"/>
        <color rgb="FF63BE7B"/>
      </colorScale>
    </cfRule>
  </conditionalFormatting>
  <conditionalFormatting sqref="N222">
    <cfRule type="colorScale" priority="2229">
      <colorScale>
        <cfvo type="min"/>
        <cfvo type="percentile" val="20"/>
        <cfvo type="max"/>
        <color rgb="FF92D050"/>
        <color theme="5" tint="0.79998168889431442"/>
        <color rgb="FFFF0000"/>
      </colorScale>
    </cfRule>
    <cfRule type="colorScale" priority="2230">
      <colorScale>
        <cfvo type="min"/>
        <cfvo type="max"/>
        <color rgb="FFFF0000"/>
        <color rgb="FF92D050"/>
      </colorScale>
    </cfRule>
    <cfRule type="colorScale" priority="2231">
      <colorScale>
        <cfvo type="min"/>
        <cfvo type="percentile" val="50"/>
        <cfvo type="max"/>
        <color rgb="FF5A8AC6"/>
        <color rgb="FFFCFCFF"/>
        <color rgb="FFF8696B"/>
      </colorScale>
    </cfRule>
    <cfRule type="colorScale" priority="2232">
      <colorScale>
        <cfvo type="formula" val="&quot;&gt;20&quot;"/>
        <cfvo type="formula" val="35"/>
        <color rgb="FFF8696B"/>
        <color rgb="FFFCFCFF"/>
      </colorScale>
    </cfRule>
    <cfRule type="colorScale" priority="2233">
      <colorScale>
        <cfvo type="min"/>
        <cfvo type="max"/>
        <color rgb="FFFFEF9C"/>
        <color rgb="FF63BE7B"/>
      </colorScale>
    </cfRule>
  </conditionalFormatting>
  <conditionalFormatting sqref="S206:S222">
    <cfRule type="containsText" dxfId="849" priority="2225" operator="containsText" text="Short Buildup">
      <formula>NOT(ISERROR(SEARCH("Short Buildup",S206)))</formula>
    </cfRule>
    <cfRule type="containsText" dxfId="848" priority="2226" operator="containsText" text="Long Liquidation">
      <formula>NOT(ISERROR(SEARCH("Long Liquidation",S206)))</formula>
    </cfRule>
    <cfRule type="containsText" dxfId="847" priority="2227" operator="containsText" text="Short covering">
      <formula>NOT(ISERROR(SEARCH("Short covering",S206)))</formula>
    </cfRule>
    <cfRule type="containsText" dxfId="846" priority="2228" operator="containsText" text="Long Buildup">
      <formula>NOT(ISERROR(SEARCH("Long Buildup",S206)))</formula>
    </cfRule>
  </conditionalFormatting>
  <conditionalFormatting sqref="F206:F221">
    <cfRule type="dataBar" priority="2224">
      <dataBar>
        <cfvo type="min"/>
        <cfvo type="max"/>
        <color rgb="FFFF555A"/>
      </dataBar>
    </cfRule>
  </conditionalFormatting>
  <conditionalFormatting sqref="G206:G221">
    <cfRule type="dataBar" priority="2223">
      <dataBar>
        <cfvo type="min"/>
        <cfvo type="max"/>
        <color rgb="FFFF555A"/>
      </dataBar>
    </cfRule>
  </conditionalFormatting>
  <conditionalFormatting sqref="H206">
    <cfRule type="dataBar" priority="2222">
      <dataBar>
        <cfvo type="min"/>
        <cfvo type="max"/>
        <color rgb="FFFF555A"/>
      </dataBar>
    </cfRule>
  </conditionalFormatting>
  <conditionalFormatting sqref="I206">
    <cfRule type="dataBar" priority="2221">
      <dataBar>
        <cfvo type="min"/>
        <cfvo type="max"/>
        <color rgb="FFFF555A"/>
      </dataBar>
    </cfRule>
  </conditionalFormatting>
  <conditionalFormatting sqref="J206">
    <cfRule type="dataBar" priority="2220">
      <dataBar>
        <cfvo type="min"/>
        <cfvo type="max"/>
        <color rgb="FFFF555A"/>
      </dataBar>
    </cfRule>
  </conditionalFormatting>
  <conditionalFormatting sqref="E207:E221">
    <cfRule type="dataBar" priority="2219">
      <dataBar>
        <cfvo type="min"/>
        <cfvo type="max"/>
        <color rgb="FFFF555A"/>
      </dataBar>
    </cfRule>
  </conditionalFormatting>
  <conditionalFormatting sqref="H207:H221">
    <cfRule type="dataBar" priority="2218">
      <dataBar>
        <cfvo type="min"/>
        <cfvo type="max"/>
        <color rgb="FFFF555A"/>
      </dataBar>
    </cfRule>
  </conditionalFormatting>
  <conditionalFormatting sqref="I207:I221">
    <cfRule type="dataBar" priority="2217">
      <dataBar>
        <cfvo type="min"/>
        <cfvo type="max"/>
        <color rgb="FFFF555A"/>
      </dataBar>
    </cfRule>
  </conditionalFormatting>
  <conditionalFormatting sqref="J207:J221">
    <cfRule type="dataBar" priority="2216">
      <dataBar>
        <cfvo type="min"/>
        <cfvo type="max"/>
        <color rgb="FFFF555A"/>
      </dataBar>
    </cfRule>
  </conditionalFormatting>
  <conditionalFormatting sqref="L206:L221">
    <cfRule type="dataBar" priority="2215">
      <dataBar>
        <cfvo type="min"/>
        <cfvo type="max"/>
        <color rgb="FFFF555A"/>
      </dataBar>
    </cfRule>
  </conditionalFormatting>
  <conditionalFormatting sqref="M206:M221">
    <cfRule type="dataBar" priority="2214">
      <dataBar>
        <cfvo type="min"/>
        <cfvo type="max"/>
        <color rgb="FFFF555A"/>
      </dataBar>
    </cfRule>
  </conditionalFormatting>
  <conditionalFormatting sqref="N206:N221">
    <cfRule type="dataBar" priority="2213">
      <dataBar>
        <cfvo type="min"/>
        <cfvo type="max"/>
        <color rgb="FFFF555A"/>
      </dataBar>
    </cfRule>
  </conditionalFormatting>
  <conditionalFormatting sqref="Q206:Q221">
    <cfRule type="dataBar" priority="2212">
      <dataBar>
        <cfvo type="min"/>
        <cfvo type="max"/>
        <color rgb="FFFF555A"/>
      </dataBar>
    </cfRule>
  </conditionalFormatting>
  <conditionalFormatting sqref="O206:O221">
    <cfRule type="dataBar" priority="2211">
      <dataBar>
        <cfvo type="min"/>
        <cfvo type="max"/>
        <color rgb="FFFF555A"/>
      </dataBar>
    </cfRule>
  </conditionalFormatting>
  <conditionalFormatting sqref="P206:P221">
    <cfRule type="dataBar" priority="2210">
      <dataBar>
        <cfvo type="min"/>
        <cfvo type="max"/>
        <color rgb="FFFF555A"/>
      </dataBar>
    </cfRule>
  </conditionalFormatting>
  <conditionalFormatting sqref="R223:R239 D223:D238 C239">
    <cfRule type="containsText" dxfId="845" priority="2209" operator="containsText" text="DOWN">
      <formula>NOT(ISERROR(SEARCH("DOWN",C223)))</formula>
    </cfRule>
  </conditionalFormatting>
  <conditionalFormatting sqref="R223:R239 D223:D238 C239">
    <cfRule type="containsText" dxfId="844" priority="2208" operator="containsText" text="UP">
      <formula>NOT(ISERROR(SEARCH("UP",C223)))</formula>
    </cfRule>
  </conditionalFormatting>
  <conditionalFormatting sqref="I239">
    <cfRule type="colorScale" priority="2207">
      <colorScale>
        <cfvo type="min"/>
        <cfvo type="max"/>
        <color rgb="FFFFEF9C"/>
        <color rgb="FF63BE7B"/>
      </colorScale>
    </cfRule>
  </conditionalFormatting>
  <conditionalFormatting sqref="M239">
    <cfRule type="colorScale" priority="2206">
      <colorScale>
        <cfvo type="min"/>
        <cfvo type="max"/>
        <color rgb="FFFF7128"/>
        <color rgb="FFFFEF9C"/>
      </colorScale>
    </cfRule>
  </conditionalFormatting>
  <conditionalFormatting sqref="Q239">
    <cfRule type="dataBar" priority="2205">
      <dataBar>
        <cfvo type="min"/>
        <cfvo type="max"/>
        <color rgb="FFFF555A"/>
      </dataBar>
    </cfRule>
  </conditionalFormatting>
  <conditionalFormatting sqref="E223:E239">
    <cfRule type="dataBar" priority="2204">
      <dataBar>
        <cfvo type="min"/>
        <cfvo type="max"/>
        <color rgb="FFFF555A"/>
      </dataBar>
    </cfRule>
  </conditionalFormatting>
  <conditionalFormatting sqref="F239">
    <cfRule type="top10" dxfId="843" priority="2203" rank="1"/>
  </conditionalFormatting>
  <conditionalFormatting sqref="G239 P239">
    <cfRule type="cellIs" dxfId="842" priority="2202" operator="equal">
      <formula>$G$135</formula>
    </cfRule>
  </conditionalFormatting>
  <conditionalFormatting sqref="P239">
    <cfRule type="cellIs" dxfId="841" priority="2201" operator="equal">
      <formula>$J$135</formula>
    </cfRule>
  </conditionalFormatting>
  <conditionalFormatting sqref="G239 P239">
    <cfRule type="cellIs" dxfId="840" priority="2200" operator="equal">
      <formula>#REF!</formula>
    </cfRule>
  </conditionalFormatting>
  <conditionalFormatting sqref="G239">
    <cfRule type="top10" dxfId="839" priority="2198" rank="1"/>
    <cfRule type="cellIs" dxfId="838" priority="2199" operator="equal">
      <formula>$G$133</formula>
    </cfRule>
  </conditionalFormatting>
  <conditionalFormatting sqref="P239">
    <cfRule type="top10" dxfId="837" priority="2196" rank="1"/>
    <cfRule type="cellIs" dxfId="836" priority="2197" operator="equal">
      <formula>$G$133</formula>
    </cfRule>
  </conditionalFormatting>
  <conditionalFormatting sqref="C223:C238">
    <cfRule type="containsText" dxfId="835" priority="2192" operator="containsText" text="Short Buildup">
      <formula>NOT(ISERROR(SEARCH("Short Buildup",C223)))</formula>
    </cfRule>
    <cfRule type="containsText" dxfId="834" priority="2193" operator="containsText" text="Long Liquidation">
      <formula>NOT(ISERROR(SEARCH("Long Liquidation",C223)))</formula>
    </cfRule>
    <cfRule type="containsText" dxfId="833" priority="2194" operator="containsText" text="Short covering">
      <formula>NOT(ISERROR(SEARCH("Short covering",C223)))</formula>
    </cfRule>
    <cfRule type="containsText" dxfId="832" priority="2195" operator="containsText" text="Long Buildup">
      <formula>NOT(ISERROR(SEARCH("Long Buildup",C223)))</formula>
    </cfRule>
  </conditionalFormatting>
  <conditionalFormatting sqref="H239">
    <cfRule type="colorScale" priority="2187">
      <colorScale>
        <cfvo type="min"/>
        <cfvo type="percentile" val="20"/>
        <cfvo type="max"/>
        <color rgb="FF92D050"/>
        <color theme="5" tint="0.79998168889431442"/>
        <color rgb="FFFF0000"/>
      </colorScale>
    </cfRule>
    <cfRule type="colorScale" priority="2188">
      <colorScale>
        <cfvo type="min"/>
        <cfvo type="max"/>
        <color rgb="FFFF0000"/>
        <color rgb="FF92D050"/>
      </colorScale>
    </cfRule>
    <cfRule type="colorScale" priority="2189">
      <colorScale>
        <cfvo type="min"/>
        <cfvo type="percentile" val="50"/>
        <cfvo type="max"/>
        <color rgb="FF5A8AC6"/>
        <color rgb="FFFCFCFF"/>
        <color rgb="FFF8696B"/>
      </colorScale>
    </cfRule>
    <cfRule type="colorScale" priority="2190">
      <colorScale>
        <cfvo type="formula" val="&quot;&gt;20&quot;"/>
        <cfvo type="formula" val="35"/>
        <color rgb="FFF8696B"/>
        <color rgb="FFFCFCFF"/>
      </colorScale>
    </cfRule>
    <cfRule type="colorScale" priority="2191">
      <colorScale>
        <cfvo type="min"/>
        <cfvo type="max"/>
        <color rgb="FFFFEF9C"/>
        <color rgb="FF63BE7B"/>
      </colorScale>
    </cfRule>
  </conditionalFormatting>
  <conditionalFormatting sqref="N239">
    <cfRule type="colorScale" priority="2182">
      <colorScale>
        <cfvo type="min"/>
        <cfvo type="percentile" val="20"/>
        <cfvo type="max"/>
        <color rgb="FF92D050"/>
        <color theme="5" tint="0.79998168889431442"/>
        <color rgb="FFFF0000"/>
      </colorScale>
    </cfRule>
    <cfRule type="colorScale" priority="2183">
      <colorScale>
        <cfvo type="min"/>
        <cfvo type="max"/>
        <color rgb="FFFF0000"/>
        <color rgb="FF92D050"/>
      </colorScale>
    </cfRule>
    <cfRule type="colorScale" priority="2184">
      <colorScale>
        <cfvo type="min"/>
        <cfvo type="percentile" val="50"/>
        <cfvo type="max"/>
        <color rgb="FF5A8AC6"/>
        <color rgb="FFFCFCFF"/>
        <color rgb="FFF8696B"/>
      </colorScale>
    </cfRule>
    <cfRule type="colorScale" priority="2185">
      <colorScale>
        <cfvo type="formula" val="&quot;&gt;20&quot;"/>
        <cfvo type="formula" val="35"/>
        <color rgb="FFF8696B"/>
        <color rgb="FFFCFCFF"/>
      </colorScale>
    </cfRule>
    <cfRule type="colorScale" priority="2186">
      <colorScale>
        <cfvo type="min"/>
        <cfvo type="max"/>
        <color rgb="FFFFEF9C"/>
        <color rgb="FF63BE7B"/>
      </colorScale>
    </cfRule>
  </conditionalFormatting>
  <conditionalFormatting sqref="S223:S239">
    <cfRule type="containsText" dxfId="831" priority="2178" operator="containsText" text="Short Buildup">
      <formula>NOT(ISERROR(SEARCH("Short Buildup",S223)))</formula>
    </cfRule>
    <cfRule type="containsText" dxfId="830" priority="2179" operator="containsText" text="Long Liquidation">
      <formula>NOT(ISERROR(SEARCH("Long Liquidation",S223)))</formula>
    </cfRule>
    <cfRule type="containsText" dxfId="829" priority="2180" operator="containsText" text="Short covering">
      <formula>NOT(ISERROR(SEARCH("Short covering",S223)))</formula>
    </cfRule>
    <cfRule type="containsText" dxfId="828" priority="2181" operator="containsText" text="Long Buildup">
      <formula>NOT(ISERROR(SEARCH("Long Buildup",S223)))</formula>
    </cfRule>
  </conditionalFormatting>
  <conditionalFormatting sqref="F223:F238">
    <cfRule type="dataBar" priority="2177">
      <dataBar>
        <cfvo type="min"/>
        <cfvo type="max"/>
        <color rgb="FFFF555A"/>
      </dataBar>
    </cfRule>
  </conditionalFormatting>
  <conditionalFormatting sqref="G223:G238">
    <cfRule type="dataBar" priority="2176">
      <dataBar>
        <cfvo type="min"/>
        <cfvo type="max"/>
        <color rgb="FFFF555A"/>
      </dataBar>
    </cfRule>
  </conditionalFormatting>
  <conditionalFormatting sqref="H223">
    <cfRule type="dataBar" priority="2175">
      <dataBar>
        <cfvo type="min"/>
        <cfvo type="max"/>
        <color rgb="FFFF555A"/>
      </dataBar>
    </cfRule>
  </conditionalFormatting>
  <conditionalFormatting sqref="I223">
    <cfRule type="dataBar" priority="2174">
      <dataBar>
        <cfvo type="min"/>
        <cfvo type="max"/>
        <color rgb="FFFF555A"/>
      </dataBar>
    </cfRule>
  </conditionalFormatting>
  <conditionalFormatting sqref="J223">
    <cfRule type="dataBar" priority="2173">
      <dataBar>
        <cfvo type="min"/>
        <cfvo type="max"/>
        <color rgb="FFFF555A"/>
      </dataBar>
    </cfRule>
  </conditionalFormatting>
  <conditionalFormatting sqref="E224:E238">
    <cfRule type="dataBar" priority="2172">
      <dataBar>
        <cfvo type="min"/>
        <cfvo type="max"/>
        <color rgb="FFFF555A"/>
      </dataBar>
    </cfRule>
  </conditionalFormatting>
  <conditionalFormatting sqref="H224:H238">
    <cfRule type="dataBar" priority="2171">
      <dataBar>
        <cfvo type="min"/>
        <cfvo type="max"/>
        <color rgb="FFFF555A"/>
      </dataBar>
    </cfRule>
  </conditionalFormatting>
  <conditionalFormatting sqref="I224:I238">
    <cfRule type="dataBar" priority="2170">
      <dataBar>
        <cfvo type="min"/>
        <cfvo type="max"/>
        <color rgb="FFFF555A"/>
      </dataBar>
    </cfRule>
  </conditionalFormatting>
  <conditionalFormatting sqref="J224:J238">
    <cfRule type="dataBar" priority="2169">
      <dataBar>
        <cfvo type="min"/>
        <cfvo type="max"/>
        <color rgb="FFFF555A"/>
      </dataBar>
    </cfRule>
  </conditionalFormatting>
  <conditionalFormatting sqref="L223:L238">
    <cfRule type="dataBar" priority="2168">
      <dataBar>
        <cfvo type="min"/>
        <cfvo type="max"/>
        <color rgb="FFFF555A"/>
      </dataBar>
    </cfRule>
  </conditionalFormatting>
  <conditionalFormatting sqref="M223:M238">
    <cfRule type="dataBar" priority="2167">
      <dataBar>
        <cfvo type="min"/>
        <cfvo type="max"/>
        <color rgb="FFFF555A"/>
      </dataBar>
    </cfRule>
  </conditionalFormatting>
  <conditionalFormatting sqref="N223:N238">
    <cfRule type="dataBar" priority="2166">
      <dataBar>
        <cfvo type="min"/>
        <cfvo type="max"/>
        <color rgb="FFFF555A"/>
      </dataBar>
    </cfRule>
  </conditionalFormatting>
  <conditionalFormatting sqref="Q223:Q238">
    <cfRule type="dataBar" priority="2165">
      <dataBar>
        <cfvo type="min"/>
        <cfvo type="max"/>
        <color rgb="FFFF555A"/>
      </dataBar>
    </cfRule>
  </conditionalFormatting>
  <conditionalFormatting sqref="O223:O238">
    <cfRule type="dataBar" priority="2164">
      <dataBar>
        <cfvo type="min"/>
        <cfvo type="max"/>
        <color rgb="FFFF555A"/>
      </dataBar>
    </cfRule>
  </conditionalFormatting>
  <conditionalFormatting sqref="P223:P238">
    <cfRule type="dataBar" priority="2163">
      <dataBar>
        <cfvo type="min"/>
        <cfvo type="max"/>
        <color rgb="FFFF555A"/>
      </dataBar>
    </cfRule>
  </conditionalFormatting>
  <conditionalFormatting sqref="R240:R256 D240:D255 C256">
    <cfRule type="containsText" dxfId="827" priority="2162" operator="containsText" text="DOWN">
      <formula>NOT(ISERROR(SEARCH("DOWN",C240)))</formula>
    </cfRule>
  </conditionalFormatting>
  <conditionalFormatting sqref="R240:R256 D240:D255 C256">
    <cfRule type="containsText" dxfId="826" priority="2161" operator="containsText" text="UP">
      <formula>NOT(ISERROR(SEARCH("UP",C240)))</formula>
    </cfRule>
  </conditionalFormatting>
  <conditionalFormatting sqref="I256">
    <cfRule type="colorScale" priority="2160">
      <colorScale>
        <cfvo type="min"/>
        <cfvo type="max"/>
        <color rgb="FFFFEF9C"/>
        <color rgb="FF63BE7B"/>
      </colorScale>
    </cfRule>
  </conditionalFormatting>
  <conditionalFormatting sqref="M256">
    <cfRule type="colorScale" priority="2159">
      <colorScale>
        <cfvo type="min"/>
        <cfvo type="max"/>
        <color rgb="FFFF7128"/>
        <color rgb="FFFFEF9C"/>
      </colorScale>
    </cfRule>
  </conditionalFormatting>
  <conditionalFormatting sqref="Q256">
    <cfRule type="dataBar" priority="2158">
      <dataBar>
        <cfvo type="min"/>
        <cfvo type="max"/>
        <color rgb="FFFF555A"/>
      </dataBar>
    </cfRule>
  </conditionalFormatting>
  <conditionalFormatting sqref="E240:E256">
    <cfRule type="dataBar" priority="2157">
      <dataBar>
        <cfvo type="min"/>
        <cfvo type="max"/>
        <color rgb="FFFF555A"/>
      </dataBar>
    </cfRule>
  </conditionalFormatting>
  <conditionalFormatting sqref="F256">
    <cfRule type="top10" dxfId="825" priority="2156" rank="1"/>
  </conditionalFormatting>
  <conditionalFormatting sqref="G256 P256">
    <cfRule type="cellIs" dxfId="824" priority="2155" operator="equal">
      <formula>$G$135</formula>
    </cfRule>
  </conditionalFormatting>
  <conditionalFormatting sqref="P256">
    <cfRule type="cellIs" dxfId="823" priority="2154" operator="equal">
      <formula>$J$135</formula>
    </cfRule>
  </conditionalFormatting>
  <conditionalFormatting sqref="G256 P256">
    <cfRule type="cellIs" dxfId="822" priority="2153" operator="equal">
      <formula>#REF!</formula>
    </cfRule>
  </conditionalFormatting>
  <conditionalFormatting sqref="G256">
    <cfRule type="top10" dxfId="821" priority="2151" rank="1"/>
    <cfRule type="cellIs" dxfId="820" priority="2152" operator="equal">
      <formula>$G$133</formula>
    </cfRule>
  </conditionalFormatting>
  <conditionalFormatting sqref="P256">
    <cfRule type="top10" dxfId="819" priority="2149" rank="1"/>
    <cfRule type="cellIs" dxfId="818" priority="2150" operator="equal">
      <formula>$G$133</formula>
    </cfRule>
  </conditionalFormatting>
  <conditionalFormatting sqref="C240:C255">
    <cfRule type="containsText" dxfId="817" priority="2145" operator="containsText" text="Short Buildup">
      <formula>NOT(ISERROR(SEARCH("Short Buildup",C240)))</formula>
    </cfRule>
    <cfRule type="containsText" dxfId="816" priority="2146" operator="containsText" text="Long Liquidation">
      <formula>NOT(ISERROR(SEARCH("Long Liquidation",C240)))</formula>
    </cfRule>
    <cfRule type="containsText" dxfId="815" priority="2147" operator="containsText" text="Short covering">
      <formula>NOT(ISERROR(SEARCH("Short covering",C240)))</formula>
    </cfRule>
    <cfRule type="containsText" dxfId="814" priority="2148" operator="containsText" text="Long Buildup">
      <formula>NOT(ISERROR(SEARCH("Long Buildup",C240)))</formula>
    </cfRule>
  </conditionalFormatting>
  <conditionalFormatting sqref="H256">
    <cfRule type="colorScale" priority="2140">
      <colorScale>
        <cfvo type="min"/>
        <cfvo type="percentile" val="20"/>
        <cfvo type="max"/>
        <color rgb="FF92D050"/>
        <color theme="5" tint="0.79998168889431442"/>
        <color rgb="FFFF0000"/>
      </colorScale>
    </cfRule>
    <cfRule type="colorScale" priority="2141">
      <colorScale>
        <cfvo type="min"/>
        <cfvo type="max"/>
        <color rgb="FFFF0000"/>
        <color rgb="FF92D050"/>
      </colorScale>
    </cfRule>
    <cfRule type="colorScale" priority="2142">
      <colorScale>
        <cfvo type="min"/>
        <cfvo type="percentile" val="50"/>
        <cfvo type="max"/>
        <color rgb="FF5A8AC6"/>
        <color rgb="FFFCFCFF"/>
        <color rgb="FFF8696B"/>
      </colorScale>
    </cfRule>
    <cfRule type="colorScale" priority="2143">
      <colorScale>
        <cfvo type="formula" val="&quot;&gt;20&quot;"/>
        <cfvo type="formula" val="35"/>
        <color rgb="FFF8696B"/>
        <color rgb="FFFCFCFF"/>
      </colorScale>
    </cfRule>
    <cfRule type="colorScale" priority="2144">
      <colorScale>
        <cfvo type="min"/>
        <cfvo type="max"/>
        <color rgb="FFFFEF9C"/>
        <color rgb="FF63BE7B"/>
      </colorScale>
    </cfRule>
  </conditionalFormatting>
  <conditionalFormatting sqref="N256">
    <cfRule type="colorScale" priority="2135">
      <colorScale>
        <cfvo type="min"/>
        <cfvo type="percentile" val="20"/>
        <cfvo type="max"/>
        <color rgb="FF92D050"/>
        <color theme="5" tint="0.79998168889431442"/>
        <color rgb="FFFF0000"/>
      </colorScale>
    </cfRule>
    <cfRule type="colorScale" priority="2136">
      <colorScale>
        <cfvo type="min"/>
        <cfvo type="max"/>
        <color rgb="FFFF0000"/>
        <color rgb="FF92D050"/>
      </colorScale>
    </cfRule>
    <cfRule type="colorScale" priority="2137">
      <colorScale>
        <cfvo type="min"/>
        <cfvo type="percentile" val="50"/>
        <cfvo type="max"/>
        <color rgb="FF5A8AC6"/>
        <color rgb="FFFCFCFF"/>
        <color rgb="FFF8696B"/>
      </colorScale>
    </cfRule>
    <cfRule type="colorScale" priority="2138">
      <colorScale>
        <cfvo type="formula" val="&quot;&gt;20&quot;"/>
        <cfvo type="formula" val="35"/>
        <color rgb="FFF8696B"/>
        <color rgb="FFFCFCFF"/>
      </colorScale>
    </cfRule>
    <cfRule type="colorScale" priority="2139">
      <colorScale>
        <cfvo type="min"/>
        <cfvo type="max"/>
        <color rgb="FFFFEF9C"/>
        <color rgb="FF63BE7B"/>
      </colorScale>
    </cfRule>
  </conditionalFormatting>
  <conditionalFormatting sqref="S240:S256">
    <cfRule type="containsText" dxfId="813" priority="2131" operator="containsText" text="Short Buildup">
      <formula>NOT(ISERROR(SEARCH("Short Buildup",S240)))</formula>
    </cfRule>
    <cfRule type="containsText" dxfId="812" priority="2132" operator="containsText" text="Long Liquidation">
      <formula>NOT(ISERROR(SEARCH("Long Liquidation",S240)))</formula>
    </cfRule>
    <cfRule type="containsText" dxfId="811" priority="2133" operator="containsText" text="Short covering">
      <formula>NOT(ISERROR(SEARCH("Short covering",S240)))</formula>
    </cfRule>
    <cfRule type="containsText" dxfId="810" priority="2134" operator="containsText" text="Long Buildup">
      <formula>NOT(ISERROR(SEARCH("Long Buildup",S240)))</formula>
    </cfRule>
  </conditionalFormatting>
  <conditionalFormatting sqref="F240:F255">
    <cfRule type="dataBar" priority="2130">
      <dataBar>
        <cfvo type="min"/>
        <cfvo type="max"/>
        <color rgb="FFFF555A"/>
      </dataBar>
    </cfRule>
  </conditionalFormatting>
  <conditionalFormatting sqref="G240:G255">
    <cfRule type="dataBar" priority="2129">
      <dataBar>
        <cfvo type="min"/>
        <cfvo type="max"/>
        <color rgb="FFFF555A"/>
      </dataBar>
    </cfRule>
  </conditionalFormatting>
  <conditionalFormatting sqref="H240">
    <cfRule type="dataBar" priority="2128">
      <dataBar>
        <cfvo type="min"/>
        <cfvo type="max"/>
        <color rgb="FFFF555A"/>
      </dataBar>
    </cfRule>
  </conditionalFormatting>
  <conditionalFormatting sqref="I240">
    <cfRule type="dataBar" priority="2127">
      <dataBar>
        <cfvo type="min"/>
        <cfvo type="max"/>
        <color rgb="FFFF555A"/>
      </dataBar>
    </cfRule>
  </conditionalFormatting>
  <conditionalFormatting sqref="J240">
    <cfRule type="dataBar" priority="2126">
      <dataBar>
        <cfvo type="min"/>
        <cfvo type="max"/>
        <color rgb="FFFF555A"/>
      </dataBar>
    </cfRule>
  </conditionalFormatting>
  <conditionalFormatting sqref="E241:E255">
    <cfRule type="dataBar" priority="2125">
      <dataBar>
        <cfvo type="min"/>
        <cfvo type="max"/>
        <color rgb="FFFF555A"/>
      </dataBar>
    </cfRule>
  </conditionalFormatting>
  <conditionalFormatting sqref="H241:H255">
    <cfRule type="dataBar" priority="2124">
      <dataBar>
        <cfvo type="min"/>
        <cfvo type="max"/>
        <color rgb="FFFF555A"/>
      </dataBar>
    </cfRule>
  </conditionalFormatting>
  <conditionalFormatting sqref="I241:I255">
    <cfRule type="dataBar" priority="2123">
      <dataBar>
        <cfvo type="min"/>
        <cfvo type="max"/>
        <color rgb="FFFF555A"/>
      </dataBar>
    </cfRule>
  </conditionalFormatting>
  <conditionalFormatting sqref="J241:J255">
    <cfRule type="dataBar" priority="2122">
      <dataBar>
        <cfvo type="min"/>
        <cfvo type="max"/>
        <color rgb="FFFF555A"/>
      </dataBar>
    </cfRule>
  </conditionalFormatting>
  <conditionalFormatting sqref="L240:L255">
    <cfRule type="dataBar" priority="2121">
      <dataBar>
        <cfvo type="min"/>
        <cfvo type="max"/>
        <color rgb="FFFF555A"/>
      </dataBar>
    </cfRule>
  </conditionalFormatting>
  <conditionalFormatting sqref="M240:M255">
    <cfRule type="dataBar" priority="2120">
      <dataBar>
        <cfvo type="min"/>
        <cfvo type="max"/>
        <color rgb="FFFF555A"/>
      </dataBar>
    </cfRule>
  </conditionalFormatting>
  <conditionalFormatting sqref="N240:N255">
    <cfRule type="dataBar" priority="2119">
      <dataBar>
        <cfvo type="min"/>
        <cfvo type="max"/>
        <color rgb="FFFF555A"/>
      </dataBar>
    </cfRule>
  </conditionalFormatting>
  <conditionalFormatting sqref="Q240:Q255">
    <cfRule type="dataBar" priority="2118">
      <dataBar>
        <cfvo type="min"/>
        <cfvo type="max"/>
        <color rgb="FFFF555A"/>
      </dataBar>
    </cfRule>
  </conditionalFormatting>
  <conditionalFormatting sqref="O240:O255">
    <cfRule type="dataBar" priority="2117">
      <dataBar>
        <cfvo type="min"/>
        <cfvo type="max"/>
        <color rgb="FFFF555A"/>
      </dataBar>
    </cfRule>
  </conditionalFormatting>
  <conditionalFormatting sqref="P240:P255">
    <cfRule type="dataBar" priority="2116">
      <dataBar>
        <cfvo type="min"/>
        <cfvo type="max"/>
        <color rgb="FFFF555A"/>
      </dataBar>
    </cfRule>
  </conditionalFormatting>
  <conditionalFormatting sqref="R257:R273 D257:D272 C273">
    <cfRule type="containsText" dxfId="809" priority="2115" operator="containsText" text="DOWN">
      <formula>NOT(ISERROR(SEARCH("DOWN",C257)))</formula>
    </cfRule>
  </conditionalFormatting>
  <conditionalFormatting sqref="R257:R273 D257:D272 C273">
    <cfRule type="containsText" dxfId="808" priority="2114" operator="containsText" text="UP">
      <formula>NOT(ISERROR(SEARCH("UP",C257)))</formula>
    </cfRule>
  </conditionalFormatting>
  <conditionalFormatting sqref="I273">
    <cfRule type="colorScale" priority="2113">
      <colorScale>
        <cfvo type="min"/>
        <cfvo type="max"/>
        <color rgb="FFFFEF9C"/>
        <color rgb="FF63BE7B"/>
      </colorScale>
    </cfRule>
  </conditionalFormatting>
  <conditionalFormatting sqref="M273">
    <cfRule type="colorScale" priority="2112">
      <colorScale>
        <cfvo type="min"/>
        <cfvo type="max"/>
        <color rgb="FFFF7128"/>
        <color rgb="FFFFEF9C"/>
      </colorScale>
    </cfRule>
  </conditionalFormatting>
  <conditionalFormatting sqref="Q273">
    <cfRule type="dataBar" priority="2111">
      <dataBar>
        <cfvo type="min"/>
        <cfvo type="max"/>
        <color rgb="FFFF555A"/>
      </dataBar>
    </cfRule>
  </conditionalFormatting>
  <conditionalFormatting sqref="E257:E273">
    <cfRule type="dataBar" priority="2110">
      <dataBar>
        <cfvo type="min"/>
        <cfvo type="max"/>
        <color rgb="FFFF555A"/>
      </dataBar>
    </cfRule>
  </conditionalFormatting>
  <conditionalFormatting sqref="F273">
    <cfRule type="top10" dxfId="807" priority="2109" rank="1"/>
  </conditionalFormatting>
  <conditionalFormatting sqref="G273 P273">
    <cfRule type="cellIs" dxfId="806" priority="2108" operator="equal">
      <formula>$G$135</formula>
    </cfRule>
  </conditionalFormatting>
  <conditionalFormatting sqref="P273">
    <cfRule type="cellIs" dxfId="805" priority="2107" operator="equal">
      <formula>$J$135</formula>
    </cfRule>
  </conditionalFormatting>
  <conditionalFormatting sqref="G273 P273">
    <cfRule type="cellIs" dxfId="804" priority="2106" operator="equal">
      <formula>#REF!</formula>
    </cfRule>
  </conditionalFormatting>
  <conditionalFormatting sqref="G273">
    <cfRule type="top10" dxfId="803" priority="2104" rank="1"/>
    <cfRule type="cellIs" dxfId="802" priority="2105" operator="equal">
      <formula>$G$133</formula>
    </cfRule>
  </conditionalFormatting>
  <conditionalFormatting sqref="P273">
    <cfRule type="top10" dxfId="801" priority="2102" rank="1"/>
    <cfRule type="cellIs" dxfId="800" priority="2103" operator="equal">
      <formula>$G$133</formula>
    </cfRule>
  </conditionalFormatting>
  <conditionalFormatting sqref="C257:C272">
    <cfRule type="containsText" dxfId="799" priority="2098" operator="containsText" text="Short Buildup">
      <formula>NOT(ISERROR(SEARCH("Short Buildup",C257)))</formula>
    </cfRule>
    <cfRule type="containsText" dxfId="798" priority="2099" operator="containsText" text="Long Liquidation">
      <formula>NOT(ISERROR(SEARCH("Long Liquidation",C257)))</formula>
    </cfRule>
    <cfRule type="containsText" dxfId="797" priority="2100" operator="containsText" text="Short covering">
      <formula>NOT(ISERROR(SEARCH("Short covering",C257)))</formula>
    </cfRule>
    <cfRule type="containsText" dxfId="796" priority="2101" operator="containsText" text="Long Buildup">
      <formula>NOT(ISERROR(SEARCH("Long Buildup",C257)))</formula>
    </cfRule>
  </conditionalFormatting>
  <conditionalFormatting sqref="H273">
    <cfRule type="colorScale" priority="2093">
      <colorScale>
        <cfvo type="min"/>
        <cfvo type="percentile" val="20"/>
        <cfvo type="max"/>
        <color rgb="FF92D050"/>
        <color theme="5" tint="0.79998168889431442"/>
        <color rgb="FFFF0000"/>
      </colorScale>
    </cfRule>
    <cfRule type="colorScale" priority="2094">
      <colorScale>
        <cfvo type="min"/>
        <cfvo type="max"/>
        <color rgb="FFFF0000"/>
        <color rgb="FF92D050"/>
      </colorScale>
    </cfRule>
    <cfRule type="colorScale" priority="2095">
      <colorScale>
        <cfvo type="min"/>
        <cfvo type="percentile" val="50"/>
        <cfvo type="max"/>
        <color rgb="FF5A8AC6"/>
        <color rgb="FFFCFCFF"/>
        <color rgb="FFF8696B"/>
      </colorScale>
    </cfRule>
    <cfRule type="colorScale" priority="2096">
      <colorScale>
        <cfvo type="formula" val="&quot;&gt;20&quot;"/>
        <cfvo type="formula" val="35"/>
        <color rgb="FFF8696B"/>
        <color rgb="FFFCFCFF"/>
      </colorScale>
    </cfRule>
    <cfRule type="colorScale" priority="2097">
      <colorScale>
        <cfvo type="min"/>
        <cfvo type="max"/>
        <color rgb="FFFFEF9C"/>
        <color rgb="FF63BE7B"/>
      </colorScale>
    </cfRule>
  </conditionalFormatting>
  <conditionalFormatting sqref="N273">
    <cfRule type="colorScale" priority="2088">
      <colorScale>
        <cfvo type="min"/>
        <cfvo type="percentile" val="20"/>
        <cfvo type="max"/>
        <color rgb="FF92D050"/>
        <color theme="5" tint="0.79998168889431442"/>
        <color rgb="FFFF0000"/>
      </colorScale>
    </cfRule>
    <cfRule type="colorScale" priority="2089">
      <colorScale>
        <cfvo type="min"/>
        <cfvo type="max"/>
        <color rgb="FFFF0000"/>
        <color rgb="FF92D050"/>
      </colorScale>
    </cfRule>
    <cfRule type="colorScale" priority="2090">
      <colorScale>
        <cfvo type="min"/>
        <cfvo type="percentile" val="50"/>
        <cfvo type="max"/>
        <color rgb="FF5A8AC6"/>
        <color rgb="FFFCFCFF"/>
        <color rgb="FFF8696B"/>
      </colorScale>
    </cfRule>
    <cfRule type="colorScale" priority="2091">
      <colorScale>
        <cfvo type="formula" val="&quot;&gt;20&quot;"/>
        <cfvo type="formula" val="35"/>
        <color rgb="FFF8696B"/>
        <color rgb="FFFCFCFF"/>
      </colorScale>
    </cfRule>
    <cfRule type="colorScale" priority="2092">
      <colorScale>
        <cfvo type="min"/>
        <cfvo type="max"/>
        <color rgb="FFFFEF9C"/>
        <color rgb="FF63BE7B"/>
      </colorScale>
    </cfRule>
  </conditionalFormatting>
  <conditionalFormatting sqref="S257:S273">
    <cfRule type="containsText" dxfId="795" priority="2084" operator="containsText" text="Short Buildup">
      <formula>NOT(ISERROR(SEARCH("Short Buildup",S257)))</formula>
    </cfRule>
    <cfRule type="containsText" dxfId="794" priority="2085" operator="containsText" text="Long Liquidation">
      <formula>NOT(ISERROR(SEARCH("Long Liquidation",S257)))</formula>
    </cfRule>
    <cfRule type="containsText" dxfId="793" priority="2086" operator="containsText" text="Short covering">
      <formula>NOT(ISERROR(SEARCH("Short covering",S257)))</formula>
    </cfRule>
    <cfRule type="containsText" dxfId="792" priority="2087" operator="containsText" text="Long Buildup">
      <formula>NOT(ISERROR(SEARCH("Long Buildup",S257)))</formula>
    </cfRule>
  </conditionalFormatting>
  <conditionalFormatting sqref="F257:F272">
    <cfRule type="dataBar" priority="2083">
      <dataBar>
        <cfvo type="min"/>
        <cfvo type="max"/>
        <color rgb="FFFF555A"/>
      </dataBar>
    </cfRule>
  </conditionalFormatting>
  <conditionalFormatting sqref="G257:G272">
    <cfRule type="dataBar" priority="2082">
      <dataBar>
        <cfvo type="min"/>
        <cfvo type="max"/>
        <color rgb="FFFF555A"/>
      </dataBar>
    </cfRule>
  </conditionalFormatting>
  <conditionalFormatting sqref="H257">
    <cfRule type="dataBar" priority="2081">
      <dataBar>
        <cfvo type="min"/>
        <cfvo type="max"/>
        <color rgb="FFFF555A"/>
      </dataBar>
    </cfRule>
  </conditionalFormatting>
  <conditionalFormatting sqref="I257">
    <cfRule type="dataBar" priority="2080">
      <dataBar>
        <cfvo type="min"/>
        <cfvo type="max"/>
        <color rgb="FFFF555A"/>
      </dataBar>
    </cfRule>
  </conditionalFormatting>
  <conditionalFormatting sqref="J257">
    <cfRule type="dataBar" priority="2079">
      <dataBar>
        <cfvo type="min"/>
        <cfvo type="max"/>
        <color rgb="FFFF555A"/>
      </dataBar>
    </cfRule>
  </conditionalFormatting>
  <conditionalFormatting sqref="E258:E272">
    <cfRule type="dataBar" priority="2078">
      <dataBar>
        <cfvo type="min"/>
        <cfvo type="max"/>
        <color rgb="FFFF555A"/>
      </dataBar>
    </cfRule>
  </conditionalFormatting>
  <conditionalFormatting sqref="H258:H272">
    <cfRule type="dataBar" priority="2077">
      <dataBar>
        <cfvo type="min"/>
        <cfvo type="max"/>
        <color rgb="FFFF555A"/>
      </dataBar>
    </cfRule>
  </conditionalFormatting>
  <conditionalFormatting sqref="I258:I272">
    <cfRule type="dataBar" priority="2076">
      <dataBar>
        <cfvo type="min"/>
        <cfvo type="max"/>
        <color rgb="FFFF555A"/>
      </dataBar>
    </cfRule>
  </conditionalFormatting>
  <conditionalFormatting sqref="J258:J272">
    <cfRule type="dataBar" priority="2075">
      <dataBar>
        <cfvo type="min"/>
        <cfvo type="max"/>
        <color rgb="FFFF555A"/>
      </dataBar>
    </cfRule>
  </conditionalFormatting>
  <conditionalFormatting sqref="L257:L272">
    <cfRule type="dataBar" priority="2074">
      <dataBar>
        <cfvo type="min"/>
        <cfvo type="max"/>
        <color rgb="FFFF555A"/>
      </dataBar>
    </cfRule>
  </conditionalFormatting>
  <conditionalFormatting sqref="M257:M272">
    <cfRule type="dataBar" priority="2073">
      <dataBar>
        <cfvo type="min"/>
        <cfvo type="max"/>
        <color rgb="FFFF555A"/>
      </dataBar>
    </cfRule>
  </conditionalFormatting>
  <conditionalFormatting sqref="N257:N272">
    <cfRule type="dataBar" priority="2072">
      <dataBar>
        <cfvo type="min"/>
        <cfvo type="max"/>
        <color rgb="FFFF555A"/>
      </dataBar>
    </cfRule>
  </conditionalFormatting>
  <conditionalFormatting sqref="Q257:Q272">
    <cfRule type="dataBar" priority="2071">
      <dataBar>
        <cfvo type="min"/>
        <cfvo type="max"/>
        <color rgb="FFFF555A"/>
      </dataBar>
    </cfRule>
  </conditionalFormatting>
  <conditionalFormatting sqref="O257:O272">
    <cfRule type="dataBar" priority="2070">
      <dataBar>
        <cfvo type="min"/>
        <cfvo type="max"/>
        <color rgb="FFFF555A"/>
      </dataBar>
    </cfRule>
  </conditionalFormatting>
  <conditionalFormatting sqref="P257:P272">
    <cfRule type="dataBar" priority="2069">
      <dataBar>
        <cfvo type="min"/>
        <cfvo type="max"/>
        <color rgb="FFFF555A"/>
      </dataBar>
    </cfRule>
  </conditionalFormatting>
  <conditionalFormatting sqref="R274:R290 D274:D289 C290">
    <cfRule type="containsText" dxfId="791" priority="2068" operator="containsText" text="DOWN">
      <formula>NOT(ISERROR(SEARCH("DOWN",C274)))</formula>
    </cfRule>
  </conditionalFormatting>
  <conditionalFormatting sqref="R274:R290 D274:D289 C290">
    <cfRule type="containsText" dxfId="790" priority="2067" operator="containsText" text="UP">
      <formula>NOT(ISERROR(SEARCH("UP",C274)))</formula>
    </cfRule>
  </conditionalFormatting>
  <conditionalFormatting sqref="I290">
    <cfRule type="colorScale" priority="2066">
      <colorScale>
        <cfvo type="min"/>
        <cfvo type="max"/>
        <color rgb="FFFFEF9C"/>
        <color rgb="FF63BE7B"/>
      </colorScale>
    </cfRule>
  </conditionalFormatting>
  <conditionalFormatting sqref="M290">
    <cfRule type="colorScale" priority="2065">
      <colorScale>
        <cfvo type="min"/>
        <cfvo type="max"/>
        <color rgb="FFFF7128"/>
        <color rgb="FFFFEF9C"/>
      </colorScale>
    </cfRule>
  </conditionalFormatting>
  <conditionalFormatting sqref="Q290">
    <cfRule type="dataBar" priority="2064">
      <dataBar>
        <cfvo type="min"/>
        <cfvo type="max"/>
        <color rgb="FFFF555A"/>
      </dataBar>
    </cfRule>
  </conditionalFormatting>
  <conditionalFormatting sqref="E274:E290">
    <cfRule type="dataBar" priority="2063">
      <dataBar>
        <cfvo type="min"/>
        <cfvo type="max"/>
        <color rgb="FFFF555A"/>
      </dataBar>
    </cfRule>
  </conditionalFormatting>
  <conditionalFormatting sqref="F290">
    <cfRule type="top10" dxfId="789" priority="2062" rank="1"/>
  </conditionalFormatting>
  <conditionalFormatting sqref="G290 P290">
    <cfRule type="cellIs" dxfId="788" priority="2061" operator="equal">
      <formula>$G$135</formula>
    </cfRule>
  </conditionalFormatting>
  <conditionalFormatting sqref="P290">
    <cfRule type="cellIs" dxfId="787" priority="2060" operator="equal">
      <formula>$J$135</formula>
    </cfRule>
  </conditionalFormatting>
  <conditionalFormatting sqref="G290 P290">
    <cfRule type="cellIs" dxfId="786" priority="2059" operator="equal">
      <formula>#REF!</formula>
    </cfRule>
  </conditionalFormatting>
  <conditionalFormatting sqref="G290">
    <cfRule type="top10" dxfId="785" priority="2057" rank="1"/>
    <cfRule type="cellIs" dxfId="784" priority="2058" operator="equal">
      <formula>$G$133</formula>
    </cfRule>
  </conditionalFormatting>
  <conditionalFormatting sqref="P290">
    <cfRule type="top10" dxfId="783" priority="2055" rank="1"/>
    <cfRule type="cellIs" dxfId="782" priority="2056" operator="equal">
      <formula>$G$133</formula>
    </cfRule>
  </conditionalFormatting>
  <conditionalFormatting sqref="C274:C289">
    <cfRule type="containsText" dxfId="781" priority="2051" operator="containsText" text="Short Buildup">
      <formula>NOT(ISERROR(SEARCH("Short Buildup",C274)))</formula>
    </cfRule>
    <cfRule type="containsText" dxfId="780" priority="2052" operator="containsText" text="Long Liquidation">
      <formula>NOT(ISERROR(SEARCH("Long Liquidation",C274)))</formula>
    </cfRule>
    <cfRule type="containsText" dxfId="779" priority="2053" operator="containsText" text="Short covering">
      <formula>NOT(ISERROR(SEARCH("Short covering",C274)))</formula>
    </cfRule>
    <cfRule type="containsText" dxfId="778" priority="2054" operator="containsText" text="Long Buildup">
      <formula>NOT(ISERROR(SEARCH("Long Buildup",C274)))</formula>
    </cfRule>
  </conditionalFormatting>
  <conditionalFormatting sqref="H290">
    <cfRule type="colorScale" priority="2046">
      <colorScale>
        <cfvo type="min"/>
        <cfvo type="percentile" val="20"/>
        <cfvo type="max"/>
        <color rgb="FF92D050"/>
        <color theme="5" tint="0.79998168889431442"/>
        <color rgb="FFFF0000"/>
      </colorScale>
    </cfRule>
    <cfRule type="colorScale" priority="2047">
      <colorScale>
        <cfvo type="min"/>
        <cfvo type="max"/>
        <color rgb="FFFF0000"/>
        <color rgb="FF92D050"/>
      </colorScale>
    </cfRule>
    <cfRule type="colorScale" priority="2048">
      <colorScale>
        <cfvo type="min"/>
        <cfvo type="percentile" val="50"/>
        <cfvo type="max"/>
        <color rgb="FF5A8AC6"/>
        <color rgb="FFFCFCFF"/>
        <color rgb="FFF8696B"/>
      </colorScale>
    </cfRule>
    <cfRule type="colorScale" priority="2049">
      <colorScale>
        <cfvo type="formula" val="&quot;&gt;20&quot;"/>
        <cfvo type="formula" val="35"/>
        <color rgb="FFF8696B"/>
        <color rgb="FFFCFCFF"/>
      </colorScale>
    </cfRule>
    <cfRule type="colorScale" priority="2050">
      <colorScale>
        <cfvo type="min"/>
        <cfvo type="max"/>
        <color rgb="FFFFEF9C"/>
        <color rgb="FF63BE7B"/>
      </colorScale>
    </cfRule>
  </conditionalFormatting>
  <conditionalFormatting sqref="N290">
    <cfRule type="colorScale" priority="2041">
      <colorScale>
        <cfvo type="min"/>
        <cfvo type="percentile" val="20"/>
        <cfvo type="max"/>
        <color rgb="FF92D050"/>
        <color theme="5" tint="0.79998168889431442"/>
        <color rgb="FFFF0000"/>
      </colorScale>
    </cfRule>
    <cfRule type="colorScale" priority="2042">
      <colorScale>
        <cfvo type="min"/>
        <cfvo type="max"/>
        <color rgb="FFFF0000"/>
        <color rgb="FF92D050"/>
      </colorScale>
    </cfRule>
    <cfRule type="colorScale" priority="2043">
      <colorScale>
        <cfvo type="min"/>
        <cfvo type="percentile" val="50"/>
        <cfvo type="max"/>
        <color rgb="FF5A8AC6"/>
        <color rgb="FFFCFCFF"/>
        <color rgb="FFF8696B"/>
      </colorScale>
    </cfRule>
    <cfRule type="colorScale" priority="2044">
      <colorScale>
        <cfvo type="formula" val="&quot;&gt;20&quot;"/>
        <cfvo type="formula" val="35"/>
        <color rgb="FFF8696B"/>
        <color rgb="FFFCFCFF"/>
      </colorScale>
    </cfRule>
    <cfRule type="colorScale" priority="2045">
      <colorScale>
        <cfvo type="min"/>
        <cfvo type="max"/>
        <color rgb="FFFFEF9C"/>
        <color rgb="FF63BE7B"/>
      </colorScale>
    </cfRule>
  </conditionalFormatting>
  <conditionalFormatting sqref="S274:S290">
    <cfRule type="containsText" dxfId="777" priority="2037" operator="containsText" text="Short Buildup">
      <formula>NOT(ISERROR(SEARCH("Short Buildup",S274)))</formula>
    </cfRule>
    <cfRule type="containsText" dxfId="776" priority="2038" operator="containsText" text="Long Liquidation">
      <formula>NOT(ISERROR(SEARCH("Long Liquidation",S274)))</formula>
    </cfRule>
    <cfRule type="containsText" dxfId="775" priority="2039" operator="containsText" text="Short covering">
      <formula>NOT(ISERROR(SEARCH("Short covering",S274)))</formula>
    </cfRule>
    <cfRule type="containsText" dxfId="774" priority="2040" operator="containsText" text="Long Buildup">
      <formula>NOT(ISERROR(SEARCH("Long Buildup",S274)))</formula>
    </cfRule>
  </conditionalFormatting>
  <conditionalFormatting sqref="F274:F289">
    <cfRule type="dataBar" priority="2036">
      <dataBar>
        <cfvo type="min"/>
        <cfvo type="max"/>
        <color rgb="FFFF555A"/>
      </dataBar>
    </cfRule>
  </conditionalFormatting>
  <conditionalFormatting sqref="G274:G289">
    <cfRule type="dataBar" priority="2035">
      <dataBar>
        <cfvo type="min"/>
        <cfvo type="max"/>
        <color rgb="FFFF555A"/>
      </dataBar>
    </cfRule>
  </conditionalFormatting>
  <conditionalFormatting sqref="H274">
    <cfRule type="dataBar" priority="2034">
      <dataBar>
        <cfvo type="min"/>
        <cfvo type="max"/>
        <color rgb="FFFF555A"/>
      </dataBar>
    </cfRule>
  </conditionalFormatting>
  <conditionalFormatting sqref="I274">
    <cfRule type="dataBar" priority="2033">
      <dataBar>
        <cfvo type="min"/>
        <cfvo type="max"/>
        <color rgb="FFFF555A"/>
      </dataBar>
    </cfRule>
  </conditionalFormatting>
  <conditionalFormatting sqref="J274">
    <cfRule type="dataBar" priority="2032">
      <dataBar>
        <cfvo type="min"/>
        <cfvo type="max"/>
        <color rgb="FFFF555A"/>
      </dataBar>
    </cfRule>
  </conditionalFormatting>
  <conditionalFormatting sqref="E275:E289">
    <cfRule type="dataBar" priority="2031">
      <dataBar>
        <cfvo type="min"/>
        <cfvo type="max"/>
        <color rgb="FFFF555A"/>
      </dataBar>
    </cfRule>
  </conditionalFormatting>
  <conditionalFormatting sqref="H275:H289">
    <cfRule type="dataBar" priority="2030">
      <dataBar>
        <cfvo type="min"/>
        <cfvo type="max"/>
        <color rgb="FFFF555A"/>
      </dataBar>
    </cfRule>
  </conditionalFormatting>
  <conditionalFormatting sqref="I275:I289">
    <cfRule type="dataBar" priority="2029">
      <dataBar>
        <cfvo type="min"/>
        <cfvo type="max"/>
        <color rgb="FFFF555A"/>
      </dataBar>
    </cfRule>
  </conditionalFormatting>
  <conditionalFormatting sqref="J275:J289">
    <cfRule type="dataBar" priority="2028">
      <dataBar>
        <cfvo type="min"/>
        <cfvo type="max"/>
        <color rgb="FFFF555A"/>
      </dataBar>
    </cfRule>
  </conditionalFormatting>
  <conditionalFormatting sqref="L274:L289">
    <cfRule type="dataBar" priority="2027">
      <dataBar>
        <cfvo type="min"/>
        <cfvo type="max"/>
        <color rgb="FFFF555A"/>
      </dataBar>
    </cfRule>
  </conditionalFormatting>
  <conditionalFormatting sqref="M274:M289">
    <cfRule type="dataBar" priority="2026">
      <dataBar>
        <cfvo type="min"/>
        <cfvo type="max"/>
        <color rgb="FFFF555A"/>
      </dataBar>
    </cfRule>
  </conditionalFormatting>
  <conditionalFormatting sqref="N274:N289">
    <cfRule type="dataBar" priority="2025">
      <dataBar>
        <cfvo type="min"/>
        <cfvo type="max"/>
        <color rgb="FFFF555A"/>
      </dataBar>
    </cfRule>
  </conditionalFormatting>
  <conditionalFormatting sqref="Q274:Q289">
    <cfRule type="dataBar" priority="2024">
      <dataBar>
        <cfvo type="min"/>
        <cfvo type="max"/>
        <color rgb="FFFF555A"/>
      </dataBar>
    </cfRule>
  </conditionalFormatting>
  <conditionalFormatting sqref="O274:O289">
    <cfRule type="dataBar" priority="2023">
      <dataBar>
        <cfvo type="min"/>
        <cfvo type="max"/>
        <color rgb="FFFF555A"/>
      </dataBar>
    </cfRule>
  </conditionalFormatting>
  <conditionalFormatting sqref="P274:P289">
    <cfRule type="dataBar" priority="2022">
      <dataBar>
        <cfvo type="min"/>
        <cfvo type="max"/>
        <color rgb="FFFF555A"/>
      </dataBar>
    </cfRule>
  </conditionalFormatting>
  <conditionalFormatting sqref="R291:R307 D291:D306 C307">
    <cfRule type="containsText" dxfId="773" priority="2021" operator="containsText" text="DOWN">
      <formula>NOT(ISERROR(SEARCH("DOWN",C291)))</formula>
    </cfRule>
  </conditionalFormatting>
  <conditionalFormatting sqref="R291:R307 D291:D306 C307">
    <cfRule type="containsText" dxfId="772" priority="2020" operator="containsText" text="UP">
      <formula>NOT(ISERROR(SEARCH("UP",C291)))</formula>
    </cfRule>
  </conditionalFormatting>
  <conditionalFormatting sqref="I307">
    <cfRule type="colorScale" priority="2019">
      <colorScale>
        <cfvo type="min"/>
        <cfvo type="max"/>
        <color rgb="FFFFEF9C"/>
        <color rgb="FF63BE7B"/>
      </colorScale>
    </cfRule>
  </conditionalFormatting>
  <conditionalFormatting sqref="M307">
    <cfRule type="colorScale" priority="2018">
      <colorScale>
        <cfvo type="min"/>
        <cfvo type="max"/>
        <color rgb="FFFF7128"/>
        <color rgb="FFFFEF9C"/>
      </colorScale>
    </cfRule>
  </conditionalFormatting>
  <conditionalFormatting sqref="Q307">
    <cfRule type="dataBar" priority="2017">
      <dataBar>
        <cfvo type="min"/>
        <cfvo type="max"/>
        <color rgb="FFFF555A"/>
      </dataBar>
    </cfRule>
  </conditionalFormatting>
  <conditionalFormatting sqref="E291:E307">
    <cfRule type="dataBar" priority="2016">
      <dataBar>
        <cfvo type="min"/>
        <cfvo type="max"/>
        <color rgb="FFFF555A"/>
      </dataBar>
    </cfRule>
  </conditionalFormatting>
  <conditionalFormatting sqref="F307">
    <cfRule type="top10" dxfId="771" priority="2015" rank="1"/>
  </conditionalFormatting>
  <conditionalFormatting sqref="G307 P307">
    <cfRule type="cellIs" dxfId="770" priority="2014" operator="equal">
      <formula>$G$135</formula>
    </cfRule>
  </conditionalFormatting>
  <conditionalFormatting sqref="P307">
    <cfRule type="cellIs" dxfId="769" priority="2013" operator="equal">
      <formula>$J$135</formula>
    </cfRule>
  </conditionalFormatting>
  <conditionalFormatting sqref="G307 P307">
    <cfRule type="cellIs" dxfId="768" priority="2012" operator="equal">
      <formula>#REF!</formula>
    </cfRule>
  </conditionalFormatting>
  <conditionalFormatting sqref="G307">
    <cfRule type="top10" dxfId="767" priority="2010" rank="1"/>
    <cfRule type="cellIs" dxfId="766" priority="2011" operator="equal">
      <formula>$G$133</formula>
    </cfRule>
  </conditionalFormatting>
  <conditionalFormatting sqref="P307">
    <cfRule type="top10" dxfId="765" priority="2008" rank="1"/>
    <cfRule type="cellIs" dxfId="764" priority="2009" operator="equal">
      <formula>$G$133</formula>
    </cfRule>
  </conditionalFormatting>
  <conditionalFormatting sqref="C291:C306">
    <cfRule type="containsText" dxfId="763" priority="2004" operator="containsText" text="Short Buildup">
      <formula>NOT(ISERROR(SEARCH("Short Buildup",C291)))</formula>
    </cfRule>
    <cfRule type="containsText" dxfId="762" priority="2005" operator="containsText" text="Long Liquidation">
      <formula>NOT(ISERROR(SEARCH("Long Liquidation",C291)))</formula>
    </cfRule>
    <cfRule type="containsText" dxfId="761" priority="2006" operator="containsText" text="Short covering">
      <formula>NOT(ISERROR(SEARCH("Short covering",C291)))</formula>
    </cfRule>
    <cfRule type="containsText" dxfId="760" priority="2007" operator="containsText" text="Long Buildup">
      <formula>NOT(ISERROR(SEARCH("Long Buildup",C291)))</formula>
    </cfRule>
  </conditionalFormatting>
  <conditionalFormatting sqref="H307">
    <cfRule type="colorScale" priority="1999">
      <colorScale>
        <cfvo type="min"/>
        <cfvo type="percentile" val="20"/>
        <cfvo type="max"/>
        <color rgb="FF92D050"/>
        <color theme="5" tint="0.79998168889431442"/>
        <color rgb="FFFF0000"/>
      </colorScale>
    </cfRule>
    <cfRule type="colorScale" priority="2000">
      <colorScale>
        <cfvo type="min"/>
        <cfvo type="max"/>
        <color rgb="FFFF0000"/>
        <color rgb="FF92D050"/>
      </colorScale>
    </cfRule>
    <cfRule type="colorScale" priority="2001">
      <colorScale>
        <cfvo type="min"/>
        <cfvo type="percentile" val="50"/>
        <cfvo type="max"/>
        <color rgb="FF5A8AC6"/>
        <color rgb="FFFCFCFF"/>
        <color rgb="FFF8696B"/>
      </colorScale>
    </cfRule>
    <cfRule type="colorScale" priority="2002">
      <colorScale>
        <cfvo type="formula" val="&quot;&gt;20&quot;"/>
        <cfvo type="formula" val="35"/>
        <color rgb="FFF8696B"/>
        <color rgb="FFFCFCFF"/>
      </colorScale>
    </cfRule>
    <cfRule type="colorScale" priority="2003">
      <colorScale>
        <cfvo type="min"/>
        <cfvo type="max"/>
        <color rgb="FFFFEF9C"/>
        <color rgb="FF63BE7B"/>
      </colorScale>
    </cfRule>
  </conditionalFormatting>
  <conditionalFormatting sqref="N307">
    <cfRule type="colorScale" priority="1994">
      <colorScale>
        <cfvo type="min"/>
        <cfvo type="percentile" val="20"/>
        <cfvo type="max"/>
        <color rgb="FF92D050"/>
        <color theme="5" tint="0.79998168889431442"/>
        <color rgb="FFFF0000"/>
      </colorScale>
    </cfRule>
    <cfRule type="colorScale" priority="1995">
      <colorScale>
        <cfvo type="min"/>
        <cfvo type="max"/>
        <color rgb="FFFF0000"/>
        <color rgb="FF92D050"/>
      </colorScale>
    </cfRule>
    <cfRule type="colorScale" priority="1996">
      <colorScale>
        <cfvo type="min"/>
        <cfvo type="percentile" val="50"/>
        <cfvo type="max"/>
        <color rgb="FF5A8AC6"/>
        <color rgb="FFFCFCFF"/>
        <color rgb="FFF8696B"/>
      </colorScale>
    </cfRule>
    <cfRule type="colorScale" priority="1997">
      <colorScale>
        <cfvo type="formula" val="&quot;&gt;20&quot;"/>
        <cfvo type="formula" val="35"/>
        <color rgb="FFF8696B"/>
        <color rgb="FFFCFCFF"/>
      </colorScale>
    </cfRule>
    <cfRule type="colorScale" priority="1998">
      <colorScale>
        <cfvo type="min"/>
        <cfvo type="max"/>
        <color rgb="FFFFEF9C"/>
        <color rgb="FF63BE7B"/>
      </colorScale>
    </cfRule>
  </conditionalFormatting>
  <conditionalFormatting sqref="S291:S307">
    <cfRule type="containsText" dxfId="759" priority="1990" operator="containsText" text="Short Buildup">
      <formula>NOT(ISERROR(SEARCH("Short Buildup",S291)))</formula>
    </cfRule>
    <cfRule type="containsText" dxfId="758" priority="1991" operator="containsText" text="Long Liquidation">
      <formula>NOT(ISERROR(SEARCH("Long Liquidation",S291)))</formula>
    </cfRule>
    <cfRule type="containsText" dxfId="757" priority="1992" operator="containsText" text="Short covering">
      <formula>NOT(ISERROR(SEARCH("Short covering",S291)))</formula>
    </cfRule>
    <cfRule type="containsText" dxfId="756" priority="1993" operator="containsText" text="Long Buildup">
      <formula>NOT(ISERROR(SEARCH("Long Buildup",S291)))</formula>
    </cfRule>
  </conditionalFormatting>
  <conditionalFormatting sqref="F291:F306">
    <cfRule type="dataBar" priority="1989">
      <dataBar>
        <cfvo type="min"/>
        <cfvo type="max"/>
        <color rgb="FFFF555A"/>
      </dataBar>
    </cfRule>
  </conditionalFormatting>
  <conditionalFormatting sqref="G291:G306">
    <cfRule type="dataBar" priority="1988">
      <dataBar>
        <cfvo type="min"/>
        <cfvo type="max"/>
        <color rgb="FFFF555A"/>
      </dataBar>
    </cfRule>
  </conditionalFormatting>
  <conditionalFormatting sqref="H291">
    <cfRule type="dataBar" priority="1987">
      <dataBar>
        <cfvo type="min"/>
        <cfvo type="max"/>
        <color rgb="FFFF555A"/>
      </dataBar>
    </cfRule>
  </conditionalFormatting>
  <conditionalFormatting sqref="I291">
    <cfRule type="dataBar" priority="1986">
      <dataBar>
        <cfvo type="min"/>
        <cfvo type="max"/>
        <color rgb="FFFF555A"/>
      </dataBar>
    </cfRule>
  </conditionalFormatting>
  <conditionalFormatting sqref="J291">
    <cfRule type="dataBar" priority="1985">
      <dataBar>
        <cfvo type="min"/>
        <cfvo type="max"/>
        <color rgb="FFFF555A"/>
      </dataBar>
    </cfRule>
  </conditionalFormatting>
  <conditionalFormatting sqref="E292:E306">
    <cfRule type="dataBar" priority="1984">
      <dataBar>
        <cfvo type="min"/>
        <cfvo type="max"/>
        <color rgb="FFFF555A"/>
      </dataBar>
    </cfRule>
  </conditionalFormatting>
  <conditionalFormatting sqref="H292:H306">
    <cfRule type="dataBar" priority="1983">
      <dataBar>
        <cfvo type="min"/>
        <cfvo type="max"/>
        <color rgb="FFFF555A"/>
      </dataBar>
    </cfRule>
  </conditionalFormatting>
  <conditionalFormatting sqref="I292:I306">
    <cfRule type="dataBar" priority="1982">
      <dataBar>
        <cfvo type="min"/>
        <cfvo type="max"/>
        <color rgb="FFFF555A"/>
      </dataBar>
    </cfRule>
  </conditionalFormatting>
  <conditionalFormatting sqref="J292:J306">
    <cfRule type="dataBar" priority="1981">
      <dataBar>
        <cfvo type="min"/>
        <cfvo type="max"/>
        <color rgb="FFFF555A"/>
      </dataBar>
    </cfRule>
  </conditionalFormatting>
  <conditionalFormatting sqref="L291:L306">
    <cfRule type="dataBar" priority="1980">
      <dataBar>
        <cfvo type="min"/>
        <cfvo type="max"/>
        <color rgb="FFFF555A"/>
      </dataBar>
    </cfRule>
  </conditionalFormatting>
  <conditionalFormatting sqref="M291:M306">
    <cfRule type="dataBar" priority="1979">
      <dataBar>
        <cfvo type="min"/>
        <cfvo type="max"/>
        <color rgb="FFFF555A"/>
      </dataBar>
    </cfRule>
  </conditionalFormatting>
  <conditionalFormatting sqref="N291:N306">
    <cfRule type="dataBar" priority="1978">
      <dataBar>
        <cfvo type="min"/>
        <cfvo type="max"/>
        <color rgb="FFFF555A"/>
      </dataBar>
    </cfRule>
  </conditionalFormatting>
  <conditionalFormatting sqref="Q291:Q306">
    <cfRule type="dataBar" priority="1977">
      <dataBar>
        <cfvo type="min"/>
        <cfvo type="max"/>
        <color rgb="FFFF555A"/>
      </dataBar>
    </cfRule>
  </conditionalFormatting>
  <conditionalFormatting sqref="O291:O306">
    <cfRule type="dataBar" priority="1976">
      <dataBar>
        <cfvo type="min"/>
        <cfvo type="max"/>
        <color rgb="FFFF555A"/>
      </dataBar>
    </cfRule>
  </conditionalFormatting>
  <conditionalFormatting sqref="P291:P306">
    <cfRule type="dataBar" priority="1975">
      <dataBar>
        <cfvo type="min"/>
        <cfvo type="max"/>
        <color rgb="FFFF555A"/>
      </dataBar>
    </cfRule>
  </conditionalFormatting>
  <conditionalFormatting sqref="R308:R324 D308:D323 C324">
    <cfRule type="containsText" dxfId="755" priority="1974" operator="containsText" text="DOWN">
      <formula>NOT(ISERROR(SEARCH("DOWN",C308)))</formula>
    </cfRule>
  </conditionalFormatting>
  <conditionalFormatting sqref="R308:R324 D308:D323 C324">
    <cfRule type="containsText" dxfId="754" priority="1973" operator="containsText" text="UP">
      <formula>NOT(ISERROR(SEARCH("UP",C308)))</formula>
    </cfRule>
  </conditionalFormatting>
  <conditionalFormatting sqref="I324">
    <cfRule type="colorScale" priority="1972">
      <colorScale>
        <cfvo type="min"/>
        <cfvo type="max"/>
        <color rgb="FFFFEF9C"/>
        <color rgb="FF63BE7B"/>
      </colorScale>
    </cfRule>
  </conditionalFormatting>
  <conditionalFormatting sqref="M324">
    <cfRule type="colorScale" priority="1971">
      <colorScale>
        <cfvo type="min"/>
        <cfvo type="max"/>
        <color rgb="FFFF7128"/>
        <color rgb="FFFFEF9C"/>
      </colorScale>
    </cfRule>
  </conditionalFormatting>
  <conditionalFormatting sqref="Q324">
    <cfRule type="dataBar" priority="1970">
      <dataBar>
        <cfvo type="min"/>
        <cfvo type="max"/>
        <color rgb="FFFF555A"/>
      </dataBar>
    </cfRule>
  </conditionalFormatting>
  <conditionalFormatting sqref="E308:E324">
    <cfRule type="dataBar" priority="1969">
      <dataBar>
        <cfvo type="min"/>
        <cfvo type="max"/>
        <color rgb="FFFF555A"/>
      </dataBar>
    </cfRule>
  </conditionalFormatting>
  <conditionalFormatting sqref="F324">
    <cfRule type="top10" dxfId="753" priority="1968" rank="1"/>
  </conditionalFormatting>
  <conditionalFormatting sqref="G324 P324">
    <cfRule type="cellIs" dxfId="752" priority="1967" operator="equal">
      <formula>$G$135</formula>
    </cfRule>
  </conditionalFormatting>
  <conditionalFormatting sqref="P324">
    <cfRule type="cellIs" dxfId="751" priority="1966" operator="equal">
      <formula>$J$135</formula>
    </cfRule>
  </conditionalFormatting>
  <conditionalFormatting sqref="G324 P324">
    <cfRule type="cellIs" dxfId="750" priority="1965" operator="equal">
      <formula>#REF!</formula>
    </cfRule>
  </conditionalFormatting>
  <conditionalFormatting sqref="G324">
    <cfRule type="top10" dxfId="749" priority="1963" rank="1"/>
    <cfRule type="cellIs" dxfId="748" priority="1964" operator="equal">
      <formula>$G$133</formula>
    </cfRule>
  </conditionalFormatting>
  <conditionalFormatting sqref="P324">
    <cfRule type="top10" dxfId="747" priority="1961" rank="1"/>
    <cfRule type="cellIs" dxfId="746" priority="1962" operator="equal">
      <formula>$G$133</formula>
    </cfRule>
  </conditionalFormatting>
  <conditionalFormatting sqref="C308:C323">
    <cfRule type="containsText" dxfId="745" priority="1957" operator="containsText" text="Short Buildup">
      <formula>NOT(ISERROR(SEARCH("Short Buildup",C308)))</formula>
    </cfRule>
    <cfRule type="containsText" dxfId="744" priority="1958" operator="containsText" text="Long Liquidation">
      <formula>NOT(ISERROR(SEARCH("Long Liquidation",C308)))</formula>
    </cfRule>
    <cfRule type="containsText" dxfId="743" priority="1959" operator="containsText" text="Short covering">
      <formula>NOT(ISERROR(SEARCH("Short covering",C308)))</formula>
    </cfRule>
    <cfRule type="containsText" dxfId="742" priority="1960" operator="containsText" text="Long Buildup">
      <formula>NOT(ISERROR(SEARCH("Long Buildup",C308)))</formula>
    </cfRule>
  </conditionalFormatting>
  <conditionalFormatting sqref="H324">
    <cfRule type="colorScale" priority="1952">
      <colorScale>
        <cfvo type="min"/>
        <cfvo type="percentile" val="20"/>
        <cfvo type="max"/>
        <color rgb="FF92D050"/>
        <color theme="5" tint="0.79998168889431442"/>
        <color rgb="FFFF0000"/>
      </colorScale>
    </cfRule>
    <cfRule type="colorScale" priority="1953">
      <colorScale>
        <cfvo type="min"/>
        <cfvo type="max"/>
        <color rgb="FFFF0000"/>
        <color rgb="FF92D050"/>
      </colorScale>
    </cfRule>
    <cfRule type="colorScale" priority="1954">
      <colorScale>
        <cfvo type="min"/>
        <cfvo type="percentile" val="50"/>
        <cfvo type="max"/>
        <color rgb="FF5A8AC6"/>
        <color rgb="FFFCFCFF"/>
        <color rgb="FFF8696B"/>
      </colorScale>
    </cfRule>
    <cfRule type="colorScale" priority="1955">
      <colorScale>
        <cfvo type="formula" val="&quot;&gt;20&quot;"/>
        <cfvo type="formula" val="35"/>
        <color rgb="FFF8696B"/>
        <color rgb="FFFCFCFF"/>
      </colorScale>
    </cfRule>
    <cfRule type="colorScale" priority="1956">
      <colorScale>
        <cfvo type="min"/>
        <cfvo type="max"/>
        <color rgb="FFFFEF9C"/>
        <color rgb="FF63BE7B"/>
      </colorScale>
    </cfRule>
  </conditionalFormatting>
  <conditionalFormatting sqref="N324">
    <cfRule type="colorScale" priority="1947">
      <colorScale>
        <cfvo type="min"/>
        <cfvo type="percentile" val="20"/>
        <cfvo type="max"/>
        <color rgb="FF92D050"/>
        <color theme="5" tint="0.79998168889431442"/>
        <color rgb="FFFF0000"/>
      </colorScale>
    </cfRule>
    <cfRule type="colorScale" priority="1948">
      <colorScale>
        <cfvo type="min"/>
        <cfvo type="max"/>
        <color rgb="FFFF0000"/>
        <color rgb="FF92D050"/>
      </colorScale>
    </cfRule>
    <cfRule type="colorScale" priority="1949">
      <colorScale>
        <cfvo type="min"/>
        <cfvo type="percentile" val="50"/>
        <cfvo type="max"/>
        <color rgb="FF5A8AC6"/>
        <color rgb="FFFCFCFF"/>
        <color rgb="FFF8696B"/>
      </colorScale>
    </cfRule>
    <cfRule type="colorScale" priority="1950">
      <colorScale>
        <cfvo type="formula" val="&quot;&gt;20&quot;"/>
        <cfvo type="formula" val="35"/>
        <color rgb="FFF8696B"/>
        <color rgb="FFFCFCFF"/>
      </colorScale>
    </cfRule>
    <cfRule type="colorScale" priority="1951">
      <colorScale>
        <cfvo type="min"/>
        <cfvo type="max"/>
        <color rgb="FFFFEF9C"/>
        <color rgb="FF63BE7B"/>
      </colorScale>
    </cfRule>
  </conditionalFormatting>
  <conditionalFormatting sqref="S308:S324">
    <cfRule type="containsText" dxfId="741" priority="1943" operator="containsText" text="Short Buildup">
      <formula>NOT(ISERROR(SEARCH("Short Buildup",S308)))</formula>
    </cfRule>
    <cfRule type="containsText" dxfId="740" priority="1944" operator="containsText" text="Long Liquidation">
      <formula>NOT(ISERROR(SEARCH("Long Liquidation",S308)))</formula>
    </cfRule>
    <cfRule type="containsText" dxfId="739" priority="1945" operator="containsText" text="Short covering">
      <formula>NOT(ISERROR(SEARCH("Short covering",S308)))</formula>
    </cfRule>
    <cfRule type="containsText" dxfId="738" priority="1946" operator="containsText" text="Long Buildup">
      <formula>NOT(ISERROR(SEARCH("Long Buildup",S308)))</formula>
    </cfRule>
  </conditionalFormatting>
  <conditionalFormatting sqref="F308:F323">
    <cfRule type="dataBar" priority="1942">
      <dataBar>
        <cfvo type="min"/>
        <cfvo type="max"/>
        <color rgb="FFFF555A"/>
      </dataBar>
    </cfRule>
  </conditionalFormatting>
  <conditionalFormatting sqref="G308:G323">
    <cfRule type="dataBar" priority="1941">
      <dataBar>
        <cfvo type="min"/>
        <cfvo type="max"/>
        <color rgb="FFFF555A"/>
      </dataBar>
    </cfRule>
  </conditionalFormatting>
  <conditionalFormatting sqref="H308">
    <cfRule type="dataBar" priority="1940">
      <dataBar>
        <cfvo type="min"/>
        <cfvo type="max"/>
        <color rgb="FFFF555A"/>
      </dataBar>
    </cfRule>
  </conditionalFormatting>
  <conditionalFormatting sqref="I308">
    <cfRule type="dataBar" priority="1939">
      <dataBar>
        <cfvo type="min"/>
        <cfvo type="max"/>
        <color rgb="FFFF555A"/>
      </dataBar>
    </cfRule>
  </conditionalFormatting>
  <conditionalFormatting sqref="J308">
    <cfRule type="dataBar" priority="1938">
      <dataBar>
        <cfvo type="min"/>
        <cfvo type="max"/>
        <color rgb="FFFF555A"/>
      </dataBar>
    </cfRule>
  </conditionalFormatting>
  <conditionalFormatting sqref="E309:E323">
    <cfRule type="dataBar" priority="1937">
      <dataBar>
        <cfvo type="min"/>
        <cfvo type="max"/>
        <color rgb="FFFF555A"/>
      </dataBar>
    </cfRule>
  </conditionalFormatting>
  <conditionalFormatting sqref="H309:H323">
    <cfRule type="dataBar" priority="1936">
      <dataBar>
        <cfvo type="min"/>
        <cfvo type="max"/>
        <color rgb="FFFF555A"/>
      </dataBar>
    </cfRule>
  </conditionalFormatting>
  <conditionalFormatting sqref="I309:I323">
    <cfRule type="dataBar" priority="1935">
      <dataBar>
        <cfvo type="min"/>
        <cfvo type="max"/>
        <color rgb="FFFF555A"/>
      </dataBar>
    </cfRule>
  </conditionalFormatting>
  <conditionalFormatting sqref="J309:J323">
    <cfRule type="dataBar" priority="1934">
      <dataBar>
        <cfvo type="min"/>
        <cfvo type="max"/>
        <color rgb="FFFF555A"/>
      </dataBar>
    </cfRule>
  </conditionalFormatting>
  <conditionalFormatting sqref="L308:L323">
    <cfRule type="dataBar" priority="1933">
      <dataBar>
        <cfvo type="min"/>
        <cfvo type="max"/>
        <color rgb="FFFF555A"/>
      </dataBar>
    </cfRule>
  </conditionalFormatting>
  <conditionalFormatting sqref="M308:M323">
    <cfRule type="dataBar" priority="1932">
      <dataBar>
        <cfvo type="min"/>
        <cfvo type="max"/>
        <color rgb="FFFF555A"/>
      </dataBar>
    </cfRule>
  </conditionalFormatting>
  <conditionalFormatting sqref="N308:N323">
    <cfRule type="dataBar" priority="1931">
      <dataBar>
        <cfvo type="min"/>
        <cfvo type="max"/>
        <color rgb="FFFF555A"/>
      </dataBar>
    </cfRule>
  </conditionalFormatting>
  <conditionalFormatting sqref="Q308:Q323">
    <cfRule type="dataBar" priority="1930">
      <dataBar>
        <cfvo type="min"/>
        <cfvo type="max"/>
        <color rgb="FFFF555A"/>
      </dataBar>
    </cfRule>
  </conditionalFormatting>
  <conditionalFormatting sqref="O308:O323">
    <cfRule type="dataBar" priority="1929">
      <dataBar>
        <cfvo type="min"/>
        <cfvo type="max"/>
        <color rgb="FFFF555A"/>
      </dataBar>
    </cfRule>
  </conditionalFormatting>
  <conditionalFormatting sqref="P308:P323">
    <cfRule type="dataBar" priority="1928">
      <dataBar>
        <cfvo type="min"/>
        <cfvo type="max"/>
        <color rgb="FFFF555A"/>
      </dataBar>
    </cfRule>
  </conditionalFormatting>
  <conditionalFormatting sqref="R325:R341 D325:D340 C341">
    <cfRule type="containsText" dxfId="737" priority="1927" operator="containsText" text="DOWN">
      <formula>NOT(ISERROR(SEARCH("DOWN",C325)))</formula>
    </cfRule>
  </conditionalFormatting>
  <conditionalFormatting sqref="R325:R341 D325:D340 C341">
    <cfRule type="containsText" dxfId="736" priority="1926" operator="containsText" text="UP">
      <formula>NOT(ISERROR(SEARCH("UP",C325)))</formula>
    </cfRule>
  </conditionalFormatting>
  <conditionalFormatting sqref="I341">
    <cfRule type="colorScale" priority="1925">
      <colorScale>
        <cfvo type="min"/>
        <cfvo type="max"/>
        <color rgb="FFFFEF9C"/>
        <color rgb="FF63BE7B"/>
      </colorScale>
    </cfRule>
  </conditionalFormatting>
  <conditionalFormatting sqref="M341">
    <cfRule type="colorScale" priority="1924">
      <colorScale>
        <cfvo type="min"/>
        <cfvo type="max"/>
        <color rgb="FFFF7128"/>
        <color rgb="FFFFEF9C"/>
      </colorScale>
    </cfRule>
  </conditionalFormatting>
  <conditionalFormatting sqref="Q341">
    <cfRule type="dataBar" priority="1923">
      <dataBar>
        <cfvo type="min"/>
        <cfvo type="max"/>
        <color rgb="FFFF555A"/>
      </dataBar>
    </cfRule>
  </conditionalFormatting>
  <conditionalFormatting sqref="E325:E341">
    <cfRule type="dataBar" priority="1922">
      <dataBar>
        <cfvo type="min"/>
        <cfvo type="max"/>
        <color rgb="FFFF555A"/>
      </dataBar>
    </cfRule>
  </conditionalFormatting>
  <conditionalFormatting sqref="F341">
    <cfRule type="top10" dxfId="735" priority="1921" rank="1"/>
  </conditionalFormatting>
  <conditionalFormatting sqref="G341 P341">
    <cfRule type="cellIs" dxfId="734" priority="1920" operator="equal">
      <formula>$G$135</formula>
    </cfRule>
  </conditionalFormatting>
  <conditionalFormatting sqref="P341">
    <cfRule type="cellIs" dxfId="733" priority="1919" operator="equal">
      <formula>$J$135</formula>
    </cfRule>
  </conditionalFormatting>
  <conditionalFormatting sqref="G341 P341">
    <cfRule type="cellIs" dxfId="732" priority="1918" operator="equal">
      <formula>#REF!</formula>
    </cfRule>
  </conditionalFormatting>
  <conditionalFormatting sqref="G341">
    <cfRule type="top10" dxfId="731" priority="1916" rank="1"/>
    <cfRule type="cellIs" dxfId="730" priority="1917" operator="equal">
      <formula>$G$133</formula>
    </cfRule>
  </conditionalFormatting>
  <conditionalFormatting sqref="P341">
    <cfRule type="top10" dxfId="729" priority="1914" rank="1"/>
    <cfRule type="cellIs" dxfId="728" priority="1915" operator="equal">
      <formula>$G$133</formula>
    </cfRule>
  </conditionalFormatting>
  <conditionalFormatting sqref="C325:C340">
    <cfRule type="containsText" dxfId="727" priority="1910" operator="containsText" text="Short Buildup">
      <formula>NOT(ISERROR(SEARCH("Short Buildup",C325)))</formula>
    </cfRule>
    <cfRule type="containsText" dxfId="726" priority="1911" operator="containsText" text="Long Liquidation">
      <formula>NOT(ISERROR(SEARCH("Long Liquidation",C325)))</formula>
    </cfRule>
    <cfRule type="containsText" dxfId="725" priority="1912" operator="containsText" text="Short covering">
      <formula>NOT(ISERROR(SEARCH("Short covering",C325)))</formula>
    </cfRule>
    <cfRule type="containsText" dxfId="724" priority="1913" operator="containsText" text="Long Buildup">
      <formula>NOT(ISERROR(SEARCH("Long Buildup",C325)))</formula>
    </cfRule>
  </conditionalFormatting>
  <conditionalFormatting sqref="H341">
    <cfRule type="colorScale" priority="1905">
      <colorScale>
        <cfvo type="min"/>
        <cfvo type="percentile" val="20"/>
        <cfvo type="max"/>
        <color rgb="FF92D050"/>
        <color theme="5" tint="0.79998168889431442"/>
        <color rgb="FFFF0000"/>
      </colorScale>
    </cfRule>
    <cfRule type="colorScale" priority="1906">
      <colorScale>
        <cfvo type="min"/>
        <cfvo type="max"/>
        <color rgb="FFFF0000"/>
        <color rgb="FF92D050"/>
      </colorScale>
    </cfRule>
    <cfRule type="colorScale" priority="1907">
      <colorScale>
        <cfvo type="min"/>
        <cfvo type="percentile" val="50"/>
        <cfvo type="max"/>
        <color rgb="FF5A8AC6"/>
        <color rgb="FFFCFCFF"/>
        <color rgb="FFF8696B"/>
      </colorScale>
    </cfRule>
    <cfRule type="colorScale" priority="1908">
      <colorScale>
        <cfvo type="formula" val="&quot;&gt;20&quot;"/>
        <cfvo type="formula" val="35"/>
        <color rgb="FFF8696B"/>
        <color rgb="FFFCFCFF"/>
      </colorScale>
    </cfRule>
    <cfRule type="colorScale" priority="1909">
      <colorScale>
        <cfvo type="min"/>
        <cfvo type="max"/>
        <color rgb="FFFFEF9C"/>
        <color rgb="FF63BE7B"/>
      </colorScale>
    </cfRule>
  </conditionalFormatting>
  <conditionalFormatting sqref="N341">
    <cfRule type="colorScale" priority="1900">
      <colorScale>
        <cfvo type="min"/>
        <cfvo type="percentile" val="20"/>
        <cfvo type="max"/>
        <color rgb="FF92D050"/>
        <color theme="5" tint="0.79998168889431442"/>
        <color rgb="FFFF0000"/>
      </colorScale>
    </cfRule>
    <cfRule type="colorScale" priority="1901">
      <colorScale>
        <cfvo type="min"/>
        <cfvo type="max"/>
        <color rgb="FFFF0000"/>
        <color rgb="FF92D050"/>
      </colorScale>
    </cfRule>
    <cfRule type="colorScale" priority="1902">
      <colorScale>
        <cfvo type="min"/>
        <cfvo type="percentile" val="50"/>
        <cfvo type="max"/>
        <color rgb="FF5A8AC6"/>
        <color rgb="FFFCFCFF"/>
        <color rgb="FFF8696B"/>
      </colorScale>
    </cfRule>
    <cfRule type="colorScale" priority="1903">
      <colorScale>
        <cfvo type="formula" val="&quot;&gt;20&quot;"/>
        <cfvo type="formula" val="35"/>
        <color rgb="FFF8696B"/>
        <color rgb="FFFCFCFF"/>
      </colorScale>
    </cfRule>
    <cfRule type="colorScale" priority="1904">
      <colorScale>
        <cfvo type="min"/>
        <cfvo type="max"/>
        <color rgb="FFFFEF9C"/>
        <color rgb="FF63BE7B"/>
      </colorScale>
    </cfRule>
  </conditionalFormatting>
  <conditionalFormatting sqref="S325:S341">
    <cfRule type="containsText" dxfId="723" priority="1896" operator="containsText" text="Short Buildup">
      <formula>NOT(ISERROR(SEARCH("Short Buildup",S325)))</formula>
    </cfRule>
    <cfRule type="containsText" dxfId="722" priority="1897" operator="containsText" text="Long Liquidation">
      <formula>NOT(ISERROR(SEARCH("Long Liquidation",S325)))</formula>
    </cfRule>
    <cfRule type="containsText" dxfId="721" priority="1898" operator="containsText" text="Short covering">
      <formula>NOT(ISERROR(SEARCH("Short covering",S325)))</formula>
    </cfRule>
    <cfRule type="containsText" dxfId="720" priority="1899" operator="containsText" text="Long Buildup">
      <formula>NOT(ISERROR(SEARCH("Long Buildup",S325)))</formula>
    </cfRule>
  </conditionalFormatting>
  <conditionalFormatting sqref="F325:F340">
    <cfRule type="dataBar" priority="1895">
      <dataBar>
        <cfvo type="min"/>
        <cfvo type="max"/>
        <color rgb="FFFF555A"/>
      </dataBar>
    </cfRule>
  </conditionalFormatting>
  <conditionalFormatting sqref="G325:G340">
    <cfRule type="dataBar" priority="1894">
      <dataBar>
        <cfvo type="min"/>
        <cfvo type="max"/>
        <color rgb="FFFF555A"/>
      </dataBar>
    </cfRule>
  </conditionalFormatting>
  <conditionalFormatting sqref="H325">
    <cfRule type="dataBar" priority="1893">
      <dataBar>
        <cfvo type="min"/>
        <cfvo type="max"/>
        <color rgb="FFFF555A"/>
      </dataBar>
    </cfRule>
  </conditionalFormatting>
  <conditionalFormatting sqref="I325">
    <cfRule type="dataBar" priority="1892">
      <dataBar>
        <cfvo type="min"/>
        <cfvo type="max"/>
        <color rgb="FFFF555A"/>
      </dataBar>
    </cfRule>
  </conditionalFormatting>
  <conditionalFormatting sqref="J325">
    <cfRule type="dataBar" priority="1891">
      <dataBar>
        <cfvo type="min"/>
        <cfvo type="max"/>
        <color rgb="FFFF555A"/>
      </dataBar>
    </cfRule>
  </conditionalFormatting>
  <conditionalFormatting sqref="E326:E340">
    <cfRule type="dataBar" priority="1890">
      <dataBar>
        <cfvo type="min"/>
        <cfvo type="max"/>
        <color rgb="FFFF555A"/>
      </dataBar>
    </cfRule>
  </conditionalFormatting>
  <conditionalFormatting sqref="H326:H340">
    <cfRule type="dataBar" priority="1889">
      <dataBar>
        <cfvo type="min"/>
        <cfvo type="max"/>
        <color rgb="FFFF555A"/>
      </dataBar>
    </cfRule>
  </conditionalFormatting>
  <conditionalFormatting sqref="I326:I340">
    <cfRule type="dataBar" priority="1888">
      <dataBar>
        <cfvo type="min"/>
        <cfvo type="max"/>
        <color rgb="FFFF555A"/>
      </dataBar>
    </cfRule>
  </conditionalFormatting>
  <conditionalFormatting sqref="J326:J340">
    <cfRule type="dataBar" priority="1887">
      <dataBar>
        <cfvo type="min"/>
        <cfvo type="max"/>
        <color rgb="FFFF555A"/>
      </dataBar>
    </cfRule>
  </conditionalFormatting>
  <conditionalFormatting sqref="L325:L340">
    <cfRule type="dataBar" priority="1886">
      <dataBar>
        <cfvo type="min"/>
        <cfvo type="max"/>
        <color rgb="FFFF555A"/>
      </dataBar>
    </cfRule>
  </conditionalFormatting>
  <conditionalFormatting sqref="M325:M340">
    <cfRule type="dataBar" priority="1885">
      <dataBar>
        <cfvo type="min"/>
        <cfvo type="max"/>
        <color rgb="FFFF555A"/>
      </dataBar>
    </cfRule>
  </conditionalFormatting>
  <conditionalFormatting sqref="N325:N340">
    <cfRule type="dataBar" priority="1884">
      <dataBar>
        <cfvo type="min"/>
        <cfvo type="max"/>
        <color rgb="FFFF555A"/>
      </dataBar>
    </cfRule>
  </conditionalFormatting>
  <conditionalFormatting sqref="Q325:Q340">
    <cfRule type="dataBar" priority="1883">
      <dataBar>
        <cfvo type="min"/>
        <cfvo type="max"/>
        <color rgb="FFFF555A"/>
      </dataBar>
    </cfRule>
  </conditionalFormatting>
  <conditionalFormatting sqref="O325:O340">
    <cfRule type="dataBar" priority="1882">
      <dataBar>
        <cfvo type="min"/>
        <cfvo type="max"/>
        <color rgb="FFFF555A"/>
      </dataBar>
    </cfRule>
  </conditionalFormatting>
  <conditionalFormatting sqref="P325:P340">
    <cfRule type="dataBar" priority="1881">
      <dataBar>
        <cfvo type="min"/>
        <cfvo type="max"/>
        <color rgb="FFFF555A"/>
      </dataBar>
    </cfRule>
  </conditionalFormatting>
  <conditionalFormatting sqref="R342:R358 D342:D357 C358">
    <cfRule type="containsText" dxfId="719" priority="1880" operator="containsText" text="DOWN">
      <formula>NOT(ISERROR(SEARCH("DOWN",C342)))</formula>
    </cfRule>
  </conditionalFormatting>
  <conditionalFormatting sqref="R342:R358 D342:D357 C358">
    <cfRule type="containsText" dxfId="718" priority="1879" operator="containsText" text="UP">
      <formula>NOT(ISERROR(SEARCH("UP",C342)))</formula>
    </cfRule>
  </conditionalFormatting>
  <conditionalFormatting sqref="I358">
    <cfRule type="colorScale" priority="1878">
      <colorScale>
        <cfvo type="min"/>
        <cfvo type="max"/>
        <color rgb="FFFFEF9C"/>
        <color rgb="FF63BE7B"/>
      </colorScale>
    </cfRule>
  </conditionalFormatting>
  <conditionalFormatting sqref="M358">
    <cfRule type="colorScale" priority="1877">
      <colorScale>
        <cfvo type="min"/>
        <cfvo type="max"/>
        <color rgb="FFFF7128"/>
        <color rgb="FFFFEF9C"/>
      </colorScale>
    </cfRule>
  </conditionalFormatting>
  <conditionalFormatting sqref="Q358">
    <cfRule type="dataBar" priority="1876">
      <dataBar>
        <cfvo type="min"/>
        <cfvo type="max"/>
        <color rgb="FFFF555A"/>
      </dataBar>
    </cfRule>
  </conditionalFormatting>
  <conditionalFormatting sqref="E342:E358">
    <cfRule type="dataBar" priority="1875">
      <dataBar>
        <cfvo type="min"/>
        <cfvo type="max"/>
        <color rgb="FFFF555A"/>
      </dataBar>
    </cfRule>
  </conditionalFormatting>
  <conditionalFormatting sqref="F358">
    <cfRule type="top10" dxfId="717" priority="1874" rank="1"/>
  </conditionalFormatting>
  <conditionalFormatting sqref="G358 P358">
    <cfRule type="cellIs" dxfId="716" priority="1873" operator="equal">
      <formula>$G$135</formula>
    </cfRule>
  </conditionalFormatting>
  <conditionalFormatting sqref="P358">
    <cfRule type="cellIs" dxfId="715" priority="1872" operator="equal">
      <formula>$J$135</formula>
    </cfRule>
  </conditionalFormatting>
  <conditionalFormatting sqref="G358 P358">
    <cfRule type="cellIs" dxfId="714" priority="1871" operator="equal">
      <formula>#REF!</formula>
    </cfRule>
  </conditionalFormatting>
  <conditionalFormatting sqref="G358">
    <cfRule type="top10" dxfId="713" priority="1869" rank="1"/>
    <cfRule type="cellIs" dxfId="712" priority="1870" operator="equal">
      <formula>$G$133</formula>
    </cfRule>
  </conditionalFormatting>
  <conditionalFormatting sqref="P358">
    <cfRule type="top10" dxfId="711" priority="1867" rank="1"/>
    <cfRule type="cellIs" dxfId="710" priority="1868" operator="equal">
      <formula>$G$133</formula>
    </cfRule>
  </conditionalFormatting>
  <conditionalFormatting sqref="C342:C357">
    <cfRule type="containsText" dxfId="709" priority="1863" operator="containsText" text="Short Buildup">
      <formula>NOT(ISERROR(SEARCH("Short Buildup",C342)))</formula>
    </cfRule>
    <cfRule type="containsText" dxfId="708" priority="1864" operator="containsText" text="Long Liquidation">
      <formula>NOT(ISERROR(SEARCH("Long Liquidation",C342)))</formula>
    </cfRule>
    <cfRule type="containsText" dxfId="707" priority="1865" operator="containsText" text="Short covering">
      <formula>NOT(ISERROR(SEARCH("Short covering",C342)))</formula>
    </cfRule>
    <cfRule type="containsText" dxfId="706" priority="1866" operator="containsText" text="Long Buildup">
      <formula>NOT(ISERROR(SEARCH("Long Buildup",C342)))</formula>
    </cfRule>
  </conditionalFormatting>
  <conditionalFormatting sqref="H358">
    <cfRule type="colorScale" priority="1858">
      <colorScale>
        <cfvo type="min"/>
        <cfvo type="percentile" val="20"/>
        <cfvo type="max"/>
        <color rgb="FF92D050"/>
        <color theme="5" tint="0.79998168889431442"/>
        <color rgb="FFFF0000"/>
      </colorScale>
    </cfRule>
    <cfRule type="colorScale" priority="1859">
      <colorScale>
        <cfvo type="min"/>
        <cfvo type="max"/>
        <color rgb="FFFF0000"/>
        <color rgb="FF92D050"/>
      </colorScale>
    </cfRule>
    <cfRule type="colorScale" priority="1860">
      <colorScale>
        <cfvo type="min"/>
        <cfvo type="percentile" val="50"/>
        <cfvo type="max"/>
        <color rgb="FF5A8AC6"/>
        <color rgb="FFFCFCFF"/>
        <color rgb="FFF8696B"/>
      </colorScale>
    </cfRule>
    <cfRule type="colorScale" priority="1861">
      <colorScale>
        <cfvo type="formula" val="&quot;&gt;20&quot;"/>
        <cfvo type="formula" val="35"/>
        <color rgb="FFF8696B"/>
        <color rgb="FFFCFCFF"/>
      </colorScale>
    </cfRule>
    <cfRule type="colorScale" priority="1862">
      <colorScale>
        <cfvo type="min"/>
        <cfvo type="max"/>
        <color rgb="FFFFEF9C"/>
        <color rgb="FF63BE7B"/>
      </colorScale>
    </cfRule>
  </conditionalFormatting>
  <conditionalFormatting sqref="N358">
    <cfRule type="colorScale" priority="1853">
      <colorScale>
        <cfvo type="min"/>
        <cfvo type="percentile" val="20"/>
        <cfvo type="max"/>
        <color rgb="FF92D050"/>
        <color theme="5" tint="0.79998168889431442"/>
        <color rgb="FFFF0000"/>
      </colorScale>
    </cfRule>
    <cfRule type="colorScale" priority="1854">
      <colorScale>
        <cfvo type="min"/>
        <cfvo type="max"/>
        <color rgb="FFFF0000"/>
        <color rgb="FF92D050"/>
      </colorScale>
    </cfRule>
    <cfRule type="colorScale" priority="1855">
      <colorScale>
        <cfvo type="min"/>
        <cfvo type="percentile" val="50"/>
        <cfvo type="max"/>
        <color rgb="FF5A8AC6"/>
        <color rgb="FFFCFCFF"/>
        <color rgb="FFF8696B"/>
      </colorScale>
    </cfRule>
    <cfRule type="colorScale" priority="1856">
      <colorScale>
        <cfvo type="formula" val="&quot;&gt;20&quot;"/>
        <cfvo type="formula" val="35"/>
        <color rgb="FFF8696B"/>
        <color rgb="FFFCFCFF"/>
      </colorScale>
    </cfRule>
    <cfRule type="colorScale" priority="1857">
      <colorScale>
        <cfvo type="min"/>
        <cfvo type="max"/>
        <color rgb="FFFFEF9C"/>
        <color rgb="FF63BE7B"/>
      </colorScale>
    </cfRule>
  </conditionalFormatting>
  <conditionalFormatting sqref="S342:S358">
    <cfRule type="containsText" dxfId="705" priority="1849" operator="containsText" text="Short Buildup">
      <formula>NOT(ISERROR(SEARCH("Short Buildup",S342)))</formula>
    </cfRule>
    <cfRule type="containsText" dxfId="704" priority="1850" operator="containsText" text="Long Liquidation">
      <formula>NOT(ISERROR(SEARCH("Long Liquidation",S342)))</formula>
    </cfRule>
    <cfRule type="containsText" dxfId="703" priority="1851" operator="containsText" text="Short covering">
      <formula>NOT(ISERROR(SEARCH("Short covering",S342)))</formula>
    </cfRule>
    <cfRule type="containsText" dxfId="702" priority="1852" operator="containsText" text="Long Buildup">
      <formula>NOT(ISERROR(SEARCH("Long Buildup",S342)))</formula>
    </cfRule>
  </conditionalFormatting>
  <conditionalFormatting sqref="F342:F357">
    <cfRule type="dataBar" priority="1848">
      <dataBar>
        <cfvo type="min"/>
        <cfvo type="max"/>
        <color rgb="FFFF555A"/>
      </dataBar>
    </cfRule>
  </conditionalFormatting>
  <conditionalFormatting sqref="G342:G357">
    <cfRule type="dataBar" priority="1847">
      <dataBar>
        <cfvo type="min"/>
        <cfvo type="max"/>
        <color rgb="FFFF555A"/>
      </dataBar>
    </cfRule>
  </conditionalFormatting>
  <conditionalFormatting sqref="H342">
    <cfRule type="dataBar" priority="1846">
      <dataBar>
        <cfvo type="min"/>
        <cfvo type="max"/>
        <color rgb="FFFF555A"/>
      </dataBar>
    </cfRule>
  </conditionalFormatting>
  <conditionalFormatting sqref="I342">
    <cfRule type="dataBar" priority="1845">
      <dataBar>
        <cfvo type="min"/>
        <cfvo type="max"/>
        <color rgb="FFFF555A"/>
      </dataBar>
    </cfRule>
  </conditionalFormatting>
  <conditionalFormatting sqref="J342">
    <cfRule type="dataBar" priority="1844">
      <dataBar>
        <cfvo type="min"/>
        <cfvo type="max"/>
        <color rgb="FFFF555A"/>
      </dataBar>
    </cfRule>
  </conditionalFormatting>
  <conditionalFormatting sqref="E343:E357">
    <cfRule type="dataBar" priority="1843">
      <dataBar>
        <cfvo type="min"/>
        <cfvo type="max"/>
        <color rgb="FFFF555A"/>
      </dataBar>
    </cfRule>
  </conditionalFormatting>
  <conditionalFormatting sqref="H343:H357">
    <cfRule type="dataBar" priority="1842">
      <dataBar>
        <cfvo type="min"/>
        <cfvo type="max"/>
        <color rgb="FFFF555A"/>
      </dataBar>
    </cfRule>
  </conditionalFormatting>
  <conditionalFormatting sqref="I343:I357">
    <cfRule type="dataBar" priority="1841">
      <dataBar>
        <cfvo type="min"/>
        <cfvo type="max"/>
        <color rgb="FFFF555A"/>
      </dataBar>
    </cfRule>
  </conditionalFormatting>
  <conditionalFormatting sqref="J343:J357">
    <cfRule type="dataBar" priority="1840">
      <dataBar>
        <cfvo type="min"/>
        <cfvo type="max"/>
        <color rgb="FFFF555A"/>
      </dataBar>
    </cfRule>
  </conditionalFormatting>
  <conditionalFormatting sqref="L342:L357">
    <cfRule type="dataBar" priority="1839">
      <dataBar>
        <cfvo type="min"/>
        <cfvo type="max"/>
        <color rgb="FFFF555A"/>
      </dataBar>
    </cfRule>
  </conditionalFormatting>
  <conditionalFormatting sqref="M342:M357">
    <cfRule type="dataBar" priority="1838">
      <dataBar>
        <cfvo type="min"/>
        <cfvo type="max"/>
        <color rgb="FFFF555A"/>
      </dataBar>
    </cfRule>
  </conditionalFormatting>
  <conditionalFormatting sqref="N342:N357">
    <cfRule type="dataBar" priority="1837">
      <dataBar>
        <cfvo type="min"/>
        <cfvo type="max"/>
        <color rgb="FFFF555A"/>
      </dataBar>
    </cfRule>
  </conditionalFormatting>
  <conditionalFormatting sqref="Q342:Q357">
    <cfRule type="dataBar" priority="1836">
      <dataBar>
        <cfvo type="min"/>
        <cfvo type="max"/>
        <color rgb="FFFF555A"/>
      </dataBar>
    </cfRule>
  </conditionalFormatting>
  <conditionalFormatting sqref="O342:O357">
    <cfRule type="dataBar" priority="1835">
      <dataBar>
        <cfvo type="min"/>
        <cfvo type="max"/>
        <color rgb="FFFF555A"/>
      </dataBar>
    </cfRule>
  </conditionalFormatting>
  <conditionalFormatting sqref="P342:P357">
    <cfRule type="dataBar" priority="1834">
      <dataBar>
        <cfvo type="min"/>
        <cfvo type="max"/>
        <color rgb="FFFF555A"/>
      </dataBar>
    </cfRule>
  </conditionalFormatting>
  <conditionalFormatting sqref="R359:R375 D359:D374 C375">
    <cfRule type="containsText" dxfId="701" priority="1833" operator="containsText" text="DOWN">
      <formula>NOT(ISERROR(SEARCH("DOWN",C359)))</formula>
    </cfRule>
  </conditionalFormatting>
  <conditionalFormatting sqref="R359:R375 D359:D374 C375">
    <cfRule type="containsText" dxfId="700" priority="1832" operator="containsText" text="UP">
      <formula>NOT(ISERROR(SEARCH("UP",C359)))</formula>
    </cfRule>
  </conditionalFormatting>
  <conditionalFormatting sqref="I375">
    <cfRule type="colorScale" priority="1831">
      <colorScale>
        <cfvo type="min"/>
        <cfvo type="max"/>
        <color rgb="FFFFEF9C"/>
        <color rgb="FF63BE7B"/>
      </colorScale>
    </cfRule>
  </conditionalFormatting>
  <conditionalFormatting sqref="M375">
    <cfRule type="colorScale" priority="1830">
      <colorScale>
        <cfvo type="min"/>
        <cfvo type="max"/>
        <color rgb="FFFF7128"/>
        <color rgb="FFFFEF9C"/>
      </colorScale>
    </cfRule>
  </conditionalFormatting>
  <conditionalFormatting sqref="Q375">
    <cfRule type="dataBar" priority="1829">
      <dataBar>
        <cfvo type="min"/>
        <cfvo type="max"/>
        <color rgb="FFFF555A"/>
      </dataBar>
    </cfRule>
  </conditionalFormatting>
  <conditionalFormatting sqref="E359:E375">
    <cfRule type="dataBar" priority="1828">
      <dataBar>
        <cfvo type="min"/>
        <cfvo type="max"/>
        <color rgb="FFFF555A"/>
      </dataBar>
    </cfRule>
  </conditionalFormatting>
  <conditionalFormatting sqref="F375">
    <cfRule type="top10" dxfId="699" priority="1827" rank="1"/>
  </conditionalFormatting>
  <conditionalFormatting sqref="G375 P375">
    <cfRule type="cellIs" dxfId="698" priority="1826" operator="equal">
      <formula>$G$135</formula>
    </cfRule>
  </conditionalFormatting>
  <conditionalFormatting sqref="P375">
    <cfRule type="cellIs" dxfId="697" priority="1825" operator="equal">
      <formula>$J$135</formula>
    </cfRule>
  </conditionalFormatting>
  <conditionalFormatting sqref="G375 P375">
    <cfRule type="cellIs" dxfId="696" priority="1824" operator="equal">
      <formula>#REF!</formula>
    </cfRule>
  </conditionalFormatting>
  <conditionalFormatting sqref="G375">
    <cfRule type="top10" dxfId="695" priority="1822" rank="1"/>
    <cfRule type="cellIs" dxfId="694" priority="1823" operator="equal">
      <formula>$G$133</formula>
    </cfRule>
  </conditionalFormatting>
  <conditionalFormatting sqref="P375">
    <cfRule type="top10" dxfId="693" priority="1820" rank="1"/>
    <cfRule type="cellIs" dxfId="692" priority="1821" operator="equal">
      <formula>$G$133</formula>
    </cfRule>
  </conditionalFormatting>
  <conditionalFormatting sqref="C359:C374">
    <cfRule type="containsText" dxfId="691" priority="1816" operator="containsText" text="Short Buildup">
      <formula>NOT(ISERROR(SEARCH("Short Buildup",C359)))</formula>
    </cfRule>
    <cfRule type="containsText" dxfId="690" priority="1817" operator="containsText" text="Long Liquidation">
      <formula>NOT(ISERROR(SEARCH("Long Liquidation",C359)))</formula>
    </cfRule>
    <cfRule type="containsText" dxfId="689" priority="1818" operator="containsText" text="Short covering">
      <formula>NOT(ISERROR(SEARCH("Short covering",C359)))</formula>
    </cfRule>
    <cfRule type="containsText" dxfId="688" priority="1819" operator="containsText" text="Long Buildup">
      <formula>NOT(ISERROR(SEARCH("Long Buildup",C359)))</formula>
    </cfRule>
  </conditionalFormatting>
  <conditionalFormatting sqref="H375">
    <cfRule type="colorScale" priority="1811">
      <colorScale>
        <cfvo type="min"/>
        <cfvo type="percentile" val="20"/>
        <cfvo type="max"/>
        <color rgb="FF92D050"/>
        <color theme="5" tint="0.79998168889431442"/>
        <color rgb="FFFF0000"/>
      </colorScale>
    </cfRule>
    <cfRule type="colorScale" priority="1812">
      <colorScale>
        <cfvo type="min"/>
        <cfvo type="max"/>
        <color rgb="FFFF0000"/>
        <color rgb="FF92D050"/>
      </colorScale>
    </cfRule>
    <cfRule type="colorScale" priority="1813">
      <colorScale>
        <cfvo type="min"/>
        <cfvo type="percentile" val="50"/>
        <cfvo type="max"/>
        <color rgb="FF5A8AC6"/>
        <color rgb="FFFCFCFF"/>
        <color rgb="FFF8696B"/>
      </colorScale>
    </cfRule>
    <cfRule type="colorScale" priority="1814">
      <colorScale>
        <cfvo type="formula" val="&quot;&gt;20&quot;"/>
        <cfvo type="formula" val="35"/>
        <color rgb="FFF8696B"/>
        <color rgb="FFFCFCFF"/>
      </colorScale>
    </cfRule>
    <cfRule type="colorScale" priority="1815">
      <colorScale>
        <cfvo type="min"/>
        <cfvo type="max"/>
        <color rgb="FFFFEF9C"/>
        <color rgb="FF63BE7B"/>
      </colorScale>
    </cfRule>
  </conditionalFormatting>
  <conditionalFormatting sqref="N375">
    <cfRule type="colorScale" priority="1806">
      <colorScale>
        <cfvo type="min"/>
        <cfvo type="percentile" val="20"/>
        <cfvo type="max"/>
        <color rgb="FF92D050"/>
        <color theme="5" tint="0.79998168889431442"/>
        <color rgb="FFFF0000"/>
      </colorScale>
    </cfRule>
    <cfRule type="colorScale" priority="1807">
      <colorScale>
        <cfvo type="min"/>
        <cfvo type="max"/>
        <color rgb="FFFF0000"/>
        <color rgb="FF92D050"/>
      </colorScale>
    </cfRule>
    <cfRule type="colorScale" priority="1808">
      <colorScale>
        <cfvo type="min"/>
        <cfvo type="percentile" val="50"/>
        <cfvo type="max"/>
        <color rgb="FF5A8AC6"/>
        <color rgb="FFFCFCFF"/>
        <color rgb="FFF8696B"/>
      </colorScale>
    </cfRule>
    <cfRule type="colorScale" priority="1809">
      <colorScale>
        <cfvo type="formula" val="&quot;&gt;20&quot;"/>
        <cfvo type="formula" val="35"/>
        <color rgb="FFF8696B"/>
        <color rgb="FFFCFCFF"/>
      </colorScale>
    </cfRule>
    <cfRule type="colorScale" priority="1810">
      <colorScale>
        <cfvo type="min"/>
        <cfvo type="max"/>
        <color rgb="FFFFEF9C"/>
        <color rgb="FF63BE7B"/>
      </colorScale>
    </cfRule>
  </conditionalFormatting>
  <conditionalFormatting sqref="S359:S375">
    <cfRule type="containsText" dxfId="687" priority="1802" operator="containsText" text="Short Buildup">
      <formula>NOT(ISERROR(SEARCH("Short Buildup",S359)))</formula>
    </cfRule>
    <cfRule type="containsText" dxfId="686" priority="1803" operator="containsText" text="Long Liquidation">
      <formula>NOT(ISERROR(SEARCH("Long Liquidation",S359)))</formula>
    </cfRule>
    <cfRule type="containsText" dxfId="685" priority="1804" operator="containsText" text="Short covering">
      <formula>NOT(ISERROR(SEARCH("Short covering",S359)))</formula>
    </cfRule>
    <cfRule type="containsText" dxfId="684" priority="1805" operator="containsText" text="Long Buildup">
      <formula>NOT(ISERROR(SEARCH("Long Buildup",S359)))</formula>
    </cfRule>
  </conditionalFormatting>
  <conditionalFormatting sqref="F359:F374">
    <cfRule type="dataBar" priority="1801">
      <dataBar>
        <cfvo type="min"/>
        <cfvo type="max"/>
        <color rgb="FFFF555A"/>
      </dataBar>
    </cfRule>
  </conditionalFormatting>
  <conditionalFormatting sqref="G359:G374">
    <cfRule type="dataBar" priority="1800">
      <dataBar>
        <cfvo type="min"/>
        <cfvo type="max"/>
        <color rgb="FFFF555A"/>
      </dataBar>
    </cfRule>
  </conditionalFormatting>
  <conditionalFormatting sqref="H359">
    <cfRule type="dataBar" priority="1799">
      <dataBar>
        <cfvo type="min"/>
        <cfvo type="max"/>
        <color rgb="FFFF555A"/>
      </dataBar>
    </cfRule>
  </conditionalFormatting>
  <conditionalFormatting sqref="I359">
    <cfRule type="dataBar" priority="1798">
      <dataBar>
        <cfvo type="min"/>
        <cfvo type="max"/>
        <color rgb="FFFF555A"/>
      </dataBar>
    </cfRule>
  </conditionalFormatting>
  <conditionalFormatting sqref="J359">
    <cfRule type="dataBar" priority="1797">
      <dataBar>
        <cfvo type="min"/>
        <cfvo type="max"/>
        <color rgb="FFFF555A"/>
      </dataBar>
    </cfRule>
  </conditionalFormatting>
  <conditionalFormatting sqref="E360:E374">
    <cfRule type="dataBar" priority="1796">
      <dataBar>
        <cfvo type="min"/>
        <cfvo type="max"/>
        <color rgb="FFFF555A"/>
      </dataBar>
    </cfRule>
  </conditionalFormatting>
  <conditionalFormatting sqref="H360:H374">
    <cfRule type="dataBar" priority="1795">
      <dataBar>
        <cfvo type="min"/>
        <cfvo type="max"/>
        <color rgb="FFFF555A"/>
      </dataBar>
    </cfRule>
  </conditionalFormatting>
  <conditionalFormatting sqref="I360:I374">
    <cfRule type="dataBar" priority="1794">
      <dataBar>
        <cfvo type="min"/>
        <cfvo type="max"/>
        <color rgb="FFFF555A"/>
      </dataBar>
    </cfRule>
  </conditionalFormatting>
  <conditionalFormatting sqref="J360:J374">
    <cfRule type="dataBar" priority="1793">
      <dataBar>
        <cfvo type="min"/>
        <cfvo type="max"/>
        <color rgb="FFFF555A"/>
      </dataBar>
    </cfRule>
  </conditionalFormatting>
  <conditionalFormatting sqref="L359:L374">
    <cfRule type="dataBar" priority="1792">
      <dataBar>
        <cfvo type="min"/>
        <cfvo type="max"/>
        <color rgb="FFFF555A"/>
      </dataBar>
    </cfRule>
  </conditionalFormatting>
  <conditionalFormatting sqref="M359:M374">
    <cfRule type="dataBar" priority="1791">
      <dataBar>
        <cfvo type="min"/>
        <cfvo type="max"/>
        <color rgb="FFFF555A"/>
      </dataBar>
    </cfRule>
  </conditionalFormatting>
  <conditionalFormatting sqref="N359:N374">
    <cfRule type="dataBar" priority="1790">
      <dataBar>
        <cfvo type="min"/>
        <cfvo type="max"/>
        <color rgb="FFFF555A"/>
      </dataBar>
    </cfRule>
  </conditionalFormatting>
  <conditionalFormatting sqref="Q359:Q374">
    <cfRule type="dataBar" priority="1789">
      <dataBar>
        <cfvo type="min"/>
        <cfvo type="max"/>
        <color rgb="FFFF555A"/>
      </dataBar>
    </cfRule>
  </conditionalFormatting>
  <conditionalFormatting sqref="O359:O374">
    <cfRule type="dataBar" priority="1788">
      <dataBar>
        <cfvo type="min"/>
        <cfvo type="max"/>
        <color rgb="FFFF555A"/>
      </dataBar>
    </cfRule>
  </conditionalFormatting>
  <conditionalFormatting sqref="P359:P374">
    <cfRule type="dataBar" priority="1787">
      <dataBar>
        <cfvo type="min"/>
        <cfvo type="max"/>
        <color rgb="FFFF555A"/>
      </dataBar>
    </cfRule>
  </conditionalFormatting>
  <conditionalFormatting sqref="R376:R392 D376:D391 C392">
    <cfRule type="containsText" dxfId="683" priority="1786" operator="containsText" text="DOWN">
      <formula>NOT(ISERROR(SEARCH("DOWN",C376)))</formula>
    </cfRule>
  </conditionalFormatting>
  <conditionalFormatting sqref="R376:R392 D376:D391 C392">
    <cfRule type="containsText" dxfId="682" priority="1785" operator="containsText" text="UP">
      <formula>NOT(ISERROR(SEARCH("UP",C376)))</formula>
    </cfRule>
  </conditionalFormatting>
  <conditionalFormatting sqref="I392">
    <cfRule type="colorScale" priority="1784">
      <colorScale>
        <cfvo type="min"/>
        <cfvo type="max"/>
        <color rgb="FFFFEF9C"/>
        <color rgb="FF63BE7B"/>
      </colorScale>
    </cfRule>
  </conditionalFormatting>
  <conditionalFormatting sqref="M392">
    <cfRule type="colorScale" priority="1783">
      <colorScale>
        <cfvo type="min"/>
        <cfvo type="max"/>
        <color rgb="FFFF7128"/>
        <color rgb="FFFFEF9C"/>
      </colorScale>
    </cfRule>
  </conditionalFormatting>
  <conditionalFormatting sqref="Q392">
    <cfRule type="dataBar" priority="1782">
      <dataBar>
        <cfvo type="min"/>
        <cfvo type="max"/>
        <color rgb="FFFF555A"/>
      </dataBar>
    </cfRule>
  </conditionalFormatting>
  <conditionalFormatting sqref="E376:E392">
    <cfRule type="dataBar" priority="1781">
      <dataBar>
        <cfvo type="min"/>
        <cfvo type="max"/>
        <color rgb="FFFF555A"/>
      </dataBar>
    </cfRule>
  </conditionalFormatting>
  <conditionalFormatting sqref="F392">
    <cfRule type="top10" dxfId="681" priority="1780" rank="1"/>
  </conditionalFormatting>
  <conditionalFormatting sqref="G392 P392">
    <cfRule type="cellIs" dxfId="680" priority="1779" operator="equal">
      <formula>$G$135</formula>
    </cfRule>
  </conditionalFormatting>
  <conditionalFormatting sqref="P392">
    <cfRule type="cellIs" dxfId="679" priority="1778" operator="equal">
      <formula>$J$135</formula>
    </cfRule>
  </conditionalFormatting>
  <conditionalFormatting sqref="G392 P392">
    <cfRule type="cellIs" dxfId="678" priority="1777" operator="equal">
      <formula>#REF!</formula>
    </cfRule>
  </conditionalFormatting>
  <conditionalFormatting sqref="G392">
    <cfRule type="top10" dxfId="677" priority="1775" rank="1"/>
    <cfRule type="cellIs" dxfId="676" priority="1776" operator="equal">
      <formula>$G$133</formula>
    </cfRule>
  </conditionalFormatting>
  <conditionalFormatting sqref="P392">
    <cfRule type="top10" dxfId="675" priority="1773" rank="1"/>
    <cfRule type="cellIs" dxfId="674" priority="1774" operator="equal">
      <formula>$G$133</formula>
    </cfRule>
  </conditionalFormatting>
  <conditionalFormatting sqref="C376:C391">
    <cfRule type="containsText" dxfId="673" priority="1769" operator="containsText" text="Short Buildup">
      <formula>NOT(ISERROR(SEARCH("Short Buildup",C376)))</formula>
    </cfRule>
    <cfRule type="containsText" dxfId="672" priority="1770" operator="containsText" text="Long Liquidation">
      <formula>NOT(ISERROR(SEARCH("Long Liquidation",C376)))</formula>
    </cfRule>
    <cfRule type="containsText" dxfId="671" priority="1771" operator="containsText" text="Short covering">
      <formula>NOT(ISERROR(SEARCH("Short covering",C376)))</formula>
    </cfRule>
    <cfRule type="containsText" dxfId="670" priority="1772" operator="containsText" text="Long Buildup">
      <formula>NOT(ISERROR(SEARCH("Long Buildup",C376)))</formula>
    </cfRule>
  </conditionalFormatting>
  <conditionalFormatting sqref="H392">
    <cfRule type="colorScale" priority="1764">
      <colorScale>
        <cfvo type="min"/>
        <cfvo type="percentile" val="20"/>
        <cfvo type="max"/>
        <color rgb="FF92D050"/>
        <color theme="5" tint="0.79998168889431442"/>
        <color rgb="FFFF0000"/>
      </colorScale>
    </cfRule>
    <cfRule type="colorScale" priority="1765">
      <colorScale>
        <cfvo type="min"/>
        <cfvo type="max"/>
        <color rgb="FFFF0000"/>
        <color rgb="FF92D050"/>
      </colorScale>
    </cfRule>
    <cfRule type="colorScale" priority="1766">
      <colorScale>
        <cfvo type="min"/>
        <cfvo type="percentile" val="50"/>
        <cfvo type="max"/>
        <color rgb="FF5A8AC6"/>
        <color rgb="FFFCFCFF"/>
        <color rgb="FFF8696B"/>
      </colorScale>
    </cfRule>
    <cfRule type="colorScale" priority="1767">
      <colorScale>
        <cfvo type="formula" val="&quot;&gt;20&quot;"/>
        <cfvo type="formula" val="35"/>
        <color rgb="FFF8696B"/>
        <color rgb="FFFCFCFF"/>
      </colorScale>
    </cfRule>
    <cfRule type="colorScale" priority="1768">
      <colorScale>
        <cfvo type="min"/>
        <cfvo type="max"/>
        <color rgb="FFFFEF9C"/>
        <color rgb="FF63BE7B"/>
      </colorScale>
    </cfRule>
  </conditionalFormatting>
  <conditionalFormatting sqref="N392">
    <cfRule type="colorScale" priority="1759">
      <colorScale>
        <cfvo type="min"/>
        <cfvo type="percentile" val="20"/>
        <cfvo type="max"/>
        <color rgb="FF92D050"/>
        <color theme="5" tint="0.79998168889431442"/>
        <color rgb="FFFF0000"/>
      </colorScale>
    </cfRule>
    <cfRule type="colorScale" priority="1760">
      <colorScale>
        <cfvo type="min"/>
        <cfvo type="max"/>
        <color rgb="FFFF0000"/>
        <color rgb="FF92D050"/>
      </colorScale>
    </cfRule>
    <cfRule type="colorScale" priority="1761">
      <colorScale>
        <cfvo type="min"/>
        <cfvo type="percentile" val="50"/>
        <cfvo type="max"/>
        <color rgb="FF5A8AC6"/>
        <color rgb="FFFCFCFF"/>
        <color rgb="FFF8696B"/>
      </colorScale>
    </cfRule>
    <cfRule type="colorScale" priority="1762">
      <colorScale>
        <cfvo type="formula" val="&quot;&gt;20&quot;"/>
        <cfvo type="formula" val="35"/>
        <color rgb="FFF8696B"/>
        <color rgb="FFFCFCFF"/>
      </colorScale>
    </cfRule>
    <cfRule type="colorScale" priority="1763">
      <colorScale>
        <cfvo type="min"/>
        <cfvo type="max"/>
        <color rgb="FFFFEF9C"/>
        <color rgb="FF63BE7B"/>
      </colorScale>
    </cfRule>
  </conditionalFormatting>
  <conditionalFormatting sqref="S376:S392">
    <cfRule type="containsText" dxfId="669" priority="1755" operator="containsText" text="Short Buildup">
      <formula>NOT(ISERROR(SEARCH("Short Buildup",S376)))</formula>
    </cfRule>
    <cfRule type="containsText" dxfId="668" priority="1756" operator="containsText" text="Long Liquidation">
      <formula>NOT(ISERROR(SEARCH("Long Liquidation",S376)))</formula>
    </cfRule>
    <cfRule type="containsText" dxfId="667" priority="1757" operator="containsText" text="Short covering">
      <formula>NOT(ISERROR(SEARCH("Short covering",S376)))</formula>
    </cfRule>
    <cfRule type="containsText" dxfId="666" priority="1758" operator="containsText" text="Long Buildup">
      <formula>NOT(ISERROR(SEARCH("Long Buildup",S376)))</formula>
    </cfRule>
  </conditionalFormatting>
  <conditionalFormatting sqref="F376:F391">
    <cfRule type="dataBar" priority="1754">
      <dataBar>
        <cfvo type="min"/>
        <cfvo type="max"/>
        <color rgb="FFFF555A"/>
      </dataBar>
    </cfRule>
  </conditionalFormatting>
  <conditionalFormatting sqref="G376:G391">
    <cfRule type="dataBar" priority="1753">
      <dataBar>
        <cfvo type="min"/>
        <cfvo type="max"/>
        <color rgb="FFFF555A"/>
      </dataBar>
    </cfRule>
  </conditionalFormatting>
  <conditionalFormatting sqref="H376">
    <cfRule type="dataBar" priority="1752">
      <dataBar>
        <cfvo type="min"/>
        <cfvo type="max"/>
        <color rgb="FFFF555A"/>
      </dataBar>
    </cfRule>
  </conditionalFormatting>
  <conditionalFormatting sqref="I376">
    <cfRule type="dataBar" priority="1751">
      <dataBar>
        <cfvo type="min"/>
        <cfvo type="max"/>
        <color rgb="FFFF555A"/>
      </dataBar>
    </cfRule>
  </conditionalFormatting>
  <conditionalFormatting sqref="J376">
    <cfRule type="dataBar" priority="1750">
      <dataBar>
        <cfvo type="min"/>
        <cfvo type="max"/>
        <color rgb="FFFF555A"/>
      </dataBar>
    </cfRule>
  </conditionalFormatting>
  <conditionalFormatting sqref="E377:E391">
    <cfRule type="dataBar" priority="1749">
      <dataBar>
        <cfvo type="min"/>
        <cfvo type="max"/>
        <color rgb="FFFF555A"/>
      </dataBar>
    </cfRule>
  </conditionalFormatting>
  <conditionalFormatting sqref="H377:H391">
    <cfRule type="dataBar" priority="1748">
      <dataBar>
        <cfvo type="min"/>
        <cfvo type="max"/>
        <color rgb="FFFF555A"/>
      </dataBar>
    </cfRule>
  </conditionalFormatting>
  <conditionalFormatting sqref="I377:I391">
    <cfRule type="dataBar" priority="1747">
      <dataBar>
        <cfvo type="min"/>
        <cfvo type="max"/>
        <color rgb="FFFF555A"/>
      </dataBar>
    </cfRule>
  </conditionalFormatting>
  <conditionalFormatting sqref="J377:J391">
    <cfRule type="dataBar" priority="1746">
      <dataBar>
        <cfvo type="min"/>
        <cfvo type="max"/>
        <color rgb="FFFF555A"/>
      </dataBar>
    </cfRule>
  </conditionalFormatting>
  <conditionalFormatting sqref="L376:L391">
    <cfRule type="dataBar" priority="1745">
      <dataBar>
        <cfvo type="min"/>
        <cfvo type="max"/>
        <color rgb="FFFF555A"/>
      </dataBar>
    </cfRule>
  </conditionalFormatting>
  <conditionalFormatting sqref="M376:M391">
    <cfRule type="dataBar" priority="1744">
      <dataBar>
        <cfvo type="min"/>
        <cfvo type="max"/>
        <color rgb="FFFF555A"/>
      </dataBar>
    </cfRule>
  </conditionalFormatting>
  <conditionalFormatting sqref="N376:N391">
    <cfRule type="dataBar" priority="1743">
      <dataBar>
        <cfvo type="min"/>
        <cfvo type="max"/>
        <color rgb="FFFF555A"/>
      </dataBar>
    </cfRule>
  </conditionalFormatting>
  <conditionalFormatting sqref="Q376:Q391">
    <cfRule type="dataBar" priority="1742">
      <dataBar>
        <cfvo type="min"/>
        <cfvo type="max"/>
        <color rgb="FFFF555A"/>
      </dataBar>
    </cfRule>
  </conditionalFormatting>
  <conditionalFormatting sqref="O376:O391">
    <cfRule type="dataBar" priority="1741">
      <dataBar>
        <cfvo type="min"/>
        <cfvo type="max"/>
        <color rgb="FFFF555A"/>
      </dataBar>
    </cfRule>
  </conditionalFormatting>
  <conditionalFormatting sqref="P376:P391">
    <cfRule type="dataBar" priority="1740">
      <dataBar>
        <cfvo type="min"/>
        <cfvo type="max"/>
        <color rgb="FFFF555A"/>
      </dataBar>
    </cfRule>
  </conditionalFormatting>
  <conditionalFormatting sqref="R393:R409 D393:D408 C409">
    <cfRule type="containsText" dxfId="665" priority="1739" operator="containsText" text="DOWN">
      <formula>NOT(ISERROR(SEARCH("DOWN",C393)))</formula>
    </cfRule>
  </conditionalFormatting>
  <conditionalFormatting sqref="R393:R409 D393:D408 C409">
    <cfRule type="containsText" dxfId="664" priority="1738" operator="containsText" text="UP">
      <formula>NOT(ISERROR(SEARCH("UP",C393)))</formula>
    </cfRule>
  </conditionalFormatting>
  <conditionalFormatting sqref="I409">
    <cfRule type="colorScale" priority="1737">
      <colorScale>
        <cfvo type="min"/>
        <cfvo type="max"/>
        <color rgb="FFFFEF9C"/>
        <color rgb="FF63BE7B"/>
      </colorScale>
    </cfRule>
  </conditionalFormatting>
  <conditionalFormatting sqref="M409">
    <cfRule type="colorScale" priority="1736">
      <colorScale>
        <cfvo type="min"/>
        <cfvo type="max"/>
        <color rgb="FFFF7128"/>
        <color rgb="FFFFEF9C"/>
      </colorScale>
    </cfRule>
  </conditionalFormatting>
  <conditionalFormatting sqref="Q409">
    <cfRule type="dataBar" priority="1735">
      <dataBar>
        <cfvo type="min"/>
        <cfvo type="max"/>
        <color rgb="FFFF555A"/>
      </dataBar>
    </cfRule>
  </conditionalFormatting>
  <conditionalFormatting sqref="E393:E409">
    <cfRule type="dataBar" priority="1734">
      <dataBar>
        <cfvo type="min"/>
        <cfvo type="max"/>
        <color rgb="FFFF555A"/>
      </dataBar>
    </cfRule>
  </conditionalFormatting>
  <conditionalFormatting sqref="F409">
    <cfRule type="top10" dxfId="663" priority="1733" rank="1"/>
  </conditionalFormatting>
  <conditionalFormatting sqref="G409 P409">
    <cfRule type="cellIs" dxfId="662" priority="1732" operator="equal">
      <formula>$G$135</formula>
    </cfRule>
  </conditionalFormatting>
  <conditionalFormatting sqref="P409">
    <cfRule type="cellIs" dxfId="661" priority="1731" operator="equal">
      <formula>$J$135</formula>
    </cfRule>
  </conditionalFormatting>
  <conditionalFormatting sqref="G409 P409">
    <cfRule type="cellIs" dxfId="660" priority="1730" operator="equal">
      <formula>#REF!</formula>
    </cfRule>
  </conditionalFormatting>
  <conditionalFormatting sqref="G409">
    <cfRule type="top10" dxfId="659" priority="1728" rank="1"/>
    <cfRule type="cellIs" dxfId="658" priority="1729" operator="equal">
      <formula>$G$133</formula>
    </cfRule>
  </conditionalFormatting>
  <conditionalFormatting sqref="P409">
    <cfRule type="top10" dxfId="657" priority="1726" rank="1"/>
    <cfRule type="cellIs" dxfId="656" priority="1727" operator="equal">
      <formula>$G$133</formula>
    </cfRule>
  </conditionalFormatting>
  <conditionalFormatting sqref="C393:C408">
    <cfRule type="containsText" dxfId="655" priority="1722" operator="containsText" text="Short Buildup">
      <formula>NOT(ISERROR(SEARCH("Short Buildup",C393)))</formula>
    </cfRule>
    <cfRule type="containsText" dxfId="654" priority="1723" operator="containsText" text="Long Liquidation">
      <formula>NOT(ISERROR(SEARCH("Long Liquidation",C393)))</formula>
    </cfRule>
    <cfRule type="containsText" dxfId="653" priority="1724" operator="containsText" text="Short covering">
      <formula>NOT(ISERROR(SEARCH("Short covering",C393)))</formula>
    </cfRule>
    <cfRule type="containsText" dxfId="652" priority="1725" operator="containsText" text="Long Buildup">
      <formula>NOT(ISERROR(SEARCH("Long Buildup",C393)))</formula>
    </cfRule>
  </conditionalFormatting>
  <conditionalFormatting sqref="H409">
    <cfRule type="colorScale" priority="1717">
      <colorScale>
        <cfvo type="min"/>
        <cfvo type="percentile" val="20"/>
        <cfvo type="max"/>
        <color rgb="FF92D050"/>
        <color theme="5" tint="0.79998168889431442"/>
        <color rgb="FFFF0000"/>
      </colorScale>
    </cfRule>
    <cfRule type="colorScale" priority="1718">
      <colorScale>
        <cfvo type="min"/>
        <cfvo type="max"/>
        <color rgb="FFFF0000"/>
        <color rgb="FF92D050"/>
      </colorScale>
    </cfRule>
    <cfRule type="colorScale" priority="1719">
      <colorScale>
        <cfvo type="min"/>
        <cfvo type="percentile" val="50"/>
        <cfvo type="max"/>
        <color rgb="FF5A8AC6"/>
        <color rgb="FFFCFCFF"/>
        <color rgb="FFF8696B"/>
      </colorScale>
    </cfRule>
    <cfRule type="colorScale" priority="1720">
      <colorScale>
        <cfvo type="formula" val="&quot;&gt;20&quot;"/>
        <cfvo type="formula" val="35"/>
        <color rgb="FFF8696B"/>
        <color rgb="FFFCFCFF"/>
      </colorScale>
    </cfRule>
    <cfRule type="colorScale" priority="1721">
      <colorScale>
        <cfvo type="min"/>
        <cfvo type="max"/>
        <color rgb="FFFFEF9C"/>
        <color rgb="FF63BE7B"/>
      </colorScale>
    </cfRule>
  </conditionalFormatting>
  <conditionalFormatting sqref="N409">
    <cfRule type="colorScale" priority="1712">
      <colorScale>
        <cfvo type="min"/>
        <cfvo type="percentile" val="20"/>
        <cfvo type="max"/>
        <color rgb="FF92D050"/>
        <color theme="5" tint="0.79998168889431442"/>
        <color rgb="FFFF0000"/>
      </colorScale>
    </cfRule>
    <cfRule type="colorScale" priority="1713">
      <colorScale>
        <cfvo type="min"/>
        <cfvo type="max"/>
        <color rgb="FFFF0000"/>
        <color rgb="FF92D050"/>
      </colorScale>
    </cfRule>
    <cfRule type="colorScale" priority="1714">
      <colorScale>
        <cfvo type="min"/>
        <cfvo type="percentile" val="50"/>
        <cfvo type="max"/>
        <color rgb="FF5A8AC6"/>
        <color rgb="FFFCFCFF"/>
        <color rgb="FFF8696B"/>
      </colorScale>
    </cfRule>
    <cfRule type="colorScale" priority="1715">
      <colorScale>
        <cfvo type="formula" val="&quot;&gt;20&quot;"/>
        <cfvo type="formula" val="35"/>
        <color rgb="FFF8696B"/>
        <color rgb="FFFCFCFF"/>
      </colorScale>
    </cfRule>
    <cfRule type="colorScale" priority="1716">
      <colorScale>
        <cfvo type="min"/>
        <cfvo type="max"/>
        <color rgb="FFFFEF9C"/>
        <color rgb="FF63BE7B"/>
      </colorScale>
    </cfRule>
  </conditionalFormatting>
  <conditionalFormatting sqref="S393:S409">
    <cfRule type="containsText" dxfId="651" priority="1708" operator="containsText" text="Short Buildup">
      <formula>NOT(ISERROR(SEARCH("Short Buildup",S393)))</formula>
    </cfRule>
    <cfRule type="containsText" dxfId="650" priority="1709" operator="containsText" text="Long Liquidation">
      <formula>NOT(ISERROR(SEARCH("Long Liquidation",S393)))</formula>
    </cfRule>
    <cfRule type="containsText" dxfId="649" priority="1710" operator="containsText" text="Short covering">
      <formula>NOT(ISERROR(SEARCH("Short covering",S393)))</formula>
    </cfRule>
    <cfRule type="containsText" dxfId="648" priority="1711" operator="containsText" text="Long Buildup">
      <formula>NOT(ISERROR(SEARCH("Long Buildup",S393)))</formula>
    </cfRule>
  </conditionalFormatting>
  <conditionalFormatting sqref="F393:F408">
    <cfRule type="dataBar" priority="1707">
      <dataBar>
        <cfvo type="min"/>
        <cfvo type="max"/>
        <color rgb="FFFF555A"/>
      </dataBar>
    </cfRule>
  </conditionalFormatting>
  <conditionalFormatting sqref="G393:G408">
    <cfRule type="dataBar" priority="1706">
      <dataBar>
        <cfvo type="min"/>
        <cfvo type="max"/>
        <color rgb="FFFF555A"/>
      </dataBar>
    </cfRule>
  </conditionalFormatting>
  <conditionalFormatting sqref="H393">
    <cfRule type="dataBar" priority="1705">
      <dataBar>
        <cfvo type="min"/>
        <cfvo type="max"/>
        <color rgb="FFFF555A"/>
      </dataBar>
    </cfRule>
  </conditionalFormatting>
  <conditionalFormatting sqref="I393">
    <cfRule type="dataBar" priority="1704">
      <dataBar>
        <cfvo type="min"/>
        <cfvo type="max"/>
        <color rgb="FFFF555A"/>
      </dataBar>
    </cfRule>
  </conditionalFormatting>
  <conditionalFormatting sqref="J393">
    <cfRule type="dataBar" priority="1703">
      <dataBar>
        <cfvo type="min"/>
        <cfvo type="max"/>
        <color rgb="FFFF555A"/>
      </dataBar>
    </cfRule>
  </conditionalFormatting>
  <conditionalFormatting sqref="E394:E408">
    <cfRule type="dataBar" priority="1702">
      <dataBar>
        <cfvo type="min"/>
        <cfvo type="max"/>
        <color rgb="FFFF555A"/>
      </dataBar>
    </cfRule>
  </conditionalFormatting>
  <conditionalFormatting sqref="H394:H408">
    <cfRule type="dataBar" priority="1701">
      <dataBar>
        <cfvo type="min"/>
        <cfvo type="max"/>
        <color rgb="FFFF555A"/>
      </dataBar>
    </cfRule>
  </conditionalFormatting>
  <conditionalFormatting sqref="I394:I408">
    <cfRule type="dataBar" priority="1700">
      <dataBar>
        <cfvo type="min"/>
        <cfvo type="max"/>
        <color rgb="FFFF555A"/>
      </dataBar>
    </cfRule>
  </conditionalFormatting>
  <conditionalFormatting sqref="J394:J408">
    <cfRule type="dataBar" priority="1699">
      <dataBar>
        <cfvo type="min"/>
        <cfvo type="max"/>
        <color rgb="FFFF555A"/>
      </dataBar>
    </cfRule>
  </conditionalFormatting>
  <conditionalFormatting sqref="L393:L408">
    <cfRule type="dataBar" priority="1698">
      <dataBar>
        <cfvo type="min"/>
        <cfvo type="max"/>
        <color rgb="FFFF555A"/>
      </dataBar>
    </cfRule>
  </conditionalFormatting>
  <conditionalFormatting sqref="M393:M408">
    <cfRule type="dataBar" priority="1697">
      <dataBar>
        <cfvo type="min"/>
        <cfvo type="max"/>
        <color rgb="FFFF555A"/>
      </dataBar>
    </cfRule>
  </conditionalFormatting>
  <conditionalFormatting sqref="N393:N408">
    <cfRule type="dataBar" priority="1696">
      <dataBar>
        <cfvo type="min"/>
        <cfvo type="max"/>
        <color rgb="FFFF555A"/>
      </dataBar>
    </cfRule>
  </conditionalFormatting>
  <conditionalFormatting sqref="Q393:Q408">
    <cfRule type="dataBar" priority="1695">
      <dataBar>
        <cfvo type="min"/>
        <cfvo type="max"/>
        <color rgb="FFFF555A"/>
      </dataBar>
    </cfRule>
  </conditionalFormatting>
  <conditionalFormatting sqref="O393:O408">
    <cfRule type="dataBar" priority="1694">
      <dataBar>
        <cfvo type="min"/>
        <cfvo type="max"/>
        <color rgb="FFFF555A"/>
      </dataBar>
    </cfRule>
  </conditionalFormatting>
  <conditionalFormatting sqref="P393:P408">
    <cfRule type="dataBar" priority="1693">
      <dataBar>
        <cfvo type="min"/>
        <cfvo type="max"/>
        <color rgb="FFFF555A"/>
      </dataBar>
    </cfRule>
  </conditionalFormatting>
  <conditionalFormatting sqref="R410:R426 D410:D425 C426">
    <cfRule type="containsText" dxfId="647" priority="1692" operator="containsText" text="DOWN">
      <formula>NOT(ISERROR(SEARCH("DOWN",C410)))</formula>
    </cfRule>
  </conditionalFormatting>
  <conditionalFormatting sqref="R410:R426 D410:D425 C426">
    <cfRule type="containsText" dxfId="646" priority="1691" operator="containsText" text="UP">
      <formula>NOT(ISERROR(SEARCH("UP",C410)))</formula>
    </cfRule>
  </conditionalFormatting>
  <conditionalFormatting sqref="I426">
    <cfRule type="colorScale" priority="1690">
      <colorScale>
        <cfvo type="min"/>
        <cfvo type="max"/>
        <color rgb="FFFFEF9C"/>
        <color rgb="FF63BE7B"/>
      </colorScale>
    </cfRule>
  </conditionalFormatting>
  <conditionalFormatting sqref="M426">
    <cfRule type="colorScale" priority="1689">
      <colorScale>
        <cfvo type="min"/>
        <cfvo type="max"/>
        <color rgb="FFFF7128"/>
        <color rgb="FFFFEF9C"/>
      </colorScale>
    </cfRule>
  </conditionalFormatting>
  <conditionalFormatting sqref="Q426">
    <cfRule type="dataBar" priority="1688">
      <dataBar>
        <cfvo type="min"/>
        <cfvo type="max"/>
        <color rgb="FFFF555A"/>
      </dataBar>
    </cfRule>
  </conditionalFormatting>
  <conditionalFormatting sqref="E410:E426">
    <cfRule type="dataBar" priority="1687">
      <dataBar>
        <cfvo type="min"/>
        <cfvo type="max"/>
        <color rgb="FFFF555A"/>
      </dataBar>
    </cfRule>
  </conditionalFormatting>
  <conditionalFormatting sqref="F426">
    <cfRule type="top10" dxfId="645" priority="1686" rank="1"/>
  </conditionalFormatting>
  <conditionalFormatting sqref="G426 P426">
    <cfRule type="cellIs" dxfId="644" priority="1685" operator="equal">
      <formula>$G$135</formula>
    </cfRule>
  </conditionalFormatting>
  <conditionalFormatting sqref="P426">
    <cfRule type="cellIs" dxfId="643" priority="1684" operator="equal">
      <formula>$J$135</formula>
    </cfRule>
  </conditionalFormatting>
  <conditionalFormatting sqref="G426 P426">
    <cfRule type="cellIs" dxfId="642" priority="1683" operator="equal">
      <formula>#REF!</formula>
    </cfRule>
  </conditionalFormatting>
  <conditionalFormatting sqref="G426">
    <cfRule type="top10" dxfId="641" priority="1681" rank="1"/>
    <cfRule type="cellIs" dxfId="640" priority="1682" operator="equal">
      <formula>$G$133</formula>
    </cfRule>
  </conditionalFormatting>
  <conditionalFormatting sqref="P426">
    <cfRule type="top10" dxfId="639" priority="1679" rank="1"/>
    <cfRule type="cellIs" dxfId="638" priority="1680" operator="equal">
      <formula>$G$133</formula>
    </cfRule>
  </conditionalFormatting>
  <conditionalFormatting sqref="C410:C425">
    <cfRule type="containsText" dxfId="637" priority="1675" operator="containsText" text="Short Buildup">
      <formula>NOT(ISERROR(SEARCH("Short Buildup",C410)))</formula>
    </cfRule>
    <cfRule type="containsText" dxfId="636" priority="1676" operator="containsText" text="Long Liquidation">
      <formula>NOT(ISERROR(SEARCH("Long Liquidation",C410)))</formula>
    </cfRule>
    <cfRule type="containsText" dxfId="635" priority="1677" operator="containsText" text="Short covering">
      <formula>NOT(ISERROR(SEARCH("Short covering",C410)))</formula>
    </cfRule>
    <cfRule type="containsText" dxfId="634" priority="1678" operator="containsText" text="Long Buildup">
      <formula>NOT(ISERROR(SEARCH("Long Buildup",C410)))</formula>
    </cfRule>
  </conditionalFormatting>
  <conditionalFormatting sqref="H426">
    <cfRule type="colorScale" priority="1670">
      <colorScale>
        <cfvo type="min"/>
        <cfvo type="percentile" val="20"/>
        <cfvo type="max"/>
        <color rgb="FF92D050"/>
        <color theme="5" tint="0.79998168889431442"/>
        <color rgb="FFFF0000"/>
      </colorScale>
    </cfRule>
    <cfRule type="colorScale" priority="1671">
      <colorScale>
        <cfvo type="min"/>
        <cfvo type="max"/>
        <color rgb="FFFF0000"/>
        <color rgb="FF92D050"/>
      </colorScale>
    </cfRule>
    <cfRule type="colorScale" priority="1672">
      <colorScale>
        <cfvo type="min"/>
        <cfvo type="percentile" val="50"/>
        <cfvo type="max"/>
        <color rgb="FF5A8AC6"/>
        <color rgb="FFFCFCFF"/>
        <color rgb="FFF8696B"/>
      </colorScale>
    </cfRule>
    <cfRule type="colorScale" priority="1673">
      <colorScale>
        <cfvo type="formula" val="&quot;&gt;20&quot;"/>
        <cfvo type="formula" val="35"/>
        <color rgb="FFF8696B"/>
        <color rgb="FFFCFCFF"/>
      </colorScale>
    </cfRule>
    <cfRule type="colorScale" priority="1674">
      <colorScale>
        <cfvo type="min"/>
        <cfvo type="max"/>
        <color rgb="FFFFEF9C"/>
        <color rgb="FF63BE7B"/>
      </colorScale>
    </cfRule>
  </conditionalFormatting>
  <conditionalFormatting sqref="N426">
    <cfRule type="colorScale" priority="1665">
      <colorScale>
        <cfvo type="min"/>
        <cfvo type="percentile" val="20"/>
        <cfvo type="max"/>
        <color rgb="FF92D050"/>
        <color theme="5" tint="0.79998168889431442"/>
        <color rgb="FFFF0000"/>
      </colorScale>
    </cfRule>
    <cfRule type="colorScale" priority="1666">
      <colorScale>
        <cfvo type="min"/>
        <cfvo type="max"/>
        <color rgb="FFFF0000"/>
        <color rgb="FF92D050"/>
      </colorScale>
    </cfRule>
    <cfRule type="colorScale" priority="1667">
      <colorScale>
        <cfvo type="min"/>
        <cfvo type="percentile" val="50"/>
        <cfvo type="max"/>
        <color rgb="FF5A8AC6"/>
        <color rgb="FFFCFCFF"/>
        <color rgb="FFF8696B"/>
      </colorScale>
    </cfRule>
    <cfRule type="colorScale" priority="1668">
      <colorScale>
        <cfvo type="formula" val="&quot;&gt;20&quot;"/>
        <cfvo type="formula" val="35"/>
        <color rgb="FFF8696B"/>
        <color rgb="FFFCFCFF"/>
      </colorScale>
    </cfRule>
    <cfRule type="colorScale" priority="1669">
      <colorScale>
        <cfvo type="min"/>
        <cfvo type="max"/>
        <color rgb="FFFFEF9C"/>
        <color rgb="FF63BE7B"/>
      </colorScale>
    </cfRule>
  </conditionalFormatting>
  <conditionalFormatting sqref="S410:S426">
    <cfRule type="containsText" dxfId="633" priority="1661" operator="containsText" text="Short Buildup">
      <formula>NOT(ISERROR(SEARCH("Short Buildup",S410)))</formula>
    </cfRule>
    <cfRule type="containsText" dxfId="632" priority="1662" operator="containsText" text="Long Liquidation">
      <formula>NOT(ISERROR(SEARCH("Long Liquidation",S410)))</formula>
    </cfRule>
    <cfRule type="containsText" dxfId="631" priority="1663" operator="containsText" text="Short covering">
      <formula>NOT(ISERROR(SEARCH("Short covering",S410)))</formula>
    </cfRule>
    <cfRule type="containsText" dxfId="630" priority="1664" operator="containsText" text="Long Buildup">
      <formula>NOT(ISERROR(SEARCH("Long Buildup",S410)))</formula>
    </cfRule>
  </conditionalFormatting>
  <conditionalFormatting sqref="F410:F425">
    <cfRule type="dataBar" priority="1660">
      <dataBar>
        <cfvo type="min"/>
        <cfvo type="max"/>
        <color rgb="FFFF555A"/>
      </dataBar>
    </cfRule>
  </conditionalFormatting>
  <conditionalFormatting sqref="G410:G425">
    <cfRule type="dataBar" priority="1659">
      <dataBar>
        <cfvo type="min"/>
        <cfvo type="max"/>
        <color rgb="FFFF555A"/>
      </dataBar>
    </cfRule>
  </conditionalFormatting>
  <conditionalFormatting sqref="H410">
    <cfRule type="dataBar" priority="1658">
      <dataBar>
        <cfvo type="min"/>
        <cfvo type="max"/>
        <color rgb="FFFF555A"/>
      </dataBar>
    </cfRule>
  </conditionalFormatting>
  <conditionalFormatting sqref="I410">
    <cfRule type="dataBar" priority="1657">
      <dataBar>
        <cfvo type="min"/>
        <cfvo type="max"/>
        <color rgb="FFFF555A"/>
      </dataBar>
    </cfRule>
  </conditionalFormatting>
  <conditionalFormatting sqref="J410">
    <cfRule type="dataBar" priority="1656">
      <dataBar>
        <cfvo type="min"/>
        <cfvo type="max"/>
        <color rgb="FFFF555A"/>
      </dataBar>
    </cfRule>
  </conditionalFormatting>
  <conditionalFormatting sqref="E411:E425">
    <cfRule type="dataBar" priority="1655">
      <dataBar>
        <cfvo type="min"/>
        <cfvo type="max"/>
        <color rgb="FFFF555A"/>
      </dataBar>
    </cfRule>
  </conditionalFormatting>
  <conditionalFormatting sqref="H411:H425">
    <cfRule type="dataBar" priority="1654">
      <dataBar>
        <cfvo type="min"/>
        <cfvo type="max"/>
        <color rgb="FFFF555A"/>
      </dataBar>
    </cfRule>
  </conditionalFormatting>
  <conditionalFormatting sqref="I411:I425">
    <cfRule type="dataBar" priority="1653">
      <dataBar>
        <cfvo type="min"/>
        <cfvo type="max"/>
        <color rgb="FFFF555A"/>
      </dataBar>
    </cfRule>
  </conditionalFormatting>
  <conditionalFormatting sqref="J411:J425">
    <cfRule type="dataBar" priority="1652">
      <dataBar>
        <cfvo type="min"/>
        <cfvo type="max"/>
        <color rgb="FFFF555A"/>
      </dataBar>
    </cfRule>
  </conditionalFormatting>
  <conditionalFormatting sqref="L410:L425">
    <cfRule type="dataBar" priority="1651">
      <dataBar>
        <cfvo type="min"/>
        <cfvo type="max"/>
        <color rgb="FFFF555A"/>
      </dataBar>
    </cfRule>
  </conditionalFormatting>
  <conditionalFormatting sqref="M410:M425">
    <cfRule type="dataBar" priority="1650">
      <dataBar>
        <cfvo type="min"/>
        <cfvo type="max"/>
        <color rgb="FFFF555A"/>
      </dataBar>
    </cfRule>
  </conditionalFormatting>
  <conditionalFormatting sqref="N410:N425">
    <cfRule type="dataBar" priority="1649">
      <dataBar>
        <cfvo type="min"/>
        <cfvo type="max"/>
        <color rgb="FFFF555A"/>
      </dataBar>
    </cfRule>
  </conditionalFormatting>
  <conditionalFormatting sqref="Q410:Q425">
    <cfRule type="dataBar" priority="1648">
      <dataBar>
        <cfvo type="min"/>
        <cfvo type="max"/>
        <color rgb="FFFF555A"/>
      </dataBar>
    </cfRule>
  </conditionalFormatting>
  <conditionalFormatting sqref="O410:O425">
    <cfRule type="dataBar" priority="1647">
      <dataBar>
        <cfvo type="min"/>
        <cfvo type="max"/>
        <color rgb="FFFF555A"/>
      </dataBar>
    </cfRule>
  </conditionalFormatting>
  <conditionalFormatting sqref="P410:P425">
    <cfRule type="dataBar" priority="1646">
      <dataBar>
        <cfvo type="min"/>
        <cfvo type="max"/>
        <color rgb="FFFF555A"/>
      </dataBar>
    </cfRule>
  </conditionalFormatting>
  <conditionalFormatting sqref="R427:R443 D427:D442 C443">
    <cfRule type="containsText" dxfId="629" priority="1645" operator="containsText" text="DOWN">
      <formula>NOT(ISERROR(SEARCH("DOWN",C427)))</formula>
    </cfRule>
  </conditionalFormatting>
  <conditionalFormatting sqref="R427:R443 D427:D442 C443">
    <cfRule type="containsText" dxfId="628" priority="1644" operator="containsText" text="UP">
      <formula>NOT(ISERROR(SEARCH("UP",C427)))</formula>
    </cfRule>
  </conditionalFormatting>
  <conditionalFormatting sqref="I443">
    <cfRule type="colorScale" priority="1643">
      <colorScale>
        <cfvo type="min"/>
        <cfvo type="max"/>
        <color rgb="FFFFEF9C"/>
        <color rgb="FF63BE7B"/>
      </colorScale>
    </cfRule>
  </conditionalFormatting>
  <conditionalFormatting sqref="M443">
    <cfRule type="colorScale" priority="1642">
      <colorScale>
        <cfvo type="min"/>
        <cfvo type="max"/>
        <color rgb="FFFF7128"/>
        <color rgb="FFFFEF9C"/>
      </colorScale>
    </cfRule>
  </conditionalFormatting>
  <conditionalFormatting sqref="Q443">
    <cfRule type="dataBar" priority="1641">
      <dataBar>
        <cfvo type="min"/>
        <cfvo type="max"/>
        <color rgb="FFFF555A"/>
      </dataBar>
    </cfRule>
  </conditionalFormatting>
  <conditionalFormatting sqref="E427:E443">
    <cfRule type="dataBar" priority="1640">
      <dataBar>
        <cfvo type="min"/>
        <cfvo type="max"/>
        <color rgb="FFFF555A"/>
      </dataBar>
    </cfRule>
  </conditionalFormatting>
  <conditionalFormatting sqref="F443">
    <cfRule type="top10" dxfId="627" priority="1639" rank="1"/>
  </conditionalFormatting>
  <conditionalFormatting sqref="G443 P443">
    <cfRule type="cellIs" dxfId="626" priority="1638" operator="equal">
      <formula>$G$135</formula>
    </cfRule>
  </conditionalFormatting>
  <conditionalFormatting sqref="P443">
    <cfRule type="cellIs" dxfId="625" priority="1637" operator="equal">
      <formula>$J$135</formula>
    </cfRule>
  </conditionalFormatting>
  <conditionalFormatting sqref="G443 P443">
    <cfRule type="cellIs" dxfId="624" priority="1636" operator="equal">
      <formula>#REF!</formula>
    </cfRule>
  </conditionalFormatting>
  <conditionalFormatting sqref="G443">
    <cfRule type="top10" dxfId="623" priority="1634" rank="1"/>
    <cfRule type="cellIs" dxfId="622" priority="1635" operator="equal">
      <formula>$G$133</formula>
    </cfRule>
  </conditionalFormatting>
  <conditionalFormatting sqref="P443">
    <cfRule type="top10" dxfId="621" priority="1632" rank="1"/>
    <cfRule type="cellIs" dxfId="620" priority="1633" operator="equal">
      <formula>$G$133</formula>
    </cfRule>
  </conditionalFormatting>
  <conditionalFormatting sqref="C427:C442">
    <cfRule type="containsText" dxfId="619" priority="1628" operator="containsText" text="Short Buildup">
      <formula>NOT(ISERROR(SEARCH("Short Buildup",C427)))</formula>
    </cfRule>
    <cfRule type="containsText" dxfId="618" priority="1629" operator="containsText" text="Long Liquidation">
      <formula>NOT(ISERROR(SEARCH("Long Liquidation",C427)))</formula>
    </cfRule>
    <cfRule type="containsText" dxfId="617" priority="1630" operator="containsText" text="Short covering">
      <formula>NOT(ISERROR(SEARCH("Short covering",C427)))</formula>
    </cfRule>
    <cfRule type="containsText" dxfId="616" priority="1631" operator="containsText" text="Long Buildup">
      <formula>NOT(ISERROR(SEARCH("Long Buildup",C427)))</formula>
    </cfRule>
  </conditionalFormatting>
  <conditionalFormatting sqref="H443">
    <cfRule type="colorScale" priority="1623">
      <colorScale>
        <cfvo type="min"/>
        <cfvo type="percentile" val="20"/>
        <cfvo type="max"/>
        <color rgb="FF92D050"/>
        <color theme="5" tint="0.79998168889431442"/>
        <color rgb="FFFF0000"/>
      </colorScale>
    </cfRule>
    <cfRule type="colorScale" priority="1624">
      <colorScale>
        <cfvo type="min"/>
        <cfvo type="max"/>
        <color rgb="FFFF0000"/>
        <color rgb="FF92D050"/>
      </colorScale>
    </cfRule>
    <cfRule type="colorScale" priority="1625">
      <colorScale>
        <cfvo type="min"/>
        <cfvo type="percentile" val="50"/>
        <cfvo type="max"/>
        <color rgb="FF5A8AC6"/>
        <color rgb="FFFCFCFF"/>
        <color rgb="FFF8696B"/>
      </colorScale>
    </cfRule>
    <cfRule type="colorScale" priority="1626">
      <colorScale>
        <cfvo type="formula" val="&quot;&gt;20&quot;"/>
        <cfvo type="formula" val="35"/>
        <color rgb="FFF8696B"/>
        <color rgb="FFFCFCFF"/>
      </colorScale>
    </cfRule>
    <cfRule type="colorScale" priority="1627">
      <colorScale>
        <cfvo type="min"/>
        <cfvo type="max"/>
        <color rgb="FFFFEF9C"/>
        <color rgb="FF63BE7B"/>
      </colorScale>
    </cfRule>
  </conditionalFormatting>
  <conditionalFormatting sqref="N443">
    <cfRule type="colorScale" priority="1618">
      <colorScale>
        <cfvo type="min"/>
        <cfvo type="percentile" val="20"/>
        <cfvo type="max"/>
        <color rgb="FF92D050"/>
        <color theme="5" tint="0.79998168889431442"/>
        <color rgb="FFFF0000"/>
      </colorScale>
    </cfRule>
    <cfRule type="colorScale" priority="1619">
      <colorScale>
        <cfvo type="min"/>
        <cfvo type="max"/>
        <color rgb="FFFF0000"/>
        <color rgb="FF92D050"/>
      </colorScale>
    </cfRule>
    <cfRule type="colorScale" priority="1620">
      <colorScale>
        <cfvo type="min"/>
        <cfvo type="percentile" val="50"/>
        <cfvo type="max"/>
        <color rgb="FF5A8AC6"/>
        <color rgb="FFFCFCFF"/>
        <color rgb="FFF8696B"/>
      </colorScale>
    </cfRule>
    <cfRule type="colorScale" priority="1621">
      <colorScale>
        <cfvo type="formula" val="&quot;&gt;20&quot;"/>
        <cfvo type="formula" val="35"/>
        <color rgb="FFF8696B"/>
        <color rgb="FFFCFCFF"/>
      </colorScale>
    </cfRule>
    <cfRule type="colorScale" priority="1622">
      <colorScale>
        <cfvo type="min"/>
        <cfvo type="max"/>
        <color rgb="FFFFEF9C"/>
        <color rgb="FF63BE7B"/>
      </colorScale>
    </cfRule>
  </conditionalFormatting>
  <conditionalFormatting sqref="S427:S443">
    <cfRule type="containsText" dxfId="615" priority="1614" operator="containsText" text="Short Buildup">
      <formula>NOT(ISERROR(SEARCH("Short Buildup",S427)))</formula>
    </cfRule>
    <cfRule type="containsText" dxfId="614" priority="1615" operator="containsText" text="Long Liquidation">
      <formula>NOT(ISERROR(SEARCH("Long Liquidation",S427)))</formula>
    </cfRule>
    <cfRule type="containsText" dxfId="613" priority="1616" operator="containsText" text="Short covering">
      <formula>NOT(ISERROR(SEARCH("Short covering",S427)))</formula>
    </cfRule>
    <cfRule type="containsText" dxfId="612" priority="1617" operator="containsText" text="Long Buildup">
      <formula>NOT(ISERROR(SEARCH("Long Buildup",S427)))</formula>
    </cfRule>
  </conditionalFormatting>
  <conditionalFormatting sqref="F427:F442">
    <cfRule type="dataBar" priority="1613">
      <dataBar>
        <cfvo type="min"/>
        <cfvo type="max"/>
        <color rgb="FFFF555A"/>
      </dataBar>
    </cfRule>
  </conditionalFormatting>
  <conditionalFormatting sqref="G427:G442">
    <cfRule type="dataBar" priority="1612">
      <dataBar>
        <cfvo type="min"/>
        <cfvo type="max"/>
        <color rgb="FFFF555A"/>
      </dataBar>
    </cfRule>
  </conditionalFormatting>
  <conditionalFormatting sqref="H427">
    <cfRule type="dataBar" priority="1611">
      <dataBar>
        <cfvo type="min"/>
        <cfvo type="max"/>
        <color rgb="FFFF555A"/>
      </dataBar>
    </cfRule>
  </conditionalFormatting>
  <conditionalFormatting sqref="I427">
    <cfRule type="dataBar" priority="1610">
      <dataBar>
        <cfvo type="min"/>
        <cfvo type="max"/>
        <color rgb="FFFF555A"/>
      </dataBar>
    </cfRule>
  </conditionalFormatting>
  <conditionalFormatting sqref="J427">
    <cfRule type="dataBar" priority="1609">
      <dataBar>
        <cfvo type="min"/>
        <cfvo type="max"/>
        <color rgb="FFFF555A"/>
      </dataBar>
    </cfRule>
  </conditionalFormatting>
  <conditionalFormatting sqref="E428:E442">
    <cfRule type="dataBar" priority="1608">
      <dataBar>
        <cfvo type="min"/>
        <cfvo type="max"/>
        <color rgb="FFFF555A"/>
      </dataBar>
    </cfRule>
  </conditionalFormatting>
  <conditionalFormatting sqref="H428:H442">
    <cfRule type="dataBar" priority="1607">
      <dataBar>
        <cfvo type="min"/>
        <cfvo type="max"/>
        <color rgb="FFFF555A"/>
      </dataBar>
    </cfRule>
  </conditionalFormatting>
  <conditionalFormatting sqref="I428:I442">
    <cfRule type="dataBar" priority="1606">
      <dataBar>
        <cfvo type="min"/>
        <cfvo type="max"/>
        <color rgb="FFFF555A"/>
      </dataBar>
    </cfRule>
  </conditionalFormatting>
  <conditionalFormatting sqref="J428:J442">
    <cfRule type="dataBar" priority="1605">
      <dataBar>
        <cfvo type="min"/>
        <cfvo type="max"/>
        <color rgb="FFFF555A"/>
      </dataBar>
    </cfRule>
  </conditionalFormatting>
  <conditionalFormatting sqref="L427:L442">
    <cfRule type="dataBar" priority="1604">
      <dataBar>
        <cfvo type="min"/>
        <cfvo type="max"/>
        <color rgb="FFFF555A"/>
      </dataBar>
    </cfRule>
  </conditionalFormatting>
  <conditionalFormatting sqref="M427:M442">
    <cfRule type="dataBar" priority="1603">
      <dataBar>
        <cfvo type="min"/>
        <cfvo type="max"/>
        <color rgb="FFFF555A"/>
      </dataBar>
    </cfRule>
  </conditionalFormatting>
  <conditionalFormatting sqref="N427:N442">
    <cfRule type="dataBar" priority="1602">
      <dataBar>
        <cfvo type="min"/>
        <cfvo type="max"/>
        <color rgb="FFFF555A"/>
      </dataBar>
    </cfRule>
  </conditionalFormatting>
  <conditionalFormatting sqref="Q427:Q442">
    <cfRule type="dataBar" priority="1601">
      <dataBar>
        <cfvo type="min"/>
        <cfvo type="max"/>
        <color rgb="FFFF555A"/>
      </dataBar>
    </cfRule>
  </conditionalFormatting>
  <conditionalFormatting sqref="O427:O442">
    <cfRule type="dataBar" priority="1600">
      <dataBar>
        <cfvo type="min"/>
        <cfvo type="max"/>
        <color rgb="FFFF555A"/>
      </dataBar>
    </cfRule>
  </conditionalFormatting>
  <conditionalFormatting sqref="P427:P442">
    <cfRule type="dataBar" priority="1599">
      <dataBar>
        <cfvo type="min"/>
        <cfvo type="max"/>
        <color rgb="FFFF555A"/>
      </dataBar>
    </cfRule>
  </conditionalFormatting>
  <conditionalFormatting sqref="R444:R460 D444:D459 C460">
    <cfRule type="containsText" dxfId="611" priority="1598" operator="containsText" text="DOWN">
      <formula>NOT(ISERROR(SEARCH("DOWN",C444)))</formula>
    </cfRule>
  </conditionalFormatting>
  <conditionalFormatting sqref="R444:R460 D444:D459 C460">
    <cfRule type="containsText" dxfId="610" priority="1597" operator="containsText" text="UP">
      <formula>NOT(ISERROR(SEARCH("UP",C444)))</formula>
    </cfRule>
  </conditionalFormatting>
  <conditionalFormatting sqref="I460">
    <cfRule type="colorScale" priority="1596">
      <colorScale>
        <cfvo type="min"/>
        <cfvo type="max"/>
        <color rgb="FFFFEF9C"/>
        <color rgb="FF63BE7B"/>
      </colorScale>
    </cfRule>
  </conditionalFormatting>
  <conditionalFormatting sqref="M460">
    <cfRule type="colorScale" priority="1595">
      <colorScale>
        <cfvo type="min"/>
        <cfvo type="max"/>
        <color rgb="FFFF7128"/>
        <color rgb="FFFFEF9C"/>
      </colorScale>
    </cfRule>
  </conditionalFormatting>
  <conditionalFormatting sqref="Q460">
    <cfRule type="dataBar" priority="1594">
      <dataBar>
        <cfvo type="min"/>
        <cfvo type="max"/>
        <color rgb="FFFF555A"/>
      </dataBar>
    </cfRule>
  </conditionalFormatting>
  <conditionalFormatting sqref="E444:E460">
    <cfRule type="dataBar" priority="1593">
      <dataBar>
        <cfvo type="min"/>
        <cfvo type="max"/>
        <color rgb="FFFF555A"/>
      </dataBar>
    </cfRule>
  </conditionalFormatting>
  <conditionalFormatting sqref="F460">
    <cfRule type="top10" dxfId="609" priority="1592" rank="1"/>
  </conditionalFormatting>
  <conditionalFormatting sqref="G460 P460">
    <cfRule type="cellIs" dxfId="608" priority="1591" operator="equal">
      <formula>$G$135</formula>
    </cfRule>
  </conditionalFormatting>
  <conditionalFormatting sqref="P460">
    <cfRule type="cellIs" dxfId="607" priority="1590" operator="equal">
      <formula>$J$135</formula>
    </cfRule>
  </conditionalFormatting>
  <conditionalFormatting sqref="G460 P460">
    <cfRule type="cellIs" dxfId="606" priority="1589" operator="equal">
      <formula>#REF!</formula>
    </cfRule>
  </conditionalFormatting>
  <conditionalFormatting sqref="G460">
    <cfRule type="top10" dxfId="605" priority="1587" rank="1"/>
    <cfRule type="cellIs" dxfId="604" priority="1588" operator="equal">
      <formula>$G$133</formula>
    </cfRule>
  </conditionalFormatting>
  <conditionalFormatting sqref="P460">
    <cfRule type="top10" dxfId="603" priority="1585" rank="1"/>
    <cfRule type="cellIs" dxfId="602" priority="1586" operator="equal">
      <formula>$G$133</formula>
    </cfRule>
  </conditionalFormatting>
  <conditionalFormatting sqref="C444:C459">
    <cfRule type="containsText" dxfId="601" priority="1581" operator="containsText" text="Short Buildup">
      <formula>NOT(ISERROR(SEARCH("Short Buildup",C444)))</formula>
    </cfRule>
    <cfRule type="containsText" dxfId="600" priority="1582" operator="containsText" text="Long Liquidation">
      <formula>NOT(ISERROR(SEARCH("Long Liquidation",C444)))</formula>
    </cfRule>
    <cfRule type="containsText" dxfId="599" priority="1583" operator="containsText" text="Short covering">
      <formula>NOT(ISERROR(SEARCH("Short covering",C444)))</formula>
    </cfRule>
    <cfRule type="containsText" dxfId="598" priority="1584" operator="containsText" text="Long Buildup">
      <formula>NOT(ISERROR(SEARCH("Long Buildup",C444)))</formula>
    </cfRule>
  </conditionalFormatting>
  <conditionalFormatting sqref="H460">
    <cfRule type="colorScale" priority="1576">
      <colorScale>
        <cfvo type="min"/>
        <cfvo type="percentile" val="20"/>
        <cfvo type="max"/>
        <color rgb="FF92D050"/>
        <color theme="5" tint="0.79998168889431442"/>
        <color rgb="FFFF0000"/>
      </colorScale>
    </cfRule>
    <cfRule type="colorScale" priority="1577">
      <colorScale>
        <cfvo type="min"/>
        <cfvo type="max"/>
        <color rgb="FFFF0000"/>
        <color rgb="FF92D050"/>
      </colorScale>
    </cfRule>
    <cfRule type="colorScale" priority="1578">
      <colorScale>
        <cfvo type="min"/>
        <cfvo type="percentile" val="50"/>
        <cfvo type="max"/>
        <color rgb="FF5A8AC6"/>
        <color rgb="FFFCFCFF"/>
        <color rgb="FFF8696B"/>
      </colorScale>
    </cfRule>
    <cfRule type="colorScale" priority="1579">
      <colorScale>
        <cfvo type="formula" val="&quot;&gt;20&quot;"/>
        <cfvo type="formula" val="35"/>
        <color rgb="FFF8696B"/>
        <color rgb="FFFCFCFF"/>
      </colorScale>
    </cfRule>
    <cfRule type="colorScale" priority="1580">
      <colorScale>
        <cfvo type="min"/>
        <cfvo type="max"/>
        <color rgb="FFFFEF9C"/>
        <color rgb="FF63BE7B"/>
      </colorScale>
    </cfRule>
  </conditionalFormatting>
  <conditionalFormatting sqref="N460">
    <cfRule type="colorScale" priority="1571">
      <colorScale>
        <cfvo type="min"/>
        <cfvo type="percentile" val="20"/>
        <cfvo type="max"/>
        <color rgb="FF92D050"/>
        <color theme="5" tint="0.79998168889431442"/>
        <color rgb="FFFF0000"/>
      </colorScale>
    </cfRule>
    <cfRule type="colorScale" priority="1572">
      <colorScale>
        <cfvo type="min"/>
        <cfvo type="max"/>
        <color rgb="FFFF0000"/>
        <color rgb="FF92D050"/>
      </colorScale>
    </cfRule>
    <cfRule type="colorScale" priority="1573">
      <colorScale>
        <cfvo type="min"/>
        <cfvo type="percentile" val="50"/>
        <cfvo type="max"/>
        <color rgb="FF5A8AC6"/>
        <color rgb="FFFCFCFF"/>
        <color rgb="FFF8696B"/>
      </colorScale>
    </cfRule>
    <cfRule type="colorScale" priority="1574">
      <colorScale>
        <cfvo type="formula" val="&quot;&gt;20&quot;"/>
        <cfvo type="formula" val="35"/>
        <color rgb="FFF8696B"/>
        <color rgb="FFFCFCFF"/>
      </colorScale>
    </cfRule>
    <cfRule type="colorScale" priority="1575">
      <colorScale>
        <cfvo type="min"/>
        <cfvo type="max"/>
        <color rgb="FFFFEF9C"/>
        <color rgb="FF63BE7B"/>
      </colorScale>
    </cfRule>
  </conditionalFormatting>
  <conditionalFormatting sqref="S444:S460">
    <cfRule type="containsText" dxfId="597" priority="1567" operator="containsText" text="Short Buildup">
      <formula>NOT(ISERROR(SEARCH("Short Buildup",S444)))</formula>
    </cfRule>
    <cfRule type="containsText" dxfId="596" priority="1568" operator="containsText" text="Long Liquidation">
      <formula>NOT(ISERROR(SEARCH("Long Liquidation",S444)))</formula>
    </cfRule>
    <cfRule type="containsText" dxfId="595" priority="1569" operator="containsText" text="Short covering">
      <formula>NOT(ISERROR(SEARCH("Short covering",S444)))</formula>
    </cfRule>
    <cfRule type="containsText" dxfId="594" priority="1570" operator="containsText" text="Long Buildup">
      <formula>NOT(ISERROR(SEARCH("Long Buildup",S444)))</formula>
    </cfRule>
  </conditionalFormatting>
  <conditionalFormatting sqref="F444:F459">
    <cfRule type="dataBar" priority="1566">
      <dataBar>
        <cfvo type="min"/>
        <cfvo type="max"/>
        <color rgb="FFFF555A"/>
      </dataBar>
    </cfRule>
  </conditionalFormatting>
  <conditionalFormatting sqref="G444:G459">
    <cfRule type="dataBar" priority="1565">
      <dataBar>
        <cfvo type="min"/>
        <cfvo type="max"/>
        <color rgb="FFFF555A"/>
      </dataBar>
    </cfRule>
  </conditionalFormatting>
  <conditionalFormatting sqref="H444">
    <cfRule type="dataBar" priority="1564">
      <dataBar>
        <cfvo type="min"/>
        <cfvo type="max"/>
        <color rgb="FFFF555A"/>
      </dataBar>
    </cfRule>
  </conditionalFormatting>
  <conditionalFormatting sqref="I444">
    <cfRule type="dataBar" priority="1563">
      <dataBar>
        <cfvo type="min"/>
        <cfvo type="max"/>
        <color rgb="FFFF555A"/>
      </dataBar>
    </cfRule>
  </conditionalFormatting>
  <conditionalFormatting sqref="J444">
    <cfRule type="dataBar" priority="1562">
      <dataBar>
        <cfvo type="min"/>
        <cfvo type="max"/>
        <color rgb="FFFF555A"/>
      </dataBar>
    </cfRule>
  </conditionalFormatting>
  <conditionalFormatting sqref="E445:E459">
    <cfRule type="dataBar" priority="1561">
      <dataBar>
        <cfvo type="min"/>
        <cfvo type="max"/>
        <color rgb="FFFF555A"/>
      </dataBar>
    </cfRule>
  </conditionalFormatting>
  <conditionalFormatting sqref="H445:H459">
    <cfRule type="dataBar" priority="1560">
      <dataBar>
        <cfvo type="min"/>
        <cfvo type="max"/>
        <color rgb="FFFF555A"/>
      </dataBar>
    </cfRule>
  </conditionalFormatting>
  <conditionalFormatting sqref="I445:I459">
    <cfRule type="dataBar" priority="1559">
      <dataBar>
        <cfvo type="min"/>
        <cfvo type="max"/>
        <color rgb="FFFF555A"/>
      </dataBar>
    </cfRule>
  </conditionalFormatting>
  <conditionalFormatting sqref="J445:J459">
    <cfRule type="dataBar" priority="1558">
      <dataBar>
        <cfvo type="min"/>
        <cfvo type="max"/>
        <color rgb="FFFF555A"/>
      </dataBar>
    </cfRule>
  </conditionalFormatting>
  <conditionalFormatting sqref="L444:L459">
    <cfRule type="dataBar" priority="1557">
      <dataBar>
        <cfvo type="min"/>
        <cfvo type="max"/>
        <color rgb="FFFF555A"/>
      </dataBar>
    </cfRule>
  </conditionalFormatting>
  <conditionalFormatting sqref="M444:M459">
    <cfRule type="dataBar" priority="1556">
      <dataBar>
        <cfvo type="min"/>
        <cfvo type="max"/>
        <color rgb="FFFF555A"/>
      </dataBar>
    </cfRule>
  </conditionalFormatting>
  <conditionalFormatting sqref="N444:N459">
    <cfRule type="dataBar" priority="1555">
      <dataBar>
        <cfvo type="min"/>
        <cfvo type="max"/>
        <color rgb="FFFF555A"/>
      </dataBar>
    </cfRule>
  </conditionalFormatting>
  <conditionalFormatting sqref="Q444:Q459">
    <cfRule type="dataBar" priority="1554">
      <dataBar>
        <cfvo type="min"/>
        <cfvo type="max"/>
        <color rgb="FFFF555A"/>
      </dataBar>
    </cfRule>
  </conditionalFormatting>
  <conditionalFormatting sqref="O444:O459">
    <cfRule type="dataBar" priority="1553">
      <dataBar>
        <cfvo type="min"/>
        <cfvo type="max"/>
        <color rgb="FFFF555A"/>
      </dataBar>
    </cfRule>
  </conditionalFormatting>
  <conditionalFormatting sqref="P444:P459">
    <cfRule type="dataBar" priority="1552">
      <dataBar>
        <cfvo type="min"/>
        <cfvo type="max"/>
        <color rgb="FFFF555A"/>
      </dataBar>
    </cfRule>
  </conditionalFormatting>
  <conditionalFormatting sqref="R461:R477 D461:D476 C477">
    <cfRule type="containsText" dxfId="593" priority="1551" operator="containsText" text="DOWN">
      <formula>NOT(ISERROR(SEARCH("DOWN",C461)))</formula>
    </cfRule>
  </conditionalFormatting>
  <conditionalFormatting sqref="R461:R477 D461:D476 C477">
    <cfRule type="containsText" dxfId="592" priority="1550" operator="containsText" text="UP">
      <formula>NOT(ISERROR(SEARCH("UP",C461)))</formula>
    </cfRule>
  </conditionalFormatting>
  <conditionalFormatting sqref="I477">
    <cfRule type="colorScale" priority="1549">
      <colorScale>
        <cfvo type="min"/>
        <cfvo type="max"/>
        <color rgb="FFFFEF9C"/>
        <color rgb="FF63BE7B"/>
      </colorScale>
    </cfRule>
  </conditionalFormatting>
  <conditionalFormatting sqref="M477">
    <cfRule type="colorScale" priority="1548">
      <colorScale>
        <cfvo type="min"/>
        <cfvo type="max"/>
        <color rgb="FFFF7128"/>
        <color rgb="FFFFEF9C"/>
      </colorScale>
    </cfRule>
  </conditionalFormatting>
  <conditionalFormatting sqref="Q477">
    <cfRule type="dataBar" priority="1547">
      <dataBar>
        <cfvo type="min"/>
        <cfvo type="max"/>
        <color rgb="FFFF555A"/>
      </dataBar>
    </cfRule>
  </conditionalFormatting>
  <conditionalFormatting sqref="E461:E477">
    <cfRule type="dataBar" priority="1546">
      <dataBar>
        <cfvo type="min"/>
        <cfvo type="max"/>
        <color rgb="FFFF555A"/>
      </dataBar>
    </cfRule>
  </conditionalFormatting>
  <conditionalFormatting sqref="F477">
    <cfRule type="top10" dxfId="591" priority="1545" rank="1"/>
  </conditionalFormatting>
  <conditionalFormatting sqref="G477 P477">
    <cfRule type="cellIs" dxfId="590" priority="1544" operator="equal">
      <formula>$G$135</formula>
    </cfRule>
  </conditionalFormatting>
  <conditionalFormatting sqref="P477">
    <cfRule type="cellIs" dxfId="589" priority="1543" operator="equal">
      <formula>$J$135</formula>
    </cfRule>
  </conditionalFormatting>
  <conditionalFormatting sqref="G477 P477">
    <cfRule type="cellIs" dxfId="588" priority="1542" operator="equal">
      <formula>#REF!</formula>
    </cfRule>
  </conditionalFormatting>
  <conditionalFormatting sqref="G477">
    <cfRule type="top10" dxfId="587" priority="1540" rank="1"/>
    <cfRule type="cellIs" dxfId="586" priority="1541" operator="equal">
      <formula>$G$133</formula>
    </cfRule>
  </conditionalFormatting>
  <conditionalFormatting sqref="P477">
    <cfRule type="top10" dxfId="585" priority="1538" rank="1"/>
    <cfRule type="cellIs" dxfId="584" priority="1539" operator="equal">
      <formula>$G$133</formula>
    </cfRule>
  </conditionalFormatting>
  <conditionalFormatting sqref="C461:C476">
    <cfRule type="containsText" dxfId="583" priority="1534" operator="containsText" text="Short Buildup">
      <formula>NOT(ISERROR(SEARCH("Short Buildup",C461)))</formula>
    </cfRule>
    <cfRule type="containsText" dxfId="582" priority="1535" operator="containsText" text="Long Liquidation">
      <formula>NOT(ISERROR(SEARCH("Long Liquidation",C461)))</formula>
    </cfRule>
    <cfRule type="containsText" dxfId="581" priority="1536" operator="containsText" text="Short covering">
      <formula>NOT(ISERROR(SEARCH("Short covering",C461)))</formula>
    </cfRule>
    <cfRule type="containsText" dxfId="580" priority="1537" operator="containsText" text="Long Buildup">
      <formula>NOT(ISERROR(SEARCH("Long Buildup",C461)))</formula>
    </cfRule>
  </conditionalFormatting>
  <conditionalFormatting sqref="H477">
    <cfRule type="colorScale" priority="1529">
      <colorScale>
        <cfvo type="min"/>
        <cfvo type="percentile" val="20"/>
        <cfvo type="max"/>
        <color rgb="FF92D050"/>
        <color theme="5" tint="0.79998168889431442"/>
        <color rgb="FFFF0000"/>
      </colorScale>
    </cfRule>
    <cfRule type="colorScale" priority="1530">
      <colorScale>
        <cfvo type="min"/>
        <cfvo type="max"/>
        <color rgb="FFFF0000"/>
        <color rgb="FF92D050"/>
      </colorScale>
    </cfRule>
    <cfRule type="colorScale" priority="1531">
      <colorScale>
        <cfvo type="min"/>
        <cfvo type="percentile" val="50"/>
        <cfvo type="max"/>
        <color rgb="FF5A8AC6"/>
        <color rgb="FFFCFCFF"/>
        <color rgb="FFF8696B"/>
      </colorScale>
    </cfRule>
    <cfRule type="colorScale" priority="1532">
      <colorScale>
        <cfvo type="formula" val="&quot;&gt;20&quot;"/>
        <cfvo type="formula" val="35"/>
        <color rgb="FFF8696B"/>
        <color rgb="FFFCFCFF"/>
      </colorScale>
    </cfRule>
    <cfRule type="colorScale" priority="1533">
      <colorScale>
        <cfvo type="min"/>
        <cfvo type="max"/>
        <color rgb="FFFFEF9C"/>
        <color rgb="FF63BE7B"/>
      </colorScale>
    </cfRule>
  </conditionalFormatting>
  <conditionalFormatting sqref="N477">
    <cfRule type="colorScale" priority="1524">
      <colorScale>
        <cfvo type="min"/>
        <cfvo type="percentile" val="20"/>
        <cfvo type="max"/>
        <color rgb="FF92D050"/>
        <color theme="5" tint="0.79998168889431442"/>
        <color rgb="FFFF0000"/>
      </colorScale>
    </cfRule>
    <cfRule type="colorScale" priority="1525">
      <colorScale>
        <cfvo type="min"/>
        <cfvo type="max"/>
        <color rgb="FFFF0000"/>
        <color rgb="FF92D050"/>
      </colorScale>
    </cfRule>
    <cfRule type="colorScale" priority="1526">
      <colorScale>
        <cfvo type="min"/>
        <cfvo type="percentile" val="50"/>
        <cfvo type="max"/>
        <color rgb="FF5A8AC6"/>
        <color rgb="FFFCFCFF"/>
        <color rgb="FFF8696B"/>
      </colorScale>
    </cfRule>
    <cfRule type="colorScale" priority="1527">
      <colorScale>
        <cfvo type="formula" val="&quot;&gt;20&quot;"/>
        <cfvo type="formula" val="35"/>
        <color rgb="FFF8696B"/>
        <color rgb="FFFCFCFF"/>
      </colorScale>
    </cfRule>
    <cfRule type="colorScale" priority="1528">
      <colorScale>
        <cfvo type="min"/>
        <cfvo type="max"/>
        <color rgb="FFFFEF9C"/>
        <color rgb="FF63BE7B"/>
      </colorScale>
    </cfRule>
  </conditionalFormatting>
  <conditionalFormatting sqref="S461:S477">
    <cfRule type="containsText" dxfId="579" priority="1520" operator="containsText" text="Short Buildup">
      <formula>NOT(ISERROR(SEARCH("Short Buildup",S461)))</formula>
    </cfRule>
    <cfRule type="containsText" dxfId="578" priority="1521" operator="containsText" text="Long Liquidation">
      <formula>NOT(ISERROR(SEARCH("Long Liquidation",S461)))</formula>
    </cfRule>
    <cfRule type="containsText" dxfId="577" priority="1522" operator="containsText" text="Short covering">
      <formula>NOT(ISERROR(SEARCH("Short covering",S461)))</formula>
    </cfRule>
    <cfRule type="containsText" dxfId="576" priority="1523" operator="containsText" text="Long Buildup">
      <formula>NOT(ISERROR(SEARCH("Long Buildup",S461)))</formula>
    </cfRule>
  </conditionalFormatting>
  <conditionalFormatting sqref="F461:F476">
    <cfRule type="dataBar" priority="1519">
      <dataBar>
        <cfvo type="min"/>
        <cfvo type="max"/>
        <color rgb="FFFF555A"/>
      </dataBar>
    </cfRule>
  </conditionalFormatting>
  <conditionalFormatting sqref="G461:G476">
    <cfRule type="dataBar" priority="1518">
      <dataBar>
        <cfvo type="min"/>
        <cfvo type="max"/>
        <color rgb="FFFF555A"/>
      </dataBar>
    </cfRule>
  </conditionalFormatting>
  <conditionalFormatting sqref="H461">
    <cfRule type="dataBar" priority="1517">
      <dataBar>
        <cfvo type="min"/>
        <cfvo type="max"/>
        <color rgb="FFFF555A"/>
      </dataBar>
    </cfRule>
  </conditionalFormatting>
  <conditionalFormatting sqref="I461">
    <cfRule type="dataBar" priority="1516">
      <dataBar>
        <cfvo type="min"/>
        <cfvo type="max"/>
        <color rgb="FFFF555A"/>
      </dataBar>
    </cfRule>
  </conditionalFormatting>
  <conditionalFormatting sqref="J461">
    <cfRule type="dataBar" priority="1515">
      <dataBar>
        <cfvo type="min"/>
        <cfvo type="max"/>
        <color rgb="FFFF555A"/>
      </dataBar>
    </cfRule>
  </conditionalFormatting>
  <conditionalFormatting sqref="E462:E476">
    <cfRule type="dataBar" priority="1514">
      <dataBar>
        <cfvo type="min"/>
        <cfvo type="max"/>
        <color rgb="FFFF555A"/>
      </dataBar>
    </cfRule>
  </conditionalFormatting>
  <conditionalFormatting sqref="H462:H476">
    <cfRule type="dataBar" priority="1513">
      <dataBar>
        <cfvo type="min"/>
        <cfvo type="max"/>
        <color rgb="FFFF555A"/>
      </dataBar>
    </cfRule>
  </conditionalFormatting>
  <conditionalFormatting sqref="I462:I476">
    <cfRule type="dataBar" priority="1512">
      <dataBar>
        <cfvo type="min"/>
        <cfvo type="max"/>
        <color rgb="FFFF555A"/>
      </dataBar>
    </cfRule>
  </conditionalFormatting>
  <conditionalFormatting sqref="J462:J476">
    <cfRule type="dataBar" priority="1511">
      <dataBar>
        <cfvo type="min"/>
        <cfvo type="max"/>
        <color rgb="FFFF555A"/>
      </dataBar>
    </cfRule>
  </conditionalFormatting>
  <conditionalFormatting sqref="L461:L476">
    <cfRule type="dataBar" priority="1510">
      <dataBar>
        <cfvo type="min"/>
        <cfvo type="max"/>
        <color rgb="FFFF555A"/>
      </dataBar>
    </cfRule>
  </conditionalFormatting>
  <conditionalFormatting sqref="M461:M476">
    <cfRule type="dataBar" priority="1509">
      <dataBar>
        <cfvo type="min"/>
        <cfvo type="max"/>
        <color rgb="FFFF555A"/>
      </dataBar>
    </cfRule>
  </conditionalFormatting>
  <conditionalFormatting sqref="N461:N476">
    <cfRule type="dataBar" priority="1508">
      <dataBar>
        <cfvo type="min"/>
        <cfvo type="max"/>
        <color rgb="FFFF555A"/>
      </dataBar>
    </cfRule>
  </conditionalFormatting>
  <conditionalFormatting sqref="Q461:Q476">
    <cfRule type="dataBar" priority="1507">
      <dataBar>
        <cfvo type="min"/>
        <cfvo type="max"/>
        <color rgb="FFFF555A"/>
      </dataBar>
    </cfRule>
  </conditionalFormatting>
  <conditionalFormatting sqref="O461:O476">
    <cfRule type="dataBar" priority="1506">
      <dataBar>
        <cfvo type="min"/>
        <cfvo type="max"/>
        <color rgb="FFFF555A"/>
      </dataBar>
    </cfRule>
  </conditionalFormatting>
  <conditionalFormatting sqref="P461:P476">
    <cfRule type="dataBar" priority="1505">
      <dataBar>
        <cfvo type="min"/>
        <cfvo type="max"/>
        <color rgb="FFFF555A"/>
      </dataBar>
    </cfRule>
  </conditionalFormatting>
  <conditionalFormatting sqref="R478:R494 D478:D493 C494">
    <cfRule type="containsText" dxfId="575" priority="1504" operator="containsText" text="DOWN">
      <formula>NOT(ISERROR(SEARCH("DOWN",C478)))</formula>
    </cfRule>
  </conditionalFormatting>
  <conditionalFormatting sqref="R478:R494 D478:D493 C494">
    <cfRule type="containsText" dxfId="574" priority="1503" operator="containsText" text="UP">
      <formula>NOT(ISERROR(SEARCH("UP",C478)))</formula>
    </cfRule>
  </conditionalFormatting>
  <conditionalFormatting sqref="I494">
    <cfRule type="colorScale" priority="1502">
      <colorScale>
        <cfvo type="min"/>
        <cfvo type="max"/>
        <color rgb="FFFFEF9C"/>
        <color rgb="FF63BE7B"/>
      </colorScale>
    </cfRule>
  </conditionalFormatting>
  <conditionalFormatting sqref="M494">
    <cfRule type="colorScale" priority="1501">
      <colorScale>
        <cfvo type="min"/>
        <cfvo type="max"/>
        <color rgb="FFFF7128"/>
        <color rgb="FFFFEF9C"/>
      </colorScale>
    </cfRule>
  </conditionalFormatting>
  <conditionalFormatting sqref="Q494">
    <cfRule type="dataBar" priority="1500">
      <dataBar>
        <cfvo type="min"/>
        <cfvo type="max"/>
        <color rgb="FFFF555A"/>
      </dataBar>
    </cfRule>
  </conditionalFormatting>
  <conditionalFormatting sqref="E478:E494">
    <cfRule type="dataBar" priority="1499">
      <dataBar>
        <cfvo type="min"/>
        <cfvo type="max"/>
        <color rgb="FFFF555A"/>
      </dataBar>
    </cfRule>
  </conditionalFormatting>
  <conditionalFormatting sqref="F494">
    <cfRule type="top10" dxfId="573" priority="1498" rank="1"/>
  </conditionalFormatting>
  <conditionalFormatting sqref="G494 P494">
    <cfRule type="cellIs" dxfId="572" priority="1497" operator="equal">
      <formula>$G$135</formula>
    </cfRule>
  </conditionalFormatting>
  <conditionalFormatting sqref="P494">
    <cfRule type="cellIs" dxfId="571" priority="1496" operator="equal">
      <formula>$J$135</formula>
    </cfRule>
  </conditionalFormatting>
  <conditionalFormatting sqref="G494 P494">
    <cfRule type="cellIs" dxfId="570" priority="1495" operator="equal">
      <formula>#REF!</formula>
    </cfRule>
  </conditionalFormatting>
  <conditionalFormatting sqref="G494">
    <cfRule type="top10" dxfId="569" priority="1493" rank="1"/>
    <cfRule type="cellIs" dxfId="568" priority="1494" operator="equal">
      <formula>$G$133</formula>
    </cfRule>
  </conditionalFormatting>
  <conditionalFormatting sqref="P494">
    <cfRule type="top10" dxfId="567" priority="1491" rank="1"/>
    <cfRule type="cellIs" dxfId="566" priority="1492" operator="equal">
      <formula>$G$133</formula>
    </cfRule>
  </conditionalFormatting>
  <conditionalFormatting sqref="C478:C493">
    <cfRule type="containsText" dxfId="565" priority="1487" operator="containsText" text="Short Buildup">
      <formula>NOT(ISERROR(SEARCH("Short Buildup",C478)))</formula>
    </cfRule>
    <cfRule type="containsText" dxfId="564" priority="1488" operator="containsText" text="Long Liquidation">
      <formula>NOT(ISERROR(SEARCH("Long Liquidation",C478)))</formula>
    </cfRule>
    <cfRule type="containsText" dxfId="563" priority="1489" operator="containsText" text="Short covering">
      <formula>NOT(ISERROR(SEARCH("Short covering",C478)))</formula>
    </cfRule>
    <cfRule type="containsText" dxfId="562" priority="1490" operator="containsText" text="Long Buildup">
      <formula>NOT(ISERROR(SEARCH("Long Buildup",C478)))</formula>
    </cfRule>
  </conditionalFormatting>
  <conditionalFormatting sqref="H494">
    <cfRule type="colorScale" priority="1482">
      <colorScale>
        <cfvo type="min"/>
        <cfvo type="percentile" val="20"/>
        <cfvo type="max"/>
        <color rgb="FF92D050"/>
        <color theme="5" tint="0.79998168889431442"/>
        <color rgb="FFFF0000"/>
      </colorScale>
    </cfRule>
    <cfRule type="colorScale" priority="1483">
      <colorScale>
        <cfvo type="min"/>
        <cfvo type="max"/>
        <color rgb="FFFF0000"/>
        <color rgb="FF92D050"/>
      </colorScale>
    </cfRule>
    <cfRule type="colorScale" priority="1484">
      <colorScale>
        <cfvo type="min"/>
        <cfvo type="percentile" val="50"/>
        <cfvo type="max"/>
        <color rgb="FF5A8AC6"/>
        <color rgb="FFFCFCFF"/>
        <color rgb="FFF8696B"/>
      </colorScale>
    </cfRule>
    <cfRule type="colorScale" priority="1485">
      <colorScale>
        <cfvo type="formula" val="&quot;&gt;20&quot;"/>
        <cfvo type="formula" val="35"/>
        <color rgb="FFF8696B"/>
        <color rgb="FFFCFCFF"/>
      </colorScale>
    </cfRule>
    <cfRule type="colorScale" priority="1486">
      <colorScale>
        <cfvo type="min"/>
        <cfvo type="max"/>
        <color rgb="FFFFEF9C"/>
        <color rgb="FF63BE7B"/>
      </colorScale>
    </cfRule>
  </conditionalFormatting>
  <conditionalFormatting sqref="N494">
    <cfRule type="colorScale" priority="1477">
      <colorScale>
        <cfvo type="min"/>
        <cfvo type="percentile" val="20"/>
        <cfvo type="max"/>
        <color rgb="FF92D050"/>
        <color theme="5" tint="0.79998168889431442"/>
        <color rgb="FFFF0000"/>
      </colorScale>
    </cfRule>
    <cfRule type="colorScale" priority="1478">
      <colorScale>
        <cfvo type="min"/>
        <cfvo type="max"/>
        <color rgb="FFFF0000"/>
        <color rgb="FF92D050"/>
      </colorScale>
    </cfRule>
    <cfRule type="colorScale" priority="1479">
      <colorScale>
        <cfvo type="min"/>
        <cfvo type="percentile" val="50"/>
        <cfvo type="max"/>
        <color rgb="FF5A8AC6"/>
        <color rgb="FFFCFCFF"/>
        <color rgb="FFF8696B"/>
      </colorScale>
    </cfRule>
    <cfRule type="colorScale" priority="1480">
      <colorScale>
        <cfvo type="formula" val="&quot;&gt;20&quot;"/>
        <cfvo type="formula" val="35"/>
        <color rgb="FFF8696B"/>
        <color rgb="FFFCFCFF"/>
      </colorScale>
    </cfRule>
    <cfRule type="colorScale" priority="1481">
      <colorScale>
        <cfvo type="min"/>
        <cfvo type="max"/>
        <color rgb="FFFFEF9C"/>
        <color rgb="FF63BE7B"/>
      </colorScale>
    </cfRule>
  </conditionalFormatting>
  <conditionalFormatting sqref="S478:S494">
    <cfRule type="containsText" dxfId="561" priority="1473" operator="containsText" text="Short Buildup">
      <formula>NOT(ISERROR(SEARCH("Short Buildup",S478)))</formula>
    </cfRule>
    <cfRule type="containsText" dxfId="560" priority="1474" operator="containsText" text="Long Liquidation">
      <formula>NOT(ISERROR(SEARCH("Long Liquidation",S478)))</formula>
    </cfRule>
    <cfRule type="containsText" dxfId="559" priority="1475" operator="containsText" text="Short covering">
      <formula>NOT(ISERROR(SEARCH("Short covering",S478)))</formula>
    </cfRule>
    <cfRule type="containsText" dxfId="558" priority="1476" operator="containsText" text="Long Buildup">
      <formula>NOT(ISERROR(SEARCH("Long Buildup",S478)))</formula>
    </cfRule>
  </conditionalFormatting>
  <conditionalFormatting sqref="F478:F493">
    <cfRule type="dataBar" priority="1472">
      <dataBar>
        <cfvo type="min"/>
        <cfvo type="max"/>
        <color rgb="FFFF555A"/>
      </dataBar>
    </cfRule>
  </conditionalFormatting>
  <conditionalFormatting sqref="G478:G493">
    <cfRule type="dataBar" priority="1471">
      <dataBar>
        <cfvo type="min"/>
        <cfvo type="max"/>
        <color rgb="FFFF555A"/>
      </dataBar>
    </cfRule>
  </conditionalFormatting>
  <conditionalFormatting sqref="H478">
    <cfRule type="dataBar" priority="1470">
      <dataBar>
        <cfvo type="min"/>
        <cfvo type="max"/>
        <color rgb="FFFF555A"/>
      </dataBar>
    </cfRule>
  </conditionalFormatting>
  <conditionalFormatting sqref="I478">
    <cfRule type="dataBar" priority="1469">
      <dataBar>
        <cfvo type="min"/>
        <cfvo type="max"/>
        <color rgb="FFFF555A"/>
      </dataBar>
    </cfRule>
  </conditionalFormatting>
  <conditionalFormatting sqref="J478">
    <cfRule type="dataBar" priority="1468">
      <dataBar>
        <cfvo type="min"/>
        <cfvo type="max"/>
        <color rgb="FFFF555A"/>
      </dataBar>
    </cfRule>
  </conditionalFormatting>
  <conditionalFormatting sqref="E479:E493">
    <cfRule type="dataBar" priority="1467">
      <dataBar>
        <cfvo type="min"/>
        <cfvo type="max"/>
        <color rgb="FFFF555A"/>
      </dataBar>
    </cfRule>
  </conditionalFormatting>
  <conditionalFormatting sqref="H479:H493">
    <cfRule type="dataBar" priority="1466">
      <dataBar>
        <cfvo type="min"/>
        <cfvo type="max"/>
        <color rgb="FFFF555A"/>
      </dataBar>
    </cfRule>
  </conditionalFormatting>
  <conditionalFormatting sqref="I479:I493">
    <cfRule type="dataBar" priority="1465">
      <dataBar>
        <cfvo type="min"/>
        <cfvo type="max"/>
        <color rgb="FFFF555A"/>
      </dataBar>
    </cfRule>
  </conditionalFormatting>
  <conditionalFormatting sqref="J479:J493">
    <cfRule type="dataBar" priority="1464">
      <dataBar>
        <cfvo type="min"/>
        <cfvo type="max"/>
        <color rgb="FFFF555A"/>
      </dataBar>
    </cfRule>
  </conditionalFormatting>
  <conditionalFormatting sqref="L478:L493">
    <cfRule type="dataBar" priority="1463">
      <dataBar>
        <cfvo type="min"/>
        <cfvo type="max"/>
        <color rgb="FFFF555A"/>
      </dataBar>
    </cfRule>
  </conditionalFormatting>
  <conditionalFormatting sqref="M478:M493">
    <cfRule type="dataBar" priority="1462">
      <dataBar>
        <cfvo type="min"/>
        <cfvo type="max"/>
        <color rgb="FFFF555A"/>
      </dataBar>
    </cfRule>
  </conditionalFormatting>
  <conditionalFormatting sqref="N478:N493">
    <cfRule type="dataBar" priority="1461">
      <dataBar>
        <cfvo type="min"/>
        <cfvo type="max"/>
        <color rgb="FFFF555A"/>
      </dataBar>
    </cfRule>
  </conditionalFormatting>
  <conditionalFormatting sqref="Q478:Q493">
    <cfRule type="dataBar" priority="1460">
      <dataBar>
        <cfvo type="min"/>
        <cfvo type="max"/>
        <color rgb="FFFF555A"/>
      </dataBar>
    </cfRule>
  </conditionalFormatting>
  <conditionalFormatting sqref="O478:O493">
    <cfRule type="dataBar" priority="1459">
      <dataBar>
        <cfvo type="min"/>
        <cfvo type="max"/>
        <color rgb="FFFF555A"/>
      </dataBar>
    </cfRule>
  </conditionalFormatting>
  <conditionalFormatting sqref="P478:P493">
    <cfRule type="dataBar" priority="1458">
      <dataBar>
        <cfvo type="min"/>
        <cfvo type="max"/>
        <color rgb="FFFF555A"/>
      </dataBar>
    </cfRule>
  </conditionalFormatting>
  <conditionalFormatting sqref="R495:R511 D495:D510 C511">
    <cfRule type="containsText" dxfId="557" priority="1457" operator="containsText" text="DOWN">
      <formula>NOT(ISERROR(SEARCH("DOWN",C495)))</formula>
    </cfRule>
  </conditionalFormatting>
  <conditionalFormatting sqref="R495:R511 D495:D510 C511">
    <cfRule type="containsText" dxfId="556" priority="1456" operator="containsText" text="UP">
      <formula>NOT(ISERROR(SEARCH("UP",C495)))</formula>
    </cfRule>
  </conditionalFormatting>
  <conditionalFormatting sqref="I511">
    <cfRule type="colorScale" priority="1455">
      <colorScale>
        <cfvo type="min"/>
        <cfvo type="max"/>
        <color rgb="FFFFEF9C"/>
        <color rgb="FF63BE7B"/>
      </colorScale>
    </cfRule>
  </conditionalFormatting>
  <conditionalFormatting sqref="M511">
    <cfRule type="colorScale" priority="1454">
      <colorScale>
        <cfvo type="min"/>
        <cfvo type="max"/>
        <color rgb="FFFF7128"/>
        <color rgb="FFFFEF9C"/>
      </colorScale>
    </cfRule>
  </conditionalFormatting>
  <conditionalFormatting sqref="Q511">
    <cfRule type="dataBar" priority="1453">
      <dataBar>
        <cfvo type="min"/>
        <cfvo type="max"/>
        <color rgb="FFFF555A"/>
      </dataBar>
    </cfRule>
  </conditionalFormatting>
  <conditionalFormatting sqref="E495:E511">
    <cfRule type="dataBar" priority="1452">
      <dataBar>
        <cfvo type="min"/>
        <cfvo type="max"/>
        <color rgb="FFFF555A"/>
      </dataBar>
    </cfRule>
  </conditionalFormatting>
  <conditionalFormatting sqref="F511">
    <cfRule type="top10" dxfId="555" priority="1451" rank="1"/>
  </conditionalFormatting>
  <conditionalFormatting sqref="G511 P511">
    <cfRule type="cellIs" dxfId="554" priority="1450" operator="equal">
      <formula>$G$135</formula>
    </cfRule>
  </conditionalFormatting>
  <conditionalFormatting sqref="P511">
    <cfRule type="cellIs" dxfId="553" priority="1449" operator="equal">
      <formula>$J$135</formula>
    </cfRule>
  </conditionalFormatting>
  <conditionalFormatting sqref="G511 P511">
    <cfRule type="cellIs" dxfId="552" priority="1448" operator="equal">
      <formula>#REF!</formula>
    </cfRule>
  </conditionalFormatting>
  <conditionalFormatting sqref="G511">
    <cfRule type="top10" dxfId="551" priority="1446" rank="1"/>
    <cfRule type="cellIs" dxfId="550" priority="1447" operator="equal">
      <formula>$G$133</formula>
    </cfRule>
  </conditionalFormatting>
  <conditionalFormatting sqref="P511">
    <cfRule type="top10" dxfId="549" priority="1444" rank="1"/>
    <cfRule type="cellIs" dxfId="548" priority="1445" operator="equal">
      <formula>$G$133</formula>
    </cfRule>
  </conditionalFormatting>
  <conditionalFormatting sqref="C495:C510">
    <cfRule type="containsText" dxfId="547" priority="1440" operator="containsText" text="Short Buildup">
      <formula>NOT(ISERROR(SEARCH("Short Buildup",C495)))</formula>
    </cfRule>
    <cfRule type="containsText" dxfId="546" priority="1441" operator="containsText" text="Long Liquidation">
      <formula>NOT(ISERROR(SEARCH("Long Liquidation",C495)))</formula>
    </cfRule>
    <cfRule type="containsText" dxfId="545" priority="1442" operator="containsText" text="Short covering">
      <formula>NOT(ISERROR(SEARCH("Short covering",C495)))</formula>
    </cfRule>
    <cfRule type="containsText" dxfId="544" priority="1443" operator="containsText" text="Long Buildup">
      <formula>NOT(ISERROR(SEARCH("Long Buildup",C495)))</formula>
    </cfRule>
  </conditionalFormatting>
  <conditionalFormatting sqref="H511">
    <cfRule type="colorScale" priority="1435">
      <colorScale>
        <cfvo type="min"/>
        <cfvo type="percentile" val="20"/>
        <cfvo type="max"/>
        <color rgb="FF92D050"/>
        <color theme="5" tint="0.79998168889431442"/>
        <color rgb="FFFF0000"/>
      </colorScale>
    </cfRule>
    <cfRule type="colorScale" priority="1436">
      <colorScale>
        <cfvo type="min"/>
        <cfvo type="max"/>
        <color rgb="FFFF0000"/>
        <color rgb="FF92D050"/>
      </colorScale>
    </cfRule>
    <cfRule type="colorScale" priority="1437">
      <colorScale>
        <cfvo type="min"/>
        <cfvo type="percentile" val="50"/>
        <cfvo type="max"/>
        <color rgb="FF5A8AC6"/>
        <color rgb="FFFCFCFF"/>
        <color rgb="FFF8696B"/>
      </colorScale>
    </cfRule>
    <cfRule type="colorScale" priority="1438">
      <colorScale>
        <cfvo type="formula" val="&quot;&gt;20&quot;"/>
        <cfvo type="formula" val="35"/>
        <color rgb="FFF8696B"/>
        <color rgb="FFFCFCFF"/>
      </colorScale>
    </cfRule>
    <cfRule type="colorScale" priority="1439">
      <colorScale>
        <cfvo type="min"/>
        <cfvo type="max"/>
        <color rgb="FFFFEF9C"/>
        <color rgb="FF63BE7B"/>
      </colorScale>
    </cfRule>
  </conditionalFormatting>
  <conditionalFormatting sqref="N511">
    <cfRule type="colorScale" priority="1430">
      <colorScale>
        <cfvo type="min"/>
        <cfvo type="percentile" val="20"/>
        <cfvo type="max"/>
        <color rgb="FF92D050"/>
        <color theme="5" tint="0.79998168889431442"/>
        <color rgb="FFFF0000"/>
      </colorScale>
    </cfRule>
    <cfRule type="colorScale" priority="1431">
      <colorScale>
        <cfvo type="min"/>
        <cfvo type="max"/>
        <color rgb="FFFF0000"/>
        <color rgb="FF92D050"/>
      </colorScale>
    </cfRule>
    <cfRule type="colorScale" priority="1432">
      <colorScale>
        <cfvo type="min"/>
        <cfvo type="percentile" val="50"/>
        <cfvo type="max"/>
        <color rgb="FF5A8AC6"/>
        <color rgb="FFFCFCFF"/>
        <color rgb="FFF8696B"/>
      </colorScale>
    </cfRule>
    <cfRule type="colorScale" priority="1433">
      <colorScale>
        <cfvo type="formula" val="&quot;&gt;20&quot;"/>
        <cfvo type="formula" val="35"/>
        <color rgb="FFF8696B"/>
        <color rgb="FFFCFCFF"/>
      </colorScale>
    </cfRule>
    <cfRule type="colorScale" priority="1434">
      <colorScale>
        <cfvo type="min"/>
        <cfvo type="max"/>
        <color rgb="FFFFEF9C"/>
        <color rgb="FF63BE7B"/>
      </colorScale>
    </cfRule>
  </conditionalFormatting>
  <conditionalFormatting sqref="S495:S511">
    <cfRule type="containsText" dxfId="543" priority="1426" operator="containsText" text="Short Buildup">
      <formula>NOT(ISERROR(SEARCH("Short Buildup",S495)))</formula>
    </cfRule>
    <cfRule type="containsText" dxfId="542" priority="1427" operator="containsText" text="Long Liquidation">
      <formula>NOT(ISERROR(SEARCH("Long Liquidation",S495)))</formula>
    </cfRule>
    <cfRule type="containsText" dxfId="541" priority="1428" operator="containsText" text="Short covering">
      <formula>NOT(ISERROR(SEARCH("Short covering",S495)))</formula>
    </cfRule>
    <cfRule type="containsText" dxfId="540" priority="1429" operator="containsText" text="Long Buildup">
      <formula>NOT(ISERROR(SEARCH("Long Buildup",S495)))</formula>
    </cfRule>
  </conditionalFormatting>
  <conditionalFormatting sqref="F495:F510">
    <cfRule type="dataBar" priority="1425">
      <dataBar>
        <cfvo type="min"/>
        <cfvo type="max"/>
        <color rgb="FFFF555A"/>
      </dataBar>
    </cfRule>
  </conditionalFormatting>
  <conditionalFormatting sqref="G495:G510">
    <cfRule type="dataBar" priority="1424">
      <dataBar>
        <cfvo type="min"/>
        <cfvo type="max"/>
        <color rgb="FFFF555A"/>
      </dataBar>
    </cfRule>
  </conditionalFormatting>
  <conditionalFormatting sqref="H495">
    <cfRule type="dataBar" priority="1423">
      <dataBar>
        <cfvo type="min"/>
        <cfvo type="max"/>
        <color rgb="FFFF555A"/>
      </dataBar>
    </cfRule>
  </conditionalFormatting>
  <conditionalFormatting sqref="I495">
    <cfRule type="dataBar" priority="1422">
      <dataBar>
        <cfvo type="min"/>
        <cfvo type="max"/>
        <color rgb="FFFF555A"/>
      </dataBar>
    </cfRule>
  </conditionalFormatting>
  <conditionalFormatting sqref="J495">
    <cfRule type="dataBar" priority="1421">
      <dataBar>
        <cfvo type="min"/>
        <cfvo type="max"/>
        <color rgb="FFFF555A"/>
      </dataBar>
    </cfRule>
  </conditionalFormatting>
  <conditionalFormatting sqref="E496:E510">
    <cfRule type="dataBar" priority="1420">
      <dataBar>
        <cfvo type="min"/>
        <cfvo type="max"/>
        <color rgb="FFFF555A"/>
      </dataBar>
    </cfRule>
  </conditionalFormatting>
  <conditionalFormatting sqref="H496:H510">
    <cfRule type="dataBar" priority="1419">
      <dataBar>
        <cfvo type="min"/>
        <cfvo type="max"/>
        <color rgb="FFFF555A"/>
      </dataBar>
    </cfRule>
  </conditionalFormatting>
  <conditionalFormatting sqref="I496:I510">
    <cfRule type="dataBar" priority="1418">
      <dataBar>
        <cfvo type="min"/>
        <cfvo type="max"/>
        <color rgb="FFFF555A"/>
      </dataBar>
    </cfRule>
  </conditionalFormatting>
  <conditionalFormatting sqref="J496:J510">
    <cfRule type="dataBar" priority="1417">
      <dataBar>
        <cfvo type="min"/>
        <cfvo type="max"/>
        <color rgb="FFFF555A"/>
      </dataBar>
    </cfRule>
  </conditionalFormatting>
  <conditionalFormatting sqref="L495:L510">
    <cfRule type="dataBar" priority="1416">
      <dataBar>
        <cfvo type="min"/>
        <cfvo type="max"/>
        <color rgb="FFFF555A"/>
      </dataBar>
    </cfRule>
  </conditionalFormatting>
  <conditionalFormatting sqref="M495:M510">
    <cfRule type="dataBar" priority="1415">
      <dataBar>
        <cfvo type="min"/>
        <cfvo type="max"/>
        <color rgb="FFFF555A"/>
      </dataBar>
    </cfRule>
  </conditionalFormatting>
  <conditionalFormatting sqref="N495:N510">
    <cfRule type="dataBar" priority="1414">
      <dataBar>
        <cfvo type="min"/>
        <cfvo type="max"/>
        <color rgb="FFFF555A"/>
      </dataBar>
    </cfRule>
  </conditionalFormatting>
  <conditionalFormatting sqref="Q495:Q510">
    <cfRule type="dataBar" priority="1413">
      <dataBar>
        <cfvo type="min"/>
        <cfvo type="max"/>
        <color rgb="FFFF555A"/>
      </dataBar>
    </cfRule>
  </conditionalFormatting>
  <conditionalFormatting sqref="O495:O510">
    <cfRule type="dataBar" priority="1412">
      <dataBar>
        <cfvo type="min"/>
        <cfvo type="max"/>
        <color rgb="FFFF555A"/>
      </dataBar>
    </cfRule>
  </conditionalFormatting>
  <conditionalFormatting sqref="P495:P510">
    <cfRule type="dataBar" priority="1411">
      <dataBar>
        <cfvo type="min"/>
        <cfvo type="max"/>
        <color rgb="FFFF555A"/>
      </dataBar>
    </cfRule>
  </conditionalFormatting>
  <conditionalFormatting sqref="R512:R528 D512:D527 C528">
    <cfRule type="containsText" dxfId="539" priority="1410" operator="containsText" text="DOWN">
      <formula>NOT(ISERROR(SEARCH("DOWN",C512)))</formula>
    </cfRule>
  </conditionalFormatting>
  <conditionalFormatting sqref="R512:R528 D512:D527 C528">
    <cfRule type="containsText" dxfId="538" priority="1409" operator="containsText" text="UP">
      <formula>NOT(ISERROR(SEARCH("UP",C512)))</formula>
    </cfRule>
  </conditionalFormatting>
  <conditionalFormatting sqref="I528">
    <cfRule type="colorScale" priority="1408">
      <colorScale>
        <cfvo type="min"/>
        <cfvo type="max"/>
        <color rgb="FFFFEF9C"/>
        <color rgb="FF63BE7B"/>
      </colorScale>
    </cfRule>
  </conditionalFormatting>
  <conditionalFormatting sqref="M528">
    <cfRule type="colorScale" priority="1407">
      <colorScale>
        <cfvo type="min"/>
        <cfvo type="max"/>
        <color rgb="FFFF7128"/>
        <color rgb="FFFFEF9C"/>
      </colorScale>
    </cfRule>
  </conditionalFormatting>
  <conditionalFormatting sqref="Q528">
    <cfRule type="dataBar" priority="1406">
      <dataBar>
        <cfvo type="min"/>
        <cfvo type="max"/>
        <color rgb="FFFF555A"/>
      </dataBar>
    </cfRule>
  </conditionalFormatting>
  <conditionalFormatting sqref="E512:E528">
    <cfRule type="dataBar" priority="1405">
      <dataBar>
        <cfvo type="min"/>
        <cfvo type="max"/>
        <color rgb="FFFF555A"/>
      </dataBar>
    </cfRule>
  </conditionalFormatting>
  <conditionalFormatting sqref="F528">
    <cfRule type="top10" dxfId="537" priority="1404" rank="1"/>
  </conditionalFormatting>
  <conditionalFormatting sqref="G528 P528">
    <cfRule type="cellIs" dxfId="536" priority="1403" operator="equal">
      <formula>$G$135</formula>
    </cfRule>
  </conditionalFormatting>
  <conditionalFormatting sqref="P528">
    <cfRule type="cellIs" dxfId="535" priority="1402" operator="equal">
      <formula>$J$135</formula>
    </cfRule>
  </conditionalFormatting>
  <conditionalFormatting sqref="G528 P528">
    <cfRule type="cellIs" dxfId="534" priority="1401" operator="equal">
      <formula>#REF!</formula>
    </cfRule>
  </conditionalFormatting>
  <conditionalFormatting sqref="G528">
    <cfRule type="top10" dxfId="533" priority="1399" rank="1"/>
    <cfRule type="cellIs" dxfId="532" priority="1400" operator="equal">
      <formula>$G$133</formula>
    </cfRule>
  </conditionalFormatting>
  <conditionalFormatting sqref="P528">
    <cfRule type="top10" dxfId="531" priority="1397" rank="1"/>
    <cfRule type="cellIs" dxfId="530" priority="1398" operator="equal">
      <formula>$G$133</formula>
    </cfRule>
  </conditionalFormatting>
  <conditionalFormatting sqref="C512:C527">
    <cfRule type="containsText" dxfId="529" priority="1393" operator="containsText" text="Short Buildup">
      <formula>NOT(ISERROR(SEARCH("Short Buildup",C512)))</formula>
    </cfRule>
    <cfRule type="containsText" dxfId="528" priority="1394" operator="containsText" text="Long Liquidation">
      <formula>NOT(ISERROR(SEARCH("Long Liquidation",C512)))</formula>
    </cfRule>
    <cfRule type="containsText" dxfId="527" priority="1395" operator="containsText" text="Short covering">
      <formula>NOT(ISERROR(SEARCH("Short covering",C512)))</formula>
    </cfRule>
    <cfRule type="containsText" dxfId="526" priority="1396" operator="containsText" text="Long Buildup">
      <formula>NOT(ISERROR(SEARCH("Long Buildup",C512)))</formula>
    </cfRule>
  </conditionalFormatting>
  <conditionalFormatting sqref="H528">
    <cfRule type="colorScale" priority="1388">
      <colorScale>
        <cfvo type="min"/>
        <cfvo type="percentile" val="20"/>
        <cfvo type="max"/>
        <color rgb="FF92D050"/>
        <color theme="5" tint="0.79998168889431442"/>
        <color rgb="FFFF0000"/>
      </colorScale>
    </cfRule>
    <cfRule type="colorScale" priority="1389">
      <colorScale>
        <cfvo type="min"/>
        <cfvo type="max"/>
        <color rgb="FFFF0000"/>
        <color rgb="FF92D050"/>
      </colorScale>
    </cfRule>
    <cfRule type="colorScale" priority="1390">
      <colorScale>
        <cfvo type="min"/>
        <cfvo type="percentile" val="50"/>
        <cfvo type="max"/>
        <color rgb="FF5A8AC6"/>
        <color rgb="FFFCFCFF"/>
        <color rgb="FFF8696B"/>
      </colorScale>
    </cfRule>
    <cfRule type="colorScale" priority="1391">
      <colorScale>
        <cfvo type="formula" val="&quot;&gt;20&quot;"/>
        <cfvo type="formula" val="35"/>
        <color rgb="FFF8696B"/>
        <color rgb="FFFCFCFF"/>
      </colorScale>
    </cfRule>
    <cfRule type="colorScale" priority="1392">
      <colorScale>
        <cfvo type="min"/>
        <cfvo type="max"/>
        <color rgb="FFFFEF9C"/>
        <color rgb="FF63BE7B"/>
      </colorScale>
    </cfRule>
  </conditionalFormatting>
  <conditionalFormatting sqref="N528">
    <cfRule type="colorScale" priority="1383">
      <colorScale>
        <cfvo type="min"/>
        <cfvo type="percentile" val="20"/>
        <cfvo type="max"/>
        <color rgb="FF92D050"/>
        <color theme="5" tint="0.79998168889431442"/>
        <color rgb="FFFF0000"/>
      </colorScale>
    </cfRule>
    <cfRule type="colorScale" priority="1384">
      <colorScale>
        <cfvo type="min"/>
        <cfvo type="max"/>
        <color rgb="FFFF0000"/>
        <color rgb="FF92D050"/>
      </colorScale>
    </cfRule>
    <cfRule type="colorScale" priority="1385">
      <colorScale>
        <cfvo type="min"/>
        <cfvo type="percentile" val="50"/>
        <cfvo type="max"/>
        <color rgb="FF5A8AC6"/>
        <color rgb="FFFCFCFF"/>
        <color rgb="FFF8696B"/>
      </colorScale>
    </cfRule>
    <cfRule type="colorScale" priority="1386">
      <colorScale>
        <cfvo type="formula" val="&quot;&gt;20&quot;"/>
        <cfvo type="formula" val="35"/>
        <color rgb="FFF8696B"/>
        <color rgb="FFFCFCFF"/>
      </colorScale>
    </cfRule>
    <cfRule type="colorScale" priority="1387">
      <colorScale>
        <cfvo type="min"/>
        <cfvo type="max"/>
        <color rgb="FFFFEF9C"/>
        <color rgb="FF63BE7B"/>
      </colorScale>
    </cfRule>
  </conditionalFormatting>
  <conditionalFormatting sqref="S512:S528">
    <cfRule type="containsText" dxfId="525" priority="1379" operator="containsText" text="Short Buildup">
      <formula>NOT(ISERROR(SEARCH("Short Buildup",S512)))</formula>
    </cfRule>
    <cfRule type="containsText" dxfId="524" priority="1380" operator="containsText" text="Long Liquidation">
      <formula>NOT(ISERROR(SEARCH("Long Liquidation",S512)))</formula>
    </cfRule>
    <cfRule type="containsText" dxfId="523" priority="1381" operator="containsText" text="Short covering">
      <formula>NOT(ISERROR(SEARCH("Short covering",S512)))</formula>
    </cfRule>
    <cfRule type="containsText" dxfId="522" priority="1382" operator="containsText" text="Long Buildup">
      <formula>NOT(ISERROR(SEARCH("Long Buildup",S512)))</formula>
    </cfRule>
  </conditionalFormatting>
  <conditionalFormatting sqref="F512:F527">
    <cfRule type="dataBar" priority="1378">
      <dataBar>
        <cfvo type="min"/>
        <cfvo type="max"/>
        <color rgb="FFFF555A"/>
      </dataBar>
    </cfRule>
  </conditionalFormatting>
  <conditionalFormatting sqref="G512:G527">
    <cfRule type="dataBar" priority="1377">
      <dataBar>
        <cfvo type="min"/>
        <cfvo type="max"/>
        <color rgb="FFFF555A"/>
      </dataBar>
    </cfRule>
  </conditionalFormatting>
  <conditionalFormatting sqref="H512">
    <cfRule type="dataBar" priority="1376">
      <dataBar>
        <cfvo type="min"/>
        <cfvo type="max"/>
        <color rgb="FFFF555A"/>
      </dataBar>
    </cfRule>
  </conditionalFormatting>
  <conditionalFormatting sqref="I512">
    <cfRule type="dataBar" priority="1375">
      <dataBar>
        <cfvo type="min"/>
        <cfvo type="max"/>
        <color rgb="FFFF555A"/>
      </dataBar>
    </cfRule>
  </conditionalFormatting>
  <conditionalFormatting sqref="J512">
    <cfRule type="dataBar" priority="1374">
      <dataBar>
        <cfvo type="min"/>
        <cfvo type="max"/>
        <color rgb="FFFF555A"/>
      </dataBar>
    </cfRule>
  </conditionalFormatting>
  <conditionalFormatting sqref="E513:E527">
    <cfRule type="dataBar" priority="1373">
      <dataBar>
        <cfvo type="min"/>
        <cfvo type="max"/>
        <color rgb="FFFF555A"/>
      </dataBar>
    </cfRule>
  </conditionalFormatting>
  <conditionalFormatting sqref="H513:H527">
    <cfRule type="dataBar" priority="1372">
      <dataBar>
        <cfvo type="min"/>
        <cfvo type="max"/>
        <color rgb="FFFF555A"/>
      </dataBar>
    </cfRule>
  </conditionalFormatting>
  <conditionalFormatting sqref="I513:I527">
    <cfRule type="dataBar" priority="1371">
      <dataBar>
        <cfvo type="min"/>
        <cfvo type="max"/>
        <color rgb="FFFF555A"/>
      </dataBar>
    </cfRule>
  </conditionalFormatting>
  <conditionalFormatting sqref="J513:J527">
    <cfRule type="dataBar" priority="1370">
      <dataBar>
        <cfvo type="min"/>
        <cfvo type="max"/>
        <color rgb="FFFF555A"/>
      </dataBar>
    </cfRule>
  </conditionalFormatting>
  <conditionalFormatting sqref="L512:L527">
    <cfRule type="dataBar" priority="1369">
      <dataBar>
        <cfvo type="min"/>
        <cfvo type="max"/>
        <color rgb="FFFF555A"/>
      </dataBar>
    </cfRule>
  </conditionalFormatting>
  <conditionalFormatting sqref="M512:M527">
    <cfRule type="dataBar" priority="1368">
      <dataBar>
        <cfvo type="min"/>
        <cfvo type="max"/>
        <color rgb="FFFF555A"/>
      </dataBar>
    </cfRule>
  </conditionalFormatting>
  <conditionalFormatting sqref="N512:N527">
    <cfRule type="dataBar" priority="1367">
      <dataBar>
        <cfvo type="min"/>
        <cfvo type="max"/>
        <color rgb="FFFF555A"/>
      </dataBar>
    </cfRule>
  </conditionalFormatting>
  <conditionalFormatting sqref="Q512:Q527">
    <cfRule type="dataBar" priority="1366">
      <dataBar>
        <cfvo type="min"/>
        <cfvo type="max"/>
        <color rgb="FFFF555A"/>
      </dataBar>
    </cfRule>
  </conditionalFormatting>
  <conditionalFormatting sqref="O512:O527">
    <cfRule type="dataBar" priority="1365">
      <dataBar>
        <cfvo type="min"/>
        <cfvo type="max"/>
        <color rgb="FFFF555A"/>
      </dataBar>
    </cfRule>
  </conditionalFormatting>
  <conditionalFormatting sqref="P512:P527">
    <cfRule type="dataBar" priority="1364">
      <dataBar>
        <cfvo type="min"/>
        <cfvo type="max"/>
        <color rgb="FFFF555A"/>
      </dataBar>
    </cfRule>
  </conditionalFormatting>
  <conditionalFormatting sqref="R529:R545 D529:D544 C545">
    <cfRule type="containsText" dxfId="521" priority="1363" operator="containsText" text="DOWN">
      <formula>NOT(ISERROR(SEARCH("DOWN",C529)))</formula>
    </cfRule>
  </conditionalFormatting>
  <conditionalFormatting sqref="R529:R545 D529:D544 C545">
    <cfRule type="containsText" dxfId="520" priority="1362" operator="containsText" text="UP">
      <formula>NOT(ISERROR(SEARCH("UP",C529)))</formula>
    </cfRule>
  </conditionalFormatting>
  <conditionalFormatting sqref="I545">
    <cfRule type="colorScale" priority="1361">
      <colorScale>
        <cfvo type="min"/>
        <cfvo type="max"/>
        <color rgb="FFFFEF9C"/>
        <color rgb="FF63BE7B"/>
      </colorScale>
    </cfRule>
  </conditionalFormatting>
  <conditionalFormatting sqref="M545">
    <cfRule type="colorScale" priority="1360">
      <colorScale>
        <cfvo type="min"/>
        <cfvo type="max"/>
        <color rgb="FFFF7128"/>
        <color rgb="FFFFEF9C"/>
      </colorScale>
    </cfRule>
  </conditionalFormatting>
  <conditionalFormatting sqref="Q545">
    <cfRule type="dataBar" priority="1359">
      <dataBar>
        <cfvo type="min"/>
        <cfvo type="max"/>
        <color rgb="FFFF555A"/>
      </dataBar>
    </cfRule>
  </conditionalFormatting>
  <conditionalFormatting sqref="E529:E545">
    <cfRule type="dataBar" priority="1358">
      <dataBar>
        <cfvo type="min"/>
        <cfvo type="max"/>
        <color rgb="FFFF555A"/>
      </dataBar>
    </cfRule>
  </conditionalFormatting>
  <conditionalFormatting sqref="F545">
    <cfRule type="top10" dxfId="519" priority="1357" rank="1"/>
  </conditionalFormatting>
  <conditionalFormatting sqref="G545 P545">
    <cfRule type="cellIs" dxfId="518" priority="1356" operator="equal">
      <formula>$G$135</formula>
    </cfRule>
  </conditionalFormatting>
  <conditionalFormatting sqref="P545">
    <cfRule type="cellIs" dxfId="517" priority="1355" operator="equal">
      <formula>$J$135</formula>
    </cfRule>
  </conditionalFormatting>
  <conditionalFormatting sqref="G545 P545">
    <cfRule type="cellIs" dxfId="516" priority="1354" operator="equal">
      <formula>#REF!</formula>
    </cfRule>
  </conditionalFormatting>
  <conditionalFormatting sqref="G545">
    <cfRule type="top10" dxfId="515" priority="1352" rank="1"/>
    <cfRule type="cellIs" dxfId="514" priority="1353" operator="equal">
      <formula>$G$133</formula>
    </cfRule>
  </conditionalFormatting>
  <conditionalFormatting sqref="P545">
    <cfRule type="top10" dxfId="513" priority="1350" rank="1"/>
    <cfRule type="cellIs" dxfId="512" priority="1351" operator="equal">
      <formula>$G$133</formula>
    </cfRule>
  </conditionalFormatting>
  <conditionalFormatting sqref="C529:C544">
    <cfRule type="containsText" dxfId="511" priority="1346" operator="containsText" text="Short Buildup">
      <formula>NOT(ISERROR(SEARCH("Short Buildup",C529)))</formula>
    </cfRule>
    <cfRule type="containsText" dxfId="510" priority="1347" operator="containsText" text="Long Liquidation">
      <formula>NOT(ISERROR(SEARCH("Long Liquidation",C529)))</formula>
    </cfRule>
    <cfRule type="containsText" dxfId="509" priority="1348" operator="containsText" text="Short covering">
      <formula>NOT(ISERROR(SEARCH("Short covering",C529)))</formula>
    </cfRule>
    <cfRule type="containsText" dxfId="508" priority="1349" operator="containsText" text="Long Buildup">
      <formula>NOT(ISERROR(SEARCH("Long Buildup",C529)))</formula>
    </cfRule>
  </conditionalFormatting>
  <conditionalFormatting sqref="H545">
    <cfRule type="colorScale" priority="1341">
      <colorScale>
        <cfvo type="min"/>
        <cfvo type="percentile" val="20"/>
        <cfvo type="max"/>
        <color rgb="FF92D050"/>
        <color theme="5" tint="0.79998168889431442"/>
        <color rgb="FFFF0000"/>
      </colorScale>
    </cfRule>
    <cfRule type="colorScale" priority="1342">
      <colorScale>
        <cfvo type="min"/>
        <cfvo type="max"/>
        <color rgb="FFFF0000"/>
        <color rgb="FF92D050"/>
      </colorScale>
    </cfRule>
    <cfRule type="colorScale" priority="1343">
      <colorScale>
        <cfvo type="min"/>
        <cfvo type="percentile" val="50"/>
        <cfvo type="max"/>
        <color rgb="FF5A8AC6"/>
        <color rgb="FFFCFCFF"/>
        <color rgb="FFF8696B"/>
      </colorScale>
    </cfRule>
    <cfRule type="colorScale" priority="1344">
      <colorScale>
        <cfvo type="formula" val="&quot;&gt;20&quot;"/>
        <cfvo type="formula" val="35"/>
        <color rgb="FFF8696B"/>
        <color rgb="FFFCFCFF"/>
      </colorScale>
    </cfRule>
    <cfRule type="colorScale" priority="1345">
      <colorScale>
        <cfvo type="min"/>
        <cfvo type="max"/>
        <color rgb="FFFFEF9C"/>
        <color rgb="FF63BE7B"/>
      </colorScale>
    </cfRule>
  </conditionalFormatting>
  <conditionalFormatting sqref="N545">
    <cfRule type="colorScale" priority="1336">
      <colorScale>
        <cfvo type="min"/>
        <cfvo type="percentile" val="20"/>
        <cfvo type="max"/>
        <color rgb="FF92D050"/>
        <color theme="5" tint="0.79998168889431442"/>
        <color rgb="FFFF0000"/>
      </colorScale>
    </cfRule>
    <cfRule type="colorScale" priority="1337">
      <colorScale>
        <cfvo type="min"/>
        <cfvo type="max"/>
        <color rgb="FFFF0000"/>
        <color rgb="FF92D050"/>
      </colorScale>
    </cfRule>
    <cfRule type="colorScale" priority="1338">
      <colorScale>
        <cfvo type="min"/>
        <cfvo type="percentile" val="50"/>
        <cfvo type="max"/>
        <color rgb="FF5A8AC6"/>
        <color rgb="FFFCFCFF"/>
        <color rgb="FFF8696B"/>
      </colorScale>
    </cfRule>
    <cfRule type="colorScale" priority="1339">
      <colorScale>
        <cfvo type="formula" val="&quot;&gt;20&quot;"/>
        <cfvo type="formula" val="35"/>
        <color rgb="FFF8696B"/>
        <color rgb="FFFCFCFF"/>
      </colorScale>
    </cfRule>
    <cfRule type="colorScale" priority="1340">
      <colorScale>
        <cfvo type="min"/>
        <cfvo type="max"/>
        <color rgb="FFFFEF9C"/>
        <color rgb="FF63BE7B"/>
      </colorScale>
    </cfRule>
  </conditionalFormatting>
  <conditionalFormatting sqref="S529:S545">
    <cfRule type="containsText" dxfId="507" priority="1332" operator="containsText" text="Short Buildup">
      <formula>NOT(ISERROR(SEARCH("Short Buildup",S529)))</formula>
    </cfRule>
    <cfRule type="containsText" dxfId="506" priority="1333" operator="containsText" text="Long Liquidation">
      <formula>NOT(ISERROR(SEARCH("Long Liquidation",S529)))</formula>
    </cfRule>
    <cfRule type="containsText" dxfId="505" priority="1334" operator="containsText" text="Short covering">
      <formula>NOT(ISERROR(SEARCH("Short covering",S529)))</formula>
    </cfRule>
    <cfRule type="containsText" dxfId="504" priority="1335" operator="containsText" text="Long Buildup">
      <formula>NOT(ISERROR(SEARCH("Long Buildup",S529)))</formula>
    </cfRule>
  </conditionalFormatting>
  <conditionalFormatting sqref="F529:F544">
    <cfRule type="dataBar" priority="1331">
      <dataBar>
        <cfvo type="min"/>
        <cfvo type="max"/>
        <color rgb="FFFF555A"/>
      </dataBar>
    </cfRule>
  </conditionalFormatting>
  <conditionalFormatting sqref="G529:G544">
    <cfRule type="dataBar" priority="1330">
      <dataBar>
        <cfvo type="min"/>
        <cfvo type="max"/>
        <color rgb="FFFF555A"/>
      </dataBar>
    </cfRule>
  </conditionalFormatting>
  <conditionalFormatting sqref="H529">
    <cfRule type="dataBar" priority="1329">
      <dataBar>
        <cfvo type="min"/>
        <cfvo type="max"/>
        <color rgb="FFFF555A"/>
      </dataBar>
    </cfRule>
  </conditionalFormatting>
  <conditionalFormatting sqref="I529">
    <cfRule type="dataBar" priority="1328">
      <dataBar>
        <cfvo type="min"/>
        <cfvo type="max"/>
        <color rgb="FFFF555A"/>
      </dataBar>
    </cfRule>
  </conditionalFormatting>
  <conditionalFormatting sqref="J529">
    <cfRule type="dataBar" priority="1327">
      <dataBar>
        <cfvo type="min"/>
        <cfvo type="max"/>
        <color rgb="FFFF555A"/>
      </dataBar>
    </cfRule>
  </conditionalFormatting>
  <conditionalFormatting sqref="E530:E544">
    <cfRule type="dataBar" priority="1326">
      <dataBar>
        <cfvo type="min"/>
        <cfvo type="max"/>
        <color rgb="FFFF555A"/>
      </dataBar>
    </cfRule>
  </conditionalFormatting>
  <conditionalFormatting sqref="H530:H544">
    <cfRule type="dataBar" priority="1325">
      <dataBar>
        <cfvo type="min"/>
        <cfvo type="max"/>
        <color rgb="FFFF555A"/>
      </dataBar>
    </cfRule>
  </conditionalFormatting>
  <conditionalFormatting sqref="I530:I544">
    <cfRule type="dataBar" priority="1324">
      <dataBar>
        <cfvo type="min"/>
        <cfvo type="max"/>
        <color rgb="FFFF555A"/>
      </dataBar>
    </cfRule>
  </conditionalFormatting>
  <conditionalFormatting sqref="J530:J544">
    <cfRule type="dataBar" priority="1323">
      <dataBar>
        <cfvo type="min"/>
        <cfvo type="max"/>
        <color rgb="FFFF555A"/>
      </dataBar>
    </cfRule>
  </conditionalFormatting>
  <conditionalFormatting sqref="L529:L544">
    <cfRule type="dataBar" priority="1322">
      <dataBar>
        <cfvo type="min"/>
        <cfvo type="max"/>
        <color rgb="FFFF555A"/>
      </dataBar>
    </cfRule>
  </conditionalFormatting>
  <conditionalFormatting sqref="M529:M544">
    <cfRule type="dataBar" priority="1321">
      <dataBar>
        <cfvo type="min"/>
        <cfvo type="max"/>
        <color rgb="FFFF555A"/>
      </dataBar>
    </cfRule>
  </conditionalFormatting>
  <conditionalFormatting sqref="N529:N544">
    <cfRule type="dataBar" priority="1320">
      <dataBar>
        <cfvo type="min"/>
        <cfvo type="max"/>
        <color rgb="FFFF555A"/>
      </dataBar>
    </cfRule>
  </conditionalFormatting>
  <conditionalFormatting sqref="Q529:Q544">
    <cfRule type="dataBar" priority="1319">
      <dataBar>
        <cfvo type="min"/>
        <cfvo type="max"/>
        <color rgb="FFFF555A"/>
      </dataBar>
    </cfRule>
  </conditionalFormatting>
  <conditionalFormatting sqref="O529:O544">
    <cfRule type="dataBar" priority="1318">
      <dataBar>
        <cfvo type="min"/>
        <cfvo type="max"/>
        <color rgb="FFFF555A"/>
      </dataBar>
    </cfRule>
  </conditionalFormatting>
  <conditionalFormatting sqref="P529:P544">
    <cfRule type="dataBar" priority="1317">
      <dataBar>
        <cfvo type="min"/>
        <cfvo type="max"/>
        <color rgb="FFFF555A"/>
      </dataBar>
    </cfRule>
  </conditionalFormatting>
  <conditionalFormatting sqref="R546:R562 D546:D561 C562">
    <cfRule type="containsText" dxfId="503" priority="1316" operator="containsText" text="DOWN">
      <formula>NOT(ISERROR(SEARCH("DOWN",C546)))</formula>
    </cfRule>
  </conditionalFormatting>
  <conditionalFormatting sqref="R546:R562 D546:D561 C562">
    <cfRule type="containsText" dxfId="502" priority="1315" operator="containsText" text="UP">
      <formula>NOT(ISERROR(SEARCH("UP",C546)))</formula>
    </cfRule>
  </conditionalFormatting>
  <conditionalFormatting sqref="I562">
    <cfRule type="colorScale" priority="1314">
      <colorScale>
        <cfvo type="min"/>
        <cfvo type="max"/>
        <color rgb="FFFFEF9C"/>
        <color rgb="FF63BE7B"/>
      </colorScale>
    </cfRule>
  </conditionalFormatting>
  <conditionalFormatting sqref="M562">
    <cfRule type="colorScale" priority="1313">
      <colorScale>
        <cfvo type="min"/>
        <cfvo type="max"/>
        <color rgb="FFFF7128"/>
        <color rgb="FFFFEF9C"/>
      </colorScale>
    </cfRule>
  </conditionalFormatting>
  <conditionalFormatting sqref="Q562">
    <cfRule type="dataBar" priority="1312">
      <dataBar>
        <cfvo type="min"/>
        <cfvo type="max"/>
        <color rgb="FFFF555A"/>
      </dataBar>
    </cfRule>
  </conditionalFormatting>
  <conditionalFormatting sqref="E546:E562">
    <cfRule type="dataBar" priority="1311">
      <dataBar>
        <cfvo type="min"/>
        <cfvo type="max"/>
        <color rgb="FFFF555A"/>
      </dataBar>
    </cfRule>
  </conditionalFormatting>
  <conditionalFormatting sqref="F562">
    <cfRule type="top10" dxfId="501" priority="1310" rank="1"/>
  </conditionalFormatting>
  <conditionalFormatting sqref="G562 P562">
    <cfRule type="cellIs" dxfId="500" priority="1309" operator="equal">
      <formula>$G$135</formula>
    </cfRule>
  </conditionalFormatting>
  <conditionalFormatting sqref="P562">
    <cfRule type="cellIs" dxfId="499" priority="1308" operator="equal">
      <formula>$J$135</formula>
    </cfRule>
  </conditionalFormatting>
  <conditionalFormatting sqref="G562 P562">
    <cfRule type="cellIs" dxfId="498" priority="1307" operator="equal">
      <formula>#REF!</formula>
    </cfRule>
  </conditionalFormatting>
  <conditionalFormatting sqref="G562">
    <cfRule type="top10" dxfId="497" priority="1305" rank="1"/>
    <cfRule type="cellIs" dxfId="496" priority="1306" operator="equal">
      <formula>$G$133</formula>
    </cfRule>
  </conditionalFormatting>
  <conditionalFormatting sqref="P562">
    <cfRule type="top10" dxfId="495" priority="1303" rank="1"/>
    <cfRule type="cellIs" dxfId="494" priority="1304" operator="equal">
      <formula>$G$133</formula>
    </cfRule>
  </conditionalFormatting>
  <conditionalFormatting sqref="C546:C561">
    <cfRule type="containsText" dxfId="493" priority="1299" operator="containsText" text="Short Buildup">
      <formula>NOT(ISERROR(SEARCH("Short Buildup",C546)))</formula>
    </cfRule>
    <cfRule type="containsText" dxfId="492" priority="1300" operator="containsText" text="Long Liquidation">
      <formula>NOT(ISERROR(SEARCH("Long Liquidation",C546)))</formula>
    </cfRule>
    <cfRule type="containsText" dxfId="491" priority="1301" operator="containsText" text="Short covering">
      <formula>NOT(ISERROR(SEARCH("Short covering",C546)))</formula>
    </cfRule>
    <cfRule type="containsText" dxfId="490" priority="1302" operator="containsText" text="Long Buildup">
      <formula>NOT(ISERROR(SEARCH("Long Buildup",C546)))</formula>
    </cfRule>
  </conditionalFormatting>
  <conditionalFormatting sqref="H562">
    <cfRule type="colorScale" priority="1294">
      <colorScale>
        <cfvo type="min"/>
        <cfvo type="percentile" val="20"/>
        <cfvo type="max"/>
        <color rgb="FF92D050"/>
        <color theme="5" tint="0.79998168889431442"/>
        <color rgb="FFFF0000"/>
      </colorScale>
    </cfRule>
    <cfRule type="colorScale" priority="1295">
      <colorScale>
        <cfvo type="min"/>
        <cfvo type="max"/>
        <color rgb="FFFF0000"/>
        <color rgb="FF92D050"/>
      </colorScale>
    </cfRule>
    <cfRule type="colorScale" priority="1296">
      <colorScale>
        <cfvo type="min"/>
        <cfvo type="percentile" val="50"/>
        <cfvo type="max"/>
        <color rgb="FF5A8AC6"/>
        <color rgb="FFFCFCFF"/>
        <color rgb="FFF8696B"/>
      </colorScale>
    </cfRule>
    <cfRule type="colorScale" priority="1297">
      <colorScale>
        <cfvo type="formula" val="&quot;&gt;20&quot;"/>
        <cfvo type="formula" val="35"/>
        <color rgb="FFF8696B"/>
        <color rgb="FFFCFCFF"/>
      </colorScale>
    </cfRule>
    <cfRule type="colorScale" priority="1298">
      <colorScale>
        <cfvo type="min"/>
        <cfvo type="max"/>
        <color rgb="FFFFEF9C"/>
        <color rgb="FF63BE7B"/>
      </colorScale>
    </cfRule>
  </conditionalFormatting>
  <conditionalFormatting sqref="N562">
    <cfRule type="colorScale" priority="1289">
      <colorScale>
        <cfvo type="min"/>
        <cfvo type="percentile" val="20"/>
        <cfvo type="max"/>
        <color rgb="FF92D050"/>
        <color theme="5" tint="0.79998168889431442"/>
        <color rgb="FFFF0000"/>
      </colorScale>
    </cfRule>
    <cfRule type="colorScale" priority="1290">
      <colorScale>
        <cfvo type="min"/>
        <cfvo type="max"/>
        <color rgb="FFFF0000"/>
        <color rgb="FF92D050"/>
      </colorScale>
    </cfRule>
    <cfRule type="colorScale" priority="1291">
      <colorScale>
        <cfvo type="min"/>
        <cfvo type="percentile" val="50"/>
        <cfvo type="max"/>
        <color rgb="FF5A8AC6"/>
        <color rgb="FFFCFCFF"/>
        <color rgb="FFF8696B"/>
      </colorScale>
    </cfRule>
    <cfRule type="colorScale" priority="1292">
      <colorScale>
        <cfvo type="formula" val="&quot;&gt;20&quot;"/>
        <cfvo type="formula" val="35"/>
        <color rgb="FFF8696B"/>
        <color rgb="FFFCFCFF"/>
      </colorScale>
    </cfRule>
    <cfRule type="colorScale" priority="1293">
      <colorScale>
        <cfvo type="min"/>
        <cfvo type="max"/>
        <color rgb="FFFFEF9C"/>
        <color rgb="FF63BE7B"/>
      </colorScale>
    </cfRule>
  </conditionalFormatting>
  <conditionalFormatting sqref="S546:S562">
    <cfRule type="containsText" dxfId="489" priority="1285" operator="containsText" text="Short Buildup">
      <formula>NOT(ISERROR(SEARCH("Short Buildup",S546)))</formula>
    </cfRule>
    <cfRule type="containsText" dxfId="488" priority="1286" operator="containsText" text="Long Liquidation">
      <formula>NOT(ISERROR(SEARCH("Long Liquidation",S546)))</formula>
    </cfRule>
    <cfRule type="containsText" dxfId="487" priority="1287" operator="containsText" text="Short covering">
      <formula>NOT(ISERROR(SEARCH("Short covering",S546)))</formula>
    </cfRule>
    <cfRule type="containsText" dxfId="486" priority="1288" operator="containsText" text="Long Buildup">
      <formula>NOT(ISERROR(SEARCH("Long Buildup",S546)))</formula>
    </cfRule>
  </conditionalFormatting>
  <conditionalFormatting sqref="F546:F561">
    <cfRule type="dataBar" priority="1284">
      <dataBar>
        <cfvo type="min"/>
        <cfvo type="max"/>
        <color rgb="FFFF555A"/>
      </dataBar>
    </cfRule>
  </conditionalFormatting>
  <conditionalFormatting sqref="G546:G561">
    <cfRule type="dataBar" priority="1283">
      <dataBar>
        <cfvo type="min"/>
        <cfvo type="max"/>
        <color rgb="FFFF555A"/>
      </dataBar>
    </cfRule>
  </conditionalFormatting>
  <conditionalFormatting sqref="H546">
    <cfRule type="dataBar" priority="1282">
      <dataBar>
        <cfvo type="min"/>
        <cfvo type="max"/>
        <color rgb="FFFF555A"/>
      </dataBar>
    </cfRule>
  </conditionalFormatting>
  <conditionalFormatting sqref="I546">
    <cfRule type="dataBar" priority="1281">
      <dataBar>
        <cfvo type="min"/>
        <cfvo type="max"/>
        <color rgb="FFFF555A"/>
      </dataBar>
    </cfRule>
  </conditionalFormatting>
  <conditionalFormatting sqref="J546">
    <cfRule type="dataBar" priority="1280">
      <dataBar>
        <cfvo type="min"/>
        <cfvo type="max"/>
        <color rgb="FFFF555A"/>
      </dataBar>
    </cfRule>
  </conditionalFormatting>
  <conditionalFormatting sqref="E547:E561">
    <cfRule type="dataBar" priority="1279">
      <dataBar>
        <cfvo type="min"/>
        <cfvo type="max"/>
        <color rgb="FFFF555A"/>
      </dataBar>
    </cfRule>
  </conditionalFormatting>
  <conditionalFormatting sqref="H547:H561">
    <cfRule type="dataBar" priority="1278">
      <dataBar>
        <cfvo type="min"/>
        <cfvo type="max"/>
        <color rgb="FFFF555A"/>
      </dataBar>
    </cfRule>
  </conditionalFormatting>
  <conditionalFormatting sqref="I547:I561">
    <cfRule type="dataBar" priority="1277">
      <dataBar>
        <cfvo type="min"/>
        <cfvo type="max"/>
        <color rgb="FFFF555A"/>
      </dataBar>
    </cfRule>
  </conditionalFormatting>
  <conditionalFormatting sqref="J547:J561">
    <cfRule type="dataBar" priority="1276">
      <dataBar>
        <cfvo type="min"/>
        <cfvo type="max"/>
        <color rgb="FFFF555A"/>
      </dataBar>
    </cfRule>
  </conditionalFormatting>
  <conditionalFormatting sqref="L546:L561">
    <cfRule type="dataBar" priority="1275">
      <dataBar>
        <cfvo type="min"/>
        <cfvo type="max"/>
        <color rgb="FFFF555A"/>
      </dataBar>
    </cfRule>
  </conditionalFormatting>
  <conditionalFormatting sqref="M546:M561">
    <cfRule type="dataBar" priority="1274">
      <dataBar>
        <cfvo type="min"/>
        <cfvo type="max"/>
        <color rgb="FFFF555A"/>
      </dataBar>
    </cfRule>
  </conditionalFormatting>
  <conditionalFormatting sqref="N546:N561">
    <cfRule type="dataBar" priority="1273">
      <dataBar>
        <cfvo type="min"/>
        <cfvo type="max"/>
        <color rgb="FFFF555A"/>
      </dataBar>
    </cfRule>
  </conditionalFormatting>
  <conditionalFormatting sqref="Q546:Q561">
    <cfRule type="dataBar" priority="1272">
      <dataBar>
        <cfvo type="min"/>
        <cfvo type="max"/>
        <color rgb="FFFF555A"/>
      </dataBar>
    </cfRule>
  </conditionalFormatting>
  <conditionalFormatting sqref="O546:O561">
    <cfRule type="dataBar" priority="1271">
      <dataBar>
        <cfvo type="min"/>
        <cfvo type="max"/>
        <color rgb="FFFF555A"/>
      </dataBar>
    </cfRule>
  </conditionalFormatting>
  <conditionalFormatting sqref="P546:P561">
    <cfRule type="dataBar" priority="1270">
      <dataBar>
        <cfvo type="min"/>
        <cfvo type="max"/>
        <color rgb="FFFF555A"/>
      </dataBar>
    </cfRule>
  </conditionalFormatting>
  <conditionalFormatting sqref="R563:R579 D563:D578 C579">
    <cfRule type="containsText" dxfId="485" priority="1269" operator="containsText" text="DOWN">
      <formula>NOT(ISERROR(SEARCH("DOWN",C563)))</formula>
    </cfRule>
  </conditionalFormatting>
  <conditionalFormatting sqref="R563:R579 D563:D578 C579">
    <cfRule type="containsText" dxfId="484" priority="1268" operator="containsText" text="UP">
      <formula>NOT(ISERROR(SEARCH("UP",C563)))</formula>
    </cfRule>
  </conditionalFormatting>
  <conditionalFormatting sqref="I579">
    <cfRule type="colorScale" priority="1267">
      <colorScale>
        <cfvo type="min"/>
        <cfvo type="max"/>
        <color rgb="FFFFEF9C"/>
        <color rgb="FF63BE7B"/>
      </colorScale>
    </cfRule>
  </conditionalFormatting>
  <conditionalFormatting sqref="M579">
    <cfRule type="colorScale" priority="1266">
      <colorScale>
        <cfvo type="min"/>
        <cfvo type="max"/>
        <color rgb="FFFF7128"/>
        <color rgb="FFFFEF9C"/>
      </colorScale>
    </cfRule>
  </conditionalFormatting>
  <conditionalFormatting sqref="Q579">
    <cfRule type="dataBar" priority="1265">
      <dataBar>
        <cfvo type="min"/>
        <cfvo type="max"/>
        <color rgb="FFFF555A"/>
      </dataBar>
    </cfRule>
  </conditionalFormatting>
  <conditionalFormatting sqref="E563:E579">
    <cfRule type="dataBar" priority="1264">
      <dataBar>
        <cfvo type="min"/>
        <cfvo type="max"/>
        <color rgb="FFFF555A"/>
      </dataBar>
    </cfRule>
  </conditionalFormatting>
  <conditionalFormatting sqref="F579">
    <cfRule type="top10" dxfId="483" priority="1263" rank="1"/>
  </conditionalFormatting>
  <conditionalFormatting sqref="G579 P579">
    <cfRule type="cellIs" dxfId="482" priority="1262" operator="equal">
      <formula>$G$135</formula>
    </cfRule>
  </conditionalFormatting>
  <conditionalFormatting sqref="P579">
    <cfRule type="cellIs" dxfId="481" priority="1261" operator="equal">
      <formula>$J$135</formula>
    </cfRule>
  </conditionalFormatting>
  <conditionalFormatting sqref="G579 P579">
    <cfRule type="cellIs" dxfId="480" priority="1260" operator="equal">
      <formula>#REF!</formula>
    </cfRule>
  </conditionalFormatting>
  <conditionalFormatting sqref="G579">
    <cfRule type="top10" dxfId="479" priority="1258" rank="1"/>
    <cfRule type="cellIs" dxfId="478" priority="1259" operator="equal">
      <formula>$G$133</formula>
    </cfRule>
  </conditionalFormatting>
  <conditionalFormatting sqref="P579">
    <cfRule type="top10" dxfId="477" priority="1256" rank="1"/>
    <cfRule type="cellIs" dxfId="476" priority="1257" operator="equal">
      <formula>$G$133</formula>
    </cfRule>
  </conditionalFormatting>
  <conditionalFormatting sqref="C563:C578">
    <cfRule type="containsText" dxfId="475" priority="1252" operator="containsText" text="Short Buildup">
      <formula>NOT(ISERROR(SEARCH("Short Buildup",C563)))</formula>
    </cfRule>
    <cfRule type="containsText" dxfId="474" priority="1253" operator="containsText" text="Long Liquidation">
      <formula>NOT(ISERROR(SEARCH("Long Liquidation",C563)))</formula>
    </cfRule>
    <cfRule type="containsText" dxfId="473" priority="1254" operator="containsText" text="Short covering">
      <formula>NOT(ISERROR(SEARCH("Short covering",C563)))</formula>
    </cfRule>
    <cfRule type="containsText" dxfId="472" priority="1255" operator="containsText" text="Long Buildup">
      <formula>NOT(ISERROR(SEARCH("Long Buildup",C563)))</formula>
    </cfRule>
  </conditionalFormatting>
  <conditionalFormatting sqref="H579">
    <cfRule type="colorScale" priority="1247">
      <colorScale>
        <cfvo type="min"/>
        <cfvo type="percentile" val="20"/>
        <cfvo type="max"/>
        <color rgb="FF92D050"/>
        <color theme="5" tint="0.79998168889431442"/>
        <color rgb="FFFF0000"/>
      </colorScale>
    </cfRule>
    <cfRule type="colorScale" priority="1248">
      <colorScale>
        <cfvo type="min"/>
        <cfvo type="max"/>
        <color rgb="FFFF0000"/>
        <color rgb="FF92D050"/>
      </colorScale>
    </cfRule>
    <cfRule type="colorScale" priority="1249">
      <colorScale>
        <cfvo type="min"/>
        <cfvo type="percentile" val="50"/>
        <cfvo type="max"/>
        <color rgb="FF5A8AC6"/>
        <color rgb="FFFCFCFF"/>
        <color rgb="FFF8696B"/>
      </colorScale>
    </cfRule>
    <cfRule type="colorScale" priority="1250">
      <colorScale>
        <cfvo type="formula" val="&quot;&gt;20&quot;"/>
        <cfvo type="formula" val="35"/>
        <color rgb="FFF8696B"/>
        <color rgb="FFFCFCFF"/>
      </colorScale>
    </cfRule>
    <cfRule type="colorScale" priority="1251">
      <colorScale>
        <cfvo type="min"/>
        <cfvo type="max"/>
        <color rgb="FFFFEF9C"/>
        <color rgb="FF63BE7B"/>
      </colorScale>
    </cfRule>
  </conditionalFormatting>
  <conditionalFormatting sqref="N579">
    <cfRule type="colorScale" priority="1242">
      <colorScale>
        <cfvo type="min"/>
        <cfvo type="percentile" val="20"/>
        <cfvo type="max"/>
        <color rgb="FF92D050"/>
        <color theme="5" tint="0.79998168889431442"/>
        <color rgb="FFFF0000"/>
      </colorScale>
    </cfRule>
    <cfRule type="colorScale" priority="1243">
      <colorScale>
        <cfvo type="min"/>
        <cfvo type="max"/>
        <color rgb="FFFF0000"/>
        <color rgb="FF92D050"/>
      </colorScale>
    </cfRule>
    <cfRule type="colorScale" priority="1244">
      <colorScale>
        <cfvo type="min"/>
        <cfvo type="percentile" val="50"/>
        <cfvo type="max"/>
        <color rgb="FF5A8AC6"/>
        <color rgb="FFFCFCFF"/>
        <color rgb="FFF8696B"/>
      </colorScale>
    </cfRule>
    <cfRule type="colorScale" priority="1245">
      <colorScale>
        <cfvo type="formula" val="&quot;&gt;20&quot;"/>
        <cfvo type="formula" val="35"/>
        <color rgb="FFF8696B"/>
        <color rgb="FFFCFCFF"/>
      </colorScale>
    </cfRule>
    <cfRule type="colorScale" priority="1246">
      <colorScale>
        <cfvo type="min"/>
        <cfvo type="max"/>
        <color rgb="FFFFEF9C"/>
        <color rgb="FF63BE7B"/>
      </colorScale>
    </cfRule>
  </conditionalFormatting>
  <conditionalFormatting sqref="S563:S579">
    <cfRule type="containsText" dxfId="471" priority="1238" operator="containsText" text="Short Buildup">
      <formula>NOT(ISERROR(SEARCH("Short Buildup",S563)))</formula>
    </cfRule>
    <cfRule type="containsText" dxfId="470" priority="1239" operator="containsText" text="Long Liquidation">
      <formula>NOT(ISERROR(SEARCH("Long Liquidation",S563)))</formula>
    </cfRule>
    <cfRule type="containsText" dxfId="469" priority="1240" operator="containsText" text="Short covering">
      <formula>NOT(ISERROR(SEARCH("Short covering",S563)))</formula>
    </cfRule>
    <cfRule type="containsText" dxfId="468" priority="1241" operator="containsText" text="Long Buildup">
      <formula>NOT(ISERROR(SEARCH("Long Buildup",S563)))</formula>
    </cfRule>
  </conditionalFormatting>
  <conditionalFormatting sqref="F563:F578">
    <cfRule type="dataBar" priority="1237">
      <dataBar>
        <cfvo type="min"/>
        <cfvo type="max"/>
        <color rgb="FFFF555A"/>
      </dataBar>
    </cfRule>
  </conditionalFormatting>
  <conditionalFormatting sqref="G563:G578">
    <cfRule type="dataBar" priority="1236">
      <dataBar>
        <cfvo type="min"/>
        <cfvo type="max"/>
        <color rgb="FFFF555A"/>
      </dataBar>
    </cfRule>
  </conditionalFormatting>
  <conditionalFormatting sqref="H563">
    <cfRule type="dataBar" priority="1235">
      <dataBar>
        <cfvo type="min"/>
        <cfvo type="max"/>
        <color rgb="FFFF555A"/>
      </dataBar>
    </cfRule>
  </conditionalFormatting>
  <conditionalFormatting sqref="I563">
    <cfRule type="dataBar" priority="1234">
      <dataBar>
        <cfvo type="min"/>
        <cfvo type="max"/>
        <color rgb="FFFF555A"/>
      </dataBar>
    </cfRule>
  </conditionalFormatting>
  <conditionalFormatting sqref="J563">
    <cfRule type="dataBar" priority="1233">
      <dataBar>
        <cfvo type="min"/>
        <cfvo type="max"/>
        <color rgb="FFFF555A"/>
      </dataBar>
    </cfRule>
  </conditionalFormatting>
  <conditionalFormatting sqref="E564:E578">
    <cfRule type="dataBar" priority="1232">
      <dataBar>
        <cfvo type="min"/>
        <cfvo type="max"/>
        <color rgb="FFFF555A"/>
      </dataBar>
    </cfRule>
  </conditionalFormatting>
  <conditionalFormatting sqref="H564:H578">
    <cfRule type="dataBar" priority="1231">
      <dataBar>
        <cfvo type="min"/>
        <cfvo type="max"/>
        <color rgb="FFFF555A"/>
      </dataBar>
    </cfRule>
  </conditionalFormatting>
  <conditionalFormatting sqref="I564:I578">
    <cfRule type="dataBar" priority="1230">
      <dataBar>
        <cfvo type="min"/>
        <cfvo type="max"/>
        <color rgb="FFFF555A"/>
      </dataBar>
    </cfRule>
  </conditionalFormatting>
  <conditionalFormatting sqref="J564:J578">
    <cfRule type="dataBar" priority="1229">
      <dataBar>
        <cfvo type="min"/>
        <cfvo type="max"/>
        <color rgb="FFFF555A"/>
      </dataBar>
    </cfRule>
  </conditionalFormatting>
  <conditionalFormatting sqref="L563:L578">
    <cfRule type="dataBar" priority="1228">
      <dataBar>
        <cfvo type="min"/>
        <cfvo type="max"/>
        <color rgb="FFFF555A"/>
      </dataBar>
    </cfRule>
  </conditionalFormatting>
  <conditionalFormatting sqref="M563:M578">
    <cfRule type="dataBar" priority="1227">
      <dataBar>
        <cfvo type="min"/>
        <cfvo type="max"/>
        <color rgb="FFFF555A"/>
      </dataBar>
    </cfRule>
  </conditionalFormatting>
  <conditionalFormatting sqref="N563:N578">
    <cfRule type="dataBar" priority="1226">
      <dataBar>
        <cfvo type="min"/>
        <cfvo type="max"/>
        <color rgb="FFFF555A"/>
      </dataBar>
    </cfRule>
  </conditionalFormatting>
  <conditionalFormatting sqref="Q563:Q578">
    <cfRule type="dataBar" priority="1225">
      <dataBar>
        <cfvo type="min"/>
        <cfvo type="max"/>
        <color rgb="FFFF555A"/>
      </dataBar>
    </cfRule>
  </conditionalFormatting>
  <conditionalFormatting sqref="O563:O578">
    <cfRule type="dataBar" priority="1224">
      <dataBar>
        <cfvo type="min"/>
        <cfvo type="max"/>
        <color rgb="FFFF555A"/>
      </dataBar>
    </cfRule>
  </conditionalFormatting>
  <conditionalFormatting sqref="P563:P578">
    <cfRule type="dataBar" priority="1223">
      <dataBar>
        <cfvo type="min"/>
        <cfvo type="max"/>
        <color rgb="FFFF555A"/>
      </dataBar>
    </cfRule>
  </conditionalFormatting>
  <conditionalFormatting sqref="R580:R596 D580:D595 C596">
    <cfRule type="containsText" dxfId="467" priority="1222" operator="containsText" text="DOWN">
      <formula>NOT(ISERROR(SEARCH("DOWN",C580)))</formula>
    </cfRule>
  </conditionalFormatting>
  <conditionalFormatting sqref="R580:R596 D580:D595 C596">
    <cfRule type="containsText" dxfId="466" priority="1221" operator="containsText" text="UP">
      <formula>NOT(ISERROR(SEARCH("UP",C580)))</formula>
    </cfRule>
  </conditionalFormatting>
  <conditionalFormatting sqref="I596">
    <cfRule type="colorScale" priority="1220">
      <colorScale>
        <cfvo type="min"/>
        <cfvo type="max"/>
        <color rgb="FFFFEF9C"/>
        <color rgb="FF63BE7B"/>
      </colorScale>
    </cfRule>
  </conditionalFormatting>
  <conditionalFormatting sqref="M596">
    <cfRule type="colorScale" priority="1219">
      <colorScale>
        <cfvo type="min"/>
        <cfvo type="max"/>
        <color rgb="FFFF7128"/>
        <color rgb="FFFFEF9C"/>
      </colorScale>
    </cfRule>
  </conditionalFormatting>
  <conditionalFormatting sqref="Q596">
    <cfRule type="dataBar" priority="1218">
      <dataBar>
        <cfvo type="min"/>
        <cfvo type="max"/>
        <color rgb="FFFF555A"/>
      </dataBar>
    </cfRule>
  </conditionalFormatting>
  <conditionalFormatting sqref="E580:E596">
    <cfRule type="dataBar" priority="1217">
      <dataBar>
        <cfvo type="min"/>
        <cfvo type="max"/>
        <color rgb="FFFF555A"/>
      </dataBar>
    </cfRule>
  </conditionalFormatting>
  <conditionalFormatting sqref="F596">
    <cfRule type="top10" dxfId="465" priority="1216" rank="1"/>
  </conditionalFormatting>
  <conditionalFormatting sqref="G596 P596">
    <cfRule type="cellIs" dxfId="464" priority="1215" operator="equal">
      <formula>$G$135</formula>
    </cfRule>
  </conditionalFormatting>
  <conditionalFormatting sqref="P596">
    <cfRule type="cellIs" dxfId="463" priority="1214" operator="equal">
      <formula>$J$135</formula>
    </cfRule>
  </conditionalFormatting>
  <conditionalFormatting sqref="G596 P596">
    <cfRule type="cellIs" dxfId="462" priority="1213" operator="equal">
      <formula>#REF!</formula>
    </cfRule>
  </conditionalFormatting>
  <conditionalFormatting sqref="G596">
    <cfRule type="top10" dxfId="461" priority="1211" rank="1"/>
    <cfRule type="cellIs" dxfId="460" priority="1212" operator="equal">
      <formula>$G$133</formula>
    </cfRule>
  </conditionalFormatting>
  <conditionalFormatting sqref="P596">
    <cfRule type="top10" dxfId="459" priority="1209" rank="1"/>
    <cfRule type="cellIs" dxfId="458" priority="1210" operator="equal">
      <formula>$G$133</formula>
    </cfRule>
  </conditionalFormatting>
  <conditionalFormatting sqref="C580:C595">
    <cfRule type="containsText" dxfId="457" priority="1205" operator="containsText" text="Short Buildup">
      <formula>NOT(ISERROR(SEARCH("Short Buildup",C580)))</formula>
    </cfRule>
    <cfRule type="containsText" dxfId="456" priority="1206" operator="containsText" text="Long Liquidation">
      <formula>NOT(ISERROR(SEARCH("Long Liquidation",C580)))</formula>
    </cfRule>
    <cfRule type="containsText" dxfId="455" priority="1207" operator="containsText" text="Short covering">
      <formula>NOT(ISERROR(SEARCH("Short covering",C580)))</formula>
    </cfRule>
    <cfRule type="containsText" dxfId="454" priority="1208" operator="containsText" text="Long Buildup">
      <formula>NOT(ISERROR(SEARCH("Long Buildup",C580)))</formula>
    </cfRule>
  </conditionalFormatting>
  <conditionalFormatting sqref="H596">
    <cfRule type="colorScale" priority="1200">
      <colorScale>
        <cfvo type="min"/>
        <cfvo type="percentile" val="20"/>
        <cfvo type="max"/>
        <color rgb="FF92D050"/>
        <color theme="5" tint="0.79998168889431442"/>
        <color rgb="FFFF0000"/>
      </colorScale>
    </cfRule>
    <cfRule type="colorScale" priority="1201">
      <colorScale>
        <cfvo type="min"/>
        <cfvo type="max"/>
        <color rgb="FFFF0000"/>
        <color rgb="FF92D050"/>
      </colorScale>
    </cfRule>
    <cfRule type="colorScale" priority="1202">
      <colorScale>
        <cfvo type="min"/>
        <cfvo type="percentile" val="50"/>
        <cfvo type="max"/>
        <color rgb="FF5A8AC6"/>
        <color rgb="FFFCFCFF"/>
        <color rgb="FFF8696B"/>
      </colorScale>
    </cfRule>
    <cfRule type="colorScale" priority="1203">
      <colorScale>
        <cfvo type="formula" val="&quot;&gt;20&quot;"/>
        <cfvo type="formula" val="35"/>
        <color rgb="FFF8696B"/>
        <color rgb="FFFCFCFF"/>
      </colorScale>
    </cfRule>
    <cfRule type="colorScale" priority="1204">
      <colorScale>
        <cfvo type="min"/>
        <cfvo type="max"/>
        <color rgb="FFFFEF9C"/>
        <color rgb="FF63BE7B"/>
      </colorScale>
    </cfRule>
  </conditionalFormatting>
  <conditionalFormatting sqref="N596">
    <cfRule type="colorScale" priority="1195">
      <colorScale>
        <cfvo type="min"/>
        <cfvo type="percentile" val="20"/>
        <cfvo type="max"/>
        <color rgb="FF92D050"/>
        <color theme="5" tint="0.79998168889431442"/>
        <color rgb="FFFF0000"/>
      </colorScale>
    </cfRule>
    <cfRule type="colorScale" priority="1196">
      <colorScale>
        <cfvo type="min"/>
        <cfvo type="max"/>
        <color rgb="FFFF0000"/>
        <color rgb="FF92D050"/>
      </colorScale>
    </cfRule>
    <cfRule type="colorScale" priority="1197">
      <colorScale>
        <cfvo type="min"/>
        <cfvo type="percentile" val="50"/>
        <cfvo type="max"/>
        <color rgb="FF5A8AC6"/>
        <color rgb="FFFCFCFF"/>
        <color rgb="FFF8696B"/>
      </colorScale>
    </cfRule>
    <cfRule type="colorScale" priority="1198">
      <colorScale>
        <cfvo type="formula" val="&quot;&gt;20&quot;"/>
        <cfvo type="formula" val="35"/>
        <color rgb="FFF8696B"/>
        <color rgb="FFFCFCFF"/>
      </colorScale>
    </cfRule>
    <cfRule type="colorScale" priority="1199">
      <colorScale>
        <cfvo type="min"/>
        <cfvo type="max"/>
        <color rgb="FFFFEF9C"/>
        <color rgb="FF63BE7B"/>
      </colorScale>
    </cfRule>
  </conditionalFormatting>
  <conditionalFormatting sqref="S580:S596">
    <cfRule type="containsText" dxfId="453" priority="1191" operator="containsText" text="Short Buildup">
      <formula>NOT(ISERROR(SEARCH("Short Buildup",S580)))</formula>
    </cfRule>
    <cfRule type="containsText" dxfId="452" priority="1192" operator="containsText" text="Long Liquidation">
      <formula>NOT(ISERROR(SEARCH("Long Liquidation",S580)))</formula>
    </cfRule>
    <cfRule type="containsText" dxfId="451" priority="1193" operator="containsText" text="Short covering">
      <formula>NOT(ISERROR(SEARCH("Short covering",S580)))</formula>
    </cfRule>
    <cfRule type="containsText" dxfId="450" priority="1194" operator="containsText" text="Long Buildup">
      <formula>NOT(ISERROR(SEARCH("Long Buildup",S580)))</formula>
    </cfRule>
  </conditionalFormatting>
  <conditionalFormatting sqref="F580:F595">
    <cfRule type="dataBar" priority="1190">
      <dataBar>
        <cfvo type="min"/>
        <cfvo type="max"/>
        <color rgb="FFFF555A"/>
      </dataBar>
    </cfRule>
  </conditionalFormatting>
  <conditionalFormatting sqref="G580:G595">
    <cfRule type="dataBar" priority="1189">
      <dataBar>
        <cfvo type="min"/>
        <cfvo type="max"/>
        <color rgb="FFFF555A"/>
      </dataBar>
    </cfRule>
  </conditionalFormatting>
  <conditionalFormatting sqref="H580">
    <cfRule type="dataBar" priority="1188">
      <dataBar>
        <cfvo type="min"/>
        <cfvo type="max"/>
        <color rgb="FFFF555A"/>
      </dataBar>
    </cfRule>
  </conditionalFormatting>
  <conditionalFormatting sqref="I580">
    <cfRule type="dataBar" priority="1187">
      <dataBar>
        <cfvo type="min"/>
        <cfvo type="max"/>
        <color rgb="FFFF555A"/>
      </dataBar>
    </cfRule>
  </conditionalFormatting>
  <conditionalFormatting sqref="J580">
    <cfRule type="dataBar" priority="1186">
      <dataBar>
        <cfvo type="min"/>
        <cfvo type="max"/>
        <color rgb="FFFF555A"/>
      </dataBar>
    </cfRule>
  </conditionalFormatting>
  <conditionalFormatting sqref="E581:E595">
    <cfRule type="dataBar" priority="1185">
      <dataBar>
        <cfvo type="min"/>
        <cfvo type="max"/>
        <color rgb="FFFF555A"/>
      </dataBar>
    </cfRule>
  </conditionalFormatting>
  <conditionalFormatting sqref="H581:H595">
    <cfRule type="dataBar" priority="1184">
      <dataBar>
        <cfvo type="min"/>
        <cfvo type="max"/>
        <color rgb="FFFF555A"/>
      </dataBar>
    </cfRule>
  </conditionalFormatting>
  <conditionalFormatting sqref="I581:I595">
    <cfRule type="dataBar" priority="1183">
      <dataBar>
        <cfvo type="min"/>
        <cfvo type="max"/>
        <color rgb="FFFF555A"/>
      </dataBar>
    </cfRule>
  </conditionalFormatting>
  <conditionalFormatting sqref="J581:J595">
    <cfRule type="dataBar" priority="1182">
      <dataBar>
        <cfvo type="min"/>
        <cfvo type="max"/>
        <color rgb="FFFF555A"/>
      </dataBar>
    </cfRule>
  </conditionalFormatting>
  <conditionalFormatting sqref="L580:L595">
    <cfRule type="dataBar" priority="1181">
      <dataBar>
        <cfvo type="min"/>
        <cfvo type="max"/>
        <color rgb="FFFF555A"/>
      </dataBar>
    </cfRule>
  </conditionalFormatting>
  <conditionalFormatting sqref="M580:M595">
    <cfRule type="dataBar" priority="1180">
      <dataBar>
        <cfvo type="min"/>
        <cfvo type="max"/>
        <color rgb="FFFF555A"/>
      </dataBar>
    </cfRule>
  </conditionalFormatting>
  <conditionalFormatting sqref="N580:N595">
    <cfRule type="dataBar" priority="1179">
      <dataBar>
        <cfvo type="min"/>
        <cfvo type="max"/>
        <color rgb="FFFF555A"/>
      </dataBar>
    </cfRule>
  </conditionalFormatting>
  <conditionalFormatting sqref="Q580:Q595">
    <cfRule type="dataBar" priority="1178">
      <dataBar>
        <cfvo type="min"/>
        <cfvo type="max"/>
        <color rgb="FFFF555A"/>
      </dataBar>
    </cfRule>
  </conditionalFormatting>
  <conditionalFormatting sqref="O580:O595">
    <cfRule type="dataBar" priority="1177">
      <dataBar>
        <cfvo type="min"/>
        <cfvo type="max"/>
        <color rgb="FFFF555A"/>
      </dataBar>
    </cfRule>
  </conditionalFormatting>
  <conditionalFormatting sqref="P580:P595">
    <cfRule type="dataBar" priority="1176">
      <dataBar>
        <cfvo type="min"/>
        <cfvo type="max"/>
        <color rgb="FFFF555A"/>
      </dataBar>
    </cfRule>
  </conditionalFormatting>
  <conditionalFormatting sqref="R597:R613 D597:D612 C613">
    <cfRule type="containsText" dxfId="449" priority="1175" operator="containsText" text="DOWN">
      <formula>NOT(ISERROR(SEARCH("DOWN",C597)))</formula>
    </cfRule>
  </conditionalFormatting>
  <conditionalFormatting sqref="R597:R613 D597:D612 C613">
    <cfRule type="containsText" dxfId="448" priority="1174" operator="containsText" text="UP">
      <formula>NOT(ISERROR(SEARCH("UP",C597)))</formula>
    </cfRule>
  </conditionalFormatting>
  <conditionalFormatting sqref="I613">
    <cfRule type="colorScale" priority="1173">
      <colorScale>
        <cfvo type="min"/>
        <cfvo type="max"/>
        <color rgb="FFFFEF9C"/>
        <color rgb="FF63BE7B"/>
      </colorScale>
    </cfRule>
  </conditionalFormatting>
  <conditionalFormatting sqref="M613">
    <cfRule type="colorScale" priority="1172">
      <colorScale>
        <cfvo type="min"/>
        <cfvo type="max"/>
        <color rgb="FFFF7128"/>
        <color rgb="FFFFEF9C"/>
      </colorScale>
    </cfRule>
  </conditionalFormatting>
  <conditionalFormatting sqref="Q613">
    <cfRule type="dataBar" priority="1171">
      <dataBar>
        <cfvo type="min"/>
        <cfvo type="max"/>
        <color rgb="FFFF555A"/>
      </dataBar>
    </cfRule>
  </conditionalFormatting>
  <conditionalFormatting sqref="E597:E613">
    <cfRule type="dataBar" priority="1170">
      <dataBar>
        <cfvo type="min"/>
        <cfvo type="max"/>
        <color rgb="FFFF555A"/>
      </dataBar>
    </cfRule>
  </conditionalFormatting>
  <conditionalFormatting sqref="F613">
    <cfRule type="top10" dxfId="447" priority="1169" rank="1"/>
  </conditionalFormatting>
  <conditionalFormatting sqref="G613 P613">
    <cfRule type="cellIs" dxfId="446" priority="1168" operator="equal">
      <formula>$G$135</formula>
    </cfRule>
  </conditionalFormatting>
  <conditionalFormatting sqref="P613">
    <cfRule type="cellIs" dxfId="445" priority="1167" operator="equal">
      <formula>$J$135</formula>
    </cfRule>
  </conditionalFormatting>
  <conditionalFormatting sqref="G613 P613">
    <cfRule type="cellIs" dxfId="444" priority="1166" operator="equal">
      <formula>#REF!</formula>
    </cfRule>
  </conditionalFormatting>
  <conditionalFormatting sqref="G613">
    <cfRule type="top10" dxfId="443" priority="1164" rank="1"/>
    <cfRule type="cellIs" dxfId="442" priority="1165" operator="equal">
      <formula>$G$133</formula>
    </cfRule>
  </conditionalFormatting>
  <conditionalFormatting sqref="P613">
    <cfRule type="top10" dxfId="441" priority="1162" rank="1"/>
    <cfRule type="cellIs" dxfId="440" priority="1163" operator="equal">
      <formula>$G$133</formula>
    </cfRule>
  </conditionalFormatting>
  <conditionalFormatting sqref="C597:C612">
    <cfRule type="containsText" dxfId="439" priority="1158" operator="containsText" text="Short Buildup">
      <formula>NOT(ISERROR(SEARCH("Short Buildup",C597)))</formula>
    </cfRule>
    <cfRule type="containsText" dxfId="438" priority="1159" operator="containsText" text="Long Liquidation">
      <formula>NOT(ISERROR(SEARCH("Long Liquidation",C597)))</formula>
    </cfRule>
    <cfRule type="containsText" dxfId="437" priority="1160" operator="containsText" text="Short covering">
      <formula>NOT(ISERROR(SEARCH("Short covering",C597)))</formula>
    </cfRule>
    <cfRule type="containsText" dxfId="436" priority="1161" operator="containsText" text="Long Buildup">
      <formula>NOT(ISERROR(SEARCH("Long Buildup",C597)))</formula>
    </cfRule>
  </conditionalFormatting>
  <conditionalFormatting sqref="H613">
    <cfRule type="colorScale" priority="1153">
      <colorScale>
        <cfvo type="min"/>
        <cfvo type="percentile" val="20"/>
        <cfvo type="max"/>
        <color rgb="FF92D050"/>
        <color theme="5" tint="0.79998168889431442"/>
        <color rgb="FFFF0000"/>
      </colorScale>
    </cfRule>
    <cfRule type="colorScale" priority="1154">
      <colorScale>
        <cfvo type="min"/>
        <cfvo type="max"/>
        <color rgb="FFFF0000"/>
        <color rgb="FF92D050"/>
      </colorScale>
    </cfRule>
    <cfRule type="colorScale" priority="1155">
      <colorScale>
        <cfvo type="min"/>
        <cfvo type="percentile" val="50"/>
        <cfvo type="max"/>
        <color rgb="FF5A8AC6"/>
        <color rgb="FFFCFCFF"/>
        <color rgb="FFF8696B"/>
      </colorScale>
    </cfRule>
    <cfRule type="colorScale" priority="1156">
      <colorScale>
        <cfvo type="formula" val="&quot;&gt;20&quot;"/>
        <cfvo type="formula" val="35"/>
        <color rgb="FFF8696B"/>
        <color rgb="FFFCFCFF"/>
      </colorScale>
    </cfRule>
    <cfRule type="colorScale" priority="1157">
      <colorScale>
        <cfvo type="min"/>
        <cfvo type="max"/>
        <color rgb="FFFFEF9C"/>
        <color rgb="FF63BE7B"/>
      </colorScale>
    </cfRule>
  </conditionalFormatting>
  <conditionalFormatting sqref="N613">
    <cfRule type="colorScale" priority="1148">
      <colorScale>
        <cfvo type="min"/>
        <cfvo type="percentile" val="20"/>
        <cfvo type="max"/>
        <color rgb="FF92D050"/>
        <color theme="5" tint="0.79998168889431442"/>
        <color rgb="FFFF0000"/>
      </colorScale>
    </cfRule>
    <cfRule type="colorScale" priority="1149">
      <colorScale>
        <cfvo type="min"/>
        <cfvo type="max"/>
        <color rgb="FFFF0000"/>
        <color rgb="FF92D050"/>
      </colorScale>
    </cfRule>
    <cfRule type="colorScale" priority="1150">
      <colorScale>
        <cfvo type="min"/>
        <cfvo type="percentile" val="50"/>
        <cfvo type="max"/>
        <color rgb="FF5A8AC6"/>
        <color rgb="FFFCFCFF"/>
        <color rgb="FFF8696B"/>
      </colorScale>
    </cfRule>
    <cfRule type="colorScale" priority="1151">
      <colorScale>
        <cfvo type="formula" val="&quot;&gt;20&quot;"/>
        <cfvo type="formula" val="35"/>
        <color rgb="FFF8696B"/>
        <color rgb="FFFCFCFF"/>
      </colorScale>
    </cfRule>
    <cfRule type="colorScale" priority="1152">
      <colorScale>
        <cfvo type="min"/>
        <cfvo type="max"/>
        <color rgb="FFFFEF9C"/>
        <color rgb="FF63BE7B"/>
      </colorScale>
    </cfRule>
  </conditionalFormatting>
  <conditionalFormatting sqref="S597:S613">
    <cfRule type="containsText" dxfId="435" priority="1144" operator="containsText" text="Short Buildup">
      <formula>NOT(ISERROR(SEARCH("Short Buildup",S597)))</formula>
    </cfRule>
    <cfRule type="containsText" dxfId="434" priority="1145" operator="containsText" text="Long Liquidation">
      <formula>NOT(ISERROR(SEARCH("Long Liquidation",S597)))</formula>
    </cfRule>
    <cfRule type="containsText" dxfId="433" priority="1146" operator="containsText" text="Short covering">
      <formula>NOT(ISERROR(SEARCH("Short covering",S597)))</formula>
    </cfRule>
    <cfRule type="containsText" dxfId="432" priority="1147" operator="containsText" text="Long Buildup">
      <formula>NOT(ISERROR(SEARCH("Long Buildup",S597)))</formula>
    </cfRule>
  </conditionalFormatting>
  <conditionalFormatting sqref="F597:F612">
    <cfRule type="dataBar" priority="1143">
      <dataBar>
        <cfvo type="min"/>
        <cfvo type="max"/>
        <color rgb="FFFF555A"/>
      </dataBar>
    </cfRule>
  </conditionalFormatting>
  <conditionalFormatting sqref="G597:G612">
    <cfRule type="dataBar" priority="1142">
      <dataBar>
        <cfvo type="min"/>
        <cfvo type="max"/>
        <color rgb="FFFF555A"/>
      </dataBar>
    </cfRule>
  </conditionalFormatting>
  <conditionalFormatting sqref="H597">
    <cfRule type="dataBar" priority="1141">
      <dataBar>
        <cfvo type="min"/>
        <cfvo type="max"/>
        <color rgb="FFFF555A"/>
      </dataBar>
    </cfRule>
  </conditionalFormatting>
  <conditionalFormatting sqref="I597">
    <cfRule type="dataBar" priority="1140">
      <dataBar>
        <cfvo type="min"/>
        <cfvo type="max"/>
        <color rgb="FFFF555A"/>
      </dataBar>
    </cfRule>
  </conditionalFormatting>
  <conditionalFormatting sqref="J597">
    <cfRule type="dataBar" priority="1139">
      <dataBar>
        <cfvo type="min"/>
        <cfvo type="max"/>
        <color rgb="FFFF555A"/>
      </dataBar>
    </cfRule>
  </conditionalFormatting>
  <conditionalFormatting sqref="E598:E612">
    <cfRule type="dataBar" priority="1138">
      <dataBar>
        <cfvo type="min"/>
        <cfvo type="max"/>
        <color rgb="FFFF555A"/>
      </dataBar>
    </cfRule>
  </conditionalFormatting>
  <conditionalFormatting sqref="H598:H612">
    <cfRule type="dataBar" priority="1137">
      <dataBar>
        <cfvo type="min"/>
        <cfvo type="max"/>
        <color rgb="FFFF555A"/>
      </dataBar>
    </cfRule>
  </conditionalFormatting>
  <conditionalFormatting sqref="I598:I612">
    <cfRule type="dataBar" priority="1136">
      <dataBar>
        <cfvo type="min"/>
        <cfvo type="max"/>
        <color rgb="FFFF555A"/>
      </dataBar>
    </cfRule>
  </conditionalFormatting>
  <conditionalFormatting sqref="J598:J612">
    <cfRule type="dataBar" priority="1135">
      <dataBar>
        <cfvo type="min"/>
        <cfvo type="max"/>
        <color rgb="FFFF555A"/>
      </dataBar>
    </cfRule>
  </conditionalFormatting>
  <conditionalFormatting sqref="L597:L612">
    <cfRule type="dataBar" priority="1134">
      <dataBar>
        <cfvo type="min"/>
        <cfvo type="max"/>
        <color rgb="FFFF555A"/>
      </dataBar>
    </cfRule>
  </conditionalFormatting>
  <conditionalFormatting sqref="M597:M612">
    <cfRule type="dataBar" priority="1133">
      <dataBar>
        <cfvo type="min"/>
        <cfvo type="max"/>
        <color rgb="FFFF555A"/>
      </dataBar>
    </cfRule>
  </conditionalFormatting>
  <conditionalFormatting sqref="N597:N612">
    <cfRule type="dataBar" priority="1132">
      <dataBar>
        <cfvo type="min"/>
        <cfvo type="max"/>
        <color rgb="FFFF555A"/>
      </dataBar>
    </cfRule>
  </conditionalFormatting>
  <conditionalFormatting sqref="Q597:Q612">
    <cfRule type="dataBar" priority="1131">
      <dataBar>
        <cfvo type="min"/>
        <cfvo type="max"/>
        <color rgb="FFFF555A"/>
      </dataBar>
    </cfRule>
  </conditionalFormatting>
  <conditionalFormatting sqref="O597:O612">
    <cfRule type="dataBar" priority="1130">
      <dataBar>
        <cfvo type="min"/>
        <cfvo type="max"/>
        <color rgb="FFFF555A"/>
      </dataBar>
    </cfRule>
  </conditionalFormatting>
  <conditionalFormatting sqref="P597:P612">
    <cfRule type="dataBar" priority="1129">
      <dataBar>
        <cfvo type="min"/>
        <cfvo type="max"/>
        <color rgb="FFFF555A"/>
      </dataBar>
    </cfRule>
  </conditionalFormatting>
  <conditionalFormatting sqref="R614:R630 D614:D629 C630">
    <cfRule type="containsText" dxfId="431" priority="1128" operator="containsText" text="DOWN">
      <formula>NOT(ISERROR(SEARCH("DOWN",C614)))</formula>
    </cfRule>
  </conditionalFormatting>
  <conditionalFormatting sqref="R614:R630 D614:D629 C630">
    <cfRule type="containsText" dxfId="430" priority="1127" operator="containsText" text="UP">
      <formula>NOT(ISERROR(SEARCH("UP",C614)))</formula>
    </cfRule>
  </conditionalFormatting>
  <conditionalFormatting sqref="I630">
    <cfRule type="colorScale" priority="1126">
      <colorScale>
        <cfvo type="min"/>
        <cfvo type="max"/>
        <color rgb="FFFFEF9C"/>
        <color rgb="FF63BE7B"/>
      </colorScale>
    </cfRule>
  </conditionalFormatting>
  <conditionalFormatting sqref="M630">
    <cfRule type="colorScale" priority="1125">
      <colorScale>
        <cfvo type="min"/>
        <cfvo type="max"/>
        <color rgb="FFFF7128"/>
        <color rgb="FFFFEF9C"/>
      </colorScale>
    </cfRule>
  </conditionalFormatting>
  <conditionalFormatting sqref="Q630">
    <cfRule type="dataBar" priority="1124">
      <dataBar>
        <cfvo type="min"/>
        <cfvo type="max"/>
        <color rgb="FFFF555A"/>
      </dataBar>
    </cfRule>
  </conditionalFormatting>
  <conditionalFormatting sqref="E614:E630">
    <cfRule type="dataBar" priority="1123">
      <dataBar>
        <cfvo type="min"/>
        <cfvo type="max"/>
        <color rgb="FFFF555A"/>
      </dataBar>
    </cfRule>
  </conditionalFormatting>
  <conditionalFormatting sqref="F630">
    <cfRule type="top10" dxfId="429" priority="1122" rank="1"/>
  </conditionalFormatting>
  <conditionalFormatting sqref="G630 P630">
    <cfRule type="cellIs" dxfId="428" priority="1121" operator="equal">
      <formula>$G$135</formula>
    </cfRule>
  </conditionalFormatting>
  <conditionalFormatting sqref="P630">
    <cfRule type="cellIs" dxfId="427" priority="1120" operator="equal">
      <formula>$J$135</formula>
    </cfRule>
  </conditionalFormatting>
  <conditionalFormatting sqref="G630 P630">
    <cfRule type="cellIs" dxfId="426" priority="1119" operator="equal">
      <formula>#REF!</formula>
    </cfRule>
  </conditionalFormatting>
  <conditionalFormatting sqref="G630">
    <cfRule type="top10" dxfId="425" priority="1117" rank="1"/>
    <cfRule type="cellIs" dxfId="424" priority="1118" operator="equal">
      <formula>$G$133</formula>
    </cfRule>
  </conditionalFormatting>
  <conditionalFormatting sqref="P630">
    <cfRule type="top10" dxfId="423" priority="1115" rank="1"/>
    <cfRule type="cellIs" dxfId="422" priority="1116" operator="equal">
      <formula>$G$133</formula>
    </cfRule>
  </conditionalFormatting>
  <conditionalFormatting sqref="C614:C629">
    <cfRule type="containsText" dxfId="421" priority="1111" operator="containsText" text="Short Buildup">
      <formula>NOT(ISERROR(SEARCH("Short Buildup",C614)))</formula>
    </cfRule>
    <cfRule type="containsText" dxfId="420" priority="1112" operator="containsText" text="Long Liquidation">
      <formula>NOT(ISERROR(SEARCH("Long Liquidation",C614)))</formula>
    </cfRule>
    <cfRule type="containsText" dxfId="419" priority="1113" operator="containsText" text="Short covering">
      <formula>NOT(ISERROR(SEARCH("Short covering",C614)))</formula>
    </cfRule>
    <cfRule type="containsText" dxfId="418" priority="1114" operator="containsText" text="Long Buildup">
      <formula>NOT(ISERROR(SEARCH("Long Buildup",C614)))</formula>
    </cfRule>
  </conditionalFormatting>
  <conditionalFormatting sqref="H630">
    <cfRule type="colorScale" priority="1106">
      <colorScale>
        <cfvo type="min"/>
        <cfvo type="percentile" val="20"/>
        <cfvo type="max"/>
        <color rgb="FF92D050"/>
        <color theme="5" tint="0.79998168889431442"/>
        <color rgb="FFFF0000"/>
      </colorScale>
    </cfRule>
    <cfRule type="colorScale" priority="1107">
      <colorScale>
        <cfvo type="min"/>
        <cfvo type="max"/>
        <color rgb="FFFF0000"/>
        <color rgb="FF92D050"/>
      </colorScale>
    </cfRule>
    <cfRule type="colorScale" priority="1108">
      <colorScale>
        <cfvo type="min"/>
        <cfvo type="percentile" val="50"/>
        <cfvo type="max"/>
        <color rgb="FF5A8AC6"/>
        <color rgb="FFFCFCFF"/>
        <color rgb="FFF8696B"/>
      </colorScale>
    </cfRule>
    <cfRule type="colorScale" priority="1109">
      <colorScale>
        <cfvo type="formula" val="&quot;&gt;20&quot;"/>
        <cfvo type="formula" val="35"/>
        <color rgb="FFF8696B"/>
        <color rgb="FFFCFCFF"/>
      </colorScale>
    </cfRule>
    <cfRule type="colorScale" priority="1110">
      <colorScale>
        <cfvo type="min"/>
        <cfvo type="max"/>
        <color rgb="FFFFEF9C"/>
        <color rgb="FF63BE7B"/>
      </colorScale>
    </cfRule>
  </conditionalFormatting>
  <conditionalFormatting sqref="N630">
    <cfRule type="colorScale" priority="1101">
      <colorScale>
        <cfvo type="min"/>
        <cfvo type="percentile" val="20"/>
        <cfvo type="max"/>
        <color rgb="FF92D050"/>
        <color theme="5" tint="0.79998168889431442"/>
        <color rgb="FFFF0000"/>
      </colorScale>
    </cfRule>
    <cfRule type="colorScale" priority="1102">
      <colorScale>
        <cfvo type="min"/>
        <cfvo type="max"/>
        <color rgb="FFFF0000"/>
        <color rgb="FF92D050"/>
      </colorScale>
    </cfRule>
    <cfRule type="colorScale" priority="1103">
      <colorScale>
        <cfvo type="min"/>
        <cfvo type="percentile" val="50"/>
        <cfvo type="max"/>
        <color rgb="FF5A8AC6"/>
        <color rgb="FFFCFCFF"/>
        <color rgb="FFF8696B"/>
      </colorScale>
    </cfRule>
    <cfRule type="colorScale" priority="1104">
      <colorScale>
        <cfvo type="formula" val="&quot;&gt;20&quot;"/>
        <cfvo type="formula" val="35"/>
        <color rgb="FFF8696B"/>
        <color rgb="FFFCFCFF"/>
      </colorScale>
    </cfRule>
    <cfRule type="colorScale" priority="1105">
      <colorScale>
        <cfvo type="min"/>
        <cfvo type="max"/>
        <color rgb="FFFFEF9C"/>
        <color rgb="FF63BE7B"/>
      </colorScale>
    </cfRule>
  </conditionalFormatting>
  <conditionalFormatting sqref="S614:S630">
    <cfRule type="containsText" dxfId="417" priority="1097" operator="containsText" text="Short Buildup">
      <formula>NOT(ISERROR(SEARCH("Short Buildup",S614)))</formula>
    </cfRule>
    <cfRule type="containsText" dxfId="416" priority="1098" operator="containsText" text="Long Liquidation">
      <formula>NOT(ISERROR(SEARCH("Long Liquidation",S614)))</formula>
    </cfRule>
    <cfRule type="containsText" dxfId="415" priority="1099" operator="containsText" text="Short covering">
      <formula>NOT(ISERROR(SEARCH("Short covering",S614)))</formula>
    </cfRule>
    <cfRule type="containsText" dxfId="414" priority="1100" operator="containsText" text="Long Buildup">
      <formula>NOT(ISERROR(SEARCH("Long Buildup",S614)))</formula>
    </cfRule>
  </conditionalFormatting>
  <conditionalFormatting sqref="F614:F629">
    <cfRule type="dataBar" priority="1096">
      <dataBar>
        <cfvo type="min"/>
        <cfvo type="max"/>
        <color rgb="FFFF555A"/>
      </dataBar>
    </cfRule>
  </conditionalFormatting>
  <conditionalFormatting sqref="G614:G629">
    <cfRule type="dataBar" priority="1095">
      <dataBar>
        <cfvo type="min"/>
        <cfvo type="max"/>
        <color rgb="FFFF555A"/>
      </dataBar>
    </cfRule>
  </conditionalFormatting>
  <conditionalFormatting sqref="H614">
    <cfRule type="dataBar" priority="1094">
      <dataBar>
        <cfvo type="min"/>
        <cfvo type="max"/>
        <color rgb="FFFF555A"/>
      </dataBar>
    </cfRule>
  </conditionalFormatting>
  <conditionalFormatting sqref="I614">
    <cfRule type="dataBar" priority="1093">
      <dataBar>
        <cfvo type="min"/>
        <cfvo type="max"/>
        <color rgb="FFFF555A"/>
      </dataBar>
    </cfRule>
  </conditionalFormatting>
  <conditionalFormatting sqref="J614">
    <cfRule type="dataBar" priority="1092">
      <dataBar>
        <cfvo type="min"/>
        <cfvo type="max"/>
        <color rgb="FFFF555A"/>
      </dataBar>
    </cfRule>
  </conditionalFormatting>
  <conditionalFormatting sqref="E615:E629">
    <cfRule type="dataBar" priority="1091">
      <dataBar>
        <cfvo type="min"/>
        <cfvo type="max"/>
        <color rgb="FFFF555A"/>
      </dataBar>
    </cfRule>
  </conditionalFormatting>
  <conditionalFormatting sqref="H615:H629">
    <cfRule type="dataBar" priority="1090">
      <dataBar>
        <cfvo type="min"/>
        <cfvo type="max"/>
        <color rgb="FFFF555A"/>
      </dataBar>
    </cfRule>
  </conditionalFormatting>
  <conditionalFormatting sqref="I615:I629">
    <cfRule type="dataBar" priority="1089">
      <dataBar>
        <cfvo type="min"/>
        <cfvo type="max"/>
        <color rgb="FFFF555A"/>
      </dataBar>
    </cfRule>
  </conditionalFormatting>
  <conditionalFormatting sqref="J615:J629">
    <cfRule type="dataBar" priority="1088">
      <dataBar>
        <cfvo type="min"/>
        <cfvo type="max"/>
        <color rgb="FFFF555A"/>
      </dataBar>
    </cfRule>
  </conditionalFormatting>
  <conditionalFormatting sqref="L614:L629">
    <cfRule type="dataBar" priority="1087">
      <dataBar>
        <cfvo type="min"/>
        <cfvo type="max"/>
        <color rgb="FFFF555A"/>
      </dataBar>
    </cfRule>
  </conditionalFormatting>
  <conditionalFormatting sqref="M614:M629">
    <cfRule type="dataBar" priority="1086">
      <dataBar>
        <cfvo type="min"/>
        <cfvo type="max"/>
        <color rgb="FFFF555A"/>
      </dataBar>
    </cfRule>
  </conditionalFormatting>
  <conditionalFormatting sqref="N614:N629">
    <cfRule type="dataBar" priority="1085">
      <dataBar>
        <cfvo type="min"/>
        <cfvo type="max"/>
        <color rgb="FFFF555A"/>
      </dataBar>
    </cfRule>
  </conditionalFormatting>
  <conditionalFormatting sqref="Q614:Q629">
    <cfRule type="dataBar" priority="1084">
      <dataBar>
        <cfvo type="min"/>
        <cfvo type="max"/>
        <color rgb="FFFF555A"/>
      </dataBar>
    </cfRule>
  </conditionalFormatting>
  <conditionalFormatting sqref="O614:O629">
    <cfRule type="dataBar" priority="1083">
      <dataBar>
        <cfvo type="min"/>
        <cfvo type="max"/>
        <color rgb="FFFF555A"/>
      </dataBar>
    </cfRule>
  </conditionalFormatting>
  <conditionalFormatting sqref="P614:P629">
    <cfRule type="dataBar" priority="1082">
      <dataBar>
        <cfvo type="min"/>
        <cfvo type="max"/>
        <color rgb="FFFF555A"/>
      </dataBar>
    </cfRule>
  </conditionalFormatting>
  <conditionalFormatting sqref="R631:R647 D631:D646 C647">
    <cfRule type="containsText" dxfId="413" priority="1081" operator="containsText" text="DOWN">
      <formula>NOT(ISERROR(SEARCH("DOWN",C631)))</formula>
    </cfRule>
  </conditionalFormatting>
  <conditionalFormatting sqref="R631:R647 D631:D646 C647">
    <cfRule type="containsText" dxfId="412" priority="1080" operator="containsText" text="UP">
      <formula>NOT(ISERROR(SEARCH("UP",C631)))</formula>
    </cfRule>
  </conditionalFormatting>
  <conditionalFormatting sqref="I647">
    <cfRule type="colorScale" priority="1079">
      <colorScale>
        <cfvo type="min"/>
        <cfvo type="max"/>
        <color rgb="FFFFEF9C"/>
        <color rgb="FF63BE7B"/>
      </colorScale>
    </cfRule>
  </conditionalFormatting>
  <conditionalFormatting sqref="M647">
    <cfRule type="colorScale" priority="1078">
      <colorScale>
        <cfvo type="min"/>
        <cfvo type="max"/>
        <color rgb="FFFF7128"/>
        <color rgb="FFFFEF9C"/>
      </colorScale>
    </cfRule>
  </conditionalFormatting>
  <conditionalFormatting sqref="Q647">
    <cfRule type="dataBar" priority="1077">
      <dataBar>
        <cfvo type="min"/>
        <cfvo type="max"/>
        <color rgb="FFFF555A"/>
      </dataBar>
    </cfRule>
  </conditionalFormatting>
  <conditionalFormatting sqref="E631:E647">
    <cfRule type="dataBar" priority="1076">
      <dataBar>
        <cfvo type="min"/>
        <cfvo type="max"/>
        <color rgb="FFFF555A"/>
      </dataBar>
    </cfRule>
  </conditionalFormatting>
  <conditionalFormatting sqref="F647">
    <cfRule type="top10" dxfId="411" priority="1075" rank="1"/>
  </conditionalFormatting>
  <conditionalFormatting sqref="G647 P647">
    <cfRule type="cellIs" dxfId="410" priority="1074" operator="equal">
      <formula>$G$135</formula>
    </cfRule>
  </conditionalFormatting>
  <conditionalFormatting sqref="P647">
    <cfRule type="cellIs" dxfId="409" priority="1073" operator="equal">
      <formula>$J$135</formula>
    </cfRule>
  </conditionalFormatting>
  <conditionalFormatting sqref="G647 P647">
    <cfRule type="cellIs" dxfId="408" priority="1072" operator="equal">
      <formula>#REF!</formula>
    </cfRule>
  </conditionalFormatting>
  <conditionalFormatting sqref="G647">
    <cfRule type="top10" dxfId="407" priority="1070" rank="1"/>
    <cfRule type="cellIs" dxfId="406" priority="1071" operator="equal">
      <formula>$G$133</formula>
    </cfRule>
  </conditionalFormatting>
  <conditionalFormatting sqref="P647">
    <cfRule type="top10" dxfId="405" priority="1068" rank="1"/>
    <cfRule type="cellIs" dxfId="404" priority="1069" operator="equal">
      <formula>$G$133</formula>
    </cfRule>
  </conditionalFormatting>
  <conditionalFormatting sqref="C631:C646">
    <cfRule type="containsText" dxfId="403" priority="1064" operator="containsText" text="Short Buildup">
      <formula>NOT(ISERROR(SEARCH("Short Buildup",C631)))</formula>
    </cfRule>
    <cfRule type="containsText" dxfId="402" priority="1065" operator="containsText" text="Long Liquidation">
      <formula>NOT(ISERROR(SEARCH("Long Liquidation",C631)))</formula>
    </cfRule>
    <cfRule type="containsText" dxfId="401" priority="1066" operator="containsText" text="Short covering">
      <formula>NOT(ISERROR(SEARCH("Short covering",C631)))</formula>
    </cfRule>
    <cfRule type="containsText" dxfId="400" priority="1067" operator="containsText" text="Long Buildup">
      <formula>NOT(ISERROR(SEARCH("Long Buildup",C631)))</formula>
    </cfRule>
  </conditionalFormatting>
  <conditionalFormatting sqref="H647">
    <cfRule type="colorScale" priority="1059">
      <colorScale>
        <cfvo type="min"/>
        <cfvo type="percentile" val="20"/>
        <cfvo type="max"/>
        <color rgb="FF92D050"/>
        <color theme="5" tint="0.79998168889431442"/>
        <color rgb="FFFF0000"/>
      </colorScale>
    </cfRule>
    <cfRule type="colorScale" priority="1060">
      <colorScale>
        <cfvo type="min"/>
        <cfvo type="max"/>
        <color rgb="FFFF0000"/>
        <color rgb="FF92D050"/>
      </colorScale>
    </cfRule>
    <cfRule type="colorScale" priority="1061">
      <colorScale>
        <cfvo type="min"/>
        <cfvo type="percentile" val="50"/>
        <cfvo type="max"/>
        <color rgb="FF5A8AC6"/>
        <color rgb="FFFCFCFF"/>
        <color rgb="FFF8696B"/>
      </colorScale>
    </cfRule>
    <cfRule type="colorScale" priority="1062">
      <colorScale>
        <cfvo type="formula" val="&quot;&gt;20&quot;"/>
        <cfvo type="formula" val="35"/>
        <color rgb="FFF8696B"/>
        <color rgb="FFFCFCFF"/>
      </colorScale>
    </cfRule>
    <cfRule type="colorScale" priority="1063">
      <colorScale>
        <cfvo type="min"/>
        <cfvo type="max"/>
        <color rgb="FFFFEF9C"/>
        <color rgb="FF63BE7B"/>
      </colorScale>
    </cfRule>
  </conditionalFormatting>
  <conditionalFormatting sqref="N647">
    <cfRule type="colorScale" priority="1054">
      <colorScale>
        <cfvo type="min"/>
        <cfvo type="percentile" val="20"/>
        <cfvo type="max"/>
        <color rgb="FF92D050"/>
        <color theme="5" tint="0.79998168889431442"/>
        <color rgb="FFFF0000"/>
      </colorScale>
    </cfRule>
    <cfRule type="colorScale" priority="1055">
      <colorScale>
        <cfvo type="min"/>
        <cfvo type="max"/>
        <color rgb="FFFF0000"/>
        <color rgb="FF92D050"/>
      </colorScale>
    </cfRule>
    <cfRule type="colorScale" priority="1056">
      <colorScale>
        <cfvo type="min"/>
        <cfvo type="percentile" val="50"/>
        <cfvo type="max"/>
        <color rgb="FF5A8AC6"/>
        <color rgb="FFFCFCFF"/>
        <color rgb="FFF8696B"/>
      </colorScale>
    </cfRule>
    <cfRule type="colorScale" priority="1057">
      <colorScale>
        <cfvo type="formula" val="&quot;&gt;20&quot;"/>
        <cfvo type="formula" val="35"/>
        <color rgb="FFF8696B"/>
        <color rgb="FFFCFCFF"/>
      </colorScale>
    </cfRule>
    <cfRule type="colorScale" priority="1058">
      <colorScale>
        <cfvo type="min"/>
        <cfvo type="max"/>
        <color rgb="FFFFEF9C"/>
        <color rgb="FF63BE7B"/>
      </colorScale>
    </cfRule>
  </conditionalFormatting>
  <conditionalFormatting sqref="S631:S647">
    <cfRule type="containsText" dxfId="399" priority="1050" operator="containsText" text="Short Buildup">
      <formula>NOT(ISERROR(SEARCH("Short Buildup",S631)))</formula>
    </cfRule>
    <cfRule type="containsText" dxfId="398" priority="1051" operator="containsText" text="Long Liquidation">
      <formula>NOT(ISERROR(SEARCH("Long Liquidation",S631)))</formula>
    </cfRule>
    <cfRule type="containsText" dxfId="397" priority="1052" operator="containsText" text="Short covering">
      <formula>NOT(ISERROR(SEARCH("Short covering",S631)))</formula>
    </cfRule>
    <cfRule type="containsText" dxfId="396" priority="1053" operator="containsText" text="Long Buildup">
      <formula>NOT(ISERROR(SEARCH("Long Buildup",S631)))</formula>
    </cfRule>
  </conditionalFormatting>
  <conditionalFormatting sqref="F631:F646">
    <cfRule type="dataBar" priority="1049">
      <dataBar>
        <cfvo type="min"/>
        <cfvo type="max"/>
        <color rgb="FFFF555A"/>
      </dataBar>
    </cfRule>
  </conditionalFormatting>
  <conditionalFormatting sqref="G631:G646">
    <cfRule type="dataBar" priority="1048">
      <dataBar>
        <cfvo type="min"/>
        <cfvo type="max"/>
        <color rgb="FFFF555A"/>
      </dataBar>
    </cfRule>
  </conditionalFormatting>
  <conditionalFormatting sqref="H631">
    <cfRule type="dataBar" priority="1047">
      <dataBar>
        <cfvo type="min"/>
        <cfvo type="max"/>
        <color rgb="FFFF555A"/>
      </dataBar>
    </cfRule>
  </conditionalFormatting>
  <conditionalFormatting sqref="I631">
    <cfRule type="dataBar" priority="1046">
      <dataBar>
        <cfvo type="min"/>
        <cfvo type="max"/>
        <color rgb="FFFF555A"/>
      </dataBar>
    </cfRule>
  </conditionalFormatting>
  <conditionalFormatting sqref="J631">
    <cfRule type="dataBar" priority="1045">
      <dataBar>
        <cfvo type="min"/>
        <cfvo type="max"/>
        <color rgb="FFFF555A"/>
      </dataBar>
    </cfRule>
  </conditionalFormatting>
  <conditionalFormatting sqref="E632:E646">
    <cfRule type="dataBar" priority="1044">
      <dataBar>
        <cfvo type="min"/>
        <cfvo type="max"/>
        <color rgb="FFFF555A"/>
      </dataBar>
    </cfRule>
  </conditionalFormatting>
  <conditionalFormatting sqref="H632:H646">
    <cfRule type="dataBar" priority="1043">
      <dataBar>
        <cfvo type="min"/>
        <cfvo type="max"/>
        <color rgb="FFFF555A"/>
      </dataBar>
    </cfRule>
  </conditionalFormatting>
  <conditionalFormatting sqref="I632:I646">
    <cfRule type="dataBar" priority="1042">
      <dataBar>
        <cfvo type="min"/>
        <cfvo type="max"/>
        <color rgb="FFFF555A"/>
      </dataBar>
    </cfRule>
  </conditionalFormatting>
  <conditionalFormatting sqref="J632:J646">
    <cfRule type="dataBar" priority="1041">
      <dataBar>
        <cfvo type="min"/>
        <cfvo type="max"/>
        <color rgb="FFFF555A"/>
      </dataBar>
    </cfRule>
  </conditionalFormatting>
  <conditionalFormatting sqref="L631:L646">
    <cfRule type="dataBar" priority="1040">
      <dataBar>
        <cfvo type="min"/>
        <cfvo type="max"/>
        <color rgb="FFFF555A"/>
      </dataBar>
    </cfRule>
  </conditionalFormatting>
  <conditionalFormatting sqref="M631:M646">
    <cfRule type="dataBar" priority="1039">
      <dataBar>
        <cfvo type="min"/>
        <cfvo type="max"/>
        <color rgb="FFFF555A"/>
      </dataBar>
    </cfRule>
  </conditionalFormatting>
  <conditionalFormatting sqref="N631:N646">
    <cfRule type="dataBar" priority="1038">
      <dataBar>
        <cfvo type="min"/>
        <cfvo type="max"/>
        <color rgb="FFFF555A"/>
      </dataBar>
    </cfRule>
  </conditionalFormatting>
  <conditionalFormatting sqref="Q631:Q646">
    <cfRule type="dataBar" priority="1037">
      <dataBar>
        <cfvo type="min"/>
        <cfvo type="max"/>
        <color rgb="FFFF555A"/>
      </dataBar>
    </cfRule>
  </conditionalFormatting>
  <conditionalFormatting sqref="O631:O646">
    <cfRule type="dataBar" priority="1036">
      <dataBar>
        <cfvo type="min"/>
        <cfvo type="max"/>
        <color rgb="FFFF555A"/>
      </dataBar>
    </cfRule>
  </conditionalFormatting>
  <conditionalFormatting sqref="P631:P646">
    <cfRule type="dataBar" priority="1035">
      <dataBar>
        <cfvo type="min"/>
        <cfvo type="max"/>
        <color rgb="FFFF555A"/>
      </dataBar>
    </cfRule>
  </conditionalFormatting>
  <conditionalFormatting sqref="R648:R664 D648:D663 C664">
    <cfRule type="containsText" dxfId="395" priority="1034" operator="containsText" text="DOWN">
      <formula>NOT(ISERROR(SEARCH("DOWN",C648)))</formula>
    </cfRule>
  </conditionalFormatting>
  <conditionalFormatting sqref="R648:R664 D648:D663 C664">
    <cfRule type="containsText" dxfId="394" priority="1033" operator="containsText" text="UP">
      <formula>NOT(ISERROR(SEARCH("UP",C648)))</formula>
    </cfRule>
  </conditionalFormatting>
  <conditionalFormatting sqref="I664">
    <cfRule type="colorScale" priority="1032">
      <colorScale>
        <cfvo type="min"/>
        <cfvo type="max"/>
        <color rgb="FFFFEF9C"/>
        <color rgb="FF63BE7B"/>
      </colorScale>
    </cfRule>
  </conditionalFormatting>
  <conditionalFormatting sqref="M664">
    <cfRule type="colorScale" priority="1031">
      <colorScale>
        <cfvo type="min"/>
        <cfvo type="max"/>
        <color rgb="FFFF7128"/>
        <color rgb="FFFFEF9C"/>
      </colorScale>
    </cfRule>
  </conditionalFormatting>
  <conditionalFormatting sqref="Q664">
    <cfRule type="dataBar" priority="1030">
      <dataBar>
        <cfvo type="min"/>
        <cfvo type="max"/>
        <color rgb="FFFF555A"/>
      </dataBar>
    </cfRule>
  </conditionalFormatting>
  <conditionalFormatting sqref="E648:E664">
    <cfRule type="dataBar" priority="1029">
      <dataBar>
        <cfvo type="min"/>
        <cfvo type="max"/>
        <color rgb="FFFF555A"/>
      </dataBar>
    </cfRule>
  </conditionalFormatting>
  <conditionalFormatting sqref="F664">
    <cfRule type="top10" dxfId="393" priority="1028" rank="1"/>
  </conditionalFormatting>
  <conditionalFormatting sqref="G664 P664">
    <cfRule type="cellIs" dxfId="392" priority="1027" operator="equal">
      <formula>$G$135</formula>
    </cfRule>
  </conditionalFormatting>
  <conditionalFormatting sqref="P664">
    <cfRule type="cellIs" dxfId="391" priority="1026" operator="equal">
      <formula>$J$135</formula>
    </cfRule>
  </conditionalFormatting>
  <conditionalFormatting sqref="G664 P664">
    <cfRule type="cellIs" dxfId="390" priority="1025" operator="equal">
      <formula>#REF!</formula>
    </cfRule>
  </conditionalFormatting>
  <conditionalFormatting sqref="G664">
    <cfRule type="top10" dxfId="389" priority="1023" rank="1"/>
    <cfRule type="cellIs" dxfId="388" priority="1024" operator="equal">
      <formula>$G$133</formula>
    </cfRule>
  </conditionalFormatting>
  <conditionalFormatting sqref="P664">
    <cfRule type="top10" dxfId="387" priority="1021" rank="1"/>
    <cfRule type="cellIs" dxfId="386" priority="1022" operator="equal">
      <formula>$G$133</formula>
    </cfRule>
  </conditionalFormatting>
  <conditionalFormatting sqref="C648:C663">
    <cfRule type="containsText" dxfId="385" priority="1017" operator="containsText" text="Short Buildup">
      <formula>NOT(ISERROR(SEARCH("Short Buildup",C648)))</formula>
    </cfRule>
    <cfRule type="containsText" dxfId="384" priority="1018" operator="containsText" text="Long Liquidation">
      <formula>NOT(ISERROR(SEARCH("Long Liquidation",C648)))</formula>
    </cfRule>
    <cfRule type="containsText" dxfId="383" priority="1019" operator="containsText" text="Short covering">
      <formula>NOT(ISERROR(SEARCH("Short covering",C648)))</formula>
    </cfRule>
    <cfRule type="containsText" dxfId="382" priority="1020" operator="containsText" text="Long Buildup">
      <formula>NOT(ISERROR(SEARCH("Long Buildup",C648)))</formula>
    </cfRule>
  </conditionalFormatting>
  <conditionalFormatting sqref="H664">
    <cfRule type="colorScale" priority="1012">
      <colorScale>
        <cfvo type="min"/>
        <cfvo type="percentile" val="20"/>
        <cfvo type="max"/>
        <color rgb="FF92D050"/>
        <color theme="5" tint="0.79998168889431442"/>
        <color rgb="FFFF0000"/>
      </colorScale>
    </cfRule>
    <cfRule type="colorScale" priority="1013">
      <colorScale>
        <cfvo type="min"/>
        <cfvo type="max"/>
        <color rgb="FFFF0000"/>
        <color rgb="FF92D050"/>
      </colorScale>
    </cfRule>
    <cfRule type="colorScale" priority="1014">
      <colorScale>
        <cfvo type="min"/>
        <cfvo type="percentile" val="50"/>
        <cfvo type="max"/>
        <color rgb="FF5A8AC6"/>
        <color rgb="FFFCFCFF"/>
        <color rgb="FFF8696B"/>
      </colorScale>
    </cfRule>
    <cfRule type="colorScale" priority="1015">
      <colorScale>
        <cfvo type="formula" val="&quot;&gt;20&quot;"/>
        <cfvo type="formula" val="35"/>
        <color rgb="FFF8696B"/>
        <color rgb="FFFCFCFF"/>
      </colorScale>
    </cfRule>
    <cfRule type="colorScale" priority="1016">
      <colorScale>
        <cfvo type="min"/>
        <cfvo type="max"/>
        <color rgb="FFFFEF9C"/>
        <color rgb="FF63BE7B"/>
      </colorScale>
    </cfRule>
  </conditionalFormatting>
  <conditionalFormatting sqref="N664">
    <cfRule type="colorScale" priority="1007">
      <colorScale>
        <cfvo type="min"/>
        <cfvo type="percentile" val="20"/>
        <cfvo type="max"/>
        <color rgb="FF92D050"/>
        <color theme="5" tint="0.79998168889431442"/>
        <color rgb="FFFF0000"/>
      </colorScale>
    </cfRule>
    <cfRule type="colorScale" priority="1008">
      <colorScale>
        <cfvo type="min"/>
        <cfvo type="max"/>
        <color rgb="FFFF0000"/>
        <color rgb="FF92D050"/>
      </colorScale>
    </cfRule>
    <cfRule type="colorScale" priority="1009">
      <colorScale>
        <cfvo type="min"/>
        <cfvo type="percentile" val="50"/>
        <cfvo type="max"/>
        <color rgb="FF5A8AC6"/>
        <color rgb="FFFCFCFF"/>
        <color rgb="FFF8696B"/>
      </colorScale>
    </cfRule>
    <cfRule type="colorScale" priority="1010">
      <colorScale>
        <cfvo type="formula" val="&quot;&gt;20&quot;"/>
        <cfvo type="formula" val="35"/>
        <color rgb="FFF8696B"/>
        <color rgb="FFFCFCFF"/>
      </colorScale>
    </cfRule>
    <cfRule type="colorScale" priority="1011">
      <colorScale>
        <cfvo type="min"/>
        <cfvo type="max"/>
        <color rgb="FFFFEF9C"/>
        <color rgb="FF63BE7B"/>
      </colorScale>
    </cfRule>
  </conditionalFormatting>
  <conditionalFormatting sqref="S648:S664">
    <cfRule type="containsText" dxfId="381" priority="1003" operator="containsText" text="Short Buildup">
      <formula>NOT(ISERROR(SEARCH("Short Buildup",S648)))</formula>
    </cfRule>
    <cfRule type="containsText" dxfId="380" priority="1004" operator="containsText" text="Long Liquidation">
      <formula>NOT(ISERROR(SEARCH("Long Liquidation",S648)))</formula>
    </cfRule>
    <cfRule type="containsText" dxfId="379" priority="1005" operator="containsText" text="Short covering">
      <formula>NOT(ISERROR(SEARCH("Short covering",S648)))</formula>
    </cfRule>
    <cfRule type="containsText" dxfId="378" priority="1006" operator="containsText" text="Long Buildup">
      <formula>NOT(ISERROR(SEARCH("Long Buildup",S648)))</formula>
    </cfRule>
  </conditionalFormatting>
  <conditionalFormatting sqref="F648:F663">
    <cfRule type="dataBar" priority="1002">
      <dataBar>
        <cfvo type="min"/>
        <cfvo type="max"/>
        <color rgb="FFFF555A"/>
      </dataBar>
    </cfRule>
  </conditionalFormatting>
  <conditionalFormatting sqref="G648:G663">
    <cfRule type="dataBar" priority="1001">
      <dataBar>
        <cfvo type="min"/>
        <cfvo type="max"/>
        <color rgb="FFFF555A"/>
      </dataBar>
    </cfRule>
  </conditionalFormatting>
  <conditionalFormatting sqref="H648">
    <cfRule type="dataBar" priority="1000">
      <dataBar>
        <cfvo type="min"/>
        <cfvo type="max"/>
        <color rgb="FFFF555A"/>
      </dataBar>
    </cfRule>
  </conditionalFormatting>
  <conditionalFormatting sqref="I648">
    <cfRule type="dataBar" priority="999">
      <dataBar>
        <cfvo type="min"/>
        <cfvo type="max"/>
        <color rgb="FFFF555A"/>
      </dataBar>
    </cfRule>
  </conditionalFormatting>
  <conditionalFormatting sqref="J648">
    <cfRule type="dataBar" priority="998">
      <dataBar>
        <cfvo type="min"/>
        <cfvo type="max"/>
        <color rgb="FFFF555A"/>
      </dataBar>
    </cfRule>
  </conditionalFormatting>
  <conditionalFormatting sqref="E649:E663">
    <cfRule type="dataBar" priority="997">
      <dataBar>
        <cfvo type="min"/>
        <cfvo type="max"/>
        <color rgb="FFFF555A"/>
      </dataBar>
    </cfRule>
  </conditionalFormatting>
  <conditionalFormatting sqref="H649:H663">
    <cfRule type="dataBar" priority="996">
      <dataBar>
        <cfvo type="min"/>
        <cfvo type="max"/>
        <color rgb="FFFF555A"/>
      </dataBar>
    </cfRule>
  </conditionalFormatting>
  <conditionalFormatting sqref="I649:I663">
    <cfRule type="dataBar" priority="995">
      <dataBar>
        <cfvo type="min"/>
        <cfvo type="max"/>
        <color rgb="FFFF555A"/>
      </dataBar>
    </cfRule>
  </conditionalFormatting>
  <conditionalFormatting sqref="J649:J663">
    <cfRule type="dataBar" priority="994">
      <dataBar>
        <cfvo type="min"/>
        <cfvo type="max"/>
        <color rgb="FFFF555A"/>
      </dataBar>
    </cfRule>
  </conditionalFormatting>
  <conditionalFormatting sqref="L648:L663">
    <cfRule type="dataBar" priority="993">
      <dataBar>
        <cfvo type="min"/>
        <cfvo type="max"/>
        <color rgb="FFFF555A"/>
      </dataBar>
    </cfRule>
  </conditionalFormatting>
  <conditionalFormatting sqref="M648:M663">
    <cfRule type="dataBar" priority="992">
      <dataBar>
        <cfvo type="min"/>
        <cfvo type="max"/>
        <color rgb="FFFF555A"/>
      </dataBar>
    </cfRule>
  </conditionalFormatting>
  <conditionalFormatting sqref="N648:N663">
    <cfRule type="dataBar" priority="991">
      <dataBar>
        <cfvo type="min"/>
        <cfvo type="max"/>
        <color rgb="FFFF555A"/>
      </dataBar>
    </cfRule>
  </conditionalFormatting>
  <conditionalFormatting sqref="Q648:Q663">
    <cfRule type="dataBar" priority="990">
      <dataBar>
        <cfvo type="min"/>
        <cfvo type="max"/>
        <color rgb="FFFF555A"/>
      </dataBar>
    </cfRule>
  </conditionalFormatting>
  <conditionalFormatting sqref="O648:O663">
    <cfRule type="dataBar" priority="989">
      <dataBar>
        <cfvo type="min"/>
        <cfvo type="max"/>
        <color rgb="FFFF555A"/>
      </dataBar>
    </cfRule>
  </conditionalFormatting>
  <conditionalFormatting sqref="P648:P663">
    <cfRule type="dataBar" priority="988">
      <dataBar>
        <cfvo type="min"/>
        <cfvo type="max"/>
        <color rgb="FFFF555A"/>
      </dataBar>
    </cfRule>
  </conditionalFormatting>
  <conditionalFormatting sqref="R665:R681 D665:D680 C681">
    <cfRule type="containsText" dxfId="377" priority="987" operator="containsText" text="DOWN">
      <formula>NOT(ISERROR(SEARCH("DOWN",C665)))</formula>
    </cfRule>
  </conditionalFormatting>
  <conditionalFormatting sqref="R665:R681 D665:D680 C681">
    <cfRule type="containsText" dxfId="376" priority="986" operator="containsText" text="UP">
      <formula>NOT(ISERROR(SEARCH("UP",C665)))</formula>
    </cfRule>
  </conditionalFormatting>
  <conditionalFormatting sqref="I681">
    <cfRule type="colorScale" priority="985">
      <colorScale>
        <cfvo type="min"/>
        <cfvo type="max"/>
        <color rgb="FFFFEF9C"/>
        <color rgb="FF63BE7B"/>
      </colorScale>
    </cfRule>
  </conditionalFormatting>
  <conditionalFormatting sqref="M681">
    <cfRule type="colorScale" priority="984">
      <colorScale>
        <cfvo type="min"/>
        <cfvo type="max"/>
        <color rgb="FFFF7128"/>
        <color rgb="FFFFEF9C"/>
      </colorScale>
    </cfRule>
  </conditionalFormatting>
  <conditionalFormatting sqref="Q681">
    <cfRule type="dataBar" priority="983">
      <dataBar>
        <cfvo type="min"/>
        <cfvo type="max"/>
        <color rgb="FFFF555A"/>
      </dataBar>
    </cfRule>
  </conditionalFormatting>
  <conditionalFormatting sqref="E665:E681">
    <cfRule type="dataBar" priority="982">
      <dataBar>
        <cfvo type="min"/>
        <cfvo type="max"/>
        <color rgb="FFFF555A"/>
      </dataBar>
    </cfRule>
  </conditionalFormatting>
  <conditionalFormatting sqref="F681">
    <cfRule type="top10" dxfId="375" priority="981" rank="1"/>
  </conditionalFormatting>
  <conditionalFormatting sqref="G681 P681">
    <cfRule type="cellIs" dxfId="374" priority="980" operator="equal">
      <formula>$G$135</formula>
    </cfRule>
  </conditionalFormatting>
  <conditionalFormatting sqref="P681">
    <cfRule type="cellIs" dxfId="373" priority="979" operator="equal">
      <formula>$J$135</formula>
    </cfRule>
  </conditionalFormatting>
  <conditionalFormatting sqref="G681 P681">
    <cfRule type="cellIs" dxfId="372" priority="978" operator="equal">
      <formula>#REF!</formula>
    </cfRule>
  </conditionalFormatting>
  <conditionalFormatting sqref="G681">
    <cfRule type="top10" dxfId="371" priority="976" rank="1"/>
    <cfRule type="cellIs" dxfId="370" priority="977" operator="equal">
      <formula>$G$133</formula>
    </cfRule>
  </conditionalFormatting>
  <conditionalFormatting sqref="P681">
    <cfRule type="top10" dxfId="369" priority="974" rank="1"/>
    <cfRule type="cellIs" dxfId="368" priority="975" operator="equal">
      <formula>$G$133</formula>
    </cfRule>
  </conditionalFormatting>
  <conditionalFormatting sqref="C665:C680">
    <cfRule type="containsText" dxfId="367" priority="970" operator="containsText" text="Short Buildup">
      <formula>NOT(ISERROR(SEARCH("Short Buildup",C665)))</formula>
    </cfRule>
    <cfRule type="containsText" dxfId="366" priority="971" operator="containsText" text="Long Liquidation">
      <formula>NOT(ISERROR(SEARCH("Long Liquidation",C665)))</formula>
    </cfRule>
    <cfRule type="containsText" dxfId="365" priority="972" operator="containsText" text="Short covering">
      <formula>NOT(ISERROR(SEARCH("Short covering",C665)))</formula>
    </cfRule>
    <cfRule type="containsText" dxfId="364" priority="973" operator="containsText" text="Long Buildup">
      <formula>NOT(ISERROR(SEARCH("Long Buildup",C665)))</formula>
    </cfRule>
  </conditionalFormatting>
  <conditionalFormatting sqref="H681">
    <cfRule type="colorScale" priority="965">
      <colorScale>
        <cfvo type="min"/>
        <cfvo type="percentile" val="20"/>
        <cfvo type="max"/>
        <color rgb="FF92D050"/>
        <color theme="5" tint="0.79998168889431442"/>
        <color rgb="FFFF0000"/>
      </colorScale>
    </cfRule>
    <cfRule type="colorScale" priority="966">
      <colorScale>
        <cfvo type="min"/>
        <cfvo type="max"/>
        <color rgb="FFFF0000"/>
        <color rgb="FF92D050"/>
      </colorScale>
    </cfRule>
    <cfRule type="colorScale" priority="967">
      <colorScale>
        <cfvo type="min"/>
        <cfvo type="percentile" val="50"/>
        <cfvo type="max"/>
        <color rgb="FF5A8AC6"/>
        <color rgb="FFFCFCFF"/>
        <color rgb="FFF8696B"/>
      </colorScale>
    </cfRule>
    <cfRule type="colorScale" priority="968">
      <colorScale>
        <cfvo type="formula" val="&quot;&gt;20&quot;"/>
        <cfvo type="formula" val="35"/>
        <color rgb="FFF8696B"/>
        <color rgb="FFFCFCFF"/>
      </colorScale>
    </cfRule>
    <cfRule type="colorScale" priority="969">
      <colorScale>
        <cfvo type="min"/>
        <cfvo type="max"/>
        <color rgb="FFFFEF9C"/>
        <color rgb="FF63BE7B"/>
      </colorScale>
    </cfRule>
  </conditionalFormatting>
  <conditionalFormatting sqref="N681">
    <cfRule type="colorScale" priority="960">
      <colorScale>
        <cfvo type="min"/>
        <cfvo type="percentile" val="20"/>
        <cfvo type="max"/>
        <color rgb="FF92D050"/>
        <color theme="5" tint="0.79998168889431442"/>
        <color rgb="FFFF0000"/>
      </colorScale>
    </cfRule>
    <cfRule type="colorScale" priority="961">
      <colorScale>
        <cfvo type="min"/>
        <cfvo type="max"/>
        <color rgb="FFFF0000"/>
        <color rgb="FF92D050"/>
      </colorScale>
    </cfRule>
    <cfRule type="colorScale" priority="962">
      <colorScale>
        <cfvo type="min"/>
        <cfvo type="percentile" val="50"/>
        <cfvo type="max"/>
        <color rgb="FF5A8AC6"/>
        <color rgb="FFFCFCFF"/>
        <color rgb="FFF8696B"/>
      </colorScale>
    </cfRule>
    <cfRule type="colorScale" priority="963">
      <colorScale>
        <cfvo type="formula" val="&quot;&gt;20&quot;"/>
        <cfvo type="formula" val="35"/>
        <color rgb="FFF8696B"/>
        <color rgb="FFFCFCFF"/>
      </colorScale>
    </cfRule>
    <cfRule type="colorScale" priority="964">
      <colorScale>
        <cfvo type="min"/>
        <cfvo type="max"/>
        <color rgb="FFFFEF9C"/>
        <color rgb="FF63BE7B"/>
      </colorScale>
    </cfRule>
  </conditionalFormatting>
  <conditionalFormatting sqref="S665:S681">
    <cfRule type="containsText" dxfId="363" priority="956" operator="containsText" text="Short Buildup">
      <formula>NOT(ISERROR(SEARCH("Short Buildup",S665)))</formula>
    </cfRule>
    <cfRule type="containsText" dxfId="362" priority="957" operator="containsText" text="Long Liquidation">
      <formula>NOT(ISERROR(SEARCH("Long Liquidation",S665)))</formula>
    </cfRule>
    <cfRule type="containsText" dxfId="361" priority="958" operator="containsText" text="Short covering">
      <formula>NOT(ISERROR(SEARCH("Short covering",S665)))</formula>
    </cfRule>
    <cfRule type="containsText" dxfId="360" priority="959" operator="containsText" text="Long Buildup">
      <formula>NOT(ISERROR(SEARCH("Long Buildup",S665)))</formula>
    </cfRule>
  </conditionalFormatting>
  <conditionalFormatting sqref="F665:F680">
    <cfRule type="dataBar" priority="955">
      <dataBar>
        <cfvo type="min"/>
        <cfvo type="max"/>
        <color rgb="FFFF555A"/>
      </dataBar>
    </cfRule>
  </conditionalFormatting>
  <conditionalFormatting sqref="G665:G680">
    <cfRule type="dataBar" priority="954">
      <dataBar>
        <cfvo type="min"/>
        <cfvo type="max"/>
        <color rgb="FFFF555A"/>
      </dataBar>
    </cfRule>
  </conditionalFormatting>
  <conditionalFormatting sqref="H665">
    <cfRule type="dataBar" priority="953">
      <dataBar>
        <cfvo type="min"/>
        <cfvo type="max"/>
        <color rgb="FFFF555A"/>
      </dataBar>
    </cfRule>
  </conditionalFormatting>
  <conditionalFormatting sqref="I665">
    <cfRule type="dataBar" priority="952">
      <dataBar>
        <cfvo type="min"/>
        <cfvo type="max"/>
        <color rgb="FFFF555A"/>
      </dataBar>
    </cfRule>
  </conditionalFormatting>
  <conditionalFormatting sqref="J665">
    <cfRule type="dataBar" priority="951">
      <dataBar>
        <cfvo type="min"/>
        <cfvo type="max"/>
        <color rgb="FFFF555A"/>
      </dataBar>
    </cfRule>
  </conditionalFormatting>
  <conditionalFormatting sqref="E666:E680">
    <cfRule type="dataBar" priority="950">
      <dataBar>
        <cfvo type="min"/>
        <cfvo type="max"/>
        <color rgb="FFFF555A"/>
      </dataBar>
    </cfRule>
  </conditionalFormatting>
  <conditionalFormatting sqref="H666:H680">
    <cfRule type="dataBar" priority="949">
      <dataBar>
        <cfvo type="min"/>
        <cfvo type="max"/>
        <color rgb="FFFF555A"/>
      </dataBar>
    </cfRule>
  </conditionalFormatting>
  <conditionalFormatting sqref="I666:I680">
    <cfRule type="dataBar" priority="948">
      <dataBar>
        <cfvo type="min"/>
        <cfvo type="max"/>
        <color rgb="FFFF555A"/>
      </dataBar>
    </cfRule>
  </conditionalFormatting>
  <conditionalFormatting sqref="J666:J680">
    <cfRule type="dataBar" priority="947">
      <dataBar>
        <cfvo type="min"/>
        <cfvo type="max"/>
        <color rgb="FFFF555A"/>
      </dataBar>
    </cfRule>
  </conditionalFormatting>
  <conditionalFormatting sqref="L665:L680">
    <cfRule type="dataBar" priority="946">
      <dataBar>
        <cfvo type="min"/>
        <cfvo type="max"/>
        <color rgb="FFFF555A"/>
      </dataBar>
    </cfRule>
  </conditionalFormatting>
  <conditionalFormatting sqref="M665:M680">
    <cfRule type="dataBar" priority="945">
      <dataBar>
        <cfvo type="min"/>
        <cfvo type="max"/>
        <color rgb="FFFF555A"/>
      </dataBar>
    </cfRule>
  </conditionalFormatting>
  <conditionalFormatting sqref="N665:N680">
    <cfRule type="dataBar" priority="944">
      <dataBar>
        <cfvo type="min"/>
        <cfvo type="max"/>
        <color rgb="FFFF555A"/>
      </dataBar>
    </cfRule>
  </conditionalFormatting>
  <conditionalFormatting sqref="Q665:Q680">
    <cfRule type="dataBar" priority="943">
      <dataBar>
        <cfvo type="min"/>
        <cfvo type="max"/>
        <color rgb="FFFF555A"/>
      </dataBar>
    </cfRule>
  </conditionalFormatting>
  <conditionalFormatting sqref="O665:O680">
    <cfRule type="dataBar" priority="942">
      <dataBar>
        <cfvo type="min"/>
        <cfvo type="max"/>
        <color rgb="FFFF555A"/>
      </dataBar>
    </cfRule>
  </conditionalFormatting>
  <conditionalFormatting sqref="P665:P680">
    <cfRule type="dataBar" priority="941">
      <dataBar>
        <cfvo type="min"/>
        <cfvo type="max"/>
        <color rgb="FFFF555A"/>
      </dataBar>
    </cfRule>
  </conditionalFormatting>
  <conditionalFormatting sqref="R682:R698 D682:D697 C698">
    <cfRule type="containsText" dxfId="359" priority="940" operator="containsText" text="DOWN">
      <formula>NOT(ISERROR(SEARCH("DOWN",C682)))</formula>
    </cfRule>
  </conditionalFormatting>
  <conditionalFormatting sqref="R682:R698 D682:D697 C698">
    <cfRule type="containsText" dxfId="358" priority="939" operator="containsText" text="UP">
      <formula>NOT(ISERROR(SEARCH("UP",C682)))</formula>
    </cfRule>
  </conditionalFormatting>
  <conditionalFormatting sqref="I698">
    <cfRule type="colorScale" priority="938">
      <colorScale>
        <cfvo type="min"/>
        <cfvo type="max"/>
        <color rgb="FFFFEF9C"/>
        <color rgb="FF63BE7B"/>
      </colorScale>
    </cfRule>
  </conditionalFormatting>
  <conditionalFormatting sqref="M698">
    <cfRule type="colorScale" priority="937">
      <colorScale>
        <cfvo type="min"/>
        <cfvo type="max"/>
        <color rgb="FFFF7128"/>
        <color rgb="FFFFEF9C"/>
      </colorScale>
    </cfRule>
  </conditionalFormatting>
  <conditionalFormatting sqref="Q698">
    <cfRule type="dataBar" priority="936">
      <dataBar>
        <cfvo type="min"/>
        <cfvo type="max"/>
        <color rgb="FFFF555A"/>
      </dataBar>
    </cfRule>
  </conditionalFormatting>
  <conditionalFormatting sqref="E682:E698">
    <cfRule type="dataBar" priority="935">
      <dataBar>
        <cfvo type="min"/>
        <cfvo type="max"/>
        <color rgb="FFFF555A"/>
      </dataBar>
    </cfRule>
  </conditionalFormatting>
  <conditionalFormatting sqref="F698">
    <cfRule type="top10" dxfId="357" priority="934" rank="1"/>
  </conditionalFormatting>
  <conditionalFormatting sqref="G698 P698">
    <cfRule type="cellIs" dxfId="356" priority="933" operator="equal">
      <formula>$G$135</formula>
    </cfRule>
  </conditionalFormatting>
  <conditionalFormatting sqref="P698">
    <cfRule type="cellIs" dxfId="355" priority="932" operator="equal">
      <formula>$J$135</formula>
    </cfRule>
  </conditionalFormatting>
  <conditionalFormatting sqref="G698 P698">
    <cfRule type="cellIs" dxfId="354" priority="931" operator="equal">
      <formula>#REF!</formula>
    </cfRule>
  </conditionalFormatting>
  <conditionalFormatting sqref="G698">
    <cfRule type="top10" dxfId="353" priority="929" rank="1"/>
    <cfRule type="cellIs" dxfId="352" priority="930" operator="equal">
      <formula>$G$133</formula>
    </cfRule>
  </conditionalFormatting>
  <conditionalFormatting sqref="P698">
    <cfRule type="top10" dxfId="351" priority="927" rank="1"/>
    <cfRule type="cellIs" dxfId="350" priority="928" operator="equal">
      <formula>$G$133</formula>
    </cfRule>
  </conditionalFormatting>
  <conditionalFormatting sqref="C682:C697">
    <cfRule type="containsText" dxfId="349" priority="923" operator="containsText" text="Short Buildup">
      <formula>NOT(ISERROR(SEARCH("Short Buildup",C682)))</formula>
    </cfRule>
    <cfRule type="containsText" dxfId="348" priority="924" operator="containsText" text="Long Liquidation">
      <formula>NOT(ISERROR(SEARCH("Long Liquidation",C682)))</formula>
    </cfRule>
    <cfRule type="containsText" dxfId="347" priority="925" operator="containsText" text="Short covering">
      <formula>NOT(ISERROR(SEARCH("Short covering",C682)))</formula>
    </cfRule>
    <cfRule type="containsText" dxfId="346" priority="926" operator="containsText" text="Long Buildup">
      <formula>NOT(ISERROR(SEARCH("Long Buildup",C682)))</formula>
    </cfRule>
  </conditionalFormatting>
  <conditionalFormatting sqref="H698">
    <cfRule type="colorScale" priority="918">
      <colorScale>
        <cfvo type="min"/>
        <cfvo type="percentile" val="20"/>
        <cfvo type="max"/>
        <color rgb="FF92D050"/>
        <color theme="5" tint="0.79998168889431442"/>
        <color rgb="FFFF0000"/>
      </colorScale>
    </cfRule>
    <cfRule type="colorScale" priority="919">
      <colorScale>
        <cfvo type="min"/>
        <cfvo type="max"/>
        <color rgb="FFFF0000"/>
        <color rgb="FF92D050"/>
      </colorScale>
    </cfRule>
    <cfRule type="colorScale" priority="920">
      <colorScale>
        <cfvo type="min"/>
        <cfvo type="percentile" val="50"/>
        <cfvo type="max"/>
        <color rgb="FF5A8AC6"/>
        <color rgb="FFFCFCFF"/>
        <color rgb="FFF8696B"/>
      </colorScale>
    </cfRule>
    <cfRule type="colorScale" priority="921">
      <colorScale>
        <cfvo type="formula" val="&quot;&gt;20&quot;"/>
        <cfvo type="formula" val="35"/>
        <color rgb="FFF8696B"/>
        <color rgb="FFFCFCFF"/>
      </colorScale>
    </cfRule>
    <cfRule type="colorScale" priority="922">
      <colorScale>
        <cfvo type="min"/>
        <cfvo type="max"/>
        <color rgb="FFFFEF9C"/>
        <color rgb="FF63BE7B"/>
      </colorScale>
    </cfRule>
  </conditionalFormatting>
  <conditionalFormatting sqref="N698">
    <cfRule type="colorScale" priority="913">
      <colorScale>
        <cfvo type="min"/>
        <cfvo type="percentile" val="20"/>
        <cfvo type="max"/>
        <color rgb="FF92D050"/>
        <color theme="5" tint="0.79998168889431442"/>
        <color rgb="FFFF0000"/>
      </colorScale>
    </cfRule>
    <cfRule type="colorScale" priority="914">
      <colorScale>
        <cfvo type="min"/>
        <cfvo type="max"/>
        <color rgb="FFFF0000"/>
        <color rgb="FF92D050"/>
      </colorScale>
    </cfRule>
    <cfRule type="colorScale" priority="915">
      <colorScale>
        <cfvo type="min"/>
        <cfvo type="percentile" val="50"/>
        <cfvo type="max"/>
        <color rgb="FF5A8AC6"/>
        <color rgb="FFFCFCFF"/>
        <color rgb="FFF8696B"/>
      </colorScale>
    </cfRule>
    <cfRule type="colorScale" priority="916">
      <colorScale>
        <cfvo type="formula" val="&quot;&gt;20&quot;"/>
        <cfvo type="formula" val="35"/>
        <color rgb="FFF8696B"/>
        <color rgb="FFFCFCFF"/>
      </colorScale>
    </cfRule>
    <cfRule type="colorScale" priority="917">
      <colorScale>
        <cfvo type="min"/>
        <cfvo type="max"/>
        <color rgb="FFFFEF9C"/>
        <color rgb="FF63BE7B"/>
      </colorScale>
    </cfRule>
  </conditionalFormatting>
  <conditionalFormatting sqref="S682:S698">
    <cfRule type="containsText" dxfId="345" priority="909" operator="containsText" text="Short Buildup">
      <formula>NOT(ISERROR(SEARCH("Short Buildup",S682)))</formula>
    </cfRule>
    <cfRule type="containsText" dxfId="344" priority="910" operator="containsText" text="Long Liquidation">
      <formula>NOT(ISERROR(SEARCH("Long Liquidation",S682)))</formula>
    </cfRule>
    <cfRule type="containsText" dxfId="343" priority="911" operator="containsText" text="Short covering">
      <formula>NOT(ISERROR(SEARCH("Short covering",S682)))</formula>
    </cfRule>
    <cfRule type="containsText" dxfId="342" priority="912" operator="containsText" text="Long Buildup">
      <formula>NOT(ISERROR(SEARCH("Long Buildup",S682)))</formula>
    </cfRule>
  </conditionalFormatting>
  <conditionalFormatting sqref="F682:F697">
    <cfRule type="dataBar" priority="908">
      <dataBar>
        <cfvo type="min"/>
        <cfvo type="max"/>
        <color rgb="FFFF555A"/>
      </dataBar>
    </cfRule>
  </conditionalFormatting>
  <conditionalFormatting sqref="G682:G697">
    <cfRule type="dataBar" priority="907">
      <dataBar>
        <cfvo type="min"/>
        <cfvo type="max"/>
        <color rgb="FFFF555A"/>
      </dataBar>
    </cfRule>
  </conditionalFormatting>
  <conditionalFormatting sqref="H682">
    <cfRule type="dataBar" priority="906">
      <dataBar>
        <cfvo type="min"/>
        <cfvo type="max"/>
        <color rgb="FFFF555A"/>
      </dataBar>
    </cfRule>
  </conditionalFormatting>
  <conditionalFormatting sqref="I682">
    <cfRule type="dataBar" priority="905">
      <dataBar>
        <cfvo type="min"/>
        <cfvo type="max"/>
        <color rgb="FFFF555A"/>
      </dataBar>
    </cfRule>
  </conditionalFormatting>
  <conditionalFormatting sqref="J682">
    <cfRule type="dataBar" priority="904">
      <dataBar>
        <cfvo type="min"/>
        <cfvo type="max"/>
        <color rgb="FFFF555A"/>
      </dataBar>
    </cfRule>
  </conditionalFormatting>
  <conditionalFormatting sqref="E683:E697">
    <cfRule type="dataBar" priority="903">
      <dataBar>
        <cfvo type="min"/>
        <cfvo type="max"/>
        <color rgb="FFFF555A"/>
      </dataBar>
    </cfRule>
  </conditionalFormatting>
  <conditionalFormatting sqref="H683:H697">
    <cfRule type="dataBar" priority="902">
      <dataBar>
        <cfvo type="min"/>
        <cfvo type="max"/>
        <color rgb="FFFF555A"/>
      </dataBar>
    </cfRule>
  </conditionalFormatting>
  <conditionalFormatting sqref="I683:I697">
    <cfRule type="dataBar" priority="901">
      <dataBar>
        <cfvo type="min"/>
        <cfvo type="max"/>
        <color rgb="FFFF555A"/>
      </dataBar>
    </cfRule>
  </conditionalFormatting>
  <conditionalFormatting sqref="J683:J697">
    <cfRule type="dataBar" priority="900">
      <dataBar>
        <cfvo type="min"/>
        <cfvo type="max"/>
        <color rgb="FFFF555A"/>
      </dataBar>
    </cfRule>
  </conditionalFormatting>
  <conditionalFormatting sqref="L682:L697">
    <cfRule type="dataBar" priority="899">
      <dataBar>
        <cfvo type="min"/>
        <cfvo type="max"/>
        <color rgb="FFFF555A"/>
      </dataBar>
    </cfRule>
  </conditionalFormatting>
  <conditionalFormatting sqref="M682:M697">
    <cfRule type="dataBar" priority="898">
      <dataBar>
        <cfvo type="min"/>
        <cfvo type="max"/>
        <color rgb="FFFF555A"/>
      </dataBar>
    </cfRule>
  </conditionalFormatting>
  <conditionalFormatting sqref="N682:N697">
    <cfRule type="dataBar" priority="897">
      <dataBar>
        <cfvo type="min"/>
        <cfvo type="max"/>
        <color rgb="FFFF555A"/>
      </dataBar>
    </cfRule>
  </conditionalFormatting>
  <conditionalFormatting sqref="Q682:Q697">
    <cfRule type="dataBar" priority="896">
      <dataBar>
        <cfvo type="min"/>
        <cfvo type="max"/>
        <color rgb="FFFF555A"/>
      </dataBar>
    </cfRule>
  </conditionalFormatting>
  <conditionalFormatting sqref="O682:O697">
    <cfRule type="dataBar" priority="895">
      <dataBar>
        <cfvo type="min"/>
        <cfvo type="max"/>
        <color rgb="FFFF555A"/>
      </dataBar>
    </cfRule>
  </conditionalFormatting>
  <conditionalFormatting sqref="P682:P697">
    <cfRule type="dataBar" priority="894">
      <dataBar>
        <cfvo type="min"/>
        <cfvo type="max"/>
        <color rgb="FFFF555A"/>
      </dataBar>
    </cfRule>
  </conditionalFormatting>
  <conditionalFormatting sqref="R699:R715 D699:D714 C715">
    <cfRule type="containsText" dxfId="341" priority="893" operator="containsText" text="DOWN">
      <formula>NOT(ISERROR(SEARCH("DOWN",C699)))</formula>
    </cfRule>
  </conditionalFormatting>
  <conditionalFormatting sqref="R699:R715 D699:D714 C715">
    <cfRule type="containsText" dxfId="340" priority="892" operator="containsText" text="UP">
      <formula>NOT(ISERROR(SEARCH("UP",C699)))</formula>
    </cfRule>
  </conditionalFormatting>
  <conditionalFormatting sqref="I715">
    <cfRule type="colorScale" priority="891">
      <colorScale>
        <cfvo type="min"/>
        <cfvo type="max"/>
        <color rgb="FFFFEF9C"/>
        <color rgb="FF63BE7B"/>
      </colorScale>
    </cfRule>
  </conditionalFormatting>
  <conditionalFormatting sqref="M715">
    <cfRule type="colorScale" priority="890">
      <colorScale>
        <cfvo type="min"/>
        <cfvo type="max"/>
        <color rgb="FFFF7128"/>
        <color rgb="FFFFEF9C"/>
      </colorScale>
    </cfRule>
  </conditionalFormatting>
  <conditionalFormatting sqref="Q715">
    <cfRule type="dataBar" priority="889">
      <dataBar>
        <cfvo type="min"/>
        <cfvo type="max"/>
        <color rgb="FFFF555A"/>
      </dataBar>
    </cfRule>
  </conditionalFormatting>
  <conditionalFormatting sqref="E699:E715">
    <cfRule type="dataBar" priority="888">
      <dataBar>
        <cfvo type="min"/>
        <cfvo type="max"/>
        <color rgb="FFFF555A"/>
      </dataBar>
    </cfRule>
  </conditionalFormatting>
  <conditionalFormatting sqref="F715">
    <cfRule type="top10" dxfId="339" priority="887" rank="1"/>
  </conditionalFormatting>
  <conditionalFormatting sqref="G715 P715">
    <cfRule type="cellIs" dxfId="338" priority="886" operator="equal">
      <formula>$G$135</formula>
    </cfRule>
  </conditionalFormatting>
  <conditionalFormatting sqref="P715">
    <cfRule type="cellIs" dxfId="337" priority="885" operator="equal">
      <formula>$J$135</formula>
    </cfRule>
  </conditionalFormatting>
  <conditionalFormatting sqref="G715 P715">
    <cfRule type="cellIs" dxfId="336" priority="884" operator="equal">
      <formula>#REF!</formula>
    </cfRule>
  </conditionalFormatting>
  <conditionalFormatting sqref="G715">
    <cfRule type="top10" dxfId="335" priority="882" rank="1"/>
    <cfRule type="cellIs" dxfId="334" priority="883" operator="equal">
      <formula>$G$133</formula>
    </cfRule>
  </conditionalFormatting>
  <conditionalFormatting sqref="P715">
    <cfRule type="top10" dxfId="333" priority="880" rank="1"/>
    <cfRule type="cellIs" dxfId="332" priority="881" operator="equal">
      <formula>$G$133</formula>
    </cfRule>
  </conditionalFormatting>
  <conditionalFormatting sqref="C699:C714">
    <cfRule type="containsText" dxfId="331" priority="876" operator="containsText" text="Short Buildup">
      <formula>NOT(ISERROR(SEARCH("Short Buildup",C699)))</formula>
    </cfRule>
    <cfRule type="containsText" dxfId="330" priority="877" operator="containsText" text="Long Liquidation">
      <formula>NOT(ISERROR(SEARCH("Long Liquidation",C699)))</formula>
    </cfRule>
    <cfRule type="containsText" dxfId="329" priority="878" operator="containsText" text="Short covering">
      <formula>NOT(ISERROR(SEARCH("Short covering",C699)))</formula>
    </cfRule>
    <cfRule type="containsText" dxfId="328" priority="879" operator="containsText" text="Long Buildup">
      <formula>NOT(ISERROR(SEARCH("Long Buildup",C699)))</formula>
    </cfRule>
  </conditionalFormatting>
  <conditionalFormatting sqref="H715">
    <cfRule type="colorScale" priority="871">
      <colorScale>
        <cfvo type="min"/>
        <cfvo type="percentile" val="20"/>
        <cfvo type="max"/>
        <color rgb="FF92D050"/>
        <color theme="5" tint="0.79998168889431442"/>
        <color rgb="FFFF0000"/>
      </colorScale>
    </cfRule>
    <cfRule type="colorScale" priority="872">
      <colorScale>
        <cfvo type="min"/>
        <cfvo type="max"/>
        <color rgb="FFFF0000"/>
        <color rgb="FF92D050"/>
      </colorScale>
    </cfRule>
    <cfRule type="colorScale" priority="873">
      <colorScale>
        <cfvo type="min"/>
        <cfvo type="percentile" val="50"/>
        <cfvo type="max"/>
        <color rgb="FF5A8AC6"/>
        <color rgb="FFFCFCFF"/>
        <color rgb="FFF8696B"/>
      </colorScale>
    </cfRule>
    <cfRule type="colorScale" priority="874">
      <colorScale>
        <cfvo type="formula" val="&quot;&gt;20&quot;"/>
        <cfvo type="formula" val="35"/>
        <color rgb="FFF8696B"/>
        <color rgb="FFFCFCFF"/>
      </colorScale>
    </cfRule>
    <cfRule type="colorScale" priority="875">
      <colorScale>
        <cfvo type="min"/>
        <cfvo type="max"/>
        <color rgb="FFFFEF9C"/>
        <color rgb="FF63BE7B"/>
      </colorScale>
    </cfRule>
  </conditionalFormatting>
  <conditionalFormatting sqref="N715">
    <cfRule type="colorScale" priority="866">
      <colorScale>
        <cfvo type="min"/>
        <cfvo type="percentile" val="20"/>
        <cfvo type="max"/>
        <color rgb="FF92D050"/>
        <color theme="5" tint="0.79998168889431442"/>
        <color rgb="FFFF0000"/>
      </colorScale>
    </cfRule>
    <cfRule type="colorScale" priority="867">
      <colorScale>
        <cfvo type="min"/>
        <cfvo type="max"/>
        <color rgb="FFFF0000"/>
        <color rgb="FF92D050"/>
      </colorScale>
    </cfRule>
    <cfRule type="colorScale" priority="868">
      <colorScale>
        <cfvo type="min"/>
        <cfvo type="percentile" val="50"/>
        <cfvo type="max"/>
        <color rgb="FF5A8AC6"/>
        <color rgb="FFFCFCFF"/>
        <color rgb="FFF8696B"/>
      </colorScale>
    </cfRule>
    <cfRule type="colorScale" priority="869">
      <colorScale>
        <cfvo type="formula" val="&quot;&gt;20&quot;"/>
        <cfvo type="formula" val="35"/>
        <color rgb="FFF8696B"/>
        <color rgb="FFFCFCFF"/>
      </colorScale>
    </cfRule>
    <cfRule type="colorScale" priority="870">
      <colorScale>
        <cfvo type="min"/>
        <cfvo type="max"/>
        <color rgb="FFFFEF9C"/>
        <color rgb="FF63BE7B"/>
      </colorScale>
    </cfRule>
  </conditionalFormatting>
  <conditionalFormatting sqref="S699:S715">
    <cfRule type="containsText" dxfId="327" priority="862" operator="containsText" text="Short Buildup">
      <formula>NOT(ISERROR(SEARCH("Short Buildup",S699)))</formula>
    </cfRule>
    <cfRule type="containsText" dxfId="326" priority="863" operator="containsText" text="Long Liquidation">
      <formula>NOT(ISERROR(SEARCH("Long Liquidation",S699)))</formula>
    </cfRule>
    <cfRule type="containsText" dxfId="325" priority="864" operator="containsText" text="Short covering">
      <formula>NOT(ISERROR(SEARCH("Short covering",S699)))</formula>
    </cfRule>
    <cfRule type="containsText" dxfId="324" priority="865" operator="containsText" text="Long Buildup">
      <formula>NOT(ISERROR(SEARCH("Long Buildup",S699)))</formula>
    </cfRule>
  </conditionalFormatting>
  <conditionalFormatting sqref="F699:F714">
    <cfRule type="dataBar" priority="861">
      <dataBar>
        <cfvo type="min"/>
        <cfvo type="max"/>
        <color rgb="FFFF555A"/>
      </dataBar>
    </cfRule>
  </conditionalFormatting>
  <conditionalFormatting sqref="G699:G714">
    <cfRule type="dataBar" priority="860">
      <dataBar>
        <cfvo type="min"/>
        <cfvo type="max"/>
        <color rgb="FFFF555A"/>
      </dataBar>
    </cfRule>
  </conditionalFormatting>
  <conditionalFormatting sqref="H699">
    <cfRule type="dataBar" priority="859">
      <dataBar>
        <cfvo type="min"/>
        <cfvo type="max"/>
        <color rgb="FFFF555A"/>
      </dataBar>
    </cfRule>
  </conditionalFormatting>
  <conditionalFormatting sqref="I699">
    <cfRule type="dataBar" priority="858">
      <dataBar>
        <cfvo type="min"/>
        <cfvo type="max"/>
        <color rgb="FFFF555A"/>
      </dataBar>
    </cfRule>
  </conditionalFormatting>
  <conditionalFormatting sqref="J699">
    <cfRule type="dataBar" priority="857">
      <dataBar>
        <cfvo type="min"/>
        <cfvo type="max"/>
        <color rgb="FFFF555A"/>
      </dataBar>
    </cfRule>
  </conditionalFormatting>
  <conditionalFormatting sqref="E700:E714">
    <cfRule type="dataBar" priority="856">
      <dataBar>
        <cfvo type="min"/>
        <cfvo type="max"/>
        <color rgb="FFFF555A"/>
      </dataBar>
    </cfRule>
  </conditionalFormatting>
  <conditionalFormatting sqref="H700:H714">
    <cfRule type="dataBar" priority="855">
      <dataBar>
        <cfvo type="min"/>
        <cfvo type="max"/>
        <color rgb="FFFF555A"/>
      </dataBar>
    </cfRule>
  </conditionalFormatting>
  <conditionalFormatting sqref="I700:I714">
    <cfRule type="dataBar" priority="854">
      <dataBar>
        <cfvo type="min"/>
        <cfvo type="max"/>
        <color rgb="FFFF555A"/>
      </dataBar>
    </cfRule>
  </conditionalFormatting>
  <conditionalFormatting sqref="J700:J714">
    <cfRule type="dataBar" priority="853">
      <dataBar>
        <cfvo type="min"/>
        <cfvo type="max"/>
        <color rgb="FFFF555A"/>
      </dataBar>
    </cfRule>
  </conditionalFormatting>
  <conditionalFormatting sqref="L699:L714">
    <cfRule type="dataBar" priority="852">
      <dataBar>
        <cfvo type="min"/>
        <cfvo type="max"/>
        <color rgb="FFFF555A"/>
      </dataBar>
    </cfRule>
  </conditionalFormatting>
  <conditionalFormatting sqref="M699:M714">
    <cfRule type="dataBar" priority="851">
      <dataBar>
        <cfvo type="min"/>
        <cfvo type="max"/>
        <color rgb="FFFF555A"/>
      </dataBar>
    </cfRule>
  </conditionalFormatting>
  <conditionalFormatting sqref="N699:N714">
    <cfRule type="dataBar" priority="850">
      <dataBar>
        <cfvo type="min"/>
        <cfvo type="max"/>
        <color rgb="FFFF555A"/>
      </dataBar>
    </cfRule>
  </conditionalFormatting>
  <conditionalFormatting sqref="Q699:Q714">
    <cfRule type="dataBar" priority="849">
      <dataBar>
        <cfvo type="min"/>
        <cfvo type="max"/>
        <color rgb="FFFF555A"/>
      </dataBar>
    </cfRule>
  </conditionalFormatting>
  <conditionalFormatting sqref="O699:O714">
    <cfRule type="dataBar" priority="848">
      <dataBar>
        <cfvo type="min"/>
        <cfvo type="max"/>
        <color rgb="FFFF555A"/>
      </dataBar>
    </cfRule>
  </conditionalFormatting>
  <conditionalFormatting sqref="P699:P714">
    <cfRule type="dataBar" priority="847">
      <dataBar>
        <cfvo type="min"/>
        <cfvo type="max"/>
        <color rgb="FFFF555A"/>
      </dataBar>
    </cfRule>
  </conditionalFormatting>
  <conditionalFormatting sqref="R716:R732 D716:D731 C732">
    <cfRule type="containsText" dxfId="323" priority="846" operator="containsText" text="DOWN">
      <formula>NOT(ISERROR(SEARCH("DOWN",C716)))</formula>
    </cfRule>
  </conditionalFormatting>
  <conditionalFormatting sqref="R716:R732 D716:D731 C732">
    <cfRule type="containsText" dxfId="322" priority="845" operator="containsText" text="UP">
      <formula>NOT(ISERROR(SEARCH("UP",C716)))</formula>
    </cfRule>
  </conditionalFormatting>
  <conditionalFormatting sqref="I732">
    <cfRule type="colorScale" priority="844">
      <colorScale>
        <cfvo type="min"/>
        <cfvo type="max"/>
        <color rgb="FFFFEF9C"/>
        <color rgb="FF63BE7B"/>
      </colorScale>
    </cfRule>
  </conditionalFormatting>
  <conditionalFormatting sqref="M732">
    <cfRule type="colorScale" priority="843">
      <colorScale>
        <cfvo type="min"/>
        <cfvo type="max"/>
        <color rgb="FFFF7128"/>
        <color rgb="FFFFEF9C"/>
      </colorScale>
    </cfRule>
  </conditionalFormatting>
  <conditionalFormatting sqref="Q732">
    <cfRule type="dataBar" priority="842">
      <dataBar>
        <cfvo type="min"/>
        <cfvo type="max"/>
        <color rgb="FFFF555A"/>
      </dataBar>
    </cfRule>
  </conditionalFormatting>
  <conditionalFormatting sqref="E716:E732">
    <cfRule type="dataBar" priority="841">
      <dataBar>
        <cfvo type="min"/>
        <cfvo type="max"/>
        <color rgb="FFFF555A"/>
      </dataBar>
    </cfRule>
  </conditionalFormatting>
  <conditionalFormatting sqref="F732">
    <cfRule type="top10" dxfId="321" priority="840" rank="1"/>
  </conditionalFormatting>
  <conditionalFormatting sqref="G732 P732">
    <cfRule type="cellIs" dxfId="320" priority="839" operator="equal">
      <formula>$G$135</formula>
    </cfRule>
  </conditionalFormatting>
  <conditionalFormatting sqref="P732">
    <cfRule type="cellIs" dxfId="319" priority="838" operator="equal">
      <formula>$J$135</formula>
    </cfRule>
  </conditionalFormatting>
  <conditionalFormatting sqref="G732 P732">
    <cfRule type="cellIs" dxfId="318" priority="837" operator="equal">
      <formula>#REF!</formula>
    </cfRule>
  </conditionalFormatting>
  <conditionalFormatting sqref="G732">
    <cfRule type="top10" dxfId="317" priority="835" rank="1"/>
    <cfRule type="cellIs" dxfId="316" priority="836" operator="equal">
      <formula>$G$133</formula>
    </cfRule>
  </conditionalFormatting>
  <conditionalFormatting sqref="P732">
    <cfRule type="top10" dxfId="315" priority="833" rank="1"/>
    <cfRule type="cellIs" dxfId="314" priority="834" operator="equal">
      <formula>$G$133</formula>
    </cfRule>
  </conditionalFormatting>
  <conditionalFormatting sqref="C716:C731">
    <cfRule type="containsText" dxfId="313" priority="829" operator="containsText" text="Short Buildup">
      <formula>NOT(ISERROR(SEARCH("Short Buildup",C716)))</formula>
    </cfRule>
    <cfRule type="containsText" dxfId="312" priority="830" operator="containsText" text="Long Liquidation">
      <formula>NOT(ISERROR(SEARCH("Long Liquidation",C716)))</formula>
    </cfRule>
    <cfRule type="containsText" dxfId="311" priority="831" operator="containsText" text="Short covering">
      <formula>NOT(ISERROR(SEARCH("Short covering",C716)))</formula>
    </cfRule>
    <cfRule type="containsText" dxfId="310" priority="832" operator="containsText" text="Long Buildup">
      <formula>NOT(ISERROR(SEARCH("Long Buildup",C716)))</formula>
    </cfRule>
  </conditionalFormatting>
  <conditionalFormatting sqref="H732">
    <cfRule type="colorScale" priority="824">
      <colorScale>
        <cfvo type="min"/>
        <cfvo type="percentile" val="20"/>
        <cfvo type="max"/>
        <color rgb="FF92D050"/>
        <color theme="5" tint="0.79998168889431442"/>
        <color rgb="FFFF0000"/>
      </colorScale>
    </cfRule>
    <cfRule type="colorScale" priority="825">
      <colorScale>
        <cfvo type="min"/>
        <cfvo type="max"/>
        <color rgb="FFFF0000"/>
        <color rgb="FF92D050"/>
      </colorScale>
    </cfRule>
    <cfRule type="colorScale" priority="826">
      <colorScale>
        <cfvo type="min"/>
        <cfvo type="percentile" val="50"/>
        <cfvo type="max"/>
        <color rgb="FF5A8AC6"/>
        <color rgb="FFFCFCFF"/>
        <color rgb="FFF8696B"/>
      </colorScale>
    </cfRule>
    <cfRule type="colorScale" priority="827">
      <colorScale>
        <cfvo type="formula" val="&quot;&gt;20&quot;"/>
        <cfvo type="formula" val="35"/>
        <color rgb="FFF8696B"/>
        <color rgb="FFFCFCFF"/>
      </colorScale>
    </cfRule>
    <cfRule type="colorScale" priority="828">
      <colorScale>
        <cfvo type="min"/>
        <cfvo type="max"/>
        <color rgb="FFFFEF9C"/>
        <color rgb="FF63BE7B"/>
      </colorScale>
    </cfRule>
  </conditionalFormatting>
  <conditionalFormatting sqref="N732">
    <cfRule type="colorScale" priority="819">
      <colorScale>
        <cfvo type="min"/>
        <cfvo type="percentile" val="20"/>
        <cfvo type="max"/>
        <color rgb="FF92D050"/>
        <color theme="5" tint="0.79998168889431442"/>
        <color rgb="FFFF0000"/>
      </colorScale>
    </cfRule>
    <cfRule type="colorScale" priority="820">
      <colorScale>
        <cfvo type="min"/>
        <cfvo type="max"/>
        <color rgb="FFFF0000"/>
        <color rgb="FF92D050"/>
      </colorScale>
    </cfRule>
    <cfRule type="colorScale" priority="821">
      <colorScale>
        <cfvo type="min"/>
        <cfvo type="percentile" val="50"/>
        <cfvo type="max"/>
        <color rgb="FF5A8AC6"/>
        <color rgb="FFFCFCFF"/>
        <color rgb="FFF8696B"/>
      </colorScale>
    </cfRule>
    <cfRule type="colorScale" priority="822">
      <colorScale>
        <cfvo type="formula" val="&quot;&gt;20&quot;"/>
        <cfvo type="formula" val="35"/>
        <color rgb="FFF8696B"/>
        <color rgb="FFFCFCFF"/>
      </colorScale>
    </cfRule>
    <cfRule type="colorScale" priority="823">
      <colorScale>
        <cfvo type="min"/>
        <cfvo type="max"/>
        <color rgb="FFFFEF9C"/>
        <color rgb="FF63BE7B"/>
      </colorScale>
    </cfRule>
  </conditionalFormatting>
  <conditionalFormatting sqref="S716:S732">
    <cfRule type="containsText" dxfId="309" priority="815" operator="containsText" text="Short Buildup">
      <formula>NOT(ISERROR(SEARCH("Short Buildup",S716)))</formula>
    </cfRule>
    <cfRule type="containsText" dxfId="308" priority="816" operator="containsText" text="Long Liquidation">
      <formula>NOT(ISERROR(SEARCH("Long Liquidation",S716)))</formula>
    </cfRule>
    <cfRule type="containsText" dxfId="307" priority="817" operator="containsText" text="Short covering">
      <formula>NOT(ISERROR(SEARCH("Short covering",S716)))</formula>
    </cfRule>
    <cfRule type="containsText" dxfId="306" priority="818" operator="containsText" text="Long Buildup">
      <formula>NOT(ISERROR(SEARCH("Long Buildup",S716)))</formula>
    </cfRule>
  </conditionalFormatting>
  <conditionalFormatting sqref="F716:F731">
    <cfRule type="dataBar" priority="814">
      <dataBar>
        <cfvo type="min"/>
        <cfvo type="max"/>
        <color rgb="FFFF555A"/>
      </dataBar>
    </cfRule>
  </conditionalFormatting>
  <conditionalFormatting sqref="G716:G731">
    <cfRule type="dataBar" priority="813">
      <dataBar>
        <cfvo type="min"/>
        <cfvo type="max"/>
        <color rgb="FFFF555A"/>
      </dataBar>
    </cfRule>
  </conditionalFormatting>
  <conditionalFormatting sqref="H716">
    <cfRule type="dataBar" priority="812">
      <dataBar>
        <cfvo type="min"/>
        <cfvo type="max"/>
        <color rgb="FFFF555A"/>
      </dataBar>
    </cfRule>
  </conditionalFormatting>
  <conditionalFormatting sqref="I716">
    <cfRule type="dataBar" priority="811">
      <dataBar>
        <cfvo type="min"/>
        <cfvo type="max"/>
        <color rgb="FFFF555A"/>
      </dataBar>
    </cfRule>
  </conditionalFormatting>
  <conditionalFormatting sqref="J716">
    <cfRule type="dataBar" priority="810">
      <dataBar>
        <cfvo type="min"/>
        <cfvo type="max"/>
        <color rgb="FFFF555A"/>
      </dataBar>
    </cfRule>
  </conditionalFormatting>
  <conditionalFormatting sqref="E717:E731">
    <cfRule type="dataBar" priority="809">
      <dataBar>
        <cfvo type="min"/>
        <cfvo type="max"/>
        <color rgb="FFFF555A"/>
      </dataBar>
    </cfRule>
  </conditionalFormatting>
  <conditionalFormatting sqref="H717:H731">
    <cfRule type="dataBar" priority="808">
      <dataBar>
        <cfvo type="min"/>
        <cfvo type="max"/>
        <color rgb="FFFF555A"/>
      </dataBar>
    </cfRule>
  </conditionalFormatting>
  <conditionalFormatting sqref="I717:I731">
    <cfRule type="dataBar" priority="807">
      <dataBar>
        <cfvo type="min"/>
        <cfvo type="max"/>
        <color rgb="FFFF555A"/>
      </dataBar>
    </cfRule>
  </conditionalFormatting>
  <conditionalFormatting sqref="J717:J731">
    <cfRule type="dataBar" priority="806">
      <dataBar>
        <cfvo type="min"/>
        <cfvo type="max"/>
        <color rgb="FFFF555A"/>
      </dataBar>
    </cfRule>
  </conditionalFormatting>
  <conditionalFormatting sqref="L716:L731">
    <cfRule type="dataBar" priority="805">
      <dataBar>
        <cfvo type="min"/>
        <cfvo type="max"/>
        <color rgb="FFFF555A"/>
      </dataBar>
    </cfRule>
  </conditionalFormatting>
  <conditionalFormatting sqref="M716:M731">
    <cfRule type="dataBar" priority="804">
      <dataBar>
        <cfvo type="min"/>
        <cfvo type="max"/>
        <color rgb="FFFF555A"/>
      </dataBar>
    </cfRule>
  </conditionalFormatting>
  <conditionalFormatting sqref="N716:N731">
    <cfRule type="dataBar" priority="803">
      <dataBar>
        <cfvo type="min"/>
        <cfvo type="max"/>
        <color rgb="FFFF555A"/>
      </dataBar>
    </cfRule>
  </conditionalFormatting>
  <conditionalFormatting sqref="Q716:Q731">
    <cfRule type="dataBar" priority="802">
      <dataBar>
        <cfvo type="min"/>
        <cfvo type="max"/>
        <color rgb="FFFF555A"/>
      </dataBar>
    </cfRule>
  </conditionalFormatting>
  <conditionalFormatting sqref="O716:O731">
    <cfRule type="dataBar" priority="801">
      <dataBar>
        <cfvo type="min"/>
        <cfvo type="max"/>
        <color rgb="FFFF555A"/>
      </dataBar>
    </cfRule>
  </conditionalFormatting>
  <conditionalFormatting sqref="P716:P731">
    <cfRule type="dataBar" priority="800">
      <dataBar>
        <cfvo type="min"/>
        <cfvo type="max"/>
        <color rgb="FFFF555A"/>
      </dataBar>
    </cfRule>
  </conditionalFormatting>
  <conditionalFormatting sqref="R733:R749 D733:D748 C749">
    <cfRule type="containsText" dxfId="305" priority="799" operator="containsText" text="DOWN">
      <formula>NOT(ISERROR(SEARCH("DOWN",C733)))</formula>
    </cfRule>
  </conditionalFormatting>
  <conditionalFormatting sqref="R733:R749 D733:D748 C749">
    <cfRule type="containsText" dxfId="304" priority="798" operator="containsText" text="UP">
      <formula>NOT(ISERROR(SEARCH("UP",C733)))</formula>
    </cfRule>
  </conditionalFormatting>
  <conditionalFormatting sqref="I749">
    <cfRule type="colorScale" priority="797">
      <colorScale>
        <cfvo type="min"/>
        <cfvo type="max"/>
        <color rgb="FFFFEF9C"/>
        <color rgb="FF63BE7B"/>
      </colorScale>
    </cfRule>
  </conditionalFormatting>
  <conditionalFormatting sqref="M749">
    <cfRule type="colorScale" priority="796">
      <colorScale>
        <cfvo type="min"/>
        <cfvo type="max"/>
        <color rgb="FFFF7128"/>
        <color rgb="FFFFEF9C"/>
      </colorScale>
    </cfRule>
  </conditionalFormatting>
  <conditionalFormatting sqref="Q749">
    <cfRule type="dataBar" priority="795">
      <dataBar>
        <cfvo type="min"/>
        <cfvo type="max"/>
        <color rgb="FFFF555A"/>
      </dataBar>
    </cfRule>
  </conditionalFormatting>
  <conditionalFormatting sqref="E733:E749">
    <cfRule type="dataBar" priority="794">
      <dataBar>
        <cfvo type="min"/>
        <cfvo type="max"/>
        <color rgb="FFFF555A"/>
      </dataBar>
    </cfRule>
  </conditionalFormatting>
  <conditionalFormatting sqref="F749">
    <cfRule type="top10" dxfId="303" priority="793" rank="1"/>
  </conditionalFormatting>
  <conditionalFormatting sqref="G749 P749">
    <cfRule type="cellIs" dxfId="302" priority="792" operator="equal">
      <formula>$G$135</formula>
    </cfRule>
  </conditionalFormatting>
  <conditionalFormatting sqref="P749">
    <cfRule type="cellIs" dxfId="301" priority="791" operator="equal">
      <formula>$J$135</formula>
    </cfRule>
  </conditionalFormatting>
  <conditionalFormatting sqref="G749 P749">
    <cfRule type="cellIs" dxfId="300" priority="790" operator="equal">
      <formula>#REF!</formula>
    </cfRule>
  </conditionalFormatting>
  <conditionalFormatting sqref="G749">
    <cfRule type="top10" dxfId="299" priority="788" rank="1"/>
    <cfRule type="cellIs" dxfId="298" priority="789" operator="equal">
      <formula>$G$133</formula>
    </cfRule>
  </conditionalFormatting>
  <conditionalFormatting sqref="P749">
    <cfRule type="top10" dxfId="297" priority="786" rank="1"/>
    <cfRule type="cellIs" dxfId="296" priority="787" operator="equal">
      <formula>$G$133</formula>
    </cfRule>
  </conditionalFormatting>
  <conditionalFormatting sqref="C733:C748">
    <cfRule type="containsText" dxfId="295" priority="782" operator="containsText" text="Short Buildup">
      <formula>NOT(ISERROR(SEARCH("Short Buildup",C733)))</formula>
    </cfRule>
    <cfRule type="containsText" dxfId="294" priority="783" operator="containsText" text="Long Liquidation">
      <formula>NOT(ISERROR(SEARCH("Long Liquidation",C733)))</formula>
    </cfRule>
    <cfRule type="containsText" dxfId="293" priority="784" operator="containsText" text="Short covering">
      <formula>NOT(ISERROR(SEARCH("Short covering",C733)))</formula>
    </cfRule>
    <cfRule type="containsText" dxfId="292" priority="785" operator="containsText" text="Long Buildup">
      <formula>NOT(ISERROR(SEARCH("Long Buildup",C733)))</formula>
    </cfRule>
  </conditionalFormatting>
  <conditionalFormatting sqref="H749">
    <cfRule type="colorScale" priority="777">
      <colorScale>
        <cfvo type="min"/>
        <cfvo type="percentile" val="20"/>
        <cfvo type="max"/>
        <color rgb="FF92D050"/>
        <color theme="5" tint="0.79998168889431442"/>
        <color rgb="FFFF0000"/>
      </colorScale>
    </cfRule>
    <cfRule type="colorScale" priority="778">
      <colorScale>
        <cfvo type="min"/>
        <cfvo type="max"/>
        <color rgb="FFFF0000"/>
        <color rgb="FF92D050"/>
      </colorScale>
    </cfRule>
    <cfRule type="colorScale" priority="779">
      <colorScale>
        <cfvo type="min"/>
        <cfvo type="percentile" val="50"/>
        <cfvo type="max"/>
        <color rgb="FF5A8AC6"/>
        <color rgb="FFFCFCFF"/>
        <color rgb="FFF8696B"/>
      </colorScale>
    </cfRule>
    <cfRule type="colorScale" priority="780">
      <colorScale>
        <cfvo type="formula" val="&quot;&gt;20&quot;"/>
        <cfvo type="formula" val="35"/>
        <color rgb="FFF8696B"/>
        <color rgb="FFFCFCFF"/>
      </colorScale>
    </cfRule>
    <cfRule type="colorScale" priority="781">
      <colorScale>
        <cfvo type="min"/>
        <cfvo type="max"/>
        <color rgb="FFFFEF9C"/>
        <color rgb="FF63BE7B"/>
      </colorScale>
    </cfRule>
  </conditionalFormatting>
  <conditionalFormatting sqref="N749">
    <cfRule type="colorScale" priority="772">
      <colorScale>
        <cfvo type="min"/>
        <cfvo type="percentile" val="20"/>
        <cfvo type="max"/>
        <color rgb="FF92D050"/>
        <color theme="5" tint="0.79998168889431442"/>
        <color rgb="FFFF0000"/>
      </colorScale>
    </cfRule>
    <cfRule type="colorScale" priority="773">
      <colorScale>
        <cfvo type="min"/>
        <cfvo type="max"/>
        <color rgb="FFFF0000"/>
        <color rgb="FF92D050"/>
      </colorScale>
    </cfRule>
    <cfRule type="colorScale" priority="774">
      <colorScale>
        <cfvo type="min"/>
        <cfvo type="percentile" val="50"/>
        <cfvo type="max"/>
        <color rgb="FF5A8AC6"/>
        <color rgb="FFFCFCFF"/>
        <color rgb="FFF8696B"/>
      </colorScale>
    </cfRule>
    <cfRule type="colorScale" priority="775">
      <colorScale>
        <cfvo type="formula" val="&quot;&gt;20&quot;"/>
        <cfvo type="formula" val="35"/>
        <color rgb="FFF8696B"/>
        <color rgb="FFFCFCFF"/>
      </colorScale>
    </cfRule>
    <cfRule type="colorScale" priority="776">
      <colorScale>
        <cfvo type="min"/>
        <cfvo type="max"/>
        <color rgb="FFFFEF9C"/>
        <color rgb="FF63BE7B"/>
      </colorScale>
    </cfRule>
  </conditionalFormatting>
  <conditionalFormatting sqref="S733:S749">
    <cfRule type="containsText" dxfId="291" priority="768" operator="containsText" text="Short Buildup">
      <formula>NOT(ISERROR(SEARCH("Short Buildup",S733)))</formula>
    </cfRule>
    <cfRule type="containsText" dxfId="290" priority="769" operator="containsText" text="Long Liquidation">
      <formula>NOT(ISERROR(SEARCH("Long Liquidation",S733)))</formula>
    </cfRule>
    <cfRule type="containsText" dxfId="289" priority="770" operator="containsText" text="Short covering">
      <formula>NOT(ISERROR(SEARCH("Short covering",S733)))</formula>
    </cfRule>
    <cfRule type="containsText" dxfId="288" priority="771" operator="containsText" text="Long Buildup">
      <formula>NOT(ISERROR(SEARCH("Long Buildup",S733)))</formula>
    </cfRule>
  </conditionalFormatting>
  <conditionalFormatting sqref="F733:F748">
    <cfRule type="dataBar" priority="767">
      <dataBar>
        <cfvo type="min"/>
        <cfvo type="max"/>
        <color rgb="FFFF555A"/>
      </dataBar>
    </cfRule>
  </conditionalFormatting>
  <conditionalFormatting sqref="G733:G748">
    <cfRule type="dataBar" priority="766">
      <dataBar>
        <cfvo type="min"/>
        <cfvo type="max"/>
        <color rgb="FFFF555A"/>
      </dataBar>
    </cfRule>
  </conditionalFormatting>
  <conditionalFormatting sqref="H733">
    <cfRule type="dataBar" priority="765">
      <dataBar>
        <cfvo type="min"/>
        <cfvo type="max"/>
        <color rgb="FFFF555A"/>
      </dataBar>
    </cfRule>
  </conditionalFormatting>
  <conditionalFormatting sqref="I733">
    <cfRule type="dataBar" priority="764">
      <dataBar>
        <cfvo type="min"/>
        <cfvo type="max"/>
        <color rgb="FFFF555A"/>
      </dataBar>
    </cfRule>
  </conditionalFormatting>
  <conditionalFormatting sqref="J733">
    <cfRule type="dataBar" priority="763">
      <dataBar>
        <cfvo type="min"/>
        <cfvo type="max"/>
        <color rgb="FFFF555A"/>
      </dataBar>
    </cfRule>
  </conditionalFormatting>
  <conditionalFormatting sqref="E734:E748">
    <cfRule type="dataBar" priority="762">
      <dataBar>
        <cfvo type="min"/>
        <cfvo type="max"/>
        <color rgb="FFFF555A"/>
      </dataBar>
    </cfRule>
  </conditionalFormatting>
  <conditionalFormatting sqref="H734:H748">
    <cfRule type="dataBar" priority="761">
      <dataBar>
        <cfvo type="min"/>
        <cfvo type="max"/>
        <color rgb="FFFF555A"/>
      </dataBar>
    </cfRule>
  </conditionalFormatting>
  <conditionalFormatting sqref="I734:I748">
    <cfRule type="dataBar" priority="760">
      <dataBar>
        <cfvo type="min"/>
        <cfvo type="max"/>
        <color rgb="FFFF555A"/>
      </dataBar>
    </cfRule>
  </conditionalFormatting>
  <conditionalFormatting sqref="J734:J748">
    <cfRule type="dataBar" priority="759">
      <dataBar>
        <cfvo type="min"/>
        <cfvo type="max"/>
        <color rgb="FFFF555A"/>
      </dataBar>
    </cfRule>
  </conditionalFormatting>
  <conditionalFormatting sqref="L733:L748">
    <cfRule type="dataBar" priority="758">
      <dataBar>
        <cfvo type="min"/>
        <cfvo type="max"/>
        <color rgb="FFFF555A"/>
      </dataBar>
    </cfRule>
  </conditionalFormatting>
  <conditionalFormatting sqref="M733:M748">
    <cfRule type="dataBar" priority="757">
      <dataBar>
        <cfvo type="min"/>
        <cfvo type="max"/>
        <color rgb="FFFF555A"/>
      </dataBar>
    </cfRule>
  </conditionalFormatting>
  <conditionalFormatting sqref="N733:N748">
    <cfRule type="dataBar" priority="756">
      <dataBar>
        <cfvo type="min"/>
        <cfvo type="max"/>
        <color rgb="FFFF555A"/>
      </dataBar>
    </cfRule>
  </conditionalFormatting>
  <conditionalFormatting sqref="Q733:Q748">
    <cfRule type="dataBar" priority="755">
      <dataBar>
        <cfvo type="min"/>
        <cfvo type="max"/>
        <color rgb="FFFF555A"/>
      </dataBar>
    </cfRule>
  </conditionalFormatting>
  <conditionalFormatting sqref="O733:O748">
    <cfRule type="dataBar" priority="754">
      <dataBar>
        <cfvo type="min"/>
        <cfvo type="max"/>
        <color rgb="FFFF555A"/>
      </dataBar>
    </cfRule>
  </conditionalFormatting>
  <conditionalFormatting sqref="P733:P748">
    <cfRule type="dataBar" priority="753">
      <dataBar>
        <cfvo type="min"/>
        <cfvo type="max"/>
        <color rgb="FFFF555A"/>
      </dataBar>
    </cfRule>
  </conditionalFormatting>
  <conditionalFormatting sqref="R750:R766 D750:D765 C766">
    <cfRule type="containsText" dxfId="287" priority="752" operator="containsText" text="DOWN">
      <formula>NOT(ISERROR(SEARCH("DOWN",C750)))</formula>
    </cfRule>
  </conditionalFormatting>
  <conditionalFormatting sqref="R750:R766 D750:D765 C766">
    <cfRule type="containsText" dxfId="286" priority="751" operator="containsText" text="UP">
      <formula>NOT(ISERROR(SEARCH("UP",C750)))</formula>
    </cfRule>
  </conditionalFormatting>
  <conditionalFormatting sqref="I766">
    <cfRule type="colorScale" priority="750">
      <colorScale>
        <cfvo type="min"/>
        <cfvo type="max"/>
        <color rgb="FFFFEF9C"/>
        <color rgb="FF63BE7B"/>
      </colorScale>
    </cfRule>
  </conditionalFormatting>
  <conditionalFormatting sqref="M766">
    <cfRule type="colorScale" priority="749">
      <colorScale>
        <cfvo type="min"/>
        <cfvo type="max"/>
        <color rgb="FFFF7128"/>
        <color rgb="FFFFEF9C"/>
      </colorScale>
    </cfRule>
  </conditionalFormatting>
  <conditionalFormatting sqref="Q766">
    <cfRule type="dataBar" priority="748">
      <dataBar>
        <cfvo type="min"/>
        <cfvo type="max"/>
        <color rgb="FFFF555A"/>
      </dataBar>
    </cfRule>
  </conditionalFormatting>
  <conditionalFormatting sqref="E750:E766">
    <cfRule type="dataBar" priority="747">
      <dataBar>
        <cfvo type="min"/>
        <cfvo type="max"/>
        <color rgb="FFFF555A"/>
      </dataBar>
    </cfRule>
  </conditionalFormatting>
  <conditionalFormatting sqref="F766">
    <cfRule type="top10" dxfId="285" priority="746" rank="1"/>
  </conditionalFormatting>
  <conditionalFormatting sqref="G766 P766">
    <cfRule type="cellIs" dxfId="284" priority="745" operator="equal">
      <formula>$G$135</formula>
    </cfRule>
  </conditionalFormatting>
  <conditionalFormatting sqref="P766">
    <cfRule type="cellIs" dxfId="283" priority="744" operator="equal">
      <formula>$J$135</formula>
    </cfRule>
  </conditionalFormatting>
  <conditionalFormatting sqref="G766 P766">
    <cfRule type="cellIs" dxfId="282" priority="743" operator="equal">
      <formula>#REF!</formula>
    </cfRule>
  </conditionalFormatting>
  <conditionalFormatting sqref="G766">
    <cfRule type="top10" dxfId="281" priority="741" rank="1"/>
    <cfRule type="cellIs" dxfId="280" priority="742" operator="equal">
      <formula>$G$133</formula>
    </cfRule>
  </conditionalFormatting>
  <conditionalFormatting sqref="P766">
    <cfRule type="top10" dxfId="279" priority="739" rank="1"/>
    <cfRule type="cellIs" dxfId="278" priority="740" operator="equal">
      <formula>$G$133</formula>
    </cfRule>
  </conditionalFormatting>
  <conditionalFormatting sqref="C750:C765">
    <cfRule type="containsText" dxfId="277" priority="735" operator="containsText" text="Short Buildup">
      <formula>NOT(ISERROR(SEARCH("Short Buildup",C750)))</formula>
    </cfRule>
    <cfRule type="containsText" dxfId="276" priority="736" operator="containsText" text="Long Liquidation">
      <formula>NOT(ISERROR(SEARCH("Long Liquidation",C750)))</formula>
    </cfRule>
    <cfRule type="containsText" dxfId="275" priority="737" operator="containsText" text="Short covering">
      <formula>NOT(ISERROR(SEARCH("Short covering",C750)))</formula>
    </cfRule>
    <cfRule type="containsText" dxfId="274" priority="738" operator="containsText" text="Long Buildup">
      <formula>NOT(ISERROR(SEARCH("Long Buildup",C750)))</formula>
    </cfRule>
  </conditionalFormatting>
  <conditionalFormatting sqref="H766">
    <cfRule type="colorScale" priority="730">
      <colorScale>
        <cfvo type="min"/>
        <cfvo type="percentile" val="20"/>
        <cfvo type="max"/>
        <color rgb="FF92D050"/>
        <color theme="5" tint="0.79998168889431442"/>
        <color rgb="FFFF0000"/>
      </colorScale>
    </cfRule>
    <cfRule type="colorScale" priority="731">
      <colorScale>
        <cfvo type="min"/>
        <cfvo type="max"/>
        <color rgb="FFFF0000"/>
        <color rgb="FF92D050"/>
      </colorScale>
    </cfRule>
    <cfRule type="colorScale" priority="732">
      <colorScale>
        <cfvo type="min"/>
        <cfvo type="percentile" val="50"/>
        <cfvo type="max"/>
        <color rgb="FF5A8AC6"/>
        <color rgb="FFFCFCFF"/>
        <color rgb="FFF8696B"/>
      </colorScale>
    </cfRule>
    <cfRule type="colorScale" priority="733">
      <colorScale>
        <cfvo type="formula" val="&quot;&gt;20&quot;"/>
        <cfvo type="formula" val="35"/>
        <color rgb="FFF8696B"/>
        <color rgb="FFFCFCFF"/>
      </colorScale>
    </cfRule>
    <cfRule type="colorScale" priority="734">
      <colorScale>
        <cfvo type="min"/>
        <cfvo type="max"/>
        <color rgb="FFFFEF9C"/>
        <color rgb="FF63BE7B"/>
      </colorScale>
    </cfRule>
  </conditionalFormatting>
  <conditionalFormatting sqref="N766">
    <cfRule type="colorScale" priority="725">
      <colorScale>
        <cfvo type="min"/>
        <cfvo type="percentile" val="20"/>
        <cfvo type="max"/>
        <color rgb="FF92D050"/>
        <color theme="5" tint="0.79998168889431442"/>
        <color rgb="FFFF0000"/>
      </colorScale>
    </cfRule>
    <cfRule type="colorScale" priority="726">
      <colorScale>
        <cfvo type="min"/>
        <cfvo type="max"/>
        <color rgb="FFFF0000"/>
        <color rgb="FF92D050"/>
      </colorScale>
    </cfRule>
    <cfRule type="colorScale" priority="727">
      <colorScale>
        <cfvo type="min"/>
        <cfvo type="percentile" val="50"/>
        <cfvo type="max"/>
        <color rgb="FF5A8AC6"/>
        <color rgb="FFFCFCFF"/>
        <color rgb="FFF8696B"/>
      </colorScale>
    </cfRule>
    <cfRule type="colorScale" priority="728">
      <colorScale>
        <cfvo type="formula" val="&quot;&gt;20&quot;"/>
        <cfvo type="formula" val="35"/>
        <color rgb="FFF8696B"/>
        <color rgb="FFFCFCFF"/>
      </colorScale>
    </cfRule>
    <cfRule type="colorScale" priority="729">
      <colorScale>
        <cfvo type="min"/>
        <cfvo type="max"/>
        <color rgb="FFFFEF9C"/>
        <color rgb="FF63BE7B"/>
      </colorScale>
    </cfRule>
  </conditionalFormatting>
  <conditionalFormatting sqref="S750:S766">
    <cfRule type="containsText" dxfId="273" priority="721" operator="containsText" text="Short Buildup">
      <formula>NOT(ISERROR(SEARCH("Short Buildup",S750)))</formula>
    </cfRule>
    <cfRule type="containsText" dxfId="272" priority="722" operator="containsText" text="Long Liquidation">
      <formula>NOT(ISERROR(SEARCH("Long Liquidation",S750)))</formula>
    </cfRule>
    <cfRule type="containsText" dxfId="271" priority="723" operator="containsText" text="Short covering">
      <formula>NOT(ISERROR(SEARCH("Short covering",S750)))</formula>
    </cfRule>
    <cfRule type="containsText" dxfId="270" priority="724" operator="containsText" text="Long Buildup">
      <formula>NOT(ISERROR(SEARCH("Long Buildup",S750)))</formula>
    </cfRule>
  </conditionalFormatting>
  <conditionalFormatting sqref="F750:F765">
    <cfRule type="dataBar" priority="720">
      <dataBar>
        <cfvo type="min"/>
        <cfvo type="max"/>
        <color rgb="FFFF555A"/>
      </dataBar>
    </cfRule>
  </conditionalFormatting>
  <conditionalFormatting sqref="G750:G765">
    <cfRule type="dataBar" priority="719">
      <dataBar>
        <cfvo type="min"/>
        <cfvo type="max"/>
        <color rgb="FFFF555A"/>
      </dataBar>
    </cfRule>
  </conditionalFormatting>
  <conditionalFormatting sqref="H750">
    <cfRule type="dataBar" priority="718">
      <dataBar>
        <cfvo type="min"/>
        <cfvo type="max"/>
        <color rgb="FFFF555A"/>
      </dataBar>
    </cfRule>
  </conditionalFormatting>
  <conditionalFormatting sqref="I750">
    <cfRule type="dataBar" priority="717">
      <dataBar>
        <cfvo type="min"/>
        <cfvo type="max"/>
        <color rgb="FFFF555A"/>
      </dataBar>
    </cfRule>
  </conditionalFormatting>
  <conditionalFormatting sqref="J750">
    <cfRule type="dataBar" priority="716">
      <dataBar>
        <cfvo type="min"/>
        <cfvo type="max"/>
        <color rgb="FFFF555A"/>
      </dataBar>
    </cfRule>
  </conditionalFormatting>
  <conditionalFormatting sqref="E751:E765">
    <cfRule type="dataBar" priority="715">
      <dataBar>
        <cfvo type="min"/>
        <cfvo type="max"/>
        <color rgb="FFFF555A"/>
      </dataBar>
    </cfRule>
  </conditionalFormatting>
  <conditionalFormatting sqref="H751:H765">
    <cfRule type="dataBar" priority="714">
      <dataBar>
        <cfvo type="min"/>
        <cfvo type="max"/>
        <color rgb="FFFF555A"/>
      </dataBar>
    </cfRule>
  </conditionalFormatting>
  <conditionalFormatting sqref="I751:I765">
    <cfRule type="dataBar" priority="713">
      <dataBar>
        <cfvo type="min"/>
        <cfvo type="max"/>
        <color rgb="FFFF555A"/>
      </dataBar>
    </cfRule>
  </conditionalFormatting>
  <conditionalFormatting sqref="J751:J765">
    <cfRule type="dataBar" priority="712">
      <dataBar>
        <cfvo type="min"/>
        <cfvo type="max"/>
        <color rgb="FFFF555A"/>
      </dataBar>
    </cfRule>
  </conditionalFormatting>
  <conditionalFormatting sqref="L750:L765">
    <cfRule type="dataBar" priority="711">
      <dataBar>
        <cfvo type="min"/>
        <cfvo type="max"/>
        <color rgb="FFFF555A"/>
      </dataBar>
    </cfRule>
  </conditionalFormatting>
  <conditionalFormatting sqref="M750:M765">
    <cfRule type="dataBar" priority="710">
      <dataBar>
        <cfvo type="min"/>
        <cfvo type="max"/>
        <color rgb="FFFF555A"/>
      </dataBar>
    </cfRule>
  </conditionalFormatting>
  <conditionalFormatting sqref="N750:N765">
    <cfRule type="dataBar" priority="709">
      <dataBar>
        <cfvo type="min"/>
        <cfvo type="max"/>
        <color rgb="FFFF555A"/>
      </dataBar>
    </cfRule>
  </conditionalFormatting>
  <conditionalFormatting sqref="Q750:Q765">
    <cfRule type="dataBar" priority="708">
      <dataBar>
        <cfvo type="min"/>
        <cfvo type="max"/>
        <color rgb="FFFF555A"/>
      </dataBar>
    </cfRule>
  </conditionalFormatting>
  <conditionalFormatting sqref="O750:O765">
    <cfRule type="dataBar" priority="707">
      <dataBar>
        <cfvo type="min"/>
        <cfvo type="max"/>
        <color rgb="FFFF555A"/>
      </dataBar>
    </cfRule>
  </conditionalFormatting>
  <conditionalFormatting sqref="P750:P765">
    <cfRule type="dataBar" priority="706">
      <dataBar>
        <cfvo type="min"/>
        <cfvo type="max"/>
        <color rgb="FFFF555A"/>
      </dataBar>
    </cfRule>
  </conditionalFormatting>
  <conditionalFormatting sqref="R767:R783 D767:D782 C783">
    <cfRule type="containsText" dxfId="269" priority="705" operator="containsText" text="DOWN">
      <formula>NOT(ISERROR(SEARCH("DOWN",C767)))</formula>
    </cfRule>
  </conditionalFormatting>
  <conditionalFormatting sqref="R767:R783 D767:D782 C783">
    <cfRule type="containsText" dxfId="268" priority="704" operator="containsText" text="UP">
      <formula>NOT(ISERROR(SEARCH("UP",C767)))</formula>
    </cfRule>
  </conditionalFormatting>
  <conditionalFormatting sqref="I783">
    <cfRule type="colorScale" priority="703">
      <colorScale>
        <cfvo type="min"/>
        <cfvo type="max"/>
        <color rgb="FFFFEF9C"/>
        <color rgb="FF63BE7B"/>
      </colorScale>
    </cfRule>
  </conditionalFormatting>
  <conditionalFormatting sqref="M783">
    <cfRule type="colorScale" priority="702">
      <colorScale>
        <cfvo type="min"/>
        <cfvo type="max"/>
        <color rgb="FFFF7128"/>
        <color rgb="FFFFEF9C"/>
      </colorScale>
    </cfRule>
  </conditionalFormatting>
  <conditionalFormatting sqref="Q783">
    <cfRule type="dataBar" priority="701">
      <dataBar>
        <cfvo type="min"/>
        <cfvo type="max"/>
        <color rgb="FFFF555A"/>
      </dataBar>
    </cfRule>
  </conditionalFormatting>
  <conditionalFormatting sqref="E767:E783">
    <cfRule type="dataBar" priority="700">
      <dataBar>
        <cfvo type="min"/>
        <cfvo type="max"/>
        <color rgb="FFFF555A"/>
      </dataBar>
    </cfRule>
  </conditionalFormatting>
  <conditionalFormatting sqref="F783">
    <cfRule type="top10" dxfId="267" priority="699" rank="1"/>
  </conditionalFormatting>
  <conditionalFormatting sqref="G783 P783">
    <cfRule type="cellIs" dxfId="266" priority="698" operator="equal">
      <formula>$G$135</formula>
    </cfRule>
  </conditionalFormatting>
  <conditionalFormatting sqref="P783">
    <cfRule type="cellIs" dxfId="265" priority="697" operator="equal">
      <formula>$J$135</formula>
    </cfRule>
  </conditionalFormatting>
  <conditionalFormatting sqref="G783 P783">
    <cfRule type="cellIs" dxfId="264" priority="696" operator="equal">
      <formula>#REF!</formula>
    </cfRule>
  </conditionalFormatting>
  <conditionalFormatting sqref="G783">
    <cfRule type="top10" dxfId="263" priority="694" rank="1"/>
    <cfRule type="cellIs" dxfId="262" priority="695" operator="equal">
      <formula>$G$133</formula>
    </cfRule>
  </conditionalFormatting>
  <conditionalFormatting sqref="P783">
    <cfRule type="top10" dxfId="261" priority="692" rank="1"/>
    <cfRule type="cellIs" dxfId="260" priority="693" operator="equal">
      <formula>$G$133</formula>
    </cfRule>
  </conditionalFormatting>
  <conditionalFormatting sqref="C767:C782">
    <cfRule type="containsText" dxfId="259" priority="688" operator="containsText" text="Short Buildup">
      <formula>NOT(ISERROR(SEARCH("Short Buildup",C767)))</formula>
    </cfRule>
    <cfRule type="containsText" dxfId="258" priority="689" operator="containsText" text="Long Liquidation">
      <formula>NOT(ISERROR(SEARCH("Long Liquidation",C767)))</formula>
    </cfRule>
    <cfRule type="containsText" dxfId="257" priority="690" operator="containsText" text="Short covering">
      <formula>NOT(ISERROR(SEARCH("Short covering",C767)))</formula>
    </cfRule>
    <cfRule type="containsText" dxfId="256" priority="691" operator="containsText" text="Long Buildup">
      <formula>NOT(ISERROR(SEARCH("Long Buildup",C767)))</formula>
    </cfRule>
  </conditionalFormatting>
  <conditionalFormatting sqref="H783">
    <cfRule type="colorScale" priority="683">
      <colorScale>
        <cfvo type="min"/>
        <cfvo type="percentile" val="20"/>
        <cfvo type="max"/>
        <color rgb="FF92D050"/>
        <color theme="5" tint="0.79998168889431442"/>
        <color rgb="FFFF0000"/>
      </colorScale>
    </cfRule>
    <cfRule type="colorScale" priority="684">
      <colorScale>
        <cfvo type="min"/>
        <cfvo type="max"/>
        <color rgb="FFFF0000"/>
        <color rgb="FF92D050"/>
      </colorScale>
    </cfRule>
    <cfRule type="colorScale" priority="685">
      <colorScale>
        <cfvo type="min"/>
        <cfvo type="percentile" val="50"/>
        <cfvo type="max"/>
        <color rgb="FF5A8AC6"/>
        <color rgb="FFFCFCFF"/>
        <color rgb="FFF8696B"/>
      </colorScale>
    </cfRule>
    <cfRule type="colorScale" priority="686">
      <colorScale>
        <cfvo type="formula" val="&quot;&gt;20&quot;"/>
        <cfvo type="formula" val="35"/>
        <color rgb="FFF8696B"/>
        <color rgb="FFFCFCFF"/>
      </colorScale>
    </cfRule>
    <cfRule type="colorScale" priority="687">
      <colorScale>
        <cfvo type="min"/>
        <cfvo type="max"/>
        <color rgb="FFFFEF9C"/>
        <color rgb="FF63BE7B"/>
      </colorScale>
    </cfRule>
  </conditionalFormatting>
  <conditionalFormatting sqref="N783">
    <cfRule type="colorScale" priority="678">
      <colorScale>
        <cfvo type="min"/>
        <cfvo type="percentile" val="20"/>
        <cfvo type="max"/>
        <color rgb="FF92D050"/>
        <color theme="5" tint="0.79998168889431442"/>
        <color rgb="FFFF0000"/>
      </colorScale>
    </cfRule>
    <cfRule type="colorScale" priority="679">
      <colorScale>
        <cfvo type="min"/>
        <cfvo type="max"/>
        <color rgb="FFFF0000"/>
        <color rgb="FF92D050"/>
      </colorScale>
    </cfRule>
    <cfRule type="colorScale" priority="680">
      <colorScale>
        <cfvo type="min"/>
        <cfvo type="percentile" val="50"/>
        <cfvo type="max"/>
        <color rgb="FF5A8AC6"/>
        <color rgb="FFFCFCFF"/>
        <color rgb="FFF8696B"/>
      </colorScale>
    </cfRule>
    <cfRule type="colorScale" priority="681">
      <colorScale>
        <cfvo type="formula" val="&quot;&gt;20&quot;"/>
        <cfvo type="formula" val="35"/>
        <color rgb="FFF8696B"/>
        <color rgb="FFFCFCFF"/>
      </colorScale>
    </cfRule>
    <cfRule type="colorScale" priority="682">
      <colorScale>
        <cfvo type="min"/>
        <cfvo type="max"/>
        <color rgb="FFFFEF9C"/>
        <color rgb="FF63BE7B"/>
      </colorScale>
    </cfRule>
  </conditionalFormatting>
  <conditionalFormatting sqref="S767:S783">
    <cfRule type="containsText" dxfId="255" priority="674" operator="containsText" text="Short Buildup">
      <formula>NOT(ISERROR(SEARCH("Short Buildup",S767)))</formula>
    </cfRule>
    <cfRule type="containsText" dxfId="254" priority="675" operator="containsText" text="Long Liquidation">
      <formula>NOT(ISERROR(SEARCH("Long Liquidation",S767)))</formula>
    </cfRule>
    <cfRule type="containsText" dxfId="253" priority="676" operator="containsText" text="Short covering">
      <formula>NOT(ISERROR(SEARCH("Short covering",S767)))</formula>
    </cfRule>
    <cfRule type="containsText" dxfId="252" priority="677" operator="containsText" text="Long Buildup">
      <formula>NOT(ISERROR(SEARCH("Long Buildup",S767)))</formula>
    </cfRule>
  </conditionalFormatting>
  <conditionalFormatting sqref="F767:F782">
    <cfRule type="dataBar" priority="673">
      <dataBar>
        <cfvo type="min"/>
        <cfvo type="max"/>
        <color rgb="FFFF555A"/>
      </dataBar>
    </cfRule>
  </conditionalFormatting>
  <conditionalFormatting sqref="G767:G782">
    <cfRule type="dataBar" priority="672">
      <dataBar>
        <cfvo type="min"/>
        <cfvo type="max"/>
        <color rgb="FFFF555A"/>
      </dataBar>
    </cfRule>
  </conditionalFormatting>
  <conditionalFormatting sqref="H767">
    <cfRule type="dataBar" priority="671">
      <dataBar>
        <cfvo type="min"/>
        <cfvo type="max"/>
        <color rgb="FFFF555A"/>
      </dataBar>
    </cfRule>
  </conditionalFormatting>
  <conditionalFormatting sqref="I767">
    <cfRule type="dataBar" priority="670">
      <dataBar>
        <cfvo type="min"/>
        <cfvo type="max"/>
        <color rgb="FFFF555A"/>
      </dataBar>
    </cfRule>
  </conditionalFormatting>
  <conditionalFormatting sqref="J767">
    <cfRule type="dataBar" priority="669">
      <dataBar>
        <cfvo type="min"/>
        <cfvo type="max"/>
        <color rgb="FFFF555A"/>
      </dataBar>
    </cfRule>
  </conditionalFormatting>
  <conditionalFormatting sqref="E768:E782">
    <cfRule type="dataBar" priority="668">
      <dataBar>
        <cfvo type="min"/>
        <cfvo type="max"/>
        <color rgb="FFFF555A"/>
      </dataBar>
    </cfRule>
  </conditionalFormatting>
  <conditionalFormatting sqref="H768:H782">
    <cfRule type="dataBar" priority="667">
      <dataBar>
        <cfvo type="min"/>
        <cfvo type="max"/>
        <color rgb="FFFF555A"/>
      </dataBar>
    </cfRule>
  </conditionalFormatting>
  <conditionalFormatting sqref="I768:I782">
    <cfRule type="dataBar" priority="666">
      <dataBar>
        <cfvo type="min"/>
        <cfvo type="max"/>
        <color rgb="FFFF555A"/>
      </dataBar>
    </cfRule>
  </conditionalFormatting>
  <conditionalFormatting sqref="J768:J782">
    <cfRule type="dataBar" priority="665">
      <dataBar>
        <cfvo type="min"/>
        <cfvo type="max"/>
        <color rgb="FFFF555A"/>
      </dataBar>
    </cfRule>
  </conditionalFormatting>
  <conditionalFormatting sqref="L767:L782">
    <cfRule type="dataBar" priority="664">
      <dataBar>
        <cfvo type="min"/>
        <cfvo type="max"/>
        <color rgb="FFFF555A"/>
      </dataBar>
    </cfRule>
  </conditionalFormatting>
  <conditionalFormatting sqref="M767:M782">
    <cfRule type="dataBar" priority="663">
      <dataBar>
        <cfvo type="min"/>
        <cfvo type="max"/>
        <color rgb="FFFF555A"/>
      </dataBar>
    </cfRule>
  </conditionalFormatting>
  <conditionalFormatting sqref="N767:N782">
    <cfRule type="dataBar" priority="662">
      <dataBar>
        <cfvo type="min"/>
        <cfvo type="max"/>
        <color rgb="FFFF555A"/>
      </dataBar>
    </cfRule>
  </conditionalFormatting>
  <conditionalFormatting sqref="Q767:Q782">
    <cfRule type="dataBar" priority="661">
      <dataBar>
        <cfvo type="min"/>
        <cfvo type="max"/>
        <color rgb="FFFF555A"/>
      </dataBar>
    </cfRule>
  </conditionalFormatting>
  <conditionalFormatting sqref="O767:O782">
    <cfRule type="dataBar" priority="660">
      <dataBar>
        <cfvo type="min"/>
        <cfvo type="max"/>
        <color rgb="FFFF555A"/>
      </dataBar>
    </cfRule>
  </conditionalFormatting>
  <conditionalFormatting sqref="P767:P782">
    <cfRule type="dataBar" priority="659">
      <dataBar>
        <cfvo type="min"/>
        <cfvo type="max"/>
        <color rgb="FFFF555A"/>
      </dataBar>
    </cfRule>
  </conditionalFormatting>
  <conditionalFormatting sqref="R784:R800 D784:D799 C800">
    <cfRule type="containsText" dxfId="251" priority="658" operator="containsText" text="DOWN">
      <formula>NOT(ISERROR(SEARCH("DOWN",C784)))</formula>
    </cfRule>
  </conditionalFormatting>
  <conditionalFormatting sqref="R784:R800 D784:D799 C800">
    <cfRule type="containsText" dxfId="250" priority="657" operator="containsText" text="UP">
      <formula>NOT(ISERROR(SEARCH("UP",C784)))</formula>
    </cfRule>
  </conditionalFormatting>
  <conditionalFormatting sqref="I800">
    <cfRule type="colorScale" priority="656">
      <colorScale>
        <cfvo type="min"/>
        <cfvo type="max"/>
        <color rgb="FFFFEF9C"/>
        <color rgb="FF63BE7B"/>
      </colorScale>
    </cfRule>
  </conditionalFormatting>
  <conditionalFormatting sqref="M800">
    <cfRule type="colorScale" priority="655">
      <colorScale>
        <cfvo type="min"/>
        <cfvo type="max"/>
        <color rgb="FFFF7128"/>
        <color rgb="FFFFEF9C"/>
      </colorScale>
    </cfRule>
  </conditionalFormatting>
  <conditionalFormatting sqref="Q800">
    <cfRule type="dataBar" priority="654">
      <dataBar>
        <cfvo type="min"/>
        <cfvo type="max"/>
        <color rgb="FFFF555A"/>
      </dataBar>
    </cfRule>
  </conditionalFormatting>
  <conditionalFormatting sqref="E784:E800">
    <cfRule type="dataBar" priority="653">
      <dataBar>
        <cfvo type="min"/>
        <cfvo type="max"/>
        <color rgb="FFFF555A"/>
      </dataBar>
    </cfRule>
  </conditionalFormatting>
  <conditionalFormatting sqref="F800">
    <cfRule type="top10" dxfId="249" priority="652" rank="1"/>
  </conditionalFormatting>
  <conditionalFormatting sqref="G800 P800">
    <cfRule type="cellIs" dxfId="248" priority="651" operator="equal">
      <formula>$G$135</formula>
    </cfRule>
  </conditionalFormatting>
  <conditionalFormatting sqref="P800">
    <cfRule type="cellIs" dxfId="247" priority="650" operator="equal">
      <formula>$J$135</formula>
    </cfRule>
  </conditionalFormatting>
  <conditionalFormatting sqref="G800 P800">
    <cfRule type="cellIs" dxfId="246" priority="649" operator="equal">
      <formula>#REF!</formula>
    </cfRule>
  </conditionalFormatting>
  <conditionalFormatting sqref="G800">
    <cfRule type="top10" dxfId="245" priority="647" rank="1"/>
    <cfRule type="cellIs" dxfId="244" priority="648" operator="equal">
      <formula>$G$133</formula>
    </cfRule>
  </conditionalFormatting>
  <conditionalFormatting sqref="P800">
    <cfRule type="top10" dxfId="243" priority="645" rank="1"/>
    <cfRule type="cellIs" dxfId="242" priority="646" operator="equal">
      <formula>$G$133</formula>
    </cfRule>
  </conditionalFormatting>
  <conditionalFormatting sqref="C784:C799">
    <cfRule type="containsText" dxfId="241" priority="641" operator="containsText" text="Short Buildup">
      <formula>NOT(ISERROR(SEARCH("Short Buildup",C784)))</formula>
    </cfRule>
    <cfRule type="containsText" dxfId="240" priority="642" operator="containsText" text="Long Liquidation">
      <formula>NOT(ISERROR(SEARCH("Long Liquidation",C784)))</formula>
    </cfRule>
    <cfRule type="containsText" dxfId="239" priority="643" operator="containsText" text="Short covering">
      <formula>NOT(ISERROR(SEARCH("Short covering",C784)))</formula>
    </cfRule>
    <cfRule type="containsText" dxfId="238" priority="644" operator="containsText" text="Long Buildup">
      <formula>NOT(ISERROR(SEARCH("Long Buildup",C784)))</formula>
    </cfRule>
  </conditionalFormatting>
  <conditionalFormatting sqref="H800">
    <cfRule type="colorScale" priority="636">
      <colorScale>
        <cfvo type="min"/>
        <cfvo type="percentile" val="20"/>
        <cfvo type="max"/>
        <color rgb="FF92D050"/>
        <color theme="5" tint="0.79998168889431442"/>
        <color rgb="FFFF0000"/>
      </colorScale>
    </cfRule>
    <cfRule type="colorScale" priority="637">
      <colorScale>
        <cfvo type="min"/>
        <cfvo type="max"/>
        <color rgb="FFFF0000"/>
        <color rgb="FF92D050"/>
      </colorScale>
    </cfRule>
    <cfRule type="colorScale" priority="638">
      <colorScale>
        <cfvo type="min"/>
        <cfvo type="percentile" val="50"/>
        <cfvo type="max"/>
        <color rgb="FF5A8AC6"/>
        <color rgb="FFFCFCFF"/>
        <color rgb="FFF8696B"/>
      </colorScale>
    </cfRule>
    <cfRule type="colorScale" priority="639">
      <colorScale>
        <cfvo type="formula" val="&quot;&gt;20&quot;"/>
        <cfvo type="formula" val="35"/>
        <color rgb="FFF8696B"/>
        <color rgb="FFFCFCFF"/>
      </colorScale>
    </cfRule>
    <cfRule type="colorScale" priority="640">
      <colorScale>
        <cfvo type="min"/>
        <cfvo type="max"/>
        <color rgb="FFFFEF9C"/>
        <color rgb="FF63BE7B"/>
      </colorScale>
    </cfRule>
  </conditionalFormatting>
  <conditionalFormatting sqref="N800">
    <cfRule type="colorScale" priority="631">
      <colorScale>
        <cfvo type="min"/>
        <cfvo type="percentile" val="20"/>
        <cfvo type="max"/>
        <color rgb="FF92D050"/>
        <color theme="5" tint="0.79998168889431442"/>
        <color rgb="FFFF0000"/>
      </colorScale>
    </cfRule>
    <cfRule type="colorScale" priority="632">
      <colorScale>
        <cfvo type="min"/>
        <cfvo type="max"/>
        <color rgb="FFFF0000"/>
        <color rgb="FF92D050"/>
      </colorScale>
    </cfRule>
    <cfRule type="colorScale" priority="633">
      <colorScale>
        <cfvo type="min"/>
        <cfvo type="percentile" val="50"/>
        <cfvo type="max"/>
        <color rgb="FF5A8AC6"/>
        <color rgb="FFFCFCFF"/>
        <color rgb="FFF8696B"/>
      </colorScale>
    </cfRule>
    <cfRule type="colorScale" priority="634">
      <colorScale>
        <cfvo type="formula" val="&quot;&gt;20&quot;"/>
        <cfvo type="formula" val="35"/>
        <color rgb="FFF8696B"/>
        <color rgb="FFFCFCFF"/>
      </colorScale>
    </cfRule>
    <cfRule type="colorScale" priority="635">
      <colorScale>
        <cfvo type="min"/>
        <cfvo type="max"/>
        <color rgb="FFFFEF9C"/>
        <color rgb="FF63BE7B"/>
      </colorScale>
    </cfRule>
  </conditionalFormatting>
  <conditionalFormatting sqref="S784:S800">
    <cfRule type="containsText" dxfId="237" priority="627" operator="containsText" text="Short Buildup">
      <formula>NOT(ISERROR(SEARCH("Short Buildup",S784)))</formula>
    </cfRule>
    <cfRule type="containsText" dxfId="236" priority="628" operator="containsText" text="Long Liquidation">
      <formula>NOT(ISERROR(SEARCH("Long Liquidation",S784)))</formula>
    </cfRule>
    <cfRule type="containsText" dxfId="235" priority="629" operator="containsText" text="Short covering">
      <formula>NOT(ISERROR(SEARCH("Short covering",S784)))</formula>
    </cfRule>
    <cfRule type="containsText" dxfId="234" priority="630" operator="containsText" text="Long Buildup">
      <formula>NOT(ISERROR(SEARCH("Long Buildup",S784)))</formula>
    </cfRule>
  </conditionalFormatting>
  <conditionalFormatting sqref="F784:F799">
    <cfRule type="dataBar" priority="626">
      <dataBar>
        <cfvo type="min"/>
        <cfvo type="max"/>
        <color rgb="FFFF555A"/>
      </dataBar>
    </cfRule>
  </conditionalFormatting>
  <conditionalFormatting sqref="G784:G799">
    <cfRule type="dataBar" priority="625">
      <dataBar>
        <cfvo type="min"/>
        <cfvo type="max"/>
        <color rgb="FFFF555A"/>
      </dataBar>
    </cfRule>
  </conditionalFormatting>
  <conditionalFormatting sqref="H784">
    <cfRule type="dataBar" priority="624">
      <dataBar>
        <cfvo type="min"/>
        <cfvo type="max"/>
        <color rgb="FFFF555A"/>
      </dataBar>
    </cfRule>
  </conditionalFormatting>
  <conditionalFormatting sqref="I784">
    <cfRule type="dataBar" priority="623">
      <dataBar>
        <cfvo type="min"/>
        <cfvo type="max"/>
        <color rgb="FFFF555A"/>
      </dataBar>
    </cfRule>
  </conditionalFormatting>
  <conditionalFormatting sqref="J784">
    <cfRule type="dataBar" priority="622">
      <dataBar>
        <cfvo type="min"/>
        <cfvo type="max"/>
        <color rgb="FFFF555A"/>
      </dataBar>
    </cfRule>
  </conditionalFormatting>
  <conditionalFormatting sqref="E785:E799">
    <cfRule type="dataBar" priority="621">
      <dataBar>
        <cfvo type="min"/>
        <cfvo type="max"/>
        <color rgb="FFFF555A"/>
      </dataBar>
    </cfRule>
  </conditionalFormatting>
  <conditionalFormatting sqref="H785:H799">
    <cfRule type="dataBar" priority="620">
      <dataBar>
        <cfvo type="min"/>
        <cfvo type="max"/>
        <color rgb="FFFF555A"/>
      </dataBar>
    </cfRule>
  </conditionalFormatting>
  <conditionalFormatting sqref="I785:I799">
    <cfRule type="dataBar" priority="619">
      <dataBar>
        <cfvo type="min"/>
        <cfvo type="max"/>
        <color rgb="FFFF555A"/>
      </dataBar>
    </cfRule>
  </conditionalFormatting>
  <conditionalFormatting sqref="J785:J799">
    <cfRule type="dataBar" priority="618">
      <dataBar>
        <cfvo type="min"/>
        <cfvo type="max"/>
        <color rgb="FFFF555A"/>
      </dataBar>
    </cfRule>
  </conditionalFormatting>
  <conditionalFormatting sqref="L784:L799">
    <cfRule type="dataBar" priority="617">
      <dataBar>
        <cfvo type="min"/>
        <cfvo type="max"/>
        <color rgb="FFFF555A"/>
      </dataBar>
    </cfRule>
  </conditionalFormatting>
  <conditionalFormatting sqref="M784:M799">
    <cfRule type="dataBar" priority="616">
      <dataBar>
        <cfvo type="min"/>
        <cfvo type="max"/>
        <color rgb="FFFF555A"/>
      </dataBar>
    </cfRule>
  </conditionalFormatting>
  <conditionalFormatting sqref="N784:N799">
    <cfRule type="dataBar" priority="615">
      <dataBar>
        <cfvo type="min"/>
        <cfvo type="max"/>
        <color rgb="FFFF555A"/>
      </dataBar>
    </cfRule>
  </conditionalFormatting>
  <conditionalFormatting sqref="Q784:Q799">
    <cfRule type="dataBar" priority="614">
      <dataBar>
        <cfvo type="min"/>
        <cfvo type="max"/>
        <color rgb="FFFF555A"/>
      </dataBar>
    </cfRule>
  </conditionalFormatting>
  <conditionalFormatting sqref="O784:O799">
    <cfRule type="dataBar" priority="613">
      <dataBar>
        <cfvo type="min"/>
        <cfvo type="max"/>
        <color rgb="FFFF555A"/>
      </dataBar>
    </cfRule>
  </conditionalFormatting>
  <conditionalFormatting sqref="P784:P799">
    <cfRule type="dataBar" priority="612">
      <dataBar>
        <cfvo type="min"/>
        <cfvo type="max"/>
        <color rgb="FFFF555A"/>
      </dataBar>
    </cfRule>
  </conditionalFormatting>
  <conditionalFormatting sqref="R801:R817 D801:D816 C817">
    <cfRule type="containsText" dxfId="233" priority="611" operator="containsText" text="DOWN">
      <formula>NOT(ISERROR(SEARCH("DOWN",C801)))</formula>
    </cfRule>
  </conditionalFormatting>
  <conditionalFormatting sqref="R801:R817 D801:D816 C817">
    <cfRule type="containsText" dxfId="232" priority="610" operator="containsText" text="UP">
      <formula>NOT(ISERROR(SEARCH("UP",C801)))</formula>
    </cfRule>
  </conditionalFormatting>
  <conditionalFormatting sqref="I817">
    <cfRule type="colorScale" priority="609">
      <colorScale>
        <cfvo type="min"/>
        <cfvo type="max"/>
        <color rgb="FFFFEF9C"/>
        <color rgb="FF63BE7B"/>
      </colorScale>
    </cfRule>
  </conditionalFormatting>
  <conditionalFormatting sqref="M817">
    <cfRule type="colorScale" priority="608">
      <colorScale>
        <cfvo type="min"/>
        <cfvo type="max"/>
        <color rgb="FFFF7128"/>
        <color rgb="FFFFEF9C"/>
      </colorScale>
    </cfRule>
  </conditionalFormatting>
  <conditionalFormatting sqref="Q817">
    <cfRule type="dataBar" priority="607">
      <dataBar>
        <cfvo type="min"/>
        <cfvo type="max"/>
        <color rgb="FFFF555A"/>
      </dataBar>
    </cfRule>
  </conditionalFormatting>
  <conditionalFormatting sqref="E801:E817">
    <cfRule type="dataBar" priority="606">
      <dataBar>
        <cfvo type="min"/>
        <cfvo type="max"/>
        <color rgb="FFFF555A"/>
      </dataBar>
    </cfRule>
  </conditionalFormatting>
  <conditionalFormatting sqref="F817">
    <cfRule type="top10" dxfId="231" priority="605" rank="1"/>
  </conditionalFormatting>
  <conditionalFormatting sqref="G817 P817">
    <cfRule type="cellIs" dxfId="230" priority="604" operator="equal">
      <formula>$G$135</formula>
    </cfRule>
  </conditionalFormatting>
  <conditionalFormatting sqref="P817">
    <cfRule type="cellIs" dxfId="229" priority="603" operator="equal">
      <formula>$J$135</formula>
    </cfRule>
  </conditionalFormatting>
  <conditionalFormatting sqref="G817 P817">
    <cfRule type="cellIs" dxfId="228" priority="602" operator="equal">
      <formula>#REF!</formula>
    </cfRule>
  </conditionalFormatting>
  <conditionalFormatting sqref="G817">
    <cfRule type="top10" dxfId="227" priority="600" rank="1"/>
    <cfRule type="cellIs" dxfId="226" priority="601" operator="equal">
      <formula>$G$133</formula>
    </cfRule>
  </conditionalFormatting>
  <conditionalFormatting sqref="P817">
    <cfRule type="top10" dxfId="225" priority="598" rank="1"/>
    <cfRule type="cellIs" dxfId="224" priority="599" operator="equal">
      <formula>$G$133</formula>
    </cfRule>
  </conditionalFormatting>
  <conditionalFormatting sqref="C801:C816">
    <cfRule type="containsText" dxfId="223" priority="594" operator="containsText" text="Short Buildup">
      <formula>NOT(ISERROR(SEARCH("Short Buildup",C801)))</formula>
    </cfRule>
    <cfRule type="containsText" dxfId="222" priority="595" operator="containsText" text="Long Liquidation">
      <formula>NOT(ISERROR(SEARCH("Long Liquidation",C801)))</formula>
    </cfRule>
    <cfRule type="containsText" dxfId="221" priority="596" operator="containsText" text="Short covering">
      <formula>NOT(ISERROR(SEARCH("Short covering",C801)))</formula>
    </cfRule>
    <cfRule type="containsText" dxfId="220" priority="597" operator="containsText" text="Long Buildup">
      <formula>NOT(ISERROR(SEARCH("Long Buildup",C801)))</formula>
    </cfRule>
  </conditionalFormatting>
  <conditionalFormatting sqref="H817">
    <cfRule type="colorScale" priority="589">
      <colorScale>
        <cfvo type="min"/>
        <cfvo type="percentile" val="20"/>
        <cfvo type="max"/>
        <color rgb="FF92D050"/>
        <color theme="5" tint="0.79998168889431442"/>
        <color rgb="FFFF0000"/>
      </colorScale>
    </cfRule>
    <cfRule type="colorScale" priority="590">
      <colorScale>
        <cfvo type="min"/>
        <cfvo type="max"/>
        <color rgb="FFFF0000"/>
        <color rgb="FF92D050"/>
      </colorScale>
    </cfRule>
    <cfRule type="colorScale" priority="591">
      <colorScale>
        <cfvo type="min"/>
        <cfvo type="percentile" val="50"/>
        <cfvo type="max"/>
        <color rgb="FF5A8AC6"/>
        <color rgb="FFFCFCFF"/>
        <color rgb="FFF8696B"/>
      </colorScale>
    </cfRule>
    <cfRule type="colorScale" priority="592">
      <colorScale>
        <cfvo type="formula" val="&quot;&gt;20&quot;"/>
        <cfvo type="formula" val="35"/>
        <color rgb="FFF8696B"/>
        <color rgb="FFFCFCFF"/>
      </colorScale>
    </cfRule>
    <cfRule type="colorScale" priority="593">
      <colorScale>
        <cfvo type="min"/>
        <cfvo type="max"/>
        <color rgb="FFFFEF9C"/>
        <color rgb="FF63BE7B"/>
      </colorScale>
    </cfRule>
  </conditionalFormatting>
  <conditionalFormatting sqref="N817">
    <cfRule type="colorScale" priority="584">
      <colorScale>
        <cfvo type="min"/>
        <cfvo type="percentile" val="20"/>
        <cfvo type="max"/>
        <color rgb="FF92D050"/>
        <color theme="5" tint="0.79998168889431442"/>
        <color rgb="FFFF0000"/>
      </colorScale>
    </cfRule>
    <cfRule type="colorScale" priority="585">
      <colorScale>
        <cfvo type="min"/>
        <cfvo type="max"/>
        <color rgb="FFFF0000"/>
        <color rgb="FF92D050"/>
      </colorScale>
    </cfRule>
    <cfRule type="colorScale" priority="586">
      <colorScale>
        <cfvo type="min"/>
        <cfvo type="percentile" val="50"/>
        <cfvo type="max"/>
        <color rgb="FF5A8AC6"/>
        <color rgb="FFFCFCFF"/>
        <color rgb="FFF8696B"/>
      </colorScale>
    </cfRule>
    <cfRule type="colorScale" priority="587">
      <colorScale>
        <cfvo type="formula" val="&quot;&gt;20&quot;"/>
        <cfvo type="formula" val="35"/>
        <color rgb="FFF8696B"/>
        <color rgb="FFFCFCFF"/>
      </colorScale>
    </cfRule>
    <cfRule type="colorScale" priority="588">
      <colorScale>
        <cfvo type="min"/>
        <cfvo type="max"/>
        <color rgb="FFFFEF9C"/>
        <color rgb="FF63BE7B"/>
      </colorScale>
    </cfRule>
  </conditionalFormatting>
  <conditionalFormatting sqref="S801:S817">
    <cfRule type="containsText" dxfId="219" priority="580" operator="containsText" text="Short Buildup">
      <formula>NOT(ISERROR(SEARCH("Short Buildup",S801)))</formula>
    </cfRule>
    <cfRule type="containsText" dxfId="218" priority="581" operator="containsText" text="Long Liquidation">
      <formula>NOT(ISERROR(SEARCH("Long Liquidation",S801)))</formula>
    </cfRule>
    <cfRule type="containsText" dxfId="217" priority="582" operator="containsText" text="Short covering">
      <formula>NOT(ISERROR(SEARCH("Short covering",S801)))</formula>
    </cfRule>
    <cfRule type="containsText" dxfId="216" priority="583" operator="containsText" text="Long Buildup">
      <formula>NOT(ISERROR(SEARCH("Long Buildup",S801)))</formula>
    </cfRule>
  </conditionalFormatting>
  <conditionalFormatting sqref="F801:F816">
    <cfRule type="dataBar" priority="579">
      <dataBar>
        <cfvo type="min"/>
        <cfvo type="max"/>
        <color rgb="FFFF555A"/>
      </dataBar>
    </cfRule>
  </conditionalFormatting>
  <conditionalFormatting sqref="G801:G816">
    <cfRule type="dataBar" priority="578">
      <dataBar>
        <cfvo type="min"/>
        <cfvo type="max"/>
        <color rgb="FFFF555A"/>
      </dataBar>
    </cfRule>
  </conditionalFormatting>
  <conditionalFormatting sqref="H801">
    <cfRule type="dataBar" priority="577">
      <dataBar>
        <cfvo type="min"/>
        <cfvo type="max"/>
        <color rgb="FFFF555A"/>
      </dataBar>
    </cfRule>
  </conditionalFormatting>
  <conditionalFormatting sqref="I801">
    <cfRule type="dataBar" priority="576">
      <dataBar>
        <cfvo type="min"/>
        <cfvo type="max"/>
        <color rgb="FFFF555A"/>
      </dataBar>
    </cfRule>
  </conditionalFormatting>
  <conditionalFormatting sqref="J801">
    <cfRule type="dataBar" priority="575">
      <dataBar>
        <cfvo type="min"/>
        <cfvo type="max"/>
        <color rgb="FFFF555A"/>
      </dataBar>
    </cfRule>
  </conditionalFormatting>
  <conditionalFormatting sqref="E802:E816">
    <cfRule type="dataBar" priority="574">
      <dataBar>
        <cfvo type="min"/>
        <cfvo type="max"/>
        <color rgb="FFFF555A"/>
      </dataBar>
    </cfRule>
  </conditionalFormatting>
  <conditionalFormatting sqref="H802:H816">
    <cfRule type="dataBar" priority="573">
      <dataBar>
        <cfvo type="min"/>
        <cfvo type="max"/>
        <color rgb="FFFF555A"/>
      </dataBar>
    </cfRule>
  </conditionalFormatting>
  <conditionalFormatting sqref="I802:I816">
    <cfRule type="dataBar" priority="572">
      <dataBar>
        <cfvo type="min"/>
        <cfvo type="max"/>
        <color rgb="FFFF555A"/>
      </dataBar>
    </cfRule>
  </conditionalFormatting>
  <conditionalFormatting sqref="J802:J816">
    <cfRule type="dataBar" priority="571">
      <dataBar>
        <cfvo type="min"/>
        <cfvo type="max"/>
        <color rgb="FFFF555A"/>
      </dataBar>
    </cfRule>
  </conditionalFormatting>
  <conditionalFormatting sqref="L801:L816">
    <cfRule type="dataBar" priority="570">
      <dataBar>
        <cfvo type="min"/>
        <cfvo type="max"/>
        <color rgb="FFFF555A"/>
      </dataBar>
    </cfRule>
  </conditionalFormatting>
  <conditionalFormatting sqref="M801:M816">
    <cfRule type="dataBar" priority="569">
      <dataBar>
        <cfvo type="min"/>
        <cfvo type="max"/>
        <color rgb="FFFF555A"/>
      </dataBar>
    </cfRule>
  </conditionalFormatting>
  <conditionalFormatting sqref="N801:N816">
    <cfRule type="dataBar" priority="568">
      <dataBar>
        <cfvo type="min"/>
        <cfvo type="max"/>
        <color rgb="FFFF555A"/>
      </dataBar>
    </cfRule>
  </conditionalFormatting>
  <conditionalFormatting sqref="Q801:Q816">
    <cfRule type="dataBar" priority="567">
      <dataBar>
        <cfvo type="min"/>
        <cfvo type="max"/>
        <color rgb="FFFF555A"/>
      </dataBar>
    </cfRule>
  </conditionalFormatting>
  <conditionalFormatting sqref="O801:O816">
    <cfRule type="dataBar" priority="566">
      <dataBar>
        <cfvo type="min"/>
        <cfvo type="max"/>
        <color rgb="FFFF555A"/>
      </dataBar>
    </cfRule>
  </conditionalFormatting>
  <conditionalFormatting sqref="P801:P816">
    <cfRule type="dataBar" priority="565">
      <dataBar>
        <cfvo type="min"/>
        <cfvo type="max"/>
        <color rgb="FFFF555A"/>
      </dataBar>
    </cfRule>
  </conditionalFormatting>
  <conditionalFormatting sqref="R818:R834 D818:D833 C834">
    <cfRule type="containsText" dxfId="215" priority="564" operator="containsText" text="DOWN">
      <formula>NOT(ISERROR(SEARCH("DOWN",C818)))</formula>
    </cfRule>
  </conditionalFormatting>
  <conditionalFormatting sqref="R818:R834 D818:D833 C834">
    <cfRule type="containsText" dxfId="214" priority="563" operator="containsText" text="UP">
      <formula>NOT(ISERROR(SEARCH("UP",C818)))</formula>
    </cfRule>
  </conditionalFormatting>
  <conditionalFormatting sqref="I834">
    <cfRule type="colorScale" priority="562">
      <colorScale>
        <cfvo type="min"/>
        <cfvo type="max"/>
        <color rgb="FFFFEF9C"/>
        <color rgb="FF63BE7B"/>
      </colorScale>
    </cfRule>
  </conditionalFormatting>
  <conditionalFormatting sqref="M834">
    <cfRule type="colorScale" priority="561">
      <colorScale>
        <cfvo type="min"/>
        <cfvo type="max"/>
        <color rgb="FFFF7128"/>
        <color rgb="FFFFEF9C"/>
      </colorScale>
    </cfRule>
  </conditionalFormatting>
  <conditionalFormatting sqref="Q834">
    <cfRule type="dataBar" priority="560">
      <dataBar>
        <cfvo type="min"/>
        <cfvo type="max"/>
        <color rgb="FFFF555A"/>
      </dataBar>
    </cfRule>
  </conditionalFormatting>
  <conditionalFormatting sqref="E818:E834">
    <cfRule type="dataBar" priority="559">
      <dataBar>
        <cfvo type="min"/>
        <cfvo type="max"/>
        <color rgb="FFFF555A"/>
      </dataBar>
    </cfRule>
  </conditionalFormatting>
  <conditionalFormatting sqref="F834">
    <cfRule type="top10" dxfId="213" priority="558" rank="1"/>
  </conditionalFormatting>
  <conditionalFormatting sqref="G834 P834">
    <cfRule type="cellIs" dxfId="212" priority="557" operator="equal">
      <formula>$G$135</formula>
    </cfRule>
  </conditionalFormatting>
  <conditionalFormatting sqref="P834">
    <cfRule type="cellIs" dxfId="211" priority="556" operator="equal">
      <formula>$J$135</formula>
    </cfRule>
  </conditionalFormatting>
  <conditionalFormatting sqref="G834 P834">
    <cfRule type="cellIs" dxfId="210" priority="555" operator="equal">
      <formula>#REF!</formula>
    </cfRule>
  </conditionalFormatting>
  <conditionalFormatting sqref="G834">
    <cfRule type="top10" dxfId="209" priority="553" rank="1"/>
    <cfRule type="cellIs" dxfId="208" priority="554" operator="equal">
      <formula>$G$133</formula>
    </cfRule>
  </conditionalFormatting>
  <conditionalFormatting sqref="P834">
    <cfRule type="top10" dxfId="207" priority="551" rank="1"/>
    <cfRule type="cellIs" dxfId="206" priority="552" operator="equal">
      <formula>$G$133</formula>
    </cfRule>
  </conditionalFormatting>
  <conditionalFormatting sqref="C818:C833">
    <cfRule type="containsText" dxfId="205" priority="547" operator="containsText" text="Short Buildup">
      <formula>NOT(ISERROR(SEARCH("Short Buildup",C818)))</formula>
    </cfRule>
    <cfRule type="containsText" dxfId="204" priority="548" operator="containsText" text="Long Liquidation">
      <formula>NOT(ISERROR(SEARCH("Long Liquidation",C818)))</formula>
    </cfRule>
    <cfRule type="containsText" dxfId="203" priority="549" operator="containsText" text="Short covering">
      <formula>NOT(ISERROR(SEARCH("Short covering",C818)))</formula>
    </cfRule>
    <cfRule type="containsText" dxfId="202" priority="550" operator="containsText" text="Long Buildup">
      <formula>NOT(ISERROR(SEARCH("Long Buildup",C818)))</formula>
    </cfRule>
  </conditionalFormatting>
  <conditionalFormatting sqref="H834">
    <cfRule type="colorScale" priority="542">
      <colorScale>
        <cfvo type="min"/>
        <cfvo type="percentile" val="20"/>
        <cfvo type="max"/>
        <color rgb="FF92D050"/>
        <color theme="5" tint="0.79998168889431442"/>
        <color rgb="FFFF0000"/>
      </colorScale>
    </cfRule>
    <cfRule type="colorScale" priority="543">
      <colorScale>
        <cfvo type="min"/>
        <cfvo type="max"/>
        <color rgb="FFFF0000"/>
        <color rgb="FF92D050"/>
      </colorScale>
    </cfRule>
    <cfRule type="colorScale" priority="544">
      <colorScale>
        <cfvo type="min"/>
        <cfvo type="percentile" val="50"/>
        <cfvo type="max"/>
        <color rgb="FF5A8AC6"/>
        <color rgb="FFFCFCFF"/>
        <color rgb="FFF8696B"/>
      </colorScale>
    </cfRule>
    <cfRule type="colorScale" priority="545">
      <colorScale>
        <cfvo type="formula" val="&quot;&gt;20&quot;"/>
        <cfvo type="formula" val="35"/>
        <color rgb="FFF8696B"/>
        <color rgb="FFFCFCFF"/>
      </colorScale>
    </cfRule>
    <cfRule type="colorScale" priority="546">
      <colorScale>
        <cfvo type="min"/>
        <cfvo type="max"/>
        <color rgb="FFFFEF9C"/>
        <color rgb="FF63BE7B"/>
      </colorScale>
    </cfRule>
  </conditionalFormatting>
  <conditionalFormatting sqref="N834">
    <cfRule type="colorScale" priority="537">
      <colorScale>
        <cfvo type="min"/>
        <cfvo type="percentile" val="20"/>
        <cfvo type="max"/>
        <color rgb="FF92D050"/>
        <color theme="5" tint="0.79998168889431442"/>
        <color rgb="FFFF0000"/>
      </colorScale>
    </cfRule>
    <cfRule type="colorScale" priority="538">
      <colorScale>
        <cfvo type="min"/>
        <cfvo type="max"/>
        <color rgb="FFFF0000"/>
        <color rgb="FF92D050"/>
      </colorScale>
    </cfRule>
    <cfRule type="colorScale" priority="539">
      <colorScale>
        <cfvo type="min"/>
        <cfvo type="percentile" val="50"/>
        <cfvo type="max"/>
        <color rgb="FF5A8AC6"/>
        <color rgb="FFFCFCFF"/>
        <color rgb="FFF8696B"/>
      </colorScale>
    </cfRule>
    <cfRule type="colorScale" priority="540">
      <colorScale>
        <cfvo type="formula" val="&quot;&gt;20&quot;"/>
        <cfvo type="formula" val="35"/>
        <color rgb="FFF8696B"/>
        <color rgb="FFFCFCFF"/>
      </colorScale>
    </cfRule>
    <cfRule type="colorScale" priority="541">
      <colorScale>
        <cfvo type="min"/>
        <cfvo type="max"/>
        <color rgb="FFFFEF9C"/>
        <color rgb="FF63BE7B"/>
      </colorScale>
    </cfRule>
  </conditionalFormatting>
  <conditionalFormatting sqref="S818:S834">
    <cfRule type="containsText" dxfId="201" priority="533" operator="containsText" text="Short Buildup">
      <formula>NOT(ISERROR(SEARCH("Short Buildup",S818)))</formula>
    </cfRule>
    <cfRule type="containsText" dxfId="200" priority="534" operator="containsText" text="Long Liquidation">
      <formula>NOT(ISERROR(SEARCH("Long Liquidation",S818)))</formula>
    </cfRule>
    <cfRule type="containsText" dxfId="199" priority="535" operator="containsText" text="Short covering">
      <formula>NOT(ISERROR(SEARCH("Short covering",S818)))</formula>
    </cfRule>
    <cfRule type="containsText" dxfId="198" priority="536" operator="containsText" text="Long Buildup">
      <formula>NOT(ISERROR(SEARCH("Long Buildup",S818)))</formula>
    </cfRule>
  </conditionalFormatting>
  <conditionalFormatting sqref="F818:F833">
    <cfRule type="dataBar" priority="532">
      <dataBar>
        <cfvo type="min"/>
        <cfvo type="max"/>
        <color rgb="FFFF555A"/>
      </dataBar>
    </cfRule>
  </conditionalFormatting>
  <conditionalFormatting sqref="G818:G833">
    <cfRule type="dataBar" priority="531">
      <dataBar>
        <cfvo type="min"/>
        <cfvo type="max"/>
        <color rgb="FFFF555A"/>
      </dataBar>
    </cfRule>
  </conditionalFormatting>
  <conditionalFormatting sqref="H818">
    <cfRule type="dataBar" priority="530">
      <dataBar>
        <cfvo type="min"/>
        <cfvo type="max"/>
        <color rgb="FFFF555A"/>
      </dataBar>
    </cfRule>
  </conditionalFormatting>
  <conditionalFormatting sqref="I818">
    <cfRule type="dataBar" priority="529">
      <dataBar>
        <cfvo type="min"/>
        <cfvo type="max"/>
        <color rgb="FFFF555A"/>
      </dataBar>
    </cfRule>
  </conditionalFormatting>
  <conditionalFormatting sqref="J818">
    <cfRule type="dataBar" priority="528">
      <dataBar>
        <cfvo type="min"/>
        <cfvo type="max"/>
        <color rgb="FFFF555A"/>
      </dataBar>
    </cfRule>
  </conditionalFormatting>
  <conditionalFormatting sqref="E819:E833">
    <cfRule type="dataBar" priority="527">
      <dataBar>
        <cfvo type="min"/>
        <cfvo type="max"/>
        <color rgb="FFFF555A"/>
      </dataBar>
    </cfRule>
  </conditionalFormatting>
  <conditionalFormatting sqref="H819:H833">
    <cfRule type="dataBar" priority="526">
      <dataBar>
        <cfvo type="min"/>
        <cfvo type="max"/>
        <color rgb="FFFF555A"/>
      </dataBar>
    </cfRule>
  </conditionalFormatting>
  <conditionalFormatting sqref="I819:I833">
    <cfRule type="dataBar" priority="525">
      <dataBar>
        <cfvo type="min"/>
        <cfvo type="max"/>
        <color rgb="FFFF555A"/>
      </dataBar>
    </cfRule>
  </conditionalFormatting>
  <conditionalFormatting sqref="J819:J833">
    <cfRule type="dataBar" priority="524">
      <dataBar>
        <cfvo type="min"/>
        <cfvo type="max"/>
        <color rgb="FFFF555A"/>
      </dataBar>
    </cfRule>
  </conditionalFormatting>
  <conditionalFormatting sqref="L818:L833">
    <cfRule type="dataBar" priority="523">
      <dataBar>
        <cfvo type="min"/>
        <cfvo type="max"/>
        <color rgb="FFFF555A"/>
      </dataBar>
    </cfRule>
  </conditionalFormatting>
  <conditionalFormatting sqref="M818:M833">
    <cfRule type="dataBar" priority="522">
      <dataBar>
        <cfvo type="min"/>
        <cfvo type="max"/>
        <color rgb="FFFF555A"/>
      </dataBar>
    </cfRule>
  </conditionalFormatting>
  <conditionalFormatting sqref="N818:N833">
    <cfRule type="dataBar" priority="521">
      <dataBar>
        <cfvo type="min"/>
        <cfvo type="max"/>
        <color rgb="FFFF555A"/>
      </dataBar>
    </cfRule>
  </conditionalFormatting>
  <conditionalFormatting sqref="Q818:Q833">
    <cfRule type="dataBar" priority="520">
      <dataBar>
        <cfvo type="min"/>
        <cfvo type="max"/>
        <color rgb="FFFF555A"/>
      </dataBar>
    </cfRule>
  </conditionalFormatting>
  <conditionalFormatting sqref="O818:O833">
    <cfRule type="dataBar" priority="519">
      <dataBar>
        <cfvo type="min"/>
        <cfvo type="max"/>
        <color rgb="FFFF555A"/>
      </dataBar>
    </cfRule>
  </conditionalFormatting>
  <conditionalFormatting sqref="P818:P833">
    <cfRule type="dataBar" priority="518">
      <dataBar>
        <cfvo type="min"/>
        <cfvo type="max"/>
        <color rgb="FFFF555A"/>
      </dataBar>
    </cfRule>
  </conditionalFormatting>
  <conditionalFormatting sqref="R835:R851 D835:D850 C851">
    <cfRule type="containsText" dxfId="197" priority="517" operator="containsText" text="DOWN">
      <formula>NOT(ISERROR(SEARCH("DOWN",C835)))</formula>
    </cfRule>
  </conditionalFormatting>
  <conditionalFormatting sqref="R835:R851 D835:D850 C851">
    <cfRule type="containsText" dxfId="196" priority="516" operator="containsText" text="UP">
      <formula>NOT(ISERROR(SEARCH("UP",C835)))</formula>
    </cfRule>
  </conditionalFormatting>
  <conditionalFormatting sqref="I851">
    <cfRule type="colorScale" priority="515">
      <colorScale>
        <cfvo type="min"/>
        <cfvo type="max"/>
        <color rgb="FFFFEF9C"/>
        <color rgb="FF63BE7B"/>
      </colorScale>
    </cfRule>
  </conditionalFormatting>
  <conditionalFormatting sqref="M851">
    <cfRule type="colorScale" priority="514">
      <colorScale>
        <cfvo type="min"/>
        <cfvo type="max"/>
        <color rgb="FFFF7128"/>
        <color rgb="FFFFEF9C"/>
      </colorScale>
    </cfRule>
  </conditionalFormatting>
  <conditionalFormatting sqref="Q851">
    <cfRule type="dataBar" priority="513">
      <dataBar>
        <cfvo type="min"/>
        <cfvo type="max"/>
        <color rgb="FFFF555A"/>
      </dataBar>
    </cfRule>
  </conditionalFormatting>
  <conditionalFormatting sqref="E835:E851">
    <cfRule type="dataBar" priority="512">
      <dataBar>
        <cfvo type="min"/>
        <cfvo type="max"/>
        <color rgb="FFFF555A"/>
      </dataBar>
    </cfRule>
  </conditionalFormatting>
  <conditionalFormatting sqref="F851">
    <cfRule type="top10" dxfId="195" priority="511" rank="1"/>
  </conditionalFormatting>
  <conditionalFormatting sqref="G851 P851">
    <cfRule type="cellIs" dxfId="194" priority="510" operator="equal">
      <formula>$G$135</formula>
    </cfRule>
  </conditionalFormatting>
  <conditionalFormatting sqref="P851">
    <cfRule type="cellIs" dxfId="193" priority="509" operator="equal">
      <formula>$J$135</formula>
    </cfRule>
  </conditionalFormatting>
  <conditionalFormatting sqref="G851 P851">
    <cfRule type="cellIs" dxfId="192" priority="508" operator="equal">
      <formula>#REF!</formula>
    </cfRule>
  </conditionalFormatting>
  <conditionalFormatting sqref="G851">
    <cfRule type="top10" dxfId="191" priority="506" rank="1"/>
    <cfRule type="cellIs" dxfId="190" priority="507" operator="equal">
      <formula>$G$133</formula>
    </cfRule>
  </conditionalFormatting>
  <conditionalFormatting sqref="P851">
    <cfRule type="top10" dxfId="189" priority="504" rank="1"/>
    <cfRule type="cellIs" dxfId="188" priority="505" operator="equal">
      <formula>$G$133</formula>
    </cfRule>
  </conditionalFormatting>
  <conditionalFormatting sqref="C835:C850">
    <cfRule type="containsText" dxfId="187" priority="500" operator="containsText" text="Short Buildup">
      <formula>NOT(ISERROR(SEARCH("Short Buildup",C835)))</formula>
    </cfRule>
    <cfRule type="containsText" dxfId="186" priority="501" operator="containsText" text="Long Liquidation">
      <formula>NOT(ISERROR(SEARCH("Long Liquidation",C835)))</formula>
    </cfRule>
    <cfRule type="containsText" dxfId="185" priority="502" operator="containsText" text="Short covering">
      <formula>NOT(ISERROR(SEARCH("Short covering",C835)))</formula>
    </cfRule>
    <cfRule type="containsText" dxfId="184" priority="503" operator="containsText" text="Long Buildup">
      <formula>NOT(ISERROR(SEARCH("Long Buildup",C835)))</formula>
    </cfRule>
  </conditionalFormatting>
  <conditionalFormatting sqref="H851">
    <cfRule type="colorScale" priority="495">
      <colorScale>
        <cfvo type="min"/>
        <cfvo type="percentile" val="20"/>
        <cfvo type="max"/>
        <color rgb="FF92D050"/>
        <color theme="5" tint="0.79998168889431442"/>
        <color rgb="FFFF0000"/>
      </colorScale>
    </cfRule>
    <cfRule type="colorScale" priority="496">
      <colorScale>
        <cfvo type="min"/>
        <cfvo type="max"/>
        <color rgb="FFFF0000"/>
        <color rgb="FF92D050"/>
      </colorScale>
    </cfRule>
    <cfRule type="colorScale" priority="497">
      <colorScale>
        <cfvo type="min"/>
        <cfvo type="percentile" val="50"/>
        <cfvo type="max"/>
        <color rgb="FF5A8AC6"/>
        <color rgb="FFFCFCFF"/>
        <color rgb="FFF8696B"/>
      </colorScale>
    </cfRule>
    <cfRule type="colorScale" priority="498">
      <colorScale>
        <cfvo type="formula" val="&quot;&gt;20&quot;"/>
        <cfvo type="formula" val="35"/>
        <color rgb="FFF8696B"/>
        <color rgb="FFFCFCFF"/>
      </colorScale>
    </cfRule>
    <cfRule type="colorScale" priority="499">
      <colorScale>
        <cfvo type="min"/>
        <cfvo type="max"/>
        <color rgb="FFFFEF9C"/>
        <color rgb="FF63BE7B"/>
      </colorScale>
    </cfRule>
  </conditionalFormatting>
  <conditionalFormatting sqref="N851">
    <cfRule type="colorScale" priority="490">
      <colorScale>
        <cfvo type="min"/>
        <cfvo type="percentile" val="20"/>
        <cfvo type="max"/>
        <color rgb="FF92D050"/>
        <color theme="5" tint="0.79998168889431442"/>
        <color rgb="FFFF0000"/>
      </colorScale>
    </cfRule>
    <cfRule type="colorScale" priority="491">
      <colorScale>
        <cfvo type="min"/>
        <cfvo type="max"/>
        <color rgb="FFFF0000"/>
        <color rgb="FF92D050"/>
      </colorScale>
    </cfRule>
    <cfRule type="colorScale" priority="492">
      <colorScale>
        <cfvo type="min"/>
        <cfvo type="percentile" val="50"/>
        <cfvo type="max"/>
        <color rgb="FF5A8AC6"/>
        <color rgb="FFFCFCFF"/>
        <color rgb="FFF8696B"/>
      </colorScale>
    </cfRule>
    <cfRule type="colorScale" priority="493">
      <colorScale>
        <cfvo type="formula" val="&quot;&gt;20&quot;"/>
        <cfvo type="formula" val="35"/>
        <color rgb="FFF8696B"/>
        <color rgb="FFFCFCFF"/>
      </colorScale>
    </cfRule>
    <cfRule type="colorScale" priority="494">
      <colorScale>
        <cfvo type="min"/>
        <cfvo type="max"/>
        <color rgb="FFFFEF9C"/>
        <color rgb="FF63BE7B"/>
      </colorScale>
    </cfRule>
  </conditionalFormatting>
  <conditionalFormatting sqref="S835:S851">
    <cfRule type="containsText" dxfId="183" priority="486" operator="containsText" text="Short Buildup">
      <formula>NOT(ISERROR(SEARCH("Short Buildup",S835)))</formula>
    </cfRule>
    <cfRule type="containsText" dxfId="182" priority="487" operator="containsText" text="Long Liquidation">
      <formula>NOT(ISERROR(SEARCH("Long Liquidation",S835)))</formula>
    </cfRule>
    <cfRule type="containsText" dxfId="181" priority="488" operator="containsText" text="Short covering">
      <formula>NOT(ISERROR(SEARCH("Short covering",S835)))</formula>
    </cfRule>
    <cfRule type="containsText" dxfId="180" priority="489" operator="containsText" text="Long Buildup">
      <formula>NOT(ISERROR(SEARCH("Long Buildup",S835)))</formula>
    </cfRule>
  </conditionalFormatting>
  <conditionalFormatting sqref="F835:F850">
    <cfRule type="dataBar" priority="485">
      <dataBar>
        <cfvo type="min"/>
        <cfvo type="max"/>
        <color rgb="FFFF555A"/>
      </dataBar>
    </cfRule>
  </conditionalFormatting>
  <conditionalFormatting sqref="G835:G850">
    <cfRule type="dataBar" priority="484">
      <dataBar>
        <cfvo type="min"/>
        <cfvo type="max"/>
        <color rgb="FFFF555A"/>
      </dataBar>
    </cfRule>
  </conditionalFormatting>
  <conditionalFormatting sqref="H835">
    <cfRule type="dataBar" priority="483">
      <dataBar>
        <cfvo type="min"/>
        <cfvo type="max"/>
        <color rgb="FFFF555A"/>
      </dataBar>
    </cfRule>
  </conditionalFormatting>
  <conditionalFormatting sqref="I835">
    <cfRule type="dataBar" priority="482">
      <dataBar>
        <cfvo type="min"/>
        <cfvo type="max"/>
        <color rgb="FFFF555A"/>
      </dataBar>
    </cfRule>
  </conditionalFormatting>
  <conditionalFormatting sqref="J835">
    <cfRule type="dataBar" priority="481">
      <dataBar>
        <cfvo type="min"/>
        <cfvo type="max"/>
        <color rgb="FFFF555A"/>
      </dataBar>
    </cfRule>
  </conditionalFormatting>
  <conditionalFormatting sqref="E836:E850">
    <cfRule type="dataBar" priority="480">
      <dataBar>
        <cfvo type="min"/>
        <cfvo type="max"/>
        <color rgb="FFFF555A"/>
      </dataBar>
    </cfRule>
  </conditionalFormatting>
  <conditionalFormatting sqref="H836:H850">
    <cfRule type="dataBar" priority="479">
      <dataBar>
        <cfvo type="min"/>
        <cfvo type="max"/>
        <color rgb="FFFF555A"/>
      </dataBar>
    </cfRule>
  </conditionalFormatting>
  <conditionalFormatting sqref="I836:I850">
    <cfRule type="dataBar" priority="478">
      <dataBar>
        <cfvo type="min"/>
        <cfvo type="max"/>
        <color rgb="FFFF555A"/>
      </dataBar>
    </cfRule>
  </conditionalFormatting>
  <conditionalFormatting sqref="J836:J850">
    <cfRule type="dataBar" priority="477">
      <dataBar>
        <cfvo type="min"/>
        <cfvo type="max"/>
        <color rgb="FFFF555A"/>
      </dataBar>
    </cfRule>
  </conditionalFormatting>
  <conditionalFormatting sqref="L835:L850">
    <cfRule type="dataBar" priority="476">
      <dataBar>
        <cfvo type="min"/>
        <cfvo type="max"/>
        <color rgb="FFFF555A"/>
      </dataBar>
    </cfRule>
  </conditionalFormatting>
  <conditionalFormatting sqref="M835:M850">
    <cfRule type="dataBar" priority="475">
      <dataBar>
        <cfvo type="min"/>
        <cfvo type="max"/>
        <color rgb="FFFF555A"/>
      </dataBar>
    </cfRule>
  </conditionalFormatting>
  <conditionalFormatting sqref="N835:N850">
    <cfRule type="dataBar" priority="474">
      <dataBar>
        <cfvo type="min"/>
        <cfvo type="max"/>
        <color rgb="FFFF555A"/>
      </dataBar>
    </cfRule>
  </conditionalFormatting>
  <conditionalFormatting sqref="Q835:Q850">
    <cfRule type="dataBar" priority="473">
      <dataBar>
        <cfvo type="min"/>
        <cfvo type="max"/>
        <color rgb="FFFF555A"/>
      </dataBar>
    </cfRule>
  </conditionalFormatting>
  <conditionalFormatting sqref="O835:O850">
    <cfRule type="dataBar" priority="472">
      <dataBar>
        <cfvo type="min"/>
        <cfvo type="max"/>
        <color rgb="FFFF555A"/>
      </dataBar>
    </cfRule>
  </conditionalFormatting>
  <conditionalFormatting sqref="P835:P850">
    <cfRule type="dataBar" priority="471">
      <dataBar>
        <cfvo type="min"/>
        <cfvo type="max"/>
        <color rgb="FFFF555A"/>
      </dataBar>
    </cfRule>
  </conditionalFormatting>
  <conditionalFormatting sqref="R852:R868 D852:D867 C868">
    <cfRule type="containsText" dxfId="179" priority="470" operator="containsText" text="DOWN">
      <formula>NOT(ISERROR(SEARCH("DOWN",C852)))</formula>
    </cfRule>
  </conditionalFormatting>
  <conditionalFormatting sqref="R852:R868 D852:D867 C868">
    <cfRule type="containsText" dxfId="178" priority="469" operator="containsText" text="UP">
      <formula>NOT(ISERROR(SEARCH("UP",C852)))</formula>
    </cfRule>
  </conditionalFormatting>
  <conditionalFormatting sqref="I868">
    <cfRule type="colorScale" priority="468">
      <colorScale>
        <cfvo type="min"/>
        <cfvo type="max"/>
        <color rgb="FFFFEF9C"/>
        <color rgb="FF63BE7B"/>
      </colorScale>
    </cfRule>
  </conditionalFormatting>
  <conditionalFormatting sqref="M868">
    <cfRule type="colorScale" priority="467">
      <colorScale>
        <cfvo type="min"/>
        <cfvo type="max"/>
        <color rgb="FFFF7128"/>
        <color rgb="FFFFEF9C"/>
      </colorScale>
    </cfRule>
  </conditionalFormatting>
  <conditionalFormatting sqref="Q868">
    <cfRule type="dataBar" priority="466">
      <dataBar>
        <cfvo type="min"/>
        <cfvo type="max"/>
        <color rgb="FFFF555A"/>
      </dataBar>
    </cfRule>
  </conditionalFormatting>
  <conditionalFormatting sqref="E852:E868">
    <cfRule type="dataBar" priority="465">
      <dataBar>
        <cfvo type="min"/>
        <cfvo type="max"/>
        <color rgb="FFFF555A"/>
      </dataBar>
    </cfRule>
  </conditionalFormatting>
  <conditionalFormatting sqref="F868">
    <cfRule type="top10" dxfId="177" priority="464" rank="1"/>
  </conditionalFormatting>
  <conditionalFormatting sqref="G868 P868">
    <cfRule type="cellIs" dxfId="176" priority="463" operator="equal">
      <formula>$G$135</formula>
    </cfRule>
  </conditionalFormatting>
  <conditionalFormatting sqref="P868">
    <cfRule type="cellIs" dxfId="175" priority="462" operator="equal">
      <formula>$J$135</formula>
    </cfRule>
  </conditionalFormatting>
  <conditionalFormatting sqref="G868 P868">
    <cfRule type="cellIs" dxfId="174" priority="461" operator="equal">
      <formula>#REF!</formula>
    </cfRule>
  </conditionalFormatting>
  <conditionalFormatting sqref="G868">
    <cfRule type="top10" dxfId="173" priority="459" rank="1"/>
    <cfRule type="cellIs" dxfId="172" priority="460" operator="equal">
      <formula>$G$133</formula>
    </cfRule>
  </conditionalFormatting>
  <conditionalFormatting sqref="P868">
    <cfRule type="top10" dxfId="171" priority="457" rank="1"/>
    <cfRule type="cellIs" dxfId="170" priority="458" operator="equal">
      <formula>$G$133</formula>
    </cfRule>
  </conditionalFormatting>
  <conditionalFormatting sqref="C852:C867">
    <cfRule type="containsText" dxfId="169" priority="453" operator="containsText" text="Short Buildup">
      <formula>NOT(ISERROR(SEARCH("Short Buildup",C852)))</formula>
    </cfRule>
    <cfRule type="containsText" dxfId="168" priority="454" operator="containsText" text="Long Liquidation">
      <formula>NOT(ISERROR(SEARCH("Long Liquidation",C852)))</formula>
    </cfRule>
    <cfRule type="containsText" dxfId="167" priority="455" operator="containsText" text="Short covering">
      <formula>NOT(ISERROR(SEARCH("Short covering",C852)))</formula>
    </cfRule>
    <cfRule type="containsText" dxfId="166" priority="456" operator="containsText" text="Long Buildup">
      <formula>NOT(ISERROR(SEARCH("Long Buildup",C852)))</formula>
    </cfRule>
  </conditionalFormatting>
  <conditionalFormatting sqref="H868">
    <cfRule type="colorScale" priority="448">
      <colorScale>
        <cfvo type="min"/>
        <cfvo type="percentile" val="20"/>
        <cfvo type="max"/>
        <color rgb="FF92D050"/>
        <color theme="5" tint="0.79998168889431442"/>
        <color rgb="FFFF0000"/>
      </colorScale>
    </cfRule>
    <cfRule type="colorScale" priority="449">
      <colorScale>
        <cfvo type="min"/>
        <cfvo type="max"/>
        <color rgb="FFFF0000"/>
        <color rgb="FF92D050"/>
      </colorScale>
    </cfRule>
    <cfRule type="colorScale" priority="450">
      <colorScale>
        <cfvo type="min"/>
        <cfvo type="percentile" val="50"/>
        <cfvo type="max"/>
        <color rgb="FF5A8AC6"/>
        <color rgb="FFFCFCFF"/>
        <color rgb="FFF8696B"/>
      </colorScale>
    </cfRule>
    <cfRule type="colorScale" priority="451">
      <colorScale>
        <cfvo type="formula" val="&quot;&gt;20&quot;"/>
        <cfvo type="formula" val="35"/>
        <color rgb="FFF8696B"/>
        <color rgb="FFFCFCFF"/>
      </colorScale>
    </cfRule>
    <cfRule type="colorScale" priority="452">
      <colorScale>
        <cfvo type="min"/>
        <cfvo type="max"/>
        <color rgb="FFFFEF9C"/>
        <color rgb="FF63BE7B"/>
      </colorScale>
    </cfRule>
  </conditionalFormatting>
  <conditionalFormatting sqref="N868">
    <cfRule type="colorScale" priority="443">
      <colorScale>
        <cfvo type="min"/>
        <cfvo type="percentile" val="20"/>
        <cfvo type="max"/>
        <color rgb="FF92D050"/>
        <color theme="5" tint="0.79998168889431442"/>
        <color rgb="FFFF0000"/>
      </colorScale>
    </cfRule>
    <cfRule type="colorScale" priority="444">
      <colorScale>
        <cfvo type="min"/>
        <cfvo type="max"/>
        <color rgb="FFFF0000"/>
        <color rgb="FF92D050"/>
      </colorScale>
    </cfRule>
    <cfRule type="colorScale" priority="445">
      <colorScale>
        <cfvo type="min"/>
        <cfvo type="percentile" val="50"/>
        <cfvo type="max"/>
        <color rgb="FF5A8AC6"/>
        <color rgb="FFFCFCFF"/>
        <color rgb="FFF8696B"/>
      </colorScale>
    </cfRule>
    <cfRule type="colorScale" priority="446">
      <colorScale>
        <cfvo type="formula" val="&quot;&gt;20&quot;"/>
        <cfvo type="formula" val="35"/>
        <color rgb="FFF8696B"/>
        <color rgb="FFFCFCFF"/>
      </colorScale>
    </cfRule>
    <cfRule type="colorScale" priority="447">
      <colorScale>
        <cfvo type="min"/>
        <cfvo type="max"/>
        <color rgb="FFFFEF9C"/>
        <color rgb="FF63BE7B"/>
      </colorScale>
    </cfRule>
  </conditionalFormatting>
  <conditionalFormatting sqref="S852:S868">
    <cfRule type="containsText" dxfId="165" priority="439" operator="containsText" text="Short Buildup">
      <formula>NOT(ISERROR(SEARCH("Short Buildup",S852)))</formula>
    </cfRule>
    <cfRule type="containsText" dxfId="164" priority="440" operator="containsText" text="Long Liquidation">
      <formula>NOT(ISERROR(SEARCH("Long Liquidation",S852)))</formula>
    </cfRule>
    <cfRule type="containsText" dxfId="163" priority="441" operator="containsText" text="Short covering">
      <formula>NOT(ISERROR(SEARCH("Short covering",S852)))</formula>
    </cfRule>
    <cfRule type="containsText" dxfId="162" priority="442" operator="containsText" text="Long Buildup">
      <formula>NOT(ISERROR(SEARCH("Long Buildup",S852)))</formula>
    </cfRule>
  </conditionalFormatting>
  <conditionalFormatting sqref="F852:F867">
    <cfRule type="dataBar" priority="438">
      <dataBar>
        <cfvo type="min"/>
        <cfvo type="max"/>
        <color rgb="FFFF555A"/>
      </dataBar>
    </cfRule>
  </conditionalFormatting>
  <conditionalFormatting sqref="G852:G867">
    <cfRule type="dataBar" priority="437">
      <dataBar>
        <cfvo type="min"/>
        <cfvo type="max"/>
        <color rgb="FFFF555A"/>
      </dataBar>
    </cfRule>
  </conditionalFormatting>
  <conditionalFormatting sqref="H852">
    <cfRule type="dataBar" priority="436">
      <dataBar>
        <cfvo type="min"/>
        <cfvo type="max"/>
        <color rgb="FFFF555A"/>
      </dataBar>
    </cfRule>
  </conditionalFormatting>
  <conditionalFormatting sqref="I852">
    <cfRule type="dataBar" priority="435">
      <dataBar>
        <cfvo type="min"/>
        <cfvo type="max"/>
        <color rgb="FFFF555A"/>
      </dataBar>
    </cfRule>
  </conditionalFormatting>
  <conditionalFormatting sqref="J852">
    <cfRule type="dataBar" priority="434">
      <dataBar>
        <cfvo type="min"/>
        <cfvo type="max"/>
        <color rgb="FFFF555A"/>
      </dataBar>
    </cfRule>
  </conditionalFormatting>
  <conditionalFormatting sqref="E853:E867">
    <cfRule type="dataBar" priority="433">
      <dataBar>
        <cfvo type="min"/>
        <cfvo type="max"/>
        <color rgb="FFFF555A"/>
      </dataBar>
    </cfRule>
  </conditionalFormatting>
  <conditionalFormatting sqref="H853:H867">
    <cfRule type="dataBar" priority="432">
      <dataBar>
        <cfvo type="min"/>
        <cfvo type="max"/>
        <color rgb="FFFF555A"/>
      </dataBar>
    </cfRule>
  </conditionalFormatting>
  <conditionalFormatting sqref="I853:I867">
    <cfRule type="dataBar" priority="431">
      <dataBar>
        <cfvo type="min"/>
        <cfvo type="max"/>
        <color rgb="FFFF555A"/>
      </dataBar>
    </cfRule>
  </conditionalFormatting>
  <conditionalFormatting sqref="J853:J867">
    <cfRule type="dataBar" priority="430">
      <dataBar>
        <cfvo type="min"/>
        <cfvo type="max"/>
        <color rgb="FFFF555A"/>
      </dataBar>
    </cfRule>
  </conditionalFormatting>
  <conditionalFormatting sqref="L852:L867">
    <cfRule type="dataBar" priority="429">
      <dataBar>
        <cfvo type="min"/>
        <cfvo type="max"/>
        <color rgb="FFFF555A"/>
      </dataBar>
    </cfRule>
  </conditionalFormatting>
  <conditionalFormatting sqref="M852:M867">
    <cfRule type="dataBar" priority="428">
      <dataBar>
        <cfvo type="min"/>
        <cfvo type="max"/>
        <color rgb="FFFF555A"/>
      </dataBar>
    </cfRule>
  </conditionalFormatting>
  <conditionalFormatting sqref="N852:N867">
    <cfRule type="dataBar" priority="427">
      <dataBar>
        <cfvo type="min"/>
        <cfvo type="max"/>
        <color rgb="FFFF555A"/>
      </dataBar>
    </cfRule>
  </conditionalFormatting>
  <conditionalFormatting sqref="Q852:Q867">
    <cfRule type="dataBar" priority="426">
      <dataBar>
        <cfvo type="min"/>
        <cfvo type="max"/>
        <color rgb="FFFF555A"/>
      </dataBar>
    </cfRule>
  </conditionalFormatting>
  <conditionalFormatting sqref="O852:O867">
    <cfRule type="dataBar" priority="425">
      <dataBar>
        <cfvo type="min"/>
        <cfvo type="max"/>
        <color rgb="FFFF555A"/>
      </dataBar>
    </cfRule>
  </conditionalFormatting>
  <conditionalFormatting sqref="P852:P867">
    <cfRule type="dataBar" priority="424">
      <dataBar>
        <cfvo type="min"/>
        <cfvo type="max"/>
        <color rgb="FFFF555A"/>
      </dataBar>
    </cfRule>
  </conditionalFormatting>
  <conditionalFormatting sqref="R869:R885 D869:D884 C885">
    <cfRule type="containsText" dxfId="161" priority="423" operator="containsText" text="DOWN">
      <formula>NOT(ISERROR(SEARCH("DOWN",C869)))</formula>
    </cfRule>
  </conditionalFormatting>
  <conditionalFormatting sqref="R869:R885 D869:D884 C885">
    <cfRule type="containsText" dxfId="160" priority="422" operator="containsText" text="UP">
      <formula>NOT(ISERROR(SEARCH("UP",C869)))</formula>
    </cfRule>
  </conditionalFormatting>
  <conditionalFormatting sqref="I885">
    <cfRule type="colorScale" priority="421">
      <colorScale>
        <cfvo type="min"/>
        <cfvo type="max"/>
        <color rgb="FFFFEF9C"/>
        <color rgb="FF63BE7B"/>
      </colorScale>
    </cfRule>
  </conditionalFormatting>
  <conditionalFormatting sqref="M885">
    <cfRule type="colorScale" priority="420">
      <colorScale>
        <cfvo type="min"/>
        <cfvo type="max"/>
        <color rgb="FFFF7128"/>
        <color rgb="FFFFEF9C"/>
      </colorScale>
    </cfRule>
  </conditionalFormatting>
  <conditionalFormatting sqref="Q885">
    <cfRule type="dataBar" priority="419">
      <dataBar>
        <cfvo type="min"/>
        <cfvo type="max"/>
        <color rgb="FFFF555A"/>
      </dataBar>
    </cfRule>
  </conditionalFormatting>
  <conditionalFormatting sqref="E869:E885">
    <cfRule type="dataBar" priority="418">
      <dataBar>
        <cfvo type="min"/>
        <cfvo type="max"/>
        <color rgb="FFFF555A"/>
      </dataBar>
    </cfRule>
  </conditionalFormatting>
  <conditionalFormatting sqref="F885">
    <cfRule type="top10" dxfId="159" priority="417" rank="1"/>
  </conditionalFormatting>
  <conditionalFormatting sqref="G885 P885">
    <cfRule type="cellIs" dxfId="158" priority="416" operator="equal">
      <formula>$G$135</formula>
    </cfRule>
  </conditionalFormatting>
  <conditionalFormatting sqref="P885">
    <cfRule type="cellIs" dxfId="157" priority="415" operator="equal">
      <formula>$J$135</formula>
    </cfRule>
  </conditionalFormatting>
  <conditionalFormatting sqref="G885 P885">
    <cfRule type="cellIs" dxfId="156" priority="414" operator="equal">
      <formula>#REF!</formula>
    </cfRule>
  </conditionalFormatting>
  <conditionalFormatting sqref="G885">
    <cfRule type="top10" dxfId="155" priority="412" rank="1"/>
    <cfRule type="cellIs" dxfId="154" priority="413" operator="equal">
      <formula>$G$133</formula>
    </cfRule>
  </conditionalFormatting>
  <conditionalFormatting sqref="P885">
    <cfRule type="top10" dxfId="153" priority="410" rank="1"/>
    <cfRule type="cellIs" dxfId="152" priority="411" operator="equal">
      <formula>$G$133</formula>
    </cfRule>
  </conditionalFormatting>
  <conditionalFormatting sqref="C869:C884">
    <cfRule type="containsText" dxfId="151" priority="406" operator="containsText" text="Short Buildup">
      <formula>NOT(ISERROR(SEARCH("Short Buildup",C869)))</formula>
    </cfRule>
    <cfRule type="containsText" dxfId="150" priority="407" operator="containsText" text="Long Liquidation">
      <formula>NOT(ISERROR(SEARCH("Long Liquidation",C869)))</formula>
    </cfRule>
    <cfRule type="containsText" dxfId="149" priority="408" operator="containsText" text="Short covering">
      <formula>NOT(ISERROR(SEARCH("Short covering",C869)))</formula>
    </cfRule>
    <cfRule type="containsText" dxfId="148" priority="409" operator="containsText" text="Long Buildup">
      <formula>NOT(ISERROR(SEARCH("Long Buildup",C869)))</formula>
    </cfRule>
  </conditionalFormatting>
  <conditionalFormatting sqref="H885">
    <cfRule type="colorScale" priority="401">
      <colorScale>
        <cfvo type="min"/>
        <cfvo type="percentile" val="20"/>
        <cfvo type="max"/>
        <color rgb="FF92D050"/>
        <color theme="5" tint="0.79998168889431442"/>
        <color rgb="FFFF0000"/>
      </colorScale>
    </cfRule>
    <cfRule type="colorScale" priority="402">
      <colorScale>
        <cfvo type="min"/>
        <cfvo type="max"/>
        <color rgb="FFFF0000"/>
        <color rgb="FF92D050"/>
      </colorScale>
    </cfRule>
    <cfRule type="colorScale" priority="403">
      <colorScale>
        <cfvo type="min"/>
        <cfvo type="percentile" val="50"/>
        <cfvo type="max"/>
        <color rgb="FF5A8AC6"/>
        <color rgb="FFFCFCFF"/>
        <color rgb="FFF8696B"/>
      </colorScale>
    </cfRule>
    <cfRule type="colorScale" priority="404">
      <colorScale>
        <cfvo type="formula" val="&quot;&gt;20&quot;"/>
        <cfvo type="formula" val="35"/>
        <color rgb="FFF8696B"/>
        <color rgb="FFFCFCFF"/>
      </colorScale>
    </cfRule>
    <cfRule type="colorScale" priority="405">
      <colorScale>
        <cfvo type="min"/>
        <cfvo type="max"/>
        <color rgb="FFFFEF9C"/>
        <color rgb="FF63BE7B"/>
      </colorScale>
    </cfRule>
  </conditionalFormatting>
  <conditionalFormatting sqref="N885">
    <cfRule type="colorScale" priority="396">
      <colorScale>
        <cfvo type="min"/>
        <cfvo type="percentile" val="20"/>
        <cfvo type="max"/>
        <color rgb="FF92D050"/>
        <color theme="5" tint="0.79998168889431442"/>
        <color rgb="FFFF0000"/>
      </colorScale>
    </cfRule>
    <cfRule type="colorScale" priority="397">
      <colorScale>
        <cfvo type="min"/>
        <cfvo type="max"/>
        <color rgb="FFFF0000"/>
        <color rgb="FF92D050"/>
      </colorScale>
    </cfRule>
    <cfRule type="colorScale" priority="398">
      <colorScale>
        <cfvo type="min"/>
        <cfvo type="percentile" val="50"/>
        <cfvo type="max"/>
        <color rgb="FF5A8AC6"/>
        <color rgb="FFFCFCFF"/>
        <color rgb="FFF8696B"/>
      </colorScale>
    </cfRule>
    <cfRule type="colorScale" priority="399">
      <colorScale>
        <cfvo type="formula" val="&quot;&gt;20&quot;"/>
        <cfvo type="formula" val="35"/>
        <color rgb="FFF8696B"/>
        <color rgb="FFFCFCFF"/>
      </colorScale>
    </cfRule>
    <cfRule type="colorScale" priority="400">
      <colorScale>
        <cfvo type="min"/>
        <cfvo type="max"/>
        <color rgb="FFFFEF9C"/>
        <color rgb="FF63BE7B"/>
      </colorScale>
    </cfRule>
  </conditionalFormatting>
  <conditionalFormatting sqref="S869:S885">
    <cfRule type="containsText" dxfId="147" priority="392" operator="containsText" text="Short Buildup">
      <formula>NOT(ISERROR(SEARCH("Short Buildup",S869)))</formula>
    </cfRule>
    <cfRule type="containsText" dxfId="146" priority="393" operator="containsText" text="Long Liquidation">
      <formula>NOT(ISERROR(SEARCH("Long Liquidation",S869)))</formula>
    </cfRule>
    <cfRule type="containsText" dxfId="145" priority="394" operator="containsText" text="Short covering">
      <formula>NOT(ISERROR(SEARCH("Short covering",S869)))</formula>
    </cfRule>
    <cfRule type="containsText" dxfId="144" priority="395" operator="containsText" text="Long Buildup">
      <formula>NOT(ISERROR(SEARCH("Long Buildup",S869)))</formula>
    </cfRule>
  </conditionalFormatting>
  <conditionalFormatting sqref="F869:F884">
    <cfRule type="dataBar" priority="391">
      <dataBar>
        <cfvo type="min"/>
        <cfvo type="max"/>
        <color rgb="FFFF555A"/>
      </dataBar>
    </cfRule>
  </conditionalFormatting>
  <conditionalFormatting sqref="G869:G884">
    <cfRule type="dataBar" priority="390">
      <dataBar>
        <cfvo type="min"/>
        <cfvo type="max"/>
        <color rgb="FFFF555A"/>
      </dataBar>
    </cfRule>
  </conditionalFormatting>
  <conditionalFormatting sqref="H869">
    <cfRule type="dataBar" priority="389">
      <dataBar>
        <cfvo type="min"/>
        <cfvo type="max"/>
        <color rgb="FFFF555A"/>
      </dataBar>
    </cfRule>
  </conditionalFormatting>
  <conditionalFormatting sqref="I869">
    <cfRule type="dataBar" priority="388">
      <dataBar>
        <cfvo type="min"/>
        <cfvo type="max"/>
        <color rgb="FFFF555A"/>
      </dataBar>
    </cfRule>
  </conditionalFormatting>
  <conditionalFormatting sqref="J869">
    <cfRule type="dataBar" priority="387">
      <dataBar>
        <cfvo type="min"/>
        <cfvo type="max"/>
        <color rgb="FFFF555A"/>
      </dataBar>
    </cfRule>
  </conditionalFormatting>
  <conditionalFormatting sqref="E870:E884">
    <cfRule type="dataBar" priority="386">
      <dataBar>
        <cfvo type="min"/>
        <cfvo type="max"/>
        <color rgb="FFFF555A"/>
      </dataBar>
    </cfRule>
  </conditionalFormatting>
  <conditionalFormatting sqref="H870:H884">
    <cfRule type="dataBar" priority="385">
      <dataBar>
        <cfvo type="min"/>
        <cfvo type="max"/>
        <color rgb="FFFF555A"/>
      </dataBar>
    </cfRule>
  </conditionalFormatting>
  <conditionalFormatting sqref="I870:I884">
    <cfRule type="dataBar" priority="384">
      <dataBar>
        <cfvo type="min"/>
        <cfvo type="max"/>
        <color rgb="FFFF555A"/>
      </dataBar>
    </cfRule>
  </conditionalFormatting>
  <conditionalFormatting sqref="J870:J884">
    <cfRule type="dataBar" priority="383">
      <dataBar>
        <cfvo type="min"/>
        <cfvo type="max"/>
        <color rgb="FFFF555A"/>
      </dataBar>
    </cfRule>
  </conditionalFormatting>
  <conditionalFormatting sqref="L869:L884">
    <cfRule type="dataBar" priority="382">
      <dataBar>
        <cfvo type="min"/>
        <cfvo type="max"/>
        <color rgb="FFFF555A"/>
      </dataBar>
    </cfRule>
  </conditionalFormatting>
  <conditionalFormatting sqref="M869:M884">
    <cfRule type="dataBar" priority="381">
      <dataBar>
        <cfvo type="min"/>
        <cfvo type="max"/>
        <color rgb="FFFF555A"/>
      </dataBar>
    </cfRule>
  </conditionalFormatting>
  <conditionalFormatting sqref="N869:N884">
    <cfRule type="dataBar" priority="380">
      <dataBar>
        <cfvo type="min"/>
        <cfvo type="max"/>
        <color rgb="FFFF555A"/>
      </dataBar>
    </cfRule>
  </conditionalFormatting>
  <conditionalFormatting sqref="Q869:Q884">
    <cfRule type="dataBar" priority="379">
      <dataBar>
        <cfvo type="min"/>
        <cfvo type="max"/>
        <color rgb="FFFF555A"/>
      </dataBar>
    </cfRule>
  </conditionalFormatting>
  <conditionalFormatting sqref="O869:O884">
    <cfRule type="dataBar" priority="378">
      <dataBar>
        <cfvo type="min"/>
        <cfvo type="max"/>
        <color rgb="FFFF555A"/>
      </dataBar>
    </cfRule>
  </conditionalFormatting>
  <conditionalFormatting sqref="P869:P884">
    <cfRule type="dataBar" priority="377">
      <dataBar>
        <cfvo type="min"/>
        <cfvo type="max"/>
        <color rgb="FFFF555A"/>
      </dataBar>
    </cfRule>
  </conditionalFormatting>
  <conditionalFormatting sqref="R886:R902 D886:D901 C902">
    <cfRule type="containsText" dxfId="143" priority="376" operator="containsText" text="DOWN">
      <formula>NOT(ISERROR(SEARCH("DOWN",C886)))</formula>
    </cfRule>
  </conditionalFormatting>
  <conditionalFormatting sqref="R886:R902 D886:D901 C902">
    <cfRule type="containsText" dxfId="142" priority="375" operator="containsText" text="UP">
      <formula>NOT(ISERROR(SEARCH("UP",C886)))</formula>
    </cfRule>
  </conditionalFormatting>
  <conditionalFormatting sqref="I902">
    <cfRule type="colorScale" priority="374">
      <colorScale>
        <cfvo type="min"/>
        <cfvo type="max"/>
        <color rgb="FFFFEF9C"/>
        <color rgb="FF63BE7B"/>
      </colorScale>
    </cfRule>
  </conditionalFormatting>
  <conditionalFormatting sqref="M902">
    <cfRule type="colorScale" priority="373">
      <colorScale>
        <cfvo type="min"/>
        <cfvo type="max"/>
        <color rgb="FFFF7128"/>
        <color rgb="FFFFEF9C"/>
      </colorScale>
    </cfRule>
  </conditionalFormatting>
  <conditionalFormatting sqref="Q902">
    <cfRule type="dataBar" priority="372">
      <dataBar>
        <cfvo type="min"/>
        <cfvo type="max"/>
        <color rgb="FFFF555A"/>
      </dataBar>
    </cfRule>
  </conditionalFormatting>
  <conditionalFormatting sqref="E886:E902">
    <cfRule type="dataBar" priority="371">
      <dataBar>
        <cfvo type="min"/>
        <cfvo type="max"/>
        <color rgb="FFFF555A"/>
      </dataBar>
    </cfRule>
  </conditionalFormatting>
  <conditionalFormatting sqref="F902">
    <cfRule type="top10" dxfId="141" priority="370" rank="1"/>
  </conditionalFormatting>
  <conditionalFormatting sqref="G902 P902">
    <cfRule type="cellIs" dxfId="140" priority="369" operator="equal">
      <formula>$G$135</formula>
    </cfRule>
  </conditionalFormatting>
  <conditionalFormatting sqref="P902">
    <cfRule type="cellIs" dxfId="139" priority="368" operator="equal">
      <formula>$J$135</formula>
    </cfRule>
  </conditionalFormatting>
  <conditionalFormatting sqref="G902 P902">
    <cfRule type="cellIs" dxfId="138" priority="367" operator="equal">
      <formula>#REF!</formula>
    </cfRule>
  </conditionalFormatting>
  <conditionalFormatting sqref="G902">
    <cfRule type="top10" dxfId="137" priority="365" rank="1"/>
    <cfRule type="cellIs" dxfId="136" priority="366" operator="equal">
      <formula>$G$133</formula>
    </cfRule>
  </conditionalFormatting>
  <conditionalFormatting sqref="P902">
    <cfRule type="top10" dxfId="135" priority="363" rank="1"/>
    <cfRule type="cellIs" dxfId="134" priority="364" operator="equal">
      <formula>$G$133</formula>
    </cfRule>
  </conditionalFormatting>
  <conditionalFormatting sqref="C886:C901">
    <cfRule type="containsText" dxfId="133" priority="359" operator="containsText" text="Short Buildup">
      <formula>NOT(ISERROR(SEARCH("Short Buildup",C886)))</formula>
    </cfRule>
    <cfRule type="containsText" dxfId="132" priority="360" operator="containsText" text="Long Liquidation">
      <formula>NOT(ISERROR(SEARCH("Long Liquidation",C886)))</formula>
    </cfRule>
    <cfRule type="containsText" dxfId="131" priority="361" operator="containsText" text="Short covering">
      <formula>NOT(ISERROR(SEARCH("Short covering",C886)))</formula>
    </cfRule>
    <cfRule type="containsText" dxfId="130" priority="362" operator="containsText" text="Long Buildup">
      <formula>NOT(ISERROR(SEARCH("Long Buildup",C886)))</formula>
    </cfRule>
  </conditionalFormatting>
  <conditionalFormatting sqref="H902">
    <cfRule type="colorScale" priority="354">
      <colorScale>
        <cfvo type="min"/>
        <cfvo type="percentile" val="20"/>
        <cfvo type="max"/>
        <color rgb="FF92D050"/>
        <color theme="5" tint="0.79998168889431442"/>
        <color rgb="FFFF0000"/>
      </colorScale>
    </cfRule>
    <cfRule type="colorScale" priority="355">
      <colorScale>
        <cfvo type="min"/>
        <cfvo type="max"/>
        <color rgb="FFFF0000"/>
        <color rgb="FF92D050"/>
      </colorScale>
    </cfRule>
    <cfRule type="colorScale" priority="356">
      <colorScale>
        <cfvo type="min"/>
        <cfvo type="percentile" val="50"/>
        <cfvo type="max"/>
        <color rgb="FF5A8AC6"/>
        <color rgb="FFFCFCFF"/>
        <color rgb="FFF8696B"/>
      </colorScale>
    </cfRule>
    <cfRule type="colorScale" priority="357">
      <colorScale>
        <cfvo type="formula" val="&quot;&gt;20&quot;"/>
        <cfvo type="formula" val="35"/>
        <color rgb="FFF8696B"/>
        <color rgb="FFFCFCFF"/>
      </colorScale>
    </cfRule>
    <cfRule type="colorScale" priority="358">
      <colorScale>
        <cfvo type="min"/>
        <cfvo type="max"/>
        <color rgb="FFFFEF9C"/>
        <color rgb="FF63BE7B"/>
      </colorScale>
    </cfRule>
  </conditionalFormatting>
  <conditionalFormatting sqref="N902">
    <cfRule type="colorScale" priority="349">
      <colorScale>
        <cfvo type="min"/>
        <cfvo type="percentile" val="20"/>
        <cfvo type="max"/>
        <color rgb="FF92D050"/>
        <color theme="5" tint="0.79998168889431442"/>
        <color rgb="FFFF0000"/>
      </colorScale>
    </cfRule>
    <cfRule type="colorScale" priority="350">
      <colorScale>
        <cfvo type="min"/>
        <cfvo type="max"/>
        <color rgb="FFFF0000"/>
        <color rgb="FF92D050"/>
      </colorScale>
    </cfRule>
    <cfRule type="colorScale" priority="351">
      <colorScale>
        <cfvo type="min"/>
        <cfvo type="percentile" val="50"/>
        <cfvo type="max"/>
        <color rgb="FF5A8AC6"/>
        <color rgb="FFFCFCFF"/>
        <color rgb="FFF8696B"/>
      </colorScale>
    </cfRule>
    <cfRule type="colorScale" priority="352">
      <colorScale>
        <cfvo type="formula" val="&quot;&gt;20&quot;"/>
        <cfvo type="formula" val="35"/>
        <color rgb="FFF8696B"/>
        <color rgb="FFFCFCFF"/>
      </colorScale>
    </cfRule>
    <cfRule type="colorScale" priority="353">
      <colorScale>
        <cfvo type="min"/>
        <cfvo type="max"/>
        <color rgb="FFFFEF9C"/>
        <color rgb="FF63BE7B"/>
      </colorScale>
    </cfRule>
  </conditionalFormatting>
  <conditionalFormatting sqref="S886:S902">
    <cfRule type="containsText" dxfId="129" priority="345" operator="containsText" text="Short Buildup">
      <formula>NOT(ISERROR(SEARCH("Short Buildup",S886)))</formula>
    </cfRule>
    <cfRule type="containsText" dxfId="128" priority="346" operator="containsText" text="Long Liquidation">
      <formula>NOT(ISERROR(SEARCH("Long Liquidation",S886)))</formula>
    </cfRule>
    <cfRule type="containsText" dxfId="127" priority="347" operator="containsText" text="Short covering">
      <formula>NOT(ISERROR(SEARCH("Short covering",S886)))</formula>
    </cfRule>
    <cfRule type="containsText" dxfId="126" priority="348" operator="containsText" text="Long Buildup">
      <formula>NOT(ISERROR(SEARCH("Long Buildup",S886)))</formula>
    </cfRule>
  </conditionalFormatting>
  <conditionalFormatting sqref="F886:F901">
    <cfRule type="dataBar" priority="344">
      <dataBar>
        <cfvo type="min"/>
        <cfvo type="max"/>
        <color rgb="FFFF555A"/>
      </dataBar>
    </cfRule>
  </conditionalFormatting>
  <conditionalFormatting sqref="G886:G901">
    <cfRule type="dataBar" priority="343">
      <dataBar>
        <cfvo type="min"/>
        <cfvo type="max"/>
        <color rgb="FFFF555A"/>
      </dataBar>
    </cfRule>
  </conditionalFormatting>
  <conditionalFormatting sqref="H886">
    <cfRule type="dataBar" priority="342">
      <dataBar>
        <cfvo type="min"/>
        <cfvo type="max"/>
        <color rgb="FFFF555A"/>
      </dataBar>
    </cfRule>
  </conditionalFormatting>
  <conditionalFormatting sqref="I886">
    <cfRule type="dataBar" priority="341">
      <dataBar>
        <cfvo type="min"/>
        <cfvo type="max"/>
        <color rgb="FFFF555A"/>
      </dataBar>
    </cfRule>
  </conditionalFormatting>
  <conditionalFormatting sqref="J886">
    <cfRule type="dataBar" priority="340">
      <dataBar>
        <cfvo type="min"/>
        <cfvo type="max"/>
        <color rgb="FFFF555A"/>
      </dataBar>
    </cfRule>
  </conditionalFormatting>
  <conditionalFormatting sqref="E887:E901">
    <cfRule type="dataBar" priority="339">
      <dataBar>
        <cfvo type="min"/>
        <cfvo type="max"/>
        <color rgb="FFFF555A"/>
      </dataBar>
    </cfRule>
  </conditionalFormatting>
  <conditionalFormatting sqref="H887:H901">
    <cfRule type="dataBar" priority="338">
      <dataBar>
        <cfvo type="min"/>
        <cfvo type="max"/>
        <color rgb="FFFF555A"/>
      </dataBar>
    </cfRule>
  </conditionalFormatting>
  <conditionalFormatting sqref="I887:I901">
    <cfRule type="dataBar" priority="337">
      <dataBar>
        <cfvo type="min"/>
        <cfvo type="max"/>
        <color rgb="FFFF555A"/>
      </dataBar>
    </cfRule>
  </conditionalFormatting>
  <conditionalFormatting sqref="J887:J901">
    <cfRule type="dataBar" priority="336">
      <dataBar>
        <cfvo type="min"/>
        <cfvo type="max"/>
        <color rgb="FFFF555A"/>
      </dataBar>
    </cfRule>
  </conditionalFormatting>
  <conditionalFormatting sqref="L886:L901">
    <cfRule type="dataBar" priority="335">
      <dataBar>
        <cfvo type="min"/>
        <cfvo type="max"/>
        <color rgb="FFFF555A"/>
      </dataBar>
    </cfRule>
  </conditionalFormatting>
  <conditionalFormatting sqref="M886:M901">
    <cfRule type="dataBar" priority="334">
      <dataBar>
        <cfvo type="min"/>
        <cfvo type="max"/>
        <color rgb="FFFF555A"/>
      </dataBar>
    </cfRule>
  </conditionalFormatting>
  <conditionalFormatting sqref="N886:N901">
    <cfRule type="dataBar" priority="333">
      <dataBar>
        <cfvo type="min"/>
        <cfvo type="max"/>
        <color rgb="FFFF555A"/>
      </dataBar>
    </cfRule>
  </conditionalFormatting>
  <conditionalFormatting sqref="Q886:Q901">
    <cfRule type="dataBar" priority="332">
      <dataBar>
        <cfvo type="min"/>
        <cfvo type="max"/>
        <color rgb="FFFF555A"/>
      </dataBar>
    </cfRule>
  </conditionalFormatting>
  <conditionalFormatting sqref="O886:O901">
    <cfRule type="dataBar" priority="331">
      <dataBar>
        <cfvo type="min"/>
        <cfvo type="max"/>
        <color rgb="FFFF555A"/>
      </dataBar>
    </cfRule>
  </conditionalFormatting>
  <conditionalFormatting sqref="P886:P901">
    <cfRule type="dataBar" priority="330">
      <dataBar>
        <cfvo type="min"/>
        <cfvo type="max"/>
        <color rgb="FFFF555A"/>
      </dataBar>
    </cfRule>
  </conditionalFormatting>
  <conditionalFormatting sqref="R903:R919 D903:D918 C919">
    <cfRule type="containsText" dxfId="125" priority="329" operator="containsText" text="DOWN">
      <formula>NOT(ISERROR(SEARCH("DOWN",C903)))</formula>
    </cfRule>
  </conditionalFormatting>
  <conditionalFormatting sqref="R903:R919 D903:D918 C919">
    <cfRule type="containsText" dxfId="124" priority="328" operator="containsText" text="UP">
      <formula>NOT(ISERROR(SEARCH("UP",C903)))</formula>
    </cfRule>
  </conditionalFormatting>
  <conditionalFormatting sqref="I919">
    <cfRule type="colorScale" priority="327">
      <colorScale>
        <cfvo type="min"/>
        <cfvo type="max"/>
        <color rgb="FFFFEF9C"/>
        <color rgb="FF63BE7B"/>
      </colorScale>
    </cfRule>
  </conditionalFormatting>
  <conditionalFormatting sqref="M919">
    <cfRule type="colorScale" priority="326">
      <colorScale>
        <cfvo type="min"/>
        <cfvo type="max"/>
        <color rgb="FFFF7128"/>
        <color rgb="FFFFEF9C"/>
      </colorScale>
    </cfRule>
  </conditionalFormatting>
  <conditionalFormatting sqref="Q919">
    <cfRule type="dataBar" priority="325">
      <dataBar>
        <cfvo type="min"/>
        <cfvo type="max"/>
        <color rgb="FFFF555A"/>
      </dataBar>
    </cfRule>
  </conditionalFormatting>
  <conditionalFormatting sqref="E903:E919">
    <cfRule type="dataBar" priority="324">
      <dataBar>
        <cfvo type="min"/>
        <cfvo type="max"/>
        <color rgb="FFFF555A"/>
      </dataBar>
    </cfRule>
  </conditionalFormatting>
  <conditionalFormatting sqref="F919">
    <cfRule type="top10" dxfId="123" priority="323" rank="1"/>
  </conditionalFormatting>
  <conditionalFormatting sqref="G919 P919">
    <cfRule type="cellIs" dxfId="122" priority="322" operator="equal">
      <formula>$G$135</formula>
    </cfRule>
  </conditionalFormatting>
  <conditionalFormatting sqref="P919">
    <cfRule type="cellIs" dxfId="121" priority="321" operator="equal">
      <formula>$J$135</formula>
    </cfRule>
  </conditionalFormatting>
  <conditionalFormatting sqref="G919 P919">
    <cfRule type="cellIs" dxfId="120" priority="320" operator="equal">
      <formula>#REF!</formula>
    </cfRule>
  </conditionalFormatting>
  <conditionalFormatting sqref="G919">
    <cfRule type="top10" dxfId="119" priority="318" rank="1"/>
    <cfRule type="cellIs" dxfId="118" priority="319" operator="equal">
      <formula>$G$133</formula>
    </cfRule>
  </conditionalFormatting>
  <conditionalFormatting sqref="P919">
    <cfRule type="top10" dxfId="117" priority="316" rank="1"/>
    <cfRule type="cellIs" dxfId="116" priority="317" operator="equal">
      <formula>$G$133</formula>
    </cfRule>
  </conditionalFormatting>
  <conditionalFormatting sqref="C903:C918">
    <cfRule type="containsText" dxfId="115" priority="312" operator="containsText" text="Short Buildup">
      <formula>NOT(ISERROR(SEARCH("Short Buildup",C903)))</formula>
    </cfRule>
    <cfRule type="containsText" dxfId="114" priority="313" operator="containsText" text="Long Liquidation">
      <formula>NOT(ISERROR(SEARCH("Long Liquidation",C903)))</formula>
    </cfRule>
    <cfRule type="containsText" dxfId="113" priority="314" operator="containsText" text="Short covering">
      <formula>NOT(ISERROR(SEARCH("Short covering",C903)))</formula>
    </cfRule>
    <cfRule type="containsText" dxfId="112" priority="315" operator="containsText" text="Long Buildup">
      <formula>NOT(ISERROR(SEARCH("Long Buildup",C903)))</formula>
    </cfRule>
  </conditionalFormatting>
  <conditionalFormatting sqref="H919">
    <cfRule type="colorScale" priority="307">
      <colorScale>
        <cfvo type="min"/>
        <cfvo type="percentile" val="20"/>
        <cfvo type="max"/>
        <color rgb="FF92D050"/>
        <color theme="5" tint="0.79998168889431442"/>
        <color rgb="FFFF0000"/>
      </colorScale>
    </cfRule>
    <cfRule type="colorScale" priority="308">
      <colorScale>
        <cfvo type="min"/>
        <cfvo type="max"/>
        <color rgb="FFFF0000"/>
        <color rgb="FF92D050"/>
      </colorScale>
    </cfRule>
    <cfRule type="colorScale" priority="309">
      <colorScale>
        <cfvo type="min"/>
        <cfvo type="percentile" val="50"/>
        <cfvo type="max"/>
        <color rgb="FF5A8AC6"/>
        <color rgb="FFFCFCFF"/>
        <color rgb="FFF8696B"/>
      </colorScale>
    </cfRule>
    <cfRule type="colorScale" priority="310">
      <colorScale>
        <cfvo type="formula" val="&quot;&gt;20&quot;"/>
        <cfvo type="formula" val="35"/>
        <color rgb="FFF8696B"/>
        <color rgb="FFFCFCFF"/>
      </colorScale>
    </cfRule>
    <cfRule type="colorScale" priority="311">
      <colorScale>
        <cfvo type="min"/>
        <cfvo type="max"/>
        <color rgb="FFFFEF9C"/>
        <color rgb="FF63BE7B"/>
      </colorScale>
    </cfRule>
  </conditionalFormatting>
  <conditionalFormatting sqref="N919">
    <cfRule type="colorScale" priority="302">
      <colorScale>
        <cfvo type="min"/>
        <cfvo type="percentile" val="20"/>
        <cfvo type="max"/>
        <color rgb="FF92D050"/>
        <color theme="5" tint="0.79998168889431442"/>
        <color rgb="FFFF0000"/>
      </colorScale>
    </cfRule>
    <cfRule type="colorScale" priority="303">
      <colorScale>
        <cfvo type="min"/>
        <cfvo type="max"/>
        <color rgb="FFFF0000"/>
        <color rgb="FF92D050"/>
      </colorScale>
    </cfRule>
    <cfRule type="colorScale" priority="304">
      <colorScale>
        <cfvo type="min"/>
        <cfvo type="percentile" val="50"/>
        <cfvo type="max"/>
        <color rgb="FF5A8AC6"/>
        <color rgb="FFFCFCFF"/>
        <color rgb="FFF8696B"/>
      </colorScale>
    </cfRule>
    <cfRule type="colorScale" priority="305">
      <colorScale>
        <cfvo type="formula" val="&quot;&gt;20&quot;"/>
        <cfvo type="formula" val="35"/>
        <color rgb="FFF8696B"/>
        <color rgb="FFFCFCFF"/>
      </colorScale>
    </cfRule>
    <cfRule type="colorScale" priority="306">
      <colorScale>
        <cfvo type="min"/>
        <cfvo type="max"/>
        <color rgb="FFFFEF9C"/>
        <color rgb="FF63BE7B"/>
      </colorScale>
    </cfRule>
  </conditionalFormatting>
  <conditionalFormatting sqref="S903:S919">
    <cfRule type="containsText" dxfId="111" priority="298" operator="containsText" text="Short Buildup">
      <formula>NOT(ISERROR(SEARCH("Short Buildup",S903)))</formula>
    </cfRule>
    <cfRule type="containsText" dxfId="110" priority="299" operator="containsText" text="Long Liquidation">
      <formula>NOT(ISERROR(SEARCH("Long Liquidation",S903)))</formula>
    </cfRule>
    <cfRule type="containsText" dxfId="109" priority="300" operator="containsText" text="Short covering">
      <formula>NOT(ISERROR(SEARCH("Short covering",S903)))</formula>
    </cfRule>
    <cfRule type="containsText" dxfId="108" priority="301" operator="containsText" text="Long Buildup">
      <formula>NOT(ISERROR(SEARCH("Long Buildup",S903)))</formula>
    </cfRule>
  </conditionalFormatting>
  <conditionalFormatting sqref="F903:F918">
    <cfRule type="dataBar" priority="297">
      <dataBar>
        <cfvo type="min"/>
        <cfvo type="max"/>
        <color rgb="FFFF555A"/>
      </dataBar>
    </cfRule>
  </conditionalFormatting>
  <conditionalFormatting sqref="G903:G918">
    <cfRule type="dataBar" priority="296">
      <dataBar>
        <cfvo type="min"/>
        <cfvo type="max"/>
        <color rgb="FFFF555A"/>
      </dataBar>
    </cfRule>
  </conditionalFormatting>
  <conditionalFormatting sqref="H903">
    <cfRule type="dataBar" priority="295">
      <dataBar>
        <cfvo type="min"/>
        <cfvo type="max"/>
        <color rgb="FFFF555A"/>
      </dataBar>
    </cfRule>
  </conditionalFormatting>
  <conditionalFormatting sqref="I903">
    <cfRule type="dataBar" priority="294">
      <dataBar>
        <cfvo type="min"/>
        <cfvo type="max"/>
        <color rgb="FFFF555A"/>
      </dataBar>
    </cfRule>
  </conditionalFormatting>
  <conditionalFormatting sqref="J903">
    <cfRule type="dataBar" priority="293">
      <dataBar>
        <cfvo type="min"/>
        <cfvo type="max"/>
        <color rgb="FFFF555A"/>
      </dataBar>
    </cfRule>
  </conditionalFormatting>
  <conditionalFormatting sqref="E904:E918">
    <cfRule type="dataBar" priority="292">
      <dataBar>
        <cfvo type="min"/>
        <cfvo type="max"/>
        <color rgb="FFFF555A"/>
      </dataBar>
    </cfRule>
  </conditionalFormatting>
  <conditionalFormatting sqref="H904:H918">
    <cfRule type="dataBar" priority="291">
      <dataBar>
        <cfvo type="min"/>
        <cfvo type="max"/>
        <color rgb="FFFF555A"/>
      </dataBar>
    </cfRule>
  </conditionalFormatting>
  <conditionalFormatting sqref="I904:I918">
    <cfRule type="dataBar" priority="290">
      <dataBar>
        <cfvo type="min"/>
        <cfvo type="max"/>
        <color rgb="FFFF555A"/>
      </dataBar>
    </cfRule>
  </conditionalFormatting>
  <conditionalFormatting sqref="J904:J918">
    <cfRule type="dataBar" priority="289">
      <dataBar>
        <cfvo type="min"/>
        <cfvo type="max"/>
        <color rgb="FFFF555A"/>
      </dataBar>
    </cfRule>
  </conditionalFormatting>
  <conditionalFormatting sqref="L903:L918">
    <cfRule type="dataBar" priority="288">
      <dataBar>
        <cfvo type="min"/>
        <cfvo type="max"/>
        <color rgb="FFFF555A"/>
      </dataBar>
    </cfRule>
  </conditionalFormatting>
  <conditionalFormatting sqref="M903:M918">
    <cfRule type="dataBar" priority="287">
      <dataBar>
        <cfvo type="min"/>
        <cfvo type="max"/>
        <color rgb="FFFF555A"/>
      </dataBar>
    </cfRule>
  </conditionalFormatting>
  <conditionalFormatting sqref="N903:N918">
    <cfRule type="dataBar" priority="286">
      <dataBar>
        <cfvo type="min"/>
        <cfvo type="max"/>
        <color rgb="FFFF555A"/>
      </dataBar>
    </cfRule>
  </conditionalFormatting>
  <conditionalFormatting sqref="Q903:Q918">
    <cfRule type="dataBar" priority="285">
      <dataBar>
        <cfvo type="min"/>
        <cfvo type="max"/>
        <color rgb="FFFF555A"/>
      </dataBar>
    </cfRule>
  </conditionalFormatting>
  <conditionalFormatting sqref="O903:O918">
    <cfRule type="dataBar" priority="284">
      <dataBar>
        <cfvo type="min"/>
        <cfvo type="max"/>
        <color rgb="FFFF555A"/>
      </dataBar>
    </cfRule>
  </conditionalFormatting>
  <conditionalFormatting sqref="P903:P918">
    <cfRule type="dataBar" priority="283">
      <dataBar>
        <cfvo type="min"/>
        <cfvo type="max"/>
        <color rgb="FFFF555A"/>
      </dataBar>
    </cfRule>
  </conditionalFormatting>
  <conditionalFormatting sqref="R920:R936 D920:D935 C936">
    <cfRule type="containsText" dxfId="107" priority="282" operator="containsText" text="DOWN">
      <formula>NOT(ISERROR(SEARCH("DOWN",C920)))</formula>
    </cfRule>
  </conditionalFormatting>
  <conditionalFormatting sqref="R920:R936 D920:D935 C936">
    <cfRule type="containsText" dxfId="106" priority="281" operator="containsText" text="UP">
      <formula>NOT(ISERROR(SEARCH("UP",C920)))</formula>
    </cfRule>
  </conditionalFormatting>
  <conditionalFormatting sqref="I936">
    <cfRule type="colorScale" priority="280">
      <colorScale>
        <cfvo type="min"/>
        <cfvo type="max"/>
        <color rgb="FFFFEF9C"/>
        <color rgb="FF63BE7B"/>
      </colorScale>
    </cfRule>
  </conditionalFormatting>
  <conditionalFormatting sqref="M936">
    <cfRule type="colorScale" priority="279">
      <colorScale>
        <cfvo type="min"/>
        <cfvo type="max"/>
        <color rgb="FFFF7128"/>
        <color rgb="FFFFEF9C"/>
      </colorScale>
    </cfRule>
  </conditionalFormatting>
  <conditionalFormatting sqref="Q936">
    <cfRule type="dataBar" priority="278">
      <dataBar>
        <cfvo type="min"/>
        <cfvo type="max"/>
        <color rgb="FFFF555A"/>
      </dataBar>
    </cfRule>
  </conditionalFormatting>
  <conditionalFormatting sqref="E920:E936">
    <cfRule type="dataBar" priority="277">
      <dataBar>
        <cfvo type="min"/>
        <cfvo type="max"/>
        <color rgb="FFFF555A"/>
      </dataBar>
    </cfRule>
  </conditionalFormatting>
  <conditionalFormatting sqref="F936">
    <cfRule type="top10" dxfId="105" priority="276" rank="1"/>
  </conditionalFormatting>
  <conditionalFormatting sqref="G936 P936">
    <cfRule type="cellIs" dxfId="104" priority="275" operator="equal">
      <formula>$G$135</formula>
    </cfRule>
  </conditionalFormatting>
  <conditionalFormatting sqref="P936">
    <cfRule type="cellIs" dxfId="103" priority="274" operator="equal">
      <formula>$J$135</formula>
    </cfRule>
  </conditionalFormatting>
  <conditionalFormatting sqref="G936 P936">
    <cfRule type="cellIs" dxfId="102" priority="273" operator="equal">
      <formula>#REF!</formula>
    </cfRule>
  </conditionalFormatting>
  <conditionalFormatting sqref="G936">
    <cfRule type="top10" dxfId="101" priority="271" rank="1"/>
    <cfRule type="cellIs" dxfId="100" priority="272" operator="equal">
      <formula>$G$133</formula>
    </cfRule>
  </conditionalFormatting>
  <conditionalFormatting sqref="P936">
    <cfRule type="top10" dxfId="99" priority="269" rank="1"/>
    <cfRule type="cellIs" dxfId="98" priority="270" operator="equal">
      <formula>$G$133</formula>
    </cfRule>
  </conditionalFormatting>
  <conditionalFormatting sqref="C920:C935">
    <cfRule type="containsText" dxfId="97" priority="265" operator="containsText" text="Short Buildup">
      <formula>NOT(ISERROR(SEARCH("Short Buildup",C920)))</formula>
    </cfRule>
    <cfRule type="containsText" dxfId="96" priority="266" operator="containsText" text="Long Liquidation">
      <formula>NOT(ISERROR(SEARCH("Long Liquidation",C920)))</formula>
    </cfRule>
    <cfRule type="containsText" dxfId="95" priority="267" operator="containsText" text="Short covering">
      <formula>NOT(ISERROR(SEARCH("Short covering",C920)))</formula>
    </cfRule>
    <cfRule type="containsText" dxfId="94" priority="268" operator="containsText" text="Long Buildup">
      <formula>NOT(ISERROR(SEARCH("Long Buildup",C920)))</formula>
    </cfRule>
  </conditionalFormatting>
  <conditionalFormatting sqref="H936">
    <cfRule type="colorScale" priority="260">
      <colorScale>
        <cfvo type="min"/>
        <cfvo type="percentile" val="20"/>
        <cfvo type="max"/>
        <color rgb="FF92D050"/>
        <color theme="5" tint="0.79998168889431442"/>
        <color rgb="FFFF0000"/>
      </colorScale>
    </cfRule>
    <cfRule type="colorScale" priority="261">
      <colorScale>
        <cfvo type="min"/>
        <cfvo type="max"/>
        <color rgb="FFFF0000"/>
        <color rgb="FF92D050"/>
      </colorScale>
    </cfRule>
    <cfRule type="colorScale" priority="262">
      <colorScale>
        <cfvo type="min"/>
        <cfvo type="percentile" val="50"/>
        <cfvo type="max"/>
        <color rgb="FF5A8AC6"/>
        <color rgb="FFFCFCFF"/>
        <color rgb="FFF8696B"/>
      </colorScale>
    </cfRule>
    <cfRule type="colorScale" priority="263">
      <colorScale>
        <cfvo type="formula" val="&quot;&gt;20&quot;"/>
        <cfvo type="formula" val="35"/>
        <color rgb="FFF8696B"/>
        <color rgb="FFFCFCFF"/>
      </colorScale>
    </cfRule>
    <cfRule type="colorScale" priority="264">
      <colorScale>
        <cfvo type="min"/>
        <cfvo type="max"/>
        <color rgb="FFFFEF9C"/>
        <color rgb="FF63BE7B"/>
      </colorScale>
    </cfRule>
  </conditionalFormatting>
  <conditionalFormatting sqref="N936">
    <cfRule type="colorScale" priority="255">
      <colorScale>
        <cfvo type="min"/>
        <cfvo type="percentile" val="20"/>
        <cfvo type="max"/>
        <color rgb="FF92D050"/>
        <color theme="5" tint="0.79998168889431442"/>
        <color rgb="FFFF0000"/>
      </colorScale>
    </cfRule>
    <cfRule type="colorScale" priority="256">
      <colorScale>
        <cfvo type="min"/>
        <cfvo type="max"/>
        <color rgb="FFFF0000"/>
        <color rgb="FF92D050"/>
      </colorScale>
    </cfRule>
    <cfRule type="colorScale" priority="257">
      <colorScale>
        <cfvo type="min"/>
        <cfvo type="percentile" val="50"/>
        <cfvo type="max"/>
        <color rgb="FF5A8AC6"/>
        <color rgb="FFFCFCFF"/>
        <color rgb="FFF8696B"/>
      </colorScale>
    </cfRule>
    <cfRule type="colorScale" priority="258">
      <colorScale>
        <cfvo type="formula" val="&quot;&gt;20&quot;"/>
        <cfvo type="formula" val="35"/>
        <color rgb="FFF8696B"/>
        <color rgb="FFFCFCFF"/>
      </colorScale>
    </cfRule>
    <cfRule type="colorScale" priority="259">
      <colorScale>
        <cfvo type="min"/>
        <cfvo type="max"/>
        <color rgb="FFFFEF9C"/>
        <color rgb="FF63BE7B"/>
      </colorScale>
    </cfRule>
  </conditionalFormatting>
  <conditionalFormatting sqref="S920:S936">
    <cfRule type="containsText" dxfId="93" priority="251" operator="containsText" text="Short Buildup">
      <formula>NOT(ISERROR(SEARCH("Short Buildup",S920)))</formula>
    </cfRule>
    <cfRule type="containsText" dxfId="92" priority="252" operator="containsText" text="Long Liquidation">
      <formula>NOT(ISERROR(SEARCH("Long Liquidation",S920)))</formula>
    </cfRule>
    <cfRule type="containsText" dxfId="91" priority="253" operator="containsText" text="Short covering">
      <formula>NOT(ISERROR(SEARCH("Short covering",S920)))</formula>
    </cfRule>
    <cfRule type="containsText" dxfId="90" priority="254" operator="containsText" text="Long Buildup">
      <formula>NOT(ISERROR(SEARCH("Long Buildup",S920)))</formula>
    </cfRule>
  </conditionalFormatting>
  <conditionalFormatting sqref="F920:F935">
    <cfRule type="dataBar" priority="250">
      <dataBar>
        <cfvo type="min"/>
        <cfvo type="max"/>
        <color rgb="FFFF555A"/>
      </dataBar>
    </cfRule>
  </conditionalFormatting>
  <conditionalFormatting sqref="G920:G935">
    <cfRule type="dataBar" priority="249">
      <dataBar>
        <cfvo type="min"/>
        <cfvo type="max"/>
        <color rgb="FFFF555A"/>
      </dataBar>
    </cfRule>
  </conditionalFormatting>
  <conditionalFormatting sqref="H920">
    <cfRule type="dataBar" priority="248">
      <dataBar>
        <cfvo type="min"/>
        <cfvo type="max"/>
        <color rgb="FFFF555A"/>
      </dataBar>
    </cfRule>
  </conditionalFormatting>
  <conditionalFormatting sqref="I920">
    <cfRule type="dataBar" priority="247">
      <dataBar>
        <cfvo type="min"/>
        <cfvo type="max"/>
        <color rgb="FFFF555A"/>
      </dataBar>
    </cfRule>
  </conditionalFormatting>
  <conditionalFormatting sqref="J920">
    <cfRule type="dataBar" priority="246">
      <dataBar>
        <cfvo type="min"/>
        <cfvo type="max"/>
        <color rgb="FFFF555A"/>
      </dataBar>
    </cfRule>
  </conditionalFormatting>
  <conditionalFormatting sqref="E921:E935">
    <cfRule type="dataBar" priority="245">
      <dataBar>
        <cfvo type="min"/>
        <cfvo type="max"/>
        <color rgb="FFFF555A"/>
      </dataBar>
    </cfRule>
  </conditionalFormatting>
  <conditionalFormatting sqref="H921:H935">
    <cfRule type="dataBar" priority="244">
      <dataBar>
        <cfvo type="min"/>
        <cfvo type="max"/>
        <color rgb="FFFF555A"/>
      </dataBar>
    </cfRule>
  </conditionalFormatting>
  <conditionalFormatting sqref="I921:I935">
    <cfRule type="dataBar" priority="243">
      <dataBar>
        <cfvo type="min"/>
        <cfvo type="max"/>
        <color rgb="FFFF555A"/>
      </dataBar>
    </cfRule>
  </conditionalFormatting>
  <conditionalFormatting sqref="J921:J935">
    <cfRule type="dataBar" priority="242">
      <dataBar>
        <cfvo type="min"/>
        <cfvo type="max"/>
        <color rgb="FFFF555A"/>
      </dataBar>
    </cfRule>
  </conditionalFormatting>
  <conditionalFormatting sqref="L920:L935">
    <cfRule type="dataBar" priority="241">
      <dataBar>
        <cfvo type="min"/>
        <cfvo type="max"/>
        <color rgb="FFFF555A"/>
      </dataBar>
    </cfRule>
  </conditionalFormatting>
  <conditionalFormatting sqref="M920:M935">
    <cfRule type="dataBar" priority="240">
      <dataBar>
        <cfvo type="min"/>
        <cfvo type="max"/>
        <color rgb="FFFF555A"/>
      </dataBar>
    </cfRule>
  </conditionalFormatting>
  <conditionalFormatting sqref="N920:N935">
    <cfRule type="dataBar" priority="239">
      <dataBar>
        <cfvo type="min"/>
        <cfvo type="max"/>
        <color rgb="FFFF555A"/>
      </dataBar>
    </cfRule>
  </conditionalFormatting>
  <conditionalFormatting sqref="Q920:Q935">
    <cfRule type="dataBar" priority="238">
      <dataBar>
        <cfvo type="min"/>
        <cfvo type="max"/>
        <color rgb="FFFF555A"/>
      </dataBar>
    </cfRule>
  </conditionalFormatting>
  <conditionalFormatting sqref="O920:O935">
    <cfRule type="dataBar" priority="237">
      <dataBar>
        <cfvo type="min"/>
        <cfvo type="max"/>
        <color rgb="FFFF555A"/>
      </dataBar>
    </cfRule>
  </conditionalFormatting>
  <conditionalFormatting sqref="P920:P935">
    <cfRule type="dataBar" priority="236">
      <dataBar>
        <cfvo type="min"/>
        <cfvo type="max"/>
        <color rgb="FFFF555A"/>
      </dataBar>
    </cfRule>
  </conditionalFormatting>
  <conditionalFormatting sqref="R937:R953 D937:D952 C953">
    <cfRule type="containsText" dxfId="89" priority="235" operator="containsText" text="DOWN">
      <formula>NOT(ISERROR(SEARCH("DOWN",C937)))</formula>
    </cfRule>
  </conditionalFormatting>
  <conditionalFormatting sqref="R937:R953 D937:D952 C953">
    <cfRule type="containsText" dxfId="88" priority="234" operator="containsText" text="UP">
      <formula>NOT(ISERROR(SEARCH("UP",C937)))</formula>
    </cfRule>
  </conditionalFormatting>
  <conditionalFormatting sqref="I953">
    <cfRule type="colorScale" priority="233">
      <colorScale>
        <cfvo type="min"/>
        <cfvo type="max"/>
        <color rgb="FFFFEF9C"/>
        <color rgb="FF63BE7B"/>
      </colorScale>
    </cfRule>
  </conditionalFormatting>
  <conditionalFormatting sqref="M953">
    <cfRule type="colorScale" priority="232">
      <colorScale>
        <cfvo type="min"/>
        <cfvo type="max"/>
        <color rgb="FFFF7128"/>
        <color rgb="FFFFEF9C"/>
      </colorScale>
    </cfRule>
  </conditionalFormatting>
  <conditionalFormatting sqref="Q953">
    <cfRule type="dataBar" priority="231">
      <dataBar>
        <cfvo type="min"/>
        <cfvo type="max"/>
        <color rgb="FFFF555A"/>
      </dataBar>
    </cfRule>
  </conditionalFormatting>
  <conditionalFormatting sqref="E937:E953">
    <cfRule type="dataBar" priority="230">
      <dataBar>
        <cfvo type="min"/>
        <cfvo type="max"/>
        <color rgb="FFFF555A"/>
      </dataBar>
    </cfRule>
  </conditionalFormatting>
  <conditionalFormatting sqref="F953">
    <cfRule type="top10" dxfId="87" priority="229" rank="1"/>
  </conditionalFormatting>
  <conditionalFormatting sqref="G953 P953">
    <cfRule type="cellIs" dxfId="86" priority="228" operator="equal">
      <formula>$G$135</formula>
    </cfRule>
  </conditionalFormatting>
  <conditionalFormatting sqref="P953">
    <cfRule type="cellIs" dxfId="85" priority="227" operator="equal">
      <formula>$J$135</formula>
    </cfRule>
  </conditionalFormatting>
  <conditionalFormatting sqref="G953 P953">
    <cfRule type="cellIs" dxfId="84" priority="226" operator="equal">
      <formula>#REF!</formula>
    </cfRule>
  </conditionalFormatting>
  <conditionalFormatting sqref="G953">
    <cfRule type="top10" dxfId="83" priority="224" rank="1"/>
    <cfRule type="cellIs" dxfId="82" priority="225" operator="equal">
      <formula>$G$133</formula>
    </cfRule>
  </conditionalFormatting>
  <conditionalFormatting sqref="P953">
    <cfRule type="top10" dxfId="81" priority="222" rank="1"/>
    <cfRule type="cellIs" dxfId="80" priority="223" operator="equal">
      <formula>$G$133</formula>
    </cfRule>
  </conditionalFormatting>
  <conditionalFormatting sqref="C937:C952">
    <cfRule type="containsText" dxfId="79" priority="218" operator="containsText" text="Short Buildup">
      <formula>NOT(ISERROR(SEARCH("Short Buildup",C937)))</formula>
    </cfRule>
    <cfRule type="containsText" dxfId="78" priority="219" operator="containsText" text="Long Liquidation">
      <formula>NOT(ISERROR(SEARCH("Long Liquidation",C937)))</formula>
    </cfRule>
    <cfRule type="containsText" dxfId="77" priority="220" operator="containsText" text="Short covering">
      <formula>NOT(ISERROR(SEARCH("Short covering",C937)))</formula>
    </cfRule>
    <cfRule type="containsText" dxfId="76" priority="221" operator="containsText" text="Long Buildup">
      <formula>NOT(ISERROR(SEARCH("Long Buildup",C937)))</formula>
    </cfRule>
  </conditionalFormatting>
  <conditionalFormatting sqref="H953">
    <cfRule type="colorScale" priority="213">
      <colorScale>
        <cfvo type="min"/>
        <cfvo type="percentile" val="20"/>
        <cfvo type="max"/>
        <color rgb="FF92D050"/>
        <color theme="5" tint="0.79998168889431442"/>
        <color rgb="FFFF0000"/>
      </colorScale>
    </cfRule>
    <cfRule type="colorScale" priority="214">
      <colorScale>
        <cfvo type="min"/>
        <cfvo type="max"/>
        <color rgb="FFFF0000"/>
        <color rgb="FF92D050"/>
      </colorScale>
    </cfRule>
    <cfRule type="colorScale" priority="215">
      <colorScale>
        <cfvo type="min"/>
        <cfvo type="percentile" val="50"/>
        <cfvo type="max"/>
        <color rgb="FF5A8AC6"/>
        <color rgb="FFFCFCFF"/>
        <color rgb="FFF8696B"/>
      </colorScale>
    </cfRule>
    <cfRule type="colorScale" priority="216">
      <colorScale>
        <cfvo type="formula" val="&quot;&gt;20&quot;"/>
        <cfvo type="formula" val="35"/>
        <color rgb="FFF8696B"/>
        <color rgb="FFFCFCFF"/>
      </colorScale>
    </cfRule>
    <cfRule type="colorScale" priority="217">
      <colorScale>
        <cfvo type="min"/>
        <cfvo type="max"/>
        <color rgb="FFFFEF9C"/>
        <color rgb="FF63BE7B"/>
      </colorScale>
    </cfRule>
  </conditionalFormatting>
  <conditionalFormatting sqref="N953">
    <cfRule type="colorScale" priority="208">
      <colorScale>
        <cfvo type="min"/>
        <cfvo type="percentile" val="20"/>
        <cfvo type="max"/>
        <color rgb="FF92D050"/>
        <color theme="5" tint="0.79998168889431442"/>
        <color rgb="FFFF0000"/>
      </colorScale>
    </cfRule>
    <cfRule type="colorScale" priority="209">
      <colorScale>
        <cfvo type="min"/>
        <cfvo type="max"/>
        <color rgb="FFFF0000"/>
        <color rgb="FF92D050"/>
      </colorScale>
    </cfRule>
    <cfRule type="colorScale" priority="210">
      <colorScale>
        <cfvo type="min"/>
        <cfvo type="percentile" val="50"/>
        <cfvo type="max"/>
        <color rgb="FF5A8AC6"/>
        <color rgb="FFFCFCFF"/>
        <color rgb="FFF8696B"/>
      </colorScale>
    </cfRule>
    <cfRule type="colorScale" priority="211">
      <colorScale>
        <cfvo type="formula" val="&quot;&gt;20&quot;"/>
        <cfvo type="formula" val="35"/>
        <color rgb="FFF8696B"/>
        <color rgb="FFFCFCFF"/>
      </colorScale>
    </cfRule>
    <cfRule type="colorScale" priority="212">
      <colorScale>
        <cfvo type="min"/>
        <cfvo type="max"/>
        <color rgb="FFFFEF9C"/>
        <color rgb="FF63BE7B"/>
      </colorScale>
    </cfRule>
  </conditionalFormatting>
  <conditionalFormatting sqref="S937:S953">
    <cfRule type="containsText" dxfId="75" priority="204" operator="containsText" text="Short Buildup">
      <formula>NOT(ISERROR(SEARCH("Short Buildup",S937)))</formula>
    </cfRule>
    <cfRule type="containsText" dxfId="74" priority="205" operator="containsText" text="Long Liquidation">
      <formula>NOT(ISERROR(SEARCH("Long Liquidation",S937)))</formula>
    </cfRule>
    <cfRule type="containsText" dxfId="73" priority="206" operator="containsText" text="Short covering">
      <formula>NOT(ISERROR(SEARCH("Short covering",S937)))</formula>
    </cfRule>
    <cfRule type="containsText" dxfId="72" priority="207" operator="containsText" text="Long Buildup">
      <formula>NOT(ISERROR(SEARCH("Long Buildup",S937)))</formula>
    </cfRule>
  </conditionalFormatting>
  <conditionalFormatting sqref="F937:F952">
    <cfRule type="dataBar" priority="203">
      <dataBar>
        <cfvo type="min"/>
        <cfvo type="max"/>
        <color rgb="FFFF555A"/>
      </dataBar>
    </cfRule>
  </conditionalFormatting>
  <conditionalFormatting sqref="G937:G952">
    <cfRule type="dataBar" priority="202">
      <dataBar>
        <cfvo type="min"/>
        <cfvo type="max"/>
        <color rgb="FFFF555A"/>
      </dataBar>
    </cfRule>
  </conditionalFormatting>
  <conditionalFormatting sqref="H937">
    <cfRule type="dataBar" priority="201">
      <dataBar>
        <cfvo type="min"/>
        <cfvo type="max"/>
        <color rgb="FFFF555A"/>
      </dataBar>
    </cfRule>
  </conditionalFormatting>
  <conditionalFormatting sqref="I937">
    <cfRule type="dataBar" priority="200">
      <dataBar>
        <cfvo type="min"/>
        <cfvo type="max"/>
        <color rgb="FFFF555A"/>
      </dataBar>
    </cfRule>
  </conditionalFormatting>
  <conditionalFormatting sqref="J937">
    <cfRule type="dataBar" priority="199">
      <dataBar>
        <cfvo type="min"/>
        <cfvo type="max"/>
        <color rgb="FFFF555A"/>
      </dataBar>
    </cfRule>
  </conditionalFormatting>
  <conditionalFormatting sqref="E938:E952">
    <cfRule type="dataBar" priority="198">
      <dataBar>
        <cfvo type="min"/>
        <cfvo type="max"/>
        <color rgb="FFFF555A"/>
      </dataBar>
    </cfRule>
  </conditionalFormatting>
  <conditionalFormatting sqref="H938:H952">
    <cfRule type="dataBar" priority="197">
      <dataBar>
        <cfvo type="min"/>
        <cfvo type="max"/>
        <color rgb="FFFF555A"/>
      </dataBar>
    </cfRule>
  </conditionalFormatting>
  <conditionalFormatting sqref="I938:I952">
    <cfRule type="dataBar" priority="196">
      <dataBar>
        <cfvo type="min"/>
        <cfvo type="max"/>
        <color rgb="FFFF555A"/>
      </dataBar>
    </cfRule>
  </conditionalFormatting>
  <conditionalFormatting sqref="J938:J952">
    <cfRule type="dataBar" priority="195">
      <dataBar>
        <cfvo type="min"/>
        <cfvo type="max"/>
        <color rgb="FFFF555A"/>
      </dataBar>
    </cfRule>
  </conditionalFormatting>
  <conditionalFormatting sqref="L937:L952">
    <cfRule type="dataBar" priority="194">
      <dataBar>
        <cfvo type="min"/>
        <cfvo type="max"/>
        <color rgb="FFFF555A"/>
      </dataBar>
    </cfRule>
  </conditionalFormatting>
  <conditionalFormatting sqref="M937:M952">
    <cfRule type="dataBar" priority="193">
      <dataBar>
        <cfvo type="min"/>
        <cfvo type="max"/>
        <color rgb="FFFF555A"/>
      </dataBar>
    </cfRule>
  </conditionalFormatting>
  <conditionalFormatting sqref="N937:N952">
    <cfRule type="dataBar" priority="192">
      <dataBar>
        <cfvo type="min"/>
        <cfvo type="max"/>
        <color rgb="FFFF555A"/>
      </dataBar>
    </cfRule>
  </conditionalFormatting>
  <conditionalFormatting sqref="Q937:Q952">
    <cfRule type="dataBar" priority="191">
      <dataBar>
        <cfvo type="min"/>
        <cfvo type="max"/>
        <color rgb="FFFF555A"/>
      </dataBar>
    </cfRule>
  </conditionalFormatting>
  <conditionalFormatting sqref="O937:O952">
    <cfRule type="dataBar" priority="190">
      <dataBar>
        <cfvo type="min"/>
        <cfvo type="max"/>
        <color rgb="FFFF555A"/>
      </dataBar>
    </cfRule>
  </conditionalFormatting>
  <conditionalFormatting sqref="P937:P952">
    <cfRule type="dataBar" priority="189">
      <dataBar>
        <cfvo type="min"/>
        <cfvo type="max"/>
        <color rgb="FFFF555A"/>
      </dataBar>
    </cfRule>
  </conditionalFormatting>
  <conditionalFormatting sqref="R954:R970 D954:D969 C970">
    <cfRule type="containsText" dxfId="71" priority="188" operator="containsText" text="DOWN">
      <formula>NOT(ISERROR(SEARCH("DOWN",C954)))</formula>
    </cfRule>
  </conditionalFormatting>
  <conditionalFormatting sqref="R954:R970 D954:D969 C970">
    <cfRule type="containsText" dxfId="70" priority="187" operator="containsText" text="UP">
      <formula>NOT(ISERROR(SEARCH("UP",C954)))</formula>
    </cfRule>
  </conditionalFormatting>
  <conditionalFormatting sqref="I970">
    <cfRule type="colorScale" priority="186">
      <colorScale>
        <cfvo type="min"/>
        <cfvo type="max"/>
        <color rgb="FFFFEF9C"/>
        <color rgb="FF63BE7B"/>
      </colorScale>
    </cfRule>
  </conditionalFormatting>
  <conditionalFormatting sqref="M970">
    <cfRule type="colorScale" priority="185">
      <colorScale>
        <cfvo type="min"/>
        <cfvo type="max"/>
        <color rgb="FFFF7128"/>
        <color rgb="FFFFEF9C"/>
      </colorScale>
    </cfRule>
  </conditionalFormatting>
  <conditionalFormatting sqref="Q970">
    <cfRule type="dataBar" priority="184">
      <dataBar>
        <cfvo type="min"/>
        <cfvo type="max"/>
        <color rgb="FFFF555A"/>
      </dataBar>
    </cfRule>
  </conditionalFormatting>
  <conditionalFormatting sqref="E954:E970">
    <cfRule type="dataBar" priority="183">
      <dataBar>
        <cfvo type="min"/>
        <cfvo type="max"/>
        <color rgb="FFFF555A"/>
      </dataBar>
    </cfRule>
  </conditionalFormatting>
  <conditionalFormatting sqref="F970">
    <cfRule type="top10" dxfId="69" priority="182" rank="1"/>
  </conditionalFormatting>
  <conditionalFormatting sqref="G970 P970">
    <cfRule type="cellIs" dxfId="68" priority="181" operator="equal">
      <formula>$G$135</formula>
    </cfRule>
  </conditionalFormatting>
  <conditionalFormatting sqref="P970">
    <cfRule type="cellIs" dxfId="67" priority="180" operator="equal">
      <formula>$J$135</formula>
    </cfRule>
  </conditionalFormatting>
  <conditionalFormatting sqref="G970 P970">
    <cfRule type="cellIs" dxfId="66" priority="179" operator="equal">
      <formula>#REF!</formula>
    </cfRule>
  </conditionalFormatting>
  <conditionalFormatting sqref="G970">
    <cfRule type="top10" dxfId="65" priority="177" rank="1"/>
    <cfRule type="cellIs" dxfId="64" priority="178" operator="equal">
      <formula>$G$133</formula>
    </cfRule>
  </conditionalFormatting>
  <conditionalFormatting sqref="P970">
    <cfRule type="top10" dxfId="63" priority="175" rank="1"/>
    <cfRule type="cellIs" dxfId="62" priority="176" operator="equal">
      <formula>$G$133</formula>
    </cfRule>
  </conditionalFormatting>
  <conditionalFormatting sqref="C954:C969">
    <cfRule type="containsText" dxfId="61" priority="171" operator="containsText" text="Short Buildup">
      <formula>NOT(ISERROR(SEARCH("Short Buildup",C954)))</formula>
    </cfRule>
    <cfRule type="containsText" dxfId="60" priority="172" operator="containsText" text="Long Liquidation">
      <formula>NOT(ISERROR(SEARCH("Long Liquidation",C954)))</formula>
    </cfRule>
    <cfRule type="containsText" dxfId="59" priority="173" operator="containsText" text="Short covering">
      <formula>NOT(ISERROR(SEARCH("Short covering",C954)))</formula>
    </cfRule>
    <cfRule type="containsText" dxfId="58" priority="174" operator="containsText" text="Long Buildup">
      <formula>NOT(ISERROR(SEARCH("Long Buildup",C954)))</formula>
    </cfRule>
  </conditionalFormatting>
  <conditionalFormatting sqref="H970">
    <cfRule type="colorScale" priority="166">
      <colorScale>
        <cfvo type="min"/>
        <cfvo type="percentile" val="20"/>
        <cfvo type="max"/>
        <color rgb="FF92D050"/>
        <color theme="5" tint="0.79998168889431442"/>
        <color rgb="FFFF0000"/>
      </colorScale>
    </cfRule>
    <cfRule type="colorScale" priority="167">
      <colorScale>
        <cfvo type="min"/>
        <cfvo type="max"/>
        <color rgb="FFFF0000"/>
        <color rgb="FF92D050"/>
      </colorScale>
    </cfRule>
    <cfRule type="colorScale" priority="168">
      <colorScale>
        <cfvo type="min"/>
        <cfvo type="percentile" val="50"/>
        <cfvo type="max"/>
        <color rgb="FF5A8AC6"/>
        <color rgb="FFFCFCFF"/>
        <color rgb="FFF8696B"/>
      </colorScale>
    </cfRule>
    <cfRule type="colorScale" priority="169">
      <colorScale>
        <cfvo type="formula" val="&quot;&gt;20&quot;"/>
        <cfvo type="formula" val="35"/>
        <color rgb="FFF8696B"/>
        <color rgb="FFFCFCFF"/>
      </colorScale>
    </cfRule>
    <cfRule type="colorScale" priority="170">
      <colorScale>
        <cfvo type="min"/>
        <cfvo type="max"/>
        <color rgb="FFFFEF9C"/>
        <color rgb="FF63BE7B"/>
      </colorScale>
    </cfRule>
  </conditionalFormatting>
  <conditionalFormatting sqref="N970">
    <cfRule type="colorScale" priority="161">
      <colorScale>
        <cfvo type="min"/>
        <cfvo type="percentile" val="20"/>
        <cfvo type="max"/>
        <color rgb="FF92D050"/>
        <color theme="5" tint="0.79998168889431442"/>
        <color rgb="FFFF0000"/>
      </colorScale>
    </cfRule>
    <cfRule type="colorScale" priority="162">
      <colorScale>
        <cfvo type="min"/>
        <cfvo type="max"/>
        <color rgb="FFFF0000"/>
        <color rgb="FF92D050"/>
      </colorScale>
    </cfRule>
    <cfRule type="colorScale" priority="163">
      <colorScale>
        <cfvo type="min"/>
        <cfvo type="percentile" val="50"/>
        <cfvo type="max"/>
        <color rgb="FF5A8AC6"/>
        <color rgb="FFFCFCFF"/>
        <color rgb="FFF8696B"/>
      </colorScale>
    </cfRule>
    <cfRule type="colorScale" priority="164">
      <colorScale>
        <cfvo type="formula" val="&quot;&gt;20&quot;"/>
        <cfvo type="formula" val="35"/>
        <color rgb="FFF8696B"/>
        <color rgb="FFFCFCFF"/>
      </colorScale>
    </cfRule>
    <cfRule type="colorScale" priority="165">
      <colorScale>
        <cfvo type="min"/>
        <cfvo type="max"/>
        <color rgb="FFFFEF9C"/>
        <color rgb="FF63BE7B"/>
      </colorScale>
    </cfRule>
  </conditionalFormatting>
  <conditionalFormatting sqref="S954:S970">
    <cfRule type="containsText" dxfId="57" priority="157" operator="containsText" text="Short Buildup">
      <formula>NOT(ISERROR(SEARCH("Short Buildup",S954)))</formula>
    </cfRule>
    <cfRule type="containsText" dxfId="56" priority="158" operator="containsText" text="Long Liquidation">
      <formula>NOT(ISERROR(SEARCH("Long Liquidation",S954)))</formula>
    </cfRule>
    <cfRule type="containsText" dxfId="55" priority="159" operator="containsText" text="Short covering">
      <formula>NOT(ISERROR(SEARCH("Short covering",S954)))</formula>
    </cfRule>
    <cfRule type="containsText" dxfId="54" priority="160" operator="containsText" text="Long Buildup">
      <formula>NOT(ISERROR(SEARCH("Long Buildup",S954)))</formula>
    </cfRule>
  </conditionalFormatting>
  <conditionalFormatting sqref="F954:F969">
    <cfRule type="dataBar" priority="156">
      <dataBar>
        <cfvo type="min"/>
        <cfvo type="max"/>
        <color rgb="FFFF555A"/>
      </dataBar>
    </cfRule>
  </conditionalFormatting>
  <conditionalFormatting sqref="G954:G969">
    <cfRule type="dataBar" priority="155">
      <dataBar>
        <cfvo type="min"/>
        <cfvo type="max"/>
        <color rgb="FFFF555A"/>
      </dataBar>
    </cfRule>
  </conditionalFormatting>
  <conditionalFormatting sqref="H954">
    <cfRule type="dataBar" priority="154">
      <dataBar>
        <cfvo type="min"/>
        <cfvo type="max"/>
        <color rgb="FFFF555A"/>
      </dataBar>
    </cfRule>
  </conditionalFormatting>
  <conditionalFormatting sqref="I954">
    <cfRule type="dataBar" priority="153">
      <dataBar>
        <cfvo type="min"/>
        <cfvo type="max"/>
        <color rgb="FFFF555A"/>
      </dataBar>
    </cfRule>
  </conditionalFormatting>
  <conditionalFormatting sqref="J954">
    <cfRule type="dataBar" priority="152">
      <dataBar>
        <cfvo type="min"/>
        <cfvo type="max"/>
        <color rgb="FFFF555A"/>
      </dataBar>
    </cfRule>
  </conditionalFormatting>
  <conditionalFormatting sqref="E955:E969">
    <cfRule type="dataBar" priority="151">
      <dataBar>
        <cfvo type="min"/>
        <cfvo type="max"/>
        <color rgb="FFFF555A"/>
      </dataBar>
    </cfRule>
  </conditionalFormatting>
  <conditionalFormatting sqref="H955:H969">
    <cfRule type="dataBar" priority="150">
      <dataBar>
        <cfvo type="min"/>
        <cfvo type="max"/>
        <color rgb="FFFF555A"/>
      </dataBar>
    </cfRule>
  </conditionalFormatting>
  <conditionalFormatting sqref="I955:I969">
    <cfRule type="dataBar" priority="149">
      <dataBar>
        <cfvo type="min"/>
        <cfvo type="max"/>
        <color rgb="FFFF555A"/>
      </dataBar>
    </cfRule>
  </conditionalFormatting>
  <conditionalFormatting sqref="J955:J969">
    <cfRule type="dataBar" priority="148">
      <dataBar>
        <cfvo type="min"/>
        <cfvo type="max"/>
        <color rgb="FFFF555A"/>
      </dataBar>
    </cfRule>
  </conditionalFormatting>
  <conditionalFormatting sqref="L954:L969">
    <cfRule type="dataBar" priority="147">
      <dataBar>
        <cfvo type="min"/>
        <cfvo type="max"/>
        <color rgb="FFFF555A"/>
      </dataBar>
    </cfRule>
  </conditionalFormatting>
  <conditionalFormatting sqref="M954:M969">
    <cfRule type="dataBar" priority="146">
      <dataBar>
        <cfvo type="min"/>
        <cfvo type="max"/>
        <color rgb="FFFF555A"/>
      </dataBar>
    </cfRule>
  </conditionalFormatting>
  <conditionalFormatting sqref="N954:N969">
    <cfRule type="dataBar" priority="145">
      <dataBar>
        <cfvo type="min"/>
        <cfvo type="max"/>
        <color rgb="FFFF555A"/>
      </dataBar>
    </cfRule>
  </conditionalFormatting>
  <conditionalFormatting sqref="Q954:Q969">
    <cfRule type="dataBar" priority="144">
      <dataBar>
        <cfvo type="min"/>
        <cfvo type="max"/>
        <color rgb="FFFF555A"/>
      </dataBar>
    </cfRule>
  </conditionalFormatting>
  <conditionalFormatting sqref="O954:O969">
    <cfRule type="dataBar" priority="143">
      <dataBar>
        <cfvo type="min"/>
        <cfvo type="max"/>
        <color rgb="FFFF555A"/>
      </dataBar>
    </cfRule>
  </conditionalFormatting>
  <conditionalFormatting sqref="P954:P969">
    <cfRule type="dataBar" priority="142">
      <dataBar>
        <cfvo type="min"/>
        <cfvo type="max"/>
        <color rgb="FFFF555A"/>
      </dataBar>
    </cfRule>
  </conditionalFormatting>
  <conditionalFormatting sqref="R971:R987 D971:D986 C987">
    <cfRule type="containsText" dxfId="53" priority="141" operator="containsText" text="DOWN">
      <formula>NOT(ISERROR(SEARCH("DOWN",C971)))</formula>
    </cfRule>
  </conditionalFormatting>
  <conditionalFormatting sqref="R971:R987 D971:D986 C987">
    <cfRule type="containsText" dxfId="52" priority="140" operator="containsText" text="UP">
      <formula>NOT(ISERROR(SEARCH("UP",C971)))</formula>
    </cfRule>
  </conditionalFormatting>
  <conditionalFormatting sqref="I987">
    <cfRule type="colorScale" priority="139">
      <colorScale>
        <cfvo type="min"/>
        <cfvo type="max"/>
        <color rgb="FFFFEF9C"/>
        <color rgb="FF63BE7B"/>
      </colorScale>
    </cfRule>
  </conditionalFormatting>
  <conditionalFormatting sqref="M987">
    <cfRule type="colorScale" priority="138">
      <colorScale>
        <cfvo type="min"/>
        <cfvo type="max"/>
        <color rgb="FFFF7128"/>
        <color rgb="FFFFEF9C"/>
      </colorScale>
    </cfRule>
  </conditionalFormatting>
  <conditionalFormatting sqref="Q987">
    <cfRule type="dataBar" priority="137">
      <dataBar>
        <cfvo type="min"/>
        <cfvo type="max"/>
        <color rgb="FFFF555A"/>
      </dataBar>
    </cfRule>
  </conditionalFormatting>
  <conditionalFormatting sqref="E971:E987">
    <cfRule type="dataBar" priority="136">
      <dataBar>
        <cfvo type="min"/>
        <cfvo type="max"/>
        <color rgb="FFFF555A"/>
      </dataBar>
    </cfRule>
  </conditionalFormatting>
  <conditionalFormatting sqref="F987">
    <cfRule type="top10" dxfId="51" priority="135" rank="1"/>
  </conditionalFormatting>
  <conditionalFormatting sqref="G987 P987">
    <cfRule type="cellIs" dxfId="50" priority="134" operator="equal">
      <formula>$G$135</formula>
    </cfRule>
  </conditionalFormatting>
  <conditionalFormatting sqref="P987">
    <cfRule type="cellIs" dxfId="49" priority="133" operator="equal">
      <formula>$J$135</formula>
    </cfRule>
  </conditionalFormatting>
  <conditionalFormatting sqref="G987 P987">
    <cfRule type="cellIs" dxfId="48" priority="132" operator="equal">
      <formula>#REF!</formula>
    </cfRule>
  </conditionalFormatting>
  <conditionalFormatting sqref="G987">
    <cfRule type="top10" dxfId="47" priority="130" rank="1"/>
    <cfRule type="cellIs" dxfId="46" priority="131" operator="equal">
      <formula>$G$133</formula>
    </cfRule>
  </conditionalFormatting>
  <conditionalFormatting sqref="P987">
    <cfRule type="top10" dxfId="45" priority="128" rank="1"/>
    <cfRule type="cellIs" dxfId="44" priority="129" operator="equal">
      <formula>$G$133</formula>
    </cfRule>
  </conditionalFormatting>
  <conditionalFormatting sqref="C971:C986">
    <cfRule type="containsText" dxfId="43" priority="124" operator="containsText" text="Short Buildup">
      <formula>NOT(ISERROR(SEARCH("Short Buildup",C971)))</formula>
    </cfRule>
    <cfRule type="containsText" dxfId="42" priority="125" operator="containsText" text="Long Liquidation">
      <formula>NOT(ISERROR(SEARCH("Long Liquidation",C971)))</formula>
    </cfRule>
    <cfRule type="containsText" dxfId="41" priority="126" operator="containsText" text="Short covering">
      <formula>NOT(ISERROR(SEARCH("Short covering",C971)))</formula>
    </cfRule>
    <cfRule type="containsText" dxfId="40" priority="127" operator="containsText" text="Long Buildup">
      <formula>NOT(ISERROR(SEARCH("Long Buildup",C971)))</formula>
    </cfRule>
  </conditionalFormatting>
  <conditionalFormatting sqref="H987">
    <cfRule type="colorScale" priority="119">
      <colorScale>
        <cfvo type="min"/>
        <cfvo type="percentile" val="20"/>
        <cfvo type="max"/>
        <color rgb="FF92D050"/>
        <color theme="5" tint="0.79998168889431442"/>
        <color rgb="FFFF0000"/>
      </colorScale>
    </cfRule>
    <cfRule type="colorScale" priority="120">
      <colorScale>
        <cfvo type="min"/>
        <cfvo type="max"/>
        <color rgb="FFFF0000"/>
        <color rgb="FF92D050"/>
      </colorScale>
    </cfRule>
    <cfRule type="colorScale" priority="121">
      <colorScale>
        <cfvo type="min"/>
        <cfvo type="percentile" val="50"/>
        <cfvo type="max"/>
        <color rgb="FF5A8AC6"/>
        <color rgb="FFFCFCFF"/>
        <color rgb="FFF8696B"/>
      </colorScale>
    </cfRule>
    <cfRule type="colorScale" priority="122">
      <colorScale>
        <cfvo type="formula" val="&quot;&gt;20&quot;"/>
        <cfvo type="formula" val="35"/>
        <color rgb="FFF8696B"/>
        <color rgb="FFFCFCFF"/>
      </colorScale>
    </cfRule>
    <cfRule type="colorScale" priority="123">
      <colorScale>
        <cfvo type="min"/>
        <cfvo type="max"/>
        <color rgb="FFFFEF9C"/>
        <color rgb="FF63BE7B"/>
      </colorScale>
    </cfRule>
  </conditionalFormatting>
  <conditionalFormatting sqref="N987">
    <cfRule type="colorScale" priority="114">
      <colorScale>
        <cfvo type="min"/>
        <cfvo type="percentile" val="20"/>
        <cfvo type="max"/>
        <color rgb="FF92D050"/>
        <color theme="5" tint="0.79998168889431442"/>
        <color rgb="FFFF0000"/>
      </colorScale>
    </cfRule>
    <cfRule type="colorScale" priority="115">
      <colorScale>
        <cfvo type="min"/>
        <cfvo type="max"/>
        <color rgb="FFFF0000"/>
        <color rgb="FF92D050"/>
      </colorScale>
    </cfRule>
    <cfRule type="colorScale" priority="116">
      <colorScale>
        <cfvo type="min"/>
        <cfvo type="percentile" val="50"/>
        <cfvo type="max"/>
        <color rgb="FF5A8AC6"/>
        <color rgb="FFFCFCFF"/>
        <color rgb="FFF8696B"/>
      </colorScale>
    </cfRule>
    <cfRule type="colorScale" priority="117">
      <colorScale>
        <cfvo type="formula" val="&quot;&gt;20&quot;"/>
        <cfvo type="formula" val="35"/>
        <color rgb="FFF8696B"/>
        <color rgb="FFFCFCFF"/>
      </colorScale>
    </cfRule>
    <cfRule type="colorScale" priority="118">
      <colorScale>
        <cfvo type="min"/>
        <cfvo type="max"/>
        <color rgb="FFFFEF9C"/>
        <color rgb="FF63BE7B"/>
      </colorScale>
    </cfRule>
  </conditionalFormatting>
  <conditionalFormatting sqref="S971:S987">
    <cfRule type="containsText" dxfId="39" priority="110" operator="containsText" text="Short Buildup">
      <formula>NOT(ISERROR(SEARCH("Short Buildup",S971)))</formula>
    </cfRule>
    <cfRule type="containsText" dxfId="38" priority="111" operator="containsText" text="Long Liquidation">
      <formula>NOT(ISERROR(SEARCH("Long Liquidation",S971)))</formula>
    </cfRule>
    <cfRule type="containsText" dxfId="37" priority="112" operator="containsText" text="Short covering">
      <formula>NOT(ISERROR(SEARCH("Short covering",S971)))</formula>
    </cfRule>
    <cfRule type="containsText" dxfId="36" priority="113" operator="containsText" text="Long Buildup">
      <formula>NOT(ISERROR(SEARCH("Long Buildup",S971)))</formula>
    </cfRule>
  </conditionalFormatting>
  <conditionalFormatting sqref="F971:F986">
    <cfRule type="dataBar" priority="109">
      <dataBar>
        <cfvo type="min"/>
        <cfvo type="max"/>
        <color rgb="FFFF555A"/>
      </dataBar>
    </cfRule>
  </conditionalFormatting>
  <conditionalFormatting sqref="G971:G986">
    <cfRule type="dataBar" priority="108">
      <dataBar>
        <cfvo type="min"/>
        <cfvo type="max"/>
        <color rgb="FFFF555A"/>
      </dataBar>
    </cfRule>
  </conditionalFormatting>
  <conditionalFormatting sqref="H971">
    <cfRule type="dataBar" priority="107">
      <dataBar>
        <cfvo type="min"/>
        <cfvo type="max"/>
        <color rgb="FFFF555A"/>
      </dataBar>
    </cfRule>
  </conditionalFormatting>
  <conditionalFormatting sqref="I971">
    <cfRule type="dataBar" priority="106">
      <dataBar>
        <cfvo type="min"/>
        <cfvo type="max"/>
        <color rgb="FFFF555A"/>
      </dataBar>
    </cfRule>
  </conditionalFormatting>
  <conditionalFormatting sqref="J971">
    <cfRule type="dataBar" priority="105">
      <dataBar>
        <cfvo type="min"/>
        <cfvo type="max"/>
        <color rgb="FFFF555A"/>
      </dataBar>
    </cfRule>
  </conditionalFormatting>
  <conditionalFormatting sqref="E972:E986">
    <cfRule type="dataBar" priority="104">
      <dataBar>
        <cfvo type="min"/>
        <cfvo type="max"/>
        <color rgb="FFFF555A"/>
      </dataBar>
    </cfRule>
  </conditionalFormatting>
  <conditionalFormatting sqref="H972:H986">
    <cfRule type="dataBar" priority="103">
      <dataBar>
        <cfvo type="min"/>
        <cfvo type="max"/>
        <color rgb="FFFF555A"/>
      </dataBar>
    </cfRule>
  </conditionalFormatting>
  <conditionalFormatting sqref="I972:I986">
    <cfRule type="dataBar" priority="102">
      <dataBar>
        <cfvo type="min"/>
        <cfvo type="max"/>
        <color rgb="FFFF555A"/>
      </dataBar>
    </cfRule>
  </conditionalFormatting>
  <conditionalFormatting sqref="J972:J986">
    <cfRule type="dataBar" priority="101">
      <dataBar>
        <cfvo type="min"/>
        <cfvo type="max"/>
        <color rgb="FFFF555A"/>
      </dataBar>
    </cfRule>
  </conditionalFormatting>
  <conditionalFormatting sqref="L971:L986">
    <cfRule type="dataBar" priority="100">
      <dataBar>
        <cfvo type="min"/>
        <cfvo type="max"/>
        <color rgb="FFFF555A"/>
      </dataBar>
    </cfRule>
  </conditionalFormatting>
  <conditionalFormatting sqref="M971:M986">
    <cfRule type="dataBar" priority="99">
      <dataBar>
        <cfvo type="min"/>
        <cfvo type="max"/>
        <color rgb="FFFF555A"/>
      </dataBar>
    </cfRule>
  </conditionalFormatting>
  <conditionalFormatting sqref="N971:N986">
    <cfRule type="dataBar" priority="98">
      <dataBar>
        <cfvo type="min"/>
        <cfvo type="max"/>
        <color rgb="FFFF555A"/>
      </dataBar>
    </cfRule>
  </conditionalFormatting>
  <conditionalFormatting sqref="Q971:Q986">
    <cfRule type="dataBar" priority="97">
      <dataBar>
        <cfvo type="min"/>
        <cfvo type="max"/>
        <color rgb="FFFF555A"/>
      </dataBar>
    </cfRule>
  </conditionalFormatting>
  <conditionalFormatting sqref="O971:O986">
    <cfRule type="dataBar" priority="96">
      <dataBar>
        <cfvo type="min"/>
        <cfvo type="max"/>
        <color rgb="FFFF555A"/>
      </dataBar>
    </cfRule>
  </conditionalFormatting>
  <conditionalFormatting sqref="P971:P986">
    <cfRule type="dataBar" priority="95">
      <dataBar>
        <cfvo type="min"/>
        <cfvo type="max"/>
        <color rgb="FFFF555A"/>
      </dataBar>
    </cfRule>
  </conditionalFormatting>
  <conditionalFormatting sqref="R988:R1004 D988:D1003 C1004">
    <cfRule type="containsText" dxfId="35" priority="94" operator="containsText" text="DOWN">
      <formula>NOT(ISERROR(SEARCH("DOWN",C988)))</formula>
    </cfRule>
  </conditionalFormatting>
  <conditionalFormatting sqref="R988:R1004 D988:D1003 C1004">
    <cfRule type="containsText" dxfId="34" priority="93" operator="containsText" text="UP">
      <formula>NOT(ISERROR(SEARCH("UP",C988)))</formula>
    </cfRule>
  </conditionalFormatting>
  <conditionalFormatting sqref="I1004">
    <cfRule type="colorScale" priority="92">
      <colorScale>
        <cfvo type="min"/>
        <cfvo type="max"/>
        <color rgb="FFFFEF9C"/>
        <color rgb="FF63BE7B"/>
      </colorScale>
    </cfRule>
  </conditionalFormatting>
  <conditionalFormatting sqref="M1004">
    <cfRule type="colorScale" priority="91">
      <colorScale>
        <cfvo type="min"/>
        <cfvo type="max"/>
        <color rgb="FFFF7128"/>
        <color rgb="FFFFEF9C"/>
      </colorScale>
    </cfRule>
  </conditionalFormatting>
  <conditionalFormatting sqref="Q1004">
    <cfRule type="dataBar" priority="90">
      <dataBar>
        <cfvo type="min"/>
        <cfvo type="max"/>
        <color rgb="FFFF555A"/>
      </dataBar>
    </cfRule>
  </conditionalFormatting>
  <conditionalFormatting sqref="E988:E1004">
    <cfRule type="dataBar" priority="89">
      <dataBar>
        <cfvo type="min"/>
        <cfvo type="max"/>
        <color rgb="FFFF555A"/>
      </dataBar>
    </cfRule>
  </conditionalFormatting>
  <conditionalFormatting sqref="F1004">
    <cfRule type="top10" dxfId="33" priority="88" rank="1"/>
  </conditionalFormatting>
  <conditionalFormatting sqref="G1004 P1004">
    <cfRule type="cellIs" dxfId="32" priority="87" operator="equal">
      <formula>$G$135</formula>
    </cfRule>
  </conditionalFormatting>
  <conditionalFormatting sqref="P1004">
    <cfRule type="cellIs" dxfId="31" priority="86" operator="equal">
      <formula>$J$135</formula>
    </cfRule>
  </conditionalFormatting>
  <conditionalFormatting sqref="G1004 P1004">
    <cfRule type="cellIs" dxfId="30" priority="85" operator="equal">
      <formula>#REF!</formula>
    </cfRule>
  </conditionalFormatting>
  <conditionalFormatting sqref="G1004">
    <cfRule type="top10" dxfId="29" priority="83" rank="1"/>
    <cfRule type="cellIs" dxfId="28" priority="84" operator="equal">
      <formula>$G$133</formula>
    </cfRule>
  </conditionalFormatting>
  <conditionalFormatting sqref="P1004">
    <cfRule type="top10" dxfId="27" priority="81" rank="1"/>
    <cfRule type="cellIs" dxfId="26" priority="82" operator="equal">
      <formula>$G$133</formula>
    </cfRule>
  </conditionalFormatting>
  <conditionalFormatting sqref="C988:C1003">
    <cfRule type="containsText" dxfId="25" priority="77" operator="containsText" text="Short Buildup">
      <formula>NOT(ISERROR(SEARCH("Short Buildup",C988)))</formula>
    </cfRule>
    <cfRule type="containsText" dxfId="24" priority="78" operator="containsText" text="Long Liquidation">
      <formula>NOT(ISERROR(SEARCH("Long Liquidation",C988)))</formula>
    </cfRule>
    <cfRule type="containsText" dxfId="23" priority="79" operator="containsText" text="Short covering">
      <formula>NOT(ISERROR(SEARCH("Short covering",C988)))</formula>
    </cfRule>
    <cfRule type="containsText" dxfId="22" priority="80" operator="containsText" text="Long Buildup">
      <formula>NOT(ISERROR(SEARCH("Long Buildup",C988)))</formula>
    </cfRule>
  </conditionalFormatting>
  <conditionalFormatting sqref="H1004">
    <cfRule type="colorScale" priority="72">
      <colorScale>
        <cfvo type="min"/>
        <cfvo type="percentile" val="20"/>
        <cfvo type="max"/>
        <color rgb="FF92D050"/>
        <color theme="5" tint="0.79998168889431442"/>
        <color rgb="FFFF0000"/>
      </colorScale>
    </cfRule>
    <cfRule type="colorScale" priority="73">
      <colorScale>
        <cfvo type="min"/>
        <cfvo type="max"/>
        <color rgb="FFFF0000"/>
        <color rgb="FF92D050"/>
      </colorScale>
    </cfRule>
    <cfRule type="colorScale" priority="74">
      <colorScale>
        <cfvo type="min"/>
        <cfvo type="percentile" val="50"/>
        <cfvo type="max"/>
        <color rgb="FF5A8AC6"/>
        <color rgb="FFFCFCFF"/>
        <color rgb="FFF8696B"/>
      </colorScale>
    </cfRule>
    <cfRule type="colorScale" priority="75">
      <colorScale>
        <cfvo type="formula" val="&quot;&gt;20&quot;"/>
        <cfvo type="formula" val="35"/>
        <color rgb="FFF8696B"/>
        <color rgb="FFFCFCFF"/>
      </colorScale>
    </cfRule>
    <cfRule type="colorScale" priority="76">
      <colorScale>
        <cfvo type="min"/>
        <cfvo type="max"/>
        <color rgb="FFFFEF9C"/>
        <color rgb="FF63BE7B"/>
      </colorScale>
    </cfRule>
  </conditionalFormatting>
  <conditionalFormatting sqref="N1004">
    <cfRule type="colorScale" priority="67">
      <colorScale>
        <cfvo type="min"/>
        <cfvo type="percentile" val="20"/>
        <cfvo type="max"/>
        <color rgb="FF92D050"/>
        <color theme="5" tint="0.79998168889431442"/>
        <color rgb="FFFF0000"/>
      </colorScale>
    </cfRule>
    <cfRule type="colorScale" priority="68">
      <colorScale>
        <cfvo type="min"/>
        <cfvo type="max"/>
        <color rgb="FFFF0000"/>
        <color rgb="FF92D050"/>
      </colorScale>
    </cfRule>
    <cfRule type="colorScale" priority="69">
      <colorScale>
        <cfvo type="min"/>
        <cfvo type="percentile" val="50"/>
        <cfvo type="max"/>
        <color rgb="FF5A8AC6"/>
        <color rgb="FFFCFCFF"/>
        <color rgb="FFF8696B"/>
      </colorScale>
    </cfRule>
    <cfRule type="colorScale" priority="70">
      <colorScale>
        <cfvo type="formula" val="&quot;&gt;20&quot;"/>
        <cfvo type="formula" val="35"/>
        <color rgb="FFF8696B"/>
        <color rgb="FFFCFCFF"/>
      </colorScale>
    </cfRule>
    <cfRule type="colorScale" priority="71">
      <colorScale>
        <cfvo type="min"/>
        <cfvo type="max"/>
        <color rgb="FFFFEF9C"/>
        <color rgb="FF63BE7B"/>
      </colorScale>
    </cfRule>
  </conditionalFormatting>
  <conditionalFormatting sqref="S988:S1004">
    <cfRule type="containsText" dxfId="21" priority="63" operator="containsText" text="Short Buildup">
      <formula>NOT(ISERROR(SEARCH("Short Buildup",S988)))</formula>
    </cfRule>
    <cfRule type="containsText" dxfId="20" priority="64" operator="containsText" text="Long Liquidation">
      <formula>NOT(ISERROR(SEARCH("Long Liquidation",S988)))</formula>
    </cfRule>
    <cfRule type="containsText" dxfId="19" priority="65" operator="containsText" text="Short covering">
      <formula>NOT(ISERROR(SEARCH("Short covering",S988)))</formula>
    </cfRule>
    <cfRule type="containsText" dxfId="18" priority="66" operator="containsText" text="Long Buildup">
      <formula>NOT(ISERROR(SEARCH("Long Buildup",S988)))</formula>
    </cfRule>
  </conditionalFormatting>
  <conditionalFormatting sqref="F988:F1003">
    <cfRule type="dataBar" priority="62">
      <dataBar>
        <cfvo type="min"/>
        <cfvo type="max"/>
        <color rgb="FFFF555A"/>
      </dataBar>
    </cfRule>
  </conditionalFormatting>
  <conditionalFormatting sqref="G988:G1003">
    <cfRule type="dataBar" priority="61">
      <dataBar>
        <cfvo type="min"/>
        <cfvo type="max"/>
        <color rgb="FFFF555A"/>
      </dataBar>
    </cfRule>
  </conditionalFormatting>
  <conditionalFormatting sqref="H988">
    <cfRule type="dataBar" priority="60">
      <dataBar>
        <cfvo type="min"/>
        <cfvo type="max"/>
        <color rgb="FFFF555A"/>
      </dataBar>
    </cfRule>
  </conditionalFormatting>
  <conditionalFormatting sqref="I988">
    <cfRule type="dataBar" priority="59">
      <dataBar>
        <cfvo type="min"/>
        <cfvo type="max"/>
        <color rgb="FFFF555A"/>
      </dataBar>
    </cfRule>
  </conditionalFormatting>
  <conditionalFormatting sqref="J988">
    <cfRule type="dataBar" priority="58">
      <dataBar>
        <cfvo type="min"/>
        <cfvo type="max"/>
        <color rgb="FFFF555A"/>
      </dataBar>
    </cfRule>
  </conditionalFormatting>
  <conditionalFormatting sqref="E989:E1003">
    <cfRule type="dataBar" priority="57">
      <dataBar>
        <cfvo type="min"/>
        <cfvo type="max"/>
        <color rgb="FFFF555A"/>
      </dataBar>
    </cfRule>
  </conditionalFormatting>
  <conditionalFormatting sqref="H989:H1003">
    <cfRule type="dataBar" priority="56">
      <dataBar>
        <cfvo type="min"/>
        <cfvo type="max"/>
        <color rgb="FFFF555A"/>
      </dataBar>
    </cfRule>
  </conditionalFormatting>
  <conditionalFormatting sqref="I989:I1003">
    <cfRule type="dataBar" priority="55">
      <dataBar>
        <cfvo type="min"/>
        <cfvo type="max"/>
        <color rgb="FFFF555A"/>
      </dataBar>
    </cfRule>
  </conditionalFormatting>
  <conditionalFormatting sqref="J989:J1003">
    <cfRule type="dataBar" priority="54">
      <dataBar>
        <cfvo type="min"/>
        <cfvo type="max"/>
        <color rgb="FFFF555A"/>
      </dataBar>
    </cfRule>
  </conditionalFormatting>
  <conditionalFormatting sqref="L988:L1003">
    <cfRule type="dataBar" priority="53">
      <dataBar>
        <cfvo type="min"/>
        <cfvo type="max"/>
        <color rgb="FFFF555A"/>
      </dataBar>
    </cfRule>
  </conditionalFormatting>
  <conditionalFormatting sqref="M988:M1003">
    <cfRule type="dataBar" priority="52">
      <dataBar>
        <cfvo type="min"/>
        <cfvo type="max"/>
        <color rgb="FFFF555A"/>
      </dataBar>
    </cfRule>
  </conditionalFormatting>
  <conditionalFormatting sqref="N988:N1003">
    <cfRule type="dataBar" priority="51">
      <dataBar>
        <cfvo type="min"/>
        <cfvo type="max"/>
        <color rgb="FFFF555A"/>
      </dataBar>
    </cfRule>
  </conditionalFormatting>
  <conditionalFormatting sqref="Q988:Q1003">
    <cfRule type="dataBar" priority="50">
      <dataBar>
        <cfvo type="min"/>
        <cfvo type="max"/>
        <color rgb="FFFF555A"/>
      </dataBar>
    </cfRule>
  </conditionalFormatting>
  <conditionalFormatting sqref="O988:O1003">
    <cfRule type="dataBar" priority="49">
      <dataBar>
        <cfvo type="min"/>
        <cfvo type="max"/>
        <color rgb="FFFF555A"/>
      </dataBar>
    </cfRule>
  </conditionalFormatting>
  <conditionalFormatting sqref="P988:P1003">
    <cfRule type="dataBar" priority="48">
      <dataBar>
        <cfvo type="min"/>
        <cfvo type="max"/>
        <color rgb="FFFF555A"/>
      </dataBar>
    </cfRule>
  </conditionalFormatting>
  <conditionalFormatting sqref="R1005:R1021 D1005:D1020 C1021">
    <cfRule type="containsText" dxfId="17" priority="47" operator="containsText" text="DOWN">
      <formula>NOT(ISERROR(SEARCH("DOWN",C1005)))</formula>
    </cfRule>
  </conditionalFormatting>
  <conditionalFormatting sqref="R1005:R1021 D1005:D1020 C1021">
    <cfRule type="containsText" dxfId="16" priority="46" operator="containsText" text="UP">
      <formula>NOT(ISERROR(SEARCH("UP",C1005)))</formula>
    </cfRule>
  </conditionalFormatting>
  <conditionalFormatting sqref="I1021">
    <cfRule type="colorScale" priority="45">
      <colorScale>
        <cfvo type="min"/>
        <cfvo type="max"/>
        <color rgb="FFFFEF9C"/>
        <color rgb="FF63BE7B"/>
      </colorScale>
    </cfRule>
  </conditionalFormatting>
  <conditionalFormatting sqref="M1021">
    <cfRule type="colorScale" priority="44">
      <colorScale>
        <cfvo type="min"/>
        <cfvo type="max"/>
        <color rgb="FFFF7128"/>
        <color rgb="FFFFEF9C"/>
      </colorScale>
    </cfRule>
  </conditionalFormatting>
  <conditionalFormatting sqref="Q1021">
    <cfRule type="dataBar" priority="43">
      <dataBar>
        <cfvo type="min"/>
        <cfvo type="max"/>
        <color rgb="FFFF555A"/>
      </dataBar>
    </cfRule>
  </conditionalFormatting>
  <conditionalFormatting sqref="E1005:E1021">
    <cfRule type="dataBar" priority="42">
      <dataBar>
        <cfvo type="min"/>
        <cfvo type="max"/>
        <color rgb="FFFF555A"/>
      </dataBar>
    </cfRule>
  </conditionalFormatting>
  <conditionalFormatting sqref="F1021">
    <cfRule type="top10" dxfId="15" priority="41" rank="1"/>
  </conditionalFormatting>
  <conditionalFormatting sqref="G1021 P1021">
    <cfRule type="cellIs" dxfId="14" priority="40" operator="equal">
      <formula>$G$135</formula>
    </cfRule>
  </conditionalFormatting>
  <conditionalFormatting sqref="P1021">
    <cfRule type="cellIs" dxfId="13" priority="39" operator="equal">
      <formula>$J$135</formula>
    </cfRule>
  </conditionalFormatting>
  <conditionalFormatting sqref="G1021 P1021">
    <cfRule type="cellIs" dxfId="12" priority="38" operator="equal">
      <formula>#REF!</formula>
    </cfRule>
  </conditionalFormatting>
  <conditionalFormatting sqref="G1021">
    <cfRule type="top10" dxfId="11" priority="36" rank="1"/>
    <cfRule type="cellIs" dxfId="10" priority="37" operator="equal">
      <formula>$G$133</formula>
    </cfRule>
  </conditionalFormatting>
  <conditionalFormatting sqref="P1021">
    <cfRule type="top10" dxfId="9" priority="34" rank="1"/>
    <cfRule type="cellIs" dxfId="8" priority="35" operator="equal">
      <formula>$G$133</formula>
    </cfRule>
  </conditionalFormatting>
  <conditionalFormatting sqref="C1005:C1020">
    <cfRule type="containsText" dxfId="7" priority="30" operator="containsText" text="Short Buildup">
      <formula>NOT(ISERROR(SEARCH("Short Buildup",C1005)))</formula>
    </cfRule>
    <cfRule type="containsText" dxfId="6" priority="31" operator="containsText" text="Long Liquidation">
      <formula>NOT(ISERROR(SEARCH("Long Liquidation",C1005)))</formula>
    </cfRule>
    <cfRule type="containsText" dxfId="5" priority="32" operator="containsText" text="Short covering">
      <formula>NOT(ISERROR(SEARCH("Short covering",C1005)))</formula>
    </cfRule>
    <cfRule type="containsText" dxfId="4" priority="33" operator="containsText" text="Long Buildup">
      <formula>NOT(ISERROR(SEARCH("Long Buildup",C1005)))</formula>
    </cfRule>
  </conditionalFormatting>
  <conditionalFormatting sqref="H1021">
    <cfRule type="colorScale" priority="25">
      <colorScale>
        <cfvo type="min"/>
        <cfvo type="percentile" val="20"/>
        <cfvo type="max"/>
        <color rgb="FF92D050"/>
        <color theme="5" tint="0.79998168889431442"/>
        <color rgb="FFFF0000"/>
      </colorScale>
    </cfRule>
    <cfRule type="colorScale" priority="26">
      <colorScale>
        <cfvo type="min"/>
        <cfvo type="max"/>
        <color rgb="FFFF0000"/>
        <color rgb="FF92D050"/>
      </colorScale>
    </cfRule>
    <cfRule type="colorScale" priority="27">
      <colorScale>
        <cfvo type="min"/>
        <cfvo type="percentile" val="50"/>
        <cfvo type="max"/>
        <color rgb="FF5A8AC6"/>
        <color rgb="FFFCFCFF"/>
        <color rgb="FFF8696B"/>
      </colorScale>
    </cfRule>
    <cfRule type="colorScale" priority="28">
      <colorScale>
        <cfvo type="formula" val="&quot;&gt;20&quot;"/>
        <cfvo type="formula" val="35"/>
        <color rgb="FFF8696B"/>
        <color rgb="FFFCFCFF"/>
      </colorScale>
    </cfRule>
    <cfRule type="colorScale" priority="29">
      <colorScale>
        <cfvo type="min"/>
        <cfvo type="max"/>
        <color rgb="FFFFEF9C"/>
        <color rgb="FF63BE7B"/>
      </colorScale>
    </cfRule>
  </conditionalFormatting>
  <conditionalFormatting sqref="N1021">
    <cfRule type="colorScale" priority="20">
      <colorScale>
        <cfvo type="min"/>
        <cfvo type="percentile" val="20"/>
        <cfvo type="max"/>
        <color rgb="FF92D050"/>
        <color theme="5" tint="0.79998168889431442"/>
        <color rgb="FFFF0000"/>
      </colorScale>
    </cfRule>
    <cfRule type="colorScale" priority="21">
      <colorScale>
        <cfvo type="min"/>
        <cfvo type="max"/>
        <color rgb="FFFF0000"/>
        <color rgb="FF92D050"/>
      </colorScale>
    </cfRule>
    <cfRule type="colorScale" priority="22">
      <colorScale>
        <cfvo type="min"/>
        <cfvo type="percentile" val="50"/>
        <cfvo type="max"/>
        <color rgb="FF5A8AC6"/>
        <color rgb="FFFCFCFF"/>
        <color rgb="FFF8696B"/>
      </colorScale>
    </cfRule>
    <cfRule type="colorScale" priority="23">
      <colorScale>
        <cfvo type="formula" val="&quot;&gt;20&quot;"/>
        <cfvo type="formula" val="35"/>
        <color rgb="FFF8696B"/>
        <color rgb="FFFCFCFF"/>
      </colorScale>
    </cfRule>
    <cfRule type="colorScale" priority="24">
      <colorScale>
        <cfvo type="min"/>
        <cfvo type="max"/>
        <color rgb="FFFFEF9C"/>
        <color rgb="FF63BE7B"/>
      </colorScale>
    </cfRule>
  </conditionalFormatting>
  <conditionalFormatting sqref="S1005:S1021">
    <cfRule type="containsText" dxfId="3" priority="16" operator="containsText" text="Short Buildup">
      <formula>NOT(ISERROR(SEARCH("Short Buildup",S1005)))</formula>
    </cfRule>
    <cfRule type="containsText" dxfId="2" priority="17" operator="containsText" text="Long Liquidation">
      <formula>NOT(ISERROR(SEARCH("Long Liquidation",S1005)))</formula>
    </cfRule>
    <cfRule type="containsText" dxfId="1" priority="18" operator="containsText" text="Short covering">
      <formula>NOT(ISERROR(SEARCH("Short covering",S1005)))</formula>
    </cfRule>
    <cfRule type="containsText" dxfId="0" priority="19" operator="containsText" text="Long Buildup">
      <formula>NOT(ISERROR(SEARCH("Long Buildup",S1005)))</formula>
    </cfRule>
  </conditionalFormatting>
  <conditionalFormatting sqref="F1005:F1020">
    <cfRule type="dataBar" priority="15">
      <dataBar>
        <cfvo type="min"/>
        <cfvo type="max"/>
        <color rgb="FFFF555A"/>
      </dataBar>
    </cfRule>
  </conditionalFormatting>
  <conditionalFormatting sqref="G1005:G1020">
    <cfRule type="dataBar" priority="14">
      <dataBar>
        <cfvo type="min"/>
        <cfvo type="max"/>
        <color rgb="FFFF555A"/>
      </dataBar>
    </cfRule>
  </conditionalFormatting>
  <conditionalFormatting sqref="H1005">
    <cfRule type="dataBar" priority="13">
      <dataBar>
        <cfvo type="min"/>
        <cfvo type="max"/>
        <color rgb="FFFF555A"/>
      </dataBar>
    </cfRule>
  </conditionalFormatting>
  <conditionalFormatting sqref="I1005">
    <cfRule type="dataBar" priority="12">
      <dataBar>
        <cfvo type="min"/>
        <cfvo type="max"/>
        <color rgb="FFFF555A"/>
      </dataBar>
    </cfRule>
  </conditionalFormatting>
  <conditionalFormatting sqref="J1005">
    <cfRule type="dataBar" priority="11">
      <dataBar>
        <cfvo type="min"/>
        <cfvo type="max"/>
        <color rgb="FFFF555A"/>
      </dataBar>
    </cfRule>
  </conditionalFormatting>
  <conditionalFormatting sqref="E1006:E1020">
    <cfRule type="dataBar" priority="10">
      <dataBar>
        <cfvo type="min"/>
        <cfvo type="max"/>
        <color rgb="FFFF555A"/>
      </dataBar>
    </cfRule>
  </conditionalFormatting>
  <conditionalFormatting sqref="H1006:H1020">
    <cfRule type="dataBar" priority="9">
      <dataBar>
        <cfvo type="min"/>
        <cfvo type="max"/>
        <color rgb="FFFF555A"/>
      </dataBar>
    </cfRule>
  </conditionalFormatting>
  <conditionalFormatting sqref="I1006:I1020">
    <cfRule type="dataBar" priority="8">
      <dataBar>
        <cfvo type="min"/>
        <cfvo type="max"/>
        <color rgb="FFFF555A"/>
      </dataBar>
    </cfRule>
  </conditionalFormatting>
  <conditionalFormatting sqref="J1006:J1020">
    <cfRule type="dataBar" priority="7">
      <dataBar>
        <cfvo type="min"/>
        <cfvo type="max"/>
        <color rgb="FFFF555A"/>
      </dataBar>
    </cfRule>
  </conditionalFormatting>
  <conditionalFormatting sqref="L1005:L1020">
    <cfRule type="dataBar" priority="6">
      <dataBar>
        <cfvo type="min"/>
        <cfvo type="max"/>
        <color rgb="FFFF555A"/>
      </dataBar>
    </cfRule>
  </conditionalFormatting>
  <conditionalFormatting sqref="M1005:M1020">
    <cfRule type="dataBar" priority="5">
      <dataBar>
        <cfvo type="min"/>
        <cfvo type="max"/>
        <color rgb="FFFF555A"/>
      </dataBar>
    </cfRule>
  </conditionalFormatting>
  <conditionalFormatting sqref="N1005:N1020">
    <cfRule type="dataBar" priority="4">
      <dataBar>
        <cfvo type="min"/>
        <cfvo type="max"/>
        <color rgb="FFFF555A"/>
      </dataBar>
    </cfRule>
  </conditionalFormatting>
  <conditionalFormatting sqref="Q1005:Q1020">
    <cfRule type="dataBar" priority="3">
      <dataBar>
        <cfvo type="min"/>
        <cfvo type="max"/>
        <color rgb="FFFF555A"/>
      </dataBar>
    </cfRule>
  </conditionalFormatting>
  <conditionalFormatting sqref="O1005:O1020">
    <cfRule type="dataBar" priority="2">
      <dataBar>
        <cfvo type="min"/>
        <cfvo type="max"/>
        <color rgb="FFFF555A"/>
      </dataBar>
    </cfRule>
  </conditionalFormatting>
  <conditionalFormatting sqref="P1005:P1020">
    <cfRule type="dataBar" priority="1">
      <dataBar>
        <cfvo type="min"/>
        <cfvo type="max"/>
        <color rgb="FFFF555A"/>
      </dataBar>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_Auto_Banknifty_OI">
                <anchor moveWithCells="1" sizeWithCells="1">
                  <from>
                    <xdr:col>0</xdr:col>
                    <xdr:colOff>28575</xdr:colOff>
                    <xdr:row>0</xdr:row>
                    <xdr:rowOff>38100</xdr:rowOff>
                  </from>
                  <to>
                    <xdr:col>0</xdr:col>
                    <xdr:colOff>581025</xdr:colOff>
                    <xdr:row>0</xdr:row>
                    <xdr:rowOff>304800</xdr:rowOff>
                  </to>
                </anchor>
              </controlPr>
            </control>
          </mc:Choice>
        </mc:AlternateContent>
        <mc:AlternateContent xmlns:mc="http://schemas.openxmlformats.org/markup-compatibility/2006">
          <mc:Choice Requires="x14">
            <control shapeId="2050" r:id="rId5" name="Button 2">
              <controlPr defaultSize="0" print="0" autoFill="0" autoPict="0" macro="[0]!Clear_Auto_Banknifty_OI">
                <anchor moveWithCells="1" sizeWithCells="1">
                  <from>
                    <xdr:col>0</xdr:col>
                    <xdr:colOff>57150</xdr:colOff>
                    <xdr:row>0</xdr:row>
                    <xdr:rowOff>361950</xdr:rowOff>
                  </from>
                  <to>
                    <xdr:col>0</xdr:col>
                    <xdr:colOff>581025</xdr:colOff>
                    <xdr:row>0</xdr:row>
                    <xdr:rowOff>581025</xdr:rowOff>
                  </to>
                </anchor>
              </controlPr>
            </control>
          </mc:Choice>
        </mc:AlternateContent>
        <mc:AlternateContent xmlns:mc="http://schemas.openxmlformats.org/markup-compatibility/2006">
          <mc:Choice Requires="x14">
            <control shapeId="2051" r:id="rId6" name="Button 3">
              <controlPr defaultSize="0" print="0" autoFill="0" autoPict="0" macro="[2]!Copy_Auto_Bank_OI">
                <anchor moveWithCells="1" sizeWithCells="1">
                  <from>
                    <xdr:col>1</xdr:col>
                    <xdr:colOff>19050</xdr:colOff>
                    <xdr:row>0</xdr:row>
                    <xdr:rowOff>371475</xdr:rowOff>
                  </from>
                  <to>
                    <xdr:col>2</xdr:col>
                    <xdr:colOff>28575</xdr:colOff>
                    <xdr:row>0</xdr:row>
                    <xdr:rowOff>590550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N142"/>
  <sheetViews>
    <sheetView workbookViewId="0">
      <selection activeCell="H18" sqref="H18"/>
    </sheetView>
  </sheetViews>
  <sheetFormatPr defaultColWidth="9.140625" defaultRowHeight="12.75" x14ac:dyDescent="0.2"/>
  <cols>
    <col min="1" max="1" width="13.7109375" style="104" customWidth="1"/>
    <col min="2" max="2" width="17.5703125" style="100" customWidth="1"/>
    <col min="3" max="3" width="9.28515625" style="100" customWidth="1"/>
    <col min="4" max="14" width="17.42578125" style="100" bestFit="1" customWidth="1"/>
    <col min="15" max="15" width="17.42578125" style="100" customWidth="1"/>
    <col min="16" max="21" width="17.42578125" style="100" bestFit="1" customWidth="1"/>
    <col min="22" max="22" width="17.42578125" style="100" customWidth="1"/>
    <col min="23" max="34" width="17.42578125" style="100" bestFit="1" customWidth="1"/>
    <col min="35" max="36" width="17.42578125" style="100" customWidth="1"/>
    <col min="37" max="168" width="17.42578125" style="100" bestFit="1" customWidth="1"/>
    <col min="169" max="169" width="22.7109375" style="100" bestFit="1" customWidth="1"/>
    <col min="170" max="170" width="14.42578125" style="100" bestFit="1" customWidth="1"/>
    <col min="171" max="16384" width="9.140625" style="100"/>
  </cols>
  <sheetData>
    <row r="1" spans="1:170" x14ac:dyDescent="0.2">
      <c r="A1" s="106" t="s">
        <v>547</v>
      </c>
      <c r="B1" t="s">
        <v>579</v>
      </c>
      <c r="C1"/>
    </row>
    <row r="2" spans="1:170" x14ac:dyDescent="0.2">
      <c r="A2"/>
      <c r="B2"/>
      <c r="C2"/>
    </row>
    <row r="3" spans="1:170" x14ac:dyDescent="0.2">
      <c r="A3"/>
      <c r="B3" s="106" t="s">
        <v>575</v>
      </c>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row>
    <row r="4" spans="1:170" x14ac:dyDescent="0.2">
      <c r="A4" s="106" t="s">
        <v>559</v>
      </c>
      <c r="B4" t="s">
        <v>568</v>
      </c>
      <c r="C4" t="s">
        <v>569</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row>
    <row r="5" spans="1:170" x14ac:dyDescent="0.2">
      <c r="A5" s="107" t="s">
        <v>595</v>
      </c>
      <c r="B5" s="108">
        <v>1709400</v>
      </c>
      <c r="C5" s="108">
        <v>800</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row>
    <row r="6" spans="1:170" x14ac:dyDescent="0.2">
      <c r="A6" s="107" t="s">
        <v>596</v>
      </c>
      <c r="B6" s="108">
        <v>1675660</v>
      </c>
      <c r="C6" s="108">
        <v>820</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row>
    <row r="7" spans="1:170" x14ac:dyDescent="0.2">
      <c r="A7" s="107" t="s">
        <v>597</v>
      </c>
      <c r="B7" s="108">
        <v>1881580</v>
      </c>
      <c r="C7" s="108">
        <v>810.8</v>
      </c>
      <c r="D7"/>
      <c r="E7"/>
      <c r="F7"/>
      <c r="G7"/>
      <c r="H7"/>
      <c r="I7"/>
      <c r="J7"/>
      <c r="K7"/>
      <c r="L7"/>
      <c r="M7"/>
      <c r="N7"/>
      <c r="O7"/>
      <c r="P7"/>
      <c r="Q7"/>
      <c r="R7"/>
      <c r="S7"/>
      <c r="T7"/>
      <c r="U7"/>
      <c r="V7"/>
      <c r="W7"/>
      <c r="X7"/>
      <c r="Y7"/>
      <c r="Z7"/>
      <c r="AA7"/>
      <c r="AB7"/>
      <c r="AC7"/>
      <c r="AD7"/>
      <c r="AE7"/>
      <c r="AF7"/>
      <c r="AG7"/>
      <c r="AH7"/>
      <c r="AI7"/>
      <c r="AJ7"/>
      <c r="AK7"/>
    </row>
    <row r="8" spans="1:170" x14ac:dyDescent="0.2">
      <c r="A8" s="107" t="s">
        <v>598</v>
      </c>
      <c r="B8" s="108">
        <v>1912320</v>
      </c>
      <c r="C8" s="108">
        <v>821.2</v>
      </c>
      <c r="D8"/>
      <c r="E8"/>
      <c r="F8"/>
      <c r="G8"/>
      <c r="H8"/>
      <c r="I8"/>
      <c r="J8"/>
      <c r="K8"/>
      <c r="L8"/>
      <c r="M8"/>
      <c r="N8"/>
      <c r="O8"/>
      <c r="P8"/>
      <c r="Q8"/>
      <c r="R8"/>
      <c r="S8"/>
      <c r="T8"/>
      <c r="U8"/>
      <c r="V8"/>
      <c r="W8"/>
      <c r="X8"/>
      <c r="Y8"/>
      <c r="Z8"/>
      <c r="AA8"/>
      <c r="AB8"/>
      <c r="AC8"/>
      <c r="AD8"/>
      <c r="AE8"/>
      <c r="AF8"/>
      <c r="AG8"/>
      <c r="AH8"/>
      <c r="AI8"/>
      <c r="AJ8"/>
      <c r="AK8"/>
    </row>
    <row r="9" spans="1:170" x14ac:dyDescent="0.2">
      <c r="A9" s="107" t="s">
        <v>606</v>
      </c>
      <c r="B9" s="108">
        <v>2119980</v>
      </c>
      <c r="C9" s="108">
        <v>807</v>
      </c>
      <c r="D9"/>
      <c r="E9"/>
      <c r="F9"/>
      <c r="G9"/>
      <c r="H9"/>
      <c r="I9"/>
      <c r="J9"/>
      <c r="K9"/>
      <c r="L9"/>
      <c r="M9"/>
      <c r="N9"/>
      <c r="O9"/>
      <c r="P9"/>
      <c r="Q9"/>
      <c r="R9"/>
      <c r="S9"/>
      <c r="T9"/>
      <c r="U9"/>
      <c r="V9"/>
      <c r="W9"/>
      <c r="X9"/>
      <c r="Y9"/>
      <c r="Z9"/>
      <c r="AA9"/>
      <c r="AB9"/>
      <c r="AC9"/>
      <c r="AD9"/>
      <c r="AE9"/>
      <c r="AF9"/>
      <c r="AG9"/>
      <c r="AH9"/>
      <c r="AI9"/>
      <c r="AJ9"/>
      <c r="AK9"/>
    </row>
    <row r="10" spans="1:170" x14ac:dyDescent="0.2">
      <c r="A10" s="107" t="s">
        <v>607</v>
      </c>
      <c r="B10" s="108">
        <v>2109060</v>
      </c>
      <c r="C10" s="108">
        <v>810.1</v>
      </c>
      <c r="D10"/>
      <c r="E10"/>
      <c r="F10"/>
      <c r="G10"/>
      <c r="H10"/>
      <c r="I10"/>
      <c r="J10"/>
      <c r="K10"/>
      <c r="L10"/>
      <c r="M10"/>
      <c r="N10"/>
      <c r="O10"/>
      <c r="P10"/>
      <c r="Q10"/>
      <c r="R10"/>
      <c r="S10"/>
      <c r="T10"/>
      <c r="U10"/>
      <c r="V10"/>
      <c r="W10"/>
      <c r="X10"/>
      <c r="Y10"/>
      <c r="Z10"/>
      <c r="AA10"/>
      <c r="AB10"/>
      <c r="AC10"/>
      <c r="AD10"/>
      <c r="AE10"/>
      <c r="AF10"/>
      <c r="AG10"/>
      <c r="AH10"/>
      <c r="AI10"/>
      <c r="AJ10"/>
      <c r="AK10"/>
    </row>
    <row r="11" spans="1:170" x14ac:dyDescent="0.2">
      <c r="A11" s="107" t="s">
        <v>608</v>
      </c>
      <c r="B11" s="108">
        <v>2129280</v>
      </c>
      <c r="C11" s="108">
        <v>810</v>
      </c>
      <c r="D11"/>
      <c r="E11"/>
      <c r="F11"/>
      <c r="G11"/>
      <c r="H11"/>
      <c r="I11"/>
      <c r="J11"/>
      <c r="K11"/>
      <c r="L11"/>
      <c r="M11"/>
      <c r="N11"/>
      <c r="O11"/>
      <c r="P11"/>
      <c r="Q11"/>
      <c r="R11"/>
      <c r="S11"/>
      <c r="T11"/>
      <c r="U11"/>
      <c r="V11"/>
      <c r="W11"/>
      <c r="X11"/>
      <c r="Y11"/>
      <c r="Z11"/>
      <c r="AA11"/>
      <c r="AB11"/>
      <c r="AC11"/>
      <c r="AD11"/>
      <c r="AE11"/>
      <c r="AF11"/>
      <c r="AG11"/>
      <c r="AH11"/>
      <c r="AI11"/>
      <c r="AJ11"/>
      <c r="AK11"/>
    </row>
    <row r="12" spans="1:170" x14ac:dyDescent="0.2">
      <c r="A12" s="107" t="s">
        <v>609</v>
      </c>
      <c r="B12" s="108">
        <v>2143060</v>
      </c>
      <c r="C12" s="108">
        <v>809.85</v>
      </c>
      <c r="D12"/>
      <c r="E12"/>
      <c r="F12"/>
      <c r="G12"/>
      <c r="H12"/>
      <c r="I12"/>
      <c r="J12"/>
      <c r="K12"/>
      <c r="L12"/>
      <c r="M12"/>
      <c r="N12"/>
      <c r="O12"/>
      <c r="P12"/>
      <c r="Q12"/>
      <c r="R12"/>
      <c r="S12"/>
      <c r="T12"/>
      <c r="U12"/>
      <c r="V12"/>
      <c r="W12"/>
      <c r="X12"/>
      <c r="Y12"/>
      <c r="Z12"/>
      <c r="AA12"/>
      <c r="AB12"/>
      <c r="AC12"/>
      <c r="AD12"/>
      <c r="AE12"/>
      <c r="AF12"/>
      <c r="AG12"/>
      <c r="AH12"/>
      <c r="AI12"/>
      <c r="AJ12"/>
      <c r="AK12"/>
    </row>
    <row r="13" spans="1:170" x14ac:dyDescent="0.2">
      <c r="A13" s="107" t="s">
        <v>578</v>
      </c>
      <c r="B13" s="108"/>
      <c r="C13" s="108"/>
      <c r="D13"/>
      <c r="E13"/>
      <c r="F13"/>
      <c r="G13"/>
      <c r="H13"/>
      <c r="I13"/>
      <c r="J13"/>
      <c r="K13"/>
      <c r="L13"/>
      <c r="M13"/>
      <c r="N13"/>
      <c r="O13"/>
      <c r="P13"/>
      <c r="Q13"/>
      <c r="R13"/>
      <c r="S13"/>
      <c r="T13"/>
      <c r="U13"/>
      <c r="V13"/>
      <c r="W13"/>
      <c r="X13"/>
      <c r="Y13"/>
      <c r="Z13"/>
      <c r="AA13"/>
      <c r="AB13"/>
      <c r="AC13"/>
      <c r="AD13"/>
      <c r="AE13"/>
      <c r="AF13"/>
      <c r="AG13"/>
      <c r="AH13"/>
      <c r="AI13"/>
      <c r="AJ13"/>
      <c r="AK13"/>
    </row>
    <row r="14" spans="1:170" x14ac:dyDescent="0.2">
      <c r="A14" s="107" t="s">
        <v>580</v>
      </c>
      <c r="B14" s="108" t="e">
        <v>#N/A</v>
      </c>
      <c r="C14" s="108" t="e">
        <v>#N/A</v>
      </c>
      <c r="D14"/>
      <c r="E14"/>
      <c r="F14"/>
      <c r="G14"/>
      <c r="H14"/>
      <c r="I14"/>
      <c r="J14"/>
      <c r="K14"/>
      <c r="L14"/>
      <c r="M14"/>
      <c r="N14"/>
      <c r="O14"/>
      <c r="P14"/>
      <c r="Q14"/>
      <c r="R14"/>
      <c r="S14"/>
      <c r="T14"/>
      <c r="U14"/>
      <c r="V14"/>
      <c r="W14"/>
      <c r="X14"/>
      <c r="Y14"/>
      <c r="Z14"/>
      <c r="AA14"/>
      <c r="AB14"/>
      <c r="AC14"/>
      <c r="AD14"/>
      <c r="AE14"/>
      <c r="AF14"/>
      <c r="AG14"/>
      <c r="AH14"/>
      <c r="AI14"/>
      <c r="AJ14"/>
      <c r="AK14"/>
    </row>
    <row r="15" spans="1:170" x14ac:dyDescent="0.2">
      <c r="A15" s="107" t="s">
        <v>581</v>
      </c>
      <c r="B15" s="108">
        <v>247680</v>
      </c>
      <c r="C15" s="108">
        <v>731.65</v>
      </c>
      <c r="D15"/>
      <c r="E15"/>
      <c r="F15"/>
      <c r="G15"/>
      <c r="H15"/>
      <c r="I15"/>
      <c r="J15"/>
      <c r="K15"/>
      <c r="L15"/>
      <c r="M15"/>
      <c r="N15"/>
      <c r="O15"/>
      <c r="P15"/>
      <c r="Q15"/>
      <c r="R15"/>
      <c r="S15"/>
      <c r="T15"/>
      <c r="U15"/>
      <c r="V15"/>
      <c r="W15"/>
      <c r="X15"/>
      <c r="Y15"/>
      <c r="Z15"/>
      <c r="AA15"/>
      <c r="AB15"/>
      <c r="AC15"/>
      <c r="AD15"/>
      <c r="AE15"/>
      <c r="AF15"/>
      <c r="AG15"/>
      <c r="AH15"/>
      <c r="AI15"/>
      <c r="AJ15"/>
      <c r="AK15"/>
    </row>
    <row r="16" spans="1:170" x14ac:dyDescent="0.2">
      <c r="A16" s="107" t="s">
        <v>582</v>
      </c>
      <c r="B16" s="108">
        <v>489080</v>
      </c>
      <c r="C16" s="108">
        <v>721.65</v>
      </c>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
      <c r="A17" s="107" t="s">
        <v>583</v>
      </c>
      <c r="B17" s="108">
        <v>666440</v>
      </c>
      <c r="C17" s="108">
        <v>715</v>
      </c>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
      <c r="A18" s="107" t="s">
        <v>584</v>
      </c>
      <c r="B18" s="108">
        <v>831260</v>
      </c>
      <c r="C18" s="108">
        <v>800</v>
      </c>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
      <c r="A19" s="107" t="s">
        <v>585</v>
      </c>
      <c r="B19" s="108">
        <v>986780</v>
      </c>
      <c r="C19" s="108">
        <v>820.85</v>
      </c>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
      <c r="A20" s="107" t="s">
        <v>586</v>
      </c>
      <c r="B20" s="108">
        <v>1083120</v>
      </c>
      <c r="C20" s="108">
        <v>721.1</v>
      </c>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
      <c r="A21" s="107" t="s">
        <v>589</v>
      </c>
      <c r="B21" s="108">
        <v>1298540</v>
      </c>
      <c r="C21" s="108">
        <v>791.1</v>
      </c>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
      <c r="A22" s="107" t="s">
        <v>590</v>
      </c>
      <c r="B22" s="108">
        <v>1343640</v>
      </c>
      <c r="C22" s="108">
        <v>788.15</v>
      </c>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
      <c r="A23" s="107" t="s">
        <v>591</v>
      </c>
      <c r="B23" s="108">
        <v>1474080</v>
      </c>
      <c r="C23" s="108">
        <v>788.15</v>
      </c>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
      <c r="A24" s="107" t="s">
        <v>592</v>
      </c>
      <c r="B24" s="108">
        <v>1550100</v>
      </c>
      <c r="C24" s="108">
        <v>764.15</v>
      </c>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
      <c r="A25" s="107" t="s">
        <v>593</v>
      </c>
      <c r="B25" s="108">
        <v>1611940</v>
      </c>
      <c r="C25" s="108">
        <v>764.15</v>
      </c>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
      <c r="A26" s="107" t="s">
        <v>594</v>
      </c>
      <c r="B26" s="108">
        <v>1686160</v>
      </c>
      <c r="C26" s="108">
        <v>741.1</v>
      </c>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
      <c r="A27" s="107" t="s">
        <v>601</v>
      </c>
      <c r="B27" s="108">
        <v>1998120</v>
      </c>
      <c r="C27" s="108">
        <v>805.75</v>
      </c>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
      <c r="A28" s="107" t="s">
        <v>602</v>
      </c>
      <c r="B28" s="108">
        <v>2029820</v>
      </c>
      <c r="C28" s="108">
        <v>795</v>
      </c>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
      <c r="A29" s="107" t="s">
        <v>603</v>
      </c>
      <c r="B29" s="108">
        <v>2077860</v>
      </c>
      <c r="C29" s="108">
        <v>815</v>
      </c>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
      <c r="A30" s="107" t="s">
        <v>604</v>
      </c>
      <c r="B30" s="108">
        <v>2090900</v>
      </c>
      <c r="C30" s="108">
        <v>804</v>
      </c>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
      <c r="A31" s="107" t="s">
        <v>605</v>
      </c>
      <c r="B31" s="108">
        <v>2088460</v>
      </c>
      <c r="C31" s="108">
        <v>806</v>
      </c>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
      <c r="A32" s="107" t="s">
        <v>587</v>
      </c>
      <c r="B32" s="108">
        <v>1120120</v>
      </c>
      <c r="C32" s="108">
        <v>791.1</v>
      </c>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
      <c r="A33" s="107" t="s">
        <v>588</v>
      </c>
      <c r="B33" s="108">
        <v>1209060</v>
      </c>
      <c r="C33" s="108">
        <v>791.1</v>
      </c>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
      <c r="A34" s="107" t="s">
        <v>599</v>
      </c>
      <c r="B34" s="108">
        <v>1915980</v>
      </c>
      <c r="C34" s="108">
        <v>821.05</v>
      </c>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
      <c r="A35" s="107" t="s">
        <v>600</v>
      </c>
      <c r="B35" s="108">
        <v>1935920</v>
      </c>
      <c r="C35" s="108">
        <v>807.45</v>
      </c>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
      <c r="A36" s="107" t="s">
        <v>560</v>
      </c>
      <c r="B36" s="108" t="e">
        <v>#N/A</v>
      </c>
      <c r="C36" s="108" t="e">
        <v>#N/A</v>
      </c>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
      <c r="A56"/>
      <c r="B56"/>
      <c r="C56"/>
    </row>
    <row r="57" spans="1:37" x14ac:dyDescent="0.2">
      <c r="A57"/>
      <c r="B57"/>
      <c r="C57"/>
    </row>
    <row r="58" spans="1:37" x14ac:dyDescent="0.2">
      <c r="A58"/>
      <c r="B58"/>
      <c r="C58"/>
    </row>
    <row r="59" spans="1:37" x14ac:dyDescent="0.2">
      <c r="A59"/>
      <c r="B59"/>
      <c r="C59"/>
    </row>
    <row r="60" spans="1:37" x14ac:dyDescent="0.2">
      <c r="A60"/>
      <c r="B60"/>
      <c r="C60"/>
    </row>
    <row r="61" spans="1:37" x14ac:dyDescent="0.2">
      <c r="A61"/>
      <c r="B61"/>
      <c r="C61"/>
    </row>
    <row r="62" spans="1:37" x14ac:dyDescent="0.2">
      <c r="A62"/>
      <c r="B62"/>
      <c r="C62"/>
    </row>
    <row r="63" spans="1:37" x14ac:dyDescent="0.2">
      <c r="A63"/>
      <c r="B63"/>
      <c r="C63"/>
    </row>
    <row r="64" spans="1:37"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142"/>
  <sheetViews>
    <sheetView workbookViewId="0">
      <selection activeCell="H36" sqref="H36"/>
    </sheetView>
  </sheetViews>
  <sheetFormatPr defaultColWidth="9.140625" defaultRowHeight="12.75" x14ac:dyDescent="0.2"/>
  <cols>
    <col min="1" max="1" width="13.7109375" style="100" bestFit="1" customWidth="1"/>
    <col min="2" max="2" width="17.28515625" style="100" bestFit="1" customWidth="1"/>
    <col min="3" max="3" width="8.7109375" style="100" bestFit="1" customWidth="1"/>
    <col min="4" max="8" width="9.140625" style="100"/>
    <col min="9" max="9" width="13.140625" style="104" bestFit="1" customWidth="1"/>
    <col min="10" max="10" width="17.42578125" style="100" bestFit="1" customWidth="1"/>
    <col min="11" max="11" width="10" style="100" bestFit="1" customWidth="1"/>
    <col min="12" max="16384" width="9.140625" style="100"/>
  </cols>
  <sheetData>
    <row r="1" spans="1:11" ht="15" x14ac:dyDescent="0.25">
      <c r="A1" s="106" t="s">
        <v>547</v>
      </c>
      <c r="B1" t="s">
        <v>579</v>
      </c>
      <c r="C1"/>
      <c r="D1" s="105"/>
      <c r="E1" s="105"/>
      <c r="F1" s="105"/>
      <c r="I1" s="101"/>
      <c r="J1" s="66"/>
      <c r="K1" s="66"/>
    </row>
    <row r="2" spans="1:11" ht="15" x14ac:dyDescent="0.25">
      <c r="A2"/>
      <c r="B2"/>
      <c r="C2"/>
      <c r="I2" s="101"/>
      <c r="J2" s="66"/>
      <c r="K2" s="66"/>
    </row>
    <row r="3" spans="1:11" ht="15" x14ac:dyDescent="0.25">
      <c r="A3"/>
      <c r="B3" s="106" t="s">
        <v>575</v>
      </c>
      <c r="C3"/>
      <c r="I3" s="101"/>
      <c r="J3" s="66"/>
      <c r="K3" s="66"/>
    </row>
    <row r="4" spans="1:11" ht="15" x14ac:dyDescent="0.25">
      <c r="A4" s="106" t="s">
        <v>559</v>
      </c>
      <c r="B4" t="s">
        <v>570</v>
      </c>
      <c r="C4" t="s">
        <v>571</v>
      </c>
      <c r="I4" s="103"/>
      <c r="J4" s="102"/>
      <c r="K4" s="102"/>
    </row>
    <row r="5" spans="1:11" ht="15" x14ac:dyDescent="0.25">
      <c r="A5" s="107" t="s">
        <v>595</v>
      </c>
      <c r="B5" s="108">
        <v>865940</v>
      </c>
      <c r="C5" s="108">
        <v>696.65</v>
      </c>
      <c r="I5" s="103"/>
      <c r="J5" s="102"/>
      <c r="K5" s="102"/>
    </row>
    <row r="6" spans="1:11" ht="15" x14ac:dyDescent="0.25">
      <c r="A6" s="107" t="s">
        <v>596</v>
      </c>
      <c r="B6" s="108">
        <v>876000</v>
      </c>
      <c r="C6" s="108">
        <v>676.15</v>
      </c>
      <c r="I6" s="103"/>
      <c r="J6" s="102"/>
      <c r="K6" s="102"/>
    </row>
    <row r="7" spans="1:11" ht="15" x14ac:dyDescent="0.25">
      <c r="A7" s="107" t="s">
        <v>597</v>
      </c>
      <c r="B7" s="108">
        <v>903920</v>
      </c>
      <c r="C7" s="108">
        <v>685.5</v>
      </c>
      <c r="I7" s="103"/>
      <c r="J7" s="102"/>
      <c r="K7" s="102"/>
    </row>
    <row r="8" spans="1:11" ht="15" x14ac:dyDescent="0.25">
      <c r="A8" s="107" t="s">
        <v>598</v>
      </c>
      <c r="B8" s="108">
        <v>934900</v>
      </c>
      <c r="C8" s="108">
        <v>685</v>
      </c>
      <c r="I8" s="103"/>
      <c r="J8" s="102"/>
      <c r="K8" s="102"/>
    </row>
    <row r="9" spans="1:11" ht="15" x14ac:dyDescent="0.25">
      <c r="A9" s="107" t="s">
        <v>606</v>
      </c>
      <c r="B9" s="108">
        <v>1045180</v>
      </c>
      <c r="C9" s="108">
        <v>692.85</v>
      </c>
      <c r="I9" s="103"/>
      <c r="J9" s="102"/>
      <c r="K9" s="102"/>
    </row>
    <row r="10" spans="1:11" ht="15" x14ac:dyDescent="0.25">
      <c r="A10" s="107" t="s">
        <v>607</v>
      </c>
      <c r="B10" s="108">
        <v>1042560</v>
      </c>
      <c r="C10" s="108">
        <v>692.85</v>
      </c>
      <c r="I10" s="103"/>
      <c r="J10" s="102"/>
      <c r="K10" s="102"/>
    </row>
    <row r="11" spans="1:11" ht="15" x14ac:dyDescent="0.25">
      <c r="A11" s="107" t="s">
        <v>608</v>
      </c>
      <c r="B11" s="108">
        <v>1045160</v>
      </c>
      <c r="C11" s="108">
        <v>695</v>
      </c>
      <c r="I11" s="103"/>
      <c r="J11" s="102"/>
      <c r="K11" s="102"/>
    </row>
    <row r="12" spans="1:11" ht="15" x14ac:dyDescent="0.25">
      <c r="A12" s="107" t="s">
        <v>609</v>
      </c>
      <c r="B12" s="108">
        <v>1044580</v>
      </c>
      <c r="C12" s="108">
        <v>695.5</v>
      </c>
      <c r="I12" s="103"/>
      <c r="J12" s="102"/>
      <c r="K12" s="102"/>
    </row>
    <row r="13" spans="1:11" ht="15" x14ac:dyDescent="0.25">
      <c r="A13" s="107" t="s">
        <v>578</v>
      </c>
      <c r="B13" s="108"/>
      <c r="C13" s="108"/>
      <c r="I13" s="101"/>
      <c r="J13" s="66"/>
      <c r="K13" s="66"/>
    </row>
    <row r="14" spans="1:11" ht="15" x14ac:dyDescent="0.25">
      <c r="A14" s="107" t="s">
        <v>580</v>
      </c>
      <c r="B14" s="108" t="e">
        <v>#N/A</v>
      </c>
      <c r="C14" s="108" t="e">
        <v>#N/A</v>
      </c>
      <c r="I14" s="101"/>
      <c r="J14" s="66"/>
      <c r="K14" s="66"/>
    </row>
    <row r="15" spans="1:11" ht="15" x14ac:dyDescent="0.25">
      <c r="A15" s="107" t="s">
        <v>581</v>
      </c>
      <c r="B15" s="108">
        <v>146820</v>
      </c>
      <c r="C15" s="108">
        <v>677.35</v>
      </c>
      <c r="I15" s="101"/>
      <c r="J15" s="66"/>
      <c r="K15" s="66"/>
    </row>
    <row r="16" spans="1:11" ht="15" x14ac:dyDescent="0.25">
      <c r="A16" s="107" t="s">
        <v>582</v>
      </c>
      <c r="B16" s="108">
        <v>252400</v>
      </c>
      <c r="C16" s="108">
        <v>677.35</v>
      </c>
      <c r="I16" s="101"/>
      <c r="J16" s="66"/>
      <c r="K16" s="66"/>
    </row>
    <row r="17" spans="1:11" ht="15" x14ac:dyDescent="0.25">
      <c r="A17" s="107" t="s">
        <v>583</v>
      </c>
      <c r="B17" s="108">
        <v>328300</v>
      </c>
      <c r="C17" s="108">
        <v>677.35</v>
      </c>
      <c r="I17" s="101"/>
      <c r="J17" s="66"/>
      <c r="K17" s="66"/>
    </row>
    <row r="18" spans="1:11" ht="15" x14ac:dyDescent="0.25">
      <c r="A18" s="107" t="s">
        <v>584</v>
      </c>
      <c r="B18" s="108">
        <v>456500</v>
      </c>
      <c r="C18" s="108">
        <v>594.29999999999995</v>
      </c>
      <c r="I18" s="101"/>
      <c r="J18" s="66"/>
      <c r="K18" s="66"/>
    </row>
    <row r="19" spans="1:11" ht="15" x14ac:dyDescent="0.25">
      <c r="A19" s="107" t="s">
        <v>585</v>
      </c>
      <c r="B19" s="108">
        <v>524920</v>
      </c>
      <c r="C19" s="108">
        <v>680.25</v>
      </c>
      <c r="I19" s="101"/>
      <c r="J19" s="66"/>
      <c r="K19" s="66"/>
    </row>
    <row r="20" spans="1:11" x14ac:dyDescent="0.2">
      <c r="A20" s="107" t="s">
        <v>586</v>
      </c>
      <c r="B20" s="108">
        <v>570100</v>
      </c>
      <c r="C20" s="108">
        <v>777.5</v>
      </c>
    </row>
    <row r="21" spans="1:11" x14ac:dyDescent="0.2">
      <c r="A21" s="107" t="s">
        <v>589</v>
      </c>
      <c r="B21" s="108">
        <v>713160</v>
      </c>
      <c r="C21" s="108">
        <v>714</v>
      </c>
    </row>
    <row r="22" spans="1:11" x14ac:dyDescent="0.2">
      <c r="A22" s="107" t="s">
        <v>590</v>
      </c>
      <c r="B22" s="108">
        <v>763080</v>
      </c>
      <c r="C22" s="108">
        <v>714</v>
      </c>
    </row>
    <row r="23" spans="1:11" x14ac:dyDescent="0.2">
      <c r="A23" s="107" t="s">
        <v>591</v>
      </c>
      <c r="B23" s="108">
        <v>767460</v>
      </c>
      <c r="C23" s="108">
        <v>714</v>
      </c>
    </row>
    <row r="24" spans="1:11" x14ac:dyDescent="0.2">
      <c r="A24" s="107" t="s">
        <v>592</v>
      </c>
      <c r="B24" s="108">
        <v>822080</v>
      </c>
      <c r="C24" s="108">
        <v>714</v>
      </c>
    </row>
    <row r="25" spans="1:11" x14ac:dyDescent="0.2">
      <c r="A25" s="107" t="s">
        <v>593</v>
      </c>
      <c r="B25" s="108">
        <v>804620</v>
      </c>
      <c r="C25" s="108">
        <v>714</v>
      </c>
    </row>
    <row r="26" spans="1:11" x14ac:dyDescent="0.2">
      <c r="A26" s="107" t="s">
        <v>594</v>
      </c>
      <c r="B26" s="108">
        <v>820380</v>
      </c>
      <c r="C26" s="108">
        <v>714</v>
      </c>
    </row>
    <row r="27" spans="1:11" x14ac:dyDescent="0.2">
      <c r="A27" s="107" t="s">
        <v>601</v>
      </c>
      <c r="B27" s="108">
        <v>999420</v>
      </c>
      <c r="C27" s="108">
        <v>695.15</v>
      </c>
    </row>
    <row r="28" spans="1:11" x14ac:dyDescent="0.2">
      <c r="A28" s="107" t="s">
        <v>602</v>
      </c>
      <c r="B28" s="108">
        <v>1031420</v>
      </c>
      <c r="C28" s="108">
        <v>708.05</v>
      </c>
    </row>
    <row r="29" spans="1:11" x14ac:dyDescent="0.2">
      <c r="A29" s="107" t="s">
        <v>603</v>
      </c>
      <c r="B29" s="108">
        <v>1051100</v>
      </c>
      <c r="C29" s="108">
        <v>687.1</v>
      </c>
    </row>
    <row r="30" spans="1:11" x14ac:dyDescent="0.2">
      <c r="A30" s="107" t="s">
        <v>604</v>
      </c>
      <c r="B30" s="108">
        <v>1045300</v>
      </c>
      <c r="C30" s="108">
        <v>700</v>
      </c>
    </row>
    <row r="31" spans="1:11" x14ac:dyDescent="0.2">
      <c r="A31" s="107" t="s">
        <v>605</v>
      </c>
      <c r="B31" s="108">
        <v>1035820</v>
      </c>
      <c r="C31" s="108">
        <v>695.4</v>
      </c>
    </row>
    <row r="32" spans="1:11" x14ac:dyDescent="0.2">
      <c r="A32" s="107" t="s">
        <v>587</v>
      </c>
      <c r="B32" s="108">
        <v>613580</v>
      </c>
      <c r="C32" s="108">
        <v>680.25</v>
      </c>
    </row>
    <row r="33" spans="1:3" x14ac:dyDescent="0.2">
      <c r="A33" s="107" t="s">
        <v>588</v>
      </c>
      <c r="B33" s="108">
        <v>641100</v>
      </c>
      <c r="C33" s="108">
        <v>680.25</v>
      </c>
    </row>
    <row r="34" spans="1:3" x14ac:dyDescent="0.2">
      <c r="A34" s="107" t="s">
        <v>599</v>
      </c>
      <c r="B34" s="108">
        <v>977340</v>
      </c>
      <c r="C34" s="108">
        <v>672.8</v>
      </c>
    </row>
    <row r="35" spans="1:3" x14ac:dyDescent="0.2">
      <c r="A35" s="107" t="s">
        <v>600</v>
      </c>
      <c r="B35" s="108">
        <v>995460</v>
      </c>
      <c r="C35" s="108">
        <v>695.7</v>
      </c>
    </row>
    <row r="36" spans="1:3" x14ac:dyDescent="0.2">
      <c r="A36" s="107" t="s">
        <v>560</v>
      </c>
      <c r="B36" s="108" t="e">
        <v>#N/A</v>
      </c>
      <c r="C36" s="108" t="e">
        <v>#N/A</v>
      </c>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142"/>
  <sheetViews>
    <sheetView workbookViewId="0">
      <selection activeCell="J40" sqref="J40"/>
    </sheetView>
  </sheetViews>
  <sheetFormatPr defaultColWidth="9.140625" defaultRowHeight="12.75" x14ac:dyDescent="0.2"/>
  <cols>
    <col min="1" max="1" width="13.7109375" style="100" bestFit="1" customWidth="1"/>
    <col min="2" max="2" width="7.140625" style="100" customWidth="1"/>
    <col min="3" max="3" width="7.5703125" style="100" customWidth="1"/>
    <col min="4" max="16384" width="9.140625" style="100"/>
  </cols>
  <sheetData>
    <row r="1" spans="1:3" x14ac:dyDescent="0.2">
      <c r="A1" s="106" t="s">
        <v>547</v>
      </c>
      <c r="B1" t="s">
        <v>579</v>
      </c>
      <c r="C1"/>
    </row>
    <row r="2" spans="1:3" x14ac:dyDescent="0.2">
      <c r="A2"/>
      <c r="B2"/>
      <c r="C2"/>
    </row>
    <row r="3" spans="1:3" x14ac:dyDescent="0.2">
      <c r="A3"/>
      <c r="B3" s="106" t="s">
        <v>575</v>
      </c>
      <c r="C3"/>
    </row>
    <row r="4" spans="1:3" x14ac:dyDescent="0.2">
      <c r="A4" s="106" t="s">
        <v>559</v>
      </c>
      <c r="B4" t="s">
        <v>572</v>
      </c>
      <c r="C4" t="s">
        <v>573</v>
      </c>
    </row>
    <row r="5" spans="1:3" x14ac:dyDescent="0.2">
      <c r="A5" s="107" t="s">
        <v>595</v>
      </c>
      <c r="B5" s="108">
        <v>0</v>
      </c>
      <c r="C5" s="108">
        <v>0</v>
      </c>
    </row>
    <row r="6" spans="1:3" x14ac:dyDescent="0.2">
      <c r="A6" s="107" t="s">
        <v>596</v>
      </c>
      <c r="B6" s="108">
        <v>0</v>
      </c>
      <c r="C6" s="108">
        <v>0</v>
      </c>
    </row>
    <row r="7" spans="1:3" x14ac:dyDescent="0.2">
      <c r="A7" s="107" t="s">
        <v>597</v>
      </c>
      <c r="B7" s="108">
        <v>0</v>
      </c>
      <c r="C7" s="108">
        <v>0</v>
      </c>
    </row>
    <row r="8" spans="1:3" x14ac:dyDescent="0.2">
      <c r="A8" s="107" t="s">
        <v>598</v>
      </c>
      <c r="B8" s="108">
        <v>0</v>
      </c>
      <c r="C8" s="108">
        <v>0</v>
      </c>
    </row>
    <row r="9" spans="1:3" x14ac:dyDescent="0.2">
      <c r="A9" s="107" t="s">
        <v>606</v>
      </c>
      <c r="B9" s="108">
        <v>0</v>
      </c>
      <c r="C9" s="108">
        <v>0</v>
      </c>
    </row>
    <row r="10" spans="1:3" x14ac:dyDescent="0.2">
      <c r="A10" s="107" t="s">
        <v>607</v>
      </c>
      <c r="B10" s="108">
        <v>0</v>
      </c>
      <c r="C10" s="108">
        <v>0</v>
      </c>
    </row>
    <row r="11" spans="1:3" x14ac:dyDescent="0.2">
      <c r="A11" s="107" t="s">
        <v>608</v>
      </c>
      <c r="B11" s="108">
        <v>0</v>
      </c>
      <c r="C11" s="108">
        <v>0</v>
      </c>
    </row>
    <row r="12" spans="1:3" x14ac:dyDescent="0.2">
      <c r="A12" s="107" t="s">
        <v>609</v>
      </c>
      <c r="B12" s="108">
        <v>0</v>
      </c>
      <c r="C12" s="108">
        <v>0</v>
      </c>
    </row>
    <row r="13" spans="1:3" x14ac:dyDescent="0.2">
      <c r="A13" s="107" t="s">
        <v>578</v>
      </c>
      <c r="B13" s="108"/>
      <c r="C13" s="108"/>
    </row>
    <row r="14" spans="1:3" x14ac:dyDescent="0.2">
      <c r="A14" s="107" t="s">
        <v>580</v>
      </c>
      <c r="B14" s="108" t="e">
        <v>#N/A</v>
      </c>
      <c r="C14" s="108" t="e">
        <v>#N/A</v>
      </c>
    </row>
    <row r="15" spans="1:3" x14ac:dyDescent="0.2">
      <c r="A15" s="107" t="s">
        <v>581</v>
      </c>
      <c r="B15" s="108">
        <v>0</v>
      </c>
      <c r="C15" s="108">
        <v>0</v>
      </c>
    </row>
    <row r="16" spans="1:3" x14ac:dyDescent="0.2">
      <c r="A16" s="107" t="s">
        <v>582</v>
      </c>
      <c r="B16" s="108">
        <v>0</v>
      </c>
      <c r="C16" s="108">
        <v>0</v>
      </c>
    </row>
    <row r="17" spans="1:3" x14ac:dyDescent="0.2">
      <c r="A17" s="107" t="s">
        <v>583</v>
      </c>
      <c r="B17" s="108">
        <v>0</v>
      </c>
      <c r="C17" s="108">
        <v>0</v>
      </c>
    </row>
    <row r="18" spans="1:3" x14ac:dyDescent="0.2">
      <c r="A18" s="107" t="s">
        <v>584</v>
      </c>
      <c r="B18" s="108">
        <v>0</v>
      </c>
      <c r="C18" s="108">
        <v>0</v>
      </c>
    </row>
    <row r="19" spans="1:3" x14ac:dyDescent="0.2">
      <c r="A19" s="107" t="s">
        <v>585</v>
      </c>
      <c r="B19" s="108">
        <v>0</v>
      </c>
      <c r="C19" s="108">
        <v>0</v>
      </c>
    </row>
    <row r="20" spans="1:3" x14ac:dyDescent="0.2">
      <c r="A20" s="107" t="s">
        <v>586</v>
      </c>
      <c r="B20" s="108">
        <v>0</v>
      </c>
      <c r="C20" s="108">
        <v>0</v>
      </c>
    </row>
    <row r="21" spans="1:3" x14ac:dyDescent="0.2">
      <c r="A21" s="107" t="s">
        <v>589</v>
      </c>
      <c r="B21" s="108">
        <v>0</v>
      </c>
      <c r="C21" s="108">
        <v>0</v>
      </c>
    </row>
    <row r="22" spans="1:3" x14ac:dyDescent="0.2">
      <c r="A22" s="107" t="s">
        <v>590</v>
      </c>
      <c r="B22" s="108">
        <v>0</v>
      </c>
      <c r="C22" s="108">
        <v>0</v>
      </c>
    </row>
    <row r="23" spans="1:3" x14ac:dyDescent="0.2">
      <c r="A23" s="107" t="s">
        <v>591</v>
      </c>
      <c r="B23" s="108">
        <v>0</v>
      </c>
      <c r="C23" s="108">
        <v>0</v>
      </c>
    </row>
    <row r="24" spans="1:3" x14ac:dyDescent="0.2">
      <c r="A24" s="107" t="s">
        <v>592</v>
      </c>
      <c r="B24" s="108">
        <v>0</v>
      </c>
      <c r="C24" s="108">
        <v>0</v>
      </c>
    </row>
    <row r="25" spans="1:3" x14ac:dyDescent="0.2">
      <c r="A25" s="107" t="s">
        <v>593</v>
      </c>
      <c r="B25" s="108">
        <v>0</v>
      </c>
      <c r="C25" s="108">
        <v>0</v>
      </c>
    </row>
    <row r="26" spans="1:3" x14ac:dyDescent="0.2">
      <c r="A26" s="107" t="s">
        <v>594</v>
      </c>
      <c r="B26" s="108">
        <v>0</v>
      </c>
      <c r="C26" s="108">
        <v>0</v>
      </c>
    </row>
    <row r="27" spans="1:3" x14ac:dyDescent="0.2">
      <c r="A27" s="107" t="s">
        <v>601</v>
      </c>
      <c r="B27" s="108">
        <v>0</v>
      </c>
      <c r="C27" s="108">
        <v>0</v>
      </c>
    </row>
    <row r="28" spans="1:3" x14ac:dyDescent="0.2">
      <c r="A28" s="107" t="s">
        <v>602</v>
      </c>
      <c r="B28" s="108">
        <v>0</v>
      </c>
      <c r="C28" s="108">
        <v>0</v>
      </c>
    </row>
    <row r="29" spans="1:3" x14ac:dyDescent="0.2">
      <c r="A29" s="107" t="s">
        <v>603</v>
      </c>
      <c r="B29" s="108">
        <v>0</v>
      </c>
      <c r="C29" s="108">
        <v>0</v>
      </c>
    </row>
    <row r="30" spans="1:3" x14ac:dyDescent="0.2">
      <c r="A30" s="107" t="s">
        <v>604</v>
      </c>
      <c r="B30" s="108">
        <v>0</v>
      </c>
      <c r="C30" s="108">
        <v>0</v>
      </c>
    </row>
    <row r="31" spans="1:3" x14ac:dyDescent="0.2">
      <c r="A31" s="107" t="s">
        <v>605</v>
      </c>
      <c r="B31" s="108">
        <v>0</v>
      </c>
      <c r="C31" s="108">
        <v>0</v>
      </c>
    </row>
    <row r="32" spans="1:3" x14ac:dyDescent="0.2">
      <c r="A32" s="107" t="s">
        <v>587</v>
      </c>
      <c r="B32" s="108">
        <v>0</v>
      </c>
      <c r="C32" s="108">
        <v>0</v>
      </c>
    </row>
    <row r="33" spans="1:3" x14ac:dyDescent="0.2">
      <c r="A33" s="107" t="s">
        <v>588</v>
      </c>
      <c r="B33" s="108">
        <v>0</v>
      </c>
      <c r="C33" s="108">
        <v>0</v>
      </c>
    </row>
    <row r="34" spans="1:3" x14ac:dyDescent="0.2">
      <c r="A34" s="107" t="s">
        <v>599</v>
      </c>
      <c r="B34" s="108">
        <v>0</v>
      </c>
      <c r="C34" s="108">
        <v>0</v>
      </c>
    </row>
    <row r="35" spans="1:3" x14ac:dyDescent="0.2">
      <c r="A35" s="107" t="s">
        <v>600</v>
      </c>
      <c r="B35" s="108">
        <v>0</v>
      </c>
      <c r="C35" s="108">
        <v>0</v>
      </c>
    </row>
    <row r="36" spans="1:3" x14ac:dyDescent="0.2">
      <c r="A36" s="107" t="s">
        <v>560</v>
      </c>
      <c r="B36" s="108" t="e">
        <v>#N/A</v>
      </c>
      <c r="C36" s="108" t="e">
        <v>#N/A</v>
      </c>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141"/>
  <sheetViews>
    <sheetView workbookViewId="0">
      <selection activeCell="O37" sqref="O37"/>
    </sheetView>
  </sheetViews>
  <sheetFormatPr defaultColWidth="9.140625" defaultRowHeight="12.75" x14ac:dyDescent="0.2"/>
  <cols>
    <col min="1" max="1" width="13.7109375" style="100" customWidth="1"/>
    <col min="2" max="2" width="12" style="100" customWidth="1"/>
    <col min="3" max="4" width="7.7109375" style="100" customWidth="1"/>
    <col min="5" max="5" width="7.28515625" style="100" customWidth="1"/>
    <col min="6" max="16" width="7.7109375" style="100" customWidth="1"/>
    <col min="17" max="17" width="12" style="100" bestFit="1" customWidth="1"/>
    <col min="18" max="18" width="7.7109375" style="100" customWidth="1"/>
    <col min="19" max="19" width="12" style="100" bestFit="1" customWidth="1"/>
    <col min="20" max="16384" width="9.140625" style="100"/>
  </cols>
  <sheetData>
    <row r="1" spans="1:19" x14ac:dyDescent="0.2">
      <c r="A1" s="106" t="s">
        <v>547</v>
      </c>
      <c r="B1" t="s">
        <v>579</v>
      </c>
      <c r="C1"/>
      <c r="D1" s="105"/>
    </row>
    <row r="2" spans="1:19" x14ac:dyDescent="0.2">
      <c r="A2"/>
      <c r="B2"/>
      <c r="C2"/>
    </row>
    <row r="3" spans="1:19" ht="15" x14ac:dyDescent="0.25">
      <c r="A3" s="106" t="s">
        <v>559</v>
      </c>
      <c r="B3" t="s">
        <v>555</v>
      </c>
      <c r="C3"/>
      <c r="D3" s="66"/>
      <c r="E3" s="66"/>
      <c r="F3" s="66"/>
      <c r="G3" s="66"/>
      <c r="H3" s="66"/>
      <c r="I3" s="66"/>
      <c r="J3" s="66"/>
      <c r="K3" s="66"/>
      <c r="L3" s="66"/>
      <c r="M3" s="66"/>
      <c r="N3" s="66"/>
      <c r="O3" s="66"/>
      <c r="P3" s="66"/>
      <c r="Q3" s="66"/>
      <c r="R3" s="66"/>
      <c r="S3" s="66"/>
    </row>
    <row r="4" spans="1:19" ht="15" x14ac:dyDescent="0.25">
      <c r="A4" s="107" t="s">
        <v>595</v>
      </c>
      <c r="B4" s="108">
        <v>0.83217861926140302</v>
      </c>
      <c r="C4"/>
      <c r="D4" s="66"/>
      <c r="E4" s="66"/>
      <c r="F4" s="66"/>
      <c r="G4" s="66"/>
      <c r="H4" s="66"/>
      <c r="I4" s="66"/>
      <c r="J4" s="66"/>
      <c r="K4" s="66"/>
      <c r="L4" s="66"/>
      <c r="M4" s="66"/>
      <c r="N4" s="66"/>
      <c r="O4" s="66"/>
      <c r="P4" s="66"/>
      <c r="Q4" s="66"/>
      <c r="R4" s="66"/>
      <c r="S4" s="66"/>
    </row>
    <row r="5" spans="1:19" ht="15" x14ac:dyDescent="0.25">
      <c r="A5" s="107" t="s">
        <v>596</v>
      </c>
      <c r="B5" s="108">
        <v>0.82479826351872121</v>
      </c>
      <c r="C5"/>
      <c r="D5" s="66"/>
      <c r="E5" s="66"/>
      <c r="F5" s="66"/>
      <c r="G5" s="66"/>
      <c r="H5" s="66"/>
      <c r="I5" s="66"/>
      <c r="J5" s="66"/>
      <c r="K5" s="66"/>
      <c r="L5" s="66"/>
      <c r="M5" s="66"/>
      <c r="N5" s="66"/>
      <c r="O5" s="66"/>
      <c r="P5" s="66"/>
      <c r="Q5" s="66"/>
      <c r="R5" s="66"/>
      <c r="S5" s="66"/>
    </row>
    <row r="6" spans="1:19" ht="15" x14ac:dyDescent="0.25">
      <c r="A6" s="107" t="s">
        <v>597</v>
      </c>
      <c r="B6" s="108">
        <v>0.81138721697317195</v>
      </c>
      <c r="C6"/>
      <c r="D6" s="66"/>
      <c r="E6" s="66"/>
      <c r="F6" s="66"/>
      <c r="G6" s="66"/>
      <c r="H6" s="66"/>
      <c r="I6" s="66"/>
      <c r="J6" s="66"/>
      <c r="K6" s="66"/>
      <c r="L6" s="66"/>
      <c r="M6" s="66"/>
      <c r="N6" s="66"/>
      <c r="O6" s="66"/>
      <c r="P6" s="66"/>
      <c r="Q6" s="66"/>
      <c r="R6" s="66"/>
      <c r="S6" s="66"/>
    </row>
    <row r="7" spans="1:19" ht="15" x14ac:dyDescent="0.25">
      <c r="A7" s="107" t="s">
        <v>598</v>
      </c>
      <c r="B7" s="108">
        <v>0.82074304595051484</v>
      </c>
      <c r="C7"/>
      <c r="D7" s="66"/>
      <c r="E7" s="66"/>
      <c r="F7" s="66"/>
      <c r="G7" s="66"/>
      <c r="H7" s="66"/>
      <c r="I7" s="66"/>
      <c r="J7" s="66"/>
      <c r="K7" s="66"/>
      <c r="L7" s="66"/>
      <c r="M7" s="66"/>
      <c r="N7" s="66"/>
      <c r="O7" s="66"/>
      <c r="P7" s="66"/>
      <c r="Q7" s="66"/>
      <c r="R7" s="66"/>
      <c r="S7" s="66"/>
    </row>
    <row r="8" spans="1:19" ht="15" x14ac:dyDescent="0.25">
      <c r="A8" s="107" t="s">
        <v>606</v>
      </c>
      <c r="B8" s="108">
        <v>0.78679250859237959</v>
      </c>
      <c r="C8"/>
      <c r="D8" s="66"/>
      <c r="E8" s="66"/>
      <c r="F8" s="66"/>
      <c r="G8" s="66"/>
      <c r="H8" s="66"/>
      <c r="I8" s="66"/>
      <c r="J8" s="66"/>
      <c r="K8" s="66"/>
      <c r="L8" s="66"/>
      <c r="M8" s="66"/>
      <c r="N8" s="66"/>
      <c r="O8" s="66"/>
      <c r="P8" s="66"/>
      <c r="Q8" s="66"/>
      <c r="R8" s="66"/>
      <c r="S8" s="66"/>
    </row>
    <row r="9" spans="1:19" ht="15" x14ac:dyDescent="0.25">
      <c r="A9" s="107" t="s">
        <v>607</v>
      </c>
      <c r="B9" s="108">
        <v>0.79669147478907276</v>
      </c>
      <c r="C9"/>
      <c r="D9" s="66"/>
      <c r="E9" s="66"/>
      <c r="F9" s="66"/>
      <c r="G9" s="66"/>
      <c r="H9" s="66"/>
      <c r="I9" s="66"/>
      <c r="J9" s="66"/>
      <c r="K9" s="66"/>
      <c r="L9" s="66"/>
      <c r="M9" s="66"/>
      <c r="N9" s="66"/>
      <c r="O9" s="66"/>
      <c r="P9" s="66"/>
      <c r="Q9" s="66"/>
      <c r="R9" s="66"/>
      <c r="S9" s="66"/>
    </row>
    <row r="10" spans="1:19" ht="15" x14ac:dyDescent="0.25">
      <c r="A10" s="107" t="s">
        <v>608</v>
      </c>
      <c r="B10" s="108">
        <v>0.79414051834673727</v>
      </c>
      <c r="C10"/>
      <c r="D10" s="66"/>
      <c r="E10" s="66"/>
      <c r="F10" s="66"/>
      <c r="G10" s="66"/>
      <c r="H10" s="66"/>
      <c r="I10" s="66"/>
      <c r="J10" s="66"/>
      <c r="K10" s="66"/>
      <c r="L10" s="66"/>
      <c r="M10" s="66"/>
      <c r="N10" s="66"/>
      <c r="O10" s="66"/>
      <c r="P10" s="66"/>
      <c r="Q10" s="66"/>
      <c r="R10" s="66"/>
      <c r="S10" s="66"/>
    </row>
    <row r="11" spans="1:19" ht="15" x14ac:dyDescent="0.25">
      <c r="A11" s="107" t="s">
        <v>609</v>
      </c>
      <c r="B11" s="108">
        <v>0.79515184769161484</v>
      </c>
      <c r="C11"/>
      <c r="D11" s="66"/>
      <c r="E11" s="66"/>
      <c r="F11" s="66"/>
      <c r="G11" s="66"/>
      <c r="H11" s="66"/>
      <c r="I11" s="66"/>
      <c r="J11" s="66"/>
      <c r="K11" s="66"/>
      <c r="L11" s="66"/>
      <c r="M11" s="66"/>
      <c r="N11" s="66"/>
      <c r="O11" s="66"/>
      <c r="P11" s="66"/>
      <c r="Q11" s="66"/>
      <c r="R11" s="66"/>
      <c r="S11" s="66"/>
    </row>
    <row r="12" spans="1:19" ht="15" x14ac:dyDescent="0.25">
      <c r="A12" s="107" t="s">
        <v>578</v>
      </c>
      <c r="B12" s="108"/>
      <c r="C12"/>
      <c r="D12" s="66"/>
      <c r="E12" s="66"/>
      <c r="F12" s="66"/>
      <c r="G12" s="66"/>
      <c r="H12" s="66"/>
      <c r="I12" s="66"/>
      <c r="J12" s="66"/>
      <c r="K12" s="66"/>
      <c r="L12" s="66"/>
      <c r="M12" s="66"/>
      <c r="N12" s="66"/>
      <c r="O12" s="66"/>
      <c r="P12" s="66"/>
      <c r="Q12" s="66"/>
      <c r="R12" s="66"/>
      <c r="S12" s="66"/>
    </row>
    <row r="13" spans="1:19" ht="15" x14ac:dyDescent="0.25">
      <c r="A13" s="107" t="s">
        <v>580</v>
      </c>
      <c r="B13" s="108" t="e">
        <v>#N/A</v>
      </c>
      <c r="C13"/>
      <c r="D13" s="66"/>
      <c r="E13" s="66"/>
      <c r="F13" s="66"/>
      <c r="G13" s="66"/>
      <c r="H13" s="66"/>
      <c r="I13" s="66"/>
      <c r="J13" s="66"/>
      <c r="K13" s="66"/>
      <c r="L13" s="66"/>
      <c r="M13" s="66"/>
      <c r="N13" s="66"/>
      <c r="O13" s="66"/>
      <c r="P13" s="66"/>
      <c r="Q13" s="66"/>
      <c r="R13" s="66"/>
      <c r="S13" s="66"/>
    </row>
    <row r="14" spans="1:19" ht="15" x14ac:dyDescent="0.25">
      <c r="A14" s="107" t="s">
        <v>581</v>
      </c>
      <c r="B14" s="108">
        <v>1.044430180040834</v>
      </c>
      <c r="C14"/>
      <c r="D14" s="66"/>
      <c r="E14" s="66"/>
      <c r="F14" s="66"/>
      <c r="G14" s="66"/>
      <c r="H14" s="66"/>
      <c r="I14" s="66"/>
      <c r="J14" s="66"/>
      <c r="K14" s="66"/>
      <c r="L14" s="66"/>
      <c r="M14" s="66"/>
      <c r="N14" s="66"/>
      <c r="O14" s="66"/>
      <c r="P14" s="66"/>
      <c r="Q14" s="66"/>
      <c r="R14" s="66"/>
      <c r="S14" s="66"/>
    </row>
    <row r="15" spans="1:19" ht="15" x14ac:dyDescent="0.25">
      <c r="A15" s="107" t="s">
        <v>582</v>
      </c>
      <c r="B15" s="108">
        <v>1.016172857250409</v>
      </c>
      <c r="C15"/>
      <c r="D15" s="66"/>
      <c r="E15" s="66"/>
      <c r="F15" s="66"/>
      <c r="G15" s="66"/>
      <c r="H15" s="66"/>
      <c r="I15" s="66"/>
      <c r="J15" s="66"/>
      <c r="K15" s="66"/>
      <c r="L15" s="66"/>
      <c r="M15" s="66"/>
      <c r="N15" s="66"/>
      <c r="O15" s="66"/>
      <c r="P15" s="66"/>
      <c r="Q15" s="66"/>
      <c r="R15" s="66"/>
      <c r="S15" s="66"/>
    </row>
    <row r="16" spans="1:19" ht="15" x14ac:dyDescent="0.25">
      <c r="A16" s="107" t="s">
        <v>583</v>
      </c>
      <c r="B16" s="108">
        <v>0.97975560206845602</v>
      </c>
      <c r="C16"/>
      <c r="D16" s="66"/>
      <c r="E16" s="66"/>
      <c r="F16" s="66"/>
      <c r="G16" s="66"/>
      <c r="H16" s="66"/>
      <c r="I16" s="66"/>
      <c r="J16" s="66"/>
      <c r="K16" s="66"/>
      <c r="L16" s="66"/>
      <c r="M16" s="66"/>
      <c r="N16" s="66"/>
      <c r="O16" s="66"/>
      <c r="P16" s="66"/>
      <c r="Q16" s="66"/>
      <c r="R16" s="66"/>
      <c r="S16" s="66"/>
    </row>
    <row r="17" spans="1:8" ht="15" x14ac:dyDescent="0.25">
      <c r="A17" s="107" t="s">
        <v>584</v>
      </c>
      <c r="B17" s="108">
        <v>0.98794924607380974</v>
      </c>
      <c r="C17"/>
      <c r="H17" s="66"/>
    </row>
    <row r="18" spans="1:8" ht="15" x14ac:dyDescent="0.25">
      <c r="A18" s="107" t="s">
        <v>585</v>
      </c>
      <c r="B18" s="108">
        <v>0.98804188207292243</v>
      </c>
      <c r="C18"/>
      <c r="H18" s="66"/>
    </row>
    <row r="19" spans="1:8" x14ac:dyDescent="0.2">
      <c r="A19" s="107" t="s">
        <v>586</v>
      </c>
      <c r="B19" s="108">
        <v>0.95019271595523214</v>
      </c>
    </row>
    <row r="20" spans="1:8" x14ac:dyDescent="0.2">
      <c r="A20" s="107" t="s">
        <v>589</v>
      </c>
      <c r="B20" s="108">
        <v>0.92651970452515631</v>
      </c>
    </row>
    <row r="21" spans="1:8" x14ac:dyDescent="0.2">
      <c r="A21" s="107" t="s">
        <v>590</v>
      </c>
      <c r="B21" s="108">
        <v>0.91655261781890107</v>
      </c>
    </row>
    <row r="22" spans="1:8" x14ac:dyDescent="0.2">
      <c r="A22" s="107" t="s">
        <v>591</v>
      </c>
      <c r="B22" s="108">
        <v>0.88653338856308184</v>
      </c>
    </row>
    <row r="23" spans="1:8" x14ac:dyDescent="0.2">
      <c r="A23" s="107" t="s">
        <v>592</v>
      </c>
      <c r="B23" s="108">
        <v>0.88325041459369813</v>
      </c>
    </row>
    <row r="24" spans="1:8" x14ac:dyDescent="0.2">
      <c r="A24" s="107" t="s">
        <v>593</v>
      </c>
      <c r="B24" s="108">
        <v>0.84783279074628659</v>
      </c>
    </row>
    <row r="25" spans="1:8" x14ac:dyDescent="0.2">
      <c r="A25" s="107" t="s">
        <v>594</v>
      </c>
      <c r="B25" s="108">
        <v>0.8321966253429488</v>
      </c>
    </row>
    <row r="26" spans="1:8" x14ac:dyDescent="0.2">
      <c r="A26" s="107" t="s">
        <v>601</v>
      </c>
      <c r="B26" s="108">
        <v>0.79697963087205614</v>
      </c>
    </row>
    <row r="27" spans="1:8" x14ac:dyDescent="0.2">
      <c r="A27" s="107" t="s">
        <v>602</v>
      </c>
      <c r="B27" s="108">
        <v>0.79610855592263896</v>
      </c>
    </row>
    <row r="28" spans="1:8" x14ac:dyDescent="0.2">
      <c r="A28" s="107" t="s">
        <v>603</v>
      </c>
      <c r="B28" s="108">
        <v>0.78884773618878834</v>
      </c>
    </row>
    <row r="29" spans="1:8" x14ac:dyDescent="0.2">
      <c r="A29" s="107" t="s">
        <v>604</v>
      </c>
      <c r="B29" s="108">
        <v>0.78507310777560346</v>
      </c>
    </row>
    <row r="30" spans="1:8" x14ac:dyDescent="0.2">
      <c r="A30" s="107" t="s">
        <v>605</v>
      </c>
      <c r="B30" s="108">
        <v>0.78609508559174901</v>
      </c>
    </row>
    <row r="31" spans="1:8" x14ac:dyDescent="0.2">
      <c r="A31" s="107" t="s">
        <v>587</v>
      </c>
      <c r="B31" s="108">
        <v>0.98213138451654358</v>
      </c>
    </row>
    <row r="32" spans="1:8" x14ac:dyDescent="0.2">
      <c r="A32" s="107" t="s">
        <v>588</v>
      </c>
      <c r="B32" s="108">
        <v>0.95696404248527656</v>
      </c>
    </row>
    <row r="33" spans="1:2" x14ac:dyDescent="0.2">
      <c r="A33" s="107" t="s">
        <v>599</v>
      </c>
      <c r="B33" s="108">
        <v>0.83013044801095304</v>
      </c>
    </row>
    <row r="34" spans="1:2" x14ac:dyDescent="0.2">
      <c r="A34" s="107" t="s">
        <v>600</v>
      </c>
      <c r="B34" s="108">
        <v>0.81631676446232326</v>
      </c>
    </row>
    <row r="35" spans="1:2" x14ac:dyDescent="0.2">
      <c r="A35" s="107" t="s">
        <v>560</v>
      </c>
      <c r="B35" s="108" t="e">
        <v>#N/A</v>
      </c>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196"/>
  <sheetViews>
    <sheetView workbookViewId="0">
      <selection sqref="A1:IV65536"/>
    </sheetView>
  </sheetViews>
  <sheetFormatPr defaultRowHeight="15" x14ac:dyDescent="0.25"/>
  <cols>
    <col min="1" max="1" width="14.85546875" style="33" bestFit="1" customWidth="1"/>
    <col min="2" max="2" width="26.42578125" style="34" bestFit="1" customWidth="1"/>
    <col min="3" max="3" width="30.5703125" style="35" bestFit="1" customWidth="1"/>
    <col min="4" max="5" width="9.140625" style="36" customWidth="1"/>
    <col min="6" max="6" width="30.7109375" style="36" bestFit="1" customWidth="1"/>
    <col min="7" max="7" width="18.140625" bestFit="1" customWidth="1"/>
    <col min="9" max="9" width="2.85546875" customWidth="1"/>
    <col min="10" max="10" width="14.140625" bestFit="1" customWidth="1"/>
    <col min="11" max="11" width="19.5703125" customWidth="1"/>
    <col min="12" max="12" width="30" bestFit="1" customWidth="1"/>
    <col min="14" max="14" width="9.140625" customWidth="1"/>
    <col min="15" max="15" width="18.140625" customWidth="1"/>
    <col min="16" max="16" width="14.5703125" bestFit="1" customWidth="1"/>
    <col min="17" max="17" width="10.28515625" customWidth="1"/>
  </cols>
  <sheetData>
    <row r="1" spans="1:17" ht="15.75" thickBot="1" x14ac:dyDescent="0.3">
      <c r="A1" s="119" t="s">
        <v>172</v>
      </c>
      <c r="B1" s="120"/>
      <c r="C1" s="120"/>
      <c r="D1" s="120"/>
      <c r="E1" s="120"/>
      <c r="F1" s="120"/>
      <c r="G1" s="120"/>
      <c r="H1" s="121"/>
      <c r="J1" s="122" t="s">
        <v>173</v>
      </c>
      <c r="K1" s="123"/>
      <c r="L1" s="123"/>
      <c r="M1" s="123"/>
      <c r="N1" s="123"/>
      <c r="O1" s="123"/>
      <c r="P1" s="123"/>
      <c r="Q1" s="124"/>
    </row>
    <row r="2" spans="1:17" x14ac:dyDescent="0.25">
      <c r="A2" s="20" t="s">
        <v>53</v>
      </c>
      <c r="B2" s="20" t="s">
        <v>174</v>
      </c>
      <c r="C2" s="21" t="s">
        <v>175</v>
      </c>
      <c r="D2" s="22" t="s">
        <v>176</v>
      </c>
      <c r="E2" s="22" t="s">
        <v>177</v>
      </c>
      <c r="F2" s="22" t="s">
        <v>178</v>
      </c>
      <c r="G2" s="23" t="s">
        <v>179</v>
      </c>
      <c r="H2" s="24" t="s">
        <v>180</v>
      </c>
      <c r="I2" s="25"/>
      <c r="J2" s="20" t="s">
        <v>53</v>
      </c>
      <c r="K2" s="20" t="s">
        <v>174</v>
      </c>
      <c r="L2" s="21" t="s">
        <v>175</v>
      </c>
      <c r="M2" s="22" t="s">
        <v>176</v>
      </c>
      <c r="N2" s="22" t="s">
        <v>177</v>
      </c>
      <c r="O2" s="22" t="s">
        <v>178</v>
      </c>
      <c r="P2" s="23" t="s">
        <v>179</v>
      </c>
      <c r="Q2" s="24" t="s">
        <v>180</v>
      </c>
    </row>
    <row r="3" spans="1:17" x14ac:dyDescent="0.25">
      <c r="A3" s="26" t="s">
        <v>131</v>
      </c>
      <c r="B3" s="26" t="s">
        <v>187</v>
      </c>
      <c r="C3" s="27">
        <v>43567</v>
      </c>
      <c r="D3" s="28" t="s">
        <v>176</v>
      </c>
      <c r="E3" s="28"/>
      <c r="F3" s="28" t="s">
        <v>183</v>
      </c>
      <c r="G3" s="29" t="s">
        <v>188</v>
      </c>
      <c r="H3" s="30">
        <v>0.67461805555555554</v>
      </c>
      <c r="I3" s="25"/>
      <c r="J3" s="26" t="s">
        <v>162</v>
      </c>
      <c r="K3" s="26" t="s">
        <v>187</v>
      </c>
      <c r="L3" s="27">
        <v>43580</v>
      </c>
      <c r="M3" s="28" t="s">
        <v>176</v>
      </c>
      <c r="N3" s="28"/>
      <c r="O3" s="28" t="s">
        <v>316</v>
      </c>
      <c r="P3" s="29" t="s">
        <v>184</v>
      </c>
      <c r="Q3" s="30">
        <v>0.60625000000000007</v>
      </c>
    </row>
    <row r="4" spans="1:17" x14ac:dyDescent="0.25">
      <c r="A4" s="26" t="s">
        <v>134</v>
      </c>
      <c r="B4" s="26" t="s">
        <v>187</v>
      </c>
      <c r="C4" s="27">
        <v>43567</v>
      </c>
      <c r="D4" s="28" t="s">
        <v>176</v>
      </c>
      <c r="E4" s="28"/>
      <c r="F4" s="28" t="s">
        <v>183</v>
      </c>
      <c r="G4" s="29" t="s">
        <v>188</v>
      </c>
      <c r="H4" s="30">
        <v>0.70694444444444438</v>
      </c>
      <c r="I4" s="25"/>
      <c r="J4" s="26" t="s">
        <v>141</v>
      </c>
      <c r="K4" s="26" t="s">
        <v>187</v>
      </c>
      <c r="L4" s="27">
        <v>43581</v>
      </c>
      <c r="M4" s="28" t="s">
        <v>176</v>
      </c>
      <c r="N4" s="28"/>
      <c r="O4" s="28" t="s">
        <v>316</v>
      </c>
      <c r="P4" s="29" t="s">
        <v>188</v>
      </c>
      <c r="Q4" s="30">
        <v>0.7402777777777777</v>
      </c>
    </row>
    <row r="5" spans="1:17" x14ac:dyDescent="0.25">
      <c r="A5" s="26" t="s">
        <v>190</v>
      </c>
      <c r="B5" s="26" t="s">
        <v>182</v>
      </c>
      <c r="C5" s="27">
        <v>43570</v>
      </c>
      <c r="D5" s="28" t="s">
        <v>176</v>
      </c>
      <c r="E5" s="28"/>
      <c r="F5" s="28" t="s">
        <v>325</v>
      </c>
      <c r="G5" s="29" t="s">
        <v>184</v>
      </c>
      <c r="H5" s="30">
        <v>0.49791666666666662</v>
      </c>
      <c r="I5" s="25"/>
      <c r="J5" s="26" t="s">
        <v>185</v>
      </c>
      <c r="K5" s="26" t="s">
        <v>182</v>
      </c>
      <c r="L5" s="27">
        <v>43585</v>
      </c>
      <c r="M5" s="28" t="s">
        <v>176</v>
      </c>
      <c r="N5" s="28"/>
      <c r="O5" s="28" t="s">
        <v>316</v>
      </c>
      <c r="P5" s="29" t="s">
        <v>184</v>
      </c>
      <c r="Q5" s="30">
        <v>0.54236111111111118</v>
      </c>
    </row>
    <row r="6" spans="1:17" x14ac:dyDescent="0.25">
      <c r="A6" s="26" t="s">
        <v>202</v>
      </c>
      <c r="B6" s="26" t="s">
        <v>327</v>
      </c>
      <c r="C6" s="27">
        <v>43571</v>
      </c>
      <c r="D6" s="28" t="s">
        <v>176</v>
      </c>
      <c r="E6" s="28"/>
      <c r="F6" s="28" t="s">
        <v>183</v>
      </c>
      <c r="G6" s="29" t="s">
        <v>188</v>
      </c>
      <c r="H6" s="30">
        <v>0.67569444444444438</v>
      </c>
      <c r="I6" s="25"/>
      <c r="J6" s="26" t="s">
        <v>193</v>
      </c>
      <c r="K6" s="26" t="s">
        <v>187</v>
      </c>
      <c r="L6" s="27">
        <v>43585</v>
      </c>
      <c r="M6" s="28" t="s">
        <v>176</v>
      </c>
      <c r="N6" s="28"/>
      <c r="O6" s="28" t="s">
        <v>316</v>
      </c>
      <c r="P6" s="29" t="s">
        <v>184</v>
      </c>
      <c r="Q6" s="30">
        <v>0.62291666666666667</v>
      </c>
    </row>
    <row r="7" spans="1:17" x14ac:dyDescent="0.25">
      <c r="A7" s="26" t="s">
        <v>166</v>
      </c>
      <c r="B7" s="26" t="s">
        <v>187</v>
      </c>
      <c r="C7" s="27">
        <v>43572</v>
      </c>
      <c r="D7" s="28" t="s">
        <v>176</v>
      </c>
      <c r="E7" s="28"/>
      <c r="F7" s="28" t="s">
        <v>183</v>
      </c>
      <c r="G7" s="29" t="s">
        <v>188</v>
      </c>
      <c r="H7" s="30">
        <v>0.6777777777777777</v>
      </c>
      <c r="I7" s="25"/>
      <c r="J7" s="26" t="s">
        <v>148</v>
      </c>
      <c r="K7" s="26" t="s">
        <v>187</v>
      </c>
      <c r="L7" s="27">
        <v>43592</v>
      </c>
      <c r="M7" s="28" t="s">
        <v>176</v>
      </c>
      <c r="N7" s="28"/>
      <c r="O7" s="28" t="s">
        <v>316</v>
      </c>
      <c r="P7" s="29" t="s">
        <v>184</v>
      </c>
      <c r="Q7" s="30">
        <v>0.55138888888888882</v>
      </c>
    </row>
    <row r="8" spans="1:17" x14ac:dyDescent="0.25">
      <c r="A8" s="26" t="s">
        <v>231</v>
      </c>
      <c r="B8" s="26" t="s">
        <v>324</v>
      </c>
      <c r="C8" s="27">
        <v>43573</v>
      </c>
      <c r="D8" s="28" t="s">
        <v>176</v>
      </c>
      <c r="E8" s="28"/>
      <c r="F8" s="28" t="s">
        <v>186</v>
      </c>
      <c r="G8" s="29" t="s">
        <v>184</v>
      </c>
      <c r="H8" s="30">
        <v>0.55902777777777779</v>
      </c>
      <c r="I8" s="25"/>
      <c r="J8" s="26" t="s">
        <v>196</v>
      </c>
      <c r="K8" s="26" t="s">
        <v>187</v>
      </c>
      <c r="L8" s="27">
        <v>43595</v>
      </c>
      <c r="M8" s="28" t="s">
        <v>176</v>
      </c>
      <c r="N8" s="28"/>
      <c r="O8" s="28" t="s">
        <v>316</v>
      </c>
      <c r="P8" s="29" t="s">
        <v>184</v>
      </c>
      <c r="Q8" s="30">
        <v>0.625</v>
      </c>
    </row>
    <row r="9" spans="1:17" x14ac:dyDescent="0.25">
      <c r="A9" s="26" t="s">
        <v>194</v>
      </c>
      <c r="B9" s="26" t="s">
        <v>187</v>
      </c>
      <c r="C9" s="27">
        <v>43573</v>
      </c>
      <c r="D9" s="28" t="s">
        <v>176</v>
      </c>
      <c r="E9" s="28"/>
      <c r="F9" s="28" t="s">
        <v>328</v>
      </c>
      <c r="G9" s="29" t="s">
        <v>184</v>
      </c>
      <c r="H9" s="30">
        <v>0.6118055555555556</v>
      </c>
      <c r="I9" s="25"/>
      <c r="J9" s="26" t="s">
        <v>140</v>
      </c>
      <c r="K9" s="26" t="s">
        <v>187</v>
      </c>
      <c r="L9" s="27">
        <v>43602</v>
      </c>
      <c r="M9" s="28" t="s">
        <v>176</v>
      </c>
      <c r="N9" s="28"/>
      <c r="O9" s="28" t="s">
        <v>316</v>
      </c>
      <c r="P9" s="29" t="s">
        <v>184</v>
      </c>
      <c r="Q9" s="30">
        <v>0.59027777777777779</v>
      </c>
    </row>
    <row r="10" spans="1:17" x14ac:dyDescent="0.25">
      <c r="A10" s="26" t="s">
        <v>198</v>
      </c>
      <c r="B10" s="26" t="s">
        <v>187</v>
      </c>
      <c r="C10" s="27">
        <v>43573</v>
      </c>
      <c r="D10" s="28" t="s">
        <v>176</v>
      </c>
      <c r="E10" s="28"/>
      <c r="F10" s="28" t="s">
        <v>329</v>
      </c>
      <c r="G10" s="29" t="s">
        <v>188</v>
      </c>
      <c r="H10" s="30">
        <v>0.76111111111111107</v>
      </c>
      <c r="I10" s="25"/>
      <c r="J10" s="26" t="s">
        <v>151</v>
      </c>
      <c r="K10" s="26" t="s">
        <v>187</v>
      </c>
      <c r="L10" s="27">
        <v>43605</v>
      </c>
      <c r="M10" s="28" t="s">
        <v>176</v>
      </c>
      <c r="N10" s="28"/>
      <c r="O10" s="28" t="s">
        <v>316</v>
      </c>
      <c r="P10" s="29" t="s">
        <v>188</v>
      </c>
      <c r="Q10" s="30">
        <v>0.67083333333333339</v>
      </c>
    </row>
    <row r="11" spans="1:17" x14ac:dyDescent="0.25">
      <c r="A11" s="26" t="s">
        <v>109</v>
      </c>
      <c r="B11" s="26" t="s">
        <v>182</v>
      </c>
      <c r="C11" s="27">
        <v>43575</v>
      </c>
      <c r="D11" s="28" t="s">
        <v>176</v>
      </c>
      <c r="E11" s="28"/>
      <c r="F11" s="28" t="s">
        <v>186</v>
      </c>
      <c r="G11" s="29" t="s">
        <v>188</v>
      </c>
      <c r="H11" s="30">
        <v>0.68472222222222223</v>
      </c>
      <c r="I11" s="25"/>
      <c r="J11" s="26" t="s">
        <v>150</v>
      </c>
      <c r="K11" s="26" t="s">
        <v>187</v>
      </c>
      <c r="L11" s="27">
        <v>43605</v>
      </c>
      <c r="M11" s="28" t="s">
        <v>176</v>
      </c>
      <c r="N11" s="28"/>
      <c r="O11" s="28" t="s">
        <v>316</v>
      </c>
      <c r="P11" s="29" t="s">
        <v>188</v>
      </c>
      <c r="Q11" s="30">
        <v>0.6645833333333333</v>
      </c>
    </row>
    <row r="12" spans="1:17" x14ac:dyDescent="0.25">
      <c r="A12" s="26" t="s">
        <v>290</v>
      </c>
      <c r="B12" s="26" t="s">
        <v>187</v>
      </c>
      <c r="C12" s="27">
        <v>43578</v>
      </c>
      <c r="D12" s="28" t="s">
        <v>176</v>
      </c>
      <c r="E12" s="28"/>
      <c r="F12" s="28" t="s">
        <v>319</v>
      </c>
      <c r="G12" s="29" t="s">
        <v>184</v>
      </c>
      <c r="H12" s="30">
        <v>0.55763888888888891</v>
      </c>
      <c r="I12" s="25"/>
      <c r="J12" s="26" t="s">
        <v>197</v>
      </c>
      <c r="K12" s="26" t="s">
        <v>187</v>
      </c>
      <c r="L12" s="27">
        <v>43606</v>
      </c>
      <c r="M12" s="28" t="s">
        <v>176</v>
      </c>
      <c r="N12" s="28"/>
      <c r="O12" s="28" t="s">
        <v>316</v>
      </c>
      <c r="P12" s="29" t="s">
        <v>184</v>
      </c>
      <c r="Q12" s="30">
        <v>0.53611111111111109</v>
      </c>
    </row>
    <row r="13" spans="1:17" x14ac:dyDescent="0.25">
      <c r="A13" s="26" t="s">
        <v>132</v>
      </c>
      <c r="B13" s="26" t="s">
        <v>182</v>
      </c>
      <c r="C13" s="27">
        <v>43578</v>
      </c>
      <c r="D13" s="28" t="s">
        <v>176</v>
      </c>
      <c r="E13" s="28"/>
      <c r="F13" s="28" t="s">
        <v>217</v>
      </c>
      <c r="G13" s="29" t="s">
        <v>184</v>
      </c>
      <c r="H13" s="30">
        <v>0.64444444444444449</v>
      </c>
      <c r="I13" s="25"/>
      <c r="J13" s="26" t="s">
        <v>149</v>
      </c>
      <c r="K13" s="26" t="s">
        <v>317</v>
      </c>
      <c r="L13" s="27">
        <v>43609</v>
      </c>
      <c r="M13" s="28" t="s">
        <v>176</v>
      </c>
      <c r="N13" s="28"/>
      <c r="O13" s="28" t="s">
        <v>316</v>
      </c>
      <c r="P13" s="29" t="s">
        <v>184</v>
      </c>
      <c r="Q13" s="30">
        <v>0.63888888888888895</v>
      </c>
    </row>
    <row r="14" spans="1:17" x14ac:dyDescent="0.25">
      <c r="A14" s="26" t="s">
        <v>181</v>
      </c>
      <c r="B14" s="26" t="s">
        <v>187</v>
      </c>
      <c r="C14" s="27">
        <v>43579</v>
      </c>
      <c r="D14" s="28" t="s">
        <v>176</v>
      </c>
      <c r="E14" s="28"/>
      <c r="F14" s="28" t="s">
        <v>183</v>
      </c>
      <c r="G14" s="29" t="s">
        <v>184</v>
      </c>
      <c r="H14" s="30">
        <v>0.53819444444444442</v>
      </c>
      <c r="I14" s="25"/>
      <c r="J14" s="26" t="s">
        <v>191</v>
      </c>
      <c r="K14" s="26" t="s">
        <v>187</v>
      </c>
      <c r="L14" s="27">
        <v>43610</v>
      </c>
      <c r="M14" s="28" t="s">
        <v>176</v>
      </c>
      <c r="N14" s="28"/>
      <c r="O14" s="28" t="s">
        <v>316</v>
      </c>
      <c r="P14" s="29" t="s">
        <v>184</v>
      </c>
      <c r="Q14" s="30">
        <v>0.58263888888888882</v>
      </c>
    </row>
    <row r="15" spans="1:17" x14ac:dyDescent="0.25">
      <c r="A15" s="26" t="s">
        <v>133</v>
      </c>
      <c r="B15" s="26" t="s">
        <v>187</v>
      </c>
      <c r="C15" s="27">
        <v>43579</v>
      </c>
      <c r="D15" s="28" t="s">
        <v>176</v>
      </c>
      <c r="E15" s="28"/>
      <c r="F15" s="28" t="s">
        <v>217</v>
      </c>
      <c r="G15" s="29" t="s">
        <v>184</v>
      </c>
      <c r="H15" s="30">
        <v>0.5805555555555556</v>
      </c>
      <c r="I15" s="25"/>
      <c r="J15" s="26" t="s">
        <v>164</v>
      </c>
      <c r="K15" s="26" t="s">
        <v>187</v>
      </c>
      <c r="L15" s="27">
        <v>43614</v>
      </c>
      <c r="M15" s="28" t="s">
        <v>176</v>
      </c>
      <c r="N15" s="28"/>
      <c r="O15" s="28" t="s">
        <v>316</v>
      </c>
      <c r="P15" s="29" t="s">
        <v>184</v>
      </c>
      <c r="Q15" s="30">
        <v>0.56944444444444442</v>
      </c>
    </row>
    <row r="16" spans="1:17" x14ac:dyDescent="0.25">
      <c r="A16" s="26" t="s">
        <v>264</v>
      </c>
      <c r="B16" s="26" t="s">
        <v>187</v>
      </c>
      <c r="C16" s="27">
        <v>43579</v>
      </c>
      <c r="D16" s="28" t="s">
        <v>176</v>
      </c>
      <c r="E16" s="28"/>
      <c r="F16" s="28" t="s">
        <v>183</v>
      </c>
      <c r="G16" s="29" t="s">
        <v>188</v>
      </c>
      <c r="H16" s="30">
        <v>0.66875000000000007</v>
      </c>
      <c r="I16" s="25"/>
      <c r="J16" s="26" t="s">
        <v>203</v>
      </c>
      <c r="K16" s="26" t="s">
        <v>187</v>
      </c>
      <c r="L16" s="27">
        <v>43587</v>
      </c>
      <c r="M16" s="28" t="s">
        <v>176</v>
      </c>
      <c r="N16" s="28"/>
      <c r="O16" s="28" t="s">
        <v>321</v>
      </c>
      <c r="P16" s="29" t="s">
        <v>184</v>
      </c>
      <c r="Q16" s="30">
        <v>0.56111111111111112</v>
      </c>
    </row>
    <row r="17" spans="1:17" x14ac:dyDescent="0.25">
      <c r="A17" s="26" t="s">
        <v>238</v>
      </c>
      <c r="B17" s="26" t="s">
        <v>317</v>
      </c>
      <c r="C17" s="27">
        <v>43579</v>
      </c>
      <c r="D17" s="28" t="s">
        <v>176</v>
      </c>
      <c r="E17" s="28"/>
      <c r="F17" s="28" t="s">
        <v>318</v>
      </c>
      <c r="G17" s="29" t="s">
        <v>188</v>
      </c>
      <c r="H17" s="30">
        <v>0.69374999999999998</v>
      </c>
      <c r="I17" s="25"/>
      <c r="J17" s="26" t="s">
        <v>199</v>
      </c>
      <c r="K17" s="26" t="s">
        <v>187</v>
      </c>
      <c r="L17" s="27">
        <v>43592</v>
      </c>
      <c r="M17" s="28" t="s">
        <v>176</v>
      </c>
      <c r="N17" s="28"/>
      <c r="O17" s="28" t="s">
        <v>321</v>
      </c>
      <c r="P17" s="29" t="s">
        <v>188</v>
      </c>
      <c r="Q17" s="30">
        <v>0.70624999999999993</v>
      </c>
    </row>
    <row r="18" spans="1:17" x14ac:dyDescent="0.25">
      <c r="A18" s="26" t="s">
        <v>160</v>
      </c>
      <c r="B18" s="26" t="s">
        <v>317</v>
      </c>
      <c r="C18" s="27">
        <v>43579</v>
      </c>
      <c r="D18" s="28" t="s">
        <v>176</v>
      </c>
      <c r="E18" s="28"/>
      <c r="F18" s="28" t="s">
        <v>318</v>
      </c>
      <c r="G18" s="29" t="s">
        <v>188</v>
      </c>
      <c r="H18" s="30">
        <v>0.71250000000000002</v>
      </c>
      <c r="I18" s="25"/>
      <c r="J18" s="26" t="s">
        <v>201</v>
      </c>
      <c r="K18" s="26" t="s">
        <v>324</v>
      </c>
      <c r="L18" s="27">
        <v>43594</v>
      </c>
      <c r="M18" s="28" t="s">
        <v>176</v>
      </c>
      <c r="N18" s="28"/>
      <c r="O18" s="28" t="s">
        <v>321</v>
      </c>
      <c r="P18" s="29" t="s">
        <v>184</v>
      </c>
      <c r="Q18" s="30">
        <v>0.59513888888888888</v>
      </c>
    </row>
    <row r="19" spans="1:17" x14ac:dyDescent="0.25">
      <c r="A19" s="26" t="s">
        <v>227</v>
      </c>
      <c r="B19" s="26" t="s">
        <v>187</v>
      </c>
      <c r="C19" s="27">
        <v>43579</v>
      </c>
      <c r="D19" s="28" t="s">
        <v>176</v>
      </c>
      <c r="E19" s="28"/>
      <c r="F19" s="28" t="s">
        <v>326</v>
      </c>
      <c r="G19" s="29" t="s">
        <v>188</v>
      </c>
      <c r="H19" s="30">
        <v>0.72013888888888899</v>
      </c>
      <c r="I19" s="25"/>
      <c r="J19" s="26" t="s">
        <v>206</v>
      </c>
      <c r="K19" s="26" t="s">
        <v>182</v>
      </c>
      <c r="L19" s="27">
        <v>43600</v>
      </c>
      <c r="M19" s="28" t="s">
        <v>176</v>
      </c>
      <c r="N19" s="28"/>
      <c r="O19" s="28" t="s">
        <v>321</v>
      </c>
      <c r="P19" s="29" t="s">
        <v>188</v>
      </c>
      <c r="Q19" s="30">
        <v>0.83611111111111114</v>
      </c>
    </row>
    <row r="20" spans="1:17" x14ac:dyDescent="0.25">
      <c r="A20" s="26" t="s">
        <v>220</v>
      </c>
      <c r="B20" s="26" t="s">
        <v>187</v>
      </c>
      <c r="C20" s="27">
        <v>43579</v>
      </c>
      <c r="D20" s="28" t="s">
        <v>176</v>
      </c>
      <c r="E20" s="28"/>
      <c r="F20" s="28" t="s">
        <v>319</v>
      </c>
      <c r="G20" s="29" t="s">
        <v>188</v>
      </c>
      <c r="H20" s="30">
        <v>0.82638888888888884</v>
      </c>
      <c r="I20" s="25"/>
      <c r="J20" s="26" t="s">
        <v>204</v>
      </c>
      <c r="K20" s="26" t="s">
        <v>187</v>
      </c>
      <c r="L20" s="27">
        <v>43602</v>
      </c>
      <c r="M20" s="28" t="s">
        <v>176</v>
      </c>
      <c r="N20" s="28"/>
      <c r="O20" s="28" t="s">
        <v>321</v>
      </c>
      <c r="P20" s="29" t="s">
        <v>188</v>
      </c>
      <c r="Q20" s="30">
        <v>0.72777777777777775</v>
      </c>
    </row>
    <row r="21" spans="1:17" x14ac:dyDescent="0.25">
      <c r="A21" s="26" t="s">
        <v>162</v>
      </c>
      <c r="B21" s="26" t="s">
        <v>187</v>
      </c>
      <c r="C21" s="27">
        <v>43580</v>
      </c>
      <c r="D21" s="28" t="s">
        <v>176</v>
      </c>
      <c r="E21" s="28"/>
      <c r="F21" s="28" t="s">
        <v>316</v>
      </c>
      <c r="G21" s="29" t="s">
        <v>184</v>
      </c>
      <c r="H21" s="30">
        <v>0.60625000000000007</v>
      </c>
      <c r="I21" s="25"/>
      <c r="J21" s="26" t="s">
        <v>209</v>
      </c>
      <c r="K21" s="26" t="s">
        <v>187</v>
      </c>
      <c r="L21" s="27">
        <v>43605</v>
      </c>
      <c r="M21" s="28" t="s">
        <v>176</v>
      </c>
      <c r="N21" s="28"/>
      <c r="O21" s="28" t="s">
        <v>321</v>
      </c>
      <c r="P21" s="29" t="s">
        <v>188</v>
      </c>
      <c r="Q21" s="30">
        <v>0.85069444444444453</v>
      </c>
    </row>
    <row r="22" spans="1:17" x14ac:dyDescent="0.25">
      <c r="A22" s="26" t="s">
        <v>129</v>
      </c>
      <c r="B22" s="26" t="s">
        <v>187</v>
      </c>
      <c r="C22" s="27">
        <v>43580</v>
      </c>
      <c r="D22" s="28" t="s">
        <v>176</v>
      </c>
      <c r="E22" s="28"/>
      <c r="F22" s="28" t="s">
        <v>186</v>
      </c>
      <c r="G22" s="29" t="s">
        <v>188</v>
      </c>
      <c r="H22" s="30">
        <v>0.66875000000000007</v>
      </c>
      <c r="I22" s="25"/>
      <c r="J22" s="26" t="s">
        <v>207</v>
      </c>
      <c r="K22" s="26" t="s">
        <v>187</v>
      </c>
      <c r="L22" s="27">
        <v>43612</v>
      </c>
      <c r="M22" s="28" t="s">
        <v>176</v>
      </c>
      <c r="N22" s="28"/>
      <c r="O22" s="28" t="s">
        <v>321</v>
      </c>
      <c r="P22" s="29" t="s">
        <v>184</v>
      </c>
      <c r="Q22" s="30">
        <v>0.50694444444444442</v>
      </c>
    </row>
    <row r="23" spans="1:17" x14ac:dyDescent="0.25">
      <c r="A23" s="26" t="s">
        <v>119</v>
      </c>
      <c r="B23" s="26" t="s">
        <v>317</v>
      </c>
      <c r="C23" s="27">
        <v>43580</v>
      </c>
      <c r="D23" s="28" t="s">
        <v>176</v>
      </c>
      <c r="E23" s="28"/>
      <c r="F23" s="28" t="s">
        <v>322</v>
      </c>
      <c r="G23" s="29" t="s">
        <v>188</v>
      </c>
      <c r="H23" s="30">
        <v>0.67847222222222225</v>
      </c>
      <c r="I23" s="25"/>
      <c r="J23" s="26" t="s">
        <v>194</v>
      </c>
      <c r="K23" s="26" t="s">
        <v>187</v>
      </c>
      <c r="L23" s="27">
        <v>43573</v>
      </c>
      <c r="M23" s="28" t="s">
        <v>176</v>
      </c>
      <c r="N23" s="28"/>
      <c r="O23" s="28" t="s">
        <v>328</v>
      </c>
      <c r="P23" s="29" t="s">
        <v>184</v>
      </c>
      <c r="Q23" s="30">
        <v>0.6118055555555556</v>
      </c>
    </row>
    <row r="24" spans="1:17" x14ac:dyDescent="0.25">
      <c r="A24" s="26" t="s">
        <v>235</v>
      </c>
      <c r="B24" s="26" t="s">
        <v>182</v>
      </c>
      <c r="C24" s="27">
        <v>43580</v>
      </c>
      <c r="D24" s="28" t="s">
        <v>176</v>
      </c>
      <c r="E24" s="28"/>
      <c r="F24" s="28" t="s">
        <v>320</v>
      </c>
      <c r="G24" s="29" t="s">
        <v>188</v>
      </c>
      <c r="H24" s="30">
        <v>0.7416666666666667</v>
      </c>
      <c r="I24" s="25"/>
      <c r="J24" s="26" t="s">
        <v>106</v>
      </c>
      <c r="K24" s="26" t="s">
        <v>182</v>
      </c>
      <c r="L24" s="27">
        <v>43595</v>
      </c>
      <c r="M24" s="28" t="s">
        <v>176</v>
      </c>
      <c r="N24" s="28"/>
      <c r="O24" s="28" t="s">
        <v>328</v>
      </c>
      <c r="P24" s="29" t="s">
        <v>184</v>
      </c>
      <c r="Q24" s="30">
        <v>0.55277777777777781</v>
      </c>
    </row>
    <row r="25" spans="1:17" x14ac:dyDescent="0.25">
      <c r="A25" s="26" t="s">
        <v>314</v>
      </c>
      <c r="B25" s="26" t="s">
        <v>182</v>
      </c>
      <c r="C25" s="27">
        <v>43580</v>
      </c>
      <c r="D25" s="28" t="s">
        <v>176</v>
      </c>
      <c r="E25" s="28"/>
      <c r="F25" s="28" t="s">
        <v>319</v>
      </c>
      <c r="G25" s="29" t="s">
        <v>188</v>
      </c>
      <c r="H25" s="30">
        <v>0.65451388888888895</v>
      </c>
      <c r="I25" s="25"/>
      <c r="J25" s="26" t="s">
        <v>222</v>
      </c>
      <c r="K25" s="26" t="s">
        <v>182</v>
      </c>
      <c r="L25" s="27">
        <v>43595</v>
      </c>
      <c r="M25" s="28" t="s">
        <v>176</v>
      </c>
      <c r="N25" s="28"/>
      <c r="O25" s="28" t="s">
        <v>328</v>
      </c>
      <c r="P25" s="29" t="s">
        <v>188</v>
      </c>
      <c r="Q25" s="30">
        <v>0.91319444444444453</v>
      </c>
    </row>
    <row r="26" spans="1:17" x14ac:dyDescent="0.25">
      <c r="A26" s="26" t="s">
        <v>245</v>
      </c>
      <c r="B26" s="26" t="s">
        <v>187</v>
      </c>
      <c r="C26" s="27">
        <v>43581</v>
      </c>
      <c r="D26" s="28" t="s">
        <v>176</v>
      </c>
      <c r="E26" s="28"/>
      <c r="F26" s="28" t="s">
        <v>320</v>
      </c>
      <c r="G26" s="29" t="s">
        <v>184</v>
      </c>
      <c r="H26" s="30">
        <v>0.55555555555555558</v>
      </c>
      <c r="I26" s="25"/>
      <c r="J26" s="26" t="s">
        <v>127</v>
      </c>
      <c r="K26" s="26" t="s">
        <v>182</v>
      </c>
      <c r="L26" s="27">
        <v>43595</v>
      </c>
      <c r="M26" s="28" t="s">
        <v>176</v>
      </c>
      <c r="N26" s="28"/>
      <c r="O26" s="28" t="s">
        <v>328</v>
      </c>
      <c r="P26" s="29" t="s">
        <v>184</v>
      </c>
      <c r="Q26" s="30">
        <v>0.56944444444444442</v>
      </c>
    </row>
    <row r="27" spans="1:17" x14ac:dyDescent="0.25">
      <c r="A27" s="26" t="s">
        <v>229</v>
      </c>
      <c r="B27" s="26" t="s">
        <v>324</v>
      </c>
      <c r="C27" s="27">
        <v>43581</v>
      </c>
      <c r="D27" s="28" t="s">
        <v>176</v>
      </c>
      <c r="E27" s="28"/>
      <c r="F27" s="28" t="s">
        <v>186</v>
      </c>
      <c r="G27" s="29" t="s">
        <v>188</v>
      </c>
      <c r="H27" s="30">
        <v>0.65555555555555556</v>
      </c>
      <c r="I27" s="25"/>
      <c r="J27" s="26" t="s">
        <v>105</v>
      </c>
      <c r="K27" s="26" t="s">
        <v>182</v>
      </c>
      <c r="L27" s="27">
        <v>43595</v>
      </c>
      <c r="M27" s="28" t="s">
        <v>176</v>
      </c>
      <c r="N27" s="28"/>
      <c r="O27" s="28" t="s">
        <v>328</v>
      </c>
      <c r="P27" s="29" t="s">
        <v>184</v>
      </c>
      <c r="Q27" s="30">
        <v>0.59652777777777777</v>
      </c>
    </row>
    <row r="28" spans="1:17" x14ac:dyDescent="0.25">
      <c r="A28" s="26" t="s">
        <v>141</v>
      </c>
      <c r="B28" s="26" t="s">
        <v>187</v>
      </c>
      <c r="C28" s="27">
        <v>43581</v>
      </c>
      <c r="D28" s="28" t="s">
        <v>176</v>
      </c>
      <c r="E28" s="28"/>
      <c r="F28" s="28" t="s">
        <v>316</v>
      </c>
      <c r="G28" s="29" t="s">
        <v>188</v>
      </c>
      <c r="H28" s="30">
        <v>0.7402777777777777</v>
      </c>
      <c r="I28" s="25"/>
      <c r="J28" s="26" t="s">
        <v>218</v>
      </c>
      <c r="K28" s="26" t="s">
        <v>338</v>
      </c>
      <c r="L28" s="27">
        <v>43598</v>
      </c>
      <c r="M28" s="28" t="s">
        <v>176</v>
      </c>
      <c r="N28" s="28"/>
      <c r="O28" s="28" t="s">
        <v>328</v>
      </c>
      <c r="P28" s="29" t="s">
        <v>184</v>
      </c>
      <c r="Q28" s="30">
        <v>0.58680555555555558</v>
      </c>
    </row>
    <row r="29" spans="1:17" x14ac:dyDescent="0.25">
      <c r="A29" s="26" t="s">
        <v>254</v>
      </c>
      <c r="B29" s="26" t="s">
        <v>333</v>
      </c>
      <c r="C29" s="27">
        <v>43582</v>
      </c>
      <c r="D29" s="28" t="s">
        <v>176</v>
      </c>
      <c r="E29" s="28"/>
      <c r="F29" s="28" t="s">
        <v>318</v>
      </c>
      <c r="G29" s="29" t="s">
        <v>188</v>
      </c>
      <c r="H29" s="30">
        <v>0.73837962962962955</v>
      </c>
      <c r="I29" s="25"/>
      <c r="J29" s="26" t="s">
        <v>213</v>
      </c>
      <c r="K29" s="26" t="s">
        <v>182</v>
      </c>
      <c r="L29" s="27">
        <v>43599</v>
      </c>
      <c r="M29" s="28" t="s">
        <v>176</v>
      </c>
      <c r="N29" s="28"/>
      <c r="O29" s="28" t="s">
        <v>328</v>
      </c>
      <c r="P29" s="29" t="s">
        <v>184</v>
      </c>
      <c r="Q29" s="30">
        <v>0.62291666666666667</v>
      </c>
    </row>
    <row r="30" spans="1:17" x14ac:dyDescent="0.25">
      <c r="A30" s="26" t="s">
        <v>211</v>
      </c>
      <c r="B30" s="26" t="s">
        <v>187</v>
      </c>
      <c r="C30" s="27">
        <v>43583</v>
      </c>
      <c r="D30" s="28" t="s">
        <v>176</v>
      </c>
      <c r="E30" s="28"/>
      <c r="F30" s="28" t="s">
        <v>318</v>
      </c>
      <c r="G30" s="29" t="s">
        <v>188</v>
      </c>
      <c r="H30" s="30">
        <v>0.72986111111111107</v>
      </c>
      <c r="I30" s="25"/>
      <c r="J30" s="26" t="s">
        <v>210</v>
      </c>
      <c r="K30" s="26" t="s">
        <v>182</v>
      </c>
      <c r="L30" s="27">
        <v>43599</v>
      </c>
      <c r="M30" s="28" t="s">
        <v>176</v>
      </c>
      <c r="N30" s="28"/>
      <c r="O30" s="28" t="s">
        <v>328</v>
      </c>
      <c r="P30" s="29" t="s">
        <v>184</v>
      </c>
      <c r="Q30" s="30">
        <v>0.6069444444444444</v>
      </c>
    </row>
    <row r="31" spans="1:17" x14ac:dyDescent="0.25">
      <c r="A31" s="26" t="s">
        <v>268</v>
      </c>
      <c r="B31" s="26" t="s">
        <v>182</v>
      </c>
      <c r="C31" s="27">
        <v>43584</v>
      </c>
      <c r="D31" s="28" t="s">
        <v>176</v>
      </c>
      <c r="E31" s="28"/>
      <c r="F31" s="28" t="s">
        <v>329</v>
      </c>
      <c r="G31" s="29" t="s">
        <v>188</v>
      </c>
      <c r="H31" s="30">
        <v>0.75277777777777777</v>
      </c>
      <c r="I31" s="25"/>
      <c r="J31" s="26" t="s">
        <v>215</v>
      </c>
      <c r="K31" s="26" t="s">
        <v>182</v>
      </c>
      <c r="L31" s="27">
        <v>43601</v>
      </c>
      <c r="M31" s="28" t="s">
        <v>176</v>
      </c>
      <c r="N31" s="28"/>
      <c r="O31" s="28" t="s">
        <v>328</v>
      </c>
      <c r="P31" s="29" t="s">
        <v>188</v>
      </c>
      <c r="Q31" s="30">
        <v>0.69305555555555554</v>
      </c>
    </row>
    <row r="32" spans="1:17" x14ac:dyDescent="0.25">
      <c r="A32" s="26" t="s">
        <v>112</v>
      </c>
      <c r="B32" s="26" t="s">
        <v>187</v>
      </c>
      <c r="C32" s="27">
        <v>43585</v>
      </c>
      <c r="D32" s="28" t="s">
        <v>176</v>
      </c>
      <c r="E32" s="28"/>
      <c r="F32" s="28" t="s">
        <v>186</v>
      </c>
      <c r="G32" s="29" t="s">
        <v>184</v>
      </c>
      <c r="H32" s="30">
        <v>0.52986111111111112</v>
      </c>
      <c r="I32" s="25"/>
      <c r="J32" s="26" t="s">
        <v>143</v>
      </c>
      <c r="K32" s="26" t="s">
        <v>343</v>
      </c>
      <c r="L32" s="27">
        <v>43607</v>
      </c>
      <c r="M32" s="28" t="s">
        <v>176</v>
      </c>
      <c r="N32" s="28"/>
      <c r="O32" s="28" t="s">
        <v>328</v>
      </c>
      <c r="P32" s="29" t="s">
        <v>188</v>
      </c>
      <c r="Q32" s="30">
        <v>0.7416666666666667</v>
      </c>
    </row>
    <row r="33" spans="1:17" x14ac:dyDescent="0.25">
      <c r="A33" s="26" t="s">
        <v>185</v>
      </c>
      <c r="B33" s="26" t="s">
        <v>182</v>
      </c>
      <c r="C33" s="27">
        <v>43585</v>
      </c>
      <c r="D33" s="28" t="s">
        <v>176</v>
      </c>
      <c r="E33" s="28"/>
      <c r="F33" s="28" t="s">
        <v>316</v>
      </c>
      <c r="G33" s="29" t="s">
        <v>184</v>
      </c>
      <c r="H33" s="30">
        <v>0.54236111111111118</v>
      </c>
      <c r="I33" s="25"/>
      <c r="J33" s="26" t="s">
        <v>142</v>
      </c>
      <c r="K33" s="26" t="s">
        <v>182</v>
      </c>
      <c r="L33" s="27">
        <v>43613</v>
      </c>
      <c r="M33" s="28" t="s">
        <v>176</v>
      </c>
      <c r="N33" s="28"/>
      <c r="O33" s="28" t="s">
        <v>328</v>
      </c>
      <c r="P33" s="29" t="s">
        <v>184</v>
      </c>
      <c r="Q33" s="30">
        <v>0.54791666666666672</v>
      </c>
    </row>
    <row r="34" spans="1:17" x14ac:dyDescent="0.25">
      <c r="A34" s="26" t="s">
        <v>159</v>
      </c>
      <c r="B34" s="26" t="s">
        <v>187</v>
      </c>
      <c r="C34" s="27">
        <v>43585</v>
      </c>
      <c r="D34" s="28" t="s">
        <v>176</v>
      </c>
      <c r="E34" s="28"/>
      <c r="F34" s="28" t="s">
        <v>331</v>
      </c>
      <c r="G34" s="29" t="s">
        <v>184</v>
      </c>
      <c r="H34" s="30">
        <v>0.57361111111111118</v>
      </c>
      <c r="I34" s="25"/>
      <c r="J34" s="26" t="s">
        <v>231</v>
      </c>
      <c r="K34" s="26" t="s">
        <v>324</v>
      </c>
      <c r="L34" s="27">
        <v>43573</v>
      </c>
      <c r="M34" s="28" t="s">
        <v>176</v>
      </c>
      <c r="N34" s="28"/>
      <c r="O34" s="28" t="s">
        <v>186</v>
      </c>
      <c r="P34" s="29" t="s">
        <v>184</v>
      </c>
      <c r="Q34" s="30">
        <v>0.55902777777777779</v>
      </c>
    </row>
    <row r="35" spans="1:17" x14ac:dyDescent="0.25">
      <c r="A35" s="26" t="s">
        <v>225</v>
      </c>
      <c r="B35" s="26" t="s">
        <v>187</v>
      </c>
      <c r="C35" s="27">
        <v>43585</v>
      </c>
      <c r="D35" s="28" t="s">
        <v>176</v>
      </c>
      <c r="E35" s="28"/>
      <c r="F35" s="28" t="s">
        <v>318</v>
      </c>
      <c r="G35" s="29" t="s">
        <v>184</v>
      </c>
      <c r="H35" s="30">
        <v>0.60972222222222217</v>
      </c>
      <c r="I35" s="25"/>
      <c r="J35" s="26" t="s">
        <v>109</v>
      </c>
      <c r="K35" s="26" t="s">
        <v>182</v>
      </c>
      <c r="L35" s="27">
        <v>43575</v>
      </c>
      <c r="M35" s="28" t="s">
        <v>176</v>
      </c>
      <c r="N35" s="28"/>
      <c r="O35" s="28" t="s">
        <v>186</v>
      </c>
      <c r="P35" s="29" t="s">
        <v>188</v>
      </c>
      <c r="Q35" s="30">
        <v>0.68472222222222223</v>
      </c>
    </row>
    <row r="36" spans="1:17" x14ac:dyDescent="0.25">
      <c r="A36" s="26" t="s">
        <v>193</v>
      </c>
      <c r="B36" s="26" t="s">
        <v>187</v>
      </c>
      <c r="C36" s="27">
        <v>43585</v>
      </c>
      <c r="D36" s="28" t="s">
        <v>176</v>
      </c>
      <c r="E36" s="28"/>
      <c r="F36" s="28" t="s">
        <v>316</v>
      </c>
      <c r="G36" s="29" t="s">
        <v>184</v>
      </c>
      <c r="H36" s="30">
        <v>0.62291666666666667</v>
      </c>
      <c r="I36" s="25"/>
      <c r="J36" s="26" t="s">
        <v>129</v>
      </c>
      <c r="K36" s="26" t="s">
        <v>187</v>
      </c>
      <c r="L36" s="27">
        <v>43580</v>
      </c>
      <c r="M36" s="28" t="s">
        <v>176</v>
      </c>
      <c r="N36" s="28"/>
      <c r="O36" s="28" t="s">
        <v>186</v>
      </c>
      <c r="P36" s="29" t="s">
        <v>188</v>
      </c>
      <c r="Q36" s="30">
        <v>0.66875000000000007</v>
      </c>
    </row>
    <row r="37" spans="1:17" x14ac:dyDescent="0.25">
      <c r="A37" s="26" t="s">
        <v>302</v>
      </c>
      <c r="B37" s="26" t="s">
        <v>187</v>
      </c>
      <c r="C37" s="27">
        <v>43585</v>
      </c>
      <c r="D37" s="28" t="s">
        <v>176</v>
      </c>
      <c r="E37" s="28"/>
      <c r="F37" s="28" t="s">
        <v>319</v>
      </c>
      <c r="G37" s="29" t="s">
        <v>188</v>
      </c>
      <c r="H37" s="30">
        <v>0.71736111111111101</v>
      </c>
      <c r="I37" s="25"/>
      <c r="J37" s="26" t="s">
        <v>229</v>
      </c>
      <c r="K37" s="26" t="s">
        <v>324</v>
      </c>
      <c r="L37" s="27">
        <v>43581</v>
      </c>
      <c r="M37" s="28" t="s">
        <v>176</v>
      </c>
      <c r="N37" s="28"/>
      <c r="O37" s="28" t="s">
        <v>186</v>
      </c>
      <c r="P37" s="29" t="s">
        <v>188</v>
      </c>
      <c r="Q37" s="30">
        <v>0.65555555555555556</v>
      </c>
    </row>
    <row r="38" spans="1:17" x14ac:dyDescent="0.25">
      <c r="A38" s="26" t="s">
        <v>163</v>
      </c>
      <c r="B38" s="26" t="s">
        <v>182</v>
      </c>
      <c r="C38" s="27">
        <v>43585</v>
      </c>
      <c r="D38" s="28" t="s">
        <v>176</v>
      </c>
      <c r="E38" s="28"/>
      <c r="F38" s="28" t="s">
        <v>320</v>
      </c>
      <c r="G38" s="29" t="s">
        <v>188</v>
      </c>
      <c r="H38" s="30">
        <v>0.74444444444444446</v>
      </c>
      <c r="I38" s="25"/>
      <c r="J38" s="26" t="s">
        <v>112</v>
      </c>
      <c r="K38" s="26" t="s">
        <v>187</v>
      </c>
      <c r="L38" s="27">
        <v>43585</v>
      </c>
      <c r="M38" s="28" t="s">
        <v>176</v>
      </c>
      <c r="N38" s="28"/>
      <c r="O38" s="28" t="s">
        <v>186</v>
      </c>
      <c r="P38" s="29" t="s">
        <v>184</v>
      </c>
      <c r="Q38" s="30">
        <v>0.52986111111111112</v>
      </c>
    </row>
    <row r="39" spans="1:17" x14ac:dyDescent="0.25">
      <c r="A39" s="26" t="s">
        <v>122</v>
      </c>
      <c r="B39" s="26" t="s">
        <v>182</v>
      </c>
      <c r="C39" s="27">
        <v>43585</v>
      </c>
      <c r="D39" s="28" t="s">
        <v>176</v>
      </c>
      <c r="E39" s="28"/>
      <c r="F39" s="28" t="s">
        <v>217</v>
      </c>
      <c r="G39" s="29" t="s">
        <v>188</v>
      </c>
      <c r="H39" s="30">
        <v>0.76388888888888884</v>
      </c>
      <c r="I39" s="25"/>
      <c r="J39" s="26" t="s">
        <v>195</v>
      </c>
      <c r="K39" s="26" t="s">
        <v>187</v>
      </c>
      <c r="L39" s="27">
        <v>43589</v>
      </c>
      <c r="M39" s="28" t="s">
        <v>176</v>
      </c>
      <c r="N39" s="28"/>
      <c r="O39" s="28" t="s">
        <v>186</v>
      </c>
      <c r="P39" s="29" t="s">
        <v>184</v>
      </c>
      <c r="Q39" s="30">
        <v>0.51111111111111118</v>
      </c>
    </row>
    <row r="40" spans="1:17" x14ac:dyDescent="0.25">
      <c r="A40" s="26" t="s">
        <v>294</v>
      </c>
      <c r="B40" s="26" t="s">
        <v>187</v>
      </c>
      <c r="C40" s="27">
        <v>43586</v>
      </c>
      <c r="D40" s="28" t="s">
        <v>176</v>
      </c>
      <c r="E40" s="28"/>
      <c r="F40" s="28" t="s">
        <v>319</v>
      </c>
      <c r="G40" s="29" t="s">
        <v>188</v>
      </c>
      <c r="H40" s="30">
        <v>0.80694444444444446</v>
      </c>
      <c r="I40" s="25"/>
      <c r="J40" s="26" t="s">
        <v>128</v>
      </c>
      <c r="K40" s="26" t="s">
        <v>187</v>
      </c>
      <c r="L40" s="27">
        <v>43591</v>
      </c>
      <c r="M40" s="28" t="s">
        <v>176</v>
      </c>
      <c r="N40" s="28"/>
      <c r="O40" s="28" t="s">
        <v>186</v>
      </c>
      <c r="P40" s="29" t="s">
        <v>188</v>
      </c>
      <c r="Q40" s="30">
        <v>0.73055555555555562</v>
      </c>
    </row>
    <row r="41" spans="1:17" x14ac:dyDescent="0.25">
      <c r="A41" s="26" t="s">
        <v>135</v>
      </c>
      <c r="B41" s="26" t="s">
        <v>187</v>
      </c>
      <c r="C41" s="27">
        <v>43587</v>
      </c>
      <c r="D41" s="28" t="s">
        <v>176</v>
      </c>
      <c r="E41" s="28"/>
      <c r="F41" s="28" t="s">
        <v>319</v>
      </c>
      <c r="G41" s="29" t="s">
        <v>184</v>
      </c>
      <c r="H41" s="30">
        <v>0.61041666666666672</v>
      </c>
      <c r="I41" s="25"/>
      <c r="J41" s="26" t="s">
        <v>205</v>
      </c>
      <c r="K41" s="26" t="s">
        <v>182</v>
      </c>
      <c r="L41" s="27">
        <v>43594</v>
      </c>
      <c r="M41" s="28" t="s">
        <v>176</v>
      </c>
      <c r="N41" s="28"/>
      <c r="O41" s="28" t="s">
        <v>186</v>
      </c>
      <c r="P41" s="29" t="s">
        <v>184</v>
      </c>
      <c r="Q41" s="30">
        <v>0.55833333333333335</v>
      </c>
    </row>
    <row r="42" spans="1:17" x14ac:dyDescent="0.25">
      <c r="A42" s="26" t="s">
        <v>139</v>
      </c>
      <c r="B42" s="26" t="s">
        <v>187</v>
      </c>
      <c r="C42" s="27">
        <v>43587</v>
      </c>
      <c r="D42" s="28" t="s">
        <v>176</v>
      </c>
      <c r="E42" s="28"/>
      <c r="F42" s="28" t="s">
        <v>330</v>
      </c>
      <c r="G42" s="29" t="s">
        <v>184</v>
      </c>
      <c r="H42" s="30">
        <v>0.64374999999999993</v>
      </c>
      <c r="I42" s="25"/>
      <c r="J42" s="26" t="s">
        <v>108</v>
      </c>
      <c r="K42" s="26" t="s">
        <v>324</v>
      </c>
      <c r="L42" s="27">
        <v>43595</v>
      </c>
      <c r="M42" s="28" t="s">
        <v>176</v>
      </c>
      <c r="N42" s="28"/>
      <c r="O42" s="28" t="s">
        <v>186</v>
      </c>
      <c r="P42" s="29" t="s">
        <v>188</v>
      </c>
      <c r="Q42" s="30">
        <v>0.78888888888888886</v>
      </c>
    </row>
    <row r="43" spans="1:17" x14ac:dyDescent="0.25">
      <c r="A43" s="26" t="s">
        <v>203</v>
      </c>
      <c r="B43" s="26" t="s">
        <v>187</v>
      </c>
      <c r="C43" s="27">
        <v>43587</v>
      </c>
      <c r="D43" s="28" t="s">
        <v>176</v>
      </c>
      <c r="E43" s="28"/>
      <c r="F43" s="28" t="s">
        <v>321</v>
      </c>
      <c r="G43" s="29" t="s">
        <v>184</v>
      </c>
      <c r="H43" s="30">
        <v>0.56111111111111112</v>
      </c>
      <c r="I43" s="25"/>
      <c r="J43" s="26" t="s">
        <v>189</v>
      </c>
      <c r="K43" s="26" t="s">
        <v>187</v>
      </c>
      <c r="L43" s="27">
        <v>43598</v>
      </c>
      <c r="M43" s="28" t="s">
        <v>176</v>
      </c>
      <c r="N43" s="28"/>
      <c r="O43" s="28" t="s">
        <v>186</v>
      </c>
      <c r="P43" s="29" t="s">
        <v>184</v>
      </c>
      <c r="Q43" s="30">
        <v>0.59166666666666667</v>
      </c>
    </row>
    <row r="44" spans="1:17" x14ac:dyDescent="0.25">
      <c r="A44" s="26" t="s">
        <v>208</v>
      </c>
      <c r="B44" s="26" t="s">
        <v>187</v>
      </c>
      <c r="C44" s="27">
        <v>43587</v>
      </c>
      <c r="D44" s="28" t="s">
        <v>176</v>
      </c>
      <c r="E44" s="28"/>
      <c r="F44" s="28" t="s">
        <v>322</v>
      </c>
      <c r="G44" s="29" t="s">
        <v>184</v>
      </c>
      <c r="H44" s="30">
        <v>0.62291666666666667</v>
      </c>
      <c r="I44" s="25"/>
      <c r="J44" s="26" t="s">
        <v>111</v>
      </c>
      <c r="K44" s="26" t="s">
        <v>187</v>
      </c>
      <c r="L44" s="27">
        <v>43607</v>
      </c>
      <c r="M44" s="28" t="s">
        <v>176</v>
      </c>
      <c r="N44" s="28"/>
      <c r="O44" s="28" t="s">
        <v>186</v>
      </c>
      <c r="P44" s="29" t="s">
        <v>184</v>
      </c>
      <c r="Q44" s="30">
        <v>0.60277777777777775</v>
      </c>
    </row>
    <row r="45" spans="1:17" x14ac:dyDescent="0.25">
      <c r="A45" s="26" t="s">
        <v>241</v>
      </c>
      <c r="B45" s="26" t="s">
        <v>182</v>
      </c>
      <c r="C45" s="27">
        <v>43588</v>
      </c>
      <c r="D45" s="28" t="s">
        <v>176</v>
      </c>
      <c r="E45" s="28"/>
      <c r="F45" s="28" t="s">
        <v>331</v>
      </c>
      <c r="G45" s="29" t="s">
        <v>184</v>
      </c>
      <c r="H45" s="30">
        <v>0.52638888888888891</v>
      </c>
      <c r="I45" s="25"/>
      <c r="J45" s="26" t="s">
        <v>234</v>
      </c>
      <c r="K45" s="26" t="s">
        <v>182</v>
      </c>
      <c r="L45" s="27">
        <v>43615</v>
      </c>
      <c r="M45" s="28" t="s">
        <v>176</v>
      </c>
      <c r="N45" s="28"/>
      <c r="O45" s="28" t="s">
        <v>186</v>
      </c>
      <c r="P45" s="29" t="s">
        <v>184</v>
      </c>
      <c r="Q45" s="30">
        <v>0.59166666666666667</v>
      </c>
    </row>
    <row r="46" spans="1:17" x14ac:dyDescent="0.25">
      <c r="A46" s="26" t="s">
        <v>242</v>
      </c>
      <c r="B46" s="26" t="s">
        <v>187</v>
      </c>
      <c r="C46" s="27">
        <v>43588</v>
      </c>
      <c r="D46" s="28" t="s">
        <v>176</v>
      </c>
      <c r="E46" s="28"/>
      <c r="F46" s="28" t="s">
        <v>332</v>
      </c>
      <c r="G46" s="29" t="s">
        <v>188</v>
      </c>
      <c r="H46" s="30">
        <v>0.75902777777777775</v>
      </c>
      <c r="I46" s="25"/>
      <c r="J46" s="26" t="s">
        <v>132</v>
      </c>
      <c r="K46" s="26" t="s">
        <v>182</v>
      </c>
      <c r="L46" s="27">
        <v>43578</v>
      </c>
      <c r="M46" s="28" t="s">
        <v>176</v>
      </c>
      <c r="N46" s="28"/>
      <c r="O46" s="28" t="s">
        <v>217</v>
      </c>
      <c r="P46" s="29" t="s">
        <v>184</v>
      </c>
      <c r="Q46" s="30">
        <v>0.64444444444444449</v>
      </c>
    </row>
    <row r="47" spans="1:17" x14ac:dyDescent="0.25">
      <c r="A47" s="26" t="s">
        <v>136</v>
      </c>
      <c r="B47" s="26" t="s">
        <v>182</v>
      </c>
      <c r="C47" s="27">
        <v>43588</v>
      </c>
      <c r="D47" s="28" t="s">
        <v>176</v>
      </c>
      <c r="E47" s="28"/>
      <c r="F47" s="28" t="s">
        <v>323</v>
      </c>
      <c r="G47" s="29" t="s">
        <v>188</v>
      </c>
      <c r="H47" s="30">
        <v>0.65902777777777777</v>
      </c>
      <c r="I47" s="25"/>
      <c r="J47" s="26" t="s">
        <v>133</v>
      </c>
      <c r="K47" s="26" t="s">
        <v>187</v>
      </c>
      <c r="L47" s="27">
        <v>43579</v>
      </c>
      <c r="M47" s="28" t="s">
        <v>176</v>
      </c>
      <c r="N47" s="28"/>
      <c r="O47" s="28" t="s">
        <v>217</v>
      </c>
      <c r="P47" s="29" t="s">
        <v>184</v>
      </c>
      <c r="Q47" s="30">
        <v>0.5805555555555556</v>
      </c>
    </row>
    <row r="48" spans="1:17" x14ac:dyDescent="0.25">
      <c r="A48" s="26" t="s">
        <v>251</v>
      </c>
      <c r="B48" s="26" t="s">
        <v>187</v>
      </c>
      <c r="C48" s="27">
        <v>43588</v>
      </c>
      <c r="D48" s="28" t="s">
        <v>176</v>
      </c>
      <c r="E48" s="28"/>
      <c r="F48" s="28" t="s">
        <v>323</v>
      </c>
      <c r="G48" s="29" t="s">
        <v>188</v>
      </c>
      <c r="H48" s="30">
        <v>0.6479166666666667</v>
      </c>
      <c r="I48" s="25"/>
      <c r="J48" s="26" t="s">
        <v>122</v>
      </c>
      <c r="K48" s="26" t="s">
        <v>182</v>
      </c>
      <c r="L48" s="27">
        <v>43585</v>
      </c>
      <c r="M48" s="28" t="s">
        <v>176</v>
      </c>
      <c r="N48" s="28"/>
      <c r="O48" s="28" t="s">
        <v>217</v>
      </c>
      <c r="P48" s="29" t="s">
        <v>188</v>
      </c>
      <c r="Q48" s="30">
        <v>0.76388888888888884</v>
      </c>
    </row>
    <row r="49" spans="1:17" x14ac:dyDescent="0.25">
      <c r="A49" s="26" t="s">
        <v>255</v>
      </c>
      <c r="B49" s="26" t="s">
        <v>187</v>
      </c>
      <c r="C49" s="27">
        <v>43589</v>
      </c>
      <c r="D49" s="28" t="s">
        <v>176</v>
      </c>
      <c r="E49" s="28"/>
      <c r="F49" s="28" t="s">
        <v>318</v>
      </c>
      <c r="G49" s="29" t="s">
        <v>188</v>
      </c>
      <c r="H49" s="30">
        <v>0.6791666666666667</v>
      </c>
      <c r="I49" s="25"/>
      <c r="J49" s="26" t="s">
        <v>216</v>
      </c>
      <c r="K49" s="26" t="s">
        <v>187</v>
      </c>
      <c r="L49" s="27">
        <v>43603</v>
      </c>
      <c r="M49" s="28" t="s">
        <v>176</v>
      </c>
      <c r="N49" s="28"/>
      <c r="O49" s="28" t="s">
        <v>217</v>
      </c>
      <c r="P49" s="29" t="s">
        <v>184</v>
      </c>
      <c r="Q49" s="30">
        <v>0.55555555555555558</v>
      </c>
    </row>
    <row r="50" spans="1:17" x14ac:dyDescent="0.25">
      <c r="A50" s="26" t="s">
        <v>153</v>
      </c>
      <c r="B50" s="26" t="s">
        <v>336</v>
      </c>
      <c r="C50" s="27">
        <v>43589</v>
      </c>
      <c r="D50" s="28" t="s">
        <v>176</v>
      </c>
      <c r="E50" s="28"/>
      <c r="F50" s="28" t="s">
        <v>183</v>
      </c>
      <c r="G50" s="29" t="s">
        <v>184</v>
      </c>
      <c r="H50" s="30">
        <v>0.58472222222222225</v>
      </c>
      <c r="I50" s="25"/>
      <c r="J50" s="26" t="s">
        <v>237</v>
      </c>
      <c r="K50" s="26" t="s">
        <v>182</v>
      </c>
      <c r="L50" s="27">
        <v>43607</v>
      </c>
      <c r="M50" s="28" t="s">
        <v>176</v>
      </c>
      <c r="N50" s="28"/>
      <c r="O50" s="28" t="s">
        <v>217</v>
      </c>
      <c r="P50" s="29" t="s">
        <v>184</v>
      </c>
      <c r="Q50" s="30">
        <v>0.54791666666666672</v>
      </c>
    </row>
    <row r="51" spans="1:17" x14ac:dyDescent="0.25">
      <c r="A51" s="26" t="s">
        <v>195</v>
      </c>
      <c r="B51" s="26" t="s">
        <v>187</v>
      </c>
      <c r="C51" s="27">
        <v>43589</v>
      </c>
      <c r="D51" s="28" t="s">
        <v>176</v>
      </c>
      <c r="E51" s="28"/>
      <c r="F51" s="28" t="s">
        <v>186</v>
      </c>
      <c r="G51" s="29" t="s">
        <v>184</v>
      </c>
      <c r="H51" s="30">
        <v>0.51111111111111118</v>
      </c>
      <c r="I51" s="25"/>
      <c r="J51" s="26" t="s">
        <v>123</v>
      </c>
      <c r="K51" s="26" t="s">
        <v>182</v>
      </c>
      <c r="L51" s="27">
        <v>43610</v>
      </c>
      <c r="M51" s="28" t="s">
        <v>176</v>
      </c>
      <c r="N51" s="28"/>
      <c r="O51" s="28" t="s">
        <v>217</v>
      </c>
      <c r="P51" s="29" t="s">
        <v>184</v>
      </c>
      <c r="Q51" s="30">
        <v>0.52152777777777781</v>
      </c>
    </row>
    <row r="52" spans="1:17" x14ac:dyDescent="0.25">
      <c r="A52" s="26" t="s">
        <v>157</v>
      </c>
      <c r="B52" s="26" t="s">
        <v>324</v>
      </c>
      <c r="C52" s="27">
        <v>43591</v>
      </c>
      <c r="D52" s="28" t="s">
        <v>176</v>
      </c>
      <c r="E52" s="28"/>
      <c r="F52" s="28" t="s">
        <v>320</v>
      </c>
      <c r="G52" s="29" t="s">
        <v>184</v>
      </c>
      <c r="H52" s="30">
        <v>0.60763888888888895</v>
      </c>
      <c r="I52" s="25"/>
      <c r="J52" s="26" t="s">
        <v>242</v>
      </c>
      <c r="K52" s="26" t="s">
        <v>187</v>
      </c>
      <c r="L52" s="27">
        <v>43588</v>
      </c>
      <c r="M52" s="28" t="s">
        <v>176</v>
      </c>
      <c r="N52" s="28"/>
      <c r="O52" s="28" t="s">
        <v>332</v>
      </c>
      <c r="P52" s="29" t="s">
        <v>188</v>
      </c>
      <c r="Q52" s="30">
        <v>0.75902777777777775</v>
      </c>
    </row>
    <row r="53" spans="1:17" x14ac:dyDescent="0.25">
      <c r="A53" s="26" t="s">
        <v>287</v>
      </c>
      <c r="B53" s="26" t="s">
        <v>182</v>
      </c>
      <c r="C53" s="27">
        <v>43591</v>
      </c>
      <c r="D53" s="28" t="s">
        <v>176</v>
      </c>
      <c r="E53" s="28"/>
      <c r="F53" s="28" t="s">
        <v>319</v>
      </c>
      <c r="G53" s="29" t="s">
        <v>188</v>
      </c>
      <c r="H53" s="30">
        <v>0.66805555555555562</v>
      </c>
      <c r="I53" s="25"/>
      <c r="J53" s="26" t="s">
        <v>240</v>
      </c>
      <c r="K53" s="26" t="s">
        <v>340</v>
      </c>
      <c r="L53" s="27">
        <v>43602</v>
      </c>
      <c r="M53" s="28" t="s">
        <v>176</v>
      </c>
      <c r="N53" s="28"/>
      <c r="O53" s="28" t="s">
        <v>332</v>
      </c>
      <c r="P53" s="29" t="s">
        <v>188</v>
      </c>
      <c r="Q53" s="30">
        <v>0.8256944444444444</v>
      </c>
    </row>
    <row r="54" spans="1:17" x14ac:dyDescent="0.25">
      <c r="A54" s="26" t="s">
        <v>128</v>
      </c>
      <c r="B54" s="26" t="s">
        <v>187</v>
      </c>
      <c r="C54" s="27">
        <v>43591</v>
      </c>
      <c r="D54" s="28" t="s">
        <v>176</v>
      </c>
      <c r="E54" s="28"/>
      <c r="F54" s="28" t="s">
        <v>186</v>
      </c>
      <c r="G54" s="29" t="s">
        <v>188</v>
      </c>
      <c r="H54" s="30">
        <v>0.73055555555555562</v>
      </c>
      <c r="I54" s="25"/>
      <c r="J54" s="26" t="s">
        <v>244</v>
      </c>
      <c r="K54" s="26" t="s">
        <v>182</v>
      </c>
      <c r="L54" s="27">
        <v>43594</v>
      </c>
      <c r="M54" s="28" t="s">
        <v>176</v>
      </c>
      <c r="N54" s="28"/>
      <c r="O54" s="28" t="s">
        <v>335</v>
      </c>
      <c r="P54" s="29" t="s">
        <v>184</v>
      </c>
      <c r="Q54" s="30">
        <v>0.64513888888888882</v>
      </c>
    </row>
    <row r="55" spans="1:17" x14ac:dyDescent="0.25">
      <c r="A55" s="26" t="s">
        <v>146</v>
      </c>
      <c r="B55" s="26" t="s">
        <v>182</v>
      </c>
      <c r="C55" s="27">
        <v>43591</v>
      </c>
      <c r="D55" s="28" t="s">
        <v>176</v>
      </c>
      <c r="E55" s="28"/>
      <c r="F55" s="28" t="s">
        <v>326</v>
      </c>
      <c r="G55" s="29" t="s">
        <v>188</v>
      </c>
      <c r="H55" s="30">
        <v>0.77618055555555554</v>
      </c>
      <c r="I55" s="25"/>
      <c r="J55" s="26" t="s">
        <v>243</v>
      </c>
      <c r="K55" s="26" t="s">
        <v>187</v>
      </c>
      <c r="L55" s="27">
        <v>43609</v>
      </c>
      <c r="M55" s="28" t="s">
        <v>176</v>
      </c>
      <c r="N55" s="28"/>
      <c r="O55" s="28" t="s">
        <v>335</v>
      </c>
      <c r="P55" s="29" t="s">
        <v>184</v>
      </c>
      <c r="Q55" s="30">
        <v>0.61875000000000002</v>
      </c>
    </row>
    <row r="56" spans="1:17" x14ac:dyDescent="0.25">
      <c r="A56" s="26" t="s">
        <v>248</v>
      </c>
      <c r="B56" s="26" t="s">
        <v>187</v>
      </c>
      <c r="C56" s="27">
        <v>43591</v>
      </c>
      <c r="D56" s="28" t="s">
        <v>176</v>
      </c>
      <c r="E56" s="28"/>
      <c r="F56" s="28" t="s">
        <v>329</v>
      </c>
      <c r="G56" s="29" t="s">
        <v>188</v>
      </c>
      <c r="H56" s="30">
        <v>0.83263888888888893</v>
      </c>
      <c r="J56" s="26" t="s">
        <v>247</v>
      </c>
      <c r="K56" s="26" t="s">
        <v>182</v>
      </c>
      <c r="L56" s="27">
        <v>43599</v>
      </c>
      <c r="M56" s="28" t="s">
        <v>176</v>
      </c>
      <c r="N56" s="28"/>
      <c r="O56" s="28" t="s">
        <v>339</v>
      </c>
      <c r="P56" s="29" t="s">
        <v>184</v>
      </c>
      <c r="Q56" s="30">
        <v>0.60347222222222219</v>
      </c>
    </row>
    <row r="57" spans="1:17" x14ac:dyDescent="0.25">
      <c r="A57" s="26" t="s">
        <v>199</v>
      </c>
      <c r="B57" s="26" t="s">
        <v>187</v>
      </c>
      <c r="C57" s="27">
        <v>43592</v>
      </c>
      <c r="D57" s="28" t="s">
        <v>176</v>
      </c>
      <c r="E57" s="28"/>
      <c r="F57" s="28" t="s">
        <v>321</v>
      </c>
      <c r="G57" s="29" t="s">
        <v>188</v>
      </c>
      <c r="H57" s="30">
        <v>0.70624999999999993</v>
      </c>
      <c r="J57" s="26" t="s">
        <v>219</v>
      </c>
      <c r="K57" s="26" t="s">
        <v>187</v>
      </c>
      <c r="L57" s="27">
        <v>43614</v>
      </c>
      <c r="M57" s="28" t="s">
        <v>176</v>
      </c>
      <c r="N57" s="28"/>
      <c r="O57" s="28" t="s">
        <v>339</v>
      </c>
      <c r="P57" s="29" t="s">
        <v>184</v>
      </c>
      <c r="Q57" s="30">
        <v>0.55208333333333337</v>
      </c>
    </row>
    <row r="58" spans="1:17" x14ac:dyDescent="0.25">
      <c r="A58" s="26" t="s">
        <v>116</v>
      </c>
      <c r="B58" s="26" t="s">
        <v>182</v>
      </c>
      <c r="C58" s="27">
        <v>43592</v>
      </c>
      <c r="D58" s="28" t="s">
        <v>176</v>
      </c>
      <c r="E58" s="28"/>
      <c r="F58" s="28" t="s">
        <v>322</v>
      </c>
      <c r="G58" s="29" t="s">
        <v>188</v>
      </c>
      <c r="H58" s="30">
        <v>0.70972222222222225</v>
      </c>
      <c r="J58" s="26" t="s">
        <v>246</v>
      </c>
      <c r="K58" s="26" t="s">
        <v>187</v>
      </c>
      <c r="L58" s="27">
        <v>43614</v>
      </c>
      <c r="M58" s="28" t="s">
        <v>176</v>
      </c>
      <c r="N58" s="28"/>
      <c r="O58" s="28" t="s">
        <v>339</v>
      </c>
      <c r="P58" s="29" t="s">
        <v>188</v>
      </c>
      <c r="Q58" s="30">
        <v>0.77083333333333337</v>
      </c>
    </row>
    <row r="59" spans="1:17" x14ac:dyDescent="0.25">
      <c r="A59" s="26" t="s">
        <v>148</v>
      </c>
      <c r="B59" s="26" t="s">
        <v>187</v>
      </c>
      <c r="C59" s="27">
        <v>43592</v>
      </c>
      <c r="D59" s="28" t="s">
        <v>176</v>
      </c>
      <c r="E59" s="28"/>
      <c r="F59" s="28" t="s">
        <v>316</v>
      </c>
      <c r="G59" s="29" t="s">
        <v>184</v>
      </c>
      <c r="H59" s="30">
        <v>0.55138888888888882</v>
      </c>
      <c r="J59" s="26" t="s">
        <v>238</v>
      </c>
      <c r="K59" s="26" t="s">
        <v>317</v>
      </c>
      <c r="L59" s="27">
        <v>43579</v>
      </c>
      <c r="M59" s="28" t="s">
        <v>176</v>
      </c>
      <c r="N59" s="28"/>
      <c r="O59" s="28" t="s">
        <v>318</v>
      </c>
      <c r="P59" s="29" t="s">
        <v>188</v>
      </c>
      <c r="Q59" s="30">
        <v>0.69374999999999998</v>
      </c>
    </row>
    <row r="60" spans="1:17" x14ac:dyDescent="0.25">
      <c r="A60" s="26" t="s">
        <v>270</v>
      </c>
      <c r="B60" s="26" t="s">
        <v>182</v>
      </c>
      <c r="C60" s="27">
        <v>43593</v>
      </c>
      <c r="D60" s="28" t="s">
        <v>176</v>
      </c>
      <c r="E60" s="28"/>
      <c r="F60" s="28" t="s">
        <v>326</v>
      </c>
      <c r="G60" s="29" t="s">
        <v>188</v>
      </c>
      <c r="H60" s="30">
        <v>0.76458333333333339</v>
      </c>
      <c r="J60" s="26" t="s">
        <v>160</v>
      </c>
      <c r="K60" s="26" t="s">
        <v>317</v>
      </c>
      <c r="L60" s="27">
        <v>43579</v>
      </c>
      <c r="M60" s="28" t="s">
        <v>176</v>
      </c>
      <c r="N60" s="28"/>
      <c r="O60" s="28" t="s">
        <v>318</v>
      </c>
      <c r="P60" s="29" t="s">
        <v>188</v>
      </c>
      <c r="Q60" s="30">
        <v>0.71250000000000002</v>
      </c>
    </row>
    <row r="61" spans="1:17" x14ac:dyDescent="0.25">
      <c r="A61" s="26" t="s">
        <v>249</v>
      </c>
      <c r="B61" s="26" t="s">
        <v>334</v>
      </c>
      <c r="C61" s="27">
        <v>43593</v>
      </c>
      <c r="D61" s="28" t="s">
        <v>176</v>
      </c>
      <c r="E61" s="28"/>
      <c r="F61" s="28" t="s">
        <v>318</v>
      </c>
      <c r="G61" s="29" t="s">
        <v>184</v>
      </c>
      <c r="H61" s="30">
        <v>0.56180555555555556</v>
      </c>
      <c r="J61" s="26" t="s">
        <v>254</v>
      </c>
      <c r="K61" s="26" t="s">
        <v>333</v>
      </c>
      <c r="L61" s="27">
        <v>43582</v>
      </c>
      <c r="M61" s="28" t="s">
        <v>176</v>
      </c>
      <c r="N61" s="28"/>
      <c r="O61" s="28" t="s">
        <v>318</v>
      </c>
      <c r="P61" s="29" t="s">
        <v>188</v>
      </c>
      <c r="Q61" s="30">
        <v>0.73837962962962955</v>
      </c>
    </row>
    <row r="62" spans="1:17" x14ac:dyDescent="0.25">
      <c r="A62" s="26" t="s">
        <v>277</v>
      </c>
      <c r="B62" s="26" t="s">
        <v>182</v>
      </c>
      <c r="C62" s="27">
        <v>43593</v>
      </c>
      <c r="D62" s="28" t="s">
        <v>176</v>
      </c>
      <c r="E62" s="28"/>
      <c r="F62" s="28" t="s">
        <v>319</v>
      </c>
      <c r="G62" s="29" t="s">
        <v>188</v>
      </c>
      <c r="H62" s="30">
        <v>0.66666666666666663</v>
      </c>
      <c r="J62" s="26" t="s">
        <v>211</v>
      </c>
      <c r="K62" s="26" t="s">
        <v>187</v>
      </c>
      <c r="L62" s="27">
        <v>43583</v>
      </c>
      <c r="M62" s="28" t="s">
        <v>176</v>
      </c>
      <c r="N62" s="28"/>
      <c r="O62" s="28" t="s">
        <v>318</v>
      </c>
      <c r="P62" s="29" t="s">
        <v>188</v>
      </c>
      <c r="Q62" s="30">
        <v>0.72986111111111107</v>
      </c>
    </row>
    <row r="63" spans="1:17" x14ac:dyDescent="0.25">
      <c r="A63" s="26" t="s">
        <v>201</v>
      </c>
      <c r="B63" s="26" t="s">
        <v>324</v>
      </c>
      <c r="C63" s="27">
        <v>43594</v>
      </c>
      <c r="D63" s="28" t="s">
        <v>176</v>
      </c>
      <c r="E63" s="28"/>
      <c r="F63" s="28" t="s">
        <v>321</v>
      </c>
      <c r="G63" s="29" t="s">
        <v>184</v>
      </c>
      <c r="H63" s="30">
        <v>0.59513888888888888</v>
      </c>
      <c r="J63" s="26" t="s">
        <v>225</v>
      </c>
      <c r="K63" s="26" t="s">
        <v>187</v>
      </c>
      <c r="L63" s="27">
        <v>43585</v>
      </c>
      <c r="M63" s="28" t="s">
        <v>176</v>
      </c>
      <c r="N63" s="28"/>
      <c r="O63" s="28" t="s">
        <v>318</v>
      </c>
      <c r="P63" s="29" t="s">
        <v>184</v>
      </c>
      <c r="Q63" s="30">
        <v>0.60972222222222217</v>
      </c>
    </row>
    <row r="64" spans="1:17" x14ac:dyDescent="0.25">
      <c r="A64" s="26" t="s">
        <v>244</v>
      </c>
      <c r="B64" s="26" t="s">
        <v>182</v>
      </c>
      <c r="C64" s="27">
        <v>43594</v>
      </c>
      <c r="D64" s="28" t="s">
        <v>176</v>
      </c>
      <c r="E64" s="28"/>
      <c r="F64" s="28" t="s">
        <v>335</v>
      </c>
      <c r="G64" s="29" t="s">
        <v>184</v>
      </c>
      <c r="H64" s="30">
        <v>0.64513888888888882</v>
      </c>
      <c r="J64" s="26" t="s">
        <v>255</v>
      </c>
      <c r="K64" s="26" t="s">
        <v>187</v>
      </c>
      <c r="L64" s="27">
        <v>43589</v>
      </c>
      <c r="M64" s="28" t="s">
        <v>176</v>
      </c>
      <c r="N64" s="28"/>
      <c r="O64" s="28" t="s">
        <v>318</v>
      </c>
      <c r="P64" s="29" t="s">
        <v>188</v>
      </c>
      <c r="Q64" s="30">
        <v>0.6791666666666667</v>
      </c>
    </row>
    <row r="65" spans="1:17" x14ac:dyDescent="0.25">
      <c r="A65" s="26" t="s">
        <v>205</v>
      </c>
      <c r="B65" s="26" t="s">
        <v>182</v>
      </c>
      <c r="C65" s="27">
        <v>43594</v>
      </c>
      <c r="D65" s="28" t="s">
        <v>176</v>
      </c>
      <c r="E65" s="28"/>
      <c r="F65" s="28" t="s">
        <v>186</v>
      </c>
      <c r="G65" s="29" t="s">
        <v>184</v>
      </c>
      <c r="H65" s="30">
        <v>0.55833333333333335</v>
      </c>
      <c r="J65" s="26" t="s">
        <v>249</v>
      </c>
      <c r="K65" s="26" t="s">
        <v>334</v>
      </c>
      <c r="L65" s="27">
        <v>43593</v>
      </c>
      <c r="M65" s="28" t="s">
        <v>176</v>
      </c>
      <c r="N65" s="28"/>
      <c r="O65" s="28" t="s">
        <v>318</v>
      </c>
      <c r="P65" s="29" t="s">
        <v>184</v>
      </c>
      <c r="Q65" s="30">
        <v>0.56180555555555556</v>
      </c>
    </row>
    <row r="66" spans="1:17" x14ac:dyDescent="0.25">
      <c r="A66" s="26" t="s">
        <v>273</v>
      </c>
      <c r="B66" s="26" t="s">
        <v>182</v>
      </c>
      <c r="C66" s="27">
        <v>43594</v>
      </c>
      <c r="D66" s="28" t="s">
        <v>176</v>
      </c>
      <c r="E66" s="28"/>
      <c r="F66" s="28" t="s">
        <v>183</v>
      </c>
      <c r="G66" s="29" t="s">
        <v>184</v>
      </c>
      <c r="H66" s="30">
        <v>0.42083333333333334</v>
      </c>
      <c r="J66" s="26" t="s">
        <v>256</v>
      </c>
      <c r="K66" s="26" t="s">
        <v>182</v>
      </c>
      <c r="L66" s="27">
        <v>43595</v>
      </c>
      <c r="M66" s="28" t="s">
        <v>176</v>
      </c>
      <c r="N66" s="28"/>
      <c r="O66" s="28" t="s">
        <v>318</v>
      </c>
      <c r="P66" s="29" t="s">
        <v>188</v>
      </c>
      <c r="Q66" s="30">
        <v>0.72916666666666663</v>
      </c>
    </row>
    <row r="67" spans="1:17" x14ac:dyDescent="0.25">
      <c r="A67" s="26" t="s">
        <v>257</v>
      </c>
      <c r="B67" s="26" t="s">
        <v>187</v>
      </c>
      <c r="C67" s="27">
        <v>43594</v>
      </c>
      <c r="D67" s="28" t="s">
        <v>176</v>
      </c>
      <c r="E67" s="28"/>
      <c r="F67" s="28" t="s">
        <v>319</v>
      </c>
      <c r="G67" s="29" t="s">
        <v>188</v>
      </c>
      <c r="H67" s="30">
        <v>0.7583333333333333</v>
      </c>
      <c r="J67" s="26" t="s">
        <v>259</v>
      </c>
      <c r="K67" s="26" t="s">
        <v>182</v>
      </c>
      <c r="L67" s="27">
        <v>43598</v>
      </c>
      <c r="M67" s="28" t="s">
        <v>176</v>
      </c>
      <c r="N67" s="28"/>
      <c r="O67" s="28" t="s">
        <v>318</v>
      </c>
      <c r="P67" s="29" t="s">
        <v>184</v>
      </c>
      <c r="Q67" s="30">
        <v>0.5708333333333333</v>
      </c>
    </row>
    <row r="68" spans="1:17" x14ac:dyDescent="0.25">
      <c r="A68" s="26" t="s">
        <v>130</v>
      </c>
      <c r="B68" s="26" t="s">
        <v>187</v>
      </c>
      <c r="C68" s="27">
        <v>43594</v>
      </c>
      <c r="D68" s="28" t="s">
        <v>176</v>
      </c>
      <c r="E68" s="28"/>
      <c r="F68" s="28" t="s">
        <v>183</v>
      </c>
      <c r="G68" s="29" t="s">
        <v>188</v>
      </c>
      <c r="H68" s="30">
        <v>0.68333333333333324</v>
      </c>
      <c r="J68" s="26" t="s">
        <v>110</v>
      </c>
      <c r="K68" s="26" t="s">
        <v>317</v>
      </c>
      <c r="L68" s="27">
        <v>43598</v>
      </c>
      <c r="M68" s="28" t="s">
        <v>176</v>
      </c>
      <c r="N68" s="28"/>
      <c r="O68" s="28" t="s">
        <v>318</v>
      </c>
      <c r="P68" s="29" t="s">
        <v>184</v>
      </c>
      <c r="Q68" s="30">
        <v>0.58611111111111114</v>
      </c>
    </row>
    <row r="69" spans="1:17" x14ac:dyDescent="0.25">
      <c r="A69" s="26" t="s">
        <v>214</v>
      </c>
      <c r="B69" s="26" t="s">
        <v>187</v>
      </c>
      <c r="C69" s="27">
        <v>43594</v>
      </c>
      <c r="D69" s="28" t="s">
        <v>176</v>
      </c>
      <c r="E69" s="28"/>
      <c r="F69" s="28" t="s">
        <v>319</v>
      </c>
      <c r="G69" s="29" t="s">
        <v>184</v>
      </c>
      <c r="H69" s="30">
        <v>0.59791666666666665</v>
      </c>
      <c r="J69" s="26" t="s">
        <v>258</v>
      </c>
      <c r="K69" s="26" t="s">
        <v>187</v>
      </c>
      <c r="L69" s="27">
        <v>43600</v>
      </c>
      <c r="M69" s="28" t="s">
        <v>176</v>
      </c>
      <c r="N69" s="28"/>
      <c r="O69" s="28" t="s">
        <v>318</v>
      </c>
      <c r="P69" s="29" t="s">
        <v>188</v>
      </c>
      <c r="Q69" s="30">
        <v>0.67361111111111116</v>
      </c>
    </row>
    <row r="70" spans="1:17" x14ac:dyDescent="0.25">
      <c r="A70" s="26" t="s">
        <v>106</v>
      </c>
      <c r="B70" s="26" t="s">
        <v>182</v>
      </c>
      <c r="C70" s="27">
        <v>43595</v>
      </c>
      <c r="D70" s="28" t="s">
        <v>176</v>
      </c>
      <c r="E70" s="28"/>
      <c r="F70" s="28" t="s">
        <v>328</v>
      </c>
      <c r="G70" s="29" t="s">
        <v>184</v>
      </c>
      <c r="H70" s="30">
        <v>0.55277777777777781</v>
      </c>
      <c r="J70" s="26" t="s">
        <v>152</v>
      </c>
      <c r="K70" s="26" t="s">
        <v>187</v>
      </c>
      <c r="L70" s="27">
        <v>43601</v>
      </c>
      <c r="M70" s="28" t="s">
        <v>176</v>
      </c>
      <c r="N70" s="28"/>
      <c r="O70" s="28" t="s">
        <v>318</v>
      </c>
      <c r="P70" s="29" t="s">
        <v>188</v>
      </c>
      <c r="Q70" s="30">
        <v>0.7006944444444444</v>
      </c>
    </row>
    <row r="71" spans="1:17" x14ac:dyDescent="0.25">
      <c r="A71" s="26" t="s">
        <v>222</v>
      </c>
      <c r="B71" s="26" t="s">
        <v>182</v>
      </c>
      <c r="C71" s="27">
        <v>43595</v>
      </c>
      <c r="D71" s="28" t="s">
        <v>176</v>
      </c>
      <c r="E71" s="28"/>
      <c r="F71" s="28" t="s">
        <v>328</v>
      </c>
      <c r="G71" s="29" t="s">
        <v>188</v>
      </c>
      <c r="H71" s="30">
        <v>0.91319444444444453</v>
      </c>
      <c r="J71" s="26" t="s">
        <v>252</v>
      </c>
      <c r="K71" s="26" t="s">
        <v>187</v>
      </c>
      <c r="L71" s="27">
        <v>43601</v>
      </c>
      <c r="M71" s="28" t="s">
        <v>176</v>
      </c>
      <c r="N71" s="28"/>
      <c r="O71" s="28" t="s">
        <v>318</v>
      </c>
      <c r="P71" s="29" t="s">
        <v>184</v>
      </c>
      <c r="Q71" s="30">
        <v>0.59305555555555556</v>
      </c>
    </row>
    <row r="72" spans="1:17" x14ac:dyDescent="0.25">
      <c r="A72" s="26" t="s">
        <v>250</v>
      </c>
      <c r="B72" s="26" t="s">
        <v>182</v>
      </c>
      <c r="C72" s="27">
        <v>43595</v>
      </c>
      <c r="D72" s="28" t="s">
        <v>176</v>
      </c>
      <c r="E72" s="28"/>
      <c r="F72" s="28" t="s">
        <v>320</v>
      </c>
      <c r="G72" s="29" t="s">
        <v>184</v>
      </c>
      <c r="H72" s="30">
        <v>0.53263888888888888</v>
      </c>
      <c r="J72" s="26" t="s">
        <v>253</v>
      </c>
      <c r="K72" s="26" t="s">
        <v>182</v>
      </c>
      <c r="L72" s="27">
        <v>43606</v>
      </c>
      <c r="M72" s="28" t="s">
        <v>176</v>
      </c>
      <c r="N72" s="28"/>
      <c r="O72" s="28" t="s">
        <v>318</v>
      </c>
      <c r="P72" s="29" t="s">
        <v>188</v>
      </c>
      <c r="Q72" s="30">
        <v>0.74236111111111114</v>
      </c>
    </row>
    <row r="73" spans="1:17" x14ac:dyDescent="0.25">
      <c r="A73" s="26" t="s">
        <v>127</v>
      </c>
      <c r="B73" s="26" t="s">
        <v>182</v>
      </c>
      <c r="C73" s="27">
        <v>43595</v>
      </c>
      <c r="D73" s="28" t="s">
        <v>176</v>
      </c>
      <c r="E73" s="28"/>
      <c r="F73" s="28" t="s">
        <v>328</v>
      </c>
      <c r="G73" s="29" t="s">
        <v>184</v>
      </c>
      <c r="H73" s="30">
        <v>0.56944444444444442</v>
      </c>
      <c r="J73" s="26" t="s">
        <v>263</v>
      </c>
      <c r="K73" s="26" t="s">
        <v>182</v>
      </c>
      <c r="L73" s="27">
        <v>43606</v>
      </c>
      <c r="M73" s="28" t="s">
        <v>176</v>
      </c>
      <c r="N73" s="28"/>
      <c r="O73" s="28" t="s">
        <v>318</v>
      </c>
      <c r="P73" s="29" t="s">
        <v>188</v>
      </c>
      <c r="Q73" s="30">
        <v>0.95347222222222217</v>
      </c>
    </row>
    <row r="74" spans="1:17" x14ac:dyDescent="0.25">
      <c r="A74" s="26" t="s">
        <v>230</v>
      </c>
      <c r="B74" s="26" t="s">
        <v>187</v>
      </c>
      <c r="C74" s="27">
        <v>43595</v>
      </c>
      <c r="D74" s="28" t="s">
        <v>176</v>
      </c>
      <c r="E74" s="28"/>
      <c r="F74" s="28" t="s">
        <v>319</v>
      </c>
      <c r="G74" s="29" t="s">
        <v>184</v>
      </c>
      <c r="H74" s="30">
        <v>0.55972222222222223</v>
      </c>
      <c r="J74" s="26" t="s">
        <v>107</v>
      </c>
      <c r="K74" s="26" t="s">
        <v>187</v>
      </c>
      <c r="L74" s="27">
        <v>43609</v>
      </c>
      <c r="M74" s="28" t="s">
        <v>176</v>
      </c>
      <c r="N74" s="28"/>
      <c r="O74" s="28" t="s">
        <v>318</v>
      </c>
      <c r="P74" s="29" t="s">
        <v>184</v>
      </c>
      <c r="Q74" s="30">
        <v>0.57152777777777775</v>
      </c>
    </row>
    <row r="75" spans="1:17" x14ac:dyDescent="0.25">
      <c r="A75" s="26" t="s">
        <v>239</v>
      </c>
      <c r="B75" s="26" t="s">
        <v>187</v>
      </c>
      <c r="C75" s="27">
        <v>43595</v>
      </c>
      <c r="D75" s="28" t="s">
        <v>176</v>
      </c>
      <c r="E75" s="28"/>
      <c r="F75" s="28" t="s">
        <v>337</v>
      </c>
      <c r="G75" s="29" t="s">
        <v>188</v>
      </c>
      <c r="H75" s="30">
        <v>0.68611111111111101</v>
      </c>
      <c r="J75" s="26" t="s">
        <v>107</v>
      </c>
      <c r="K75" s="26" t="s">
        <v>182</v>
      </c>
      <c r="L75" s="27">
        <v>43614</v>
      </c>
      <c r="M75" s="28" t="s">
        <v>176</v>
      </c>
      <c r="N75" s="28"/>
      <c r="O75" s="28" t="s">
        <v>318</v>
      </c>
      <c r="P75" s="29" t="s">
        <v>184</v>
      </c>
      <c r="Q75" s="30">
        <v>0.57152777777777775</v>
      </c>
    </row>
    <row r="76" spans="1:17" x14ac:dyDescent="0.25">
      <c r="A76" s="26" t="s">
        <v>200</v>
      </c>
      <c r="B76" s="26" t="s">
        <v>317</v>
      </c>
      <c r="C76" s="27">
        <v>43595</v>
      </c>
      <c r="D76" s="28" t="s">
        <v>176</v>
      </c>
      <c r="E76" s="28"/>
      <c r="F76" s="28" t="s">
        <v>319</v>
      </c>
      <c r="G76" s="29" t="s">
        <v>184</v>
      </c>
      <c r="H76" s="30">
        <v>0.57222222222222219</v>
      </c>
      <c r="J76" s="26" t="s">
        <v>224</v>
      </c>
      <c r="K76" s="26" t="s">
        <v>187</v>
      </c>
      <c r="L76" s="27">
        <v>43615</v>
      </c>
      <c r="M76" s="28" t="s">
        <v>176</v>
      </c>
      <c r="N76" s="28"/>
      <c r="O76" s="28" t="s">
        <v>318</v>
      </c>
      <c r="P76" s="29" t="s">
        <v>188</v>
      </c>
      <c r="Q76" s="30">
        <v>0.66111111111111109</v>
      </c>
    </row>
    <row r="77" spans="1:17" x14ac:dyDescent="0.25">
      <c r="A77" s="26" t="s">
        <v>108</v>
      </c>
      <c r="B77" s="26" t="s">
        <v>324</v>
      </c>
      <c r="C77" s="27">
        <v>43595</v>
      </c>
      <c r="D77" s="28" t="s">
        <v>176</v>
      </c>
      <c r="E77" s="28"/>
      <c r="F77" s="28" t="s">
        <v>186</v>
      </c>
      <c r="G77" s="29" t="s">
        <v>188</v>
      </c>
      <c r="H77" s="30">
        <v>0.78888888888888886</v>
      </c>
      <c r="J77" s="31" t="s">
        <v>262</v>
      </c>
      <c r="K77" s="31" t="s">
        <v>336</v>
      </c>
      <c r="L77" s="32">
        <v>43644</v>
      </c>
      <c r="M77" s="28" t="s">
        <v>176</v>
      </c>
      <c r="N77" s="28"/>
      <c r="O77" s="28" t="s">
        <v>318</v>
      </c>
      <c r="P77" s="29" t="s">
        <v>188</v>
      </c>
      <c r="Q77" s="30">
        <v>0.77361111111111114</v>
      </c>
    </row>
    <row r="78" spans="1:17" x14ac:dyDescent="0.25">
      <c r="A78" s="26" t="s">
        <v>256</v>
      </c>
      <c r="B78" s="26" t="s">
        <v>182</v>
      </c>
      <c r="C78" s="27">
        <v>43595</v>
      </c>
      <c r="D78" s="28" t="s">
        <v>176</v>
      </c>
      <c r="E78" s="28"/>
      <c r="F78" s="28" t="s">
        <v>318</v>
      </c>
      <c r="G78" s="29" t="s">
        <v>188</v>
      </c>
      <c r="H78" s="30">
        <v>0.72916666666666663</v>
      </c>
      <c r="J78" s="26" t="s">
        <v>136</v>
      </c>
      <c r="K78" s="26" t="s">
        <v>182</v>
      </c>
      <c r="L78" s="27">
        <v>43588</v>
      </c>
      <c r="M78" s="28" t="s">
        <v>176</v>
      </c>
      <c r="N78" s="28"/>
      <c r="O78" s="28" t="s">
        <v>323</v>
      </c>
      <c r="P78" s="29" t="s">
        <v>188</v>
      </c>
      <c r="Q78" s="30">
        <v>0.65902777777777777</v>
      </c>
    </row>
    <row r="79" spans="1:17" x14ac:dyDescent="0.25">
      <c r="A79" s="26" t="s">
        <v>196</v>
      </c>
      <c r="B79" s="26" t="s">
        <v>187</v>
      </c>
      <c r="C79" s="27">
        <v>43595</v>
      </c>
      <c r="D79" s="28" t="s">
        <v>176</v>
      </c>
      <c r="E79" s="28"/>
      <c r="F79" s="28" t="s">
        <v>316</v>
      </c>
      <c r="G79" s="29" t="s">
        <v>184</v>
      </c>
      <c r="H79" s="30">
        <v>0.625</v>
      </c>
      <c r="J79" s="26" t="s">
        <v>251</v>
      </c>
      <c r="K79" s="26" t="s">
        <v>187</v>
      </c>
      <c r="L79" s="27">
        <v>43588</v>
      </c>
      <c r="M79" s="28" t="s">
        <v>176</v>
      </c>
      <c r="N79" s="28"/>
      <c r="O79" s="28" t="s">
        <v>323</v>
      </c>
      <c r="P79" s="29" t="s">
        <v>188</v>
      </c>
      <c r="Q79" s="30">
        <v>0.6479166666666667</v>
      </c>
    </row>
    <row r="80" spans="1:17" x14ac:dyDescent="0.25">
      <c r="A80" s="26" t="s">
        <v>105</v>
      </c>
      <c r="B80" s="26" t="s">
        <v>182</v>
      </c>
      <c r="C80" s="27">
        <v>43595</v>
      </c>
      <c r="D80" s="28" t="s">
        <v>176</v>
      </c>
      <c r="E80" s="28"/>
      <c r="F80" s="28" t="s">
        <v>328</v>
      </c>
      <c r="G80" s="29" t="s">
        <v>184</v>
      </c>
      <c r="H80" s="30">
        <v>0.59652777777777777</v>
      </c>
      <c r="J80" s="26" t="s">
        <v>221</v>
      </c>
      <c r="K80" s="26" t="s">
        <v>187</v>
      </c>
      <c r="L80" s="27">
        <v>43598</v>
      </c>
      <c r="M80" s="28" t="s">
        <v>176</v>
      </c>
      <c r="N80" s="28"/>
      <c r="O80" s="28" t="s">
        <v>323</v>
      </c>
      <c r="P80" s="29" t="s">
        <v>184</v>
      </c>
      <c r="Q80" s="30">
        <v>0.59652777777777777</v>
      </c>
    </row>
    <row r="81" spans="1:17" x14ac:dyDescent="0.25">
      <c r="A81" s="26" t="s">
        <v>305</v>
      </c>
      <c r="B81" s="26" t="s">
        <v>187</v>
      </c>
      <c r="C81" s="27">
        <v>43598</v>
      </c>
      <c r="D81" s="28" t="s">
        <v>176</v>
      </c>
      <c r="E81" s="28"/>
      <c r="F81" s="28" t="s">
        <v>319</v>
      </c>
      <c r="G81" s="29" t="s">
        <v>188</v>
      </c>
      <c r="H81" s="30">
        <v>0.68194444444444446</v>
      </c>
      <c r="J81" s="26" t="s">
        <v>315</v>
      </c>
      <c r="K81" s="26" t="s">
        <v>182</v>
      </c>
      <c r="L81" s="27">
        <v>43599</v>
      </c>
      <c r="M81" s="28" t="s">
        <v>176</v>
      </c>
      <c r="N81" s="28"/>
      <c r="O81" s="28" t="s">
        <v>323</v>
      </c>
      <c r="P81" s="29" t="s">
        <v>188</v>
      </c>
      <c r="Q81" s="30">
        <v>0.80284722222222227</v>
      </c>
    </row>
    <row r="82" spans="1:17" x14ac:dyDescent="0.25">
      <c r="A82" s="26" t="s">
        <v>285</v>
      </c>
      <c r="B82" s="26" t="s">
        <v>182</v>
      </c>
      <c r="C82" s="27">
        <v>43598</v>
      </c>
      <c r="D82" s="28" t="s">
        <v>176</v>
      </c>
      <c r="E82" s="28"/>
      <c r="F82" s="28" t="s">
        <v>331</v>
      </c>
      <c r="G82" s="29" t="s">
        <v>188</v>
      </c>
      <c r="H82" s="30">
        <v>0.74513888888888891</v>
      </c>
      <c r="J82" s="26" t="s">
        <v>239</v>
      </c>
      <c r="K82" s="26" t="s">
        <v>187</v>
      </c>
      <c r="L82" s="27">
        <v>43595</v>
      </c>
      <c r="M82" s="28" t="s">
        <v>176</v>
      </c>
      <c r="N82" s="28"/>
      <c r="O82" s="28" t="s">
        <v>337</v>
      </c>
      <c r="P82" s="29" t="s">
        <v>188</v>
      </c>
      <c r="Q82" s="30">
        <v>0.68611111111111101</v>
      </c>
    </row>
    <row r="83" spans="1:17" x14ac:dyDescent="0.25">
      <c r="A83" s="26" t="s">
        <v>212</v>
      </c>
      <c r="B83" s="26" t="s">
        <v>336</v>
      </c>
      <c r="C83" s="27">
        <v>43598</v>
      </c>
      <c r="D83" s="28" t="s">
        <v>176</v>
      </c>
      <c r="E83" s="28"/>
      <c r="F83" s="28" t="s">
        <v>319</v>
      </c>
      <c r="G83" s="29" t="s">
        <v>188</v>
      </c>
      <c r="H83" s="30">
        <v>0.87986111111111109</v>
      </c>
      <c r="J83" s="26" t="s">
        <v>269</v>
      </c>
      <c r="K83" s="26" t="s">
        <v>187</v>
      </c>
      <c r="L83" s="27">
        <v>43602</v>
      </c>
      <c r="M83" s="28" t="s">
        <v>176</v>
      </c>
      <c r="N83" s="28"/>
      <c r="O83" s="28" t="s">
        <v>337</v>
      </c>
      <c r="P83" s="29" t="s">
        <v>184</v>
      </c>
      <c r="Q83" s="30">
        <v>0.625</v>
      </c>
    </row>
    <row r="84" spans="1:17" x14ac:dyDescent="0.25">
      <c r="A84" s="26" t="s">
        <v>218</v>
      </c>
      <c r="B84" s="26" t="s">
        <v>338</v>
      </c>
      <c r="C84" s="27">
        <v>43598</v>
      </c>
      <c r="D84" s="28" t="s">
        <v>176</v>
      </c>
      <c r="E84" s="28"/>
      <c r="F84" s="28" t="s">
        <v>328</v>
      </c>
      <c r="G84" s="29" t="s">
        <v>184</v>
      </c>
      <c r="H84" s="30">
        <v>0.58680555555555558</v>
      </c>
      <c r="J84" s="26" t="s">
        <v>266</v>
      </c>
      <c r="K84" s="26" t="s">
        <v>187</v>
      </c>
      <c r="L84" s="27">
        <v>43607</v>
      </c>
      <c r="M84" s="28" t="s">
        <v>176</v>
      </c>
      <c r="N84" s="28"/>
      <c r="O84" s="28" t="s">
        <v>337</v>
      </c>
      <c r="P84" s="29" t="s">
        <v>188</v>
      </c>
      <c r="Q84" s="30">
        <v>0.7715277777777777</v>
      </c>
    </row>
    <row r="85" spans="1:17" x14ac:dyDescent="0.25">
      <c r="A85" s="26" t="s">
        <v>189</v>
      </c>
      <c r="B85" s="26" t="s">
        <v>187</v>
      </c>
      <c r="C85" s="27">
        <v>43598</v>
      </c>
      <c r="D85" s="28" t="s">
        <v>176</v>
      </c>
      <c r="E85" s="28"/>
      <c r="F85" s="28" t="s">
        <v>186</v>
      </c>
      <c r="G85" s="29" t="s">
        <v>184</v>
      </c>
      <c r="H85" s="30">
        <v>0.59166666666666667</v>
      </c>
      <c r="J85" s="26" t="s">
        <v>267</v>
      </c>
      <c r="K85" s="26" t="s">
        <v>187</v>
      </c>
      <c r="L85" s="27">
        <v>43609</v>
      </c>
      <c r="M85" s="28" t="s">
        <v>176</v>
      </c>
      <c r="N85" s="28"/>
      <c r="O85" s="28" t="s">
        <v>337</v>
      </c>
      <c r="P85" s="29" t="s">
        <v>184</v>
      </c>
      <c r="Q85" s="30">
        <v>0.58124999999999993</v>
      </c>
    </row>
    <row r="86" spans="1:17" x14ac:dyDescent="0.25">
      <c r="A86" s="26" t="s">
        <v>259</v>
      </c>
      <c r="B86" s="26" t="s">
        <v>182</v>
      </c>
      <c r="C86" s="27">
        <v>43598</v>
      </c>
      <c r="D86" s="28" t="s">
        <v>176</v>
      </c>
      <c r="E86" s="28"/>
      <c r="F86" s="28" t="s">
        <v>318</v>
      </c>
      <c r="G86" s="29" t="s">
        <v>184</v>
      </c>
      <c r="H86" s="30">
        <v>0.5708333333333333</v>
      </c>
      <c r="J86" s="26" t="s">
        <v>265</v>
      </c>
      <c r="K86" s="26" t="s">
        <v>182</v>
      </c>
      <c r="L86" s="27">
        <v>43612</v>
      </c>
      <c r="M86" s="28" t="s">
        <v>176</v>
      </c>
      <c r="N86" s="28"/>
      <c r="O86" s="28" t="s">
        <v>337</v>
      </c>
      <c r="P86" s="29" t="s">
        <v>184</v>
      </c>
      <c r="Q86" s="30">
        <v>0.55347222222222225</v>
      </c>
    </row>
    <row r="87" spans="1:17" x14ac:dyDescent="0.25">
      <c r="A87" s="26" t="s">
        <v>286</v>
      </c>
      <c r="B87" s="26" t="s">
        <v>187</v>
      </c>
      <c r="C87" s="27">
        <v>43598</v>
      </c>
      <c r="D87" s="28" t="s">
        <v>176</v>
      </c>
      <c r="E87" s="28"/>
      <c r="F87" s="28" t="s">
        <v>329</v>
      </c>
      <c r="G87" s="29" t="s">
        <v>188</v>
      </c>
      <c r="H87" s="30">
        <v>0.83333333333333337</v>
      </c>
      <c r="J87" s="26" t="s">
        <v>131</v>
      </c>
      <c r="K87" s="26" t="s">
        <v>187</v>
      </c>
      <c r="L87" s="27">
        <v>43567</v>
      </c>
      <c r="M87" s="28" t="s">
        <v>176</v>
      </c>
      <c r="N87" s="28"/>
      <c r="O87" s="28" t="s">
        <v>183</v>
      </c>
      <c r="P87" s="29" t="s">
        <v>188</v>
      </c>
      <c r="Q87" s="30">
        <v>0.67461805555555554</v>
      </c>
    </row>
    <row r="88" spans="1:17" x14ac:dyDescent="0.25">
      <c r="A88" s="26" t="s">
        <v>221</v>
      </c>
      <c r="B88" s="26" t="s">
        <v>187</v>
      </c>
      <c r="C88" s="27">
        <v>43598</v>
      </c>
      <c r="D88" s="28" t="s">
        <v>176</v>
      </c>
      <c r="E88" s="28"/>
      <c r="F88" s="28" t="s">
        <v>323</v>
      </c>
      <c r="G88" s="29" t="s">
        <v>184</v>
      </c>
      <c r="H88" s="30">
        <v>0.59652777777777777</v>
      </c>
      <c r="J88" s="26" t="s">
        <v>134</v>
      </c>
      <c r="K88" s="26" t="s">
        <v>187</v>
      </c>
      <c r="L88" s="27">
        <v>43567</v>
      </c>
      <c r="M88" s="28" t="s">
        <v>176</v>
      </c>
      <c r="N88" s="28"/>
      <c r="O88" s="28" t="s">
        <v>183</v>
      </c>
      <c r="P88" s="29" t="s">
        <v>188</v>
      </c>
      <c r="Q88" s="30">
        <v>0.70694444444444438</v>
      </c>
    </row>
    <row r="89" spans="1:17" x14ac:dyDescent="0.25">
      <c r="A89" s="26" t="s">
        <v>147</v>
      </c>
      <c r="B89" s="26" t="s">
        <v>182</v>
      </c>
      <c r="C89" s="27">
        <v>43598</v>
      </c>
      <c r="D89" s="28" t="s">
        <v>176</v>
      </c>
      <c r="E89" s="28"/>
      <c r="F89" s="28" t="s">
        <v>326</v>
      </c>
      <c r="G89" s="29" t="s">
        <v>188</v>
      </c>
      <c r="H89" s="30">
        <v>0.71597222222222223</v>
      </c>
      <c r="J89" s="26" t="s">
        <v>202</v>
      </c>
      <c r="K89" s="26" t="s">
        <v>327</v>
      </c>
      <c r="L89" s="27">
        <v>43571</v>
      </c>
      <c r="M89" s="28" t="s">
        <v>176</v>
      </c>
      <c r="N89" s="28"/>
      <c r="O89" s="28" t="s">
        <v>183</v>
      </c>
      <c r="P89" s="29" t="s">
        <v>188</v>
      </c>
      <c r="Q89" s="30">
        <v>0.67569444444444438</v>
      </c>
    </row>
    <row r="90" spans="1:17" x14ac:dyDescent="0.25">
      <c r="A90" s="26" t="s">
        <v>110</v>
      </c>
      <c r="B90" s="26" t="s">
        <v>317</v>
      </c>
      <c r="C90" s="27">
        <v>43598</v>
      </c>
      <c r="D90" s="28" t="s">
        <v>176</v>
      </c>
      <c r="E90" s="28"/>
      <c r="F90" s="28" t="s">
        <v>318</v>
      </c>
      <c r="G90" s="29" t="s">
        <v>184</v>
      </c>
      <c r="H90" s="30">
        <v>0.58611111111111114</v>
      </c>
      <c r="J90" s="26" t="s">
        <v>166</v>
      </c>
      <c r="K90" s="26" t="s">
        <v>187</v>
      </c>
      <c r="L90" s="27">
        <v>43572</v>
      </c>
      <c r="M90" s="28" t="s">
        <v>176</v>
      </c>
      <c r="N90" s="28"/>
      <c r="O90" s="28" t="s">
        <v>183</v>
      </c>
      <c r="P90" s="29" t="s">
        <v>188</v>
      </c>
      <c r="Q90" s="30">
        <v>0.6777777777777777</v>
      </c>
    </row>
    <row r="91" spans="1:17" x14ac:dyDescent="0.25">
      <c r="A91" s="26" t="s">
        <v>315</v>
      </c>
      <c r="B91" s="26" t="s">
        <v>182</v>
      </c>
      <c r="C91" s="27">
        <v>43599</v>
      </c>
      <c r="D91" s="28" t="s">
        <v>176</v>
      </c>
      <c r="E91" s="28"/>
      <c r="F91" s="28" t="s">
        <v>323</v>
      </c>
      <c r="G91" s="29" t="s">
        <v>188</v>
      </c>
      <c r="H91" s="30">
        <v>0.80284722222222227</v>
      </c>
      <c r="J91" s="26" t="s">
        <v>181</v>
      </c>
      <c r="K91" s="26" t="s">
        <v>187</v>
      </c>
      <c r="L91" s="27">
        <v>43579</v>
      </c>
      <c r="M91" s="28" t="s">
        <v>176</v>
      </c>
      <c r="N91" s="28"/>
      <c r="O91" s="28" t="s">
        <v>183</v>
      </c>
      <c r="P91" s="29" t="s">
        <v>184</v>
      </c>
      <c r="Q91" s="30">
        <v>0.53819444444444442</v>
      </c>
    </row>
    <row r="92" spans="1:17" x14ac:dyDescent="0.25">
      <c r="A92" s="26" t="s">
        <v>213</v>
      </c>
      <c r="B92" s="26" t="s">
        <v>182</v>
      </c>
      <c r="C92" s="27">
        <v>43599</v>
      </c>
      <c r="D92" s="28" t="s">
        <v>176</v>
      </c>
      <c r="E92" s="28"/>
      <c r="F92" s="28" t="s">
        <v>328</v>
      </c>
      <c r="G92" s="29" t="s">
        <v>184</v>
      </c>
      <c r="H92" s="30">
        <v>0.62291666666666667</v>
      </c>
      <c r="J92" s="26" t="s">
        <v>264</v>
      </c>
      <c r="K92" s="26" t="s">
        <v>187</v>
      </c>
      <c r="L92" s="27">
        <v>43579</v>
      </c>
      <c r="M92" s="28" t="s">
        <v>176</v>
      </c>
      <c r="N92" s="28"/>
      <c r="O92" s="28" t="s">
        <v>183</v>
      </c>
      <c r="P92" s="29" t="s">
        <v>188</v>
      </c>
      <c r="Q92" s="30">
        <v>0.66875000000000007</v>
      </c>
    </row>
    <row r="93" spans="1:17" x14ac:dyDescent="0.25">
      <c r="A93" s="26" t="s">
        <v>210</v>
      </c>
      <c r="B93" s="26" t="s">
        <v>182</v>
      </c>
      <c r="C93" s="27">
        <v>43599</v>
      </c>
      <c r="D93" s="28" t="s">
        <v>176</v>
      </c>
      <c r="E93" s="28"/>
      <c r="F93" s="28" t="s">
        <v>328</v>
      </c>
      <c r="G93" s="29" t="s">
        <v>184</v>
      </c>
      <c r="H93" s="30">
        <v>0.6069444444444444</v>
      </c>
      <c r="J93" s="26" t="s">
        <v>153</v>
      </c>
      <c r="K93" s="26" t="s">
        <v>336</v>
      </c>
      <c r="L93" s="27">
        <v>43589</v>
      </c>
      <c r="M93" s="28" t="s">
        <v>176</v>
      </c>
      <c r="N93" s="28"/>
      <c r="O93" s="28" t="s">
        <v>183</v>
      </c>
      <c r="P93" s="29" t="s">
        <v>184</v>
      </c>
      <c r="Q93" s="30">
        <v>0.58472222222222225</v>
      </c>
    </row>
    <row r="94" spans="1:17" x14ac:dyDescent="0.25">
      <c r="A94" s="26" t="s">
        <v>247</v>
      </c>
      <c r="B94" s="26" t="s">
        <v>182</v>
      </c>
      <c r="C94" s="27">
        <v>43599</v>
      </c>
      <c r="D94" s="28" t="s">
        <v>176</v>
      </c>
      <c r="E94" s="28"/>
      <c r="F94" s="28" t="s">
        <v>339</v>
      </c>
      <c r="G94" s="29" t="s">
        <v>184</v>
      </c>
      <c r="H94" s="30">
        <v>0.60347222222222219</v>
      </c>
      <c r="J94" s="26" t="s">
        <v>273</v>
      </c>
      <c r="K94" s="26" t="s">
        <v>182</v>
      </c>
      <c r="L94" s="27">
        <v>43594</v>
      </c>
      <c r="M94" s="28" t="s">
        <v>176</v>
      </c>
      <c r="N94" s="28"/>
      <c r="O94" s="28" t="s">
        <v>183</v>
      </c>
      <c r="P94" s="29" t="s">
        <v>184</v>
      </c>
      <c r="Q94" s="30">
        <v>0.42083333333333334</v>
      </c>
    </row>
    <row r="95" spans="1:17" x14ac:dyDescent="0.25">
      <c r="A95" s="26" t="s">
        <v>228</v>
      </c>
      <c r="B95" s="26" t="s">
        <v>187</v>
      </c>
      <c r="C95" s="27">
        <v>43599</v>
      </c>
      <c r="D95" s="28" t="s">
        <v>176</v>
      </c>
      <c r="E95" s="28"/>
      <c r="F95" s="28" t="s">
        <v>319</v>
      </c>
      <c r="G95" s="29" t="s">
        <v>188</v>
      </c>
      <c r="H95" s="30">
        <v>0.7631944444444444</v>
      </c>
      <c r="J95" s="26" t="s">
        <v>130</v>
      </c>
      <c r="K95" s="26" t="s">
        <v>187</v>
      </c>
      <c r="L95" s="27">
        <v>43594</v>
      </c>
      <c r="M95" s="28" t="s">
        <v>176</v>
      </c>
      <c r="N95" s="28"/>
      <c r="O95" s="28" t="s">
        <v>183</v>
      </c>
      <c r="P95" s="29" t="s">
        <v>188</v>
      </c>
      <c r="Q95" s="30">
        <v>0.68333333333333324</v>
      </c>
    </row>
    <row r="96" spans="1:17" x14ac:dyDescent="0.25">
      <c r="A96" s="26" t="s">
        <v>138</v>
      </c>
      <c r="B96" s="26" t="s">
        <v>187</v>
      </c>
      <c r="C96" s="27">
        <v>43600</v>
      </c>
      <c r="D96" s="28" t="s">
        <v>176</v>
      </c>
      <c r="E96" s="28"/>
      <c r="F96" s="28" t="s">
        <v>330</v>
      </c>
      <c r="G96" s="29" t="s">
        <v>188</v>
      </c>
      <c r="H96" s="30">
        <v>0.72361111111111109</v>
      </c>
      <c r="J96" s="26" t="s">
        <v>165</v>
      </c>
      <c r="K96" s="26" t="s">
        <v>182</v>
      </c>
      <c r="L96" s="27">
        <v>43606</v>
      </c>
      <c r="M96" s="28" t="s">
        <v>176</v>
      </c>
      <c r="N96" s="28"/>
      <c r="O96" s="28" t="s">
        <v>183</v>
      </c>
      <c r="P96" s="29" t="s">
        <v>188</v>
      </c>
      <c r="Q96" s="30">
        <v>0.65</v>
      </c>
    </row>
    <row r="97" spans="1:17" x14ac:dyDescent="0.25">
      <c r="A97" s="26" t="s">
        <v>125</v>
      </c>
      <c r="B97" s="26" t="s">
        <v>317</v>
      </c>
      <c r="C97" s="27">
        <v>43600</v>
      </c>
      <c r="D97" s="28" t="s">
        <v>176</v>
      </c>
      <c r="E97" s="28"/>
      <c r="F97" s="28" t="s">
        <v>320</v>
      </c>
      <c r="G97" s="29" t="s">
        <v>184</v>
      </c>
      <c r="H97" s="30">
        <v>0.6069444444444444</v>
      </c>
      <c r="J97" s="26" t="s">
        <v>341</v>
      </c>
      <c r="K97" s="26" t="s">
        <v>187</v>
      </c>
      <c r="L97" s="27">
        <v>43609</v>
      </c>
      <c r="M97" s="28" t="s">
        <v>176</v>
      </c>
      <c r="N97" s="28"/>
      <c r="O97" s="28" t="s">
        <v>183</v>
      </c>
      <c r="P97" s="29" t="s">
        <v>188</v>
      </c>
      <c r="Q97" s="30">
        <v>0.74861111111111101</v>
      </c>
    </row>
    <row r="98" spans="1:17" x14ac:dyDescent="0.25">
      <c r="A98" s="26" t="s">
        <v>115</v>
      </c>
      <c r="B98" s="26" t="s">
        <v>187</v>
      </c>
      <c r="C98" s="27">
        <v>43600</v>
      </c>
      <c r="D98" s="28" t="s">
        <v>176</v>
      </c>
      <c r="E98" s="28"/>
      <c r="F98" s="28" t="s">
        <v>329</v>
      </c>
      <c r="G98" s="29" t="s">
        <v>188</v>
      </c>
      <c r="H98" s="30">
        <v>0.68194444444444446</v>
      </c>
      <c r="J98" s="26" t="s">
        <v>190</v>
      </c>
      <c r="K98" s="26" t="s">
        <v>182</v>
      </c>
      <c r="L98" s="27">
        <v>43570</v>
      </c>
      <c r="M98" s="28" t="s">
        <v>176</v>
      </c>
      <c r="N98" s="28"/>
      <c r="O98" s="28" t="s">
        <v>325</v>
      </c>
      <c r="P98" s="29" t="s">
        <v>184</v>
      </c>
      <c r="Q98" s="30">
        <v>0.49791666666666662</v>
      </c>
    </row>
    <row r="99" spans="1:17" x14ac:dyDescent="0.25">
      <c r="A99" s="26" t="s">
        <v>261</v>
      </c>
      <c r="B99" s="26" t="s">
        <v>187</v>
      </c>
      <c r="C99" s="27">
        <v>43600</v>
      </c>
      <c r="D99" s="28" t="s">
        <v>176</v>
      </c>
      <c r="E99" s="28"/>
      <c r="F99" s="28" t="s">
        <v>319</v>
      </c>
      <c r="G99" s="29" t="s">
        <v>184</v>
      </c>
      <c r="H99" s="30">
        <v>0.54652777777777783</v>
      </c>
      <c r="J99" s="26" t="s">
        <v>278</v>
      </c>
      <c r="K99" s="26" t="s">
        <v>182</v>
      </c>
      <c r="L99" s="27">
        <v>43608</v>
      </c>
      <c r="M99" s="28" t="s">
        <v>176</v>
      </c>
      <c r="N99" s="28"/>
      <c r="O99" s="28" t="s">
        <v>325</v>
      </c>
      <c r="P99" s="29" t="s">
        <v>188</v>
      </c>
      <c r="Q99" s="30">
        <v>0.69027777777777777</v>
      </c>
    </row>
    <row r="100" spans="1:17" x14ac:dyDescent="0.25">
      <c r="A100" s="26" t="s">
        <v>258</v>
      </c>
      <c r="B100" s="26" t="s">
        <v>187</v>
      </c>
      <c r="C100" s="27">
        <v>43600</v>
      </c>
      <c r="D100" s="28" t="s">
        <v>176</v>
      </c>
      <c r="E100" s="28"/>
      <c r="F100" s="28" t="s">
        <v>318</v>
      </c>
      <c r="G100" s="29" t="s">
        <v>188</v>
      </c>
      <c r="H100" s="30">
        <v>0.67361111111111116</v>
      </c>
      <c r="J100" s="26" t="s">
        <v>276</v>
      </c>
      <c r="K100" s="26" t="s">
        <v>182</v>
      </c>
      <c r="L100" s="27">
        <v>43609</v>
      </c>
      <c r="M100" s="28" t="s">
        <v>176</v>
      </c>
      <c r="N100" s="28"/>
      <c r="O100" s="28" t="s">
        <v>325</v>
      </c>
      <c r="P100" s="29" t="s">
        <v>188</v>
      </c>
      <c r="Q100" s="30">
        <v>0.70277777777777783</v>
      </c>
    </row>
    <row r="101" spans="1:17" x14ac:dyDescent="0.25">
      <c r="A101" s="26" t="s">
        <v>206</v>
      </c>
      <c r="B101" s="26" t="s">
        <v>182</v>
      </c>
      <c r="C101" s="27">
        <v>43600</v>
      </c>
      <c r="D101" s="28" t="s">
        <v>176</v>
      </c>
      <c r="E101" s="28"/>
      <c r="F101" s="28" t="s">
        <v>321</v>
      </c>
      <c r="G101" s="29" t="s">
        <v>188</v>
      </c>
      <c r="H101" s="30">
        <v>0.83611111111111114</v>
      </c>
      <c r="J101" s="26" t="s">
        <v>192</v>
      </c>
      <c r="K101" s="26" t="s">
        <v>182</v>
      </c>
      <c r="L101" s="27">
        <v>43612</v>
      </c>
      <c r="M101" s="28" t="s">
        <v>176</v>
      </c>
      <c r="N101" s="28"/>
      <c r="O101" s="28" t="s">
        <v>325</v>
      </c>
      <c r="P101" s="29" t="s">
        <v>188</v>
      </c>
      <c r="Q101" s="30">
        <v>0.65138888888888891</v>
      </c>
    </row>
    <row r="102" spans="1:17" x14ac:dyDescent="0.25">
      <c r="A102" s="26" t="s">
        <v>152</v>
      </c>
      <c r="B102" s="26" t="s">
        <v>187</v>
      </c>
      <c r="C102" s="27">
        <v>43601</v>
      </c>
      <c r="D102" s="28" t="s">
        <v>176</v>
      </c>
      <c r="E102" s="28"/>
      <c r="F102" s="28" t="s">
        <v>318</v>
      </c>
      <c r="G102" s="29" t="s">
        <v>188</v>
      </c>
      <c r="H102" s="30">
        <v>0.7006944444444444</v>
      </c>
      <c r="J102" s="26" t="s">
        <v>119</v>
      </c>
      <c r="K102" s="26" t="s">
        <v>317</v>
      </c>
      <c r="L102" s="27">
        <v>43580</v>
      </c>
      <c r="M102" s="28" t="s">
        <v>176</v>
      </c>
      <c r="N102" s="28"/>
      <c r="O102" s="28" t="s">
        <v>322</v>
      </c>
      <c r="P102" s="29" t="s">
        <v>188</v>
      </c>
      <c r="Q102" s="30">
        <v>0.67847222222222225</v>
      </c>
    </row>
    <row r="103" spans="1:17" x14ac:dyDescent="0.25">
      <c r="A103" s="26" t="s">
        <v>117</v>
      </c>
      <c r="B103" s="26" t="s">
        <v>182</v>
      </c>
      <c r="C103" s="27">
        <v>43601</v>
      </c>
      <c r="D103" s="28" t="s">
        <v>176</v>
      </c>
      <c r="E103" s="28"/>
      <c r="F103" s="28" t="s">
        <v>322</v>
      </c>
      <c r="G103" s="29" t="s">
        <v>188</v>
      </c>
      <c r="H103" s="30">
        <v>0.6958333333333333</v>
      </c>
      <c r="J103" s="26" t="s">
        <v>208</v>
      </c>
      <c r="K103" s="26" t="s">
        <v>187</v>
      </c>
      <c r="L103" s="27">
        <v>43587</v>
      </c>
      <c r="M103" s="28" t="s">
        <v>176</v>
      </c>
      <c r="N103" s="28"/>
      <c r="O103" s="28" t="s">
        <v>322</v>
      </c>
      <c r="P103" s="29" t="s">
        <v>184</v>
      </c>
      <c r="Q103" s="30">
        <v>0.62291666666666667</v>
      </c>
    </row>
    <row r="104" spans="1:17" x14ac:dyDescent="0.25">
      <c r="A104" s="26" t="s">
        <v>215</v>
      </c>
      <c r="B104" s="26" t="s">
        <v>182</v>
      </c>
      <c r="C104" s="27">
        <v>43601</v>
      </c>
      <c r="D104" s="28" t="s">
        <v>176</v>
      </c>
      <c r="E104" s="28"/>
      <c r="F104" s="28" t="s">
        <v>328</v>
      </c>
      <c r="G104" s="29" t="s">
        <v>188</v>
      </c>
      <c r="H104" s="30">
        <v>0.69305555555555554</v>
      </c>
      <c r="J104" s="26" t="s">
        <v>116</v>
      </c>
      <c r="K104" s="26" t="s">
        <v>182</v>
      </c>
      <c r="L104" s="27">
        <v>43592</v>
      </c>
      <c r="M104" s="28" t="s">
        <v>176</v>
      </c>
      <c r="N104" s="28"/>
      <c r="O104" s="28" t="s">
        <v>322</v>
      </c>
      <c r="P104" s="29" t="s">
        <v>188</v>
      </c>
      <c r="Q104" s="30">
        <v>0.70972222222222225</v>
      </c>
    </row>
    <row r="105" spans="1:17" x14ac:dyDescent="0.25">
      <c r="A105" s="26" t="s">
        <v>252</v>
      </c>
      <c r="B105" s="26" t="s">
        <v>187</v>
      </c>
      <c r="C105" s="27">
        <v>43601</v>
      </c>
      <c r="D105" s="28" t="s">
        <v>176</v>
      </c>
      <c r="E105" s="28"/>
      <c r="F105" s="28" t="s">
        <v>318</v>
      </c>
      <c r="G105" s="29" t="s">
        <v>184</v>
      </c>
      <c r="H105" s="30">
        <v>0.59305555555555556</v>
      </c>
      <c r="J105" s="26" t="s">
        <v>117</v>
      </c>
      <c r="K105" s="26" t="s">
        <v>182</v>
      </c>
      <c r="L105" s="27">
        <v>43601</v>
      </c>
      <c r="M105" s="28" t="s">
        <v>176</v>
      </c>
      <c r="N105" s="28"/>
      <c r="O105" s="28" t="s">
        <v>322</v>
      </c>
      <c r="P105" s="29" t="s">
        <v>188</v>
      </c>
      <c r="Q105" s="30">
        <v>0.6958333333333333</v>
      </c>
    </row>
    <row r="106" spans="1:17" x14ac:dyDescent="0.25">
      <c r="A106" s="26" t="s">
        <v>140</v>
      </c>
      <c r="B106" s="26" t="s">
        <v>187</v>
      </c>
      <c r="C106" s="27">
        <v>43602</v>
      </c>
      <c r="D106" s="28" t="s">
        <v>176</v>
      </c>
      <c r="E106" s="28"/>
      <c r="F106" s="28" t="s">
        <v>316</v>
      </c>
      <c r="G106" s="29" t="s">
        <v>184</v>
      </c>
      <c r="H106" s="30">
        <v>0.59027777777777779</v>
      </c>
      <c r="J106" s="26" t="s">
        <v>280</v>
      </c>
      <c r="K106" s="26" t="s">
        <v>182</v>
      </c>
      <c r="L106" s="27">
        <v>43606</v>
      </c>
      <c r="M106" s="28" t="s">
        <v>176</v>
      </c>
      <c r="N106" s="28"/>
      <c r="O106" s="28" t="s">
        <v>322</v>
      </c>
      <c r="P106" s="29" t="s">
        <v>188</v>
      </c>
      <c r="Q106" s="30">
        <v>0.81319444444444444</v>
      </c>
    </row>
    <row r="107" spans="1:17" x14ac:dyDescent="0.25">
      <c r="A107" s="26" t="s">
        <v>240</v>
      </c>
      <c r="B107" s="26" t="s">
        <v>340</v>
      </c>
      <c r="C107" s="27">
        <v>43602</v>
      </c>
      <c r="D107" s="28" t="s">
        <v>176</v>
      </c>
      <c r="E107" s="28"/>
      <c r="F107" s="28" t="s">
        <v>332</v>
      </c>
      <c r="G107" s="29" t="s">
        <v>188</v>
      </c>
      <c r="H107" s="30">
        <v>0.8256944444444444</v>
      </c>
      <c r="J107" s="26" t="s">
        <v>118</v>
      </c>
      <c r="K107" s="26" t="s">
        <v>187</v>
      </c>
      <c r="L107" s="27">
        <v>43609</v>
      </c>
      <c r="M107" s="28" t="s">
        <v>176</v>
      </c>
      <c r="N107" s="28"/>
      <c r="O107" s="28" t="s">
        <v>322</v>
      </c>
      <c r="P107" s="29" t="s">
        <v>184</v>
      </c>
      <c r="Q107" s="30">
        <v>0.63750000000000007</v>
      </c>
    </row>
    <row r="108" spans="1:17" x14ac:dyDescent="0.25">
      <c r="A108" s="26" t="s">
        <v>260</v>
      </c>
      <c r="B108" s="26" t="s">
        <v>187</v>
      </c>
      <c r="C108" s="27">
        <v>43602</v>
      </c>
      <c r="D108" s="28" t="s">
        <v>176</v>
      </c>
      <c r="E108" s="28"/>
      <c r="F108" s="28" t="s">
        <v>329</v>
      </c>
      <c r="G108" s="29" t="s">
        <v>184</v>
      </c>
      <c r="H108" s="30">
        <v>0.57013888888888886</v>
      </c>
      <c r="J108" s="26" t="s">
        <v>282</v>
      </c>
      <c r="K108" s="26" t="s">
        <v>187</v>
      </c>
      <c r="L108" s="27">
        <v>43615</v>
      </c>
      <c r="M108" s="28" t="s">
        <v>176</v>
      </c>
      <c r="N108" s="28"/>
      <c r="O108" s="28" t="s">
        <v>322</v>
      </c>
      <c r="P108" s="29" t="s">
        <v>188</v>
      </c>
      <c r="Q108" s="30">
        <v>0.81874999999999998</v>
      </c>
    </row>
    <row r="109" spans="1:17" x14ac:dyDescent="0.25">
      <c r="A109" s="26" t="s">
        <v>275</v>
      </c>
      <c r="B109" s="26" t="s">
        <v>187</v>
      </c>
      <c r="C109" s="27">
        <v>43602</v>
      </c>
      <c r="D109" s="28" t="s">
        <v>176</v>
      </c>
      <c r="E109" s="28"/>
      <c r="F109" s="28" t="s">
        <v>320</v>
      </c>
      <c r="G109" s="29" t="s">
        <v>184</v>
      </c>
      <c r="H109" s="30">
        <v>0.61319444444444449</v>
      </c>
      <c r="J109" s="26" t="s">
        <v>283</v>
      </c>
      <c r="K109" s="26" t="s">
        <v>317</v>
      </c>
      <c r="L109" s="27">
        <v>43615</v>
      </c>
      <c r="M109" s="28" t="s">
        <v>176</v>
      </c>
      <c r="N109" s="28"/>
      <c r="O109" s="28" t="s">
        <v>322</v>
      </c>
      <c r="P109" s="29" t="s">
        <v>188</v>
      </c>
      <c r="Q109" s="30">
        <v>0.79375000000000007</v>
      </c>
    </row>
    <row r="110" spans="1:17" x14ac:dyDescent="0.25">
      <c r="A110" s="26" t="s">
        <v>269</v>
      </c>
      <c r="B110" s="26" t="s">
        <v>187</v>
      </c>
      <c r="C110" s="27">
        <v>43602</v>
      </c>
      <c r="D110" s="28" t="s">
        <v>176</v>
      </c>
      <c r="E110" s="28"/>
      <c r="F110" s="28" t="s">
        <v>337</v>
      </c>
      <c r="G110" s="29" t="s">
        <v>184</v>
      </c>
      <c r="H110" s="30">
        <v>0.625</v>
      </c>
      <c r="J110" s="26" t="s">
        <v>272</v>
      </c>
      <c r="K110" s="26" t="s">
        <v>182</v>
      </c>
      <c r="L110" s="27">
        <v>43613</v>
      </c>
      <c r="M110" s="28" t="s">
        <v>176</v>
      </c>
      <c r="N110" s="28"/>
      <c r="O110" s="28" t="s">
        <v>344</v>
      </c>
      <c r="P110" s="29" t="s">
        <v>188</v>
      </c>
      <c r="Q110" s="30">
        <v>0.71736111111111101</v>
      </c>
    </row>
    <row r="111" spans="1:17" x14ac:dyDescent="0.25">
      <c r="A111" s="26" t="s">
        <v>158</v>
      </c>
      <c r="B111" s="26" t="s">
        <v>187</v>
      </c>
      <c r="C111" s="27">
        <v>43602</v>
      </c>
      <c r="D111" s="28" t="s">
        <v>176</v>
      </c>
      <c r="E111" s="28"/>
      <c r="F111" s="28" t="s">
        <v>331</v>
      </c>
      <c r="G111" s="29" t="s">
        <v>184</v>
      </c>
      <c r="H111" s="30">
        <v>0.52916666666666667</v>
      </c>
      <c r="J111" s="26" t="s">
        <v>284</v>
      </c>
      <c r="K111" s="26" t="s">
        <v>182</v>
      </c>
      <c r="L111" s="27">
        <v>43615</v>
      </c>
      <c r="M111" s="28" t="s">
        <v>176</v>
      </c>
      <c r="N111" s="28"/>
      <c r="O111" s="28" t="s">
        <v>344</v>
      </c>
      <c r="P111" s="29" t="s">
        <v>188</v>
      </c>
      <c r="Q111" s="30">
        <v>0.82708333333333339</v>
      </c>
    </row>
    <row r="112" spans="1:17" x14ac:dyDescent="0.25">
      <c r="A112" s="26" t="s">
        <v>288</v>
      </c>
      <c r="B112" s="26" t="s">
        <v>182</v>
      </c>
      <c r="C112" s="27">
        <v>43602</v>
      </c>
      <c r="D112" s="28" t="s">
        <v>176</v>
      </c>
      <c r="E112" s="28"/>
      <c r="F112" s="28" t="s">
        <v>330</v>
      </c>
      <c r="G112" s="29" t="s">
        <v>184</v>
      </c>
      <c r="H112" s="30">
        <v>0.53680555555555554</v>
      </c>
      <c r="J112" s="26" t="s">
        <v>198</v>
      </c>
      <c r="K112" s="26" t="s">
        <v>187</v>
      </c>
      <c r="L112" s="27">
        <v>43573</v>
      </c>
      <c r="M112" s="28" t="s">
        <v>176</v>
      </c>
      <c r="N112" s="28"/>
      <c r="O112" s="28" t="s">
        <v>329</v>
      </c>
      <c r="P112" s="29" t="s">
        <v>188</v>
      </c>
      <c r="Q112" s="30">
        <v>0.76111111111111107</v>
      </c>
    </row>
    <row r="113" spans="1:17" x14ac:dyDescent="0.25">
      <c r="A113" s="26" t="s">
        <v>204</v>
      </c>
      <c r="B113" s="26" t="s">
        <v>187</v>
      </c>
      <c r="C113" s="27">
        <v>43602</v>
      </c>
      <c r="D113" s="28" t="s">
        <v>176</v>
      </c>
      <c r="E113" s="28"/>
      <c r="F113" s="28" t="s">
        <v>321</v>
      </c>
      <c r="G113" s="29" t="s">
        <v>188</v>
      </c>
      <c r="H113" s="30">
        <v>0.72777777777777775</v>
      </c>
      <c r="J113" s="26" t="s">
        <v>268</v>
      </c>
      <c r="K113" s="26" t="s">
        <v>182</v>
      </c>
      <c r="L113" s="27">
        <v>43584</v>
      </c>
      <c r="M113" s="28" t="s">
        <v>176</v>
      </c>
      <c r="N113" s="28"/>
      <c r="O113" s="28" t="s">
        <v>329</v>
      </c>
      <c r="P113" s="29" t="s">
        <v>188</v>
      </c>
      <c r="Q113" s="30">
        <v>0.75277777777777777</v>
      </c>
    </row>
    <row r="114" spans="1:17" x14ac:dyDescent="0.25">
      <c r="A114" s="26" t="s">
        <v>216</v>
      </c>
      <c r="B114" s="26" t="s">
        <v>187</v>
      </c>
      <c r="C114" s="27">
        <v>43603</v>
      </c>
      <c r="D114" s="28" t="s">
        <v>176</v>
      </c>
      <c r="E114" s="28"/>
      <c r="F114" s="28" t="s">
        <v>217</v>
      </c>
      <c r="G114" s="29" t="s">
        <v>184</v>
      </c>
      <c r="H114" s="30">
        <v>0.55555555555555558</v>
      </c>
      <c r="J114" s="26" t="s">
        <v>248</v>
      </c>
      <c r="K114" s="26" t="s">
        <v>187</v>
      </c>
      <c r="L114" s="27">
        <v>43591</v>
      </c>
      <c r="M114" s="28" t="s">
        <v>176</v>
      </c>
      <c r="N114" s="28"/>
      <c r="O114" s="28" t="s">
        <v>329</v>
      </c>
      <c r="P114" s="29" t="s">
        <v>188</v>
      </c>
      <c r="Q114" s="30">
        <v>0.83263888888888893</v>
      </c>
    </row>
    <row r="115" spans="1:17" x14ac:dyDescent="0.25">
      <c r="A115" s="26" t="s">
        <v>209</v>
      </c>
      <c r="B115" s="26" t="s">
        <v>187</v>
      </c>
      <c r="C115" s="27">
        <v>43605</v>
      </c>
      <c r="D115" s="28" t="s">
        <v>176</v>
      </c>
      <c r="E115" s="28"/>
      <c r="F115" s="28" t="s">
        <v>321</v>
      </c>
      <c r="G115" s="29" t="s">
        <v>188</v>
      </c>
      <c r="H115" s="30">
        <v>0.85069444444444453</v>
      </c>
      <c r="J115" s="26" t="s">
        <v>286</v>
      </c>
      <c r="K115" s="26" t="s">
        <v>187</v>
      </c>
      <c r="L115" s="27">
        <v>43598</v>
      </c>
      <c r="M115" s="28" t="s">
        <v>176</v>
      </c>
      <c r="N115" s="28"/>
      <c r="O115" s="28" t="s">
        <v>329</v>
      </c>
      <c r="P115" s="29" t="s">
        <v>188</v>
      </c>
      <c r="Q115" s="30">
        <v>0.83333333333333337</v>
      </c>
    </row>
    <row r="116" spans="1:17" x14ac:dyDescent="0.25">
      <c r="A116" s="26" t="s">
        <v>306</v>
      </c>
      <c r="B116" s="26" t="s">
        <v>187</v>
      </c>
      <c r="C116" s="27">
        <v>43605</v>
      </c>
      <c r="D116" s="28" t="s">
        <v>176</v>
      </c>
      <c r="E116" s="28"/>
      <c r="F116" s="28" t="s">
        <v>319</v>
      </c>
      <c r="G116" s="29" t="s">
        <v>188</v>
      </c>
      <c r="H116" s="30">
        <v>0.64930555555555558</v>
      </c>
      <c r="J116" s="26" t="s">
        <v>115</v>
      </c>
      <c r="K116" s="26" t="s">
        <v>187</v>
      </c>
      <c r="L116" s="27">
        <v>43600</v>
      </c>
      <c r="M116" s="28" t="s">
        <v>176</v>
      </c>
      <c r="N116" s="28"/>
      <c r="O116" s="28" t="s">
        <v>329</v>
      </c>
      <c r="P116" s="29" t="s">
        <v>188</v>
      </c>
      <c r="Q116" s="30">
        <v>0.68194444444444446</v>
      </c>
    </row>
    <row r="117" spans="1:17" x14ac:dyDescent="0.25">
      <c r="A117" s="26" t="s">
        <v>156</v>
      </c>
      <c r="B117" s="26" t="s">
        <v>187</v>
      </c>
      <c r="C117" s="27">
        <v>43605</v>
      </c>
      <c r="D117" s="28" t="s">
        <v>176</v>
      </c>
      <c r="E117" s="28"/>
      <c r="F117" s="28" t="s">
        <v>320</v>
      </c>
      <c r="G117" s="29" t="s">
        <v>188</v>
      </c>
      <c r="H117" s="30">
        <v>0.67569444444444438</v>
      </c>
      <c r="J117" s="26" t="s">
        <v>260</v>
      </c>
      <c r="K117" s="26" t="s">
        <v>187</v>
      </c>
      <c r="L117" s="27">
        <v>43602</v>
      </c>
      <c r="M117" s="28" t="s">
        <v>176</v>
      </c>
      <c r="N117" s="28"/>
      <c r="O117" s="28" t="s">
        <v>329</v>
      </c>
      <c r="P117" s="29" t="s">
        <v>184</v>
      </c>
      <c r="Q117" s="30">
        <v>0.57013888888888886</v>
      </c>
    </row>
    <row r="118" spans="1:17" x14ac:dyDescent="0.25">
      <c r="A118" s="26" t="s">
        <v>151</v>
      </c>
      <c r="B118" s="26" t="s">
        <v>187</v>
      </c>
      <c r="C118" s="27">
        <v>43605</v>
      </c>
      <c r="D118" s="28" t="s">
        <v>176</v>
      </c>
      <c r="E118" s="28"/>
      <c r="F118" s="28" t="s">
        <v>316</v>
      </c>
      <c r="G118" s="29" t="s">
        <v>188</v>
      </c>
      <c r="H118" s="30">
        <v>0.67083333333333339</v>
      </c>
      <c r="J118" s="26" t="s">
        <v>167</v>
      </c>
      <c r="K118" s="26" t="s">
        <v>187</v>
      </c>
      <c r="L118" s="27">
        <v>43605</v>
      </c>
      <c r="M118" s="28" t="s">
        <v>176</v>
      </c>
      <c r="N118" s="28"/>
      <c r="O118" s="28" t="s">
        <v>329</v>
      </c>
      <c r="P118" s="29" t="s">
        <v>188</v>
      </c>
      <c r="Q118" s="30">
        <v>0.71180555555555547</v>
      </c>
    </row>
    <row r="119" spans="1:17" x14ac:dyDescent="0.25">
      <c r="A119" s="26" t="s">
        <v>150</v>
      </c>
      <c r="B119" s="26" t="s">
        <v>187</v>
      </c>
      <c r="C119" s="27">
        <v>43605</v>
      </c>
      <c r="D119" s="28" t="s">
        <v>176</v>
      </c>
      <c r="E119" s="28"/>
      <c r="F119" s="28" t="s">
        <v>316</v>
      </c>
      <c r="G119" s="29" t="s">
        <v>188</v>
      </c>
      <c r="H119" s="30">
        <v>0.6645833333333333</v>
      </c>
      <c r="J119" s="26" t="s">
        <v>168</v>
      </c>
      <c r="K119" s="26" t="s">
        <v>182</v>
      </c>
      <c r="L119" s="27">
        <v>43605</v>
      </c>
      <c r="M119" s="28" t="s">
        <v>176</v>
      </c>
      <c r="N119" s="28"/>
      <c r="O119" s="28" t="s">
        <v>329</v>
      </c>
      <c r="P119" s="29" t="s">
        <v>188</v>
      </c>
      <c r="Q119" s="30">
        <v>0.7270833333333333</v>
      </c>
    </row>
    <row r="120" spans="1:17" x14ac:dyDescent="0.25">
      <c r="A120" s="26" t="s">
        <v>167</v>
      </c>
      <c r="B120" s="26" t="s">
        <v>187</v>
      </c>
      <c r="C120" s="27">
        <v>43605</v>
      </c>
      <c r="D120" s="28" t="s">
        <v>176</v>
      </c>
      <c r="E120" s="28"/>
      <c r="F120" s="28" t="s">
        <v>329</v>
      </c>
      <c r="G120" s="29" t="s">
        <v>188</v>
      </c>
      <c r="H120" s="30">
        <v>0.71180555555555547</v>
      </c>
      <c r="J120" s="26" t="s">
        <v>289</v>
      </c>
      <c r="K120" s="26" t="s">
        <v>187</v>
      </c>
      <c r="L120" s="27">
        <v>43608</v>
      </c>
      <c r="M120" s="28" t="s">
        <v>176</v>
      </c>
      <c r="N120" s="28"/>
      <c r="O120" s="28" t="s">
        <v>329</v>
      </c>
      <c r="P120" s="29" t="s">
        <v>188</v>
      </c>
      <c r="Q120" s="30">
        <v>0.71944444444444444</v>
      </c>
    </row>
    <row r="121" spans="1:17" x14ac:dyDescent="0.25">
      <c r="A121" s="26" t="s">
        <v>168</v>
      </c>
      <c r="B121" s="26" t="s">
        <v>182</v>
      </c>
      <c r="C121" s="27">
        <v>43605</v>
      </c>
      <c r="D121" s="28" t="s">
        <v>176</v>
      </c>
      <c r="E121" s="28"/>
      <c r="F121" s="28" t="s">
        <v>329</v>
      </c>
      <c r="G121" s="29" t="s">
        <v>188</v>
      </c>
      <c r="H121" s="30">
        <v>0.7270833333333333</v>
      </c>
      <c r="J121" s="26" t="s">
        <v>144</v>
      </c>
      <c r="K121" s="26" t="s">
        <v>187</v>
      </c>
      <c r="L121" s="27">
        <v>43612</v>
      </c>
      <c r="M121" s="28" t="s">
        <v>176</v>
      </c>
      <c r="N121" s="28"/>
      <c r="O121" s="28" t="s">
        <v>329</v>
      </c>
      <c r="P121" s="29" t="s">
        <v>188</v>
      </c>
      <c r="Q121" s="30">
        <v>0.67222222222222217</v>
      </c>
    </row>
    <row r="122" spans="1:17" x14ac:dyDescent="0.25">
      <c r="A122" s="26" t="s">
        <v>253</v>
      </c>
      <c r="B122" s="26" t="s">
        <v>182</v>
      </c>
      <c r="C122" s="27">
        <v>43606</v>
      </c>
      <c r="D122" s="28" t="s">
        <v>176</v>
      </c>
      <c r="E122" s="28"/>
      <c r="F122" s="28" t="s">
        <v>318</v>
      </c>
      <c r="G122" s="29" t="s">
        <v>188</v>
      </c>
      <c r="H122" s="30">
        <v>0.74236111111111114</v>
      </c>
      <c r="J122" s="26" t="s">
        <v>114</v>
      </c>
      <c r="K122" s="26" t="s">
        <v>182</v>
      </c>
      <c r="L122" s="27">
        <v>43612</v>
      </c>
      <c r="M122" s="28" t="s">
        <v>176</v>
      </c>
      <c r="N122" s="28"/>
      <c r="O122" s="28" t="s">
        <v>329</v>
      </c>
      <c r="P122" s="29" t="s">
        <v>188</v>
      </c>
      <c r="Q122" s="30">
        <v>0.75624999999999998</v>
      </c>
    </row>
    <row r="123" spans="1:17" x14ac:dyDescent="0.25">
      <c r="A123" s="26" t="s">
        <v>165</v>
      </c>
      <c r="B123" s="26" t="s">
        <v>182</v>
      </c>
      <c r="C123" s="27">
        <v>43606</v>
      </c>
      <c r="D123" s="28" t="s">
        <v>176</v>
      </c>
      <c r="E123" s="28"/>
      <c r="F123" s="28" t="s">
        <v>183</v>
      </c>
      <c r="G123" s="29" t="s">
        <v>188</v>
      </c>
      <c r="H123" s="30">
        <v>0.65</v>
      </c>
      <c r="J123" s="26" t="s">
        <v>145</v>
      </c>
      <c r="K123" s="26" t="s">
        <v>187</v>
      </c>
      <c r="L123" s="27">
        <v>43615</v>
      </c>
      <c r="M123" s="28" t="s">
        <v>176</v>
      </c>
      <c r="N123" s="28"/>
      <c r="O123" s="28" t="s">
        <v>329</v>
      </c>
      <c r="P123" s="29" t="s">
        <v>188</v>
      </c>
      <c r="Q123" s="30">
        <v>0.71875</v>
      </c>
    </row>
    <row r="124" spans="1:17" x14ac:dyDescent="0.25">
      <c r="A124" s="26" t="s">
        <v>280</v>
      </c>
      <c r="B124" s="26" t="s">
        <v>182</v>
      </c>
      <c r="C124" s="27">
        <v>43606</v>
      </c>
      <c r="D124" s="28" t="s">
        <v>176</v>
      </c>
      <c r="E124" s="28"/>
      <c r="F124" s="28" t="s">
        <v>322</v>
      </c>
      <c r="G124" s="29" t="s">
        <v>188</v>
      </c>
      <c r="H124" s="30">
        <v>0.81319444444444444</v>
      </c>
      <c r="J124" s="26" t="s">
        <v>290</v>
      </c>
      <c r="K124" s="26" t="s">
        <v>187</v>
      </c>
      <c r="L124" s="27">
        <v>43578</v>
      </c>
      <c r="M124" s="28" t="s">
        <v>176</v>
      </c>
      <c r="N124" s="28"/>
      <c r="O124" s="28" t="s">
        <v>319</v>
      </c>
      <c r="P124" s="29" t="s">
        <v>184</v>
      </c>
      <c r="Q124" s="30">
        <v>0.55763888888888891</v>
      </c>
    </row>
    <row r="125" spans="1:17" x14ac:dyDescent="0.25">
      <c r="A125" s="26" t="s">
        <v>263</v>
      </c>
      <c r="B125" s="26" t="s">
        <v>182</v>
      </c>
      <c r="C125" s="27">
        <v>43606</v>
      </c>
      <c r="D125" s="28" t="s">
        <v>176</v>
      </c>
      <c r="E125" s="28"/>
      <c r="F125" s="28" t="s">
        <v>318</v>
      </c>
      <c r="G125" s="29" t="s">
        <v>188</v>
      </c>
      <c r="H125" s="30">
        <v>0.95347222222222217</v>
      </c>
      <c r="J125" s="26" t="s">
        <v>220</v>
      </c>
      <c r="K125" s="26" t="s">
        <v>187</v>
      </c>
      <c r="L125" s="27">
        <v>43579</v>
      </c>
      <c r="M125" s="28" t="s">
        <v>176</v>
      </c>
      <c r="N125" s="28"/>
      <c r="O125" s="28" t="s">
        <v>319</v>
      </c>
      <c r="P125" s="29" t="s">
        <v>188</v>
      </c>
      <c r="Q125" s="30">
        <v>0.82638888888888884</v>
      </c>
    </row>
    <row r="126" spans="1:17" x14ac:dyDescent="0.25">
      <c r="A126" s="26" t="s">
        <v>154</v>
      </c>
      <c r="B126" s="26" t="s">
        <v>187</v>
      </c>
      <c r="C126" s="27">
        <v>43606</v>
      </c>
      <c r="D126" s="28" t="s">
        <v>176</v>
      </c>
      <c r="E126" s="28"/>
      <c r="F126" s="28" t="s">
        <v>342</v>
      </c>
      <c r="G126" s="29" t="s">
        <v>188</v>
      </c>
      <c r="H126" s="30">
        <v>0.81874999999999998</v>
      </c>
      <c r="J126" s="26" t="s">
        <v>314</v>
      </c>
      <c r="K126" s="26" t="s">
        <v>182</v>
      </c>
      <c r="L126" s="27">
        <v>43580</v>
      </c>
      <c r="M126" s="28" t="s">
        <v>176</v>
      </c>
      <c r="N126" s="28"/>
      <c r="O126" s="28" t="s">
        <v>319</v>
      </c>
      <c r="P126" s="29" t="s">
        <v>188</v>
      </c>
      <c r="Q126" s="30">
        <v>0.65451388888888895</v>
      </c>
    </row>
    <row r="127" spans="1:17" x14ac:dyDescent="0.25">
      <c r="A127" s="26" t="s">
        <v>197</v>
      </c>
      <c r="B127" s="26" t="s">
        <v>187</v>
      </c>
      <c r="C127" s="27">
        <v>43606</v>
      </c>
      <c r="D127" s="28" t="s">
        <v>176</v>
      </c>
      <c r="E127" s="28"/>
      <c r="F127" s="28" t="s">
        <v>316</v>
      </c>
      <c r="G127" s="29" t="s">
        <v>184</v>
      </c>
      <c r="H127" s="30">
        <v>0.53611111111111109</v>
      </c>
      <c r="J127" s="26" t="s">
        <v>302</v>
      </c>
      <c r="K127" s="26" t="s">
        <v>187</v>
      </c>
      <c r="L127" s="27">
        <v>43585</v>
      </c>
      <c r="M127" s="28" t="s">
        <v>176</v>
      </c>
      <c r="N127" s="28"/>
      <c r="O127" s="28" t="s">
        <v>319</v>
      </c>
      <c r="P127" s="29" t="s">
        <v>188</v>
      </c>
      <c r="Q127" s="30">
        <v>0.71736111111111101</v>
      </c>
    </row>
    <row r="128" spans="1:17" x14ac:dyDescent="0.25">
      <c r="A128" s="26" t="s">
        <v>237</v>
      </c>
      <c r="B128" s="26" t="s">
        <v>182</v>
      </c>
      <c r="C128" s="27">
        <v>43607</v>
      </c>
      <c r="D128" s="28" t="s">
        <v>176</v>
      </c>
      <c r="E128" s="28"/>
      <c r="F128" s="28" t="s">
        <v>217</v>
      </c>
      <c r="G128" s="29" t="s">
        <v>184</v>
      </c>
      <c r="H128" s="30">
        <v>0.54791666666666672</v>
      </c>
      <c r="J128" s="26" t="s">
        <v>294</v>
      </c>
      <c r="K128" s="26" t="s">
        <v>187</v>
      </c>
      <c r="L128" s="27">
        <v>43586</v>
      </c>
      <c r="M128" s="28" t="s">
        <v>176</v>
      </c>
      <c r="N128" s="28"/>
      <c r="O128" s="28" t="s">
        <v>319</v>
      </c>
      <c r="P128" s="29" t="s">
        <v>188</v>
      </c>
      <c r="Q128" s="30">
        <v>0.80694444444444446</v>
      </c>
    </row>
    <row r="129" spans="1:17" x14ac:dyDescent="0.25">
      <c r="A129" s="26" t="s">
        <v>111</v>
      </c>
      <c r="B129" s="26" t="s">
        <v>187</v>
      </c>
      <c r="C129" s="27">
        <v>43607</v>
      </c>
      <c r="D129" s="28" t="s">
        <v>176</v>
      </c>
      <c r="E129" s="28"/>
      <c r="F129" s="28" t="s">
        <v>186</v>
      </c>
      <c r="G129" s="29" t="s">
        <v>184</v>
      </c>
      <c r="H129" s="30">
        <v>0.60277777777777775</v>
      </c>
      <c r="J129" s="26" t="s">
        <v>135</v>
      </c>
      <c r="K129" s="26" t="s">
        <v>187</v>
      </c>
      <c r="L129" s="27">
        <v>43587</v>
      </c>
      <c r="M129" s="28" t="s">
        <v>176</v>
      </c>
      <c r="N129" s="28"/>
      <c r="O129" s="28" t="s">
        <v>319</v>
      </c>
      <c r="P129" s="29" t="s">
        <v>184</v>
      </c>
      <c r="Q129" s="30">
        <v>0.61041666666666672</v>
      </c>
    </row>
    <row r="130" spans="1:17" x14ac:dyDescent="0.25">
      <c r="A130" s="26" t="s">
        <v>266</v>
      </c>
      <c r="B130" s="26" t="s">
        <v>187</v>
      </c>
      <c r="C130" s="27">
        <v>43607</v>
      </c>
      <c r="D130" s="28" t="s">
        <v>176</v>
      </c>
      <c r="E130" s="28"/>
      <c r="F130" s="28" t="s">
        <v>337</v>
      </c>
      <c r="G130" s="29" t="s">
        <v>188</v>
      </c>
      <c r="H130" s="30">
        <v>0.7715277777777777</v>
      </c>
      <c r="J130" s="26" t="s">
        <v>287</v>
      </c>
      <c r="K130" s="26" t="s">
        <v>182</v>
      </c>
      <c r="L130" s="27">
        <v>43591</v>
      </c>
      <c r="M130" s="28" t="s">
        <v>176</v>
      </c>
      <c r="N130" s="28"/>
      <c r="O130" s="28" t="s">
        <v>319</v>
      </c>
      <c r="P130" s="29" t="s">
        <v>188</v>
      </c>
      <c r="Q130" s="30">
        <v>0.66805555555555562</v>
      </c>
    </row>
    <row r="131" spans="1:17" x14ac:dyDescent="0.25">
      <c r="A131" s="26" t="s">
        <v>236</v>
      </c>
      <c r="B131" s="26" t="s">
        <v>187</v>
      </c>
      <c r="C131" s="27">
        <v>43607</v>
      </c>
      <c r="D131" s="28" t="s">
        <v>176</v>
      </c>
      <c r="E131" s="28"/>
      <c r="F131" s="28" t="s">
        <v>319</v>
      </c>
      <c r="G131" s="29" t="s">
        <v>184</v>
      </c>
      <c r="H131" s="30">
        <v>0.51666666666666672</v>
      </c>
      <c r="J131" s="26" t="s">
        <v>277</v>
      </c>
      <c r="K131" s="26" t="s">
        <v>182</v>
      </c>
      <c r="L131" s="27">
        <v>43593</v>
      </c>
      <c r="M131" s="28" t="s">
        <v>176</v>
      </c>
      <c r="N131" s="28"/>
      <c r="O131" s="28" t="s">
        <v>319</v>
      </c>
      <c r="P131" s="29" t="s">
        <v>188</v>
      </c>
      <c r="Q131" s="30">
        <v>0.66666666666666663</v>
      </c>
    </row>
    <row r="132" spans="1:17" x14ac:dyDescent="0.25">
      <c r="A132" s="26" t="s">
        <v>171</v>
      </c>
      <c r="B132" s="26" t="s">
        <v>187</v>
      </c>
      <c r="C132" s="27">
        <v>43607</v>
      </c>
      <c r="D132" s="28" t="s">
        <v>176</v>
      </c>
      <c r="E132" s="28"/>
      <c r="F132" s="28" t="s">
        <v>320</v>
      </c>
      <c r="G132" s="29" t="s">
        <v>184</v>
      </c>
      <c r="H132" s="30">
        <v>0.61875000000000002</v>
      </c>
      <c r="J132" s="26" t="s">
        <v>257</v>
      </c>
      <c r="K132" s="26" t="s">
        <v>187</v>
      </c>
      <c r="L132" s="27">
        <v>43594</v>
      </c>
      <c r="M132" s="28" t="s">
        <v>176</v>
      </c>
      <c r="N132" s="28"/>
      <c r="O132" s="28" t="s">
        <v>319</v>
      </c>
      <c r="P132" s="29" t="s">
        <v>188</v>
      </c>
      <c r="Q132" s="30">
        <v>0.7583333333333333</v>
      </c>
    </row>
    <row r="133" spans="1:17" x14ac:dyDescent="0.25">
      <c r="A133" s="26" t="s">
        <v>143</v>
      </c>
      <c r="B133" s="26" t="s">
        <v>343</v>
      </c>
      <c r="C133" s="27">
        <v>43607</v>
      </c>
      <c r="D133" s="28" t="s">
        <v>176</v>
      </c>
      <c r="E133" s="28"/>
      <c r="F133" s="28" t="s">
        <v>328</v>
      </c>
      <c r="G133" s="29" t="s">
        <v>188</v>
      </c>
      <c r="H133" s="30">
        <v>0.7416666666666667</v>
      </c>
      <c r="J133" s="26" t="s">
        <v>214</v>
      </c>
      <c r="K133" s="26" t="s">
        <v>187</v>
      </c>
      <c r="L133" s="27">
        <v>43594</v>
      </c>
      <c r="M133" s="28" t="s">
        <v>176</v>
      </c>
      <c r="N133" s="28"/>
      <c r="O133" s="28" t="s">
        <v>319</v>
      </c>
      <c r="P133" s="29" t="s">
        <v>184</v>
      </c>
      <c r="Q133" s="30">
        <v>0.59791666666666665</v>
      </c>
    </row>
    <row r="134" spans="1:17" x14ac:dyDescent="0.25">
      <c r="A134" s="26" t="s">
        <v>289</v>
      </c>
      <c r="B134" s="26" t="s">
        <v>187</v>
      </c>
      <c r="C134" s="27">
        <v>43608</v>
      </c>
      <c r="D134" s="28" t="s">
        <v>176</v>
      </c>
      <c r="E134" s="28"/>
      <c r="F134" s="28" t="s">
        <v>329</v>
      </c>
      <c r="G134" s="29" t="s">
        <v>188</v>
      </c>
      <c r="H134" s="30">
        <v>0.71944444444444444</v>
      </c>
      <c r="J134" s="26" t="s">
        <v>230</v>
      </c>
      <c r="K134" s="26" t="s">
        <v>187</v>
      </c>
      <c r="L134" s="27">
        <v>43595</v>
      </c>
      <c r="M134" s="28" t="s">
        <v>176</v>
      </c>
      <c r="N134" s="28"/>
      <c r="O134" s="28" t="s">
        <v>319</v>
      </c>
      <c r="P134" s="29" t="s">
        <v>184</v>
      </c>
      <c r="Q134" s="30">
        <v>0.55972222222222223</v>
      </c>
    </row>
    <row r="135" spans="1:17" x14ac:dyDescent="0.25">
      <c r="A135" s="26" t="s">
        <v>278</v>
      </c>
      <c r="B135" s="26" t="s">
        <v>182</v>
      </c>
      <c r="C135" s="27">
        <v>43608</v>
      </c>
      <c r="D135" s="28" t="s">
        <v>176</v>
      </c>
      <c r="E135" s="28"/>
      <c r="F135" s="28" t="s">
        <v>325</v>
      </c>
      <c r="G135" s="29" t="s">
        <v>188</v>
      </c>
      <c r="H135" s="30">
        <v>0.69027777777777777</v>
      </c>
      <c r="J135" s="26" t="s">
        <v>200</v>
      </c>
      <c r="K135" s="26" t="s">
        <v>317</v>
      </c>
      <c r="L135" s="27">
        <v>43595</v>
      </c>
      <c r="M135" s="28" t="s">
        <v>176</v>
      </c>
      <c r="N135" s="28"/>
      <c r="O135" s="28" t="s">
        <v>319</v>
      </c>
      <c r="P135" s="29" t="s">
        <v>184</v>
      </c>
      <c r="Q135" s="30">
        <v>0.57222222222222219</v>
      </c>
    </row>
    <row r="136" spans="1:17" x14ac:dyDescent="0.25">
      <c r="A136" s="26" t="s">
        <v>149</v>
      </c>
      <c r="B136" s="26" t="s">
        <v>317</v>
      </c>
      <c r="C136" s="27">
        <v>43609</v>
      </c>
      <c r="D136" s="28" t="s">
        <v>176</v>
      </c>
      <c r="E136" s="28"/>
      <c r="F136" s="28" t="s">
        <v>316</v>
      </c>
      <c r="G136" s="29" t="s">
        <v>184</v>
      </c>
      <c r="H136" s="30">
        <v>0.63888888888888895</v>
      </c>
      <c r="J136" s="26" t="s">
        <v>305</v>
      </c>
      <c r="K136" s="26" t="s">
        <v>187</v>
      </c>
      <c r="L136" s="27">
        <v>43598</v>
      </c>
      <c r="M136" s="28" t="s">
        <v>176</v>
      </c>
      <c r="N136" s="28"/>
      <c r="O136" s="28" t="s">
        <v>319</v>
      </c>
      <c r="P136" s="29" t="s">
        <v>188</v>
      </c>
      <c r="Q136" s="30">
        <v>0.68194444444444446</v>
      </c>
    </row>
    <row r="137" spans="1:17" x14ac:dyDescent="0.25">
      <c r="A137" s="26" t="s">
        <v>341</v>
      </c>
      <c r="B137" s="26" t="s">
        <v>187</v>
      </c>
      <c r="C137" s="27">
        <v>43609</v>
      </c>
      <c r="D137" s="28" t="s">
        <v>176</v>
      </c>
      <c r="E137" s="28"/>
      <c r="F137" s="28" t="s">
        <v>183</v>
      </c>
      <c r="G137" s="29" t="s">
        <v>188</v>
      </c>
      <c r="H137" s="30">
        <v>0.74861111111111101</v>
      </c>
      <c r="J137" s="26" t="s">
        <v>212</v>
      </c>
      <c r="K137" s="26" t="s">
        <v>336</v>
      </c>
      <c r="L137" s="27">
        <v>43598</v>
      </c>
      <c r="M137" s="28" t="s">
        <v>176</v>
      </c>
      <c r="N137" s="28"/>
      <c r="O137" s="28" t="s">
        <v>319</v>
      </c>
      <c r="P137" s="29" t="s">
        <v>188</v>
      </c>
      <c r="Q137" s="30">
        <v>0.87986111111111109</v>
      </c>
    </row>
    <row r="138" spans="1:17" x14ac:dyDescent="0.25">
      <c r="A138" s="26" t="s">
        <v>299</v>
      </c>
      <c r="B138" s="26" t="s">
        <v>187</v>
      </c>
      <c r="C138" s="27">
        <v>43609</v>
      </c>
      <c r="D138" s="28" t="s">
        <v>176</v>
      </c>
      <c r="E138" s="28"/>
      <c r="F138" s="28" t="s">
        <v>319</v>
      </c>
      <c r="G138" s="29" t="s">
        <v>188</v>
      </c>
      <c r="H138" s="30">
        <v>0.68333333333333324</v>
      </c>
      <c r="J138" s="26" t="s">
        <v>228</v>
      </c>
      <c r="K138" s="26" t="s">
        <v>187</v>
      </c>
      <c r="L138" s="27">
        <v>43599</v>
      </c>
      <c r="M138" s="28" t="s">
        <v>176</v>
      </c>
      <c r="N138" s="28"/>
      <c r="O138" s="28" t="s">
        <v>319</v>
      </c>
      <c r="P138" s="29" t="s">
        <v>188</v>
      </c>
      <c r="Q138" s="30">
        <v>0.7631944444444444</v>
      </c>
    </row>
    <row r="139" spans="1:17" x14ac:dyDescent="0.25">
      <c r="A139" s="26" t="s">
        <v>243</v>
      </c>
      <c r="B139" s="26" t="s">
        <v>187</v>
      </c>
      <c r="C139" s="27">
        <v>43609</v>
      </c>
      <c r="D139" s="28" t="s">
        <v>176</v>
      </c>
      <c r="E139" s="28"/>
      <c r="F139" s="28" t="s">
        <v>335</v>
      </c>
      <c r="G139" s="29" t="s">
        <v>184</v>
      </c>
      <c r="H139" s="30">
        <v>0.61875000000000002</v>
      </c>
      <c r="J139" s="26" t="s">
        <v>261</v>
      </c>
      <c r="K139" s="26" t="s">
        <v>187</v>
      </c>
      <c r="L139" s="27">
        <v>43600</v>
      </c>
      <c r="M139" s="28" t="s">
        <v>176</v>
      </c>
      <c r="N139" s="28"/>
      <c r="O139" s="28" t="s">
        <v>319</v>
      </c>
      <c r="P139" s="29" t="s">
        <v>184</v>
      </c>
      <c r="Q139" s="30">
        <v>0.54652777777777783</v>
      </c>
    </row>
    <row r="140" spans="1:17" x14ac:dyDescent="0.25">
      <c r="A140" s="26" t="s">
        <v>107</v>
      </c>
      <c r="B140" s="26" t="s">
        <v>187</v>
      </c>
      <c r="C140" s="27">
        <v>43609</v>
      </c>
      <c r="D140" s="28" t="s">
        <v>176</v>
      </c>
      <c r="E140" s="28"/>
      <c r="F140" s="28" t="s">
        <v>318</v>
      </c>
      <c r="G140" s="29" t="s">
        <v>184</v>
      </c>
      <c r="H140" s="30">
        <v>0.57152777777777775</v>
      </c>
      <c r="J140" s="26" t="s">
        <v>306</v>
      </c>
      <c r="K140" s="26" t="s">
        <v>187</v>
      </c>
      <c r="L140" s="27">
        <v>43605</v>
      </c>
      <c r="M140" s="28" t="s">
        <v>176</v>
      </c>
      <c r="N140" s="28"/>
      <c r="O140" s="28" t="s">
        <v>319</v>
      </c>
      <c r="P140" s="29" t="s">
        <v>188</v>
      </c>
      <c r="Q140" s="30">
        <v>0.64930555555555558</v>
      </c>
    </row>
    <row r="141" spans="1:17" x14ac:dyDescent="0.25">
      <c r="A141" s="26" t="s">
        <v>309</v>
      </c>
      <c r="B141" s="26" t="s">
        <v>187</v>
      </c>
      <c r="C141" s="27">
        <v>43609</v>
      </c>
      <c r="D141" s="28" t="s">
        <v>176</v>
      </c>
      <c r="E141" s="28"/>
      <c r="F141" s="28" t="s">
        <v>319</v>
      </c>
      <c r="G141" s="29" t="s">
        <v>184</v>
      </c>
      <c r="H141" s="30">
        <v>0.60555555555555551</v>
      </c>
      <c r="J141" s="26" t="s">
        <v>236</v>
      </c>
      <c r="K141" s="26" t="s">
        <v>187</v>
      </c>
      <c r="L141" s="27">
        <v>43607</v>
      </c>
      <c r="M141" s="28" t="s">
        <v>176</v>
      </c>
      <c r="N141" s="28"/>
      <c r="O141" s="28" t="s">
        <v>319</v>
      </c>
      <c r="P141" s="29" t="s">
        <v>184</v>
      </c>
      <c r="Q141" s="30">
        <v>0.51666666666666672</v>
      </c>
    </row>
    <row r="142" spans="1:17" x14ac:dyDescent="0.25">
      <c r="A142" s="26" t="s">
        <v>118</v>
      </c>
      <c r="B142" s="26" t="s">
        <v>187</v>
      </c>
      <c r="C142" s="27">
        <v>43609</v>
      </c>
      <c r="D142" s="28" t="s">
        <v>176</v>
      </c>
      <c r="E142" s="28"/>
      <c r="F142" s="28" t="s">
        <v>322</v>
      </c>
      <c r="G142" s="29" t="s">
        <v>184</v>
      </c>
      <c r="H142" s="30">
        <v>0.63750000000000007</v>
      </c>
      <c r="J142" s="26" t="s">
        <v>299</v>
      </c>
      <c r="K142" s="26" t="s">
        <v>187</v>
      </c>
      <c r="L142" s="27">
        <v>43609</v>
      </c>
      <c r="M142" s="28" t="s">
        <v>176</v>
      </c>
      <c r="N142" s="28"/>
      <c r="O142" s="28" t="s">
        <v>319</v>
      </c>
      <c r="P142" s="29" t="s">
        <v>188</v>
      </c>
      <c r="Q142" s="30">
        <v>0.68333333333333324</v>
      </c>
    </row>
    <row r="143" spans="1:17" x14ac:dyDescent="0.25">
      <c r="A143" s="26" t="s">
        <v>267</v>
      </c>
      <c r="B143" s="26" t="s">
        <v>187</v>
      </c>
      <c r="C143" s="27">
        <v>43609</v>
      </c>
      <c r="D143" s="28" t="s">
        <v>176</v>
      </c>
      <c r="E143" s="28"/>
      <c r="F143" s="28" t="s">
        <v>337</v>
      </c>
      <c r="G143" s="29" t="s">
        <v>184</v>
      </c>
      <c r="H143" s="30">
        <v>0.58124999999999993</v>
      </c>
      <c r="J143" s="26" t="s">
        <v>309</v>
      </c>
      <c r="K143" s="26" t="s">
        <v>187</v>
      </c>
      <c r="L143" s="27">
        <v>43609</v>
      </c>
      <c r="M143" s="28" t="s">
        <v>176</v>
      </c>
      <c r="N143" s="28"/>
      <c r="O143" s="28" t="s">
        <v>319</v>
      </c>
      <c r="P143" s="29" t="s">
        <v>184</v>
      </c>
      <c r="Q143" s="30">
        <v>0.60555555555555551</v>
      </c>
    </row>
    <row r="144" spans="1:17" x14ac:dyDescent="0.25">
      <c r="A144" s="26" t="s">
        <v>276</v>
      </c>
      <c r="B144" s="26" t="s">
        <v>182</v>
      </c>
      <c r="C144" s="27">
        <v>43609</v>
      </c>
      <c r="D144" s="28" t="s">
        <v>176</v>
      </c>
      <c r="E144" s="28"/>
      <c r="F144" s="28" t="s">
        <v>325</v>
      </c>
      <c r="G144" s="29" t="s">
        <v>188</v>
      </c>
      <c r="H144" s="30">
        <v>0.70277777777777783</v>
      </c>
      <c r="J144" s="26" t="s">
        <v>232</v>
      </c>
      <c r="K144" s="26" t="s">
        <v>187</v>
      </c>
      <c r="L144" s="27">
        <v>43612</v>
      </c>
      <c r="M144" s="28" t="s">
        <v>176</v>
      </c>
      <c r="N144" s="28"/>
      <c r="O144" s="28" t="s">
        <v>319</v>
      </c>
      <c r="P144" s="29" t="s">
        <v>184</v>
      </c>
      <c r="Q144" s="30">
        <v>0.59027777777777779</v>
      </c>
    </row>
    <row r="145" spans="1:17" x14ac:dyDescent="0.25">
      <c r="A145" s="26" t="s">
        <v>121</v>
      </c>
      <c r="B145" s="26" t="s">
        <v>182</v>
      </c>
      <c r="C145" s="27">
        <v>43609</v>
      </c>
      <c r="D145" s="28" t="s">
        <v>176</v>
      </c>
      <c r="E145" s="28"/>
      <c r="F145" s="28" t="s">
        <v>330</v>
      </c>
      <c r="G145" s="29" t="s">
        <v>188</v>
      </c>
      <c r="H145" s="30">
        <v>0.7055555555555556</v>
      </c>
      <c r="J145" s="26" t="s">
        <v>308</v>
      </c>
      <c r="K145" s="26" t="s">
        <v>182</v>
      </c>
      <c r="L145" s="27">
        <v>43612</v>
      </c>
      <c r="M145" s="28" t="s">
        <v>176</v>
      </c>
      <c r="N145" s="28"/>
      <c r="O145" s="28" t="s">
        <v>319</v>
      </c>
      <c r="P145" s="29" t="s">
        <v>184</v>
      </c>
      <c r="Q145" s="30">
        <v>0.63472222222222219</v>
      </c>
    </row>
    <row r="146" spans="1:17" x14ac:dyDescent="0.25">
      <c r="A146" s="26" t="s">
        <v>191</v>
      </c>
      <c r="B146" s="26" t="s">
        <v>187</v>
      </c>
      <c r="C146" s="27">
        <v>43610</v>
      </c>
      <c r="D146" s="28" t="s">
        <v>176</v>
      </c>
      <c r="E146" s="28"/>
      <c r="F146" s="28" t="s">
        <v>316</v>
      </c>
      <c r="G146" s="29" t="s">
        <v>184</v>
      </c>
      <c r="H146" s="30">
        <v>0.58263888888888882</v>
      </c>
      <c r="J146" s="26" t="s">
        <v>223</v>
      </c>
      <c r="K146" s="26" t="s">
        <v>182</v>
      </c>
      <c r="L146" s="27">
        <v>43612</v>
      </c>
      <c r="M146" s="28" t="s">
        <v>176</v>
      </c>
      <c r="N146" s="28"/>
      <c r="O146" s="28" t="s">
        <v>319</v>
      </c>
      <c r="P146" s="29" t="s">
        <v>188</v>
      </c>
      <c r="Q146" s="30">
        <v>0.64652777777777781</v>
      </c>
    </row>
    <row r="147" spans="1:17" x14ac:dyDescent="0.25">
      <c r="A147" s="26" t="s">
        <v>169</v>
      </c>
      <c r="B147" s="26" t="s">
        <v>187</v>
      </c>
      <c r="C147" s="27">
        <v>43610</v>
      </c>
      <c r="D147" s="28" t="s">
        <v>176</v>
      </c>
      <c r="E147" s="28"/>
      <c r="F147" s="28" t="s">
        <v>330</v>
      </c>
      <c r="G147" s="29" t="s">
        <v>188</v>
      </c>
      <c r="H147" s="30">
        <v>0.65486111111111112</v>
      </c>
      <c r="J147" s="26" t="s">
        <v>292</v>
      </c>
      <c r="K147" s="26" t="s">
        <v>182</v>
      </c>
      <c r="L147" s="27">
        <v>43612</v>
      </c>
      <c r="M147" s="28" t="s">
        <v>176</v>
      </c>
      <c r="N147" s="28"/>
      <c r="O147" s="28" t="s">
        <v>319</v>
      </c>
      <c r="P147" s="29" t="s">
        <v>184</v>
      </c>
      <c r="Q147" s="30">
        <v>0.60555555555555551</v>
      </c>
    </row>
    <row r="148" spans="1:17" x14ac:dyDescent="0.25">
      <c r="A148" s="26" t="s">
        <v>123</v>
      </c>
      <c r="B148" s="26" t="s">
        <v>182</v>
      </c>
      <c r="C148" s="27">
        <v>43610</v>
      </c>
      <c r="D148" s="28" t="s">
        <v>176</v>
      </c>
      <c r="E148" s="28"/>
      <c r="F148" s="28" t="s">
        <v>217</v>
      </c>
      <c r="G148" s="29" t="s">
        <v>184</v>
      </c>
      <c r="H148" s="30">
        <v>0.52152777777777781</v>
      </c>
      <c r="J148" s="26" t="s">
        <v>298</v>
      </c>
      <c r="K148" s="26" t="s">
        <v>182</v>
      </c>
      <c r="L148" s="27">
        <v>43613</v>
      </c>
      <c r="M148" s="28" t="s">
        <v>176</v>
      </c>
      <c r="N148" s="28"/>
      <c r="O148" s="28" t="s">
        <v>319</v>
      </c>
      <c r="P148" s="29" t="s">
        <v>184</v>
      </c>
      <c r="Q148" s="30">
        <v>0.5395833333333333</v>
      </c>
    </row>
    <row r="149" spans="1:17" x14ac:dyDescent="0.25">
      <c r="A149" s="26" t="s">
        <v>279</v>
      </c>
      <c r="B149" s="26" t="s">
        <v>187</v>
      </c>
      <c r="C149" s="27">
        <v>43610</v>
      </c>
      <c r="D149" s="28" t="s">
        <v>176</v>
      </c>
      <c r="E149" s="28"/>
      <c r="F149" s="28" t="s">
        <v>320</v>
      </c>
      <c r="G149" s="29" t="s">
        <v>184</v>
      </c>
      <c r="H149" s="30">
        <v>0.55833333333333335</v>
      </c>
      <c r="J149" s="26" t="s">
        <v>271</v>
      </c>
      <c r="K149" s="26" t="s">
        <v>334</v>
      </c>
      <c r="L149" s="27">
        <v>43614</v>
      </c>
      <c r="M149" s="28" t="s">
        <v>176</v>
      </c>
      <c r="N149" s="28"/>
      <c r="O149" s="28" t="s">
        <v>319</v>
      </c>
      <c r="P149" s="29" t="s">
        <v>184</v>
      </c>
      <c r="Q149" s="30">
        <v>0.63055555555555554</v>
      </c>
    </row>
    <row r="150" spans="1:17" x14ac:dyDescent="0.25">
      <c r="A150" s="26" t="s">
        <v>232</v>
      </c>
      <c r="B150" s="26" t="s">
        <v>187</v>
      </c>
      <c r="C150" s="27">
        <v>43612</v>
      </c>
      <c r="D150" s="28" t="s">
        <v>176</v>
      </c>
      <c r="E150" s="28"/>
      <c r="F150" s="28" t="s">
        <v>319</v>
      </c>
      <c r="G150" s="29" t="s">
        <v>184</v>
      </c>
      <c r="H150" s="30">
        <v>0.59027777777777779</v>
      </c>
      <c r="J150" s="26" t="s">
        <v>303</v>
      </c>
      <c r="K150" s="26" t="s">
        <v>187</v>
      </c>
      <c r="L150" s="27">
        <v>43614</v>
      </c>
      <c r="M150" s="28" t="s">
        <v>176</v>
      </c>
      <c r="N150" s="28"/>
      <c r="O150" s="28" t="s">
        <v>319</v>
      </c>
      <c r="P150" s="29" t="s">
        <v>188</v>
      </c>
      <c r="Q150" s="30">
        <v>0.66249999999999998</v>
      </c>
    </row>
    <row r="151" spans="1:17" x14ac:dyDescent="0.25">
      <c r="A151" s="26" t="s">
        <v>192</v>
      </c>
      <c r="B151" s="26" t="s">
        <v>182</v>
      </c>
      <c r="C151" s="27">
        <v>43612</v>
      </c>
      <c r="D151" s="28" t="s">
        <v>176</v>
      </c>
      <c r="E151" s="28"/>
      <c r="F151" s="28" t="s">
        <v>325</v>
      </c>
      <c r="G151" s="29" t="s">
        <v>188</v>
      </c>
      <c r="H151" s="30">
        <v>0.65138888888888891</v>
      </c>
      <c r="J151" s="26" t="s">
        <v>297</v>
      </c>
      <c r="K151" s="26" t="s">
        <v>182</v>
      </c>
      <c r="L151" s="27">
        <v>43614</v>
      </c>
      <c r="M151" s="28" t="s">
        <v>176</v>
      </c>
      <c r="N151" s="28"/>
      <c r="O151" s="28" t="s">
        <v>319</v>
      </c>
      <c r="P151" s="29" t="s">
        <v>184</v>
      </c>
      <c r="Q151" s="30">
        <v>0.62847222222222221</v>
      </c>
    </row>
    <row r="152" spans="1:17" x14ac:dyDescent="0.25">
      <c r="A152" s="26" t="s">
        <v>144</v>
      </c>
      <c r="B152" s="26" t="s">
        <v>187</v>
      </c>
      <c r="C152" s="27">
        <v>43612</v>
      </c>
      <c r="D152" s="28" t="s">
        <v>176</v>
      </c>
      <c r="E152" s="28"/>
      <c r="F152" s="28" t="s">
        <v>329</v>
      </c>
      <c r="G152" s="29" t="s">
        <v>188</v>
      </c>
      <c r="H152" s="30">
        <v>0.67222222222222217</v>
      </c>
      <c r="J152" s="26" t="s">
        <v>226</v>
      </c>
      <c r="K152" s="26" t="s">
        <v>182</v>
      </c>
      <c r="L152" s="27">
        <v>43614</v>
      </c>
      <c r="M152" s="28" t="s">
        <v>176</v>
      </c>
      <c r="N152" s="28"/>
      <c r="O152" s="28" t="s">
        <v>319</v>
      </c>
      <c r="P152" s="29" t="s">
        <v>188</v>
      </c>
      <c r="Q152" s="30">
        <v>0.8222222222222223</v>
      </c>
    </row>
    <row r="153" spans="1:17" x14ac:dyDescent="0.25">
      <c r="A153" s="26" t="s">
        <v>307</v>
      </c>
      <c r="B153" s="26" t="s">
        <v>182</v>
      </c>
      <c r="C153" s="27">
        <v>43612</v>
      </c>
      <c r="D153" s="28" t="s">
        <v>176</v>
      </c>
      <c r="E153" s="28"/>
      <c r="F153" s="28" t="s">
        <v>330</v>
      </c>
      <c r="G153" s="29" t="s">
        <v>188</v>
      </c>
      <c r="H153" s="30">
        <v>0.72638888888888886</v>
      </c>
      <c r="J153" s="26" t="s">
        <v>295</v>
      </c>
      <c r="K153" s="26" t="s">
        <v>187</v>
      </c>
      <c r="L153" s="27">
        <v>43615</v>
      </c>
      <c r="M153" s="28" t="s">
        <v>176</v>
      </c>
      <c r="N153" s="28"/>
      <c r="O153" s="28" t="s">
        <v>319</v>
      </c>
      <c r="P153" s="29" t="s">
        <v>188</v>
      </c>
      <c r="Q153" s="30">
        <v>0.75347222222222221</v>
      </c>
    </row>
    <row r="154" spans="1:17" x14ac:dyDescent="0.25">
      <c r="A154" s="26" t="s">
        <v>308</v>
      </c>
      <c r="B154" s="26" t="s">
        <v>182</v>
      </c>
      <c r="C154" s="27">
        <v>43612</v>
      </c>
      <c r="D154" s="28" t="s">
        <v>176</v>
      </c>
      <c r="E154" s="28"/>
      <c r="F154" s="28" t="s">
        <v>319</v>
      </c>
      <c r="G154" s="29" t="s">
        <v>184</v>
      </c>
      <c r="H154" s="30">
        <v>0.63472222222222219</v>
      </c>
      <c r="J154" s="26" t="s">
        <v>274</v>
      </c>
      <c r="K154" s="26" t="s">
        <v>187</v>
      </c>
      <c r="L154" s="27">
        <v>43615</v>
      </c>
      <c r="M154" s="28" t="s">
        <v>176</v>
      </c>
      <c r="N154" s="28"/>
      <c r="O154" s="28" t="s">
        <v>319</v>
      </c>
      <c r="P154" s="29" t="s">
        <v>188</v>
      </c>
      <c r="Q154" s="30">
        <v>0.66180555555555554</v>
      </c>
    </row>
    <row r="155" spans="1:17" x14ac:dyDescent="0.25">
      <c r="A155" s="26" t="s">
        <v>207</v>
      </c>
      <c r="B155" s="26" t="s">
        <v>187</v>
      </c>
      <c r="C155" s="27">
        <v>43612</v>
      </c>
      <c r="D155" s="28" t="s">
        <v>176</v>
      </c>
      <c r="E155" s="28"/>
      <c r="F155" s="28" t="s">
        <v>321</v>
      </c>
      <c r="G155" s="29" t="s">
        <v>184</v>
      </c>
      <c r="H155" s="30">
        <v>0.50694444444444442</v>
      </c>
      <c r="J155" s="26" t="s">
        <v>281</v>
      </c>
      <c r="K155" s="26" t="s">
        <v>187</v>
      </c>
      <c r="L155" s="27">
        <v>43615</v>
      </c>
      <c r="M155" s="28" t="s">
        <v>176</v>
      </c>
      <c r="N155" s="28"/>
      <c r="O155" s="28" t="s">
        <v>319</v>
      </c>
      <c r="P155" s="29" t="s">
        <v>184</v>
      </c>
      <c r="Q155" s="30">
        <v>0.59166666666666667</v>
      </c>
    </row>
    <row r="156" spans="1:17" x14ac:dyDescent="0.25">
      <c r="A156" s="26" t="s">
        <v>223</v>
      </c>
      <c r="B156" s="26" t="s">
        <v>182</v>
      </c>
      <c r="C156" s="27">
        <v>43612</v>
      </c>
      <c r="D156" s="28" t="s">
        <v>176</v>
      </c>
      <c r="E156" s="28"/>
      <c r="F156" s="28" t="s">
        <v>319</v>
      </c>
      <c r="G156" s="29" t="s">
        <v>188</v>
      </c>
      <c r="H156" s="30">
        <v>0.64652777777777781</v>
      </c>
      <c r="J156" s="26" t="s">
        <v>310</v>
      </c>
      <c r="K156" s="26" t="s">
        <v>182</v>
      </c>
      <c r="L156" s="27">
        <v>43615</v>
      </c>
      <c r="M156" s="28" t="s">
        <v>176</v>
      </c>
      <c r="N156" s="28"/>
      <c r="O156" s="28" t="s">
        <v>319</v>
      </c>
      <c r="P156" s="29" t="s">
        <v>188</v>
      </c>
      <c r="Q156" s="30">
        <v>0.73611111111111116</v>
      </c>
    </row>
    <row r="157" spans="1:17" x14ac:dyDescent="0.25">
      <c r="A157" s="26" t="s">
        <v>114</v>
      </c>
      <c r="B157" s="26" t="s">
        <v>182</v>
      </c>
      <c r="C157" s="27">
        <v>43612</v>
      </c>
      <c r="D157" s="28" t="s">
        <v>176</v>
      </c>
      <c r="E157" s="28"/>
      <c r="F157" s="28" t="s">
        <v>329</v>
      </c>
      <c r="G157" s="29" t="s">
        <v>188</v>
      </c>
      <c r="H157" s="30">
        <v>0.75624999999999998</v>
      </c>
      <c r="J157" s="26" t="s">
        <v>300</v>
      </c>
      <c r="K157" s="26" t="s">
        <v>187</v>
      </c>
      <c r="L157" s="27">
        <v>43615</v>
      </c>
      <c r="M157" s="28" t="s">
        <v>176</v>
      </c>
      <c r="N157" s="28"/>
      <c r="O157" s="28" t="s">
        <v>319</v>
      </c>
      <c r="P157" s="29" t="s">
        <v>188</v>
      </c>
      <c r="Q157" s="30">
        <v>0.77916666666666667</v>
      </c>
    </row>
    <row r="158" spans="1:17" x14ac:dyDescent="0.25">
      <c r="A158" s="26" t="s">
        <v>292</v>
      </c>
      <c r="B158" s="26" t="s">
        <v>182</v>
      </c>
      <c r="C158" s="27">
        <v>43612</v>
      </c>
      <c r="D158" s="28" t="s">
        <v>176</v>
      </c>
      <c r="E158" s="28"/>
      <c r="F158" s="28" t="s">
        <v>319</v>
      </c>
      <c r="G158" s="29" t="s">
        <v>184</v>
      </c>
      <c r="H158" s="30">
        <v>0.60555555555555551</v>
      </c>
      <c r="J158" s="26" t="s">
        <v>235</v>
      </c>
      <c r="K158" s="26" t="s">
        <v>182</v>
      </c>
      <c r="L158" s="27">
        <v>43580</v>
      </c>
      <c r="M158" s="28" t="s">
        <v>176</v>
      </c>
      <c r="N158" s="28"/>
      <c r="O158" s="28" t="s">
        <v>320</v>
      </c>
      <c r="P158" s="29" t="s">
        <v>188</v>
      </c>
      <c r="Q158" s="30">
        <v>0.7416666666666667</v>
      </c>
    </row>
    <row r="159" spans="1:17" x14ac:dyDescent="0.25">
      <c r="A159" s="26" t="s">
        <v>265</v>
      </c>
      <c r="B159" s="26" t="s">
        <v>182</v>
      </c>
      <c r="C159" s="27">
        <v>43612</v>
      </c>
      <c r="D159" s="28" t="s">
        <v>176</v>
      </c>
      <c r="E159" s="28"/>
      <c r="F159" s="28" t="s">
        <v>337</v>
      </c>
      <c r="G159" s="29" t="s">
        <v>184</v>
      </c>
      <c r="H159" s="30">
        <v>0.55347222222222225</v>
      </c>
      <c r="J159" s="26" t="s">
        <v>245</v>
      </c>
      <c r="K159" s="26" t="s">
        <v>187</v>
      </c>
      <c r="L159" s="27">
        <v>43581</v>
      </c>
      <c r="M159" s="28" t="s">
        <v>176</v>
      </c>
      <c r="N159" s="28"/>
      <c r="O159" s="28" t="s">
        <v>320</v>
      </c>
      <c r="P159" s="29" t="s">
        <v>184</v>
      </c>
      <c r="Q159" s="30">
        <v>0.55555555555555558</v>
      </c>
    </row>
    <row r="160" spans="1:17" x14ac:dyDescent="0.25">
      <c r="A160" s="26" t="s">
        <v>124</v>
      </c>
      <c r="B160" s="26" t="s">
        <v>182</v>
      </c>
      <c r="C160" s="27">
        <v>43613</v>
      </c>
      <c r="D160" s="28" t="s">
        <v>176</v>
      </c>
      <c r="E160" s="28"/>
      <c r="F160" s="28" t="s">
        <v>320</v>
      </c>
      <c r="G160" s="29" t="s">
        <v>188</v>
      </c>
      <c r="H160" s="30">
        <v>0.83958333333333324</v>
      </c>
      <c r="J160" s="26" t="s">
        <v>163</v>
      </c>
      <c r="K160" s="26" t="s">
        <v>182</v>
      </c>
      <c r="L160" s="27">
        <v>43585</v>
      </c>
      <c r="M160" s="28" t="s">
        <v>176</v>
      </c>
      <c r="N160" s="28"/>
      <c r="O160" s="28" t="s">
        <v>320</v>
      </c>
      <c r="P160" s="29" t="s">
        <v>188</v>
      </c>
      <c r="Q160" s="30">
        <v>0.74444444444444446</v>
      </c>
    </row>
    <row r="161" spans="1:17" x14ac:dyDescent="0.25">
      <c r="A161" s="26" t="s">
        <v>126</v>
      </c>
      <c r="B161" s="26" t="s">
        <v>187</v>
      </c>
      <c r="C161" s="27">
        <v>43613</v>
      </c>
      <c r="D161" s="28" t="s">
        <v>176</v>
      </c>
      <c r="E161" s="28"/>
      <c r="F161" s="28" t="s">
        <v>320</v>
      </c>
      <c r="G161" s="29" t="s">
        <v>188</v>
      </c>
      <c r="H161" s="30">
        <v>0.68611111111111101</v>
      </c>
      <c r="J161" s="26" t="s">
        <v>157</v>
      </c>
      <c r="K161" s="26" t="s">
        <v>324</v>
      </c>
      <c r="L161" s="27">
        <v>43591</v>
      </c>
      <c r="M161" s="28" t="s">
        <v>176</v>
      </c>
      <c r="N161" s="28"/>
      <c r="O161" s="28" t="s">
        <v>320</v>
      </c>
      <c r="P161" s="29" t="s">
        <v>184</v>
      </c>
      <c r="Q161" s="30">
        <v>0.60763888888888895</v>
      </c>
    </row>
    <row r="162" spans="1:17" x14ac:dyDescent="0.25">
      <c r="A162" s="26" t="s">
        <v>272</v>
      </c>
      <c r="B162" s="26" t="s">
        <v>182</v>
      </c>
      <c r="C162" s="27">
        <v>43613</v>
      </c>
      <c r="D162" s="28" t="s">
        <v>176</v>
      </c>
      <c r="E162" s="28"/>
      <c r="F162" s="28" t="s">
        <v>344</v>
      </c>
      <c r="G162" s="29" t="s">
        <v>188</v>
      </c>
      <c r="H162" s="30">
        <v>0.71736111111111101</v>
      </c>
      <c r="J162" s="26" t="s">
        <v>250</v>
      </c>
      <c r="K162" s="26" t="s">
        <v>182</v>
      </c>
      <c r="L162" s="27">
        <v>43595</v>
      </c>
      <c r="M162" s="28" t="s">
        <v>176</v>
      </c>
      <c r="N162" s="28"/>
      <c r="O162" s="28" t="s">
        <v>320</v>
      </c>
      <c r="P162" s="29" t="s">
        <v>184</v>
      </c>
      <c r="Q162" s="30">
        <v>0.53263888888888888</v>
      </c>
    </row>
    <row r="163" spans="1:17" x14ac:dyDescent="0.25">
      <c r="A163" s="26" t="s">
        <v>142</v>
      </c>
      <c r="B163" s="26" t="s">
        <v>182</v>
      </c>
      <c r="C163" s="27">
        <v>43613</v>
      </c>
      <c r="D163" s="28" t="s">
        <v>176</v>
      </c>
      <c r="E163" s="28"/>
      <c r="F163" s="28" t="s">
        <v>328</v>
      </c>
      <c r="G163" s="29" t="s">
        <v>184</v>
      </c>
      <c r="H163" s="30">
        <v>0.54791666666666672</v>
      </c>
      <c r="J163" s="26" t="s">
        <v>125</v>
      </c>
      <c r="K163" s="26" t="s">
        <v>317</v>
      </c>
      <c r="L163" s="27">
        <v>43600</v>
      </c>
      <c r="M163" s="28" t="s">
        <v>176</v>
      </c>
      <c r="N163" s="28"/>
      <c r="O163" s="28" t="s">
        <v>320</v>
      </c>
      <c r="P163" s="29" t="s">
        <v>184</v>
      </c>
      <c r="Q163" s="30">
        <v>0.6069444444444444</v>
      </c>
    </row>
    <row r="164" spans="1:17" x14ac:dyDescent="0.25">
      <c r="A164" s="26" t="s">
        <v>298</v>
      </c>
      <c r="B164" s="26" t="s">
        <v>182</v>
      </c>
      <c r="C164" s="27">
        <v>43613</v>
      </c>
      <c r="D164" s="28" t="s">
        <v>176</v>
      </c>
      <c r="E164" s="28"/>
      <c r="F164" s="28" t="s">
        <v>319</v>
      </c>
      <c r="G164" s="29" t="s">
        <v>184</v>
      </c>
      <c r="H164" s="30">
        <v>0.5395833333333333</v>
      </c>
      <c r="J164" s="26" t="s">
        <v>275</v>
      </c>
      <c r="K164" s="26" t="s">
        <v>187</v>
      </c>
      <c r="L164" s="27">
        <v>43602</v>
      </c>
      <c r="M164" s="28" t="s">
        <v>176</v>
      </c>
      <c r="N164" s="28"/>
      <c r="O164" s="28" t="s">
        <v>320</v>
      </c>
      <c r="P164" s="29" t="s">
        <v>184</v>
      </c>
      <c r="Q164" s="30">
        <v>0.61319444444444449</v>
      </c>
    </row>
    <row r="165" spans="1:17" x14ac:dyDescent="0.25">
      <c r="A165" s="26" t="s">
        <v>155</v>
      </c>
      <c r="B165" s="26" t="s">
        <v>182</v>
      </c>
      <c r="C165" s="27">
        <v>43613</v>
      </c>
      <c r="D165" s="28" t="s">
        <v>176</v>
      </c>
      <c r="E165" s="28"/>
      <c r="F165" s="28" t="s">
        <v>342</v>
      </c>
      <c r="G165" s="29" t="s">
        <v>188</v>
      </c>
      <c r="H165" s="30">
        <v>0.6479166666666667</v>
      </c>
      <c r="J165" s="26" t="s">
        <v>156</v>
      </c>
      <c r="K165" s="26" t="s">
        <v>187</v>
      </c>
      <c r="L165" s="27">
        <v>43605</v>
      </c>
      <c r="M165" s="28" t="s">
        <v>176</v>
      </c>
      <c r="N165" s="28"/>
      <c r="O165" s="28" t="s">
        <v>320</v>
      </c>
      <c r="P165" s="29" t="s">
        <v>188</v>
      </c>
      <c r="Q165" s="30">
        <v>0.67569444444444438</v>
      </c>
    </row>
    <row r="166" spans="1:17" x14ac:dyDescent="0.25">
      <c r="A166" s="26" t="s">
        <v>271</v>
      </c>
      <c r="B166" s="26" t="s">
        <v>334</v>
      </c>
      <c r="C166" s="27">
        <v>43614</v>
      </c>
      <c r="D166" s="28" t="s">
        <v>176</v>
      </c>
      <c r="E166" s="28"/>
      <c r="F166" s="28" t="s">
        <v>319</v>
      </c>
      <c r="G166" s="29" t="s">
        <v>184</v>
      </c>
      <c r="H166" s="30">
        <v>0.63055555555555554</v>
      </c>
      <c r="J166" s="26" t="s">
        <v>171</v>
      </c>
      <c r="K166" s="26" t="s">
        <v>187</v>
      </c>
      <c r="L166" s="27">
        <v>43607</v>
      </c>
      <c r="M166" s="28" t="s">
        <v>176</v>
      </c>
      <c r="N166" s="28"/>
      <c r="O166" s="28" t="s">
        <v>320</v>
      </c>
      <c r="P166" s="29" t="s">
        <v>184</v>
      </c>
      <c r="Q166" s="30">
        <v>0.61875000000000002</v>
      </c>
    </row>
    <row r="167" spans="1:17" x14ac:dyDescent="0.25">
      <c r="A167" s="26" t="s">
        <v>233</v>
      </c>
      <c r="B167" s="26" t="s">
        <v>182</v>
      </c>
      <c r="C167" s="27">
        <v>43614</v>
      </c>
      <c r="D167" s="28" t="s">
        <v>176</v>
      </c>
      <c r="E167" s="28"/>
      <c r="F167" s="28" t="s">
        <v>330</v>
      </c>
      <c r="G167" s="29" t="s">
        <v>188</v>
      </c>
      <c r="H167" s="30">
        <v>0.74305555555555547</v>
      </c>
      <c r="J167" s="26" t="s">
        <v>279</v>
      </c>
      <c r="K167" s="26" t="s">
        <v>187</v>
      </c>
      <c r="L167" s="27">
        <v>43610</v>
      </c>
      <c r="M167" s="28" t="s">
        <v>176</v>
      </c>
      <c r="N167" s="28"/>
      <c r="O167" s="28" t="s">
        <v>320</v>
      </c>
      <c r="P167" s="29" t="s">
        <v>184</v>
      </c>
      <c r="Q167" s="30">
        <v>0.55833333333333335</v>
      </c>
    </row>
    <row r="168" spans="1:17" x14ac:dyDescent="0.25">
      <c r="A168" s="26" t="s">
        <v>303</v>
      </c>
      <c r="B168" s="26" t="s">
        <v>187</v>
      </c>
      <c r="C168" s="27">
        <v>43614</v>
      </c>
      <c r="D168" s="28" t="s">
        <v>176</v>
      </c>
      <c r="E168" s="28"/>
      <c r="F168" s="28" t="s">
        <v>319</v>
      </c>
      <c r="G168" s="29" t="s">
        <v>188</v>
      </c>
      <c r="H168" s="30">
        <v>0.66249999999999998</v>
      </c>
      <c r="J168" s="26" t="s">
        <v>124</v>
      </c>
      <c r="K168" s="26" t="s">
        <v>182</v>
      </c>
      <c r="L168" s="27">
        <v>43613</v>
      </c>
      <c r="M168" s="28" t="s">
        <v>176</v>
      </c>
      <c r="N168" s="28"/>
      <c r="O168" s="28" t="s">
        <v>320</v>
      </c>
      <c r="P168" s="29" t="s">
        <v>188</v>
      </c>
      <c r="Q168" s="30">
        <v>0.83958333333333324</v>
      </c>
    </row>
    <row r="169" spans="1:17" x14ac:dyDescent="0.25">
      <c r="A169" s="26" t="s">
        <v>170</v>
      </c>
      <c r="B169" s="26" t="s">
        <v>187</v>
      </c>
      <c r="C169" s="27">
        <v>43614</v>
      </c>
      <c r="D169" s="28" t="s">
        <v>176</v>
      </c>
      <c r="E169" s="28"/>
      <c r="F169" s="28" t="s">
        <v>330</v>
      </c>
      <c r="G169" s="29" t="s">
        <v>188</v>
      </c>
      <c r="H169" s="30">
        <v>0.65902777777777777</v>
      </c>
      <c r="J169" s="26" t="s">
        <v>126</v>
      </c>
      <c r="K169" s="26" t="s">
        <v>187</v>
      </c>
      <c r="L169" s="27">
        <v>43613</v>
      </c>
      <c r="M169" s="28" t="s">
        <v>176</v>
      </c>
      <c r="N169" s="28"/>
      <c r="O169" s="28" t="s">
        <v>320</v>
      </c>
      <c r="P169" s="29" t="s">
        <v>188</v>
      </c>
      <c r="Q169" s="30">
        <v>0.68611111111111101</v>
      </c>
    </row>
    <row r="170" spans="1:17" x14ac:dyDescent="0.25">
      <c r="A170" s="26" t="s">
        <v>120</v>
      </c>
      <c r="B170" s="26" t="s">
        <v>182</v>
      </c>
      <c r="C170" s="27">
        <v>43614</v>
      </c>
      <c r="D170" s="28" t="s">
        <v>176</v>
      </c>
      <c r="E170" s="28"/>
      <c r="F170" s="28" t="s">
        <v>330</v>
      </c>
      <c r="G170" s="29" t="s">
        <v>184</v>
      </c>
      <c r="H170" s="30">
        <v>0.58958333333333335</v>
      </c>
      <c r="J170" s="26" t="s">
        <v>311</v>
      </c>
      <c r="K170" s="26" t="s">
        <v>187</v>
      </c>
      <c r="L170" s="27">
        <v>43614</v>
      </c>
      <c r="M170" s="28" t="s">
        <v>176</v>
      </c>
      <c r="N170" s="28"/>
      <c r="O170" s="28" t="s">
        <v>320</v>
      </c>
      <c r="P170" s="29" t="s">
        <v>188</v>
      </c>
      <c r="Q170" s="30">
        <v>0.71875</v>
      </c>
    </row>
    <row r="171" spans="1:17" x14ac:dyDescent="0.25">
      <c r="A171" s="26" t="s">
        <v>312</v>
      </c>
      <c r="B171" s="26" t="s">
        <v>187</v>
      </c>
      <c r="C171" s="27">
        <v>43614</v>
      </c>
      <c r="D171" s="28" t="s">
        <v>176</v>
      </c>
      <c r="E171" s="28"/>
      <c r="F171" s="28" t="s">
        <v>342</v>
      </c>
      <c r="G171" s="29" t="s">
        <v>188</v>
      </c>
      <c r="H171" s="30">
        <v>0.76388888888888884</v>
      </c>
      <c r="J171" s="26" t="s">
        <v>301</v>
      </c>
      <c r="K171" s="26" t="s">
        <v>187</v>
      </c>
      <c r="L171" s="27">
        <v>43614</v>
      </c>
      <c r="M171" s="28" t="s">
        <v>176</v>
      </c>
      <c r="N171" s="28"/>
      <c r="O171" s="28" t="s">
        <v>320</v>
      </c>
      <c r="P171" s="29" t="s">
        <v>188</v>
      </c>
      <c r="Q171" s="30">
        <v>0.6645833333333333</v>
      </c>
    </row>
    <row r="172" spans="1:17" x14ac:dyDescent="0.25">
      <c r="A172" s="26" t="s">
        <v>297</v>
      </c>
      <c r="B172" s="26" t="s">
        <v>182</v>
      </c>
      <c r="C172" s="27">
        <v>43614</v>
      </c>
      <c r="D172" s="28" t="s">
        <v>176</v>
      </c>
      <c r="E172" s="28"/>
      <c r="F172" s="28" t="s">
        <v>319</v>
      </c>
      <c r="G172" s="29" t="s">
        <v>184</v>
      </c>
      <c r="H172" s="30">
        <v>0.62847222222222221</v>
      </c>
      <c r="J172" s="26" t="s">
        <v>139</v>
      </c>
      <c r="K172" s="26" t="s">
        <v>187</v>
      </c>
      <c r="L172" s="27">
        <v>43587</v>
      </c>
      <c r="M172" s="28" t="s">
        <v>176</v>
      </c>
      <c r="N172" s="28"/>
      <c r="O172" s="28" t="s">
        <v>330</v>
      </c>
      <c r="P172" s="29" t="s">
        <v>184</v>
      </c>
      <c r="Q172" s="30">
        <v>0.64374999999999993</v>
      </c>
    </row>
    <row r="173" spans="1:17" x14ac:dyDescent="0.25">
      <c r="A173" s="26" t="s">
        <v>226</v>
      </c>
      <c r="B173" s="26" t="s">
        <v>182</v>
      </c>
      <c r="C173" s="27">
        <v>43614</v>
      </c>
      <c r="D173" s="28" t="s">
        <v>176</v>
      </c>
      <c r="E173" s="28"/>
      <c r="F173" s="28" t="s">
        <v>319</v>
      </c>
      <c r="G173" s="29" t="s">
        <v>188</v>
      </c>
      <c r="H173" s="30">
        <v>0.8222222222222223</v>
      </c>
      <c r="J173" s="26" t="s">
        <v>138</v>
      </c>
      <c r="K173" s="26" t="s">
        <v>187</v>
      </c>
      <c r="L173" s="27">
        <v>43600</v>
      </c>
      <c r="M173" s="28" t="s">
        <v>176</v>
      </c>
      <c r="N173" s="28"/>
      <c r="O173" s="28" t="s">
        <v>330</v>
      </c>
      <c r="P173" s="29" t="s">
        <v>188</v>
      </c>
      <c r="Q173" s="30">
        <v>0.72361111111111109</v>
      </c>
    </row>
    <row r="174" spans="1:17" x14ac:dyDescent="0.25">
      <c r="A174" s="26" t="s">
        <v>164</v>
      </c>
      <c r="B174" s="26" t="s">
        <v>187</v>
      </c>
      <c r="C174" s="27">
        <v>43614</v>
      </c>
      <c r="D174" s="28" t="s">
        <v>176</v>
      </c>
      <c r="E174" s="28"/>
      <c r="F174" s="28" t="s">
        <v>316</v>
      </c>
      <c r="G174" s="29" t="s">
        <v>184</v>
      </c>
      <c r="H174" s="30">
        <v>0.56944444444444442</v>
      </c>
      <c r="J174" s="26" t="s">
        <v>288</v>
      </c>
      <c r="K174" s="26" t="s">
        <v>182</v>
      </c>
      <c r="L174" s="27">
        <v>43602</v>
      </c>
      <c r="M174" s="28" t="s">
        <v>176</v>
      </c>
      <c r="N174" s="28"/>
      <c r="O174" s="28" t="s">
        <v>330</v>
      </c>
      <c r="P174" s="29" t="s">
        <v>184</v>
      </c>
      <c r="Q174" s="30">
        <v>0.53680555555555554</v>
      </c>
    </row>
    <row r="175" spans="1:17" x14ac:dyDescent="0.25">
      <c r="A175" s="26" t="s">
        <v>107</v>
      </c>
      <c r="B175" s="26" t="s">
        <v>182</v>
      </c>
      <c r="C175" s="27">
        <v>43614</v>
      </c>
      <c r="D175" s="28" t="s">
        <v>176</v>
      </c>
      <c r="E175" s="28"/>
      <c r="F175" s="28" t="s">
        <v>318</v>
      </c>
      <c r="G175" s="29" t="s">
        <v>184</v>
      </c>
      <c r="H175" s="30">
        <v>0.57152777777777775</v>
      </c>
      <c r="J175" s="26" t="s">
        <v>121</v>
      </c>
      <c r="K175" s="26" t="s">
        <v>182</v>
      </c>
      <c r="L175" s="27">
        <v>43609</v>
      </c>
      <c r="M175" s="28" t="s">
        <v>176</v>
      </c>
      <c r="N175" s="28"/>
      <c r="O175" s="28" t="s">
        <v>330</v>
      </c>
      <c r="P175" s="29" t="s">
        <v>188</v>
      </c>
      <c r="Q175" s="30">
        <v>0.7055555555555556</v>
      </c>
    </row>
    <row r="176" spans="1:17" x14ac:dyDescent="0.25">
      <c r="A176" s="26" t="s">
        <v>219</v>
      </c>
      <c r="B176" s="26" t="s">
        <v>187</v>
      </c>
      <c r="C176" s="27">
        <v>43614</v>
      </c>
      <c r="D176" s="28" t="s">
        <v>176</v>
      </c>
      <c r="E176" s="28"/>
      <c r="F176" s="28" t="s">
        <v>339</v>
      </c>
      <c r="G176" s="29" t="s">
        <v>184</v>
      </c>
      <c r="H176" s="30">
        <v>0.55208333333333337</v>
      </c>
      <c r="J176" s="26" t="s">
        <v>169</v>
      </c>
      <c r="K176" s="26" t="s">
        <v>187</v>
      </c>
      <c r="L176" s="27">
        <v>43610</v>
      </c>
      <c r="M176" s="28" t="s">
        <v>176</v>
      </c>
      <c r="N176" s="28"/>
      <c r="O176" s="28" t="s">
        <v>330</v>
      </c>
      <c r="P176" s="29" t="s">
        <v>188</v>
      </c>
      <c r="Q176" s="30">
        <v>0.65486111111111112</v>
      </c>
    </row>
    <row r="177" spans="1:17" x14ac:dyDescent="0.25">
      <c r="A177" s="26" t="s">
        <v>313</v>
      </c>
      <c r="B177" s="26" t="s">
        <v>182</v>
      </c>
      <c r="C177" s="27">
        <v>43614</v>
      </c>
      <c r="D177" s="28" t="s">
        <v>176</v>
      </c>
      <c r="E177" s="28"/>
      <c r="F177" s="28" t="s">
        <v>342</v>
      </c>
      <c r="G177" s="29" t="s">
        <v>188</v>
      </c>
      <c r="H177" s="30">
        <v>0.97916666666666663</v>
      </c>
      <c r="J177" s="26" t="s">
        <v>307</v>
      </c>
      <c r="K177" s="26" t="s">
        <v>182</v>
      </c>
      <c r="L177" s="27">
        <v>43612</v>
      </c>
      <c r="M177" s="28" t="s">
        <v>176</v>
      </c>
      <c r="N177" s="28"/>
      <c r="O177" s="28" t="s">
        <v>330</v>
      </c>
      <c r="P177" s="29" t="s">
        <v>188</v>
      </c>
      <c r="Q177" s="30">
        <v>0.72638888888888886</v>
      </c>
    </row>
    <row r="178" spans="1:17" x14ac:dyDescent="0.25">
      <c r="A178" s="26" t="s">
        <v>311</v>
      </c>
      <c r="B178" s="26" t="s">
        <v>187</v>
      </c>
      <c r="C178" s="27">
        <v>43614</v>
      </c>
      <c r="D178" s="28" t="s">
        <v>176</v>
      </c>
      <c r="E178" s="28"/>
      <c r="F178" s="28" t="s">
        <v>320</v>
      </c>
      <c r="G178" s="29" t="s">
        <v>188</v>
      </c>
      <c r="H178" s="30">
        <v>0.71875</v>
      </c>
      <c r="J178" s="26" t="s">
        <v>233</v>
      </c>
      <c r="K178" s="26" t="s">
        <v>182</v>
      </c>
      <c r="L178" s="27">
        <v>43614</v>
      </c>
      <c r="M178" s="28" t="s">
        <v>176</v>
      </c>
      <c r="N178" s="28"/>
      <c r="O178" s="28" t="s">
        <v>330</v>
      </c>
      <c r="P178" s="29" t="s">
        <v>188</v>
      </c>
      <c r="Q178" s="30">
        <v>0.74305555555555547</v>
      </c>
    </row>
    <row r="179" spans="1:17" x14ac:dyDescent="0.25">
      <c r="A179" s="26" t="s">
        <v>293</v>
      </c>
      <c r="B179" s="26" t="s">
        <v>336</v>
      </c>
      <c r="C179" s="27">
        <v>43614</v>
      </c>
      <c r="D179" s="28" t="s">
        <v>176</v>
      </c>
      <c r="E179" s="28"/>
      <c r="F179" s="28" t="s">
        <v>330</v>
      </c>
      <c r="G179" s="29" t="s">
        <v>184</v>
      </c>
      <c r="H179" s="30">
        <v>0.57916666666666672</v>
      </c>
      <c r="J179" s="26" t="s">
        <v>170</v>
      </c>
      <c r="K179" s="26" t="s">
        <v>187</v>
      </c>
      <c r="L179" s="27">
        <v>43614</v>
      </c>
      <c r="M179" s="28" t="s">
        <v>176</v>
      </c>
      <c r="N179" s="28"/>
      <c r="O179" s="28" t="s">
        <v>330</v>
      </c>
      <c r="P179" s="29" t="s">
        <v>188</v>
      </c>
      <c r="Q179" s="30">
        <v>0.65902777777777777</v>
      </c>
    </row>
    <row r="180" spans="1:17" x14ac:dyDescent="0.25">
      <c r="A180" s="26" t="s">
        <v>296</v>
      </c>
      <c r="B180" s="26" t="s">
        <v>324</v>
      </c>
      <c r="C180" s="27">
        <v>43614</v>
      </c>
      <c r="D180" s="28" t="s">
        <v>176</v>
      </c>
      <c r="E180" s="28"/>
      <c r="F180" s="28" t="s">
        <v>330</v>
      </c>
      <c r="G180" s="29" t="s">
        <v>184</v>
      </c>
      <c r="H180" s="30">
        <v>0.57291666666666663</v>
      </c>
      <c r="J180" s="26" t="s">
        <v>120</v>
      </c>
      <c r="K180" s="26" t="s">
        <v>182</v>
      </c>
      <c r="L180" s="27">
        <v>43614</v>
      </c>
      <c r="M180" s="28" t="s">
        <v>176</v>
      </c>
      <c r="N180" s="28"/>
      <c r="O180" s="28" t="s">
        <v>330</v>
      </c>
      <c r="P180" s="29" t="s">
        <v>184</v>
      </c>
      <c r="Q180" s="30">
        <v>0.58958333333333335</v>
      </c>
    </row>
    <row r="181" spans="1:17" x14ac:dyDescent="0.25">
      <c r="A181" s="26" t="s">
        <v>301</v>
      </c>
      <c r="B181" s="26" t="s">
        <v>187</v>
      </c>
      <c r="C181" s="27">
        <v>43614</v>
      </c>
      <c r="D181" s="28" t="s">
        <v>176</v>
      </c>
      <c r="E181" s="28"/>
      <c r="F181" s="28" t="s">
        <v>320</v>
      </c>
      <c r="G181" s="29" t="s">
        <v>188</v>
      </c>
      <c r="H181" s="30">
        <v>0.6645833333333333</v>
      </c>
      <c r="J181" s="26" t="s">
        <v>293</v>
      </c>
      <c r="K181" s="26" t="s">
        <v>336</v>
      </c>
      <c r="L181" s="27">
        <v>43614</v>
      </c>
      <c r="M181" s="28" t="s">
        <v>176</v>
      </c>
      <c r="N181" s="28"/>
      <c r="O181" s="28" t="s">
        <v>330</v>
      </c>
      <c r="P181" s="29" t="s">
        <v>184</v>
      </c>
      <c r="Q181" s="30">
        <v>0.57916666666666672</v>
      </c>
    </row>
    <row r="182" spans="1:17" x14ac:dyDescent="0.25">
      <c r="A182" s="26" t="s">
        <v>246</v>
      </c>
      <c r="B182" s="26" t="s">
        <v>187</v>
      </c>
      <c r="C182" s="27">
        <v>43614</v>
      </c>
      <c r="D182" s="28" t="s">
        <v>176</v>
      </c>
      <c r="E182" s="28"/>
      <c r="F182" s="28" t="s">
        <v>339</v>
      </c>
      <c r="G182" s="29" t="s">
        <v>188</v>
      </c>
      <c r="H182" s="30">
        <v>0.77083333333333337</v>
      </c>
      <c r="J182" s="26" t="s">
        <v>296</v>
      </c>
      <c r="K182" s="26" t="s">
        <v>324</v>
      </c>
      <c r="L182" s="27">
        <v>43614</v>
      </c>
      <c r="M182" s="28" t="s">
        <v>176</v>
      </c>
      <c r="N182" s="28"/>
      <c r="O182" s="28" t="s">
        <v>330</v>
      </c>
      <c r="P182" s="29" t="s">
        <v>184</v>
      </c>
      <c r="Q182" s="30">
        <v>0.57291666666666663</v>
      </c>
    </row>
    <row r="183" spans="1:17" x14ac:dyDescent="0.25">
      <c r="A183" s="26" t="s">
        <v>295</v>
      </c>
      <c r="B183" s="26" t="s">
        <v>187</v>
      </c>
      <c r="C183" s="27">
        <v>43615</v>
      </c>
      <c r="D183" s="28" t="s">
        <v>176</v>
      </c>
      <c r="E183" s="28"/>
      <c r="F183" s="28" t="s">
        <v>319</v>
      </c>
      <c r="G183" s="29" t="s">
        <v>188</v>
      </c>
      <c r="H183" s="30">
        <v>0.75347222222222221</v>
      </c>
      <c r="J183" s="26" t="s">
        <v>304</v>
      </c>
      <c r="K183" s="26" t="s">
        <v>182</v>
      </c>
      <c r="L183" s="27">
        <v>43615</v>
      </c>
      <c r="M183" s="28" t="s">
        <v>176</v>
      </c>
      <c r="N183" s="28"/>
      <c r="O183" s="28" t="s">
        <v>330</v>
      </c>
      <c r="P183" s="29" t="s">
        <v>188</v>
      </c>
      <c r="Q183" s="30">
        <v>0.76250000000000007</v>
      </c>
    </row>
    <row r="184" spans="1:17" x14ac:dyDescent="0.25">
      <c r="A184" s="26" t="s">
        <v>304</v>
      </c>
      <c r="B184" s="26" t="s">
        <v>182</v>
      </c>
      <c r="C184" s="27">
        <v>43615</v>
      </c>
      <c r="D184" s="28" t="s">
        <v>176</v>
      </c>
      <c r="E184" s="28"/>
      <c r="F184" s="28" t="s">
        <v>330</v>
      </c>
      <c r="G184" s="29" t="s">
        <v>188</v>
      </c>
      <c r="H184" s="30">
        <v>0.76250000000000007</v>
      </c>
      <c r="J184" s="26" t="s">
        <v>291</v>
      </c>
      <c r="K184" s="26" t="s">
        <v>187</v>
      </c>
      <c r="L184" s="27">
        <v>43615</v>
      </c>
      <c r="M184" s="28" t="s">
        <v>176</v>
      </c>
      <c r="N184" s="28"/>
      <c r="O184" s="28" t="s">
        <v>330</v>
      </c>
      <c r="P184" s="29" t="s">
        <v>188</v>
      </c>
      <c r="Q184" s="30">
        <v>0.90555555555555556</v>
      </c>
    </row>
    <row r="185" spans="1:17" x14ac:dyDescent="0.25">
      <c r="A185" s="26" t="s">
        <v>224</v>
      </c>
      <c r="B185" s="26" t="s">
        <v>187</v>
      </c>
      <c r="C185" s="27">
        <v>43615</v>
      </c>
      <c r="D185" s="28" t="s">
        <v>176</v>
      </c>
      <c r="E185" s="28"/>
      <c r="F185" s="28" t="s">
        <v>318</v>
      </c>
      <c r="G185" s="29" t="s">
        <v>188</v>
      </c>
      <c r="H185" s="30">
        <v>0.66111111111111109</v>
      </c>
      <c r="J185" s="26" t="s">
        <v>154</v>
      </c>
      <c r="K185" s="26" t="s">
        <v>187</v>
      </c>
      <c r="L185" s="27">
        <v>43606</v>
      </c>
      <c r="M185" s="28" t="s">
        <v>176</v>
      </c>
      <c r="N185" s="28"/>
      <c r="O185" s="28" t="s">
        <v>342</v>
      </c>
      <c r="P185" s="29" t="s">
        <v>188</v>
      </c>
      <c r="Q185" s="30">
        <v>0.81874999999999998</v>
      </c>
    </row>
    <row r="186" spans="1:17" x14ac:dyDescent="0.25">
      <c r="A186" s="26" t="s">
        <v>291</v>
      </c>
      <c r="B186" s="26" t="s">
        <v>187</v>
      </c>
      <c r="C186" s="27">
        <v>43615</v>
      </c>
      <c r="D186" s="28" t="s">
        <v>176</v>
      </c>
      <c r="E186" s="28"/>
      <c r="F186" s="28" t="s">
        <v>330</v>
      </c>
      <c r="G186" s="29" t="s">
        <v>188</v>
      </c>
      <c r="H186" s="30">
        <v>0.90555555555555556</v>
      </c>
      <c r="J186" s="26" t="s">
        <v>155</v>
      </c>
      <c r="K186" s="26" t="s">
        <v>182</v>
      </c>
      <c r="L186" s="27">
        <v>43613</v>
      </c>
      <c r="M186" s="28" t="s">
        <v>176</v>
      </c>
      <c r="N186" s="28"/>
      <c r="O186" s="28" t="s">
        <v>342</v>
      </c>
      <c r="P186" s="29" t="s">
        <v>188</v>
      </c>
      <c r="Q186" s="30">
        <v>0.6479166666666667</v>
      </c>
    </row>
    <row r="187" spans="1:17" x14ac:dyDescent="0.25">
      <c r="A187" s="26" t="s">
        <v>282</v>
      </c>
      <c r="B187" s="26" t="s">
        <v>187</v>
      </c>
      <c r="C187" s="27">
        <v>43615</v>
      </c>
      <c r="D187" s="28" t="s">
        <v>176</v>
      </c>
      <c r="E187" s="28"/>
      <c r="F187" s="28" t="s">
        <v>322</v>
      </c>
      <c r="G187" s="29" t="s">
        <v>188</v>
      </c>
      <c r="H187" s="30">
        <v>0.81874999999999998</v>
      </c>
      <c r="J187" s="26" t="s">
        <v>312</v>
      </c>
      <c r="K187" s="26" t="s">
        <v>187</v>
      </c>
      <c r="L187" s="27">
        <v>43614</v>
      </c>
      <c r="M187" s="28" t="s">
        <v>176</v>
      </c>
      <c r="N187" s="28"/>
      <c r="O187" s="28" t="s">
        <v>342</v>
      </c>
      <c r="P187" s="29" t="s">
        <v>188</v>
      </c>
      <c r="Q187" s="30">
        <v>0.76388888888888884</v>
      </c>
    </row>
    <row r="188" spans="1:17" x14ac:dyDescent="0.25">
      <c r="A188" s="26" t="s">
        <v>283</v>
      </c>
      <c r="B188" s="26" t="s">
        <v>317</v>
      </c>
      <c r="C188" s="27">
        <v>43615</v>
      </c>
      <c r="D188" s="28" t="s">
        <v>176</v>
      </c>
      <c r="E188" s="28"/>
      <c r="F188" s="28" t="s">
        <v>322</v>
      </c>
      <c r="G188" s="29" t="s">
        <v>188</v>
      </c>
      <c r="H188" s="30">
        <v>0.79375000000000007</v>
      </c>
      <c r="J188" s="26" t="s">
        <v>313</v>
      </c>
      <c r="K188" s="26" t="s">
        <v>182</v>
      </c>
      <c r="L188" s="27">
        <v>43614</v>
      </c>
      <c r="M188" s="28" t="s">
        <v>176</v>
      </c>
      <c r="N188" s="28"/>
      <c r="O188" s="28" t="s">
        <v>342</v>
      </c>
      <c r="P188" s="29" t="s">
        <v>188</v>
      </c>
      <c r="Q188" s="30">
        <v>0.97916666666666663</v>
      </c>
    </row>
    <row r="189" spans="1:17" x14ac:dyDescent="0.25">
      <c r="A189" s="26" t="s">
        <v>284</v>
      </c>
      <c r="B189" s="26" t="s">
        <v>182</v>
      </c>
      <c r="C189" s="27">
        <v>43615</v>
      </c>
      <c r="D189" s="28" t="s">
        <v>176</v>
      </c>
      <c r="E189" s="28"/>
      <c r="F189" s="28" t="s">
        <v>344</v>
      </c>
      <c r="G189" s="29" t="s">
        <v>188</v>
      </c>
      <c r="H189" s="30">
        <v>0.82708333333333339</v>
      </c>
      <c r="J189" s="26" t="s">
        <v>227</v>
      </c>
      <c r="K189" s="26" t="s">
        <v>187</v>
      </c>
      <c r="L189" s="27">
        <v>43579</v>
      </c>
      <c r="M189" s="28" t="s">
        <v>176</v>
      </c>
      <c r="N189" s="28"/>
      <c r="O189" s="28" t="s">
        <v>326</v>
      </c>
      <c r="P189" s="29" t="s">
        <v>188</v>
      </c>
      <c r="Q189" s="30">
        <v>0.72013888888888899</v>
      </c>
    </row>
    <row r="190" spans="1:17" x14ac:dyDescent="0.25">
      <c r="A190" s="26" t="s">
        <v>274</v>
      </c>
      <c r="B190" s="26" t="s">
        <v>187</v>
      </c>
      <c r="C190" s="27">
        <v>43615</v>
      </c>
      <c r="D190" s="28" t="s">
        <v>176</v>
      </c>
      <c r="E190" s="28"/>
      <c r="F190" s="28" t="s">
        <v>319</v>
      </c>
      <c r="G190" s="29" t="s">
        <v>188</v>
      </c>
      <c r="H190" s="30">
        <v>0.66180555555555554</v>
      </c>
      <c r="J190" s="26" t="s">
        <v>146</v>
      </c>
      <c r="K190" s="26" t="s">
        <v>182</v>
      </c>
      <c r="L190" s="27">
        <v>43591</v>
      </c>
      <c r="M190" s="28" t="s">
        <v>176</v>
      </c>
      <c r="N190" s="28"/>
      <c r="O190" s="28" t="s">
        <v>326</v>
      </c>
      <c r="P190" s="29" t="s">
        <v>188</v>
      </c>
      <c r="Q190" s="30">
        <v>0.77618055555555554</v>
      </c>
    </row>
    <row r="191" spans="1:17" x14ac:dyDescent="0.25">
      <c r="A191" s="26" t="s">
        <v>281</v>
      </c>
      <c r="B191" s="26" t="s">
        <v>187</v>
      </c>
      <c r="C191" s="27">
        <v>43615</v>
      </c>
      <c r="D191" s="28" t="s">
        <v>176</v>
      </c>
      <c r="E191" s="28"/>
      <c r="F191" s="28" t="s">
        <v>319</v>
      </c>
      <c r="G191" s="29" t="s">
        <v>184</v>
      </c>
      <c r="H191" s="30">
        <v>0.59166666666666667</v>
      </c>
      <c r="J191" s="26" t="s">
        <v>270</v>
      </c>
      <c r="K191" s="26" t="s">
        <v>182</v>
      </c>
      <c r="L191" s="27">
        <v>43593</v>
      </c>
      <c r="M191" s="28" t="s">
        <v>176</v>
      </c>
      <c r="N191" s="28"/>
      <c r="O191" s="28" t="s">
        <v>326</v>
      </c>
      <c r="P191" s="29" t="s">
        <v>188</v>
      </c>
      <c r="Q191" s="30">
        <v>0.76458333333333339</v>
      </c>
    </row>
    <row r="192" spans="1:17" x14ac:dyDescent="0.25">
      <c r="A192" s="26" t="s">
        <v>234</v>
      </c>
      <c r="B192" s="26" t="s">
        <v>182</v>
      </c>
      <c r="C192" s="27">
        <v>43615</v>
      </c>
      <c r="D192" s="28" t="s">
        <v>176</v>
      </c>
      <c r="E192" s="28"/>
      <c r="F192" s="28" t="s">
        <v>186</v>
      </c>
      <c r="G192" s="29" t="s">
        <v>184</v>
      </c>
      <c r="H192" s="30">
        <v>0.59166666666666667</v>
      </c>
      <c r="J192" s="26" t="s">
        <v>147</v>
      </c>
      <c r="K192" s="26" t="s">
        <v>182</v>
      </c>
      <c r="L192" s="27">
        <v>43598</v>
      </c>
      <c r="M192" s="28" t="s">
        <v>176</v>
      </c>
      <c r="N192" s="28"/>
      <c r="O192" s="28" t="s">
        <v>326</v>
      </c>
      <c r="P192" s="29" t="s">
        <v>188</v>
      </c>
      <c r="Q192" s="30">
        <v>0.71597222222222223</v>
      </c>
    </row>
    <row r="193" spans="1:17" x14ac:dyDescent="0.25">
      <c r="A193" s="26" t="s">
        <v>310</v>
      </c>
      <c r="B193" s="26" t="s">
        <v>182</v>
      </c>
      <c r="C193" s="27">
        <v>43615</v>
      </c>
      <c r="D193" s="28" t="s">
        <v>176</v>
      </c>
      <c r="E193" s="28"/>
      <c r="F193" s="28" t="s">
        <v>319</v>
      </c>
      <c r="G193" s="29" t="s">
        <v>188</v>
      </c>
      <c r="H193" s="30">
        <v>0.73611111111111116</v>
      </c>
      <c r="J193" s="26" t="s">
        <v>159</v>
      </c>
      <c r="K193" s="26" t="s">
        <v>187</v>
      </c>
      <c r="L193" s="27">
        <v>43585</v>
      </c>
      <c r="M193" s="28" t="s">
        <v>176</v>
      </c>
      <c r="N193" s="28"/>
      <c r="O193" s="28" t="s">
        <v>331</v>
      </c>
      <c r="P193" s="29" t="s">
        <v>184</v>
      </c>
      <c r="Q193" s="30">
        <v>0.57361111111111118</v>
      </c>
    </row>
    <row r="194" spans="1:17" x14ac:dyDescent="0.25">
      <c r="A194" s="26" t="s">
        <v>300</v>
      </c>
      <c r="B194" s="26" t="s">
        <v>187</v>
      </c>
      <c r="C194" s="27">
        <v>43615</v>
      </c>
      <c r="D194" s="28" t="s">
        <v>176</v>
      </c>
      <c r="E194" s="28"/>
      <c r="F194" s="28" t="s">
        <v>319</v>
      </c>
      <c r="G194" s="29" t="s">
        <v>188</v>
      </c>
      <c r="H194" s="30">
        <v>0.77916666666666667</v>
      </c>
      <c r="J194" s="26" t="s">
        <v>241</v>
      </c>
      <c r="K194" s="26" t="s">
        <v>182</v>
      </c>
      <c r="L194" s="27">
        <v>43588</v>
      </c>
      <c r="M194" s="28" t="s">
        <v>176</v>
      </c>
      <c r="N194" s="28"/>
      <c r="O194" s="28" t="s">
        <v>331</v>
      </c>
      <c r="P194" s="29" t="s">
        <v>184</v>
      </c>
      <c r="Q194" s="30">
        <v>0.52638888888888891</v>
      </c>
    </row>
    <row r="195" spans="1:17" x14ac:dyDescent="0.25">
      <c r="A195" s="26" t="s">
        <v>145</v>
      </c>
      <c r="B195" s="26" t="s">
        <v>187</v>
      </c>
      <c r="C195" s="27">
        <v>43615</v>
      </c>
      <c r="D195" s="28" t="s">
        <v>176</v>
      </c>
      <c r="E195" s="28"/>
      <c r="F195" s="28" t="s">
        <v>329</v>
      </c>
      <c r="G195" s="29" t="s">
        <v>188</v>
      </c>
      <c r="H195" s="30">
        <v>0.71875</v>
      </c>
      <c r="J195" s="26" t="s">
        <v>285</v>
      </c>
      <c r="K195" s="26" t="s">
        <v>182</v>
      </c>
      <c r="L195" s="27">
        <v>43598</v>
      </c>
      <c r="M195" s="28" t="s">
        <v>176</v>
      </c>
      <c r="N195" s="28"/>
      <c r="O195" s="28" t="s">
        <v>331</v>
      </c>
      <c r="P195" s="29" t="s">
        <v>188</v>
      </c>
      <c r="Q195" s="30">
        <v>0.74513888888888891</v>
      </c>
    </row>
    <row r="196" spans="1:17" x14ac:dyDescent="0.25">
      <c r="A196" s="31" t="s">
        <v>262</v>
      </c>
      <c r="B196" s="31" t="s">
        <v>336</v>
      </c>
      <c r="C196" s="32">
        <v>43644</v>
      </c>
      <c r="D196" s="28" t="s">
        <v>176</v>
      </c>
      <c r="E196" s="28"/>
      <c r="F196" s="28" t="s">
        <v>318</v>
      </c>
      <c r="G196" s="29" t="s">
        <v>188</v>
      </c>
      <c r="H196" s="30">
        <v>0.77361111111111114</v>
      </c>
      <c r="J196" s="26" t="s">
        <v>158</v>
      </c>
      <c r="K196" s="26" t="s">
        <v>187</v>
      </c>
      <c r="L196" s="27">
        <v>43602</v>
      </c>
      <c r="M196" s="28" t="s">
        <v>176</v>
      </c>
      <c r="N196" s="28"/>
      <c r="O196" s="28" t="s">
        <v>331</v>
      </c>
      <c r="P196" s="29" t="s">
        <v>184</v>
      </c>
      <c r="Q196" s="30">
        <v>0.52916666666666667</v>
      </c>
    </row>
  </sheetData>
  <autoFilter ref="A2:Q217"/>
  <mergeCells count="2">
    <mergeCell ref="A1:H1"/>
    <mergeCell ref="J1:Q1"/>
  </mergeCells>
  <conditionalFormatting sqref="A3:A169">
    <cfRule type="duplicateValues" dxfId="2140" priority="1061"/>
  </conditionalFormatting>
  <conditionalFormatting sqref="J3:J169">
    <cfRule type="duplicateValues" dxfId="2139" priority="1060"/>
  </conditionalFormatting>
  <conditionalFormatting sqref="A3:A169">
    <cfRule type="duplicateValues" dxfId="2138" priority="1059"/>
  </conditionalFormatting>
  <conditionalFormatting sqref="J3:J169">
    <cfRule type="duplicateValues" dxfId="2137" priority="1058"/>
  </conditionalFormatting>
  <conditionalFormatting sqref="J3:J169">
    <cfRule type="duplicateValues" dxfId="2136" priority="1057"/>
  </conditionalFormatting>
  <conditionalFormatting sqref="A3:A166">
    <cfRule type="duplicateValues" dxfId="2135" priority="1056"/>
  </conditionalFormatting>
  <conditionalFormatting sqref="J3:J166">
    <cfRule type="duplicateValues" dxfId="2134" priority="1055"/>
  </conditionalFormatting>
  <conditionalFormatting sqref="J3:J166">
    <cfRule type="duplicateValues" dxfId="2133" priority="1054"/>
  </conditionalFormatting>
  <conditionalFormatting sqref="A3:A169">
    <cfRule type="duplicateValues" dxfId="2132" priority="1053"/>
  </conditionalFormatting>
  <conditionalFormatting sqref="J3:J169">
    <cfRule type="duplicateValues" dxfId="2131" priority="1052"/>
  </conditionalFormatting>
  <conditionalFormatting sqref="A3:A169">
    <cfRule type="duplicateValues" dxfId="2130" priority="1051"/>
  </conditionalFormatting>
  <conditionalFormatting sqref="J3:J169">
    <cfRule type="duplicateValues" dxfId="2129" priority="1050"/>
  </conditionalFormatting>
  <conditionalFormatting sqref="A3:A169">
    <cfRule type="duplicateValues" dxfId="2128" priority="1049"/>
  </conditionalFormatting>
  <conditionalFormatting sqref="J3:J169">
    <cfRule type="duplicateValues" dxfId="2127" priority="1048"/>
  </conditionalFormatting>
  <conditionalFormatting sqref="A3:A169">
    <cfRule type="duplicateValues" dxfId="2126" priority="1047"/>
  </conditionalFormatting>
  <conditionalFormatting sqref="J3:J169">
    <cfRule type="duplicateValues" dxfId="2125" priority="1046"/>
  </conditionalFormatting>
  <conditionalFormatting sqref="A3:A169">
    <cfRule type="duplicateValues" dxfId="2124" priority="1045"/>
  </conditionalFormatting>
  <conditionalFormatting sqref="J3:J169">
    <cfRule type="duplicateValues" dxfId="2123" priority="1044"/>
  </conditionalFormatting>
  <conditionalFormatting sqref="A3:A169">
    <cfRule type="duplicateValues" dxfId="2122" priority="1043"/>
  </conditionalFormatting>
  <conditionalFormatting sqref="J3:J169">
    <cfRule type="duplicateValues" dxfId="2121" priority="1042"/>
  </conditionalFormatting>
  <conditionalFormatting sqref="J3:J169">
    <cfRule type="duplicateValues" dxfId="2120" priority="1041"/>
  </conditionalFormatting>
  <conditionalFormatting sqref="A3:A169">
    <cfRule type="duplicateValues" dxfId="2119" priority="1040"/>
  </conditionalFormatting>
  <conditionalFormatting sqref="J3:J169">
    <cfRule type="duplicateValues" dxfId="2118" priority="1039"/>
  </conditionalFormatting>
  <conditionalFormatting sqref="J3:J169">
    <cfRule type="duplicateValues" dxfId="2117" priority="1038"/>
  </conditionalFormatting>
  <conditionalFormatting sqref="A3:A169">
    <cfRule type="duplicateValues" dxfId="2116" priority="1037"/>
  </conditionalFormatting>
  <conditionalFormatting sqref="J3:J169">
    <cfRule type="duplicateValues" dxfId="2115" priority="1036"/>
  </conditionalFormatting>
  <conditionalFormatting sqref="J3:J169">
    <cfRule type="duplicateValues" dxfId="2114" priority="1035"/>
  </conditionalFormatting>
  <conditionalFormatting sqref="A9:A169">
    <cfRule type="duplicateValues" dxfId="2113" priority="1034"/>
  </conditionalFormatting>
  <conditionalFormatting sqref="J9:J169">
    <cfRule type="duplicateValues" dxfId="2112" priority="1033"/>
  </conditionalFormatting>
  <conditionalFormatting sqref="A3:A8">
    <cfRule type="duplicateValues" dxfId="2111" priority="1032"/>
  </conditionalFormatting>
  <conditionalFormatting sqref="J3:J8">
    <cfRule type="duplicateValues" dxfId="2110" priority="1031"/>
  </conditionalFormatting>
  <conditionalFormatting sqref="A9:A13">
    <cfRule type="duplicateValues" dxfId="2109" priority="1030"/>
  </conditionalFormatting>
  <conditionalFormatting sqref="J9">
    <cfRule type="duplicateValues" dxfId="2108" priority="1029"/>
  </conditionalFormatting>
  <conditionalFormatting sqref="J3:J8">
    <cfRule type="duplicateValues" dxfId="2107" priority="1028"/>
  </conditionalFormatting>
  <conditionalFormatting sqref="J9">
    <cfRule type="duplicateValues" dxfId="2106" priority="1027"/>
  </conditionalFormatting>
  <conditionalFormatting sqref="J9:J11">
    <cfRule type="duplicateValues" dxfId="2105" priority="1026"/>
  </conditionalFormatting>
  <conditionalFormatting sqref="J3:J8">
    <cfRule type="duplicateValues" dxfId="2104" priority="1025"/>
  </conditionalFormatting>
  <conditionalFormatting sqref="J9:J11">
    <cfRule type="duplicateValues" dxfId="2103" priority="1024"/>
  </conditionalFormatting>
  <conditionalFormatting sqref="A14:A15">
    <cfRule type="duplicateValues" dxfId="2102" priority="1023"/>
  </conditionalFormatting>
  <conditionalFormatting sqref="J9:J15">
    <cfRule type="duplicateValues" dxfId="2101" priority="1022"/>
  </conditionalFormatting>
  <conditionalFormatting sqref="J3:J8">
    <cfRule type="duplicateValues" dxfId="2100" priority="1021"/>
  </conditionalFormatting>
  <conditionalFormatting sqref="J9:J13">
    <cfRule type="duplicateValues" dxfId="2099" priority="1020"/>
  </conditionalFormatting>
  <conditionalFormatting sqref="J14:J15">
    <cfRule type="duplicateValues" dxfId="2098" priority="1019"/>
  </conditionalFormatting>
  <conditionalFormatting sqref="A19:A169">
    <cfRule type="duplicateValues" dxfId="2097" priority="1018"/>
  </conditionalFormatting>
  <conditionalFormatting sqref="J19:J169">
    <cfRule type="duplicateValues" dxfId="2096" priority="1017"/>
  </conditionalFormatting>
  <conditionalFormatting sqref="A3:A18">
    <cfRule type="duplicateValues" dxfId="2095" priority="1016"/>
  </conditionalFormatting>
  <conditionalFormatting sqref="J3:J18">
    <cfRule type="duplicateValues" dxfId="2094" priority="1015"/>
  </conditionalFormatting>
  <conditionalFormatting sqref="A19:A21">
    <cfRule type="duplicateValues" dxfId="2093" priority="1014"/>
  </conditionalFormatting>
  <conditionalFormatting sqref="J19:J20">
    <cfRule type="duplicateValues" dxfId="2092" priority="1013"/>
  </conditionalFormatting>
  <conditionalFormatting sqref="J3:J18">
    <cfRule type="duplicateValues" dxfId="2091" priority="1012"/>
  </conditionalFormatting>
  <conditionalFormatting sqref="J19:J20">
    <cfRule type="duplicateValues" dxfId="2090" priority="1011"/>
  </conditionalFormatting>
  <conditionalFormatting sqref="A26:A169">
    <cfRule type="duplicateValues" dxfId="2089" priority="1010"/>
  </conditionalFormatting>
  <conditionalFormatting sqref="J26:J169">
    <cfRule type="duplicateValues" dxfId="2088" priority="1009"/>
  </conditionalFormatting>
  <conditionalFormatting sqref="A3:A25">
    <cfRule type="duplicateValues" dxfId="2087" priority="1008"/>
  </conditionalFormatting>
  <conditionalFormatting sqref="J3:J25">
    <cfRule type="duplicateValues" dxfId="2086" priority="1007"/>
  </conditionalFormatting>
  <conditionalFormatting sqref="A19:A169">
    <cfRule type="duplicateValues" dxfId="2085" priority="1006"/>
  </conditionalFormatting>
  <conditionalFormatting sqref="J19:J169">
    <cfRule type="duplicateValues" dxfId="2084" priority="1005"/>
  </conditionalFormatting>
  <conditionalFormatting sqref="A3:A18">
    <cfRule type="duplicateValues" dxfId="2083" priority="1004"/>
  </conditionalFormatting>
  <conditionalFormatting sqref="J3:J18">
    <cfRule type="duplicateValues" dxfId="2082" priority="1003"/>
  </conditionalFormatting>
  <conditionalFormatting sqref="A19:A21">
    <cfRule type="duplicateValues" dxfId="2081" priority="1002"/>
  </conditionalFormatting>
  <conditionalFormatting sqref="J19:J20">
    <cfRule type="duplicateValues" dxfId="2080" priority="1001"/>
  </conditionalFormatting>
  <conditionalFormatting sqref="J3:J18">
    <cfRule type="duplicateValues" dxfId="2079" priority="1000"/>
  </conditionalFormatting>
  <conditionalFormatting sqref="J19:J20">
    <cfRule type="duplicateValues" dxfId="2078" priority="999"/>
  </conditionalFormatting>
  <conditionalFormatting sqref="A22:A34">
    <cfRule type="duplicateValues" dxfId="2077" priority="998"/>
  </conditionalFormatting>
  <conditionalFormatting sqref="J19:J34">
    <cfRule type="duplicateValues" dxfId="2076" priority="997"/>
  </conditionalFormatting>
  <conditionalFormatting sqref="J3:J18">
    <cfRule type="duplicateValues" dxfId="2075" priority="996"/>
  </conditionalFormatting>
  <conditionalFormatting sqref="J19:J21">
    <cfRule type="duplicateValues" dxfId="2074" priority="995"/>
  </conditionalFormatting>
  <conditionalFormatting sqref="J22:J34">
    <cfRule type="duplicateValues" dxfId="2073" priority="994"/>
  </conditionalFormatting>
  <conditionalFormatting sqref="A38:A169">
    <cfRule type="duplicateValues" dxfId="2072" priority="993"/>
  </conditionalFormatting>
  <conditionalFormatting sqref="J38:J169">
    <cfRule type="duplicateValues" dxfId="2071" priority="992"/>
  </conditionalFormatting>
  <conditionalFormatting sqref="A3:A37">
    <cfRule type="duplicateValues" dxfId="2070" priority="991"/>
  </conditionalFormatting>
  <conditionalFormatting sqref="J3:J37">
    <cfRule type="duplicateValues" dxfId="2069" priority="990"/>
  </conditionalFormatting>
  <conditionalFormatting sqref="A48:A169">
    <cfRule type="duplicateValues" dxfId="2068" priority="989"/>
  </conditionalFormatting>
  <conditionalFormatting sqref="J48:J169">
    <cfRule type="duplicateValues" dxfId="2067" priority="988"/>
  </conditionalFormatting>
  <conditionalFormatting sqref="A3:A47">
    <cfRule type="duplicateValues" dxfId="2066" priority="987"/>
  </conditionalFormatting>
  <conditionalFormatting sqref="J3:J47">
    <cfRule type="duplicateValues" dxfId="2065" priority="986"/>
  </conditionalFormatting>
  <conditionalFormatting sqref="A48:A169">
    <cfRule type="duplicateValues" dxfId="2064" priority="985"/>
  </conditionalFormatting>
  <conditionalFormatting sqref="J48:J169">
    <cfRule type="duplicateValues" dxfId="2063" priority="984"/>
  </conditionalFormatting>
  <conditionalFormatting sqref="A3:A47">
    <cfRule type="duplicateValues" dxfId="2062" priority="983"/>
  </conditionalFormatting>
  <conditionalFormatting sqref="J3:J47">
    <cfRule type="duplicateValues" dxfId="2061" priority="982"/>
  </conditionalFormatting>
  <conditionalFormatting sqref="A48:A52">
    <cfRule type="duplicateValues" dxfId="2060" priority="981"/>
  </conditionalFormatting>
  <conditionalFormatting sqref="J48:J51">
    <cfRule type="duplicateValues" dxfId="2059" priority="980"/>
  </conditionalFormatting>
  <conditionalFormatting sqref="J3:J47">
    <cfRule type="duplicateValues" dxfId="2058" priority="979"/>
  </conditionalFormatting>
  <conditionalFormatting sqref="J48:J51">
    <cfRule type="duplicateValues" dxfId="2057" priority="978"/>
  </conditionalFormatting>
  <conditionalFormatting sqref="A48:A169">
    <cfRule type="duplicateValues" dxfId="2056" priority="977"/>
  </conditionalFormatting>
  <conditionalFormatting sqref="J48:J169">
    <cfRule type="duplicateValues" dxfId="2055" priority="976"/>
  </conditionalFormatting>
  <conditionalFormatting sqref="A3:A47">
    <cfRule type="duplicateValues" dxfId="2054" priority="975"/>
  </conditionalFormatting>
  <conditionalFormatting sqref="J3:J47">
    <cfRule type="duplicateValues" dxfId="2053" priority="974"/>
  </conditionalFormatting>
  <conditionalFormatting sqref="A48:A52">
    <cfRule type="duplicateValues" dxfId="2052" priority="973"/>
  </conditionalFormatting>
  <conditionalFormatting sqref="J48:J51">
    <cfRule type="duplicateValues" dxfId="2051" priority="972"/>
  </conditionalFormatting>
  <conditionalFormatting sqref="J3:J47">
    <cfRule type="duplicateValues" dxfId="2050" priority="971"/>
  </conditionalFormatting>
  <conditionalFormatting sqref="J48:J51">
    <cfRule type="duplicateValues" dxfId="2049" priority="970"/>
  </conditionalFormatting>
  <conditionalFormatting sqref="A53:A72">
    <cfRule type="duplicateValues" dxfId="2048" priority="969"/>
  </conditionalFormatting>
  <conditionalFormatting sqref="J48:J63">
    <cfRule type="duplicateValues" dxfId="2047" priority="968"/>
  </conditionalFormatting>
  <conditionalFormatting sqref="J3:J47">
    <cfRule type="duplicateValues" dxfId="2046" priority="967"/>
  </conditionalFormatting>
  <conditionalFormatting sqref="J48:J52">
    <cfRule type="duplicateValues" dxfId="2045" priority="966"/>
  </conditionalFormatting>
  <conditionalFormatting sqref="J53:J63">
    <cfRule type="duplicateValues" dxfId="2044" priority="965"/>
  </conditionalFormatting>
  <conditionalFormatting sqref="A48:A169">
    <cfRule type="duplicateValues" dxfId="2043" priority="964"/>
  </conditionalFormatting>
  <conditionalFormatting sqref="J48:J169">
    <cfRule type="duplicateValues" dxfId="2042" priority="963"/>
  </conditionalFormatting>
  <conditionalFormatting sqref="A3:A47">
    <cfRule type="duplicateValues" dxfId="2041" priority="962"/>
  </conditionalFormatting>
  <conditionalFormatting sqref="J3:J47">
    <cfRule type="duplicateValues" dxfId="2040" priority="961"/>
  </conditionalFormatting>
  <conditionalFormatting sqref="A48:A52">
    <cfRule type="duplicateValues" dxfId="2039" priority="960"/>
  </conditionalFormatting>
  <conditionalFormatting sqref="J48:J51">
    <cfRule type="duplicateValues" dxfId="2038" priority="959"/>
  </conditionalFormatting>
  <conditionalFormatting sqref="J3:J47">
    <cfRule type="duplicateValues" dxfId="2037" priority="958"/>
  </conditionalFormatting>
  <conditionalFormatting sqref="J48:J51">
    <cfRule type="duplicateValues" dxfId="2036" priority="957"/>
  </conditionalFormatting>
  <conditionalFormatting sqref="A53:A72">
    <cfRule type="duplicateValues" dxfId="2035" priority="956"/>
  </conditionalFormatting>
  <conditionalFormatting sqref="J48:J63">
    <cfRule type="duplicateValues" dxfId="2034" priority="955"/>
  </conditionalFormatting>
  <conditionalFormatting sqref="J3:J47">
    <cfRule type="duplicateValues" dxfId="2033" priority="954"/>
  </conditionalFormatting>
  <conditionalFormatting sqref="J48:J52">
    <cfRule type="duplicateValues" dxfId="2032" priority="953"/>
  </conditionalFormatting>
  <conditionalFormatting sqref="J53:J63">
    <cfRule type="duplicateValues" dxfId="2031" priority="952"/>
  </conditionalFormatting>
  <conditionalFormatting sqref="J48:J70">
    <cfRule type="duplicateValues" dxfId="2030" priority="951"/>
  </conditionalFormatting>
  <conditionalFormatting sqref="J3:J47">
    <cfRule type="duplicateValues" dxfId="2029" priority="950"/>
  </conditionalFormatting>
  <conditionalFormatting sqref="J48:J52">
    <cfRule type="duplicateValues" dxfId="2028" priority="949"/>
  </conditionalFormatting>
  <conditionalFormatting sqref="J53:J70">
    <cfRule type="duplicateValues" dxfId="2027" priority="948"/>
  </conditionalFormatting>
  <conditionalFormatting sqref="A48:A169">
    <cfRule type="duplicateValues" dxfId="2026" priority="947"/>
  </conditionalFormatting>
  <conditionalFormatting sqref="J48:J169">
    <cfRule type="duplicateValues" dxfId="2025" priority="946"/>
  </conditionalFormatting>
  <conditionalFormatting sqref="A3:A47">
    <cfRule type="duplicateValues" dxfId="2024" priority="945"/>
  </conditionalFormatting>
  <conditionalFormatting sqref="J3:J47">
    <cfRule type="duplicateValues" dxfId="2023" priority="944"/>
  </conditionalFormatting>
  <conditionalFormatting sqref="A48:A52">
    <cfRule type="duplicateValues" dxfId="2022" priority="943"/>
  </conditionalFormatting>
  <conditionalFormatting sqref="J48:J51">
    <cfRule type="duplicateValues" dxfId="2021" priority="942"/>
  </conditionalFormatting>
  <conditionalFormatting sqref="J3:J47">
    <cfRule type="duplicateValues" dxfId="2020" priority="941"/>
  </conditionalFormatting>
  <conditionalFormatting sqref="J48:J51">
    <cfRule type="duplicateValues" dxfId="2019" priority="940"/>
  </conditionalFormatting>
  <conditionalFormatting sqref="A53:A72">
    <cfRule type="duplicateValues" dxfId="2018" priority="939"/>
  </conditionalFormatting>
  <conditionalFormatting sqref="J48:J63">
    <cfRule type="duplicateValues" dxfId="2017" priority="938"/>
  </conditionalFormatting>
  <conditionalFormatting sqref="J3:J47">
    <cfRule type="duplicateValues" dxfId="2016" priority="937"/>
  </conditionalFormatting>
  <conditionalFormatting sqref="J48:J52">
    <cfRule type="duplicateValues" dxfId="2015" priority="936"/>
  </conditionalFormatting>
  <conditionalFormatting sqref="J53:J63">
    <cfRule type="duplicateValues" dxfId="2014" priority="935"/>
  </conditionalFormatting>
  <conditionalFormatting sqref="J48:J70">
    <cfRule type="duplicateValues" dxfId="2013" priority="934"/>
  </conditionalFormatting>
  <conditionalFormatting sqref="J3:J47">
    <cfRule type="duplicateValues" dxfId="2012" priority="933"/>
  </conditionalFormatting>
  <conditionalFormatting sqref="J48:J52">
    <cfRule type="duplicateValues" dxfId="2011" priority="932"/>
  </conditionalFormatting>
  <conditionalFormatting sqref="J53:J70">
    <cfRule type="duplicateValues" dxfId="2010" priority="931"/>
  </conditionalFormatting>
  <conditionalFormatting sqref="A73:A77">
    <cfRule type="duplicateValues" dxfId="2009" priority="930"/>
  </conditionalFormatting>
  <conditionalFormatting sqref="J48:J77">
    <cfRule type="duplicateValues" dxfId="2008" priority="929"/>
  </conditionalFormatting>
  <conditionalFormatting sqref="J3:J47">
    <cfRule type="duplicateValues" dxfId="2007" priority="928"/>
  </conditionalFormatting>
  <conditionalFormatting sqref="J48:J52">
    <cfRule type="duplicateValues" dxfId="2006" priority="927"/>
  </conditionalFormatting>
  <conditionalFormatting sqref="J53:J72">
    <cfRule type="duplicateValues" dxfId="2005" priority="926"/>
  </conditionalFormatting>
  <conditionalFormatting sqref="J73:J77">
    <cfRule type="duplicateValues" dxfId="2004" priority="925"/>
  </conditionalFormatting>
  <conditionalFormatting sqref="A3:A47">
    <cfRule type="duplicateValues" dxfId="2003" priority="924"/>
  </conditionalFormatting>
  <conditionalFormatting sqref="J3:J47">
    <cfRule type="duplicateValues" dxfId="2002" priority="923"/>
  </conditionalFormatting>
  <conditionalFormatting sqref="A47:A52">
    <cfRule type="duplicateValues" dxfId="2001" priority="922"/>
  </conditionalFormatting>
  <conditionalFormatting sqref="J48:J51">
    <cfRule type="duplicateValues" dxfId="2000" priority="921"/>
  </conditionalFormatting>
  <conditionalFormatting sqref="A52:A72">
    <cfRule type="duplicateValues" dxfId="1999" priority="920"/>
  </conditionalFormatting>
  <conditionalFormatting sqref="J48:J63">
    <cfRule type="duplicateValues" dxfId="1998" priority="919"/>
  </conditionalFormatting>
  <conditionalFormatting sqref="J48:J52">
    <cfRule type="duplicateValues" dxfId="1997" priority="918"/>
  </conditionalFormatting>
  <conditionalFormatting sqref="J53:J63">
    <cfRule type="duplicateValues" dxfId="1996" priority="917"/>
  </conditionalFormatting>
  <conditionalFormatting sqref="J48:J70">
    <cfRule type="duplicateValues" dxfId="1995" priority="916"/>
  </conditionalFormatting>
  <conditionalFormatting sqref="J53:J70">
    <cfRule type="duplicateValues" dxfId="1994" priority="915"/>
  </conditionalFormatting>
  <conditionalFormatting sqref="J48:J77">
    <cfRule type="duplicateValues" dxfId="1993" priority="914"/>
  </conditionalFormatting>
  <conditionalFormatting sqref="J53:J72">
    <cfRule type="duplicateValues" dxfId="1992" priority="913"/>
  </conditionalFormatting>
  <conditionalFormatting sqref="J73:J77">
    <cfRule type="duplicateValues" dxfId="1991" priority="912"/>
  </conditionalFormatting>
  <conditionalFormatting sqref="A47:A168">
    <cfRule type="duplicateValues" dxfId="1990" priority="911"/>
  </conditionalFormatting>
  <conditionalFormatting sqref="J48:J168">
    <cfRule type="duplicateValues" dxfId="1989" priority="910"/>
  </conditionalFormatting>
  <conditionalFormatting sqref="A72:A83">
    <cfRule type="duplicateValues" dxfId="1988" priority="909"/>
  </conditionalFormatting>
  <conditionalFormatting sqref="J3:J47">
    <cfRule type="duplicateValues" dxfId="1987" priority="908"/>
  </conditionalFormatting>
  <conditionalFormatting sqref="J47:J52">
    <cfRule type="duplicateValues" dxfId="1986" priority="907"/>
  </conditionalFormatting>
  <conditionalFormatting sqref="J52:J72">
    <cfRule type="duplicateValues" dxfId="1985" priority="906"/>
  </conditionalFormatting>
  <conditionalFormatting sqref="J47:J83">
    <cfRule type="duplicateValues" dxfId="1984" priority="905"/>
  </conditionalFormatting>
  <conditionalFormatting sqref="J72:J83">
    <cfRule type="duplicateValues" dxfId="1983" priority="904"/>
  </conditionalFormatting>
  <conditionalFormatting sqref="A3:A47">
    <cfRule type="duplicateValues" dxfId="1982" priority="903"/>
  </conditionalFormatting>
  <conditionalFormatting sqref="J3:J47">
    <cfRule type="duplicateValues" dxfId="1981" priority="902"/>
  </conditionalFormatting>
  <conditionalFormatting sqref="A47:A52">
    <cfRule type="duplicateValues" dxfId="1980" priority="901"/>
  </conditionalFormatting>
  <conditionalFormatting sqref="J48:J51">
    <cfRule type="duplicateValues" dxfId="1979" priority="900"/>
  </conditionalFormatting>
  <conditionalFormatting sqref="A52:A72">
    <cfRule type="duplicateValues" dxfId="1978" priority="899"/>
  </conditionalFormatting>
  <conditionalFormatting sqref="J48:J63">
    <cfRule type="duplicateValues" dxfId="1977" priority="898"/>
  </conditionalFormatting>
  <conditionalFormatting sqref="J48:J52">
    <cfRule type="duplicateValues" dxfId="1976" priority="897"/>
  </conditionalFormatting>
  <conditionalFormatting sqref="J53:J63">
    <cfRule type="duplicateValues" dxfId="1975" priority="896"/>
  </conditionalFormatting>
  <conditionalFormatting sqref="J48:J70">
    <cfRule type="duplicateValues" dxfId="1974" priority="895"/>
  </conditionalFormatting>
  <conditionalFormatting sqref="J53:J70">
    <cfRule type="duplicateValues" dxfId="1973" priority="894"/>
  </conditionalFormatting>
  <conditionalFormatting sqref="J48:J77">
    <cfRule type="duplicateValues" dxfId="1972" priority="893"/>
  </conditionalFormatting>
  <conditionalFormatting sqref="J53:J72">
    <cfRule type="duplicateValues" dxfId="1971" priority="892"/>
  </conditionalFormatting>
  <conditionalFormatting sqref="J73:J77">
    <cfRule type="duplicateValues" dxfId="1970" priority="891"/>
  </conditionalFormatting>
  <conditionalFormatting sqref="A47:A168">
    <cfRule type="duplicateValues" dxfId="1969" priority="890"/>
  </conditionalFormatting>
  <conditionalFormatting sqref="J48:J168">
    <cfRule type="duplicateValues" dxfId="1968" priority="889"/>
  </conditionalFormatting>
  <conditionalFormatting sqref="A72:A83">
    <cfRule type="duplicateValues" dxfId="1967" priority="888"/>
  </conditionalFormatting>
  <conditionalFormatting sqref="J3:J47">
    <cfRule type="duplicateValues" dxfId="1966" priority="887"/>
  </conditionalFormatting>
  <conditionalFormatting sqref="J47:J52">
    <cfRule type="duplicateValues" dxfId="1965" priority="886"/>
  </conditionalFormatting>
  <conditionalFormatting sqref="J52:J72">
    <cfRule type="duplicateValues" dxfId="1964" priority="885"/>
  </conditionalFormatting>
  <conditionalFormatting sqref="J47:J83">
    <cfRule type="duplicateValues" dxfId="1963" priority="884"/>
  </conditionalFormatting>
  <conditionalFormatting sqref="J72:J83">
    <cfRule type="duplicateValues" dxfId="1962" priority="883"/>
  </conditionalFormatting>
  <conditionalFormatting sqref="A84:A89">
    <cfRule type="duplicateValues" dxfId="1961" priority="882"/>
  </conditionalFormatting>
  <conditionalFormatting sqref="J3:J47">
    <cfRule type="duplicateValues" dxfId="1960" priority="881"/>
  </conditionalFormatting>
  <conditionalFormatting sqref="J47:J52">
    <cfRule type="duplicateValues" dxfId="1959" priority="880"/>
  </conditionalFormatting>
  <conditionalFormatting sqref="J52:J72">
    <cfRule type="duplicateValues" dxfId="1958" priority="879"/>
  </conditionalFormatting>
  <conditionalFormatting sqref="J47:J87">
    <cfRule type="duplicateValues" dxfId="1957" priority="878"/>
  </conditionalFormatting>
  <conditionalFormatting sqref="J72:J83">
    <cfRule type="duplicateValues" dxfId="1956" priority="877"/>
  </conditionalFormatting>
  <conditionalFormatting sqref="J84:J87">
    <cfRule type="duplicateValues" dxfId="1955" priority="876"/>
  </conditionalFormatting>
  <conditionalFormatting sqref="A102:A169">
    <cfRule type="duplicateValues" dxfId="1954" priority="875"/>
  </conditionalFormatting>
  <conditionalFormatting sqref="J102:J169">
    <cfRule type="duplicateValues" dxfId="1953" priority="874"/>
  </conditionalFormatting>
  <conditionalFormatting sqref="A99:A101">
    <cfRule type="duplicateValues" dxfId="1952" priority="873"/>
  </conditionalFormatting>
  <conditionalFormatting sqref="J99:J101">
    <cfRule type="duplicateValues" dxfId="1951" priority="872"/>
  </conditionalFormatting>
  <conditionalFormatting sqref="A3:A98">
    <cfRule type="duplicateValues" dxfId="1950" priority="871"/>
  </conditionalFormatting>
  <conditionalFormatting sqref="J3:J98">
    <cfRule type="duplicateValues" dxfId="1949" priority="870"/>
  </conditionalFormatting>
  <conditionalFormatting sqref="A106:A169">
    <cfRule type="duplicateValues" dxfId="1948" priority="869"/>
  </conditionalFormatting>
  <conditionalFormatting sqref="J106:J169">
    <cfRule type="duplicateValues" dxfId="1947" priority="868"/>
  </conditionalFormatting>
  <conditionalFormatting sqref="A3:A105">
    <cfRule type="duplicateValues" dxfId="1946" priority="867"/>
  </conditionalFormatting>
  <conditionalFormatting sqref="J3:J105">
    <cfRule type="duplicateValues" dxfId="1945" priority="866"/>
  </conditionalFormatting>
  <conditionalFormatting sqref="A114:A169">
    <cfRule type="duplicateValues" dxfId="1944" priority="865"/>
  </conditionalFormatting>
  <conditionalFormatting sqref="J114:J169">
    <cfRule type="duplicateValues" dxfId="1943" priority="864"/>
  </conditionalFormatting>
  <conditionalFormatting sqref="A3:A113">
    <cfRule type="duplicateValues" dxfId="1942" priority="863"/>
  </conditionalFormatting>
  <conditionalFormatting sqref="J3:J113">
    <cfRule type="duplicateValues" dxfId="1941" priority="862"/>
  </conditionalFormatting>
  <conditionalFormatting sqref="A127:A169">
    <cfRule type="duplicateValues" dxfId="1940" priority="861"/>
  </conditionalFormatting>
  <conditionalFormatting sqref="J127:J169">
    <cfRule type="duplicateValues" dxfId="1939" priority="860"/>
  </conditionalFormatting>
  <conditionalFormatting sqref="A3:A126">
    <cfRule type="duplicateValues" dxfId="1938" priority="859"/>
  </conditionalFormatting>
  <conditionalFormatting sqref="J3:J126">
    <cfRule type="duplicateValues" dxfId="1937" priority="858"/>
  </conditionalFormatting>
  <conditionalFormatting sqref="A132:A169">
    <cfRule type="duplicateValues" dxfId="1936" priority="857"/>
  </conditionalFormatting>
  <conditionalFormatting sqref="J132:J169">
    <cfRule type="duplicateValues" dxfId="1935" priority="856"/>
  </conditionalFormatting>
  <conditionalFormatting sqref="A3:A131">
    <cfRule type="duplicateValues" dxfId="1934" priority="855"/>
  </conditionalFormatting>
  <conditionalFormatting sqref="J3:J131">
    <cfRule type="duplicateValues" dxfId="1933" priority="854"/>
  </conditionalFormatting>
  <conditionalFormatting sqref="A138:A169">
    <cfRule type="duplicateValues" dxfId="1932" priority="853"/>
  </conditionalFormatting>
  <conditionalFormatting sqref="J138:J169">
    <cfRule type="duplicateValues" dxfId="1931" priority="852"/>
  </conditionalFormatting>
  <conditionalFormatting sqref="A3:A137">
    <cfRule type="duplicateValues" dxfId="1930" priority="851"/>
  </conditionalFormatting>
  <conditionalFormatting sqref="J3:J137">
    <cfRule type="duplicateValues" dxfId="1929" priority="850"/>
  </conditionalFormatting>
  <conditionalFormatting sqref="A138:A169">
    <cfRule type="duplicateValues" dxfId="1928" priority="849"/>
  </conditionalFormatting>
  <conditionalFormatting sqref="J138:J169">
    <cfRule type="duplicateValues" dxfId="1927" priority="848"/>
  </conditionalFormatting>
  <conditionalFormatting sqref="A3:A137">
    <cfRule type="duplicateValues" dxfId="1926" priority="847"/>
  </conditionalFormatting>
  <conditionalFormatting sqref="J3:J137">
    <cfRule type="duplicateValues" dxfId="1925" priority="846"/>
  </conditionalFormatting>
  <conditionalFormatting sqref="A138:A169">
    <cfRule type="duplicateValues" dxfId="1924" priority="845"/>
  </conditionalFormatting>
  <conditionalFormatting sqref="J138:J169">
    <cfRule type="duplicateValues" dxfId="1923" priority="844"/>
  </conditionalFormatting>
  <conditionalFormatting sqref="A3:A137">
    <cfRule type="duplicateValues" dxfId="1922" priority="843"/>
  </conditionalFormatting>
  <conditionalFormatting sqref="J3:J137">
    <cfRule type="duplicateValues" dxfId="1921" priority="842"/>
  </conditionalFormatting>
  <conditionalFormatting sqref="A138:A143">
    <cfRule type="duplicateValues" dxfId="1920" priority="841"/>
  </conditionalFormatting>
  <conditionalFormatting sqref="J138:J141">
    <cfRule type="duplicateValues" dxfId="1919" priority="840"/>
  </conditionalFormatting>
  <conditionalFormatting sqref="J3:J137">
    <cfRule type="duplicateValues" dxfId="1918" priority="839"/>
  </conditionalFormatting>
  <conditionalFormatting sqref="J138:J141">
    <cfRule type="duplicateValues" dxfId="1917" priority="838"/>
  </conditionalFormatting>
  <conditionalFormatting sqref="A152:A169">
    <cfRule type="duplicateValues" dxfId="1916" priority="837"/>
  </conditionalFormatting>
  <conditionalFormatting sqref="J152:J169">
    <cfRule type="duplicateValues" dxfId="1915" priority="836"/>
  </conditionalFormatting>
  <conditionalFormatting sqref="A3:A151">
    <cfRule type="duplicateValues" dxfId="1914" priority="835"/>
  </conditionalFormatting>
  <conditionalFormatting sqref="J3:J151">
    <cfRule type="duplicateValues" dxfId="1913" priority="834"/>
  </conditionalFormatting>
  <conditionalFormatting sqref="A165:A169">
    <cfRule type="duplicateValues" dxfId="1912" priority="833"/>
  </conditionalFormatting>
  <conditionalFormatting sqref="J165:J169">
    <cfRule type="duplicateValues" dxfId="1911" priority="832"/>
  </conditionalFormatting>
  <conditionalFormatting sqref="A3:A164">
    <cfRule type="duplicateValues" dxfId="1910" priority="831"/>
  </conditionalFormatting>
  <conditionalFormatting sqref="J3:J164">
    <cfRule type="duplicateValues" dxfId="1909" priority="830"/>
  </conditionalFormatting>
  <conditionalFormatting sqref="A165:A169">
    <cfRule type="duplicateValues" dxfId="1908" priority="829"/>
  </conditionalFormatting>
  <conditionalFormatting sqref="J165:J169">
    <cfRule type="duplicateValues" dxfId="1907" priority="828"/>
  </conditionalFormatting>
  <conditionalFormatting sqref="A3:A164">
    <cfRule type="duplicateValues" dxfId="1906" priority="827"/>
  </conditionalFormatting>
  <conditionalFormatting sqref="J3:J164">
    <cfRule type="duplicateValues" dxfId="1905" priority="826"/>
  </conditionalFormatting>
  <conditionalFormatting sqref="A165:A173">
    <cfRule type="duplicateValues" dxfId="1904" priority="825"/>
  </conditionalFormatting>
  <conditionalFormatting sqref="J165:J169">
    <cfRule type="duplicateValues" dxfId="1903" priority="824"/>
  </conditionalFormatting>
  <conditionalFormatting sqref="J3:J164">
    <cfRule type="duplicateValues" dxfId="1902" priority="823"/>
  </conditionalFormatting>
  <conditionalFormatting sqref="J165:J173">
    <cfRule type="duplicateValues" dxfId="1901" priority="822"/>
  </conditionalFormatting>
  <conditionalFormatting sqref="A3:A168">
    <cfRule type="duplicateValues" dxfId="1900" priority="821"/>
  </conditionalFormatting>
  <conditionalFormatting sqref="J3:J168">
    <cfRule type="duplicateValues" dxfId="1899" priority="820"/>
  </conditionalFormatting>
  <conditionalFormatting sqref="A3:A168">
    <cfRule type="duplicateValues" dxfId="1898" priority="819"/>
  </conditionalFormatting>
  <conditionalFormatting sqref="J3:J168">
    <cfRule type="duplicateValues" dxfId="1897" priority="818"/>
  </conditionalFormatting>
  <conditionalFormatting sqref="J3:J168">
    <cfRule type="duplicateValues" dxfId="1896" priority="817"/>
  </conditionalFormatting>
  <conditionalFormatting sqref="A3:A168">
    <cfRule type="duplicateValues" dxfId="1895" priority="816"/>
  </conditionalFormatting>
  <conditionalFormatting sqref="J3:J168">
    <cfRule type="duplicateValues" dxfId="1894" priority="815"/>
  </conditionalFormatting>
  <conditionalFormatting sqref="J3:J168">
    <cfRule type="duplicateValues" dxfId="1893" priority="814"/>
  </conditionalFormatting>
  <conditionalFormatting sqref="J3:J168">
    <cfRule type="duplicateValues" dxfId="1892" priority="813"/>
  </conditionalFormatting>
  <conditionalFormatting sqref="A3:A168">
    <cfRule type="duplicateValues" dxfId="1891" priority="812"/>
  </conditionalFormatting>
  <conditionalFormatting sqref="J3:J168">
    <cfRule type="duplicateValues" dxfId="1890" priority="811"/>
  </conditionalFormatting>
  <conditionalFormatting sqref="A3:A168">
    <cfRule type="duplicateValues" dxfId="1889" priority="810"/>
  </conditionalFormatting>
  <conditionalFormatting sqref="J3:J168">
    <cfRule type="duplicateValues" dxfId="1888" priority="809"/>
  </conditionalFormatting>
  <conditionalFormatting sqref="A3:A168">
    <cfRule type="duplicateValues" dxfId="1887" priority="808"/>
  </conditionalFormatting>
  <conditionalFormatting sqref="J3:J168">
    <cfRule type="duplicateValues" dxfId="1886" priority="807"/>
  </conditionalFormatting>
  <conditionalFormatting sqref="A3:A169">
    <cfRule type="duplicateValues" dxfId="1885" priority="806"/>
  </conditionalFormatting>
  <conditionalFormatting sqref="J3:J169">
    <cfRule type="duplicateValues" dxfId="1884" priority="805"/>
  </conditionalFormatting>
  <conditionalFormatting sqref="A3:A169">
    <cfRule type="duplicateValues" dxfId="1883" priority="804"/>
  </conditionalFormatting>
  <conditionalFormatting sqref="J3:J169">
    <cfRule type="duplicateValues" dxfId="1882" priority="803"/>
  </conditionalFormatting>
  <conditionalFormatting sqref="A3:A169">
    <cfRule type="duplicateValues" dxfId="1881" priority="802"/>
  </conditionalFormatting>
  <conditionalFormatting sqref="J3:J169">
    <cfRule type="duplicateValues" dxfId="1880" priority="801"/>
  </conditionalFormatting>
  <conditionalFormatting sqref="A3:A169">
    <cfRule type="duplicateValues" dxfId="1879" priority="800"/>
  </conditionalFormatting>
  <conditionalFormatting sqref="J3:J169">
    <cfRule type="duplicateValues" dxfId="1878" priority="799"/>
  </conditionalFormatting>
  <conditionalFormatting sqref="A3:A169">
    <cfRule type="duplicateValues" dxfId="1877" priority="798"/>
  </conditionalFormatting>
  <conditionalFormatting sqref="J3:J169">
    <cfRule type="duplicateValues" dxfId="1876" priority="797"/>
  </conditionalFormatting>
  <conditionalFormatting sqref="A56:A83">
    <cfRule type="duplicateValues" dxfId="1875" priority="796"/>
  </conditionalFormatting>
  <conditionalFormatting sqref="A3:A55">
    <cfRule type="duplicateValues" dxfId="1874" priority="795"/>
  </conditionalFormatting>
  <conditionalFormatting sqref="J56:J83">
    <cfRule type="duplicateValues" dxfId="1873" priority="794"/>
  </conditionalFormatting>
  <conditionalFormatting sqref="J3:J55">
    <cfRule type="duplicateValues" dxfId="1872" priority="793"/>
  </conditionalFormatting>
  <conditionalFormatting sqref="A56:A83">
    <cfRule type="duplicateValues" dxfId="1871" priority="792"/>
  </conditionalFormatting>
  <conditionalFormatting sqref="A3:A55">
    <cfRule type="duplicateValues" dxfId="1870" priority="791"/>
  </conditionalFormatting>
  <conditionalFormatting sqref="J56:J83">
    <cfRule type="duplicateValues" dxfId="1869" priority="790"/>
  </conditionalFormatting>
  <conditionalFormatting sqref="J3:J55">
    <cfRule type="duplicateValues" dxfId="1868" priority="789"/>
  </conditionalFormatting>
  <conditionalFormatting sqref="J56:J83">
    <cfRule type="duplicateValues" dxfId="1867" priority="788"/>
  </conditionalFormatting>
  <conditionalFormatting sqref="J3:J55">
    <cfRule type="duplicateValues" dxfId="1866" priority="787"/>
  </conditionalFormatting>
  <conditionalFormatting sqref="A56:A83">
    <cfRule type="duplicateValues" dxfId="1865" priority="786"/>
  </conditionalFormatting>
  <conditionalFormatting sqref="A3:A55">
    <cfRule type="duplicateValues" dxfId="1864" priority="785"/>
  </conditionalFormatting>
  <conditionalFormatting sqref="J56:J83">
    <cfRule type="duplicateValues" dxfId="1863" priority="784"/>
  </conditionalFormatting>
  <conditionalFormatting sqref="J3:J55">
    <cfRule type="duplicateValues" dxfId="1862" priority="783"/>
  </conditionalFormatting>
  <conditionalFormatting sqref="J56:J83">
    <cfRule type="duplicateValues" dxfId="1861" priority="782"/>
  </conditionalFormatting>
  <conditionalFormatting sqref="J3:J55">
    <cfRule type="duplicateValues" dxfId="1860" priority="781"/>
  </conditionalFormatting>
  <conditionalFormatting sqref="J56:J83">
    <cfRule type="duplicateValues" dxfId="1859" priority="780"/>
  </conditionalFormatting>
  <conditionalFormatting sqref="J3:J55">
    <cfRule type="duplicateValues" dxfId="1858" priority="779"/>
  </conditionalFormatting>
  <conditionalFormatting sqref="A56:A83">
    <cfRule type="duplicateValues" dxfId="1857" priority="778"/>
  </conditionalFormatting>
  <conditionalFormatting sqref="A3:A55">
    <cfRule type="duplicateValues" dxfId="1856" priority="777"/>
  </conditionalFormatting>
  <conditionalFormatting sqref="J56:J83">
    <cfRule type="duplicateValues" dxfId="1855" priority="776"/>
  </conditionalFormatting>
  <conditionalFormatting sqref="J3:J55">
    <cfRule type="duplicateValues" dxfId="1854" priority="775"/>
  </conditionalFormatting>
  <conditionalFormatting sqref="J56:J83">
    <cfRule type="duplicateValues" dxfId="1853" priority="774"/>
  </conditionalFormatting>
  <conditionalFormatting sqref="J3:J55">
    <cfRule type="duplicateValues" dxfId="1852" priority="773"/>
  </conditionalFormatting>
  <conditionalFormatting sqref="J56:J83">
    <cfRule type="duplicateValues" dxfId="1851" priority="772"/>
  </conditionalFormatting>
  <conditionalFormatting sqref="J3:J55">
    <cfRule type="duplicateValues" dxfId="1850" priority="771"/>
  </conditionalFormatting>
  <conditionalFormatting sqref="J56:J83">
    <cfRule type="duplicateValues" dxfId="1849" priority="770"/>
  </conditionalFormatting>
  <conditionalFormatting sqref="J3:J55">
    <cfRule type="duplicateValues" dxfId="1848" priority="769"/>
  </conditionalFormatting>
  <conditionalFormatting sqref="J56:J83">
    <cfRule type="duplicateValues" dxfId="1847" priority="768"/>
  </conditionalFormatting>
  <conditionalFormatting sqref="J3:J55">
    <cfRule type="duplicateValues" dxfId="1846" priority="767"/>
  </conditionalFormatting>
  <conditionalFormatting sqref="A56:A83">
    <cfRule type="duplicateValues" dxfId="1845" priority="766"/>
  </conditionalFormatting>
  <conditionalFormatting sqref="A3:A55">
    <cfRule type="duplicateValues" dxfId="1844" priority="765"/>
  </conditionalFormatting>
  <conditionalFormatting sqref="J56:J83">
    <cfRule type="duplicateValues" dxfId="1843" priority="764"/>
  </conditionalFormatting>
  <conditionalFormatting sqref="J3:J55">
    <cfRule type="duplicateValues" dxfId="1842" priority="763"/>
  </conditionalFormatting>
  <conditionalFormatting sqref="J56:J83">
    <cfRule type="duplicateValues" dxfId="1841" priority="762"/>
  </conditionalFormatting>
  <conditionalFormatting sqref="J3:J55">
    <cfRule type="duplicateValues" dxfId="1840" priority="761"/>
  </conditionalFormatting>
  <conditionalFormatting sqref="J56:J83">
    <cfRule type="duplicateValues" dxfId="1839" priority="760"/>
  </conditionalFormatting>
  <conditionalFormatting sqref="J3:J55">
    <cfRule type="duplicateValues" dxfId="1838" priority="759"/>
  </conditionalFormatting>
  <conditionalFormatting sqref="J56:J83">
    <cfRule type="duplicateValues" dxfId="1837" priority="758"/>
  </conditionalFormatting>
  <conditionalFormatting sqref="J3:J55">
    <cfRule type="duplicateValues" dxfId="1836" priority="757"/>
  </conditionalFormatting>
  <conditionalFormatting sqref="J56:J83">
    <cfRule type="duplicateValues" dxfId="1835" priority="756"/>
  </conditionalFormatting>
  <conditionalFormatting sqref="J3:J55">
    <cfRule type="duplicateValues" dxfId="1834" priority="755"/>
  </conditionalFormatting>
  <conditionalFormatting sqref="A56:A58">
    <cfRule type="duplicateValues" dxfId="1833" priority="754"/>
  </conditionalFormatting>
  <conditionalFormatting sqref="J56:J83">
    <cfRule type="duplicateValues" dxfId="1832" priority="753"/>
  </conditionalFormatting>
  <conditionalFormatting sqref="J3:J55">
    <cfRule type="duplicateValues" dxfId="1831" priority="752"/>
  </conditionalFormatting>
  <conditionalFormatting sqref="J56:J58">
    <cfRule type="duplicateValues" dxfId="1830" priority="751"/>
  </conditionalFormatting>
  <conditionalFormatting sqref="A127:A132">
    <cfRule type="duplicateValues" dxfId="1829" priority="750"/>
  </conditionalFormatting>
  <conditionalFormatting sqref="A56:A83">
    <cfRule type="duplicateValues" dxfId="1828" priority="749"/>
  </conditionalFormatting>
  <conditionalFormatting sqref="A3:A55">
    <cfRule type="duplicateValues" dxfId="1827" priority="748"/>
  </conditionalFormatting>
  <conditionalFormatting sqref="A56:A58">
    <cfRule type="duplicateValues" dxfId="1826" priority="747"/>
  </conditionalFormatting>
  <conditionalFormatting sqref="J127:J132">
    <cfRule type="duplicateValues" dxfId="1825" priority="746"/>
  </conditionalFormatting>
  <conditionalFormatting sqref="J56:J83">
    <cfRule type="duplicateValues" dxfId="1824" priority="745"/>
  </conditionalFormatting>
  <conditionalFormatting sqref="J3:J55">
    <cfRule type="duplicateValues" dxfId="1823" priority="744"/>
  </conditionalFormatting>
  <conditionalFormatting sqref="J56:J58">
    <cfRule type="duplicateValues" dxfId="1822" priority="743"/>
  </conditionalFormatting>
  <conditionalFormatting sqref="A56:A83">
    <cfRule type="duplicateValues" dxfId="1821" priority="742"/>
  </conditionalFormatting>
  <conditionalFormatting sqref="A3:A55">
    <cfRule type="duplicateValues" dxfId="1820" priority="741"/>
  </conditionalFormatting>
  <conditionalFormatting sqref="J56:J83">
    <cfRule type="duplicateValues" dxfId="1819" priority="740"/>
  </conditionalFormatting>
  <conditionalFormatting sqref="J3:J55">
    <cfRule type="duplicateValues" dxfId="1818" priority="739"/>
  </conditionalFormatting>
  <conditionalFormatting sqref="J56:J83">
    <cfRule type="duplicateValues" dxfId="1817" priority="738"/>
  </conditionalFormatting>
  <conditionalFormatting sqref="J3:J55">
    <cfRule type="duplicateValues" dxfId="1816" priority="737"/>
  </conditionalFormatting>
  <conditionalFormatting sqref="J56:J83">
    <cfRule type="duplicateValues" dxfId="1815" priority="736"/>
  </conditionalFormatting>
  <conditionalFormatting sqref="J3:J55">
    <cfRule type="duplicateValues" dxfId="1814" priority="735"/>
  </conditionalFormatting>
  <conditionalFormatting sqref="J56:J83">
    <cfRule type="duplicateValues" dxfId="1813" priority="734"/>
  </conditionalFormatting>
  <conditionalFormatting sqref="J3:J55">
    <cfRule type="duplicateValues" dxfId="1812" priority="733"/>
  </conditionalFormatting>
  <conditionalFormatting sqref="J56:J83">
    <cfRule type="duplicateValues" dxfId="1811" priority="732"/>
  </conditionalFormatting>
  <conditionalFormatting sqref="J3:J55">
    <cfRule type="duplicateValues" dxfId="1810" priority="731"/>
  </conditionalFormatting>
  <conditionalFormatting sqref="A56:A61">
    <cfRule type="duplicateValues" dxfId="1809" priority="730"/>
  </conditionalFormatting>
  <conditionalFormatting sqref="A62:A68">
    <cfRule type="duplicateValues" dxfId="1808" priority="729"/>
  </conditionalFormatting>
  <conditionalFormatting sqref="J56:J83">
    <cfRule type="duplicateValues" dxfId="1807" priority="728"/>
  </conditionalFormatting>
  <conditionalFormatting sqref="J3:J55">
    <cfRule type="duplicateValues" dxfId="1806" priority="727"/>
  </conditionalFormatting>
  <conditionalFormatting sqref="J56:J61">
    <cfRule type="duplicateValues" dxfId="1805" priority="726"/>
  </conditionalFormatting>
  <conditionalFormatting sqref="J62:J68">
    <cfRule type="duplicateValues" dxfId="1804" priority="725"/>
  </conditionalFormatting>
  <conditionalFormatting sqref="A57:A84">
    <cfRule type="duplicateValues" dxfId="1803" priority="724"/>
  </conditionalFormatting>
  <conditionalFormatting sqref="J56:J83">
    <cfRule type="duplicateValues" dxfId="1802" priority="723"/>
  </conditionalFormatting>
  <conditionalFormatting sqref="J3:J55">
    <cfRule type="duplicateValues" dxfId="1801" priority="722"/>
  </conditionalFormatting>
  <conditionalFormatting sqref="J56:J83">
    <cfRule type="duplicateValues" dxfId="1800" priority="721"/>
  </conditionalFormatting>
  <conditionalFormatting sqref="J3:J55">
    <cfRule type="duplicateValues" dxfId="1799" priority="720"/>
  </conditionalFormatting>
  <conditionalFormatting sqref="J56:J83">
    <cfRule type="duplicateValues" dxfId="1798" priority="719"/>
  </conditionalFormatting>
  <conditionalFormatting sqref="J3:J55">
    <cfRule type="duplicateValues" dxfId="1797" priority="718"/>
  </conditionalFormatting>
  <conditionalFormatting sqref="J56:J83">
    <cfRule type="duplicateValues" dxfId="1796" priority="717"/>
  </conditionalFormatting>
  <conditionalFormatting sqref="J3:J55">
    <cfRule type="duplicateValues" dxfId="1795" priority="716"/>
  </conditionalFormatting>
  <conditionalFormatting sqref="J56:J83">
    <cfRule type="duplicateValues" dxfId="1794" priority="715"/>
  </conditionalFormatting>
  <conditionalFormatting sqref="J3:J55">
    <cfRule type="duplicateValues" dxfId="1793" priority="714"/>
  </conditionalFormatting>
  <conditionalFormatting sqref="A57:A62">
    <cfRule type="duplicateValues" dxfId="1792" priority="713"/>
  </conditionalFormatting>
  <conditionalFormatting sqref="A63:A69">
    <cfRule type="duplicateValues" dxfId="1791" priority="712"/>
  </conditionalFormatting>
  <conditionalFormatting sqref="J56:J83">
    <cfRule type="duplicateValues" dxfId="1790" priority="711"/>
  </conditionalFormatting>
  <conditionalFormatting sqref="J3:J55">
    <cfRule type="duplicateValues" dxfId="1789" priority="710"/>
  </conditionalFormatting>
  <conditionalFormatting sqref="J56:J61">
    <cfRule type="duplicateValues" dxfId="1788" priority="709"/>
  </conditionalFormatting>
  <conditionalFormatting sqref="J62:J68">
    <cfRule type="duplicateValues" dxfId="1787" priority="708"/>
  </conditionalFormatting>
  <conditionalFormatting sqref="A3:A56">
    <cfRule type="duplicateValues" dxfId="1786" priority="707"/>
  </conditionalFormatting>
  <conditionalFormatting sqref="J57:J84">
    <cfRule type="duplicateValues" dxfId="1785" priority="706"/>
  </conditionalFormatting>
  <conditionalFormatting sqref="J57:J62">
    <cfRule type="duplicateValues" dxfId="1784" priority="705"/>
  </conditionalFormatting>
  <conditionalFormatting sqref="J63:J69">
    <cfRule type="duplicateValues" dxfId="1783" priority="704"/>
  </conditionalFormatting>
  <conditionalFormatting sqref="J3:J56">
    <cfRule type="duplicateValues" dxfId="1782" priority="703"/>
  </conditionalFormatting>
  <conditionalFormatting sqref="A70:A80">
    <cfRule type="duplicateValues" dxfId="1781" priority="702"/>
  </conditionalFormatting>
  <conditionalFormatting sqref="J57:J84">
    <cfRule type="duplicateValues" dxfId="1780" priority="701"/>
  </conditionalFormatting>
  <conditionalFormatting sqref="J57:J62">
    <cfRule type="duplicateValues" dxfId="1779" priority="700"/>
  </conditionalFormatting>
  <conditionalFormatting sqref="J63:J69">
    <cfRule type="duplicateValues" dxfId="1778" priority="699"/>
  </conditionalFormatting>
  <conditionalFormatting sqref="J3:J56">
    <cfRule type="duplicateValues" dxfId="1777" priority="698"/>
  </conditionalFormatting>
  <conditionalFormatting sqref="J70:J80">
    <cfRule type="duplicateValues" dxfId="1776" priority="697"/>
  </conditionalFormatting>
  <conditionalFormatting sqref="A57:A89">
    <cfRule type="duplicateValues" dxfId="1775" priority="696"/>
  </conditionalFormatting>
  <conditionalFormatting sqref="J56:J83">
    <cfRule type="duplicateValues" dxfId="1774" priority="695"/>
  </conditionalFormatting>
  <conditionalFormatting sqref="J3:J55">
    <cfRule type="duplicateValues" dxfId="1773" priority="694"/>
  </conditionalFormatting>
  <conditionalFormatting sqref="J56:J83">
    <cfRule type="duplicateValues" dxfId="1772" priority="693"/>
  </conditionalFormatting>
  <conditionalFormatting sqref="J3:J55">
    <cfRule type="duplicateValues" dxfId="1771" priority="692"/>
  </conditionalFormatting>
  <conditionalFormatting sqref="J56:J83">
    <cfRule type="duplicateValues" dxfId="1770" priority="691"/>
  </conditionalFormatting>
  <conditionalFormatting sqref="J3:J55">
    <cfRule type="duplicateValues" dxfId="1769" priority="690"/>
  </conditionalFormatting>
  <conditionalFormatting sqref="J56:J83">
    <cfRule type="duplicateValues" dxfId="1768" priority="689"/>
  </conditionalFormatting>
  <conditionalFormatting sqref="J3:J55">
    <cfRule type="duplicateValues" dxfId="1767" priority="688"/>
  </conditionalFormatting>
  <conditionalFormatting sqref="J56:J83">
    <cfRule type="duplicateValues" dxfId="1766" priority="687"/>
  </conditionalFormatting>
  <conditionalFormatting sqref="J3:J55">
    <cfRule type="duplicateValues" dxfId="1765" priority="686"/>
  </conditionalFormatting>
  <conditionalFormatting sqref="A57:A62">
    <cfRule type="duplicateValues" dxfId="1764" priority="685"/>
  </conditionalFormatting>
  <conditionalFormatting sqref="A63:A69">
    <cfRule type="duplicateValues" dxfId="1763" priority="684"/>
  </conditionalFormatting>
  <conditionalFormatting sqref="J56:J83">
    <cfRule type="duplicateValues" dxfId="1762" priority="683"/>
  </conditionalFormatting>
  <conditionalFormatting sqref="J3:J55">
    <cfRule type="duplicateValues" dxfId="1761" priority="682"/>
  </conditionalFormatting>
  <conditionalFormatting sqref="J56:J61">
    <cfRule type="duplicateValues" dxfId="1760" priority="681"/>
  </conditionalFormatting>
  <conditionalFormatting sqref="J62:J68">
    <cfRule type="duplicateValues" dxfId="1759" priority="680"/>
  </conditionalFormatting>
  <conditionalFormatting sqref="A3:A56">
    <cfRule type="duplicateValues" dxfId="1758" priority="679"/>
  </conditionalFormatting>
  <conditionalFormatting sqref="J57:J84">
    <cfRule type="duplicateValues" dxfId="1757" priority="678"/>
  </conditionalFormatting>
  <conditionalFormatting sqref="J57:J62">
    <cfRule type="duplicateValues" dxfId="1756" priority="677"/>
  </conditionalFormatting>
  <conditionalFormatting sqref="J63:J69">
    <cfRule type="duplicateValues" dxfId="1755" priority="676"/>
  </conditionalFormatting>
  <conditionalFormatting sqref="J3:J56">
    <cfRule type="duplicateValues" dxfId="1754" priority="675"/>
  </conditionalFormatting>
  <conditionalFormatting sqref="A70:A80">
    <cfRule type="duplicateValues" dxfId="1753" priority="674"/>
  </conditionalFormatting>
  <conditionalFormatting sqref="J57:J84">
    <cfRule type="duplicateValues" dxfId="1752" priority="673"/>
  </conditionalFormatting>
  <conditionalFormatting sqref="J57:J62">
    <cfRule type="duplicateValues" dxfId="1751" priority="672"/>
  </conditionalFormatting>
  <conditionalFormatting sqref="J63:J69">
    <cfRule type="duplicateValues" dxfId="1750" priority="671"/>
  </conditionalFormatting>
  <conditionalFormatting sqref="J3:J56">
    <cfRule type="duplicateValues" dxfId="1749" priority="670"/>
  </conditionalFormatting>
  <conditionalFormatting sqref="J70:J80">
    <cfRule type="duplicateValues" dxfId="1748" priority="669"/>
  </conditionalFormatting>
  <conditionalFormatting sqref="A81:A89">
    <cfRule type="duplicateValues" dxfId="1747" priority="668"/>
  </conditionalFormatting>
  <conditionalFormatting sqref="A90">
    <cfRule type="duplicateValues" dxfId="1746" priority="667"/>
  </conditionalFormatting>
  <conditionalFormatting sqref="A90">
    <cfRule type="duplicateValues" dxfId="1745" priority="666"/>
  </conditionalFormatting>
  <conditionalFormatting sqref="J57:J89">
    <cfRule type="duplicateValues" dxfId="1744" priority="665"/>
  </conditionalFormatting>
  <conditionalFormatting sqref="J57:J62">
    <cfRule type="duplicateValues" dxfId="1743" priority="664"/>
  </conditionalFormatting>
  <conditionalFormatting sqref="J63:J69">
    <cfRule type="duplicateValues" dxfId="1742" priority="663"/>
  </conditionalFormatting>
  <conditionalFormatting sqref="J3:J56">
    <cfRule type="duplicateValues" dxfId="1741" priority="662"/>
  </conditionalFormatting>
  <conditionalFormatting sqref="J70:J80">
    <cfRule type="duplicateValues" dxfId="1740" priority="661"/>
  </conditionalFormatting>
  <conditionalFormatting sqref="J81:J89">
    <cfRule type="duplicateValues" dxfId="1739" priority="660"/>
  </conditionalFormatting>
  <conditionalFormatting sqref="J90">
    <cfRule type="duplicateValues" dxfId="1738" priority="659"/>
  </conditionalFormatting>
  <conditionalFormatting sqref="J90">
    <cfRule type="duplicateValues" dxfId="1737" priority="658"/>
  </conditionalFormatting>
  <conditionalFormatting sqref="A57:A89">
    <cfRule type="duplicateValues" dxfId="1736" priority="657"/>
  </conditionalFormatting>
  <conditionalFormatting sqref="J56:J83">
    <cfRule type="duplicateValues" dxfId="1735" priority="656"/>
  </conditionalFormatting>
  <conditionalFormatting sqref="J3:J55">
    <cfRule type="duplicateValues" dxfId="1734" priority="655"/>
  </conditionalFormatting>
  <conditionalFormatting sqref="A57:A62">
    <cfRule type="duplicateValues" dxfId="1733" priority="654"/>
  </conditionalFormatting>
  <conditionalFormatting sqref="A63:A69">
    <cfRule type="duplicateValues" dxfId="1732" priority="653"/>
  </conditionalFormatting>
  <conditionalFormatting sqref="J56:J61">
    <cfRule type="duplicateValues" dxfId="1731" priority="652"/>
  </conditionalFormatting>
  <conditionalFormatting sqref="J62:J68">
    <cfRule type="duplicateValues" dxfId="1730" priority="651"/>
  </conditionalFormatting>
  <conditionalFormatting sqref="A3:A56">
    <cfRule type="duplicateValues" dxfId="1729" priority="650"/>
  </conditionalFormatting>
  <conditionalFormatting sqref="J57:J84">
    <cfRule type="duplicateValues" dxfId="1728" priority="649"/>
  </conditionalFormatting>
  <conditionalFormatting sqref="J57:J62">
    <cfRule type="duplicateValues" dxfId="1727" priority="648"/>
  </conditionalFormatting>
  <conditionalFormatting sqref="J63:J69">
    <cfRule type="duplicateValues" dxfId="1726" priority="647"/>
  </conditionalFormatting>
  <conditionalFormatting sqref="J3:J56">
    <cfRule type="duplicateValues" dxfId="1725" priority="646"/>
  </conditionalFormatting>
  <conditionalFormatting sqref="A70:A80">
    <cfRule type="duplicateValues" dxfId="1724" priority="645"/>
  </conditionalFormatting>
  <conditionalFormatting sqref="J70:J80">
    <cfRule type="duplicateValues" dxfId="1723" priority="644"/>
  </conditionalFormatting>
  <conditionalFormatting sqref="A81:A89">
    <cfRule type="duplicateValues" dxfId="1722" priority="643"/>
  </conditionalFormatting>
  <conditionalFormatting sqref="A90">
    <cfRule type="duplicateValues" dxfId="1721" priority="642"/>
  </conditionalFormatting>
  <conditionalFormatting sqref="J57:J89">
    <cfRule type="duplicateValues" dxfId="1720" priority="641"/>
  </conditionalFormatting>
  <conditionalFormatting sqref="J81:J89">
    <cfRule type="duplicateValues" dxfId="1719" priority="640"/>
  </conditionalFormatting>
  <conditionalFormatting sqref="J90">
    <cfRule type="duplicateValues" dxfId="1718" priority="639"/>
  </conditionalFormatting>
  <conditionalFormatting sqref="A91:A95">
    <cfRule type="duplicateValues" dxfId="1717" priority="638"/>
  </conditionalFormatting>
  <conditionalFormatting sqref="J91:J95">
    <cfRule type="duplicateValues" dxfId="1716" priority="637"/>
  </conditionalFormatting>
  <conditionalFormatting sqref="A57:A89">
    <cfRule type="duplicateValues" dxfId="1715" priority="636"/>
  </conditionalFormatting>
  <conditionalFormatting sqref="J3:J55">
    <cfRule type="duplicateValues" dxfId="1714" priority="635"/>
  </conditionalFormatting>
  <conditionalFormatting sqref="A57:A62">
    <cfRule type="duplicateValues" dxfId="1713" priority="634"/>
  </conditionalFormatting>
  <conditionalFormatting sqref="A63:A69">
    <cfRule type="duplicateValues" dxfId="1712" priority="633"/>
  </conditionalFormatting>
  <conditionalFormatting sqref="J54:J59">
    <cfRule type="duplicateValues" dxfId="1711" priority="632"/>
  </conditionalFormatting>
  <conditionalFormatting sqref="J60:J66">
    <cfRule type="duplicateValues" dxfId="1710" priority="631"/>
  </conditionalFormatting>
  <conditionalFormatting sqref="A3:A56">
    <cfRule type="duplicateValues" dxfId="1709" priority="630"/>
  </conditionalFormatting>
  <conditionalFormatting sqref="J55:J60">
    <cfRule type="duplicateValues" dxfId="1708" priority="629"/>
  </conditionalFormatting>
  <conditionalFormatting sqref="J61:J67">
    <cfRule type="duplicateValues" dxfId="1707" priority="628"/>
  </conditionalFormatting>
  <conditionalFormatting sqref="A70:A80">
    <cfRule type="duplicateValues" dxfId="1706" priority="627"/>
  </conditionalFormatting>
  <conditionalFormatting sqref="A81:A89">
    <cfRule type="duplicateValues" dxfId="1705" priority="626"/>
  </conditionalFormatting>
  <conditionalFormatting sqref="A90">
    <cfRule type="duplicateValues" dxfId="1704" priority="625"/>
  </conditionalFormatting>
  <conditionalFormatting sqref="J77:J85">
    <cfRule type="duplicateValues" dxfId="1703" priority="624"/>
  </conditionalFormatting>
  <conditionalFormatting sqref="J86">
    <cfRule type="duplicateValues" dxfId="1702" priority="623"/>
  </conditionalFormatting>
  <conditionalFormatting sqref="A91:A95">
    <cfRule type="duplicateValues" dxfId="1701" priority="622"/>
  </conditionalFormatting>
  <conditionalFormatting sqref="J87:J91">
    <cfRule type="duplicateValues" dxfId="1700" priority="621"/>
  </conditionalFormatting>
  <conditionalFormatting sqref="A96:A101">
    <cfRule type="duplicateValues" dxfId="1699" priority="620"/>
  </conditionalFormatting>
  <conditionalFormatting sqref="J92:J97">
    <cfRule type="duplicateValues" dxfId="1698" priority="619"/>
  </conditionalFormatting>
  <conditionalFormatting sqref="J3:J54">
    <cfRule type="duplicateValues" dxfId="1697" priority="618"/>
  </conditionalFormatting>
  <conditionalFormatting sqref="A102:A105">
    <cfRule type="duplicateValues" dxfId="1696" priority="617"/>
  </conditionalFormatting>
  <conditionalFormatting sqref="J56:J61">
    <cfRule type="duplicateValues" dxfId="1695" priority="616"/>
  </conditionalFormatting>
  <conditionalFormatting sqref="J62:J68">
    <cfRule type="duplicateValues" dxfId="1694" priority="615"/>
  </conditionalFormatting>
  <conditionalFormatting sqref="J79:J87">
    <cfRule type="duplicateValues" dxfId="1693" priority="614"/>
  </conditionalFormatting>
  <conditionalFormatting sqref="J88">
    <cfRule type="duplicateValues" dxfId="1692" priority="613"/>
  </conditionalFormatting>
  <conditionalFormatting sqref="J89:J93">
    <cfRule type="duplicateValues" dxfId="1691" priority="612"/>
  </conditionalFormatting>
  <conditionalFormatting sqref="J94:J99">
    <cfRule type="duplicateValues" dxfId="1690" priority="611"/>
  </conditionalFormatting>
  <conditionalFormatting sqref="J100:J103">
    <cfRule type="duplicateValues" dxfId="1689" priority="610"/>
  </conditionalFormatting>
  <conditionalFormatting sqref="J3:J53">
    <cfRule type="duplicateValues" dxfId="1688" priority="609"/>
  </conditionalFormatting>
  <conditionalFormatting sqref="J54:J79">
    <cfRule type="duplicateValues" dxfId="1687" priority="608"/>
  </conditionalFormatting>
  <conditionalFormatting sqref="J55:J80">
    <cfRule type="duplicateValues" dxfId="1686" priority="607"/>
  </conditionalFormatting>
  <conditionalFormatting sqref="J68:J76">
    <cfRule type="duplicateValues" dxfId="1685" priority="606"/>
  </conditionalFormatting>
  <conditionalFormatting sqref="J55:J85">
    <cfRule type="duplicateValues" dxfId="1684" priority="605"/>
  </conditionalFormatting>
  <conditionalFormatting sqref="J56:J87">
    <cfRule type="duplicateValues" dxfId="1683" priority="604"/>
  </conditionalFormatting>
  <conditionalFormatting sqref="J69:J78">
    <cfRule type="duplicateValues" dxfId="1682" priority="603"/>
  </conditionalFormatting>
  <conditionalFormatting sqref="A57:A89">
    <cfRule type="duplicateValues" dxfId="1681" priority="602"/>
  </conditionalFormatting>
  <conditionalFormatting sqref="J3:J55">
    <cfRule type="duplicateValues" dxfId="1680" priority="601"/>
  </conditionalFormatting>
  <conditionalFormatting sqref="A57:A62">
    <cfRule type="duplicateValues" dxfId="1679" priority="600"/>
  </conditionalFormatting>
  <conditionalFormatting sqref="A63:A69">
    <cfRule type="duplicateValues" dxfId="1678" priority="599"/>
  </conditionalFormatting>
  <conditionalFormatting sqref="J54:J59">
    <cfRule type="duplicateValues" dxfId="1677" priority="598"/>
  </conditionalFormatting>
  <conditionalFormatting sqref="J60:J66">
    <cfRule type="duplicateValues" dxfId="1676" priority="597"/>
  </conditionalFormatting>
  <conditionalFormatting sqref="A3:A56">
    <cfRule type="duplicateValues" dxfId="1675" priority="596"/>
  </conditionalFormatting>
  <conditionalFormatting sqref="J55:J60">
    <cfRule type="duplicateValues" dxfId="1674" priority="595"/>
  </conditionalFormatting>
  <conditionalFormatting sqref="J61:J67">
    <cfRule type="duplicateValues" dxfId="1673" priority="594"/>
  </conditionalFormatting>
  <conditionalFormatting sqref="A70:A80">
    <cfRule type="duplicateValues" dxfId="1672" priority="593"/>
  </conditionalFormatting>
  <conditionalFormatting sqref="A81:A89">
    <cfRule type="duplicateValues" dxfId="1671" priority="592"/>
  </conditionalFormatting>
  <conditionalFormatting sqref="A90">
    <cfRule type="duplicateValues" dxfId="1670" priority="591"/>
  </conditionalFormatting>
  <conditionalFormatting sqref="J77:J85">
    <cfRule type="duplicateValues" dxfId="1669" priority="590"/>
  </conditionalFormatting>
  <conditionalFormatting sqref="J86">
    <cfRule type="duplicateValues" dxfId="1668" priority="589"/>
  </conditionalFormatting>
  <conditionalFormatting sqref="A91:A95">
    <cfRule type="duplicateValues" dxfId="1667" priority="588"/>
  </conditionalFormatting>
  <conditionalFormatting sqref="J87:J91">
    <cfRule type="duplicateValues" dxfId="1666" priority="587"/>
  </conditionalFormatting>
  <conditionalFormatting sqref="A96:A101">
    <cfRule type="duplicateValues" dxfId="1665" priority="586"/>
  </conditionalFormatting>
  <conditionalFormatting sqref="J92:J97">
    <cfRule type="duplicateValues" dxfId="1664" priority="585"/>
  </conditionalFormatting>
  <conditionalFormatting sqref="J3:J54">
    <cfRule type="duplicateValues" dxfId="1663" priority="584"/>
  </conditionalFormatting>
  <conditionalFormatting sqref="A102:A105">
    <cfRule type="duplicateValues" dxfId="1662" priority="583"/>
  </conditionalFormatting>
  <conditionalFormatting sqref="J56:J61">
    <cfRule type="duplicateValues" dxfId="1661" priority="582"/>
  </conditionalFormatting>
  <conditionalFormatting sqref="J62:J68">
    <cfRule type="duplicateValues" dxfId="1660" priority="581"/>
  </conditionalFormatting>
  <conditionalFormatting sqref="J79:J87">
    <cfRule type="duplicateValues" dxfId="1659" priority="580"/>
  </conditionalFormatting>
  <conditionalFormatting sqref="J88">
    <cfRule type="duplicateValues" dxfId="1658" priority="579"/>
  </conditionalFormatting>
  <conditionalFormatting sqref="J89:J93">
    <cfRule type="duplicateValues" dxfId="1657" priority="578"/>
  </conditionalFormatting>
  <conditionalFormatting sqref="J94:J99">
    <cfRule type="duplicateValues" dxfId="1656" priority="577"/>
  </conditionalFormatting>
  <conditionalFormatting sqref="J100:J103">
    <cfRule type="duplicateValues" dxfId="1655" priority="576"/>
  </conditionalFormatting>
  <conditionalFormatting sqref="J3:J53">
    <cfRule type="duplicateValues" dxfId="1654" priority="575"/>
  </conditionalFormatting>
  <conditionalFormatting sqref="J54:J79">
    <cfRule type="duplicateValues" dxfId="1653" priority="574"/>
  </conditionalFormatting>
  <conditionalFormatting sqref="J55:J80">
    <cfRule type="duplicateValues" dxfId="1652" priority="573"/>
  </conditionalFormatting>
  <conditionalFormatting sqref="J68:J76">
    <cfRule type="duplicateValues" dxfId="1651" priority="572"/>
  </conditionalFormatting>
  <conditionalFormatting sqref="J55:J85">
    <cfRule type="duplicateValues" dxfId="1650" priority="571"/>
  </conditionalFormatting>
  <conditionalFormatting sqref="J56:J87">
    <cfRule type="duplicateValues" dxfId="1649" priority="570"/>
  </conditionalFormatting>
  <conditionalFormatting sqref="J69:J78">
    <cfRule type="duplicateValues" dxfId="1648" priority="569"/>
  </conditionalFormatting>
  <conditionalFormatting sqref="A106:A113">
    <cfRule type="duplicateValues" dxfId="1647" priority="568"/>
  </conditionalFormatting>
  <conditionalFormatting sqref="J57:J89">
    <cfRule type="duplicateValues" dxfId="1646" priority="567"/>
  </conditionalFormatting>
  <conditionalFormatting sqref="J57:J62">
    <cfRule type="duplicateValues" dxfId="1645" priority="566"/>
  </conditionalFormatting>
  <conditionalFormatting sqref="J63:J69">
    <cfRule type="duplicateValues" dxfId="1644" priority="565"/>
  </conditionalFormatting>
  <conditionalFormatting sqref="J3:J56">
    <cfRule type="duplicateValues" dxfId="1643" priority="564"/>
  </conditionalFormatting>
  <conditionalFormatting sqref="J70:J80">
    <cfRule type="duplicateValues" dxfId="1642" priority="563"/>
  </conditionalFormatting>
  <conditionalFormatting sqref="J81:J89">
    <cfRule type="duplicateValues" dxfId="1641" priority="562"/>
  </conditionalFormatting>
  <conditionalFormatting sqref="J90">
    <cfRule type="duplicateValues" dxfId="1640" priority="561"/>
  </conditionalFormatting>
  <conditionalFormatting sqref="J91:J95">
    <cfRule type="duplicateValues" dxfId="1639" priority="560"/>
  </conditionalFormatting>
  <conditionalFormatting sqref="J96:J101">
    <cfRule type="duplicateValues" dxfId="1638" priority="559"/>
  </conditionalFormatting>
  <conditionalFormatting sqref="J102:J105">
    <cfRule type="duplicateValues" dxfId="1637" priority="558"/>
  </conditionalFormatting>
  <conditionalFormatting sqref="J106:J113">
    <cfRule type="duplicateValues" dxfId="1636" priority="557"/>
  </conditionalFormatting>
  <conditionalFormatting sqref="A57:A89">
    <cfRule type="duplicateValues" dxfId="1635" priority="556"/>
  </conditionalFormatting>
  <conditionalFormatting sqref="J3:J55">
    <cfRule type="duplicateValues" dxfId="1634" priority="555"/>
  </conditionalFormatting>
  <conditionalFormatting sqref="A57:A62">
    <cfRule type="duplicateValues" dxfId="1633" priority="554"/>
  </conditionalFormatting>
  <conditionalFormatting sqref="A63:A69">
    <cfRule type="duplicateValues" dxfId="1632" priority="553"/>
  </conditionalFormatting>
  <conditionalFormatting sqref="J54:J59">
    <cfRule type="duplicateValues" dxfId="1631" priority="552"/>
  </conditionalFormatting>
  <conditionalFormatting sqref="J60:J66">
    <cfRule type="duplicateValues" dxfId="1630" priority="551"/>
  </conditionalFormatting>
  <conditionalFormatting sqref="A3:A56">
    <cfRule type="duplicateValues" dxfId="1629" priority="550"/>
  </conditionalFormatting>
  <conditionalFormatting sqref="J55:J60">
    <cfRule type="duplicateValues" dxfId="1628" priority="549"/>
  </conditionalFormatting>
  <conditionalFormatting sqref="J61:J67">
    <cfRule type="duplicateValues" dxfId="1627" priority="548"/>
  </conditionalFormatting>
  <conditionalFormatting sqref="A70:A80">
    <cfRule type="duplicateValues" dxfId="1626" priority="547"/>
  </conditionalFormatting>
  <conditionalFormatting sqref="A81:A89">
    <cfRule type="duplicateValues" dxfId="1625" priority="546"/>
  </conditionalFormatting>
  <conditionalFormatting sqref="A90">
    <cfRule type="duplicateValues" dxfId="1624" priority="545"/>
  </conditionalFormatting>
  <conditionalFormatting sqref="J77:J85">
    <cfRule type="duplicateValues" dxfId="1623" priority="544"/>
  </conditionalFormatting>
  <conditionalFormatting sqref="J86">
    <cfRule type="duplicateValues" dxfId="1622" priority="543"/>
  </conditionalFormatting>
  <conditionalFormatting sqref="A91:A95">
    <cfRule type="duplicateValues" dxfId="1621" priority="542"/>
  </conditionalFormatting>
  <conditionalFormatting sqref="J87:J91">
    <cfRule type="duplicateValues" dxfId="1620" priority="541"/>
  </conditionalFormatting>
  <conditionalFormatting sqref="A96:A101">
    <cfRule type="duplicateValues" dxfId="1619" priority="540"/>
  </conditionalFormatting>
  <conditionalFormatting sqref="J92:J97">
    <cfRule type="duplicateValues" dxfId="1618" priority="539"/>
  </conditionalFormatting>
  <conditionalFormatting sqref="J3:J54">
    <cfRule type="duplicateValues" dxfId="1617" priority="538"/>
  </conditionalFormatting>
  <conditionalFormatting sqref="A102:A105">
    <cfRule type="duplicateValues" dxfId="1616" priority="537"/>
  </conditionalFormatting>
  <conditionalFormatting sqref="J56:J61">
    <cfRule type="duplicateValues" dxfId="1615" priority="536"/>
  </conditionalFormatting>
  <conditionalFormatting sqref="J62:J68">
    <cfRule type="duplicateValues" dxfId="1614" priority="535"/>
  </conditionalFormatting>
  <conditionalFormatting sqref="J79:J87">
    <cfRule type="duplicateValues" dxfId="1613" priority="534"/>
  </conditionalFormatting>
  <conditionalFormatting sqref="J88">
    <cfRule type="duplicateValues" dxfId="1612" priority="533"/>
  </conditionalFormatting>
  <conditionalFormatting sqref="J89:J93">
    <cfRule type="duplicateValues" dxfId="1611" priority="532"/>
  </conditionalFormatting>
  <conditionalFormatting sqref="J94:J99">
    <cfRule type="duplicateValues" dxfId="1610" priority="531"/>
  </conditionalFormatting>
  <conditionalFormatting sqref="J100:J103">
    <cfRule type="duplicateValues" dxfId="1609" priority="530"/>
  </conditionalFormatting>
  <conditionalFormatting sqref="J3:J53">
    <cfRule type="duplicateValues" dxfId="1608" priority="529"/>
  </conditionalFormatting>
  <conditionalFormatting sqref="J54:J79">
    <cfRule type="duplicateValues" dxfId="1607" priority="528"/>
  </conditionalFormatting>
  <conditionalFormatting sqref="J55:J80">
    <cfRule type="duplicateValues" dxfId="1606" priority="527"/>
  </conditionalFormatting>
  <conditionalFormatting sqref="J68:J76">
    <cfRule type="duplicateValues" dxfId="1605" priority="526"/>
  </conditionalFormatting>
  <conditionalFormatting sqref="J55:J85">
    <cfRule type="duplicateValues" dxfId="1604" priority="525"/>
  </conditionalFormatting>
  <conditionalFormatting sqref="J56:J87">
    <cfRule type="duplicateValues" dxfId="1603" priority="524"/>
  </conditionalFormatting>
  <conditionalFormatting sqref="J69:J78">
    <cfRule type="duplicateValues" dxfId="1602" priority="523"/>
  </conditionalFormatting>
  <conditionalFormatting sqref="A106:A113">
    <cfRule type="duplicateValues" dxfId="1601" priority="522"/>
  </conditionalFormatting>
  <conditionalFormatting sqref="J57:J89">
    <cfRule type="duplicateValues" dxfId="1600" priority="521"/>
  </conditionalFormatting>
  <conditionalFormatting sqref="J57:J62">
    <cfRule type="duplicateValues" dxfId="1599" priority="520"/>
  </conditionalFormatting>
  <conditionalFormatting sqref="J63:J69">
    <cfRule type="duplicateValues" dxfId="1598" priority="519"/>
  </conditionalFormatting>
  <conditionalFormatting sqref="J3:J56">
    <cfRule type="duplicateValues" dxfId="1597" priority="518"/>
  </conditionalFormatting>
  <conditionalFormatting sqref="J70:J80">
    <cfRule type="duplicateValues" dxfId="1596" priority="517"/>
  </conditionalFormatting>
  <conditionalFormatting sqref="J81:J89">
    <cfRule type="duplicateValues" dxfId="1595" priority="516"/>
  </conditionalFormatting>
  <conditionalFormatting sqref="J90">
    <cfRule type="duplicateValues" dxfId="1594" priority="515"/>
  </conditionalFormatting>
  <conditionalFormatting sqref="J91:J95">
    <cfRule type="duplicateValues" dxfId="1593" priority="514"/>
  </conditionalFormatting>
  <conditionalFormatting sqref="J96:J101">
    <cfRule type="duplicateValues" dxfId="1592" priority="513"/>
  </conditionalFormatting>
  <conditionalFormatting sqref="J102:J105">
    <cfRule type="duplicateValues" dxfId="1591" priority="512"/>
  </conditionalFormatting>
  <conditionalFormatting sqref="J106:J113">
    <cfRule type="duplicateValues" dxfId="1590" priority="511"/>
  </conditionalFormatting>
  <conditionalFormatting sqref="A114:A121">
    <cfRule type="duplicateValues" dxfId="1589" priority="510"/>
  </conditionalFormatting>
  <conditionalFormatting sqref="J57:J89">
    <cfRule type="duplicateValues" dxfId="1588" priority="509"/>
  </conditionalFormatting>
  <conditionalFormatting sqref="J57:J62">
    <cfRule type="duplicateValues" dxfId="1587" priority="508"/>
  </conditionalFormatting>
  <conditionalFormatting sqref="J63:J69">
    <cfRule type="duplicateValues" dxfId="1586" priority="507"/>
  </conditionalFormatting>
  <conditionalFormatting sqref="J3:J56">
    <cfRule type="duplicateValues" dxfId="1585" priority="506"/>
  </conditionalFormatting>
  <conditionalFormatting sqref="J70:J80">
    <cfRule type="duplicateValues" dxfId="1584" priority="505"/>
  </conditionalFormatting>
  <conditionalFormatting sqref="J81:J89">
    <cfRule type="duplicateValues" dxfId="1583" priority="504"/>
  </conditionalFormatting>
  <conditionalFormatting sqref="J90">
    <cfRule type="duplicateValues" dxfId="1582" priority="503"/>
  </conditionalFormatting>
  <conditionalFormatting sqref="J91:J95">
    <cfRule type="duplicateValues" dxfId="1581" priority="502"/>
  </conditionalFormatting>
  <conditionalFormatting sqref="J96:J101">
    <cfRule type="duplicateValues" dxfId="1580" priority="501"/>
  </conditionalFormatting>
  <conditionalFormatting sqref="J102:J105">
    <cfRule type="duplicateValues" dxfId="1579" priority="500"/>
  </conditionalFormatting>
  <conditionalFormatting sqref="J106:J113">
    <cfRule type="duplicateValues" dxfId="1578" priority="499"/>
  </conditionalFormatting>
  <conditionalFormatting sqref="J114:J121">
    <cfRule type="duplicateValues" dxfId="1577" priority="498"/>
  </conditionalFormatting>
  <conditionalFormatting sqref="A57:A89">
    <cfRule type="duplicateValues" dxfId="1576" priority="497"/>
  </conditionalFormatting>
  <conditionalFormatting sqref="J3:J55">
    <cfRule type="duplicateValues" dxfId="1575" priority="496"/>
  </conditionalFormatting>
  <conditionalFormatting sqref="A57:A62">
    <cfRule type="duplicateValues" dxfId="1574" priority="495"/>
  </conditionalFormatting>
  <conditionalFormatting sqref="A63:A69">
    <cfRule type="duplicateValues" dxfId="1573" priority="494"/>
  </conditionalFormatting>
  <conditionalFormatting sqref="J54:J59">
    <cfRule type="duplicateValues" dxfId="1572" priority="493"/>
  </conditionalFormatting>
  <conditionalFormatting sqref="J60:J66">
    <cfRule type="duplicateValues" dxfId="1571" priority="492"/>
  </conditionalFormatting>
  <conditionalFormatting sqref="A3:A56">
    <cfRule type="duplicateValues" dxfId="1570" priority="491"/>
  </conditionalFormatting>
  <conditionalFormatting sqref="J55:J60">
    <cfRule type="duplicateValues" dxfId="1569" priority="490"/>
  </conditionalFormatting>
  <conditionalFormatting sqref="J61:J67">
    <cfRule type="duplicateValues" dxfId="1568" priority="489"/>
  </conditionalFormatting>
  <conditionalFormatting sqref="A70:A80">
    <cfRule type="duplicateValues" dxfId="1567" priority="488"/>
  </conditionalFormatting>
  <conditionalFormatting sqref="A81:A89">
    <cfRule type="duplicateValues" dxfId="1566" priority="487"/>
  </conditionalFormatting>
  <conditionalFormatting sqref="A90">
    <cfRule type="duplicateValues" dxfId="1565" priority="486"/>
  </conditionalFormatting>
  <conditionalFormatting sqref="J76:J84">
    <cfRule type="duplicateValues" dxfId="1564" priority="485"/>
  </conditionalFormatting>
  <conditionalFormatting sqref="J85">
    <cfRule type="duplicateValues" dxfId="1563" priority="484"/>
  </conditionalFormatting>
  <conditionalFormatting sqref="A91:A95">
    <cfRule type="duplicateValues" dxfId="1562" priority="483"/>
  </conditionalFormatting>
  <conditionalFormatting sqref="J86:J90">
    <cfRule type="duplicateValues" dxfId="1561" priority="482"/>
  </conditionalFormatting>
  <conditionalFormatting sqref="A96:A101">
    <cfRule type="duplicateValues" dxfId="1560" priority="481"/>
  </conditionalFormatting>
  <conditionalFormatting sqref="J91:J96">
    <cfRule type="duplicateValues" dxfId="1559" priority="480"/>
  </conditionalFormatting>
  <conditionalFormatting sqref="J3:J54">
    <cfRule type="duplicateValues" dxfId="1558" priority="479"/>
  </conditionalFormatting>
  <conditionalFormatting sqref="A102:A105">
    <cfRule type="duplicateValues" dxfId="1557" priority="478"/>
  </conditionalFormatting>
  <conditionalFormatting sqref="J56:J61">
    <cfRule type="duplicateValues" dxfId="1556" priority="477"/>
  </conditionalFormatting>
  <conditionalFormatting sqref="J62:J68">
    <cfRule type="duplicateValues" dxfId="1555" priority="476"/>
  </conditionalFormatting>
  <conditionalFormatting sqref="J78:J86">
    <cfRule type="duplicateValues" dxfId="1554" priority="475"/>
  </conditionalFormatting>
  <conditionalFormatting sqref="J87">
    <cfRule type="duplicateValues" dxfId="1553" priority="474"/>
  </conditionalFormatting>
  <conditionalFormatting sqref="J88:J92">
    <cfRule type="duplicateValues" dxfId="1552" priority="473"/>
  </conditionalFormatting>
  <conditionalFormatting sqref="J93:J98">
    <cfRule type="duplicateValues" dxfId="1551" priority="472"/>
  </conditionalFormatting>
  <conditionalFormatting sqref="J99:J102">
    <cfRule type="duplicateValues" dxfId="1550" priority="471"/>
  </conditionalFormatting>
  <conditionalFormatting sqref="J3:J53">
    <cfRule type="duplicateValues" dxfId="1549" priority="470"/>
  </conditionalFormatting>
  <conditionalFormatting sqref="A106:A113">
    <cfRule type="duplicateValues" dxfId="1548" priority="469"/>
  </conditionalFormatting>
  <conditionalFormatting sqref="J57:J62">
    <cfRule type="duplicateValues" dxfId="1547" priority="468"/>
  </conditionalFormatting>
  <conditionalFormatting sqref="J63:J69">
    <cfRule type="duplicateValues" dxfId="1546" priority="467"/>
  </conditionalFormatting>
  <conditionalFormatting sqref="J3:J56">
    <cfRule type="duplicateValues" dxfId="1545" priority="466"/>
  </conditionalFormatting>
  <conditionalFormatting sqref="J80:J88">
    <cfRule type="duplicateValues" dxfId="1544" priority="465"/>
  </conditionalFormatting>
  <conditionalFormatting sqref="J89">
    <cfRule type="duplicateValues" dxfId="1543" priority="464"/>
  </conditionalFormatting>
  <conditionalFormatting sqref="J90:J94">
    <cfRule type="duplicateValues" dxfId="1542" priority="463"/>
  </conditionalFormatting>
  <conditionalFormatting sqref="J95:J100">
    <cfRule type="duplicateValues" dxfId="1541" priority="462"/>
  </conditionalFormatting>
  <conditionalFormatting sqref="J101:J104">
    <cfRule type="duplicateValues" dxfId="1540" priority="461"/>
  </conditionalFormatting>
  <conditionalFormatting sqref="J105:J112">
    <cfRule type="duplicateValues" dxfId="1539" priority="460"/>
  </conditionalFormatting>
  <conditionalFormatting sqref="A114:A121">
    <cfRule type="duplicateValues" dxfId="1538" priority="459"/>
  </conditionalFormatting>
  <conditionalFormatting sqref="J113:J120">
    <cfRule type="duplicateValues" dxfId="1537" priority="458"/>
  </conditionalFormatting>
  <conditionalFormatting sqref="A122:A127">
    <cfRule type="duplicateValues" dxfId="1536" priority="457"/>
  </conditionalFormatting>
  <conditionalFormatting sqref="J121:J126">
    <cfRule type="duplicateValues" dxfId="1535" priority="456"/>
  </conditionalFormatting>
  <conditionalFormatting sqref="J54:J78">
    <cfRule type="duplicateValues" dxfId="1534" priority="455"/>
  </conditionalFormatting>
  <conditionalFormatting sqref="J55:J79">
    <cfRule type="duplicateValues" dxfId="1533" priority="454"/>
  </conditionalFormatting>
  <conditionalFormatting sqref="J68:J75">
    <cfRule type="duplicateValues" dxfId="1532" priority="453"/>
  </conditionalFormatting>
  <conditionalFormatting sqref="J55:J84">
    <cfRule type="duplicateValues" dxfId="1531" priority="452"/>
  </conditionalFormatting>
  <conditionalFormatting sqref="J56:J86">
    <cfRule type="duplicateValues" dxfId="1530" priority="451"/>
  </conditionalFormatting>
  <conditionalFormatting sqref="J69:J77">
    <cfRule type="duplicateValues" dxfId="1529" priority="450"/>
  </conditionalFormatting>
  <conditionalFormatting sqref="J57:J88">
    <cfRule type="duplicateValues" dxfId="1528" priority="449"/>
  </conditionalFormatting>
  <conditionalFormatting sqref="J70:J79">
    <cfRule type="duplicateValues" dxfId="1527" priority="448"/>
  </conditionalFormatting>
  <conditionalFormatting sqref="A57:A89">
    <cfRule type="duplicateValues" dxfId="1526" priority="447"/>
  </conditionalFormatting>
  <conditionalFormatting sqref="J3:J55">
    <cfRule type="duplicateValues" dxfId="1525" priority="446"/>
  </conditionalFormatting>
  <conditionalFormatting sqref="A57:A62">
    <cfRule type="duplicateValues" dxfId="1524" priority="445"/>
  </conditionalFormatting>
  <conditionalFormatting sqref="A63:A69">
    <cfRule type="duplicateValues" dxfId="1523" priority="444"/>
  </conditionalFormatting>
  <conditionalFormatting sqref="J54:J59">
    <cfRule type="duplicateValues" dxfId="1522" priority="443"/>
  </conditionalFormatting>
  <conditionalFormatting sqref="J60:J66">
    <cfRule type="duplicateValues" dxfId="1521" priority="442"/>
  </conditionalFormatting>
  <conditionalFormatting sqref="A3:A56">
    <cfRule type="duplicateValues" dxfId="1520" priority="441"/>
  </conditionalFormatting>
  <conditionalFormatting sqref="J55:J60">
    <cfRule type="duplicateValues" dxfId="1519" priority="440"/>
  </conditionalFormatting>
  <conditionalFormatting sqref="J61:J67">
    <cfRule type="duplicateValues" dxfId="1518" priority="439"/>
  </conditionalFormatting>
  <conditionalFormatting sqref="A70:A80">
    <cfRule type="duplicateValues" dxfId="1517" priority="438"/>
  </conditionalFormatting>
  <conditionalFormatting sqref="A81:A89">
    <cfRule type="duplicateValues" dxfId="1516" priority="437"/>
  </conditionalFormatting>
  <conditionalFormatting sqref="A90">
    <cfRule type="duplicateValues" dxfId="1515" priority="436"/>
  </conditionalFormatting>
  <conditionalFormatting sqref="J76:J84">
    <cfRule type="duplicateValues" dxfId="1514" priority="435"/>
  </conditionalFormatting>
  <conditionalFormatting sqref="J85">
    <cfRule type="duplicateValues" dxfId="1513" priority="434"/>
  </conditionalFormatting>
  <conditionalFormatting sqref="A91:A95">
    <cfRule type="duplicateValues" dxfId="1512" priority="433"/>
  </conditionalFormatting>
  <conditionalFormatting sqref="J86:J90">
    <cfRule type="duplicateValues" dxfId="1511" priority="432"/>
  </conditionalFormatting>
  <conditionalFormatting sqref="A96:A101">
    <cfRule type="duplicateValues" dxfId="1510" priority="431"/>
  </conditionalFormatting>
  <conditionalFormatting sqref="J91:J96">
    <cfRule type="duplicateValues" dxfId="1509" priority="430"/>
  </conditionalFormatting>
  <conditionalFormatting sqref="J3:J54">
    <cfRule type="duplicateValues" dxfId="1508" priority="429"/>
  </conditionalFormatting>
  <conditionalFormatting sqref="A102:A105">
    <cfRule type="duplicateValues" dxfId="1507" priority="428"/>
  </conditionalFormatting>
  <conditionalFormatting sqref="J56:J61">
    <cfRule type="duplicateValues" dxfId="1506" priority="427"/>
  </conditionalFormatting>
  <conditionalFormatting sqref="J62:J68">
    <cfRule type="duplicateValues" dxfId="1505" priority="426"/>
  </conditionalFormatting>
  <conditionalFormatting sqref="J78:J86">
    <cfRule type="duplicateValues" dxfId="1504" priority="425"/>
  </conditionalFormatting>
  <conditionalFormatting sqref="J87">
    <cfRule type="duplicateValues" dxfId="1503" priority="424"/>
  </conditionalFormatting>
  <conditionalFormatting sqref="J88:J92">
    <cfRule type="duplicateValues" dxfId="1502" priority="423"/>
  </conditionalFormatting>
  <conditionalFormatting sqref="J93:J98">
    <cfRule type="duplicateValues" dxfId="1501" priority="422"/>
  </conditionalFormatting>
  <conditionalFormatting sqref="J99:J102">
    <cfRule type="duplicateValues" dxfId="1500" priority="421"/>
  </conditionalFormatting>
  <conditionalFormatting sqref="J3:J53">
    <cfRule type="duplicateValues" dxfId="1499" priority="420"/>
  </conditionalFormatting>
  <conditionalFormatting sqref="A106:A113">
    <cfRule type="duplicateValues" dxfId="1498" priority="419"/>
  </conditionalFormatting>
  <conditionalFormatting sqref="J57:J62">
    <cfRule type="duplicateValues" dxfId="1497" priority="418"/>
  </conditionalFormatting>
  <conditionalFormatting sqref="J63:J69">
    <cfRule type="duplicateValues" dxfId="1496" priority="417"/>
  </conditionalFormatting>
  <conditionalFormatting sqref="J3:J56">
    <cfRule type="duplicateValues" dxfId="1495" priority="416"/>
  </conditionalFormatting>
  <conditionalFormatting sqref="J80:J88">
    <cfRule type="duplicateValues" dxfId="1494" priority="415"/>
  </conditionalFormatting>
  <conditionalFormatting sqref="J89">
    <cfRule type="duplicateValues" dxfId="1493" priority="414"/>
  </conditionalFormatting>
  <conditionalFormatting sqref="J90:J94">
    <cfRule type="duplicateValues" dxfId="1492" priority="413"/>
  </conditionalFormatting>
  <conditionalFormatting sqref="J95:J100">
    <cfRule type="duplicateValues" dxfId="1491" priority="412"/>
  </conditionalFormatting>
  <conditionalFormatting sqref="J101:J104">
    <cfRule type="duplicateValues" dxfId="1490" priority="411"/>
  </conditionalFormatting>
  <conditionalFormatting sqref="J105:J112">
    <cfRule type="duplicateValues" dxfId="1489" priority="410"/>
  </conditionalFormatting>
  <conditionalFormatting sqref="A114:A121">
    <cfRule type="duplicateValues" dxfId="1488" priority="409"/>
  </conditionalFormatting>
  <conditionalFormatting sqref="J113:J120">
    <cfRule type="duplicateValues" dxfId="1487" priority="408"/>
  </conditionalFormatting>
  <conditionalFormatting sqref="A122:A127">
    <cfRule type="duplicateValues" dxfId="1486" priority="407"/>
  </conditionalFormatting>
  <conditionalFormatting sqref="J121:J126">
    <cfRule type="duplicateValues" dxfId="1485" priority="406"/>
  </conditionalFormatting>
  <conditionalFormatting sqref="J54:J78">
    <cfRule type="duplicateValues" dxfId="1484" priority="405"/>
  </conditionalFormatting>
  <conditionalFormatting sqref="J55:J79">
    <cfRule type="duplicateValues" dxfId="1483" priority="404"/>
  </conditionalFormatting>
  <conditionalFormatting sqref="J68:J75">
    <cfRule type="duplicateValues" dxfId="1482" priority="403"/>
  </conditionalFormatting>
  <conditionalFormatting sqref="J55:J84">
    <cfRule type="duplicateValues" dxfId="1481" priority="402"/>
  </conditionalFormatting>
  <conditionalFormatting sqref="J56:J86">
    <cfRule type="duplicateValues" dxfId="1480" priority="401"/>
  </conditionalFormatting>
  <conditionalFormatting sqref="J69:J77">
    <cfRule type="duplicateValues" dxfId="1479" priority="400"/>
  </conditionalFormatting>
  <conditionalFormatting sqref="J57:J88">
    <cfRule type="duplicateValues" dxfId="1478" priority="399"/>
  </conditionalFormatting>
  <conditionalFormatting sqref="J70:J79">
    <cfRule type="duplicateValues" dxfId="1477" priority="398"/>
  </conditionalFormatting>
  <conditionalFormatting sqref="A128:A133">
    <cfRule type="duplicateValues" dxfId="1476" priority="397"/>
  </conditionalFormatting>
  <conditionalFormatting sqref="J57:J89">
    <cfRule type="duplicateValues" dxfId="1475" priority="396"/>
  </conditionalFormatting>
  <conditionalFormatting sqref="J57:J62">
    <cfRule type="duplicateValues" dxfId="1474" priority="395"/>
  </conditionalFormatting>
  <conditionalFormatting sqref="J63:J69">
    <cfRule type="duplicateValues" dxfId="1473" priority="394"/>
  </conditionalFormatting>
  <conditionalFormatting sqref="J3:J56">
    <cfRule type="duplicateValues" dxfId="1472" priority="393"/>
  </conditionalFormatting>
  <conditionalFormatting sqref="J70:J80">
    <cfRule type="duplicateValues" dxfId="1471" priority="392"/>
  </conditionalFormatting>
  <conditionalFormatting sqref="J81:J89">
    <cfRule type="duplicateValues" dxfId="1470" priority="391"/>
  </conditionalFormatting>
  <conditionalFormatting sqref="J90">
    <cfRule type="duplicateValues" dxfId="1469" priority="390"/>
  </conditionalFormatting>
  <conditionalFormatting sqref="J91:J95">
    <cfRule type="duplicateValues" dxfId="1468" priority="389"/>
  </conditionalFormatting>
  <conditionalFormatting sqref="J96:J101">
    <cfRule type="duplicateValues" dxfId="1467" priority="388"/>
  </conditionalFormatting>
  <conditionalFormatting sqref="J102:J105">
    <cfRule type="duplicateValues" dxfId="1466" priority="387"/>
  </conditionalFormatting>
  <conditionalFormatting sqref="J106:J113">
    <cfRule type="duplicateValues" dxfId="1465" priority="386"/>
  </conditionalFormatting>
  <conditionalFormatting sqref="J114:J121">
    <cfRule type="duplicateValues" dxfId="1464" priority="385"/>
  </conditionalFormatting>
  <conditionalFormatting sqref="J122:J127">
    <cfRule type="duplicateValues" dxfId="1463" priority="384"/>
  </conditionalFormatting>
  <conditionalFormatting sqref="J128:J133">
    <cfRule type="duplicateValues" dxfId="1462" priority="383"/>
  </conditionalFormatting>
  <conditionalFormatting sqref="A57:A89">
    <cfRule type="duplicateValues" dxfId="1461" priority="382"/>
  </conditionalFormatting>
  <conditionalFormatting sqref="J3:J55">
    <cfRule type="duplicateValues" dxfId="1460" priority="381"/>
  </conditionalFormatting>
  <conditionalFormatting sqref="A57:A62">
    <cfRule type="duplicateValues" dxfId="1459" priority="380"/>
  </conditionalFormatting>
  <conditionalFormatting sqref="A63:A69">
    <cfRule type="duplicateValues" dxfId="1458" priority="379"/>
  </conditionalFormatting>
  <conditionalFormatting sqref="J54:J59">
    <cfRule type="duplicateValues" dxfId="1457" priority="378"/>
  </conditionalFormatting>
  <conditionalFormatting sqref="J60:J66">
    <cfRule type="duplicateValues" dxfId="1456" priority="377"/>
  </conditionalFormatting>
  <conditionalFormatting sqref="A3:A56">
    <cfRule type="duplicateValues" dxfId="1455" priority="376"/>
  </conditionalFormatting>
  <conditionalFormatting sqref="J55:J60">
    <cfRule type="duplicateValues" dxfId="1454" priority="375"/>
  </conditionalFormatting>
  <conditionalFormatting sqref="J61:J67">
    <cfRule type="duplicateValues" dxfId="1453" priority="374"/>
  </conditionalFormatting>
  <conditionalFormatting sqref="A70:A80">
    <cfRule type="duplicateValues" dxfId="1452" priority="373"/>
  </conditionalFormatting>
  <conditionalFormatting sqref="A81:A89">
    <cfRule type="duplicateValues" dxfId="1451" priority="372"/>
  </conditionalFormatting>
  <conditionalFormatting sqref="A90">
    <cfRule type="duplicateValues" dxfId="1450" priority="371"/>
  </conditionalFormatting>
  <conditionalFormatting sqref="J76:J84">
    <cfRule type="duplicateValues" dxfId="1449" priority="370"/>
  </conditionalFormatting>
  <conditionalFormatting sqref="J85">
    <cfRule type="duplicateValues" dxfId="1448" priority="369"/>
  </conditionalFormatting>
  <conditionalFormatting sqref="A91:A95">
    <cfRule type="duplicateValues" dxfId="1447" priority="368"/>
  </conditionalFormatting>
  <conditionalFormatting sqref="J86:J90">
    <cfRule type="duplicateValues" dxfId="1446" priority="367"/>
  </conditionalFormatting>
  <conditionalFormatting sqref="A96:A101">
    <cfRule type="duplicateValues" dxfId="1445" priority="366"/>
  </conditionalFormatting>
  <conditionalFormatting sqref="J91:J96">
    <cfRule type="duplicateValues" dxfId="1444" priority="365"/>
  </conditionalFormatting>
  <conditionalFormatting sqref="J3:J54">
    <cfRule type="duplicateValues" dxfId="1443" priority="364"/>
  </conditionalFormatting>
  <conditionalFormatting sqref="A102:A105">
    <cfRule type="duplicateValues" dxfId="1442" priority="363"/>
  </conditionalFormatting>
  <conditionalFormatting sqref="J56:J61">
    <cfRule type="duplicateValues" dxfId="1441" priority="362"/>
  </conditionalFormatting>
  <conditionalFormatting sqref="J62:J68">
    <cfRule type="duplicateValues" dxfId="1440" priority="361"/>
  </conditionalFormatting>
  <conditionalFormatting sqref="J78:J86">
    <cfRule type="duplicateValues" dxfId="1439" priority="360"/>
  </conditionalFormatting>
  <conditionalFormatting sqref="J87">
    <cfRule type="duplicateValues" dxfId="1438" priority="359"/>
  </conditionalFormatting>
  <conditionalFormatting sqref="J88:J92">
    <cfRule type="duplicateValues" dxfId="1437" priority="358"/>
  </conditionalFormatting>
  <conditionalFormatting sqref="J93:J98">
    <cfRule type="duplicateValues" dxfId="1436" priority="357"/>
  </conditionalFormatting>
  <conditionalFormatting sqref="J99:J102">
    <cfRule type="duplicateValues" dxfId="1435" priority="356"/>
  </conditionalFormatting>
  <conditionalFormatting sqref="J3:J53">
    <cfRule type="duplicateValues" dxfId="1434" priority="355"/>
  </conditionalFormatting>
  <conditionalFormatting sqref="A106:A113">
    <cfRule type="duplicateValues" dxfId="1433" priority="354"/>
  </conditionalFormatting>
  <conditionalFormatting sqref="J57:J62">
    <cfRule type="duplicateValues" dxfId="1432" priority="353"/>
  </conditionalFormatting>
  <conditionalFormatting sqref="J63:J69">
    <cfRule type="duplicateValues" dxfId="1431" priority="352"/>
  </conditionalFormatting>
  <conditionalFormatting sqref="J3:J56">
    <cfRule type="duplicateValues" dxfId="1430" priority="351"/>
  </conditionalFormatting>
  <conditionalFormatting sqref="J80:J88">
    <cfRule type="duplicateValues" dxfId="1429" priority="350"/>
  </conditionalFormatting>
  <conditionalFormatting sqref="J89">
    <cfRule type="duplicateValues" dxfId="1428" priority="349"/>
  </conditionalFormatting>
  <conditionalFormatting sqref="J90:J94">
    <cfRule type="duplicateValues" dxfId="1427" priority="348"/>
  </conditionalFormatting>
  <conditionalFormatting sqref="J95:J100">
    <cfRule type="duplicateValues" dxfId="1426" priority="347"/>
  </conditionalFormatting>
  <conditionalFormatting sqref="J101:J104">
    <cfRule type="duplicateValues" dxfId="1425" priority="346"/>
  </conditionalFormatting>
  <conditionalFormatting sqref="J105:J112">
    <cfRule type="duplicateValues" dxfId="1424" priority="345"/>
  </conditionalFormatting>
  <conditionalFormatting sqref="A114:A121">
    <cfRule type="duplicateValues" dxfId="1423" priority="344"/>
  </conditionalFormatting>
  <conditionalFormatting sqref="J113:J120">
    <cfRule type="duplicateValues" dxfId="1422" priority="343"/>
  </conditionalFormatting>
  <conditionalFormatting sqref="A122:A127">
    <cfRule type="duplicateValues" dxfId="1421" priority="342"/>
  </conditionalFormatting>
  <conditionalFormatting sqref="J121:J126">
    <cfRule type="duplicateValues" dxfId="1420" priority="341"/>
  </conditionalFormatting>
  <conditionalFormatting sqref="J54:J78">
    <cfRule type="duplicateValues" dxfId="1419" priority="340"/>
  </conditionalFormatting>
  <conditionalFormatting sqref="J55:J79">
    <cfRule type="duplicateValues" dxfId="1418" priority="339"/>
  </conditionalFormatting>
  <conditionalFormatting sqref="J68:J75">
    <cfRule type="duplicateValues" dxfId="1417" priority="338"/>
  </conditionalFormatting>
  <conditionalFormatting sqref="J55:J84">
    <cfRule type="duplicateValues" dxfId="1416" priority="337"/>
  </conditionalFormatting>
  <conditionalFormatting sqref="J56:J86">
    <cfRule type="duplicateValues" dxfId="1415" priority="336"/>
  </conditionalFormatting>
  <conditionalFormatting sqref="J69:J77">
    <cfRule type="duplicateValues" dxfId="1414" priority="335"/>
  </conditionalFormatting>
  <conditionalFormatting sqref="J57:J88">
    <cfRule type="duplicateValues" dxfId="1413" priority="334"/>
  </conditionalFormatting>
  <conditionalFormatting sqref="J70:J79">
    <cfRule type="duplicateValues" dxfId="1412" priority="333"/>
  </conditionalFormatting>
  <conditionalFormatting sqref="A128:A133">
    <cfRule type="duplicateValues" dxfId="1411" priority="332"/>
  </conditionalFormatting>
  <conditionalFormatting sqref="J57:J89">
    <cfRule type="duplicateValues" dxfId="1410" priority="331"/>
  </conditionalFormatting>
  <conditionalFormatting sqref="J57:J62">
    <cfRule type="duplicateValues" dxfId="1409" priority="330"/>
  </conditionalFormatting>
  <conditionalFormatting sqref="J63:J69">
    <cfRule type="duplicateValues" dxfId="1408" priority="329"/>
  </conditionalFormatting>
  <conditionalFormatting sqref="J3:J56">
    <cfRule type="duplicateValues" dxfId="1407" priority="328"/>
  </conditionalFormatting>
  <conditionalFormatting sqref="J70:J80">
    <cfRule type="duplicateValues" dxfId="1406" priority="327"/>
  </conditionalFormatting>
  <conditionalFormatting sqref="J81:J89">
    <cfRule type="duplicateValues" dxfId="1405" priority="326"/>
  </conditionalFormatting>
  <conditionalFormatting sqref="J90">
    <cfRule type="duplicateValues" dxfId="1404" priority="325"/>
  </conditionalFormatting>
  <conditionalFormatting sqref="J91:J95">
    <cfRule type="duplicateValues" dxfId="1403" priority="324"/>
  </conditionalFormatting>
  <conditionalFormatting sqref="J96:J101">
    <cfRule type="duplicateValues" dxfId="1402" priority="323"/>
  </conditionalFormatting>
  <conditionalFormatting sqref="J102:J105">
    <cfRule type="duplicateValues" dxfId="1401" priority="322"/>
  </conditionalFormatting>
  <conditionalFormatting sqref="J106:J113">
    <cfRule type="duplicateValues" dxfId="1400" priority="321"/>
  </conditionalFormatting>
  <conditionalFormatting sqref="J114:J121">
    <cfRule type="duplicateValues" dxfId="1399" priority="320"/>
  </conditionalFormatting>
  <conditionalFormatting sqref="J122:J127">
    <cfRule type="duplicateValues" dxfId="1398" priority="319"/>
  </conditionalFormatting>
  <conditionalFormatting sqref="J128:J133">
    <cfRule type="duplicateValues" dxfId="1397" priority="318"/>
  </conditionalFormatting>
  <conditionalFormatting sqref="A134:A135">
    <cfRule type="duplicateValues" dxfId="1396" priority="317"/>
  </conditionalFormatting>
  <conditionalFormatting sqref="J57:J89">
    <cfRule type="duplicateValues" dxfId="1395" priority="316"/>
  </conditionalFormatting>
  <conditionalFormatting sqref="J57:J62">
    <cfRule type="duplicateValues" dxfId="1394" priority="315"/>
  </conditionalFormatting>
  <conditionalFormatting sqref="J63:J69">
    <cfRule type="duplicateValues" dxfId="1393" priority="314"/>
  </conditionalFormatting>
  <conditionalFormatting sqref="J3:J56">
    <cfRule type="duplicateValues" dxfId="1392" priority="313"/>
  </conditionalFormatting>
  <conditionalFormatting sqref="J70:J80">
    <cfRule type="duplicateValues" dxfId="1391" priority="312"/>
  </conditionalFormatting>
  <conditionalFormatting sqref="J81:J89">
    <cfRule type="duplicateValues" dxfId="1390" priority="311"/>
  </conditionalFormatting>
  <conditionalFormatting sqref="J90">
    <cfRule type="duplicateValues" dxfId="1389" priority="310"/>
  </conditionalFormatting>
  <conditionalFormatting sqref="J91:J95">
    <cfRule type="duplicateValues" dxfId="1388" priority="309"/>
  </conditionalFormatting>
  <conditionalFormatting sqref="J96:J101">
    <cfRule type="duplicateValues" dxfId="1387" priority="308"/>
  </conditionalFormatting>
  <conditionalFormatting sqref="J102:J105">
    <cfRule type="duplicateValues" dxfId="1386" priority="307"/>
  </conditionalFormatting>
  <conditionalFormatting sqref="J106:J113">
    <cfRule type="duplicateValues" dxfId="1385" priority="306"/>
  </conditionalFormatting>
  <conditionalFormatting sqref="J114:J121">
    <cfRule type="duplicateValues" dxfId="1384" priority="305"/>
  </conditionalFormatting>
  <conditionalFormatting sqref="J122:J127">
    <cfRule type="duplicateValues" dxfId="1383" priority="304"/>
  </conditionalFormatting>
  <conditionalFormatting sqref="J128:J133">
    <cfRule type="duplicateValues" dxfId="1382" priority="303"/>
  </conditionalFormatting>
  <conditionalFormatting sqref="J134:J135">
    <cfRule type="duplicateValues" dxfId="1381" priority="302"/>
  </conditionalFormatting>
  <conditionalFormatting sqref="A57:A89">
    <cfRule type="duplicateValues" dxfId="1380" priority="301"/>
  </conditionalFormatting>
  <conditionalFormatting sqref="J3:J55">
    <cfRule type="duplicateValues" dxfId="1379" priority="300"/>
  </conditionalFormatting>
  <conditionalFormatting sqref="A57:A62">
    <cfRule type="duplicateValues" dxfId="1378" priority="299"/>
  </conditionalFormatting>
  <conditionalFormatting sqref="A63:A69">
    <cfRule type="duplicateValues" dxfId="1377" priority="298"/>
  </conditionalFormatting>
  <conditionalFormatting sqref="J54:J59">
    <cfRule type="duplicateValues" dxfId="1376" priority="297"/>
  </conditionalFormatting>
  <conditionalFormatting sqref="J60:J66">
    <cfRule type="duplicateValues" dxfId="1375" priority="296"/>
  </conditionalFormatting>
  <conditionalFormatting sqref="A3:A56">
    <cfRule type="duplicateValues" dxfId="1374" priority="295"/>
  </conditionalFormatting>
  <conditionalFormatting sqref="J55:J60">
    <cfRule type="duplicateValues" dxfId="1373" priority="294"/>
  </conditionalFormatting>
  <conditionalFormatting sqref="J61:J67">
    <cfRule type="duplicateValues" dxfId="1372" priority="293"/>
  </conditionalFormatting>
  <conditionalFormatting sqref="A70:A80">
    <cfRule type="duplicateValues" dxfId="1371" priority="292"/>
  </conditionalFormatting>
  <conditionalFormatting sqref="A81:A89">
    <cfRule type="duplicateValues" dxfId="1370" priority="291"/>
  </conditionalFormatting>
  <conditionalFormatting sqref="A90">
    <cfRule type="duplicateValues" dxfId="1369" priority="290"/>
  </conditionalFormatting>
  <conditionalFormatting sqref="J76:J84">
    <cfRule type="duplicateValues" dxfId="1368" priority="289"/>
  </conditionalFormatting>
  <conditionalFormatting sqref="J85">
    <cfRule type="duplicateValues" dxfId="1367" priority="288"/>
  </conditionalFormatting>
  <conditionalFormatting sqref="A91:A95">
    <cfRule type="duplicateValues" dxfId="1366" priority="287"/>
  </conditionalFormatting>
  <conditionalFormatting sqref="J86:J90">
    <cfRule type="duplicateValues" dxfId="1365" priority="286"/>
  </conditionalFormatting>
  <conditionalFormatting sqref="A96:A101">
    <cfRule type="duplicateValues" dxfId="1364" priority="285"/>
  </conditionalFormatting>
  <conditionalFormatting sqref="J91:J96">
    <cfRule type="duplicateValues" dxfId="1363" priority="284"/>
  </conditionalFormatting>
  <conditionalFormatting sqref="J3:J54">
    <cfRule type="duplicateValues" dxfId="1362" priority="283"/>
  </conditionalFormatting>
  <conditionalFormatting sqref="A102:A105">
    <cfRule type="duplicateValues" dxfId="1361" priority="282"/>
  </conditionalFormatting>
  <conditionalFormatting sqref="J56:J61">
    <cfRule type="duplicateValues" dxfId="1360" priority="281"/>
  </conditionalFormatting>
  <conditionalFormatting sqref="J62:J68">
    <cfRule type="duplicateValues" dxfId="1359" priority="280"/>
  </conditionalFormatting>
  <conditionalFormatting sqref="J78:J86">
    <cfRule type="duplicateValues" dxfId="1358" priority="279"/>
  </conditionalFormatting>
  <conditionalFormatting sqref="J87">
    <cfRule type="duplicateValues" dxfId="1357" priority="278"/>
  </conditionalFormatting>
  <conditionalFormatting sqref="J88:J92">
    <cfRule type="duplicateValues" dxfId="1356" priority="277"/>
  </conditionalFormatting>
  <conditionalFormatting sqref="J93:J98">
    <cfRule type="duplicateValues" dxfId="1355" priority="276"/>
  </conditionalFormatting>
  <conditionalFormatting sqref="J99:J102">
    <cfRule type="duplicateValues" dxfId="1354" priority="275"/>
  </conditionalFormatting>
  <conditionalFormatting sqref="J3:J53">
    <cfRule type="duplicateValues" dxfId="1353" priority="274"/>
  </conditionalFormatting>
  <conditionalFormatting sqref="A106:A113">
    <cfRule type="duplicateValues" dxfId="1352" priority="273"/>
  </conditionalFormatting>
  <conditionalFormatting sqref="J57:J62">
    <cfRule type="duplicateValues" dxfId="1351" priority="272"/>
  </conditionalFormatting>
  <conditionalFormatting sqref="J63:J69">
    <cfRule type="duplicateValues" dxfId="1350" priority="271"/>
  </conditionalFormatting>
  <conditionalFormatting sqref="J3:J56">
    <cfRule type="duplicateValues" dxfId="1349" priority="270"/>
  </conditionalFormatting>
  <conditionalFormatting sqref="J80:J88">
    <cfRule type="duplicateValues" dxfId="1348" priority="269"/>
  </conditionalFormatting>
  <conditionalFormatting sqref="J89">
    <cfRule type="duplicateValues" dxfId="1347" priority="268"/>
  </conditionalFormatting>
  <conditionalFormatting sqref="J90:J94">
    <cfRule type="duplicateValues" dxfId="1346" priority="267"/>
  </conditionalFormatting>
  <conditionalFormatting sqref="J95:J100">
    <cfRule type="duplicateValues" dxfId="1345" priority="266"/>
  </conditionalFormatting>
  <conditionalFormatting sqref="J101:J104">
    <cfRule type="duplicateValues" dxfId="1344" priority="265"/>
  </conditionalFormatting>
  <conditionalFormatting sqref="J105:J112">
    <cfRule type="duplicateValues" dxfId="1343" priority="264"/>
  </conditionalFormatting>
  <conditionalFormatting sqref="A114:A121">
    <cfRule type="duplicateValues" dxfId="1342" priority="263"/>
  </conditionalFormatting>
  <conditionalFormatting sqref="J113:J120">
    <cfRule type="duplicateValues" dxfId="1341" priority="262"/>
  </conditionalFormatting>
  <conditionalFormatting sqref="A122:A127">
    <cfRule type="duplicateValues" dxfId="1340" priority="261"/>
  </conditionalFormatting>
  <conditionalFormatting sqref="J121:J126">
    <cfRule type="duplicateValues" dxfId="1339" priority="260"/>
  </conditionalFormatting>
  <conditionalFormatting sqref="J54:J78">
    <cfRule type="duplicateValues" dxfId="1338" priority="259"/>
  </conditionalFormatting>
  <conditionalFormatting sqref="J55:J79">
    <cfRule type="duplicateValues" dxfId="1337" priority="258"/>
  </conditionalFormatting>
  <conditionalFormatting sqref="J68:J75">
    <cfRule type="duplicateValues" dxfId="1336" priority="257"/>
  </conditionalFormatting>
  <conditionalFormatting sqref="J55:J84">
    <cfRule type="duplicateValues" dxfId="1335" priority="256"/>
  </conditionalFormatting>
  <conditionalFormatting sqref="J56:J86">
    <cfRule type="duplicateValues" dxfId="1334" priority="255"/>
  </conditionalFormatting>
  <conditionalFormatting sqref="J69:J77">
    <cfRule type="duplicateValues" dxfId="1333" priority="254"/>
  </conditionalFormatting>
  <conditionalFormatting sqref="J57:J88">
    <cfRule type="duplicateValues" dxfId="1332" priority="253"/>
  </conditionalFormatting>
  <conditionalFormatting sqref="J70:J79">
    <cfRule type="duplicateValues" dxfId="1331" priority="252"/>
  </conditionalFormatting>
  <conditionalFormatting sqref="A128:A133">
    <cfRule type="duplicateValues" dxfId="1330" priority="251"/>
  </conditionalFormatting>
  <conditionalFormatting sqref="J57:J89">
    <cfRule type="duplicateValues" dxfId="1329" priority="250"/>
  </conditionalFormatting>
  <conditionalFormatting sqref="J57:J62">
    <cfRule type="duplicateValues" dxfId="1328" priority="249"/>
  </conditionalFormatting>
  <conditionalFormatting sqref="J63:J69">
    <cfRule type="duplicateValues" dxfId="1327" priority="248"/>
  </conditionalFormatting>
  <conditionalFormatting sqref="J3:J56">
    <cfRule type="duplicateValues" dxfId="1326" priority="247"/>
  </conditionalFormatting>
  <conditionalFormatting sqref="J70:J80">
    <cfRule type="duplicateValues" dxfId="1325" priority="246"/>
  </conditionalFormatting>
  <conditionalFormatting sqref="J81:J89">
    <cfRule type="duplicateValues" dxfId="1324" priority="245"/>
  </conditionalFormatting>
  <conditionalFormatting sqref="J90">
    <cfRule type="duplicateValues" dxfId="1323" priority="244"/>
  </conditionalFormatting>
  <conditionalFormatting sqref="J91:J95">
    <cfRule type="duplicateValues" dxfId="1322" priority="243"/>
  </conditionalFormatting>
  <conditionalFormatting sqref="J96:J101">
    <cfRule type="duplicateValues" dxfId="1321" priority="242"/>
  </conditionalFormatting>
  <conditionalFormatting sqref="J102:J105">
    <cfRule type="duplicateValues" dxfId="1320" priority="241"/>
  </conditionalFormatting>
  <conditionalFormatting sqref="J106:J113">
    <cfRule type="duplicateValues" dxfId="1319" priority="240"/>
  </conditionalFormatting>
  <conditionalFormatting sqref="J114:J121">
    <cfRule type="duplicateValues" dxfId="1318" priority="239"/>
  </conditionalFormatting>
  <conditionalFormatting sqref="J122:J127">
    <cfRule type="duplicateValues" dxfId="1317" priority="238"/>
  </conditionalFormatting>
  <conditionalFormatting sqref="J128:J133">
    <cfRule type="duplicateValues" dxfId="1316" priority="237"/>
  </conditionalFormatting>
  <conditionalFormatting sqref="A134:A135">
    <cfRule type="duplicateValues" dxfId="1315" priority="236"/>
  </conditionalFormatting>
  <conditionalFormatting sqref="J57:J89">
    <cfRule type="duplicateValues" dxfId="1314" priority="235"/>
  </conditionalFormatting>
  <conditionalFormatting sqref="J57:J62">
    <cfRule type="duplicateValues" dxfId="1313" priority="234"/>
  </conditionalFormatting>
  <conditionalFormatting sqref="J63:J69">
    <cfRule type="duplicateValues" dxfId="1312" priority="233"/>
  </conditionalFormatting>
  <conditionalFormatting sqref="J3:J56">
    <cfRule type="duplicateValues" dxfId="1311" priority="232"/>
  </conditionalFormatting>
  <conditionalFormatting sqref="J70:J80">
    <cfRule type="duplicateValues" dxfId="1310" priority="231"/>
  </conditionalFormatting>
  <conditionalFormatting sqref="J81:J89">
    <cfRule type="duplicateValues" dxfId="1309" priority="230"/>
  </conditionalFormatting>
  <conditionalFormatting sqref="J90">
    <cfRule type="duplicateValues" dxfId="1308" priority="229"/>
  </conditionalFormatting>
  <conditionalFormatting sqref="J91:J95">
    <cfRule type="duplicateValues" dxfId="1307" priority="228"/>
  </conditionalFormatting>
  <conditionalFormatting sqref="J96:J101">
    <cfRule type="duplicateValues" dxfId="1306" priority="227"/>
  </conditionalFormatting>
  <conditionalFormatting sqref="J102:J105">
    <cfRule type="duplicateValues" dxfId="1305" priority="226"/>
  </conditionalFormatting>
  <conditionalFormatting sqref="J106:J113">
    <cfRule type="duplicateValues" dxfId="1304" priority="225"/>
  </conditionalFormatting>
  <conditionalFormatting sqref="J114:J121">
    <cfRule type="duplicateValues" dxfId="1303" priority="224"/>
  </conditionalFormatting>
  <conditionalFormatting sqref="J122:J127">
    <cfRule type="duplicateValues" dxfId="1302" priority="223"/>
  </conditionalFormatting>
  <conditionalFormatting sqref="J128:J133">
    <cfRule type="duplicateValues" dxfId="1301" priority="222"/>
  </conditionalFormatting>
  <conditionalFormatting sqref="J134:J135">
    <cfRule type="duplicateValues" dxfId="1300" priority="221"/>
  </conditionalFormatting>
  <conditionalFormatting sqref="A136:A144">
    <cfRule type="duplicateValues" dxfId="1299" priority="220"/>
  </conditionalFormatting>
  <conditionalFormatting sqref="A145">
    <cfRule type="duplicateValues" dxfId="1298" priority="219"/>
  </conditionalFormatting>
  <conditionalFormatting sqref="J57:J89">
    <cfRule type="duplicateValues" dxfId="1297" priority="218"/>
  </conditionalFormatting>
  <conditionalFormatting sqref="J57:J62">
    <cfRule type="duplicateValues" dxfId="1296" priority="217"/>
  </conditionalFormatting>
  <conditionalFormatting sqref="J63:J69">
    <cfRule type="duplicateValues" dxfId="1295" priority="216"/>
  </conditionalFormatting>
  <conditionalFormatting sqref="J3:J56">
    <cfRule type="duplicateValues" dxfId="1294" priority="215"/>
  </conditionalFormatting>
  <conditionalFormatting sqref="J70:J80">
    <cfRule type="duplicateValues" dxfId="1293" priority="214"/>
  </conditionalFormatting>
  <conditionalFormatting sqref="J81:J89">
    <cfRule type="duplicateValues" dxfId="1292" priority="213"/>
  </conditionalFormatting>
  <conditionalFormatting sqref="J90">
    <cfRule type="duplicateValues" dxfId="1291" priority="212"/>
  </conditionalFormatting>
  <conditionalFormatting sqref="J91:J95">
    <cfRule type="duplicateValues" dxfId="1290" priority="211"/>
  </conditionalFormatting>
  <conditionalFormatting sqref="J96:J101">
    <cfRule type="duplicateValues" dxfId="1289" priority="210"/>
  </conditionalFormatting>
  <conditionalFormatting sqref="J102:J105">
    <cfRule type="duplicateValues" dxfId="1288" priority="209"/>
  </conditionalFormatting>
  <conditionalFormatting sqref="J106:J113">
    <cfRule type="duplicateValues" dxfId="1287" priority="208"/>
  </conditionalFormatting>
  <conditionalFormatting sqref="J114:J121">
    <cfRule type="duplicateValues" dxfId="1286" priority="207"/>
  </conditionalFormatting>
  <conditionalFormatting sqref="J122:J127">
    <cfRule type="duplicateValues" dxfId="1285" priority="206"/>
  </conditionalFormatting>
  <conditionalFormatting sqref="J128:J133">
    <cfRule type="duplicateValues" dxfId="1284" priority="205"/>
  </conditionalFormatting>
  <conditionalFormatting sqref="J134:J135">
    <cfRule type="duplicateValues" dxfId="1283" priority="204"/>
  </conditionalFormatting>
  <conditionalFormatting sqref="J136:J144">
    <cfRule type="duplicateValues" dxfId="1282" priority="203"/>
  </conditionalFormatting>
  <conditionalFormatting sqref="J145">
    <cfRule type="duplicateValues" dxfId="1281" priority="202"/>
  </conditionalFormatting>
  <conditionalFormatting sqref="A146:A159">
    <cfRule type="duplicateValues" dxfId="1280" priority="201"/>
  </conditionalFormatting>
  <conditionalFormatting sqref="J57:J89">
    <cfRule type="duplicateValues" dxfId="1279" priority="200"/>
  </conditionalFormatting>
  <conditionalFormatting sqref="J57:J62">
    <cfRule type="duplicateValues" dxfId="1278" priority="199"/>
  </conditionalFormatting>
  <conditionalFormatting sqref="J63:J69">
    <cfRule type="duplicateValues" dxfId="1277" priority="198"/>
  </conditionalFormatting>
  <conditionalFormatting sqref="J3:J56">
    <cfRule type="duplicateValues" dxfId="1276" priority="197"/>
  </conditionalFormatting>
  <conditionalFormatting sqref="J70:J80">
    <cfRule type="duplicateValues" dxfId="1275" priority="196"/>
  </conditionalFormatting>
  <conditionalFormatting sqref="J81:J89">
    <cfRule type="duplicateValues" dxfId="1274" priority="195"/>
  </conditionalFormatting>
  <conditionalFormatting sqref="J90">
    <cfRule type="duplicateValues" dxfId="1273" priority="194"/>
  </conditionalFormatting>
  <conditionalFormatting sqref="J91:J95">
    <cfRule type="duplicateValues" dxfId="1272" priority="193"/>
  </conditionalFormatting>
  <conditionalFormatting sqref="J96:J101">
    <cfRule type="duplicateValues" dxfId="1271" priority="192"/>
  </conditionalFormatting>
  <conditionalFormatting sqref="J102:J105">
    <cfRule type="duplicateValues" dxfId="1270" priority="191"/>
  </conditionalFormatting>
  <conditionalFormatting sqref="J106:J113">
    <cfRule type="duplicateValues" dxfId="1269" priority="190"/>
  </conditionalFormatting>
  <conditionalFormatting sqref="J114:J121">
    <cfRule type="duplicateValues" dxfId="1268" priority="189"/>
  </conditionalFormatting>
  <conditionalFormatting sqref="J122:J127">
    <cfRule type="duplicateValues" dxfId="1267" priority="188"/>
  </conditionalFormatting>
  <conditionalFormatting sqref="J128:J133">
    <cfRule type="duplicateValues" dxfId="1266" priority="187"/>
  </conditionalFormatting>
  <conditionalFormatting sqref="J134:J135">
    <cfRule type="duplicateValues" dxfId="1265" priority="186"/>
  </conditionalFormatting>
  <conditionalFormatting sqref="J136:J144">
    <cfRule type="duplicateValues" dxfId="1264" priority="185"/>
  </conditionalFormatting>
  <conditionalFormatting sqref="J145">
    <cfRule type="duplicateValues" dxfId="1263" priority="184"/>
  </conditionalFormatting>
  <conditionalFormatting sqref="J146:J159">
    <cfRule type="duplicateValues" dxfId="1262" priority="183"/>
  </conditionalFormatting>
  <conditionalFormatting sqref="A57:A89">
    <cfRule type="duplicateValues" dxfId="1261" priority="182"/>
  </conditionalFormatting>
  <conditionalFormatting sqref="J3:J55">
    <cfRule type="duplicateValues" dxfId="1260" priority="181"/>
  </conditionalFormatting>
  <conditionalFormatting sqref="A57:A62">
    <cfRule type="duplicateValues" dxfId="1259" priority="180"/>
  </conditionalFormatting>
  <conditionalFormatting sqref="A63:A69">
    <cfRule type="duplicateValues" dxfId="1258" priority="179"/>
  </conditionalFormatting>
  <conditionalFormatting sqref="J54:J59">
    <cfRule type="duplicateValues" dxfId="1257" priority="178"/>
  </conditionalFormatting>
  <conditionalFormatting sqref="J60:J66">
    <cfRule type="duplicateValues" dxfId="1256" priority="177"/>
  </conditionalFormatting>
  <conditionalFormatting sqref="A3:A56">
    <cfRule type="duplicateValues" dxfId="1255" priority="176"/>
  </conditionalFormatting>
  <conditionalFormatting sqref="J55:J60">
    <cfRule type="duplicateValues" dxfId="1254" priority="175"/>
  </conditionalFormatting>
  <conditionalFormatting sqref="J61:J67">
    <cfRule type="duplicateValues" dxfId="1253" priority="174"/>
  </conditionalFormatting>
  <conditionalFormatting sqref="A70:A80">
    <cfRule type="duplicateValues" dxfId="1252" priority="173"/>
  </conditionalFormatting>
  <conditionalFormatting sqref="A81:A89">
    <cfRule type="duplicateValues" dxfId="1251" priority="172"/>
  </conditionalFormatting>
  <conditionalFormatting sqref="A90">
    <cfRule type="duplicateValues" dxfId="1250" priority="171"/>
  </conditionalFormatting>
  <conditionalFormatting sqref="J76:J84">
    <cfRule type="duplicateValues" dxfId="1249" priority="170"/>
  </conditionalFormatting>
  <conditionalFormatting sqref="J85">
    <cfRule type="duplicateValues" dxfId="1248" priority="169"/>
  </conditionalFormatting>
  <conditionalFormatting sqref="A91:A95">
    <cfRule type="duplicateValues" dxfId="1247" priority="168"/>
  </conditionalFormatting>
  <conditionalFormatting sqref="J86:J90">
    <cfRule type="duplicateValues" dxfId="1246" priority="167"/>
  </conditionalFormatting>
  <conditionalFormatting sqref="A96:A101">
    <cfRule type="duplicateValues" dxfId="1245" priority="166"/>
  </conditionalFormatting>
  <conditionalFormatting sqref="J91:J96">
    <cfRule type="duplicateValues" dxfId="1244" priority="165"/>
  </conditionalFormatting>
  <conditionalFormatting sqref="J3:J54">
    <cfRule type="duplicateValues" dxfId="1243" priority="164"/>
  </conditionalFormatting>
  <conditionalFormatting sqref="A102:A105">
    <cfRule type="duplicateValues" dxfId="1242" priority="163"/>
  </conditionalFormatting>
  <conditionalFormatting sqref="J56:J61">
    <cfRule type="duplicateValues" dxfId="1241" priority="162"/>
  </conditionalFormatting>
  <conditionalFormatting sqref="J62:J68">
    <cfRule type="duplicateValues" dxfId="1240" priority="161"/>
  </conditionalFormatting>
  <conditionalFormatting sqref="J78:J86">
    <cfRule type="duplicateValues" dxfId="1239" priority="160"/>
  </conditionalFormatting>
  <conditionalFormatting sqref="J87">
    <cfRule type="duplicateValues" dxfId="1238" priority="159"/>
  </conditionalFormatting>
  <conditionalFormatting sqref="J88:J92">
    <cfRule type="duplicateValues" dxfId="1237" priority="158"/>
  </conditionalFormatting>
  <conditionalFormatting sqref="J93:J98">
    <cfRule type="duplicateValues" dxfId="1236" priority="157"/>
  </conditionalFormatting>
  <conditionalFormatting sqref="J99:J102">
    <cfRule type="duplicateValues" dxfId="1235" priority="156"/>
  </conditionalFormatting>
  <conditionalFormatting sqref="J3:J53">
    <cfRule type="duplicateValues" dxfId="1234" priority="155"/>
  </conditionalFormatting>
  <conditionalFormatting sqref="A106:A113">
    <cfRule type="duplicateValues" dxfId="1233" priority="154"/>
  </conditionalFormatting>
  <conditionalFormatting sqref="J57:J62">
    <cfRule type="duplicateValues" dxfId="1232" priority="153"/>
  </conditionalFormatting>
  <conditionalFormatting sqref="J63:J69">
    <cfRule type="duplicateValues" dxfId="1231" priority="152"/>
  </conditionalFormatting>
  <conditionalFormatting sqref="J3:J56">
    <cfRule type="duplicateValues" dxfId="1230" priority="151"/>
  </conditionalFormatting>
  <conditionalFormatting sqref="J80:J88">
    <cfRule type="duplicateValues" dxfId="1229" priority="150"/>
  </conditionalFormatting>
  <conditionalFormatting sqref="J89">
    <cfRule type="duplicateValues" dxfId="1228" priority="149"/>
  </conditionalFormatting>
  <conditionalFormatting sqref="J90:J94">
    <cfRule type="duplicateValues" dxfId="1227" priority="148"/>
  </conditionalFormatting>
  <conditionalFormatting sqref="J95:J100">
    <cfRule type="duplicateValues" dxfId="1226" priority="147"/>
  </conditionalFormatting>
  <conditionalFormatting sqref="J101:J104">
    <cfRule type="duplicateValues" dxfId="1225" priority="146"/>
  </conditionalFormatting>
  <conditionalFormatting sqref="J105:J112">
    <cfRule type="duplicateValues" dxfId="1224" priority="145"/>
  </conditionalFormatting>
  <conditionalFormatting sqref="A114:A121">
    <cfRule type="duplicateValues" dxfId="1223" priority="144"/>
  </conditionalFormatting>
  <conditionalFormatting sqref="J113:J120">
    <cfRule type="duplicateValues" dxfId="1222" priority="143"/>
  </conditionalFormatting>
  <conditionalFormatting sqref="A122:A127">
    <cfRule type="duplicateValues" dxfId="1221" priority="142"/>
  </conditionalFormatting>
  <conditionalFormatting sqref="J121:J126">
    <cfRule type="duplicateValues" dxfId="1220" priority="141"/>
  </conditionalFormatting>
  <conditionalFormatting sqref="J54:J78">
    <cfRule type="duplicateValues" dxfId="1219" priority="140"/>
  </conditionalFormatting>
  <conditionalFormatting sqref="J55:J79">
    <cfRule type="duplicateValues" dxfId="1218" priority="139"/>
  </conditionalFormatting>
  <conditionalFormatting sqref="J68:J75">
    <cfRule type="duplicateValues" dxfId="1217" priority="138"/>
  </conditionalFormatting>
  <conditionalFormatting sqref="J55:J84">
    <cfRule type="duplicateValues" dxfId="1216" priority="137"/>
  </conditionalFormatting>
  <conditionalFormatting sqref="J56:J86">
    <cfRule type="duplicateValues" dxfId="1215" priority="136"/>
  </conditionalFormatting>
  <conditionalFormatting sqref="J69:J77">
    <cfRule type="duplicateValues" dxfId="1214" priority="135"/>
  </conditionalFormatting>
  <conditionalFormatting sqref="J57:J88">
    <cfRule type="duplicateValues" dxfId="1213" priority="134"/>
  </conditionalFormatting>
  <conditionalFormatting sqref="J70:J79">
    <cfRule type="duplicateValues" dxfId="1212" priority="133"/>
  </conditionalFormatting>
  <conditionalFormatting sqref="A128:A133">
    <cfRule type="duplicateValues" dxfId="1211" priority="132"/>
  </conditionalFormatting>
  <conditionalFormatting sqref="J57:J89">
    <cfRule type="duplicateValues" dxfId="1210" priority="131"/>
  </conditionalFormatting>
  <conditionalFormatting sqref="J57:J62">
    <cfRule type="duplicateValues" dxfId="1209" priority="130"/>
  </conditionalFormatting>
  <conditionalFormatting sqref="J63:J69">
    <cfRule type="duplicateValues" dxfId="1208" priority="129"/>
  </conditionalFormatting>
  <conditionalFormatting sqref="J3:J56">
    <cfRule type="duplicateValues" dxfId="1207" priority="128"/>
  </conditionalFormatting>
  <conditionalFormatting sqref="J70:J80">
    <cfRule type="duplicateValues" dxfId="1206" priority="127"/>
  </conditionalFormatting>
  <conditionalFormatting sqref="J81:J89">
    <cfRule type="duplicateValues" dxfId="1205" priority="126"/>
  </conditionalFormatting>
  <conditionalFormatting sqref="J90">
    <cfRule type="duplicateValues" dxfId="1204" priority="125"/>
  </conditionalFormatting>
  <conditionalFormatting sqref="J91:J95">
    <cfRule type="duplicateValues" dxfId="1203" priority="124"/>
  </conditionalFormatting>
  <conditionalFormatting sqref="J96:J101">
    <cfRule type="duplicateValues" dxfId="1202" priority="123"/>
  </conditionalFormatting>
  <conditionalFormatting sqref="J102:J105">
    <cfRule type="duplicateValues" dxfId="1201" priority="122"/>
  </conditionalFormatting>
  <conditionalFormatting sqref="J106:J113">
    <cfRule type="duplicateValues" dxfId="1200" priority="121"/>
  </conditionalFormatting>
  <conditionalFormatting sqref="J114:J121">
    <cfRule type="duplicateValues" dxfId="1199" priority="120"/>
  </conditionalFormatting>
  <conditionalFormatting sqref="J122:J127">
    <cfRule type="duplicateValues" dxfId="1198" priority="119"/>
  </conditionalFormatting>
  <conditionalFormatting sqref="J128:J133">
    <cfRule type="duplicateValues" dxfId="1197" priority="118"/>
  </conditionalFormatting>
  <conditionalFormatting sqref="A134:A135">
    <cfRule type="duplicateValues" dxfId="1196" priority="117"/>
  </conditionalFormatting>
  <conditionalFormatting sqref="J57:J89">
    <cfRule type="duplicateValues" dxfId="1195" priority="116"/>
  </conditionalFormatting>
  <conditionalFormatting sqref="J57:J62">
    <cfRule type="duplicateValues" dxfId="1194" priority="115"/>
  </conditionalFormatting>
  <conditionalFormatting sqref="J63:J69">
    <cfRule type="duplicateValues" dxfId="1193" priority="114"/>
  </conditionalFormatting>
  <conditionalFormatting sqref="J3:J56">
    <cfRule type="duplicateValues" dxfId="1192" priority="113"/>
  </conditionalFormatting>
  <conditionalFormatting sqref="J70:J80">
    <cfRule type="duplicateValues" dxfId="1191" priority="112"/>
  </conditionalFormatting>
  <conditionalFormatting sqref="J81:J89">
    <cfRule type="duplicateValues" dxfId="1190" priority="111"/>
  </conditionalFormatting>
  <conditionalFormatting sqref="J90">
    <cfRule type="duplicateValues" dxfId="1189" priority="110"/>
  </conditionalFormatting>
  <conditionalFormatting sqref="J91:J95">
    <cfRule type="duplicateValues" dxfId="1188" priority="109"/>
  </conditionalFormatting>
  <conditionalFormatting sqref="J96:J101">
    <cfRule type="duplicateValues" dxfId="1187" priority="108"/>
  </conditionalFormatting>
  <conditionalFormatting sqref="J102:J105">
    <cfRule type="duplicateValues" dxfId="1186" priority="107"/>
  </conditionalFormatting>
  <conditionalFormatting sqref="J106:J113">
    <cfRule type="duplicateValues" dxfId="1185" priority="106"/>
  </conditionalFormatting>
  <conditionalFormatting sqref="J114:J121">
    <cfRule type="duplicateValues" dxfId="1184" priority="105"/>
  </conditionalFormatting>
  <conditionalFormatting sqref="J122:J127">
    <cfRule type="duplicateValues" dxfId="1183" priority="104"/>
  </conditionalFormatting>
  <conditionalFormatting sqref="J128:J133">
    <cfRule type="duplicateValues" dxfId="1182" priority="103"/>
  </conditionalFormatting>
  <conditionalFormatting sqref="J134:J135">
    <cfRule type="duplicateValues" dxfId="1181" priority="102"/>
  </conditionalFormatting>
  <conditionalFormatting sqref="A136:A144">
    <cfRule type="duplicateValues" dxfId="1180" priority="101"/>
  </conditionalFormatting>
  <conditionalFormatting sqref="A145">
    <cfRule type="duplicateValues" dxfId="1179" priority="100"/>
  </conditionalFormatting>
  <conditionalFormatting sqref="J57:J89">
    <cfRule type="duplicateValues" dxfId="1178" priority="99"/>
  </conditionalFormatting>
  <conditionalFormatting sqref="J57:J62">
    <cfRule type="duplicateValues" dxfId="1177" priority="98"/>
  </conditionalFormatting>
  <conditionalFormatting sqref="J63:J69">
    <cfRule type="duplicateValues" dxfId="1176" priority="97"/>
  </conditionalFormatting>
  <conditionalFormatting sqref="J3:J56">
    <cfRule type="duplicateValues" dxfId="1175" priority="96"/>
  </conditionalFormatting>
  <conditionalFormatting sqref="J70:J80">
    <cfRule type="duplicateValues" dxfId="1174" priority="95"/>
  </conditionalFormatting>
  <conditionalFormatting sqref="J81:J89">
    <cfRule type="duplicateValues" dxfId="1173" priority="94"/>
  </conditionalFormatting>
  <conditionalFormatting sqref="J90">
    <cfRule type="duplicateValues" dxfId="1172" priority="93"/>
  </conditionalFormatting>
  <conditionalFormatting sqref="J91:J95">
    <cfRule type="duplicateValues" dxfId="1171" priority="92"/>
  </conditionalFormatting>
  <conditionalFormatting sqref="J96:J101">
    <cfRule type="duplicateValues" dxfId="1170" priority="91"/>
  </conditionalFormatting>
  <conditionalFormatting sqref="J102:J105">
    <cfRule type="duplicateValues" dxfId="1169" priority="90"/>
  </conditionalFormatting>
  <conditionalFormatting sqref="J106:J113">
    <cfRule type="duplicateValues" dxfId="1168" priority="89"/>
  </conditionalFormatting>
  <conditionalFormatting sqref="J114:J121">
    <cfRule type="duplicateValues" dxfId="1167" priority="88"/>
  </conditionalFormatting>
  <conditionalFormatting sqref="J122:J127">
    <cfRule type="duplicateValues" dxfId="1166" priority="87"/>
  </conditionalFormatting>
  <conditionalFormatting sqref="J128:J133">
    <cfRule type="duplicateValues" dxfId="1165" priority="86"/>
  </conditionalFormatting>
  <conditionalFormatting sqref="J134:J135">
    <cfRule type="duplicateValues" dxfId="1164" priority="85"/>
  </conditionalFormatting>
  <conditionalFormatting sqref="J136:J144">
    <cfRule type="duplicateValues" dxfId="1163" priority="84"/>
  </conditionalFormatting>
  <conditionalFormatting sqref="J145">
    <cfRule type="duplicateValues" dxfId="1162" priority="83"/>
  </conditionalFormatting>
  <conditionalFormatting sqref="A146:A159">
    <cfRule type="duplicateValues" dxfId="1161" priority="82"/>
  </conditionalFormatting>
  <conditionalFormatting sqref="J57:J89">
    <cfRule type="duplicateValues" dxfId="1160" priority="81"/>
  </conditionalFormatting>
  <conditionalFormatting sqref="J57:J62">
    <cfRule type="duplicateValues" dxfId="1159" priority="80"/>
  </conditionalFormatting>
  <conditionalFormatting sqref="J63:J69">
    <cfRule type="duplicateValues" dxfId="1158" priority="79"/>
  </conditionalFormatting>
  <conditionalFormatting sqref="J3:J56">
    <cfRule type="duplicateValues" dxfId="1157" priority="78"/>
  </conditionalFormatting>
  <conditionalFormatting sqref="J70:J80">
    <cfRule type="duplicateValues" dxfId="1156" priority="77"/>
  </conditionalFormatting>
  <conditionalFormatting sqref="J81:J89">
    <cfRule type="duplicateValues" dxfId="1155" priority="76"/>
  </conditionalFormatting>
  <conditionalFormatting sqref="J90">
    <cfRule type="duplicateValues" dxfId="1154" priority="75"/>
  </conditionalFormatting>
  <conditionalFormatting sqref="J91:J95">
    <cfRule type="duplicateValues" dxfId="1153" priority="74"/>
  </conditionalFormatting>
  <conditionalFormatting sqref="J96:J101">
    <cfRule type="duplicateValues" dxfId="1152" priority="73"/>
  </conditionalFormatting>
  <conditionalFormatting sqref="J102:J105">
    <cfRule type="duplicateValues" dxfId="1151" priority="72"/>
  </conditionalFormatting>
  <conditionalFormatting sqref="J106:J113">
    <cfRule type="duplicateValues" dxfId="1150" priority="71"/>
  </conditionalFormatting>
  <conditionalFormatting sqref="J114:J121">
    <cfRule type="duplicateValues" dxfId="1149" priority="70"/>
  </conditionalFormatting>
  <conditionalFormatting sqref="J122:J127">
    <cfRule type="duplicateValues" dxfId="1148" priority="69"/>
  </conditionalFormatting>
  <conditionalFormatting sqref="J128:J133">
    <cfRule type="duplicateValues" dxfId="1147" priority="68"/>
  </conditionalFormatting>
  <conditionalFormatting sqref="J134:J135">
    <cfRule type="duplicateValues" dxfId="1146" priority="67"/>
  </conditionalFormatting>
  <conditionalFormatting sqref="J136:J144">
    <cfRule type="duplicateValues" dxfId="1145" priority="66"/>
  </conditionalFormatting>
  <conditionalFormatting sqref="J145">
    <cfRule type="duplicateValues" dxfId="1144" priority="65"/>
  </conditionalFormatting>
  <conditionalFormatting sqref="J146:J159">
    <cfRule type="duplicateValues" dxfId="1143" priority="64"/>
  </conditionalFormatting>
  <conditionalFormatting sqref="A160:A165">
    <cfRule type="duplicateValues" dxfId="1142" priority="63"/>
  </conditionalFormatting>
  <conditionalFormatting sqref="J57:J89">
    <cfRule type="duplicateValues" dxfId="1141" priority="62"/>
  </conditionalFormatting>
  <conditionalFormatting sqref="J57:J62">
    <cfRule type="duplicateValues" dxfId="1140" priority="61"/>
  </conditionalFormatting>
  <conditionalFormatting sqref="J63:J69">
    <cfRule type="duplicateValues" dxfId="1139" priority="60"/>
  </conditionalFormatting>
  <conditionalFormatting sqref="J3:J56">
    <cfRule type="duplicateValues" dxfId="1138" priority="59"/>
  </conditionalFormatting>
  <conditionalFormatting sqref="J70:J80">
    <cfRule type="duplicateValues" dxfId="1137" priority="58"/>
  </conditionalFormatting>
  <conditionalFormatting sqref="J81:J89">
    <cfRule type="duplicateValues" dxfId="1136" priority="57"/>
  </conditionalFormatting>
  <conditionalFormatting sqref="J90">
    <cfRule type="duplicateValues" dxfId="1135" priority="56"/>
  </conditionalFormatting>
  <conditionalFormatting sqref="J91:J95">
    <cfRule type="duplicateValues" dxfId="1134" priority="55"/>
  </conditionalFormatting>
  <conditionalFormatting sqref="J96:J101">
    <cfRule type="duplicateValues" dxfId="1133" priority="54"/>
  </conditionalFormatting>
  <conditionalFormatting sqref="J102:J105">
    <cfRule type="duplicateValues" dxfId="1132" priority="53"/>
  </conditionalFormatting>
  <conditionalFormatting sqref="J106:J113">
    <cfRule type="duplicateValues" dxfId="1131" priority="52"/>
  </conditionalFormatting>
  <conditionalFormatting sqref="J114:J121">
    <cfRule type="duplicateValues" dxfId="1130" priority="51"/>
  </conditionalFormatting>
  <conditionalFormatting sqref="J122:J127">
    <cfRule type="duplicateValues" dxfId="1129" priority="50"/>
  </conditionalFormatting>
  <conditionalFormatting sqref="J128:J133">
    <cfRule type="duplicateValues" dxfId="1128" priority="49"/>
  </conditionalFormatting>
  <conditionalFormatting sqref="J134:J135">
    <cfRule type="duplicateValues" dxfId="1127" priority="48"/>
  </conditionalFormatting>
  <conditionalFormatting sqref="J136:J144">
    <cfRule type="duplicateValues" dxfId="1126" priority="47"/>
  </conditionalFormatting>
  <conditionalFormatting sqref="J145">
    <cfRule type="duplicateValues" dxfId="1125" priority="46"/>
  </conditionalFormatting>
  <conditionalFormatting sqref="J146:J159">
    <cfRule type="duplicateValues" dxfId="1124" priority="45"/>
  </conditionalFormatting>
  <conditionalFormatting sqref="J160:J165">
    <cfRule type="duplicateValues" dxfId="1123" priority="44"/>
  </conditionalFormatting>
  <conditionalFormatting sqref="A166:A182">
    <cfRule type="duplicateValues" dxfId="1122" priority="43"/>
  </conditionalFormatting>
  <conditionalFormatting sqref="J57:J89">
    <cfRule type="duplicateValues" dxfId="1121" priority="42"/>
  </conditionalFormatting>
  <conditionalFormatting sqref="J57:J62">
    <cfRule type="duplicateValues" dxfId="1120" priority="41"/>
  </conditionalFormatting>
  <conditionalFormatting sqref="J63:J69">
    <cfRule type="duplicateValues" dxfId="1119" priority="40"/>
  </conditionalFormatting>
  <conditionalFormatting sqref="J3:J56">
    <cfRule type="duplicateValues" dxfId="1118" priority="39"/>
  </conditionalFormatting>
  <conditionalFormatting sqref="J70:J80">
    <cfRule type="duplicateValues" dxfId="1117" priority="38"/>
  </conditionalFormatting>
  <conditionalFormatting sqref="J81:J89">
    <cfRule type="duplicateValues" dxfId="1116" priority="37"/>
  </conditionalFormatting>
  <conditionalFormatting sqref="J90">
    <cfRule type="duplicateValues" dxfId="1115" priority="36"/>
  </conditionalFormatting>
  <conditionalFormatting sqref="J91:J95">
    <cfRule type="duplicateValues" dxfId="1114" priority="35"/>
  </conditionalFormatting>
  <conditionalFormatting sqref="J96:J101">
    <cfRule type="duplicateValues" dxfId="1113" priority="34"/>
  </conditionalFormatting>
  <conditionalFormatting sqref="J102:J105">
    <cfRule type="duplicateValues" dxfId="1112" priority="33"/>
  </conditionalFormatting>
  <conditionalFormatting sqref="J106:J113">
    <cfRule type="duplicateValues" dxfId="1111" priority="32"/>
  </conditionalFormatting>
  <conditionalFormatting sqref="J114:J121">
    <cfRule type="duplicateValues" dxfId="1110" priority="31"/>
  </conditionalFormatting>
  <conditionalFormatting sqref="J122:J127">
    <cfRule type="duplicateValues" dxfId="1109" priority="30"/>
  </conditionalFormatting>
  <conditionalFormatting sqref="J128:J133">
    <cfRule type="duplicateValues" dxfId="1108" priority="29"/>
  </conditionalFormatting>
  <conditionalFormatting sqref="J134:J135">
    <cfRule type="duplicateValues" dxfId="1107" priority="28"/>
  </conditionalFormatting>
  <conditionalFormatting sqref="J136:J144">
    <cfRule type="duplicateValues" dxfId="1106" priority="27"/>
  </conditionalFormatting>
  <conditionalFormatting sqref="J145">
    <cfRule type="duplicateValues" dxfId="1105" priority="26"/>
  </conditionalFormatting>
  <conditionalFormatting sqref="J146:J159">
    <cfRule type="duplicateValues" dxfId="1104" priority="25"/>
  </conditionalFormatting>
  <conditionalFormatting sqref="J160:J165">
    <cfRule type="duplicateValues" dxfId="1103" priority="24"/>
  </conditionalFormatting>
  <conditionalFormatting sqref="J166:J182">
    <cfRule type="duplicateValues" dxfId="1102" priority="23"/>
  </conditionalFormatting>
  <conditionalFormatting sqref="A183:A195">
    <cfRule type="duplicateValues" dxfId="1101" priority="22"/>
  </conditionalFormatting>
  <conditionalFormatting sqref="J57:J89">
    <cfRule type="duplicateValues" dxfId="1100" priority="21"/>
  </conditionalFormatting>
  <conditionalFormatting sqref="J57:J62">
    <cfRule type="duplicateValues" dxfId="1099" priority="20"/>
  </conditionalFormatting>
  <conditionalFormatting sqref="J63:J69">
    <cfRule type="duplicateValues" dxfId="1098" priority="19"/>
  </conditionalFormatting>
  <conditionalFormatting sqref="J3:J56">
    <cfRule type="duplicateValues" dxfId="1097" priority="18"/>
  </conditionalFormatting>
  <conditionalFormatting sqref="J70:J80">
    <cfRule type="duplicateValues" dxfId="1096" priority="17"/>
  </conditionalFormatting>
  <conditionalFormatting sqref="J81:J89">
    <cfRule type="duplicateValues" dxfId="1095" priority="16"/>
  </conditionalFormatting>
  <conditionalFormatting sqref="J90">
    <cfRule type="duplicateValues" dxfId="1094" priority="15"/>
  </conditionalFormatting>
  <conditionalFormatting sqref="J91:J95">
    <cfRule type="duplicateValues" dxfId="1093" priority="14"/>
  </conditionalFormatting>
  <conditionalFormatting sqref="J96:J101">
    <cfRule type="duplicateValues" dxfId="1092" priority="13"/>
  </conditionalFormatting>
  <conditionalFormatting sqref="J102:J105">
    <cfRule type="duplicateValues" dxfId="1091" priority="12"/>
  </conditionalFormatting>
  <conditionalFormatting sqref="J106:J113">
    <cfRule type="duplicateValues" dxfId="1090" priority="11"/>
  </conditionalFormatting>
  <conditionalFormatting sqref="J114:J121">
    <cfRule type="duplicateValues" dxfId="1089" priority="10"/>
  </conditionalFormatting>
  <conditionalFormatting sqref="J122:J127">
    <cfRule type="duplicateValues" dxfId="1088" priority="9"/>
  </conditionalFormatting>
  <conditionalFormatting sqref="J128:J133">
    <cfRule type="duplicateValues" dxfId="1087" priority="8"/>
  </conditionalFormatting>
  <conditionalFormatting sqref="J134:J135">
    <cfRule type="duplicateValues" dxfId="1086" priority="7"/>
  </conditionalFormatting>
  <conditionalFormatting sqref="J136:J144">
    <cfRule type="duplicateValues" dxfId="1085" priority="6"/>
  </conditionalFormatting>
  <conditionalFormatting sqref="J145">
    <cfRule type="duplicateValues" dxfId="1084" priority="5"/>
  </conditionalFormatting>
  <conditionalFormatting sqref="J146:J159">
    <cfRule type="duplicateValues" dxfId="1083" priority="4"/>
  </conditionalFormatting>
  <conditionalFormatting sqref="J160:J165">
    <cfRule type="duplicateValues" dxfId="1082" priority="3"/>
  </conditionalFormatting>
  <conditionalFormatting sqref="J166:J182">
    <cfRule type="duplicateValues" dxfId="1081" priority="2"/>
  </conditionalFormatting>
  <conditionalFormatting sqref="J183:J195">
    <cfRule type="duplicateValues" dxfId="1080"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AK29"/>
  <sheetViews>
    <sheetView workbookViewId="0">
      <selection sqref="A1:XFD2"/>
    </sheetView>
  </sheetViews>
  <sheetFormatPr defaultRowHeight="12.75" x14ac:dyDescent="0.2"/>
  <cols>
    <col min="1" max="3" width="12.28515625" customWidth="1"/>
    <col min="4" max="4" width="28.140625" customWidth="1"/>
    <col min="5" max="5" width="9.7109375" customWidth="1"/>
    <col min="6" max="6" width="11.42578125" customWidth="1"/>
    <col min="7" max="7" width="7.7109375" customWidth="1"/>
    <col min="24" max="25" width="11.5703125" customWidth="1"/>
    <col min="26" max="26" width="13.7109375" customWidth="1"/>
  </cols>
  <sheetData>
    <row r="1" spans="1:37" ht="14.25"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row r="2" spans="1:37" s="1" customFormat="1" ht="37.5" customHeight="1" x14ac:dyDescent="0.2">
      <c r="A2" s="1" t="s">
        <v>0</v>
      </c>
      <c r="B2" s="1" t="s">
        <v>21</v>
      </c>
      <c r="C2" s="1" t="s">
        <v>57</v>
      </c>
      <c r="D2" s="1" t="s">
        <v>53</v>
      </c>
      <c r="E2" s="1" t="s">
        <v>54</v>
      </c>
      <c r="F2" s="1" t="s">
        <v>55</v>
      </c>
      <c r="G2" s="1" t="s">
        <v>56</v>
      </c>
      <c r="H2" s="1" t="s">
        <v>1</v>
      </c>
      <c r="I2" s="1" t="s">
        <v>20</v>
      </c>
      <c r="J2" s="1" t="s">
        <v>2</v>
      </c>
      <c r="K2" s="1" t="s">
        <v>3</v>
      </c>
      <c r="L2" s="1" t="s">
        <v>4</v>
      </c>
      <c r="M2" s="1" t="s">
        <v>5</v>
      </c>
      <c r="N2" s="1" t="s">
        <v>6</v>
      </c>
      <c r="O2" s="1" t="s">
        <v>34</v>
      </c>
      <c r="P2" s="1" t="s">
        <v>7</v>
      </c>
      <c r="Q2" s="1" t="s">
        <v>8</v>
      </c>
      <c r="R2" s="1" t="s">
        <v>9</v>
      </c>
      <c r="S2" s="1" t="s">
        <v>10</v>
      </c>
      <c r="T2" s="1" t="s">
        <v>11</v>
      </c>
      <c r="U2" s="1" t="s">
        <v>12</v>
      </c>
      <c r="V2" s="1" t="s">
        <v>13</v>
      </c>
      <c r="W2" s="1" t="s">
        <v>14</v>
      </c>
      <c r="X2" s="1" t="s">
        <v>18</v>
      </c>
      <c r="Y2" s="1" t="s">
        <v>17</v>
      </c>
      <c r="Z2" s="1" t="s">
        <v>19</v>
      </c>
      <c r="AA2" s="1" t="s">
        <v>16</v>
      </c>
      <c r="AB2" s="1" t="s">
        <v>15</v>
      </c>
      <c r="AC2" s="1" t="s">
        <v>68</v>
      </c>
      <c r="AD2" s="1" t="s">
        <v>58</v>
      </c>
      <c r="AE2" s="1" t="s">
        <v>63</v>
      </c>
      <c r="AF2" s="1" t="s">
        <v>64</v>
      </c>
      <c r="AG2" s="1" t="s">
        <v>65</v>
      </c>
      <c r="AH2" s="1" t="s">
        <v>61</v>
      </c>
      <c r="AI2" s="1" t="s">
        <v>60</v>
      </c>
      <c r="AJ2" s="1" t="s">
        <v>62</v>
      </c>
      <c r="AK2" s="1" t="s">
        <v>59</v>
      </c>
    </row>
    <row r="7" spans="1:37" x14ac:dyDescent="0.2">
      <c r="A7" t="s">
        <v>33</v>
      </c>
      <c r="B7" t="s">
        <v>101</v>
      </c>
      <c r="E7" t="e">
        <f>RTD("greekserver.rtdfunctions",,"L 172.16.2.55 B")</f>
        <v>#N/A</v>
      </c>
    </row>
    <row r="11" spans="1:37" x14ac:dyDescent="0.2">
      <c r="A11" t="s">
        <v>22</v>
      </c>
      <c r="B11" t="s">
        <v>85</v>
      </c>
      <c r="C11">
        <v>6790</v>
      </c>
      <c r="D11" t="b">
        <v>0</v>
      </c>
      <c r="E11" t="e">
        <f>RTD("greekserver.rtdfunctions",,"S NSEFO 233.1.2.5 6790 0")</f>
        <v>#N/A</v>
      </c>
    </row>
    <row r="12" spans="1:37" x14ac:dyDescent="0.2">
      <c r="A12" t="s">
        <v>40</v>
      </c>
      <c r="B12" t="s">
        <v>85</v>
      </c>
      <c r="C12">
        <v>6789</v>
      </c>
      <c r="D12" t="b">
        <v>0</v>
      </c>
      <c r="E12" t="e">
        <f>RTD("greekserver.rtdfunctions",,"S NSEEQ 233.1.2.5 6789 0")</f>
        <v>#N/A</v>
      </c>
    </row>
    <row r="13" spans="1:37" x14ac:dyDescent="0.2">
      <c r="A13" t="s">
        <v>46</v>
      </c>
      <c r="B13" t="s">
        <v>85</v>
      </c>
      <c r="C13">
        <v>6796</v>
      </c>
      <c r="D13" t="b">
        <v>0</v>
      </c>
      <c r="F13" t="e">
        <f>RTD("greekserver.rtdfunctions",,"S NSECD 233.1.2.5 6796 0")</f>
        <v>#N/A</v>
      </c>
    </row>
    <row r="14" spans="1:37" x14ac:dyDescent="0.2">
      <c r="A14" t="s">
        <v>66</v>
      </c>
      <c r="B14" t="s">
        <v>88</v>
      </c>
      <c r="C14">
        <v>5448</v>
      </c>
      <c r="F14" t="e">
        <f>RTD("greekserver.rtdfunctions",,"S BSEEQ 233.1.2.7 5448 1")</f>
        <v>#N/A</v>
      </c>
    </row>
    <row r="15" spans="1:37" x14ac:dyDescent="0.2">
      <c r="A15" t="s">
        <v>86</v>
      </c>
      <c r="B15" t="s">
        <v>89</v>
      </c>
      <c r="C15">
        <v>5449</v>
      </c>
      <c r="E15" t="e">
        <f>RTD("greekserver.rtdfunctions",,"S BSEFO 233.1.2.8 5449 1")</f>
        <v>#N/A</v>
      </c>
    </row>
    <row r="16" spans="1:37" x14ac:dyDescent="0.2">
      <c r="A16" t="s">
        <v>84</v>
      </c>
      <c r="B16" t="s">
        <v>90</v>
      </c>
      <c r="C16">
        <v>5012</v>
      </c>
      <c r="E16" t="e">
        <f>RTD("greekserver.rtdfunctions",,"S BSECD 235.1.2.5 5012 1")</f>
        <v>#N/A</v>
      </c>
    </row>
    <row r="17" spans="1:11" x14ac:dyDescent="0.2">
      <c r="A17" t="s">
        <v>87</v>
      </c>
      <c r="B17" t="s">
        <v>67</v>
      </c>
      <c r="C17">
        <v>8810</v>
      </c>
      <c r="F17" t="e">
        <f>RTD("greekserver.rtdfunctions",,"S MCXSXEQ 233.1.2.3 8810 1")</f>
        <v>#N/A</v>
      </c>
    </row>
    <row r="18" spans="1:11" x14ac:dyDescent="0.2">
      <c r="A18" s="2"/>
      <c r="B18" s="2" t="s">
        <v>67</v>
      </c>
      <c r="C18" s="2">
        <v>5000</v>
      </c>
      <c r="D18" s="2"/>
      <c r="E18" s="2" t="e">
        <f>RTD("greekserver.rtdfunctions",,"S MCXSXFO 233.1.2.3 5000 1")</f>
        <v>#N/A</v>
      </c>
      <c r="F18" s="2"/>
      <c r="G18" s="2"/>
    </row>
    <row r="19" spans="1:11" x14ac:dyDescent="0.2">
      <c r="B19" t="s">
        <v>67</v>
      </c>
      <c r="C19">
        <v>8810</v>
      </c>
      <c r="D19" s="2"/>
      <c r="E19" s="2" t="e">
        <f>RTD("greekserver.rtdfunctions",,"S MCXSXCD 233.1.2.3 8810 1")</f>
        <v>#N/A</v>
      </c>
      <c r="F19" s="2"/>
      <c r="G19" s="2"/>
      <c r="K19" s="3"/>
    </row>
    <row r="20" spans="1:11" x14ac:dyDescent="0.2">
      <c r="A20" s="2"/>
      <c r="B20" s="2"/>
      <c r="C20" s="2"/>
      <c r="D20" s="2"/>
      <c r="E20" s="2"/>
      <c r="F20" s="2"/>
      <c r="G20" s="2"/>
    </row>
    <row r="29" spans="1:11" x14ac:dyDescent="0.2">
      <c r="D29" s="14"/>
      <c r="E29" s="14"/>
      <c r="F29" s="14"/>
      <c r="G29" s="1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K73"/>
  <sheetViews>
    <sheetView topLeftCell="A2" workbookViewId="0">
      <selection activeCell="C15" sqref="C15:D15"/>
    </sheetView>
  </sheetViews>
  <sheetFormatPr defaultRowHeight="12.75" x14ac:dyDescent="0.2"/>
  <cols>
    <col min="1" max="1" width="15" bestFit="1" customWidth="1"/>
    <col min="2" max="2" width="8.85546875" bestFit="1" customWidth="1"/>
    <col min="3" max="3" width="12.7109375" bestFit="1" customWidth="1"/>
    <col min="4" max="4" width="12.5703125" bestFit="1" customWidth="1"/>
  </cols>
  <sheetData>
    <row r="1" spans="1:37" ht="14.25" hidden="1" customHeight="1" x14ac:dyDescent="0.2">
      <c r="A1">
        <v>1</v>
      </c>
      <c r="B1">
        <v>30</v>
      </c>
      <c r="C1">
        <v>33</v>
      </c>
      <c r="D1">
        <v>2</v>
      </c>
      <c r="E1">
        <v>31</v>
      </c>
      <c r="F1">
        <v>23</v>
      </c>
      <c r="G1">
        <v>32</v>
      </c>
      <c r="H1">
        <v>3</v>
      </c>
      <c r="I1">
        <v>19</v>
      </c>
      <c r="J1">
        <v>5</v>
      </c>
      <c r="K1">
        <v>4</v>
      </c>
      <c r="L1">
        <v>7</v>
      </c>
      <c r="M1">
        <v>6</v>
      </c>
      <c r="N1">
        <v>8</v>
      </c>
      <c r="O1">
        <v>12</v>
      </c>
      <c r="P1">
        <v>24</v>
      </c>
      <c r="Q1">
        <v>25</v>
      </c>
      <c r="R1">
        <v>26</v>
      </c>
      <c r="S1">
        <v>27</v>
      </c>
      <c r="T1">
        <v>13</v>
      </c>
      <c r="U1">
        <v>14</v>
      </c>
      <c r="V1">
        <v>15</v>
      </c>
      <c r="W1">
        <v>16</v>
      </c>
      <c r="X1">
        <v>10</v>
      </c>
      <c r="Y1">
        <v>11</v>
      </c>
      <c r="Z1">
        <v>20</v>
      </c>
      <c r="AA1">
        <v>18</v>
      </c>
      <c r="AB1">
        <v>17</v>
      </c>
      <c r="AC1">
        <v>40</v>
      </c>
      <c r="AD1">
        <v>34</v>
      </c>
      <c r="AE1">
        <v>28</v>
      </c>
      <c r="AF1">
        <v>29</v>
      </c>
      <c r="AG1">
        <v>39</v>
      </c>
      <c r="AH1">
        <v>35</v>
      </c>
      <c r="AI1">
        <v>36</v>
      </c>
      <c r="AJ1">
        <v>37</v>
      </c>
      <c r="AK1">
        <v>38</v>
      </c>
    </row>
    <row r="2" spans="1:37" s="1" customFormat="1" ht="37.5" customHeight="1" x14ac:dyDescent="0.2">
      <c r="A2" s="1" t="s">
        <v>0</v>
      </c>
      <c r="B2" s="1" t="s">
        <v>21</v>
      </c>
      <c r="C2" s="1" t="s">
        <v>57</v>
      </c>
      <c r="D2" s="1" t="s">
        <v>53</v>
      </c>
      <c r="E2" s="1" t="s">
        <v>54</v>
      </c>
      <c r="F2" s="1" t="s">
        <v>55</v>
      </c>
      <c r="G2" s="1" t="s">
        <v>56</v>
      </c>
      <c r="H2" s="1" t="s">
        <v>1</v>
      </c>
      <c r="I2" s="1" t="s">
        <v>20</v>
      </c>
      <c r="J2" s="1" t="s">
        <v>2</v>
      </c>
      <c r="K2" s="1" t="s">
        <v>3</v>
      </c>
      <c r="L2" s="1" t="s">
        <v>4</v>
      </c>
      <c r="M2" s="1" t="s">
        <v>5</v>
      </c>
      <c r="N2" s="1" t="s">
        <v>6</v>
      </c>
      <c r="O2" s="1" t="s">
        <v>34</v>
      </c>
      <c r="P2" s="1" t="s">
        <v>7</v>
      </c>
      <c r="Q2" s="1" t="s">
        <v>8</v>
      </c>
      <c r="R2" s="1" t="s">
        <v>9</v>
      </c>
      <c r="S2" s="1" t="s">
        <v>10</v>
      </c>
      <c r="T2" s="1" t="s">
        <v>11</v>
      </c>
      <c r="U2" s="1" t="s">
        <v>12</v>
      </c>
      <c r="V2" s="1" t="s">
        <v>13</v>
      </c>
      <c r="W2" s="1" t="s">
        <v>14</v>
      </c>
      <c r="X2" s="1" t="s">
        <v>18</v>
      </c>
      <c r="Y2" s="1" t="s">
        <v>17</v>
      </c>
      <c r="Z2" s="1" t="s">
        <v>19</v>
      </c>
      <c r="AA2" s="1" t="s">
        <v>16</v>
      </c>
      <c r="AB2" s="1" t="s">
        <v>15</v>
      </c>
      <c r="AC2" s="1" t="s">
        <v>68</v>
      </c>
      <c r="AD2" s="1" t="s">
        <v>58</v>
      </c>
      <c r="AE2" s="1" t="s">
        <v>63</v>
      </c>
      <c r="AF2" s="1" t="s">
        <v>64</v>
      </c>
      <c r="AG2" s="1" t="s">
        <v>65</v>
      </c>
      <c r="AH2" s="1" t="s">
        <v>61</v>
      </c>
      <c r="AI2" s="1" t="s">
        <v>60</v>
      </c>
      <c r="AJ2" s="1" t="s">
        <v>62</v>
      </c>
      <c r="AK2" s="1" t="s">
        <v>59</v>
      </c>
    </row>
    <row r="4" spans="1:37" x14ac:dyDescent="0.2">
      <c r="A4" s="40" t="s">
        <v>103</v>
      </c>
      <c r="C4" s="40" t="s">
        <v>103</v>
      </c>
      <c r="D4" s="40" t="s">
        <v>104</v>
      </c>
    </row>
    <row r="5" spans="1:37" x14ac:dyDescent="0.2">
      <c r="A5" s="40" t="s">
        <v>104</v>
      </c>
    </row>
    <row r="6" spans="1:37" x14ac:dyDescent="0.2">
      <c r="A6" s="37" t="s">
        <v>105</v>
      </c>
      <c r="C6" s="37" t="s">
        <v>105</v>
      </c>
      <c r="D6" s="38" t="s">
        <v>106</v>
      </c>
    </row>
    <row r="7" spans="1:37" x14ac:dyDescent="0.2">
      <c r="A7" s="38" t="s">
        <v>106</v>
      </c>
      <c r="C7" s="37" t="s">
        <v>107</v>
      </c>
      <c r="D7" s="37" t="s">
        <v>108</v>
      </c>
    </row>
    <row r="8" spans="1:37" x14ac:dyDescent="0.2">
      <c r="A8" s="37" t="s">
        <v>107</v>
      </c>
      <c r="C8" s="41" t="s">
        <v>109</v>
      </c>
      <c r="D8" s="41" t="s">
        <v>110</v>
      </c>
    </row>
    <row r="9" spans="1:37" x14ac:dyDescent="0.2">
      <c r="A9" s="37" t="s">
        <v>108</v>
      </c>
      <c r="C9" s="19" t="s">
        <v>111</v>
      </c>
      <c r="D9" s="19" t="s">
        <v>112</v>
      </c>
    </row>
    <row r="10" spans="1:37" x14ac:dyDescent="0.2">
      <c r="A10" s="41" t="s">
        <v>109</v>
      </c>
      <c r="C10" s="40" t="s">
        <v>113</v>
      </c>
      <c r="D10" s="40" t="s">
        <v>102</v>
      </c>
    </row>
    <row r="11" spans="1:37" x14ac:dyDescent="0.2">
      <c r="A11" s="41" t="s">
        <v>110</v>
      </c>
      <c r="C11" s="40" t="s">
        <v>114</v>
      </c>
      <c r="D11" s="40" t="s">
        <v>115</v>
      </c>
    </row>
    <row r="12" spans="1:37" x14ac:dyDescent="0.2">
      <c r="A12" s="19" t="s">
        <v>111</v>
      </c>
      <c r="C12" s="37" t="s">
        <v>116</v>
      </c>
      <c r="D12" s="37" t="s">
        <v>117</v>
      </c>
    </row>
    <row r="13" spans="1:37" x14ac:dyDescent="0.2">
      <c r="A13" s="19" t="s">
        <v>112</v>
      </c>
      <c r="C13" s="37" t="s">
        <v>118</v>
      </c>
      <c r="D13" s="37" t="s">
        <v>119</v>
      </c>
    </row>
    <row r="14" spans="1:37" x14ac:dyDescent="0.2">
      <c r="A14" s="40" t="s">
        <v>113</v>
      </c>
      <c r="C14" s="40" t="s">
        <v>120</v>
      </c>
      <c r="D14" s="40" t="s">
        <v>121</v>
      </c>
    </row>
    <row r="15" spans="1:37" x14ac:dyDescent="0.2">
      <c r="A15" s="40" t="s">
        <v>102</v>
      </c>
      <c r="C15" s="37" t="s">
        <v>122</v>
      </c>
      <c r="D15" s="37" t="s">
        <v>123</v>
      </c>
    </row>
    <row r="16" spans="1:37" x14ac:dyDescent="0.2">
      <c r="A16" s="40" t="s">
        <v>114</v>
      </c>
    </row>
    <row r="17" spans="1:1" x14ac:dyDescent="0.2">
      <c r="A17" s="40" t="s">
        <v>115</v>
      </c>
    </row>
    <row r="18" spans="1:1" x14ac:dyDescent="0.2">
      <c r="A18" s="37" t="s">
        <v>116</v>
      </c>
    </row>
    <row r="19" spans="1:1" x14ac:dyDescent="0.2">
      <c r="A19" s="37" t="s">
        <v>117</v>
      </c>
    </row>
    <row r="20" spans="1:1" x14ac:dyDescent="0.2">
      <c r="A20" s="37" t="s">
        <v>118</v>
      </c>
    </row>
    <row r="21" spans="1:1" x14ac:dyDescent="0.2">
      <c r="A21" s="37" t="s">
        <v>119</v>
      </c>
    </row>
    <row r="22" spans="1:1" x14ac:dyDescent="0.2">
      <c r="A22" s="40" t="s">
        <v>120</v>
      </c>
    </row>
    <row r="23" spans="1:1" x14ac:dyDescent="0.2">
      <c r="A23" s="40" t="s">
        <v>121</v>
      </c>
    </row>
    <row r="24" spans="1:1" x14ac:dyDescent="0.2">
      <c r="A24" s="37" t="s">
        <v>122</v>
      </c>
    </row>
    <row r="25" spans="1:1" x14ac:dyDescent="0.2">
      <c r="A25" s="37" t="s">
        <v>123</v>
      </c>
    </row>
    <row r="26" spans="1:1" x14ac:dyDescent="0.2">
      <c r="A26" s="37" t="s">
        <v>124</v>
      </c>
    </row>
    <row r="27" spans="1:1" x14ac:dyDescent="0.2">
      <c r="A27" s="37" t="s">
        <v>125</v>
      </c>
    </row>
    <row r="28" spans="1:1" x14ac:dyDescent="0.2">
      <c r="A28" s="37" t="s">
        <v>126</v>
      </c>
    </row>
    <row r="29" spans="1:1" x14ac:dyDescent="0.2">
      <c r="A29" s="37" t="s">
        <v>128</v>
      </c>
    </row>
    <row r="30" spans="1:1" x14ac:dyDescent="0.2">
      <c r="A30" s="37" t="s">
        <v>129</v>
      </c>
    </row>
    <row r="31" spans="1:1" x14ac:dyDescent="0.2">
      <c r="A31" s="18" t="s">
        <v>134</v>
      </c>
    </row>
    <row r="32" spans="1:1" x14ac:dyDescent="0.2">
      <c r="A32" s="18" t="s">
        <v>131</v>
      </c>
    </row>
    <row r="33" spans="1:1" x14ac:dyDescent="0.2">
      <c r="A33" s="37" t="s">
        <v>132</v>
      </c>
    </row>
    <row r="34" spans="1:1" x14ac:dyDescent="0.2">
      <c r="A34" s="37" t="s">
        <v>133</v>
      </c>
    </row>
    <row r="35" spans="1:1" x14ac:dyDescent="0.2">
      <c r="A35" s="39" t="s">
        <v>130</v>
      </c>
    </row>
    <row r="36" spans="1:1" x14ac:dyDescent="0.2">
      <c r="A36" s="37" t="s">
        <v>135</v>
      </c>
    </row>
    <row r="37" spans="1:1" x14ac:dyDescent="0.2">
      <c r="A37" s="37" t="s">
        <v>136</v>
      </c>
    </row>
    <row r="38" spans="1:1" x14ac:dyDescent="0.2">
      <c r="A38" s="37" t="s">
        <v>137</v>
      </c>
    </row>
    <row r="39" spans="1:1" x14ac:dyDescent="0.2">
      <c r="A39" s="37" t="s">
        <v>138</v>
      </c>
    </row>
    <row r="40" spans="1:1" x14ac:dyDescent="0.2">
      <c r="A40" s="37" t="s">
        <v>139</v>
      </c>
    </row>
    <row r="41" spans="1:1" x14ac:dyDescent="0.2">
      <c r="A41" s="37" t="s">
        <v>140</v>
      </c>
    </row>
    <row r="42" spans="1:1" x14ac:dyDescent="0.2">
      <c r="A42" s="37" t="s">
        <v>141</v>
      </c>
    </row>
    <row r="43" spans="1:1" x14ac:dyDescent="0.2">
      <c r="A43" s="40" t="s">
        <v>142</v>
      </c>
    </row>
    <row r="44" spans="1:1" x14ac:dyDescent="0.2">
      <c r="A44" s="40" t="s">
        <v>144</v>
      </c>
    </row>
    <row r="45" spans="1:1" x14ac:dyDescent="0.2">
      <c r="A45" s="40" t="s">
        <v>145</v>
      </c>
    </row>
    <row r="46" spans="1:1" x14ac:dyDescent="0.2">
      <c r="A46" s="40" t="s">
        <v>146</v>
      </c>
    </row>
    <row r="47" spans="1:1" x14ac:dyDescent="0.2">
      <c r="A47" s="40" t="s">
        <v>147</v>
      </c>
    </row>
    <row r="48" spans="1:1" x14ac:dyDescent="0.2">
      <c r="A48" s="40" t="s">
        <v>148</v>
      </c>
    </row>
    <row r="49" spans="1:1" x14ac:dyDescent="0.2">
      <c r="A49" s="40" t="s">
        <v>149</v>
      </c>
    </row>
    <row r="50" spans="1:1" x14ac:dyDescent="0.2">
      <c r="A50" s="40" t="s">
        <v>150</v>
      </c>
    </row>
    <row r="51" spans="1:1" x14ac:dyDescent="0.2">
      <c r="A51" s="40" t="s">
        <v>151</v>
      </c>
    </row>
    <row r="52" spans="1:1" x14ac:dyDescent="0.2">
      <c r="A52" s="37" t="s">
        <v>152</v>
      </c>
    </row>
    <row r="53" spans="1:1" x14ac:dyDescent="0.2">
      <c r="A53" s="37" t="s">
        <v>153</v>
      </c>
    </row>
    <row r="54" spans="1:1" x14ac:dyDescent="0.2">
      <c r="A54" s="37" t="s">
        <v>154</v>
      </c>
    </row>
    <row r="55" spans="1:1" x14ac:dyDescent="0.2">
      <c r="A55" s="37" t="s">
        <v>155</v>
      </c>
    </row>
    <row r="56" spans="1:1" x14ac:dyDescent="0.2">
      <c r="A56" s="37" t="s">
        <v>156</v>
      </c>
    </row>
    <row r="57" spans="1:1" x14ac:dyDescent="0.2">
      <c r="A57" s="37" t="s">
        <v>157</v>
      </c>
    </row>
    <row r="58" spans="1:1" x14ac:dyDescent="0.2">
      <c r="A58" s="37" t="s">
        <v>241</v>
      </c>
    </row>
    <row r="59" spans="1:1" x14ac:dyDescent="0.2">
      <c r="A59" s="37" t="s">
        <v>159</v>
      </c>
    </row>
    <row r="60" spans="1:1" x14ac:dyDescent="0.2">
      <c r="A60" s="37" t="s">
        <v>160</v>
      </c>
    </row>
    <row r="61" spans="1:1" x14ac:dyDescent="0.2">
      <c r="A61" s="37" t="s">
        <v>161</v>
      </c>
    </row>
    <row r="62" spans="1:1" x14ac:dyDescent="0.2">
      <c r="A62" s="37" t="s">
        <v>162</v>
      </c>
    </row>
    <row r="63" spans="1:1" x14ac:dyDescent="0.2">
      <c r="A63" s="37" t="s">
        <v>163</v>
      </c>
    </row>
    <row r="64" spans="1:1" x14ac:dyDescent="0.2">
      <c r="A64" s="37" t="s">
        <v>164</v>
      </c>
    </row>
    <row r="65" spans="1:1" x14ac:dyDescent="0.2">
      <c r="A65" s="37" t="s">
        <v>165</v>
      </c>
    </row>
    <row r="66" spans="1:1" x14ac:dyDescent="0.2">
      <c r="A66" s="37" t="s">
        <v>166</v>
      </c>
    </row>
    <row r="67" spans="1:1" x14ac:dyDescent="0.2">
      <c r="A67" s="37" t="s">
        <v>167</v>
      </c>
    </row>
    <row r="68" spans="1:1" x14ac:dyDescent="0.2">
      <c r="A68" s="37" t="s">
        <v>168</v>
      </c>
    </row>
    <row r="69" spans="1:1" x14ac:dyDescent="0.2">
      <c r="A69" s="40" t="s">
        <v>169</v>
      </c>
    </row>
    <row r="70" spans="1:1" x14ac:dyDescent="0.2">
      <c r="A70" s="40" t="s">
        <v>170</v>
      </c>
    </row>
    <row r="71" spans="1:1" x14ac:dyDescent="0.2">
      <c r="A71" s="37" t="s">
        <v>171</v>
      </c>
    </row>
    <row r="72" spans="1:1" x14ac:dyDescent="0.2">
      <c r="A72" s="37" t="s">
        <v>235</v>
      </c>
    </row>
    <row r="73" spans="1:1" x14ac:dyDescent="0.2">
      <c r="A73" s="37" t="s">
        <v>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15</vt:i4>
      </vt:variant>
      <vt:variant>
        <vt:lpstr>Excel 4.0 Macros</vt:lpstr>
      </vt:variant>
      <vt:variant>
        <vt:i4>1</vt:i4>
      </vt:variant>
      <vt:variant>
        <vt:lpstr>Named Ranges</vt:lpstr>
      </vt:variant>
      <vt:variant>
        <vt:i4>4</vt:i4>
      </vt:variant>
    </vt:vector>
  </HeadingPairs>
  <TitlesOfParts>
    <vt:vector size="20" baseType="lpstr">
      <vt:lpstr>Help</vt:lpstr>
      <vt:lpstr>MarketWatch</vt:lpstr>
      <vt:lpstr>Sheet3</vt:lpstr>
      <vt:lpstr>TimeStamp</vt:lpstr>
      <vt:lpstr>Data_Banknifty</vt:lpstr>
      <vt:lpstr>MAIN OI BankNifty</vt:lpstr>
      <vt:lpstr>Dashbord</vt:lpstr>
      <vt:lpstr>BankNifty_2</vt:lpstr>
      <vt:lpstr>Call_Bank</vt:lpstr>
      <vt:lpstr>Put_Bank</vt:lpstr>
      <vt:lpstr>IV</vt:lpstr>
      <vt:lpstr>PCR</vt:lpstr>
      <vt:lpstr>Sheet6</vt:lpstr>
      <vt:lpstr>__meta_data</vt:lpstr>
      <vt:lpstr>Sheet2</vt:lpstr>
      <vt:lpstr>Macro1</vt:lpstr>
      <vt:lpstr>Full_OI_Data</vt:lpstr>
      <vt:lpstr>iv_data</vt:lpstr>
      <vt:lpstr>pcr_data</vt:lpstr>
      <vt:lpstr>Put_oi_data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kifs</cp:lastModifiedBy>
  <dcterms:created xsi:type="dcterms:W3CDTF">1996-10-14T23:33:28Z</dcterms:created>
  <dcterms:modified xsi:type="dcterms:W3CDTF">2020-02-13T05:17:28Z</dcterms:modified>
</cp:coreProperties>
</file>